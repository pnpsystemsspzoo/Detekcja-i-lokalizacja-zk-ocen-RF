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nPSystems\Obliczenia\"/>
    </mc:Choice>
  </mc:AlternateContent>
  <bookViews>
    <workbookView xWindow="0" yWindow="0" windowWidth="25200" windowHeight="12570"/>
  </bookViews>
  <sheets>
    <sheet name="Obliczenia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J22" i="1" s="1"/>
  <c r="K22" i="1" s="1"/>
  <c r="H23" i="1"/>
  <c r="J23" i="1" s="1"/>
  <c r="K23" i="1" s="1"/>
  <c r="H21" i="1"/>
  <c r="H12" i="1"/>
  <c r="H13" i="1" s="1"/>
  <c r="H11" i="1"/>
  <c r="H7" i="1"/>
  <c r="J7" i="1" s="1"/>
  <c r="K7" i="1" s="1"/>
  <c r="H3" i="1"/>
  <c r="H4" i="1" s="1"/>
  <c r="J2" i="1"/>
  <c r="K2" i="1" s="1"/>
  <c r="J3" i="1"/>
  <c r="K3" i="1" s="1"/>
  <c r="H45" i="1"/>
  <c r="H49" i="1"/>
  <c r="I53" i="1"/>
  <c r="H57" i="1"/>
  <c r="I57" i="1"/>
  <c r="H61" i="1"/>
  <c r="H65" i="1"/>
  <c r="I69" i="1"/>
  <c r="H73" i="1"/>
  <c r="I73" i="1"/>
  <c r="H77" i="1"/>
  <c r="H81" i="1"/>
  <c r="I85" i="1"/>
  <c r="H89" i="1"/>
  <c r="I89" i="1"/>
  <c r="H93" i="1"/>
  <c r="H97" i="1"/>
  <c r="I101" i="1"/>
  <c r="I105" i="1"/>
  <c r="B130" i="1"/>
  <c r="C130" i="1"/>
  <c r="D130" i="1"/>
  <c r="B131" i="1"/>
  <c r="C131" i="1" s="1"/>
  <c r="B132" i="1"/>
  <c r="D132" i="1" s="1"/>
  <c r="C132" i="1"/>
  <c r="B133" i="1"/>
  <c r="C133" i="1"/>
  <c r="D133" i="1"/>
  <c r="B134" i="1"/>
  <c r="C134" i="1"/>
  <c r="D134" i="1"/>
  <c r="B135" i="1"/>
  <c r="C135" i="1" s="1"/>
  <c r="B136" i="1"/>
  <c r="D136" i="1" s="1"/>
  <c r="C136" i="1"/>
  <c r="B137" i="1"/>
  <c r="C137" i="1"/>
  <c r="D137" i="1"/>
  <c r="B138" i="1"/>
  <c r="C138" i="1"/>
  <c r="D138" i="1"/>
  <c r="B139" i="1"/>
  <c r="C139" i="1" s="1"/>
  <c r="B140" i="1"/>
  <c r="D140" i="1" s="1"/>
  <c r="C140" i="1"/>
  <c r="B141" i="1"/>
  <c r="C141" i="1"/>
  <c r="D141" i="1"/>
  <c r="B142" i="1"/>
  <c r="C142" i="1"/>
  <c r="D142" i="1"/>
  <c r="B143" i="1"/>
  <c r="C143" i="1" s="1"/>
  <c r="B144" i="1"/>
  <c r="D144" i="1" s="1"/>
  <c r="C144" i="1"/>
  <c r="B145" i="1"/>
  <c r="C145" i="1"/>
  <c r="D145" i="1"/>
  <c r="B146" i="1"/>
  <c r="C146" i="1"/>
  <c r="D146" i="1"/>
  <c r="B147" i="1"/>
  <c r="C147" i="1" s="1"/>
  <c r="B148" i="1"/>
  <c r="D148" i="1" s="1"/>
  <c r="C148" i="1"/>
  <c r="B149" i="1"/>
  <c r="C149" i="1"/>
  <c r="D149" i="1"/>
  <c r="B150" i="1"/>
  <c r="C150" i="1"/>
  <c r="D150" i="1"/>
  <c r="B151" i="1"/>
  <c r="C151" i="1" s="1"/>
  <c r="B152" i="1"/>
  <c r="D152" i="1" s="1"/>
  <c r="C152" i="1"/>
  <c r="B153" i="1"/>
  <c r="C153" i="1"/>
  <c r="D153" i="1"/>
  <c r="B154" i="1"/>
  <c r="C154" i="1"/>
  <c r="D154" i="1"/>
  <c r="B155" i="1"/>
  <c r="C155" i="1" s="1"/>
  <c r="B156" i="1"/>
  <c r="D156" i="1" s="1"/>
  <c r="C156" i="1"/>
  <c r="B157" i="1"/>
  <c r="C157" i="1"/>
  <c r="D157" i="1"/>
  <c r="B158" i="1"/>
  <c r="C158" i="1"/>
  <c r="D158" i="1"/>
  <c r="B159" i="1"/>
  <c r="C159" i="1" s="1"/>
  <c r="B160" i="1"/>
  <c r="D160" i="1" s="1"/>
  <c r="C160" i="1"/>
  <c r="B161" i="1"/>
  <c r="C161" i="1"/>
  <c r="D161" i="1"/>
  <c r="B162" i="1"/>
  <c r="C162" i="1"/>
  <c r="D162" i="1"/>
  <c r="B163" i="1"/>
  <c r="C163" i="1" s="1"/>
  <c r="B164" i="1"/>
  <c r="D164" i="1" s="1"/>
  <c r="C164" i="1"/>
  <c r="B165" i="1"/>
  <c r="C165" i="1"/>
  <c r="D165" i="1"/>
  <c r="B166" i="1"/>
  <c r="C166" i="1"/>
  <c r="D166" i="1"/>
  <c r="B167" i="1"/>
  <c r="C167" i="1" s="1"/>
  <c r="B168" i="1"/>
  <c r="D168" i="1" s="1"/>
  <c r="C168" i="1"/>
  <c r="B169" i="1"/>
  <c r="C169" i="1"/>
  <c r="D169" i="1"/>
  <c r="B170" i="1"/>
  <c r="C170" i="1"/>
  <c r="D170" i="1"/>
  <c r="B171" i="1"/>
  <c r="C171" i="1" s="1"/>
  <c r="B172" i="1"/>
  <c r="D172" i="1" s="1"/>
  <c r="C172" i="1"/>
  <c r="B173" i="1"/>
  <c r="C173" i="1"/>
  <c r="D173" i="1"/>
  <c r="B174" i="1"/>
  <c r="C174" i="1"/>
  <c r="D174" i="1"/>
  <c r="B175" i="1"/>
  <c r="C175" i="1" s="1"/>
  <c r="G53" i="1"/>
  <c r="G54" i="1"/>
  <c r="G55" i="1"/>
  <c r="G77" i="1"/>
  <c r="G78" i="1"/>
  <c r="G85" i="1"/>
  <c r="G93" i="1"/>
  <c r="G94" i="1"/>
  <c r="B114" i="1"/>
  <c r="C114" i="1" s="1"/>
  <c r="D114" i="1"/>
  <c r="H105" i="1" s="1"/>
  <c r="B115" i="1"/>
  <c r="C115" i="1" s="1"/>
  <c r="B116" i="1"/>
  <c r="D116" i="1" s="1"/>
  <c r="C116" i="1"/>
  <c r="B117" i="1"/>
  <c r="C117" i="1"/>
  <c r="D117" i="1"/>
  <c r="B118" i="1"/>
  <c r="C118" i="1"/>
  <c r="D118" i="1"/>
  <c r="H109" i="1" s="1"/>
  <c r="B119" i="1"/>
  <c r="C119" i="1" s="1"/>
  <c r="B120" i="1"/>
  <c r="D120" i="1" s="1"/>
  <c r="G102" i="1" s="1"/>
  <c r="C120" i="1"/>
  <c r="B121" i="1"/>
  <c r="C121" i="1"/>
  <c r="D121" i="1"/>
  <c r="G103" i="1" s="1"/>
  <c r="B122" i="1"/>
  <c r="C122" i="1" s="1"/>
  <c r="D122" i="1"/>
  <c r="H113" i="1" s="1"/>
  <c r="B123" i="1"/>
  <c r="C123" i="1" s="1"/>
  <c r="B124" i="1"/>
  <c r="D124" i="1" s="1"/>
  <c r="C124" i="1"/>
  <c r="B125" i="1"/>
  <c r="C125" i="1"/>
  <c r="D125" i="1"/>
  <c r="B126" i="1"/>
  <c r="C126" i="1"/>
  <c r="D126" i="1"/>
  <c r="B127" i="1"/>
  <c r="C127" i="1" s="1"/>
  <c r="B128" i="1"/>
  <c r="D128" i="1" s="1"/>
  <c r="G110" i="1" s="1"/>
  <c r="C128" i="1"/>
  <c r="B129" i="1"/>
  <c r="C129" i="1"/>
  <c r="D129" i="1"/>
  <c r="G111" i="1" s="1"/>
  <c r="C42" i="1"/>
  <c r="H42" i="1" s="1"/>
  <c r="D42" i="1"/>
  <c r="C43" i="1"/>
  <c r="D43" i="1"/>
  <c r="C44" i="1"/>
  <c r="D44" i="1"/>
  <c r="C45" i="1"/>
  <c r="D45" i="1"/>
  <c r="C46" i="1"/>
  <c r="H46" i="1" s="1"/>
  <c r="D46" i="1"/>
  <c r="C47" i="1"/>
  <c r="D47" i="1"/>
  <c r="I45" i="1" s="1"/>
  <c r="C48" i="1"/>
  <c r="D48" i="1"/>
  <c r="C49" i="1"/>
  <c r="G49" i="1" s="1"/>
  <c r="D49" i="1"/>
  <c r="C50" i="1"/>
  <c r="H50" i="1" s="1"/>
  <c r="D50" i="1"/>
  <c r="C51" i="1"/>
  <c r="D51" i="1"/>
  <c r="I49" i="1" s="1"/>
  <c r="C52" i="1"/>
  <c r="D52" i="1"/>
  <c r="C53" i="1"/>
  <c r="D53" i="1"/>
  <c r="C54" i="1"/>
  <c r="H54" i="1" s="1"/>
  <c r="D54" i="1"/>
  <c r="C55" i="1"/>
  <c r="D55" i="1"/>
  <c r="C56" i="1"/>
  <c r="D56" i="1"/>
  <c r="C57" i="1"/>
  <c r="G57" i="1" s="1"/>
  <c r="D57" i="1"/>
  <c r="C58" i="1"/>
  <c r="H58" i="1" s="1"/>
  <c r="D58" i="1"/>
  <c r="C59" i="1"/>
  <c r="D59" i="1"/>
  <c r="C60" i="1"/>
  <c r="D60" i="1"/>
  <c r="C61" i="1"/>
  <c r="D61" i="1"/>
  <c r="C62" i="1"/>
  <c r="H62" i="1" s="1"/>
  <c r="D62" i="1"/>
  <c r="H53" i="1" s="1"/>
  <c r="C63" i="1"/>
  <c r="D63" i="1"/>
  <c r="I61" i="1" s="1"/>
  <c r="C64" i="1"/>
  <c r="D64" i="1"/>
  <c r="G46" i="1" s="1"/>
  <c r="C65" i="1"/>
  <c r="G65" i="1" s="1"/>
  <c r="D65" i="1"/>
  <c r="G47" i="1" s="1"/>
  <c r="C66" i="1"/>
  <c r="H66" i="1" s="1"/>
  <c r="D66" i="1"/>
  <c r="C67" i="1"/>
  <c r="D67" i="1"/>
  <c r="I65" i="1" s="1"/>
  <c r="C68" i="1"/>
  <c r="D68" i="1"/>
  <c r="C69" i="1"/>
  <c r="D69" i="1"/>
  <c r="C70" i="1"/>
  <c r="H70" i="1" s="1"/>
  <c r="D70" i="1"/>
  <c r="C71" i="1"/>
  <c r="H71" i="1" s="1"/>
  <c r="D71" i="1"/>
  <c r="C72" i="1"/>
  <c r="D72" i="1"/>
  <c r="C73" i="1"/>
  <c r="G73" i="1" s="1"/>
  <c r="D73" i="1"/>
  <c r="C74" i="1"/>
  <c r="H74" i="1" s="1"/>
  <c r="D74" i="1"/>
  <c r="C75" i="1"/>
  <c r="D75" i="1"/>
  <c r="C76" i="1"/>
  <c r="D76" i="1"/>
  <c r="C77" i="1"/>
  <c r="D77" i="1"/>
  <c r="C78" i="1"/>
  <c r="H78" i="1" s="1"/>
  <c r="D78" i="1"/>
  <c r="H69" i="1" s="1"/>
  <c r="C79" i="1"/>
  <c r="D79" i="1"/>
  <c r="I77" i="1" s="1"/>
  <c r="C80" i="1"/>
  <c r="D80" i="1"/>
  <c r="G62" i="1" s="1"/>
  <c r="C81" i="1"/>
  <c r="G81" i="1" s="1"/>
  <c r="D81" i="1"/>
  <c r="G63" i="1" s="1"/>
  <c r="C82" i="1"/>
  <c r="H82" i="1" s="1"/>
  <c r="D82" i="1"/>
  <c r="C83" i="1"/>
  <c r="H83" i="1" s="1"/>
  <c r="D83" i="1"/>
  <c r="I81" i="1" s="1"/>
  <c r="C84" i="1"/>
  <c r="I84" i="1" s="1"/>
  <c r="D84" i="1"/>
  <c r="C85" i="1"/>
  <c r="D85" i="1"/>
  <c r="C86" i="1"/>
  <c r="H86" i="1" s="1"/>
  <c r="D86" i="1"/>
  <c r="C87" i="1"/>
  <c r="D87" i="1"/>
  <c r="G69" i="1" s="1"/>
  <c r="C88" i="1"/>
  <c r="D88" i="1"/>
  <c r="G70" i="1" s="1"/>
  <c r="C89" i="1"/>
  <c r="G89" i="1" s="1"/>
  <c r="D89" i="1"/>
  <c r="G71" i="1" s="1"/>
  <c r="C90" i="1"/>
  <c r="H90" i="1" s="1"/>
  <c r="D90" i="1"/>
  <c r="C91" i="1"/>
  <c r="D91" i="1"/>
  <c r="C92" i="1"/>
  <c r="I92" i="1" s="1"/>
  <c r="D92" i="1"/>
  <c r="C93" i="1"/>
  <c r="D93" i="1"/>
  <c r="C94" i="1"/>
  <c r="H94" i="1" s="1"/>
  <c r="D94" i="1"/>
  <c r="H85" i="1" s="1"/>
  <c r="C95" i="1"/>
  <c r="D95" i="1"/>
  <c r="I93" i="1" s="1"/>
  <c r="C96" i="1"/>
  <c r="D96" i="1"/>
  <c r="C97" i="1"/>
  <c r="D97" i="1"/>
  <c r="G79" i="1" s="1"/>
  <c r="C98" i="1"/>
  <c r="H98" i="1" s="1"/>
  <c r="D98" i="1"/>
  <c r="C99" i="1"/>
  <c r="D99" i="1"/>
  <c r="I97" i="1" s="1"/>
  <c r="C100" i="1"/>
  <c r="D100" i="1"/>
  <c r="C101" i="1"/>
  <c r="D101" i="1"/>
  <c r="C102" i="1"/>
  <c r="H102" i="1" s="1"/>
  <c r="D102" i="1"/>
  <c r="C103" i="1"/>
  <c r="H103" i="1" s="1"/>
  <c r="D103" i="1"/>
  <c r="C104" i="1"/>
  <c r="D104" i="1"/>
  <c r="G86" i="1" s="1"/>
  <c r="C105" i="1"/>
  <c r="D105" i="1"/>
  <c r="G87" i="1" s="1"/>
  <c r="C106" i="1"/>
  <c r="D106" i="1"/>
  <c r="C107" i="1"/>
  <c r="D107" i="1"/>
  <c r="C108" i="1"/>
  <c r="D108" i="1"/>
  <c r="C109" i="1"/>
  <c r="D109" i="1"/>
  <c r="C110" i="1"/>
  <c r="D110" i="1"/>
  <c r="H101" i="1" s="1"/>
  <c r="C111" i="1"/>
  <c r="D111" i="1"/>
  <c r="I109" i="1" s="1"/>
  <c r="C112" i="1"/>
  <c r="D112" i="1"/>
  <c r="C113" i="1"/>
  <c r="D113" i="1"/>
  <c r="G95" i="1" s="1"/>
  <c r="D41" i="1"/>
  <c r="C41" i="1"/>
  <c r="I41" i="1" s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78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41" i="1"/>
  <c r="J10" i="1"/>
  <c r="K10" i="1" s="1"/>
  <c r="J11" i="1"/>
  <c r="K11" i="1" s="1"/>
  <c r="J12" i="1"/>
  <c r="K12" i="1" s="1"/>
  <c r="J20" i="1"/>
  <c r="K20" i="1" s="1"/>
  <c r="J21" i="1"/>
  <c r="K21" i="1" s="1"/>
  <c r="B23" i="1"/>
  <c r="C23" i="1" s="1"/>
  <c r="D23" i="1" s="1"/>
  <c r="B22" i="1"/>
  <c r="C22" i="1"/>
  <c r="D22" i="1"/>
  <c r="B21" i="1"/>
  <c r="C21" i="1"/>
  <c r="D21" i="1" s="1"/>
  <c r="B20" i="1"/>
  <c r="C20" i="1" s="1"/>
  <c r="D20" i="1" s="1"/>
  <c r="B3" i="1"/>
  <c r="C3" i="1" s="1"/>
  <c r="D3" i="1" s="1"/>
  <c r="B4" i="1"/>
  <c r="C4" i="1"/>
  <c r="D4" i="1" s="1"/>
  <c r="B5" i="1"/>
  <c r="C5" i="1" s="1"/>
  <c r="D5" i="1" s="1"/>
  <c r="B6" i="1"/>
  <c r="C6" i="1"/>
  <c r="D6" i="1"/>
  <c r="B7" i="1"/>
  <c r="C7" i="1" s="1"/>
  <c r="D7" i="1" s="1"/>
  <c r="B12" i="1"/>
  <c r="C12" i="1" s="1"/>
  <c r="D12" i="1" s="1"/>
  <c r="B13" i="1"/>
  <c r="C13" i="1" s="1"/>
  <c r="D13" i="1" s="1"/>
  <c r="B14" i="1"/>
  <c r="C14" i="1" s="1"/>
  <c r="D14" i="1" s="1"/>
  <c r="B15" i="1"/>
  <c r="C15" i="1" s="1"/>
  <c r="D15" i="1" s="1"/>
  <c r="B16" i="1"/>
  <c r="C16" i="1" s="1"/>
  <c r="D16" i="1" s="1"/>
  <c r="B17" i="1"/>
  <c r="C17" i="1" s="1"/>
  <c r="D17" i="1" s="1"/>
  <c r="B18" i="1"/>
  <c r="C18" i="1" s="1"/>
  <c r="D18" i="1" s="1"/>
  <c r="B19" i="1"/>
  <c r="C19" i="1" s="1"/>
  <c r="D19" i="1" s="1"/>
  <c r="B8" i="1"/>
  <c r="C8" i="1"/>
  <c r="D8" i="1" s="1"/>
  <c r="B9" i="1"/>
  <c r="C9" i="1" s="1"/>
  <c r="D9" i="1" s="1"/>
  <c r="B10" i="1"/>
  <c r="C10" i="1"/>
  <c r="D10" i="1" s="1"/>
  <c r="B11" i="1"/>
  <c r="C11" i="1" s="1"/>
  <c r="D11" i="1" s="1"/>
  <c r="B2" i="1"/>
  <c r="C2" i="1" s="1"/>
  <c r="D2" i="1" s="1"/>
  <c r="H8" i="1" l="1"/>
  <c r="H5" i="1"/>
  <c r="J4" i="1"/>
  <c r="K4" i="1" s="1"/>
  <c r="J13" i="1"/>
  <c r="K13" i="1" s="1"/>
  <c r="H14" i="1"/>
  <c r="J6" i="1"/>
  <c r="K6" i="1" s="1"/>
  <c r="J5" i="1"/>
  <c r="K5" i="1" s="1"/>
  <c r="H106" i="1"/>
  <c r="I112" i="1"/>
  <c r="H108" i="1"/>
  <c r="G104" i="1"/>
  <c r="H100" i="1"/>
  <c r="G96" i="1"/>
  <c r="G88" i="1"/>
  <c r="G80" i="1"/>
  <c r="H76" i="1"/>
  <c r="G72" i="1"/>
  <c r="H68" i="1"/>
  <c r="G64" i="1"/>
  <c r="H60" i="1"/>
  <c r="G56" i="1"/>
  <c r="G52" i="1"/>
  <c r="G48" i="1"/>
  <c r="G44" i="1"/>
  <c r="G45" i="1"/>
  <c r="I111" i="1"/>
  <c r="I107" i="1"/>
  <c r="I99" i="1"/>
  <c r="I95" i="1"/>
  <c r="G91" i="1"/>
  <c r="I87" i="1"/>
  <c r="I79" i="1"/>
  <c r="G75" i="1"/>
  <c r="I67" i="1"/>
  <c r="I63" i="1"/>
  <c r="G59" i="1"/>
  <c r="I55" i="1"/>
  <c r="G51" i="1"/>
  <c r="I47" i="1"/>
  <c r="I43" i="1"/>
  <c r="G61" i="1"/>
  <c r="I52" i="1"/>
  <c r="G92" i="1"/>
  <c r="G60" i="1"/>
  <c r="H112" i="1"/>
  <c r="H96" i="1"/>
  <c r="H52" i="1"/>
  <c r="G107" i="1"/>
  <c r="G83" i="1"/>
  <c r="G43" i="1"/>
  <c r="I103" i="1"/>
  <c r="I91" i="1"/>
  <c r="I83" i="1"/>
  <c r="I71" i="1"/>
  <c r="I59" i="1"/>
  <c r="I51" i="1"/>
  <c r="G106" i="1"/>
  <c r="G98" i="1"/>
  <c r="G90" i="1"/>
  <c r="G82" i="1"/>
  <c r="G74" i="1"/>
  <c r="G66" i="1"/>
  <c r="G58" i="1"/>
  <c r="G50" i="1"/>
  <c r="G42" i="1"/>
  <c r="G41" i="1"/>
  <c r="H111" i="1"/>
  <c r="H107" i="1"/>
  <c r="H99" i="1"/>
  <c r="H95" i="1"/>
  <c r="H91" i="1"/>
  <c r="H87" i="1"/>
  <c r="H79" i="1"/>
  <c r="H75" i="1"/>
  <c r="H67" i="1"/>
  <c r="H63" i="1"/>
  <c r="H59" i="1"/>
  <c r="H55" i="1"/>
  <c r="H51" i="1"/>
  <c r="H47" i="1"/>
  <c r="H43" i="1"/>
  <c r="I96" i="1"/>
  <c r="I44" i="1"/>
  <c r="G108" i="1"/>
  <c r="G84" i="1"/>
  <c r="G68" i="1"/>
  <c r="H104" i="1"/>
  <c r="H92" i="1"/>
  <c r="H84" i="1"/>
  <c r="H80" i="1"/>
  <c r="H72" i="1"/>
  <c r="H64" i="1"/>
  <c r="H44" i="1"/>
  <c r="G99" i="1"/>
  <c r="G67" i="1"/>
  <c r="I75" i="1"/>
  <c r="H41" i="1"/>
  <c r="I110" i="1"/>
  <c r="I106" i="1"/>
  <c r="I102" i="1"/>
  <c r="I98" i="1"/>
  <c r="I94" i="1"/>
  <c r="I90" i="1"/>
  <c r="I86" i="1"/>
  <c r="I82" i="1"/>
  <c r="I78" i="1"/>
  <c r="I74" i="1"/>
  <c r="I70" i="1"/>
  <c r="I66" i="1"/>
  <c r="I62" i="1"/>
  <c r="I58" i="1"/>
  <c r="I54" i="1"/>
  <c r="I50" i="1"/>
  <c r="I46" i="1"/>
  <c r="I42" i="1"/>
  <c r="G112" i="1"/>
  <c r="I108" i="1"/>
  <c r="I104" i="1"/>
  <c r="I100" i="1"/>
  <c r="I88" i="1"/>
  <c r="I80" i="1"/>
  <c r="I76" i="1"/>
  <c r="I72" i="1"/>
  <c r="I68" i="1"/>
  <c r="I64" i="1"/>
  <c r="I60" i="1"/>
  <c r="I56" i="1"/>
  <c r="I48" i="1"/>
  <c r="G100" i="1"/>
  <c r="G76" i="1"/>
  <c r="H88" i="1"/>
  <c r="H56" i="1"/>
  <c r="H48" i="1"/>
  <c r="D171" i="1"/>
  <c r="D163" i="1"/>
  <c r="D155" i="1"/>
  <c r="D147" i="1"/>
  <c r="D139" i="1"/>
  <c r="D131" i="1"/>
  <c r="G113" i="1" s="1"/>
  <c r="D175" i="1"/>
  <c r="D167" i="1"/>
  <c r="D159" i="1"/>
  <c r="D151" i="1"/>
  <c r="D143" i="1"/>
  <c r="D135" i="1"/>
  <c r="D123" i="1"/>
  <c r="G105" i="1" s="1"/>
  <c r="D115" i="1"/>
  <c r="I113" i="1" s="1"/>
  <c r="D127" i="1"/>
  <c r="G109" i="1" s="1"/>
  <c r="D119" i="1"/>
  <c r="G101" i="1" s="1"/>
  <c r="H9" i="1" l="1"/>
  <c r="J9" i="1" s="1"/>
  <c r="K9" i="1" s="1"/>
  <c r="J8" i="1"/>
  <c r="K8" i="1" s="1"/>
  <c r="J14" i="1"/>
  <c r="K14" i="1" s="1"/>
  <c r="H15" i="1"/>
  <c r="H110" i="1"/>
  <c r="G97" i="1"/>
  <c r="J15" i="1" l="1"/>
  <c r="K15" i="1" s="1"/>
  <c r="H16" i="1"/>
  <c r="J16" i="1" l="1"/>
  <c r="K16" i="1" s="1"/>
  <c r="H17" i="1"/>
  <c r="J17" i="1" l="1"/>
  <c r="K17" i="1" s="1"/>
  <c r="H18" i="1"/>
  <c r="J18" i="1" l="1"/>
  <c r="K18" i="1" s="1"/>
  <c r="H19" i="1"/>
  <c r="J19" i="1" s="1"/>
  <c r="K19" i="1" s="1"/>
</calcChain>
</file>

<file path=xl/sharedStrings.xml><?xml version="1.0" encoding="utf-8"?>
<sst xmlns="http://schemas.openxmlformats.org/spreadsheetml/2006/main" count="31" uniqueCount="27">
  <si>
    <t>Częstotliwość [MHz]</t>
  </si>
  <si>
    <t>długość fali [m]</t>
  </si>
  <si>
    <t>predkość światła [m/s]</t>
  </si>
  <si>
    <t>długość fali [cm]</t>
  </si>
  <si>
    <t>długość połowy fali [cm]</t>
  </si>
  <si>
    <t>uwagi</t>
  </si>
  <si>
    <t>GPS L1</t>
  </si>
  <si>
    <t>GPS L2/L5</t>
  </si>
  <si>
    <t>ILS Localizer</t>
  </si>
  <si>
    <t>komunikacja na lotnisku</t>
  </si>
  <si>
    <t>ILS Glide slope</t>
  </si>
  <si>
    <t>TETRA EU</t>
  </si>
  <si>
    <t>% połowy fali</t>
  </si>
  <si>
    <t>Kamery dronów</t>
  </si>
  <si>
    <t>odleglość pomiedzy antenami [cm] - propozycja</t>
  </si>
  <si>
    <t>diff</t>
  </si>
  <si>
    <t>nośna</t>
  </si>
  <si>
    <t>diff 180°</t>
  </si>
  <si>
    <t>diff 90°</t>
  </si>
  <si>
    <t>diff 30°</t>
  </si>
  <si>
    <t>przesunięcie w °</t>
  </si>
  <si>
    <t xml:space="preserve">kolorami oznaczone sa grupy anten </t>
  </si>
  <si>
    <t>żółty druga,</t>
  </si>
  <si>
    <t>zielony trzecia</t>
  </si>
  <si>
    <t>pomarańczowy pierwsza</t>
  </si>
  <si>
    <t>opcjonalnie czerwona czwarta</t>
  </si>
  <si>
    <t>im niższa wartość tym niższa dokładność w szacowaniu kierunku przybycia sygnału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</si>
</sst>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Pomiar</a:t>
            </a:r>
            <a:r>
              <a:rPr lang="pl-PL" baseline="0"/>
              <a:t> fazy fali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3527448229595903E-2"/>
          <c:y val="6.7678325994806623E-2"/>
          <c:w val="0.80475321193008686"/>
          <c:h val="0.78113546977444193"/>
        </c:manualLayout>
      </c:layout>
      <c:lineChart>
        <c:grouping val="standard"/>
        <c:varyColors val="0"/>
        <c:ser>
          <c:idx val="1"/>
          <c:order val="0"/>
          <c:tx>
            <c:strRef>
              <c:f>Obliczenia!$C$40</c:f>
              <c:strCache>
                <c:ptCount val="1"/>
                <c:pt idx="0">
                  <c:v>nośna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Obliczenia!$A$41:$A$113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cat>
          <c:val>
            <c:numRef>
              <c:f>Obliczenia!$C$41:$C$113</c:f>
              <c:numCache>
                <c:formatCode>General</c:formatCode>
                <c:ptCount val="73"/>
                <c:pt idx="0">
                  <c:v>3</c:v>
                </c:pt>
                <c:pt idx="1">
                  <c:v>3.1736481776669305</c:v>
                </c:pt>
                <c:pt idx="2">
                  <c:v>3.3420201433256689</c:v>
                </c:pt>
                <c:pt idx="3">
                  <c:v>3.5</c:v>
                </c:pt>
                <c:pt idx="4">
                  <c:v>3.6427876096865393</c:v>
                </c:pt>
                <c:pt idx="5">
                  <c:v>3.7660444431189779</c:v>
                </c:pt>
                <c:pt idx="6">
                  <c:v>3.8660254037844384</c:v>
                </c:pt>
                <c:pt idx="7">
                  <c:v>3.9396926207859084</c:v>
                </c:pt>
                <c:pt idx="8">
                  <c:v>3.9848077530122081</c:v>
                </c:pt>
                <c:pt idx="9">
                  <c:v>4</c:v>
                </c:pt>
                <c:pt idx="10">
                  <c:v>3.9848077530122081</c:v>
                </c:pt>
                <c:pt idx="11">
                  <c:v>3.9396926207859084</c:v>
                </c:pt>
                <c:pt idx="12">
                  <c:v>3.8660254037844388</c:v>
                </c:pt>
                <c:pt idx="13">
                  <c:v>3.7660444431189779</c:v>
                </c:pt>
                <c:pt idx="14">
                  <c:v>3.6427876096865397</c:v>
                </c:pt>
                <c:pt idx="15">
                  <c:v>3.5</c:v>
                </c:pt>
                <c:pt idx="16">
                  <c:v>3.3420201433256689</c:v>
                </c:pt>
                <c:pt idx="17">
                  <c:v>3.1736481776669301</c:v>
                </c:pt>
                <c:pt idx="18">
                  <c:v>3</c:v>
                </c:pt>
                <c:pt idx="19">
                  <c:v>2.8263518223330695</c:v>
                </c:pt>
                <c:pt idx="20">
                  <c:v>2.6579798566743316</c:v>
                </c:pt>
                <c:pt idx="21">
                  <c:v>2.5</c:v>
                </c:pt>
                <c:pt idx="22">
                  <c:v>2.3572123903134607</c:v>
                </c:pt>
                <c:pt idx="23">
                  <c:v>2.2339555568810221</c:v>
                </c:pt>
                <c:pt idx="24">
                  <c:v>2.1339745962155616</c:v>
                </c:pt>
                <c:pt idx="25">
                  <c:v>2.0603073792140916</c:v>
                </c:pt>
                <c:pt idx="26">
                  <c:v>2.0151922469877919</c:v>
                </c:pt>
                <c:pt idx="27">
                  <c:v>2</c:v>
                </c:pt>
                <c:pt idx="28">
                  <c:v>2.0151922469877919</c:v>
                </c:pt>
                <c:pt idx="29">
                  <c:v>2.0603073792140916</c:v>
                </c:pt>
                <c:pt idx="30">
                  <c:v>2.1339745962155616</c:v>
                </c:pt>
                <c:pt idx="31">
                  <c:v>2.2339555568810221</c:v>
                </c:pt>
                <c:pt idx="32">
                  <c:v>2.3572123903134603</c:v>
                </c:pt>
                <c:pt idx="33">
                  <c:v>2.4999999999999996</c:v>
                </c:pt>
                <c:pt idx="34">
                  <c:v>2.6579798566743316</c:v>
                </c:pt>
                <c:pt idx="35">
                  <c:v>2.8263518223330695</c:v>
                </c:pt>
                <c:pt idx="36">
                  <c:v>2.9999999999999996</c:v>
                </c:pt>
                <c:pt idx="37">
                  <c:v>3.1736481776669301</c:v>
                </c:pt>
                <c:pt idx="38">
                  <c:v>3.3420201433256689</c:v>
                </c:pt>
                <c:pt idx="39">
                  <c:v>3.5</c:v>
                </c:pt>
                <c:pt idx="40">
                  <c:v>3.6427876096865393</c:v>
                </c:pt>
                <c:pt idx="41">
                  <c:v>3.7660444431189779</c:v>
                </c:pt>
                <c:pt idx="42">
                  <c:v>3.8660254037844388</c:v>
                </c:pt>
                <c:pt idx="43">
                  <c:v>3.9396926207859084</c:v>
                </c:pt>
                <c:pt idx="44">
                  <c:v>3.9848077530122081</c:v>
                </c:pt>
                <c:pt idx="45">
                  <c:v>4</c:v>
                </c:pt>
                <c:pt idx="46">
                  <c:v>3.9848077530122081</c:v>
                </c:pt>
                <c:pt idx="47">
                  <c:v>3.9396926207859089</c:v>
                </c:pt>
                <c:pt idx="48">
                  <c:v>3.8660254037844393</c:v>
                </c:pt>
                <c:pt idx="49">
                  <c:v>3.7660444431189775</c:v>
                </c:pt>
                <c:pt idx="50">
                  <c:v>3.6427876096865388</c:v>
                </c:pt>
                <c:pt idx="51">
                  <c:v>3.5</c:v>
                </c:pt>
                <c:pt idx="52">
                  <c:v>3.3420201433256689</c:v>
                </c:pt>
                <c:pt idx="53">
                  <c:v>3.1736481776669305</c:v>
                </c:pt>
                <c:pt idx="54">
                  <c:v>3.0000000000000004</c:v>
                </c:pt>
                <c:pt idx="55">
                  <c:v>2.8263518223330704</c:v>
                </c:pt>
                <c:pt idx="56">
                  <c:v>2.657979856674332</c:v>
                </c:pt>
                <c:pt idx="57">
                  <c:v>2.5000000000000009</c:v>
                </c:pt>
                <c:pt idx="58">
                  <c:v>2.3572123903134603</c:v>
                </c:pt>
                <c:pt idx="59">
                  <c:v>2.2339555568810217</c:v>
                </c:pt>
                <c:pt idx="60">
                  <c:v>2.1339745962155612</c:v>
                </c:pt>
                <c:pt idx="61">
                  <c:v>2.0603073792140916</c:v>
                </c:pt>
                <c:pt idx="62">
                  <c:v>2.0151922469877919</c:v>
                </c:pt>
                <c:pt idx="63">
                  <c:v>2</c:v>
                </c:pt>
                <c:pt idx="64">
                  <c:v>2.0151922469877919</c:v>
                </c:pt>
                <c:pt idx="65">
                  <c:v>2.0603073792140911</c:v>
                </c:pt>
                <c:pt idx="66">
                  <c:v>2.1339745962155607</c:v>
                </c:pt>
                <c:pt idx="67">
                  <c:v>2.2339555568810221</c:v>
                </c:pt>
                <c:pt idx="68">
                  <c:v>2.3572123903134612</c:v>
                </c:pt>
                <c:pt idx="69">
                  <c:v>2.5</c:v>
                </c:pt>
                <c:pt idx="70">
                  <c:v>2.6579798566743311</c:v>
                </c:pt>
                <c:pt idx="71">
                  <c:v>2.8263518223330695</c:v>
                </c:pt>
                <c:pt idx="72">
                  <c:v>2.9999999999999996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Obliczenia!$D$40</c:f>
              <c:strCache>
                <c:ptCount val="1"/>
                <c:pt idx="0">
                  <c:v>nośna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Obliczenia!$A$41:$A$113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cat>
          <c:val>
            <c:numRef>
              <c:f>Obliczenia!$D$41:$D$113</c:f>
              <c:numCache>
                <c:formatCode>General</c:formatCode>
                <c:ptCount val="73"/>
                <c:pt idx="0">
                  <c:v>7</c:v>
                </c:pt>
                <c:pt idx="1">
                  <c:v>7.1736481776669301</c:v>
                </c:pt>
                <c:pt idx="2">
                  <c:v>7.3420201433256684</c:v>
                </c:pt>
                <c:pt idx="3">
                  <c:v>7.5</c:v>
                </c:pt>
                <c:pt idx="4">
                  <c:v>7.6427876096865397</c:v>
                </c:pt>
                <c:pt idx="5">
                  <c:v>7.7660444431189779</c:v>
                </c:pt>
                <c:pt idx="6">
                  <c:v>7.8660254037844384</c:v>
                </c:pt>
                <c:pt idx="7">
                  <c:v>7.939692620785908</c:v>
                </c:pt>
                <c:pt idx="8">
                  <c:v>7.9848077530122081</c:v>
                </c:pt>
                <c:pt idx="9">
                  <c:v>8</c:v>
                </c:pt>
                <c:pt idx="10">
                  <c:v>7.9848077530122081</c:v>
                </c:pt>
                <c:pt idx="11">
                  <c:v>7.9396926207859089</c:v>
                </c:pt>
                <c:pt idx="12">
                  <c:v>7.8660254037844384</c:v>
                </c:pt>
                <c:pt idx="13">
                  <c:v>7.7660444431189779</c:v>
                </c:pt>
                <c:pt idx="14">
                  <c:v>7.6427876096865397</c:v>
                </c:pt>
                <c:pt idx="15">
                  <c:v>7.5</c:v>
                </c:pt>
                <c:pt idx="16">
                  <c:v>7.3420201433256693</c:v>
                </c:pt>
                <c:pt idx="17">
                  <c:v>7.1736481776669301</c:v>
                </c:pt>
                <c:pt idx="18">
                  <c:v>7</c:v>
                </c:pt>
                <c:pt idx="19">
                  <c:v>6.8263518223330699</c:v>
                </c:pt>
                <c:pt idx="20">
                  <c:v>6.6579798566743316</c:v>
                </c:pt>
                <c:pt idx="21">
                  <c:v>6.5</c:v>
                </c:pt>
                <c:pt idx="22">
                  <c:v>6.3572123903134603</c:v>
                </c:pt>
                <c:pt idx="23">
                  <c:v>6.2339555568810221</c:v>
                </c:pt>
                <c:pt idx="24">
                  <c:v>6.1339745962155616</c:v>
                </c:pt>
                <c:pt idx="25">
                  <c:v>6.0603073792140911</c:v>
                </c:pt>
                <c:pt idx="26">
                  <c:v>6.0151922469877919</c:v>
                </c:pt>
                <c:pt idx="27">
                  <c:v>6</c:v>
                </c:pt>
                <c:pt idx="28">
                  <c:v>6.0151922469877919</c:v>
                </c:pt>
                <c:pt idx="29">
                  <c:v>6.060307379214092</c:v>
                </c:pt>
                <c:pt idx="30">
                  <c:v>6.1339745962155616</c:v>
                </c:pt>
                <c:pt idx="31">
                  <c:v>6.2339555568810221</c:v>
                </c:pt>
                <c:pt idx="32">
                  <c:v>6.3572123903134603</c:v>
                </c:pt>
                <c:pt idx="33">
                  <c:v>6.5</c:v>
                </c:pt>
                <c:pt idx="34">
                  <c:v>6.6579798566743316</c:v>
                </c:pt>
                <c:pt idx="35">
                  <c:v>6.8263518223330699</c:v>
                </c:pt>
                <c:pt idx="36">
                  <c:v>7</c:v>
                </c:pt>
                <c:pt idx="37">
                  <c:v>7.1736481776669301</c:v>
                </c:pt>
                <c:pt idx="38">
                  <c:v>7.3420201433256693</c:v>
                </c:pt>
                <c:pt idx="39">
                  <c:v>7.5</c:v>
                </c:pt>
                <c:pt idx="40">
                  <c:v>7.6427876096865388</c:v>
                </c:pt>
                <c:pt idx="41">
                  <c:v>7.7660444431189779</c:v>
                </c:pt>
                <c:pt idx="42">
                  <c:v>7.8660254037844393</c:v>
                </c:pt>
                <c:pt idx="43">
                  <c:v>7.9396926207859089</c:v>
                </c:pt>
                <c:pt idx="44">
                  <c:v>7.9848077530122081</c:v>
                </c:pt>
                <c:pt idx="45">
                  <c:v>8</c:v>
                </c:pt>
                <c:pt idx="46">
                  <c:v>7.9848077530122081</c:v>
                </c:pt>
                <c:pt idx="47">
                  <c:v>7.9396926207859089</c:v>
                </c:pt>
                <c:pt idx="48">
                  <c:v>7.8660254037844393</c:v>
                </c:pt>
                <c:pt idx="49">
                  <c:v>7.7660444431189779</c:v>
                </c:pt>
                <c:pt idx="50">
                  <c:v>7.6427876096865388</c:v>
                </c:pt>
                <c:pt idx="51">
                  <c:v>7.5</c:v>
                </c:pt>
                <c:pt idx="52">
                  <c:v>7.3420201433256684</c:v>
                </c:pt>
                <c:pt idx="53">
                  <c:v>7.1736481776669301</c:v>
                </c:pt>
                <c:pt idx="54">
                  <c:v>7</c:v>
                </c:pt>
                <c:pt idx="55">
                  <c:v>6.8263518223330699</c:v>
                </c:pt>
                <c:pt idx="56">
                  <c:v>6.6579798566743325</c:v>
                </c:pt>
                <c:pt idx="57">
                  <c:v>6.5000000000000009</c:v>
                </c:pt>
                <c:pt idx="58">
                  <c:v>6.3572123903134603</c:v>
                </c:pt>
                <c:pt idx="59">
                  <c:v>6.2339555568810221</c:v>
                </c:pt>
                <c:pt idx="60">
                  <c:v>6.1339745962155616</c:v>
                </c:pt>
                <c:pt idx="61">
                  <c:v>6.0603073792140911</c:v>
                </c:pt>
                <c:pt idx="62">
                  <c:v>6.0151922469877919</c:v>
                </c:pt>
                <c:pt idx="63">
                  <c:v>6</c:v>
                </c:pt>
                <c:pt idx="64">
                  <c:v>6.0151922469877919</c:v>
                </c:pt>
                <c:pt idx="65">
                  <c:v>6.0603073792140911</c:v>
                </c:pt>
                <c:pt idx="66">
                  <c:v>6.1339745962155607</c:v>
                </c:pt>
                <c:pt idx="67">
                  <c:v>6.2339555568810221</c:v>
                </c:pt>
                <c:pt idx="68">
                  <c:v>6.3572123903134612</c:v>
                </c:pt>
                <c:pt idx="69">
                  <c:v>6.5</c:v>
                </c:pt>
                <c:pt idx="70">
                  <c:v>6.6579798566743316</c:v>
                </c:pt>
                <c:pt idx="71">
                  <c:v>6.826351822333069</c:v>
                </c:pt>
                <c:pt idx="72">
                  <c:v>6.9999999999999991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671944"/>
        <c:axId val="43967429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Obliczenia!$G$40</c15:sqref>
                        </c15:formulaRef>
                      </c:ext>
                    </c:extLst>
                    <c:strCache>
                      <c:ptCount val="1"/>
                      <c:pt idx="0">
                        <c:v>diff 180°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Obliczenia!$A$41:$A$113</c15:sqref>
                        </c15:formulaRef>
                      </c:ext>
                    </c:extLst>
                    <c:numCache>
                      <c:formatCode>General</c:formatCode>
                      <c:ptCount val="73"/>
                      <c:pt idx="0">
                        <c:v>0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  <c:pt idx="7">
                        <c:v>70</c:v>
                      </c:pt>
                      <c:pt idx="8">
                        <c:v>80</c:v>
                      </c:pt>
                      <c:pt idx="9">
                        <c:v>90</c:v>
                      </c:pt>
                      <c:pt idx="10">
                        <c:v>100</c:v>
                      </c:pt>
                      <c:pt idx="11">
                        <c:v>110</c:v>
                      </c:pt>
                      <c:pt idx="12">
                        <c:v>120</c:v>
                      </c:pt>
                      <c:pt idx="13">
                        <c:v>130</c:v>
                      </c:pt>
                      <c:pt idx="14">
                        <c:v>140</c:v>
                      </c:pt>
                      <c:pt idx="15">
                        <c:v>150</c:v>
                      </c:pt>
                      <c:pt idx="16">
                        <c:v>160</c:v>
                      </c:pt>
                      <c:pt idx="17">
                        <c:v>170</c:v>
                      </c:pt>
                      <c:pt idx="18">
                        <c:v>180</c:v>
                      </c:pt>
                      <c:pt idx="19">
                        <c:v>190</c:v>
                      </c:pt>
                      <c:pt idx="20">
                        <c:v>200</c:v>
                      </c:pt>
                      <c:pt idx="21">
                        <c:v>210</c:v>
                      </c:pt>
                      <c:pt idx="22">
                        <c:v>220</c:v>
                      </c:pt>
                      <c:pt idx="23">
                        <c:v>230</c:v>
                      </c:pt>
                      <c:pt idx="24">
                        <c:v>240</c:v>
                      </c:pt>
                      <c:pt idx="25">
                        <c:v>250</c:v>
                      </c:pt>
                      <c:pt idx="26">
                        <c:v>260</c:v>
                      </c:pt>
                      <c:pt idx="27">
                        <c:v>270</c:v>
                      </c:pt>
                      <c:pt idx="28">
                        <c:v>280</c:v>
                      </c:pt>
                      <c:pt idx="29">
                        <c:v>290</c:v>
                      </c:pt>
                      <c:pt idx="30">
                        <c:v>300</c:v>
                      </c:pt>
                      <c:pt idx="31">
                        <c:v>310</c:v>
                      </c:pt>
                      <c:pt idx="32">
                        <c:v>320</c:v>
                      </c:pt>
                      <c:pt idx="33">
                        <c:v>330</c:v>
                      </c:pt>
                      <c:pt idx="34">
                        <c:v>340</c:v>
                      </c:pt>
                      <c:pt idx="35">
                        <c:v>350</c:v>
                      </c:pt>
                      <c:pt idx="36">
                        <c:v>360</c:v>
                      </c:pt>
                      <c:pt idx="37">
                        <c:v>370</c:v>
                      </c:pt>
                      <c:pt idx="38">
                        <c:v>380</c:v>
                      </c:pt>
                      <c:pt idx="39">
                        <c:v>390</c:v>
                      </c:pt>
                      <c:pt idx="40">
                        <c:v>400</c:v>
                      </c:pt>
                      <c:pt idx="41">
                        <c:v>410</c:v>
                      </c:pt>
                      <c:pt idx="42">
                        <c:v>420</c:v>
                      </c:pt>
                      <c:pt idx="43">
                        <c:v>430</c:v>
                      </c:pt>
                      <c:pt idx="44">
                        <c:v>440</c:v>
                      </c:pt>
                      <c:pt idx="45">
                        <c:v>450</c:v>
                      </c:pt>
                      <c:pt idx="46">
                        <c:v>460</c:v>
                      </c:pt>
                      <c:pt idx="47">
                        <c:v>470</c:v>
                      </c:pt>
                      <c:pt idx="48">
                        <c:v>480</c:v>
                      </c:pt>
                      <c:pt idx="49">
                        <c:v>490</c:v>
                      </c:pt>
                      <c:pt idx="50">
                        <c:v>500</c:v>
                      </c:pt>
                      <c:pt idx="51">
                        <c:v>510</c:v>
                      </c:pt>
                      <c:pt idx="52">
                        <c:v>520</c:v>
                      </c:pt>
                      <c:pt idx="53">
                        <c:v>530</c:v>
                      </c:pt>
                      <c:pt idx="54">
                        <c:v>540</c:v>
                      </c:pt>
                      <c:pt idx="55">
                        <c:v>550</c:v>
                      </c:pt>
                      <c:pt idx="56">
                        <c:v>560</c:v>
                      </c:pt>
                      <c:pt idx="57">
                        <c:v>570</c:v>
                      </c:pt>
                      <c:pt idx="58">
                        <c:v>580</c:v>
                      </c:pt>
                      <c:pt idx="59">
                        <c:v>590</c:v>
                      </c:pt>
                      <c:pt idx="60">
                        <c:v>600</c:v>
                      </c:pt>
                      <c:pt idx="61">
                        <c:v>610</c:v>
                      </c:pt>
                      <c:pt idx="62">
                        <c:v>620</c:v>
                      </c:pt>
                      <c:pt idx="63">
                        <c:v>630</c:v>
                      </c:pt>
                      <c:pt idx="64">
                        <c:v>640</c:v>
                      </c:pt>
                      <c:pt idx="65">
                        <c:v>650</c:v>
                      </c:pt>
                      <c:pt idx="66">
                        <c:v>660</c:v>
                      </c:pt>
                      <c:pt idx="67">
                        <c:v>670</c:v>
                      </c:pt>
                      <c:pt idx="68">
                        <c:v>680</c:v>
                      </c:pt>
                      <c:pt idx="69">
                        <c:v>690</c:v>
                      </c:pt>
                      <c:pt idx="70">
                        <c:v>700</c:v>
                      </c:pt>
                      <c:pt idx="71">
                        <c:v>710</c:v>
                      </c:pt>
                      <c:pt idx="72">
                        <c:v>720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Obliczenia!$G$41:$G$113</c15:sqref>
                        </c15:formulaRef>
                      </c:ext>
                    </c:extLst>
                    <c:numCache>
                      <c:formatCode>General</c:formatCode>
                      <c:ptCount val="73"/>
                      <c:pt idx="0">
                        <c:v>0</c:v>
                      </c:pt>
                      <c:pt idx="1">
                        <c:v>0.34729635533386061</c:v>
                      </c:pt>
                      <c:pt idx="2">
                        <c:v>0.68404028665133731</c:v>
                      </c:pt>
                      <c:pt idx="3">
                        <c:v>1</c:v>
                      </c:pt>
                      <c:pt idx="4">
                        <c:v>1.2855752193730789</c:v>
                      </c:pt>
                      <c:pt idx="5">
                        <c:v>1.5320888862379558</c:v>
                      </c:pt>
                      <c:pt idx="6">
                        <c:v>1.7320508075688767</c:v>
                      </c:pt>
                      <c:pt idx="7">
                        <c:v>1.8793852415718173</c:v>
                      </c:pt>
                      <c:pt idx="8">
                        <c:v>1.9696155060244163</c:v>
                      </c:pt>
                      <c:pt idx="9">
                        <c:v>2</c:v>
                      </c:pt>
                      <c:pt idx="10">
                        <c:v>1.9696155060244163</c:v>
                      </c:pt>
                      <c:pt idx="11">
                        <c:v>1.8793852415718164</c:v>
                      </c:pt>
                      <c:pt idx="12">
                        <c:v>1.7320508075688772</c:v>
                      </c:pt>
                      <c:pt idx="13">
                        <c:v>1.5320888862379558</c:v>
                      </c:pt>
                      <c:pt idx="14">
                        <c:v>1.2855752193730794</c:v>
                      </c:pt>
                      <c:pt idx="15">
                        <c:v>1</c:v>
                      </c:pt>
                      <c:pt idx="16">
                        <c:v>0.68404028665133731</c:v>
                      </c:pt>
                      <c:pt idx="17">
                        <c:v>0.34729635533386016</c:v>
                      </c:pt>
                      <c:pt idx="18">
                        <c:v>0</c:v>
                      </c:pt>
                      <c:pt idx="19">
                        <c:v>-0.34729635533386061</c:v>
                      </c:pt>
                      <c:pt idx="20">
                        <c:v>-0.68404028665133776</c:v>
                      </c:pt>
                      <c:pt idx="21">
                        <c:v>-1</c:v>
                      </c:pt>
                      <c:pt idx="22">
                        <c:v>-1.2855752193730781</c:v>
                      </c:pt>
                      <c:pt idx="23">
                        <c:v>-1.5320888862379558</c:v>
                      </c:pt>
                      <c:pt idx="24">
                        <c:v>-1.7320508075688776</c:v>
                      </c:pt>
                      <c:pt idx="25">
                        <c:v>-1.8793852415718173</c:v>
                      </c:pt>
                      <c:pt idx="26">
                        <c:v>-1.9696155060244163</c:v>
                      </c:pt>
                      <c:pt idx="27">
                        <c:v>-2</c:v>
                      </c:pt>
                      <c:pt idx="28">
                        <c:v>-1.9696155060244163</c:v>
                      </c:pt>
                      <c:pt idx="29">
                        <c:v>-1.8793852415718173</c:v>
                      </c:pt>
                      <c:pt idx="30">
                        <c:v>-1.7320508075688776</c:v>
                      </c:pt>
                      <c:pt idx="31">
                        <c:v>-1.5320888862379558</c:v>
                      </c:pt>
                      <c:pt idx="32">
                        <c:v>-1.2855752193730785</c:v>
                      </c:pt>
                      <c:pt idx="33">
                        <c:v>-1.0000000000000004</c:v>
                      </c:pt>
                      <c:pt idx="34">
                        <c:v>-0.68404028665133687</c:v>
                      </c:pt>
                      <c:pt idx="35">
                        <c:v>-0.34729635533386061</c:v>
                      </c:pt>
                      <c:pt idx="36">
                        <c:v>-4.4408920985006262E-16</c:v>
                      </c:pt>
                      <c:pt idx="37">
                        <c:v>0.34729635533386016</c:v>
                      </c:pt>
                      <c:pt idx="38">
                        <c:v>0.68404028665133643</c:v>
                      </c:pt>
                      <c:pt idx="39">
                        <c:v>0.99999999999999911</c:v>
                      </c:pt>
                      <c:pt idx="40">
                        <c:v>1.2855752193730789</c:v>
                      </c:pt>
                      <c:pt idx="41">
                        <c:v>1.5320888862379558</c:v>
                      </c:pt>
                      <c:pt idx="42">
                        <c:v>1.7320508075688772</c:v>
                      </c:pt>
                      <c:pt idx="43">
                        <c:v>1.8793852415718173</c:v>
                      </c:pt>
                      <c:pt idx="44">
                        <c:v>1.9696155060244163</c:v>
                      </c:pt>
                      <c:pt idx="45">
                        <c:v>2</c:v>
                      </c:pt>
                      <c:pt idx="46">
                        <c:v>1.9696155060244163</c:v>
                      </c:pt>
                      <c:pt idx="47">
                        <c:v>1.8793852415718177</c:v>
                      </c:pt>
                      <c:pt idx="48">
                        <c:v>1.7320508075688785</c:v>
                      </c:pt>
                      <c:pt idx="49">
                        <c:v>1.5320888862379554</c:v>
                      </c:pt>
                      <c:pt idx="50">
                        <c:v>1.2855752193730776</c:v>
                      </c:pt>
                      <c:pt idx="51">
                        <c:v>1</c:v>
                      </c:pt>
                      <c:pt idx="52">
                        <c:v>0.68404028665133731</c:v>
                      </c:pt>
                      <c:pt idx="53">
                        <c:v>0.3472963553338615</c:v>
                      </c:pt>
                      <c:pt idx="54">
                        <c:v>1.3322676295501878E-15</c:v>
                      </c:pt>
                      <c:pt idx="55">
                        <c:v>-0.34729635533385972</c:v>
                      </c:pt>
                      <c:pt idx="56">
                        <c:v>-0.68404028665133554</c:v>
                      </c:pt>
                      <c:pt idx="57">
                        <c:v>-0.99999999999999822</c:v>
                      </c:pt>
                      <c:pt idx="58">
                        <c:v>-1.2855752193730794</c:v>
                      </c:pt>
                      <c:pt idx="59">
                        <c:v>-1.5320888862379562</c:v>
                      </c:pt>
                      <c:pt idx="60">
                        <c:v>-1.7320508075688772</c:v>
                      </c:pt>
                      <c:pt idx="61">
                        <c:v>-1.8793852415718164</c:v>
                      </c:pt>
                      <c:pt idx="62">
                        <c:v>-1.9696155060244163</c:v>
                      </c:pt>
                      <c:pt idx="63">
                        <c:v>-2</c:v>
                      </c:pt>
                      <c:pt idx="64">
                        <c:v>-1.9696155060244163</c:v>
                      </c:pt>
                      <c:pt idx="65">
                        <c:v>-1.8793852415718177</c:v>
                      </c:pt>
                      <c:pt idx="66">
                        <c:v>-1.7320508075688776</c:v>
                      </c:pt>
                      <c:pt idx="67">
                        <c:v>-1.5320888862379558</c:v>
                      </c:pt>
                      <c:pt idx="68">
                        <c:v>-1.2855752193730776</c:v>
                      </c:pt>
                      <c:pt idx="69">
                        <c:v>-1</c:v>
                      </c:pt>
                      <c:pt idx="70">
                        <c:v>-0.6840402866513382</c:v>
                      </c:pt>
                      <c:pt idx="71">
                        <c:v>-0.3472963553338615</c:v>
                      </c:pt>
                      <c:pt idx="72">
                        <c:v>-1.3322676295501878E-15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Obliczenia!$H$40</c15:sqref>
                        </c15:formulaRef>
                      </c:ext>
                    </c:extLst>
                    <c:strCache>
                      <c:ptCount val="1"/>
                      <c:pt idx="0">
                        <c:v>diff 90°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Obliczenia!$H$41:$H$113</c15:sqref>
                        </c15:formulaRef>
                      </c:ext>
                    </c:extLst>
                    <c:numCache>
                      <c:formatCode>General</c:formatCode>
                      <c:ptCount val="73"/>
                      <c:pt idx="0">
                        <c:v>-1</c:v>
                      </c:pt>
                      <c:pt idx="1">
                        <c:v>-0.81115957534527761</c:v>
                      </c:pt>
                      <c:pt idx="2">
                        <c:v>-0.59767247746023999</c:v>
                      </c:pt>
                      <c:pt idx="3">
                        <c:v>-0.36602540378443837</c:v>
                      </c:pt>
                      <c:pt idx="4">
                        <c:v>-0.12325683343243865</c:v>
                      </c:pt>
                      <c:pt idx="5">
                        <c:v>0.12325683343243821</c:v>
                      </c:pt>
                      <c:pt idx="6">
                        <c:v>0.36602540378443837</c:v>
                      </c:pt>
                      <c:pt idx="7">
                        <c:v>0.5976724774602391</c:v>
                      </c:pt>
                      <c:pt idx="8">
                        <c:v>0.81115957534527805</c:v>
                      </c:pt>
                      <c:pt idx="9">
                        <c:v>1</c:v>
                      </c:pt>
                      <c:pt idx="10">
                        <c:v>1.1584559306791382</c:v>
                      </c:pt>
                      <c:pt idx="11">
                        <c:v>1.2817127641115769</c:v>
                      </c:pt>
                      <c:pt idx="12">
                        <c:v>1.3660254037844388</c:v>
                      </c:pt>
                      <c:pt idx="13">
                        <c:v>1.4088320528055176</c:v>
                      </c:pt>
                      <c:pt idx="14">
                        <c:v>1.4088320528055176</c:v>
                      </c:pt>
                      <c:pt idx="15">
                        <c:v>1.3660254037844384</c:v>
                      </c:pt>
                      <c:pt idx="16">
                        <c:v>1.2817127641115778</c:v>
                      </c:pt>
                      <c:pt idx="17">
                        <c:v>1.1584559306791382</c:v>
                      </c:pt>
                      <c:pt idx="18">
                        <c:v>1</c:v>
                      </c:pt>
                      <c:pt idx="19">
                        <c:v>0.81115957534527761</c:v>
                      </c:pt>
                      <c:pt idx="20">
                        <c:v>0.59767247746023955</c:v>
                      </c:pt>
                      <c:pt idx="21">
                        <c:v>0.36602540378443837</c:v>
                      </c:pt>
                      <c:pt idx="22">
                        <c:v>0.12325683343243865</c:v>
                      </c:pt>
                      <c:pt idx="23">
                        <c:v>-0.12325683343243821</c:v>
                      </c:pt>
                      <c:pt idx="24">
                        <c:v>-0.36602540378443837</c:v>
                      </c:pt>
                      <c:pt idx="25">
                        <c:v>-0.59767247746023999</c:v>
                      </c:pt>
                      <c:pt idx="26">
                        <c:v>-0.81115957534527805</c:v>
                      </c:pt>
                      <c:pt idx="27">
                        <c:v>-1</c:v>
                      </c:pt>
                      <c:pt idx="28">
                        <c:v>-1.1584559306791382</c:v>
                      </c:pt>
                      <c:pt idx="29">
                        <c:v>-1.2817127641115778</c:v>
                      </c:pt>
                      <c:pt idx="30">
                        <c:v>-1.3660254037844384</c:v>
                      </c:pt>
                      <c:pt idx="31">
                        <c:v>-1.4088320528055167</c:v>
                      </c:pt>
                      <c:pt idx="32">
                        <c:v>-1.4088320528055176</c:v>
                      </c:pt>
                      <c:pt idx="33">
                        <c:v>-1.3660254037844397</c:v>
                      </c:pt>
                      <c:pt idx="34">
                        <c:v>-1.2817127641115773</c:v>
                      </c:pt>
                      <c:pt idx="35">
                        <c:v>-1.1584559306791387</c:v>
                      </c:pt>
                      <c:pt idx="36">
                        <c:v>-1.0000000000000004</c:v>
                      </c:pt>
                      <c:pt idx="37">
                        <c:v>-0.81115957534527805</c:v>
                      </c:pt>
                      <c:pt idx="38">
                        <c:v>-0.59767247746023999</c:v>
                      </c:pt>
                      <c:pt idx="39">
                        <c:v>-0.36602540378443926</c:v>
                      </c:pt>
                      <c:pt idx="40">
                        <c:v>-0.12325683343243865</c:v>
                      </c:pt>
                      <c:pt idx="41">
                        <c:v>0.12325683343243909</c:v>
                      </c:pt>
                      <c:pt idx="42">
                        <c:v>0.36602540378443882</c:v>
                      </c:pt>
                      <c:pt idx="43">
                        <c:v>0.59767247746023999</c:v>
                      </c:pt>
                      <c:pt idx="44">
                        <c:v>0.81115957534527805</c:v>
                      </c:pt>
                      <c:pt idx="45">
                        <c:v>1</c:v>
                      </c:pt>
                      <c:pt idx="46">
                        <c:v>1.1584559306791382</c:v>
                      </c:pt>
                      <c:pt idx="47">
                        <c:v>1.2817127641115764</c:v>
                      </c:pt>
                      <c:pt idx="48">
                        <c:v>1.3660254037844384</c:v>
                      </c:pt>
                      <c:pt idx="49">
                        <c:v>1.4088320528055172</c:v>
                      </c:pt>
                      <c:pt idx="50">
                        <c:v>1.4088320528055167</c:v>
                      </c:pt>
                      <c:pt idx="51">
                        <c:v>1.3660254037844384</c:v>
                      </c:pt>
                      <c:pt idx="52">
                        <c:v>1.2817127641115778</c:v>
                      </c:pt>
                      <c:pt idx="53">
                        <c:v>1.1584559306791387</c:v>
                      </c:pt>
                      <c:pt idx="54">
                        <c:v>1.0000000000000004</c:v>
                      </c:pt>
                      <c:pt idx="55">
                        <c:v>0.81115957534527849</c:v>
                      </c:pt>
                      <c:pt idx="56">
                        <c:v>0.59767247746024088</c:v>
                      </c:pt>
                      <c:pt idx="57">
                        <c:v>0.36602540378444015</c:v>
                      </c:pt>
                      <c:pt idx="58">
                        <c:v>0.12325683343243821</c:v>
                      </c:pt>
                      <c:pt idx="59">
                        <c:v>-0.12325683343243954</c:v>
                      </c:pt>
                      <c:pt idx="60">
                        <c:v>-0.36602540378443882</c:v>
                      </c:pt>
                      <c:pt idx="61">
                        <c:v>-0.59767247746023999</c:v>
                      </c:pt>
                      <c:pt idx="62">
                        <c:v>-0.81115957534527716</c:v>
                      </c:pt>
                      <c:pt idx="63">
                        <c:v>-0.99999999999999911</c:v>
                      </c:pt>
                      <c:pt idx="64">
                        <c:v>-1.1584559306791382</c:v>
                      </c:pt>
                      <c:pt idx="65">
                        <c:v>-1.2817127641115764</c:v>
                      </c:pt>
                      <c:pt idx="66">
                        <c:v>-1.3660254037844384</c:v>
                      </c:pt>
                      <c:pt idx="67">
                        <c:v>-1.4088320528055176</c:v>
                      </c:pt>
                      <c:pt idx="68">
                        <c:v>-1.4088320528055167</c:v>
                      </c:pt>
                      <c:pt idx="69">
                        <c:v>-1.3660254037844384</c:v>
                      </c:pt>
                      <c:pt idx="70">
                        <c:v>-1.2817127641115769</c:v>
                      </c:pt>
                      <c:pt idx="71">
                        <c:v>-1.1584559306791387</c:v>
                      </c:pt>
                      <c:pt idx="72">
                        <c:v>-1.0000000000000004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Obliczenia!$I$40</c15:sqref>
                        </c15:formulaRef>
                      </c:ext>
                    </c:extLst>
                    <c:strCache>
                      <c:ptCount val="1"/>
                      <c:pt idx="0">
                        <c:v>diff 30°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Obliczenia!$I$41:$I$113</c15:sqref>
                        </c15:formulaRef>
                      </c:ext>
                    </c:extLst>
                    <c:numCache>
                      <c:formatCode>General</c:formatCode>
                      <c:ptCount val="73"/>
                      <c:pt idx="0">
                        <c:v>-0.34202014332566844</c:v>
                      </c:pt>
                      <c:pt idx="1">
                        <c:v>-0.32635182233306947</c:v>
                      </c:pt>
                      <c:pt idx="2">
                        <c:v>-0.30076746636087082</c:v>
                      </c:pt>
                      <c:pt idx="3">
                        <c:v>-0.2660444431189779</c:v>
                      </c:pt>
                      <c:pt idx="4">
                        <c:v>-0.22323779409789912</c:v>
                      </c:pt>
                      <c:pt idx="5">
                        <c:v>-0.17364817766693008</c:v>
                      </c:pt>
                      <c:pt idx="6">
                        <c:v>-0.11878234922776976</c:v>
                      </c:pt>
                      <c:pt idx="7">
                        <c:v>-6.0307379214091572E-2</c:v>
                      </c:pt>
                      <c:pt idx="8">
                        <c:v>0</c:v>
                      </c:pt>
                      <c:pt idx="9">
                        <c:v>6.0307379214091128E-2</c:v>
                      </c:pt>
                      <c:pt idx="10">
                        <c:v>0.11878234922776976</c:v>
                      </c:pt>
                      <c:pt idx="11">
                        <c:v>0.17364817766693053</c:v>
                      </c:pt>
                      <c:pt idx="12">
                        <c:v>0.22323779409789912</c:v>
                      </c:pt>
                      <c:pt idx="13">
                        <c:v>0.2660444431189779</c:v>
                      </c:pt>
                      <c:pt idx="14">
                        <c:v>0.30076746636087037</c:v>
                      </c:pt>
                      <c:pt idx="15">
                        <c:v>0.32635182233306992</c:v>
                      </c:pt>
                      <c:pt idx="16">
                        <c:v>0.34202014332566888</c:v>
                      </c:pt>
                      <c:pt idx="17">
                        <c:v>0.34729635533386016</c:v>
                      </c:pt>
                      <c:pt idx="18">
                        <c:v>0.34202014332566844</c:v>
                      </c:pt>
                      <c:pt idx="19">
                        <c:v>0.32635182233306947</c:v>
                      </c:pt>
                      <c:pt idx="20">
                        <c:v>0.30076746636087126</c:v>
                      </c:pt>
                      <c:pt idx="21">
                        <c:v>0.2660444431189779</c:v>
                      </c:pt>
                      <c:pt idx="22">
                        <c:v>0.22323779409789912</c:v>
                      </c:pt>
                      <c:pt idx="23">
                        <c:v>0.17364817766693097</c:v>
                      </c:pt>
                      <c:pt idx="24">
                        <c:v>0.11878234922776976</c:v>
                      </c:pt>
                      <c:pt idx="25">
                        <c:v>6.0307379214091572E-2</c:v>
                      </c:pt>
                      <c:pt idx="26">
                        <c:v>0</c:v>
                      </c:pt>
                      <c:pt idx="27">
                        <c:v>-6.0307379214092016E-2</c:v>
                      </c:pt>
                      <c:pt idx="28">
                        <c:v>-0.11878234922776976</c:v>
                      </c:pt>
                      <c:pt idx="29">
                        <c:v>-0.17364817766693053</c:v>
                      </c:pt>
                      <c:pt idx="30">
                        <c:v>-0.22323779409789868</c:v>
                      </c:pt>
                      <c:pt idx="31">
                        <c:v>-0.2660444431189779</c:v>
                      </c:pt>
                      <c:pt idx="32">
                        <c:v>-0.30076746636087126</c:v>
                      </c:pt>
                      <c:pt idx="33">
                        <c:v>-0.32635182233307036</c:v>
                      </c:pt>
                      <c:pt idx="34">
                        <c:v>-0.34202014332566844</c:v>
                      </c:pt>
                      <c:pt idx="35">
                        <c:v>-0.34729635533386061</c:v>
                      </c:pt>
                      <c:pt idx="36">
                        <c:v>-0.34202014332566977</c:v>
                      </c:pt>
                      <c:pt idx="37">
                        <c:v>-0.32635182233306992</c:v>
                      </c:pt>
                      <c:pt idx="38">
                        <c:v>-0.30076746636086993</c:v>
                      </c:pt>
                      <c:pt idx="39">
                        <c:v>-0.2660444431189779</c:v>
                      </c:pt>
                      <c:pt idx="40">
                        <c:v>-0.22323779409790001</c:v>
                      </c:pt>
                      <c:pt idx="41">
                        <c:v>-0.17364817766693097</c:v>
                      </c:pt>
                      <c:pt idx="42">
                        <c:v>-0.11878234922776931</c:v>
                      </c:pt>
                      <c:pt idx="43">
                        <c:v>-6.0307379214091572E-2</c:v>
                      </c:pt>
                      <c:pt idx="44">
                        <c:v>0</c:v>
                      </c:pt>
                      <c:pt idx="45">
                        <c:v>6.0307379214091128E-2</c:v>
                      </c:pt>
                      <c:pt idx="46">
                        <c:v>0.11878234922776887</c:v>
                      </c:pt>
                      <c:pt idx="47">
                        <c:v>0.17364817766693097</c:v>
                      </c:pt>
                      <c:pt idx="48">
                        <c:v>0.22323779409790045</c:v>
                      </c:pt>
                      <c:pt idx="49">
                        <c:v>0.26604444311897746</c:v>
                      </c:pt>
                      <c:pt idx="50">
                        <c:v>0.30076746636087037</c:v>
                      </c:pt>
                      <c:pt idx="51">
                        <c:v>0.32635182233306992</c:v>
                      </c:pt>
                      <c:pt idx="52">
                        <c:v>0.34202014332566888</c:v>
                      </c:pt>
                      <c:pt idx="53">
                        <c:v>0.34729635533386061</c:v>
                      </c:pt>
                      <c:pt idx="54">
                        <c:v>0.34202014332566799</c:v>
                      </c:pt>
                      <c:pt idx="55">
                        <c:v>0.32635182233306947</c:v>
                      </c:pt>
                      <c:pt idx="56">
                        <c:v>0.3007674663608717</c:v>
                      </c:pt>
                      <c:pt idx="57">
                        <c:v>0.26604444311897879</c:v>
                      </c:pt>
                      <c:pt idx="58">
                        <c:v>0.22323779409789868</c:v>
                      </c:pt>
                      <c:pt idx="59">
                        <c:v>0.17364817766693053</c:v>
                      </c:pt>
                      <c:pt idx="60">
                        <c:v>0.11878234922776931</c:v>
                      </c:pt>
                      <c:pt idx="61">
                        <c:v>6.0307379214091572E-2</c:v>
                      </c:pt>
                      <c:pt idx="62">
                        <c:v>0</c:v>
                      </c:pt>
                      <c:pt idx="63">
                        <c:v>-6.0307379214091128E-2</c:v>
                      </c:pt>
                      <c:pt idx="64">
                        <c:v>-0.11878234922776887</c:v>
                      </c:pt>
                      <c:pt idx="65">
                        <c:v>-0.17364817766693097</c:v>
                      </c:pt>
                      <c:pt idx="66">
                        <c:v>-0.22323779409790045</c:v>
                      </c:pt>
                      <c:pt idx="67">
                        <c:v>-0.2660444431189779</c:v>
                      </c:pt>
                      <c:pt idx="68">
                        <c:v>-0.30076746636087037</c:v>
                      </c:pt>
                      <c:pt idx="69">
                        <c:v>-0.32635182233306903</c:v>
                      </c:pt>
                      <c:pt idx="70">
                        <c:v>-0.34202014332566799</c:v>
                      </c:pt>
                      <c:pt idx="71">
                        <c:v>-0.34729635533386061</c:v>
                      </c:pt>
                      <c:pt idx="72">
                        <c:v>-0.34202014332566799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439671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9674296"/>
        <c:crosses val="autoZero"/>
        <c:auto val="1"/>
        <c:lblAlgn val="ctr"/>
        <c:lblOffset val="100"/>
        <c:tickMarkSkip val="30"/>
        <c:noMultiLvlLbl val="0"/>
      </c:catAx>
      <c:valAx>
        <c:axId val="43967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9671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71436</xdr:colOff>
      <xdr:row>4</xdr:row>
      <xdr:rowOff>66674</xdr:rowOff>
    </xdr:from>
    <xdr:to>
      <xdr:col>22</xdr:col>
      <xdr:colOff>123825</xdr:colOff>
      <xdr:row>22</xdr:row>
      <xdr:rowOff>28575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400050</xdr:colOff>
      <xdr:row>4</xdr:row>
      <xdr:rowOff>85725</xdr:rowOff>
    </xdr:from>
    <xdr:to>
      <xdr:col>13</xdr:col>
      <xdr:colOff>57150</xdr:colOff>
      <xdr:row>6</xdr:row>
      <xdr:rowOff>180975</xdr:rowOff>
    </xdr:to>
    <xdr:grpSp>
      <xdr:nvGrpSpPr>
        <xdr:cNvPr id="6" name="Grupa 5"/>
        <xdr:cNvGrpSpPr/>
      </xdr:nvGrpSpPr>
      <xdr:grpSpPr>
        <a:xfrm>
          <a:off x="9391650" y="1228725"/>
          <a:ext cx="266700" cy="476250"/>
          <a:chOff x="13249275" y="4505325"/>
          <a:chExt cx="266700" cy="476250"/>
        </a:xfrm>
      </xdr:grpSpPr>
      <xdr:cxnSp macro="">
        <xdr:nvCxnSpPr>
          <xdr:cNvPr id="4" name="Łącznik prosty 3"/>
          <xdr:cNvCxnSpPr/>
        </xdr:nvCxnSpPr>
        <xdr:spPr>
          <a:xfrm>
            <a:off x="13392150" y="4629150"/>
            <a:ext cx="0" cy="352425"/>
          </a:xfrm>
          <a:prstGeom prst="line">
            <a:avLst/>
          </a:prstGeom>
          <a:ln w="412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Trójkąt równoramienny 4"/>
          <xdr:cNvSpPr/>
        </xdr:nvSpPr>
        <xdr:spPr>
          <a:xfrm rot="10800000">
            <a:off x="13249275" y="4505325"/>
            <a:ext cx="266700" cy="161925"/>
          </a:xfrm>
          <a:prstGeom prst="triangle">
            <a:avLst/>
          </a:prstGeom>
          <a:noFill/>
          <a:ln w="254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/>
          </a:p>
        </xdr:txBody>
      </xdr:sp>
    </xdr:grpSp>
    <xdr:clientData/>
  </xdr:twoCellAnchor>
  <xdr:twoCellAnchor>
    <xdr:from>
      <xdr:col>14</xdr:col>
      <xdr:colOff>542925</xdr:colOff>
      <xdr:row>14</xdr:row>
      <xdr:rowOff>19050</xdr:rowOff>
    </xdr:from>
    <xdr:to>
      <xdr:col>15</xdr:col>
      <xdr:colOff>200025</xdr:colOff>
      <xdr:row>16</xdr:row>
      <xdr:rowOff>114300</xdr:rowOff>
    </xdr:to>
    <xdr:grpSp>
      <xdr:nvGrpSpPr>
        <xdr:cNvPr id="7" name="Grupa 6"/>
        <xdr:cNvGrpSpPr/>
      </xdr:nvGrpSpPr>
      <xdr:grpSpPr>
        <a:xfrm>
          <a:off x="10753725" y="3067050"/>
          <a:ext cx="266700" cy="476250"/>
          <a:chOff x="13249275" y="4505325"/>
          <a:chExt cx="266700" cy="476250"/>
        </a:xfrm>
      </xdr:grpSpPr>
      <xdr:cxnSp macro="">
        <xdr:nvCxnSpPr>
          <xdr:cNvPr id="8" name="Łącznik prosty 7"/>
          <xdr:cNvCxnSpPr/>
        </xdr:nvCxnSpPr>
        <xdr:spPr>
          <a:xfrm>
            <a:off x="13392150" y="4629150"/>
            <a:ext cx="0" cy="352425"/>
          </a:xfrm>
          <a:prstGeom prst="line">
            <a:avLst/>
          </a:prstGeom>
          <a:ln w="412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Trójkąt równoramienny 8"/>
          <xdr:cNvSpPr/>
        </xdr:nvSpPr>
        <xdr:spPr>
          <a:xfrm rot="10800000">
            <a:off x="13249275" y="4505325"/>
            <a:ext cx="266700" cy="161925"/>
          </a:xfrm>
          <a:prstGeom prst="triangle">
            <a:avLst/>
          </a:prstGeom>
          <a:noFill/>
          <a:ln w="254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/>
          </a:p>
        </xdr:txBody>
      </xdr:sp>
    </xdr:grpSp>
    <xdr:clientData/>
  </xdr:twoCellAnchor>
  <xdr:twoCellAnchor>
    <xdr:from>
      <xdr:col>13</xdr:col>
      <xdr:colOff>133350</xdr:colOff>
      <xdr:row>11</xdr:row>
      <xdr:rowOff>95250</xdr:rowOff>
    </xdr:from>
    <xdr:to>
      <xdr:col>13</xdr:col>
      <xdr:colOff>400050</xdr:colOff>
      <xdr:row>14</xdr:row>
      <xdr:rowOff>0</xdr:rowOff>
    </xdr:to>
    <xdr:grpSp>
      <xdr:nvGrpSpPr>
        <xdr:cNvPr id="10" name="Grupa 9"/>
        <xdr:cNvGrpSpPr/>
      </xdr:nvGrpSpPr>
      <xdr:grpSpPr>
        <a:xfrm>
          <a:off x="9734550" y="2571750"/>
          <a:ext cx="266700" cy="476250"/>
          <a:chOff x="13249275" y="4505325"/>
          <a:chExt cx="266700" cy="476250"/>
        </a:xfrm>
      </xdr:grpSpPr>
      <xdr:cxnSp macro="">
        <xdr:nvCxnSpPr>
          <xdr:cNvPr id="11" name="Łącznik prosty 10"/>
          <xdr:cNvCxnSpPr/>
        </xdr:nvCxnSpPr>
        <xdr:spPr>
          <a:xfrm>
            <a:off x="13392150" y="4629150"/>
            <a:ext cx="0" cy="352425"/>
          </a:xfrm>
          <a:prstGeom prst="line">
            <a:avLst/>
          </a:prstGeom>
          <a:ln w="412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Trójkąt równoramienny 11"/>
          <xdr:cNvSpPr/>
        </xdr:nvSpPr>
        <xdr:spPr>
          <a:xfrm rot="10800000">
            <a:off x="13249275" y="4505325"/>
            <a:ext cx="266700" cy="161925"/>
          </a:xfrm>
          <a:prstGeom prst="triangle">
            <a:avLst/>
          </a:prstGeom>
          <a:noFill/>
          <a:ln w="254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/>
          </a:p>
        </xdr:txBody>
      </xdr:sp>
    </xdr:grpSp>
    <xdr:clientData/>
  </xdr:twoCellAnchor>
  <xdr:twoCellAnchor>
    <xdr:from>
      <xdr:col>13</xdr:col>
      <xdr:colOff>485775</xdr:colOff>
      <xdr:row>12</xdr:row>
      <xdr:rowOff>95250</xdr:rowOff>
    </xdr:from>
    <xdr:to>
      <xdr:col>14</xdr:col>
      <xdr:colOff>142875</xdr:colOff>
      <xdr:row>15</xdr:row>
      <xdr:rowOff>0</xdr:rowOff>
    </xdr:to>
    <xdr:grpSp>
      <xdr:nvGrpSpPr>
        <xdr:cNvPr id="13" name="Grupa 12"/>
        <xdr:cNvGrpSpPr/>
      </xdr:nvGrpSpPr>
      <xdr:grpSpPr>
        <a:xfrm>
          <a:off x="10086975" y="2762250"/>
          <a:ext cx="266700" cy="476250"/>
          <a:chOff x="13249275" y="4505325"/>
          <a:chExt cx="266700" cy="476250"/>
        </a:xfrm>
      </xdr:grpSpPr>
      <xdr:cxnSp macro="">
        <xdr:nvCxnSpPr>
          <xdr:cNvPr id="14" name="Łącznik prosty 13"/>
          <xdr:cNvCxnSpPr/>
        </xdr:nvCxnSpPr>
        <xdr:spPr>
          <a:xfrm>
            <a:off x="13392150" y="4629150"/>
            <a:ext cx="0" cy="352425"/>
          </a:xfrm>
          <a:prstGeom prst="line">
            <a:avLst/>
          </a:prstGeom>
          <a:ln w="412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Trójkąt równoramienny 14"/>
          <xdr:cNvSpPr/>
        </xdr:nvSpPr>
        <xdr:spPr>
          <a:xfrm rot="10800000">
            <a:off x="13249275" y="4505325"/>
            <a:ext cx="266700" cy="161925"/>
          </a:xfrm>
          <a:prstGeom prst="triangle">
            <a:avLst/>
          </a:prstGeom>
          <a:noFill/>
          <a:ln w="254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/>
          </a:p>
        </xdr:txBody>
      </xdr:sp>
    </xdr:grpSp>
    <xdr:clientData/>
  </xdr:twoCellAnchor>
  <xdr:oneCellAnchor>
    <xdr:from>
      <xdr:col>12</xdr:col>
      <xdr:colOff>152400</xdr:colOff>
      <xdr:row>1</xdr:row>
      <xdr:rowOff>180975</xdr:rowOff>
    </xdr:from>
    <xdr:ext cx="1076325" cy="436786"/>
    <xdr:sp macro="" textlink="">
      <xdr:nvSpPr>
        <xdr:cNvPr id="16" name="pole tekstowe 15"/>
        <xdr:cNvSpPr txBox="1"/>
      </xdr:nvSpPr>
      <xdr:spPr>
        <a:xfrm>
          <a:off x="8848725" y="752475"/>
          <a:ext cx="107632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l-PL" sz="1100"/>
            <a:t>Antena</a:t>
          </a:r>
          <a:r>
            <a:rPr lang="pl-PL" sz="1100" baseline="0"/>
            <a:t> podstawowa 0°</a:t>
          </a:r>
          <a:endParaRPr lang="pl-PL" sz="1100"/>
        </a:p>
      </xdr:txBody>
    </xdr:sp>
    <xdr:clientData/>
  </xdr:oneCellAnchor>
  <xdr:oneCellAnchor>
    <xdr:from>
      <xdr:col>13</xdr:col>
      <xdr:colOff>104776</xdr:colOff>
      <xdr:row>10</xdr:row>
      <xdr:rowOff>38100</xdr:rowOff>
    </xdr:from>
    <xdr:ext cx="400050" cy="264560"/>
    <xdr:sp macro="" textlink="">
      <xdr:nvSpPr>
        <xdr:cNvPr id="17" name="pole tekstowe 16"/>
        <xdr:cNvSpPr txBox="1"/>
      </xdr:nvSpPr>
      <xdr:spPr>
        <a:xfrm>
          <a:off x="9410701" y="2324100"/>
          <a:ext cx="4000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l-PL" sz="1100"/>
            <a:t>30°</a:t>
          </a:r>
        </a:p>
      </xdr:txBody>
    </xdr:sp>
    <xdr:clientData/>
  </xdr:oneCellAnchor>
  <xdr:oneCellAnchor>
    <xdr:from>
      <xdr:col>13</xdr:col>
      <xdr:colOff>466725</xdr:colOff>
      <xdr:row>11</xdr:row>
      <xdr:rowOff>66675</xdr:rowOff>
    </xdr:from>
    <xdr:ext cx="375487" cy="264560"/>
    <xdr:sp macro="" textlink="">
      <xdr:nvSpPr>
        <xdr:cNvPr id="18" name="pole tekstowe 17"/>
        <xdr:cNvSpPr txBox="1"/>
      </xdr:nvSpPr>
      <xdr:spPr>
        <a:xfrm>
          <a:off x="9772650" y="2543175"/>
          <a:ext cx="37548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/>
            <a:t>90°</a:t>
          </a:r>
        </a:p>
      </xdr:txBody>
    </xdr:sp>
    <xdr:clientData/>
  </xdr:oneCellAnchor>
  <xdr:oneCellAnchor>
    <xdr:from>
      <xdr:col>14</xdr:col>
      <xdr:colOff>438150</xdr:colOff>
      <xdr:row>10</xdr:row>
      <xdr:rowOff>161925</xdr:rowOff>
    </xdr:from>
    <xdr:ext cx="184731" cy="264560"/>
    <xdr:sp macro="" textlink="">
      <xdr:nvSpPr>
        <xdr:cNvPr id="19" name="pole tekstowe 18"/>
        <xdr:cNvSpPr txBox="1"/>
      </xdr:nvSpPr>
      <xdr:spPr>
        <a:xfrm>
          <a:off x="10353675" y="2447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l-PL" sz="1100"/>
        </a:p>
      </xdr:txBody>
    </xdr:sp>
    <xdr:clientData/>
  </xdr:oneCellAnchor>
  <xdr:oneCellAnchor>
    <xdr:from>
      <xdr:col>14</xdr:col>
      <xdr:colOff>447675</xdr:colOff>
      <xdr:row>12</xdr:row>
      <xdr:rowOff>152400</xdr:rowOff>
    </xdr:from>
    <xdr:ext cx="446982" cy="264560"/>
    <xdr:sp macro="" textlink="">
      <xdr:nvSpPr>
        <xdr:cNvPr id="20" name="pole tekstowe 19"/>
        <xdr:cNvSpPr txBox="1"/>
      </xdr:nvSpPr>
      <xdr:spPr>
        <a:xfrm>
          <a:off x="10363200" y="2819400"/>
          <a:ext cx="4469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/>
            <a:t>180°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0.16282</cdr:x>
      <cdr:y>0.20623</cdr:y>
    </cdr:from>
    <cdr:to>
      <cdr:x>0.297</cdr:x>
      <cdr:y>0.393</cdr:y>
    </cdr:to>
    <cdr:sp macro="" textlink="">
      <cdr:nvSpPr>
        <cdr:cNvPr id="2" name="pole tekstowe 1"/>
        <cdr:cNvSpPr txBox="1"/>
      </cdr:nvSpPr>
      <cdr:spPr>
        <a:xfrm xmlns:a="http://schemas.openxmlformats.org/drawingml/2006/main">
          <a:off x="1109664" y="10096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l-PL" sz="1100"/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5"/>
  <sheetViews>
    <sheetView tabSelected="1" workbookViewId="0">
      <pane ySplit="1" topLeftCell="A2" activePane="bottomLeft" state="frozen"/>
      <selection pane="bottomLeft" activeCell="R31" sqref="R31"/>
    </sheetView>
  </sheetViews>
  <sheetFormatPr defaultRowHeight="15" x14ac:dyDescent="0.25"/>
  <cols>
    <col min="1" max="1" width="14.7109375" customWidth="1"/>
    <col min="2" max="2" width="10" bestFit="1" customWidth="1"/>
    <col min="6" max="6" width="13.5703125" customWidth="1"/>
    <col min="8" max="8" width="19" customWidth="1"/>
    <col min="11" max="11" width="13.5703125" customWidth="1"/>
    <col min="19" max="19" width="10" bestFit="1" customWidth="1"/>
  </cols>
  <sheetData>
    <row r="1" spans="1:19" ht="45" x14ac:dyDescent="0.25">
      <c r="A1" s="1" t="s">
        <v>0</v>
      </c>
      <c r="B1" s="1" t="s">
        <v>1</v>
      </c>
      <c r="C1" s="1" t="s">
        <v>3</v>
      </c>
      <c r="D1" s="1" t="s">
        <v>4</v>
      </c>
      <c r="F1" s="1" t="s">
        <v>5</v>
      </c>
      <c r="H1" s="2" t="s">
        <v>14</v>
      </c>
      <c r="I1" s="1"/>
      <c r="J1" s="1" t="s">
        <v>12</v>
      </c>
      <c r="K1" s="1" t="s">
        <v>20</v>
      </c>
      <c r="S1" t="s">
        <v>2</v>
      </c>
    </row>
    <row r="2" spans="1:19" x14ac:dyDescent="0.25">
      <c r="A2">
        <v>1100</v>
      </c>
      <c r="B2">
        <f>$S$2/(A2*1000000)</f>
        <v>0.27272727272727271</v>
      </c>
      <c r="C2">
        <f>B2*100</f>
        <v>27.27272727272727</v>
      </c>
      <c r="D2">
        <f>C2/2</f>
        <v>13.636363636363635</v>
      </c>
      <c r="F2" t="s">
        <v>6</v>
      </c>
      <c r="H2">
        <v>8.5</v>
      </c>
      <c r="J2">
        <f t="shared" ref="J2:J23" si="0">TRUNC(H2*100/D2)</f>
        <v>62</v>
      </c>
      <c r="K2">
        <f>180*(J2/100)</f>
        <v>111.6</v>
      </c>
      <c r="S2">
        <v>300000000</v>
      </c>
    </row>
    <row r="3" spans="1:19" x14ac:dyDescent="0.25">
      <c r="A3">
        <v>1350</v>
      </c>
      <c r="B3">
        <f t="shared" ref="B3:B7" si="1">$S$2/(A3*1000000)</f>
        <v>0.22222222222222221</v>
      </c>
      <c r="C3">
        <f t="shared" ref="C3:C7" si="2">B3*100</f>
        <v>22.222222222222221</v>
      </c>
      <c r="D3">
        <f t="shared" ref="D3:D7" si="3">C3/2</f>
        <v>11.111111111111111</v>
      </c>
      <c r="F3" t="s">
        <v>6</v>
      </c>
      <c r="H3">
        <f>H2</f>
        <v>8.5</v>
      </c>
      <c r="J3">
        <f t="shared" si="0"/>
        <v>76</v>
      </c>
      <c r="K3">
        <f t="shared" ref="K3:K23" si="4">180*(J3/100)</f>
        <v>136.80000000000001</v>
      </c>
    </row>
    <row r="4" spans="1:19" x14ac:dyDescent="0.25">
      <c r="A4">
        <v>1450</v>
      </c>
      <c r="B4">
        <f t="shared" si="1"/>
        <v>0.20689655172413793</v>
      </c>
      <c r="C4">
        <f t="shared" si="2"/>
        <v>20.689655172413794</v>
      </c>
      <c r="D4">
        <f t="shared" si="3"/>
        <v>10.344827586206897</v>
      </c>
      <c r="F4" t="s">
        <v>7</v>
      </c>
      <c r="H4">
        <f t="shared" ref="H4:H5" si="5">H3</f>
        <v>8.5</v>
      </c>
      <c r="J4">
        <f t="shared" si="0"/>
        <v>82</v>
      </c>
      <c r="K4">
        <f t="shared" si="4"/>
        <v>147.6</v>
      </c>
    </row>
    <row r="5" spans="1:19" x14ac:dyDescent="0.25">
      <c r="A5">
        <v>1700</v>
      </c>
      <c r="B5">
        <f t="shared" si="1"/>
        <v>0.17647058823529413</v>
      </c>
      <c r="C5">
        <f t="shared" si="2"/>
        <v>17.647058823529413</v>
      </c>
      <c r="D5">
        <f t="shared" si="3"/>
        <v>8.8235294117647065</v>
      </c>
      <c r="F5" t="s">
        <v>7</v>
      </c>
      <c r="H5">
        <f t="shared" si="5"/>
        <v>8.5</v>
      </c>
      <c r="J5">
        <f t="shared" si="0"/>
        <v>96</v>
      </c>
      <c r="K5">
        <f t="shared" si="4"/>
        <v>172.79999999999998</v>
      </c>
    </row>
    <row r="6" spans="1:19" x14ac:dyDescent="0.25">
      <c r="A6">
        <v>107</v>
      </c>
      <c r="B6">
        <f t="shared" si="1"/>
        <v>2.8037383177570092</v>
      </c>
      <c r="C6">
        <f t="shared" si="2"/>
        <v>280.37383177570092</v>
      </c>
      <c r="D6">
        <f t="shared" si="3"/>
        <v>140.18691588785046</v>
      </c>
      <c r="F6" t="s">
        <v>8</v>
      </c>
      <c r="H6">
        <v>96</v>
      </c>
      <c r="J6">
        <f t="shared" si="0"/>
        <v>68</v>
      </c>
      <c r="K6">
        <f t="shared" si="4"/>
        <v>122.4</v>
      </c>
    </row>
    <row r="7" spans="1:19" x14ac:dyDescent="0.25">
      <c r="A7">
        <v>120</v>
      </c>
      <c r="B7">
        <f t="shared" si="1"/>
        <v>2.5</v>
      </c>
      <c r="C7">
        <f t="shared" si="2"/>
        <v>250</v>
      </c>
      <c r="D7">
        <f t="shared" si="3"/>
        <v>125</v>
      </c>
      <c r="F7" t="s">
        <v>8</v>
      </c>
      <c r="H7">
        <f>H6</f>
        <v>96</v>
      </c>
      <c r="J7">
        <f t="shared" si="0"/>
        <v>76</v>
      </c>
      <c r="K7">
        <f t="shared" si="4"/>
        <v>136.80000000000001</v>
      </c>
    </row>
    <row r="8" spans="1:19" x14ac:dyDescent="0.25">
      <c r="A8">
        <v>118</v>
      </c>
      <c r="B8">
        <f t="shared" ref="B8:B23" si="6">$S$2/(A8*1000000)</f>
        <v>2.5423728813559321</v>
      </c>
      <c r="C8">
        <f t="shared" ref="C8:C23" si="7">B8*100</f>
        <v>254.23728813559322</v>
      </c>
      <c r="D8">
        <f t="shared" ref="D8:D23" si="8">C8/2</f>
        <v>127.11864406779661</v>
      </c>
      <c r="F8" s="3" t="s">
        <v>9</v>
      </c>
      <c r="H8">
        <f t="shared" ref="H8:H9" si="9">H7</f>
        <v>96</v>
      </c>
      <c r="J8">
        <f t="shared" si="0"/>
        <v>75</v>
      </c>
      <c r="K8">
        <f t="shared" si="4"/>
        <v>135</v>
      </c>
    </row>
    <row r="9" spans="1:19" x14ac:dyDescent="0.25">
      <c r="A9">
        <v>145</v>
      </c>
      <c r="B9">
        <f t="shared" si="6"/>
        <v>2.0689655172413794</v>
      </c>
      <c r="C9">
        <f t="shared" si="7"/>
        <v>206.89655172413794</v>
      </c>
      <c r="D9">
        <f t="shared" si="8"/>
        <v>103.44827586206897</v>
      </c>
      <c r="F9" s="3"/>
      <c r="H9">
        <f t="shared" si="9"/>
        <v>96</v>
      </c>
      <c r="J9">
        <f t="shared" si="0"/>
        <v>92</v>
      </c>
      <c r="K9">
        <f t="shared" si="4"/>
        <v>165.6</v>
      </c>
    </row>
    <row r="10" spans="1:19" x14ac:dyDescent="0.25">
      <c r="A10">
        <v>240</v>
      </c>
      <c r="B10">
        <f t="shared" si="6"/>
        <v>1.25</v>
      </c>
      <c r="C10">
        <f t="shared" si="7"/>
        <v>125</v>
      </c>
      <c r="D10">
        <f t="shared" si="8"/>
        <v>62.5</v>
      </c>
      <c r="F10" s="3"/>
      <c r="H10">
        <v>16</v>
      </c>
      <c r="J10">
        <f t="shared" si="0"/>
        <v>25</v>
      </c>
      <c r="K10">
        <f t="shared" si="4"/>
        <v>45</v>
      </c>
    </row>
    <row r="11" spans="1:19" x14ac:dyDescent="0.25">
      <c r="A11">
        <v>400</v>
      </c>
      <c r="B11">
        <f t="shared" si="6"/>
        <v>0.75</v>
      </c>
      <c r="C11">
        <f t="shared" si="7"/>
        <v>75</v>
      </c>
      <c r="D11">
        <f t="shared" si="8"/>
        <v>37.5</v>
      </c>
      <c r="F11" s="3"/>
      <c r="H11">
        <f>H10</f>
        <v>16</v>
      </c>
      <c r="J11">
        <f t="shared" si="0"/>
        <v>42</v>
      </c>
      <c r="K11">
        <f t="shared" si="4"/>
        <v>75.599999999999994</v>
      </c>
    </row>
    <row r="12" spans="1:19" x14ac:dyDescent="0.25">
      <c r="A12">
        <v>329</v>
      </c>
      <c r="B12">
        <f t="shared" si="6"/>
        <v>0.91185410334346506</v>
      </c>
      <c r="C12">
        <f t="shared" si="7"/>
        <v>91.1854103343465</v>
      </c>
      <c r="D12">
        <f t="shared" si="8"/>
        <v>45.59270516717325</v>
      </c>
      <c r="F12" s="4" t="s">
        <v>10</v>
      </c>
      <c r="H12">
        <f t="shared" ref="H12:H19" si="10">H11</f>
        <v>16</v>
      </c>
      <c r="J12">
        <f t="shared" si="0"/>
        <v>35</v>
      </c>
      <c r="K12">
        <f t="shared" si="4"/>
        <v>62.999999999999993</v>
      </c>
    </row>
    <row r="13" spans="1:19" x14ac:dyDescent="0.25">
      <c r="A13">
        <v>335</v>
      </c>
      <c r="B13">
        <f t="shared" si="6"/>
        <v>0.89552238805970152</v>
      </c>
      <c r="C13">
        <f t="shared" si="7"/>
        <v>89.552238805970148</v>
      </c>
      <c r="D13">
        <f t="shared" si="8"/>
        <v>44.776119402985074</v>
      </c>
      <c r="F13" s="4"/>
      <c r="H13">
        <f t="shared" si="10"/>
        <v>16</v>
      </c>
      <c r="J13">
        <f t="shared" si="0"/>
        <v>35</v>
      </c>
      <c r="K13">
        <f t="shared" si="4"/>
        <v>62.999999999999993</v>
      </c>
    </row>
    <row r="14" spans="1:19" x14ac:dyDescent="0.25">
      <c r="A14">
        <v>380</v>
      </c>
      <c r="B14">
        <f t="shared" si="6"/>
        <v>0.78947368421052633</v>
      </c>
      <c r="C14">
        <f t="shared" si="7"/>
        <v>78.94736842105263</v>
      </c>
      <c r="D14">
        <f t="shared" si="8"/>
        <v>39.473684210526315</v>
      </c>
      <c r="F14" s="5" t="s">
        <v>11</v>
      </c>
      <c r="H14">
        <f t="shared" si="10"/>
        <v>16</v>
      </c>
      <c r="J14">
        <f t="shared" si="0"/>
        <v>40</v>
      </c>
      <c r="K14">
        <f t="shared" si="4"/>
        <v>72</v>
      </c>
    </row>
    <row r="15" spans="1:19" x14ac:dyDescent="0.25">
      <c r="A15">
        <v>470</v>
      </c>
      <c r="B15">
        <f t="shared" si="6"/>
        <v>0.63829787234042556</v>
      </c>
      <c r="C15">
        <f t="shared" si="7"/>
        <v>63.829787234042556</v>
      </c>
      <c r="D15">
        <f t="shared" si="8"/>
        <v>31.914893617021278</v>
      </c>
      <c r="F15" s="5"/>
      <c r="H15">
        <f t="shared" si="10"/>
        <v>16</v>
      </c>
      <c r="J15">
        <f t="shared" si="0"/>
        <v>50</v>
      </c>
      <c r="K15">
        <f t="shared" si="4"/>
        <v>90</v>
      </c>
    </row>
    <row r="16" spans="1:19" x14ac:dyDescent="0.25">
      <c r="A16">
        <v>860</v>
      </c>
      <c r="B16">
        <f t="shared" si="6"/>
        <v>0.34883720930232559</v>
      </c>
      <c r="C16">
        <f t="shared" si="7"/>
        <v>34.883720930232556</v>
      </c>
      <c r="D16">
        <f t="shared" si="8"/>
        <v>17.441860465116278</v>
      </c>
      <c r="F16" s="5"/>
      <c r="H16">
        <f t="shared" si="10"/>
        <v>16</v>
      </c>
      <c r="J16">
        <f t="shared" si="0"/>
        <v>91</v>
      </c>
      <c r="K16">
        <f t="shared" si="4"/>
        <v>163.80000000000001</v>
      </c>
    </row>
    <row r="17" spans="1:11" x14ac:dyDescent="0.25">
      <c r="A17">
        <v>890</v>
      </c>
      <c r="B17">
        <f t="shared" si="6"/>
        <v>0.33707865168539325</v>
      </c>
      <c r="C17">
        <f t="shared" si="7"/>
        <v>33.707865168539328</v>
      </c>
      <c r="D17">
        <f t="shared" si="8"/>
        <v>16.853932584269664</v>
      </c>
      <c r="F17" s="5"/>
      <c r="H17">
        <f t="shared" si="10"/>
        <v>16</v>
      </c>
      <c r="J17">
        <f t="shared" si="0"/>
        <v>94</v>
      </c>
      <c r="K17">
        <f t="shared" si="4"/>
        <v>169.2</v>
      </c>
    </row>
    <row r="18" spans="1:11" x14ac:dyDescent="0.25">
      <c r="A18">
        <v>910</v>
      </c>
      <c r="B18">
        <f t="shared" si="6"/>
        <v>0.32967032967032966</v>
      </c>
      <c r="C18">
        <f t="shared" si="7"/>
        <v>32.967032967032964</v>
      </c>
      <c r="D18">
        <f t="shared" si="8"/>
        <v>16.483516483516482</v>
      </c>
      <c r="F18" s="5"/>
      <c r="H18">
        <f t="shared" si="10"/>
        <v>16</v>
      </c>
      <c r="J18">
        <f t="shared" si="0"/>
        <v>97</v>
      </c>
      <c r="K18">
        <f t="shared" si="4"/>
        <v>174.6</v>
      </c>
    </row>
    <row r="19" spans="1:11" x14ac:dyDescent="0.25">
      <c r="A19">
        <v>935</v>
      </c>
      <c r="B19">
        <f t="shared" si="6"/>
        <v>0.32085561497326204</v>
      </c>
      <c r="C19">
        <f t="shared" si="7"/>
        <v>32.085561497326204</v>
      </c>
      <c r="D19">
        <f t="shared" si="8"/>
        <v>16.042780748663102</v>
      </c>
      <c r="F19" s="5"/>
      <c r="H19">
        <f t="shared" si="10"/>
        <v>16</v>
      </c>
      <c r="J19">
        <f t="shared" si="0"/>
        <v>99</v>
      </c>
      <c r="K19">
        <f t="shared" si="4"/>
        <v>178.2</v>
      </c>
    </row>
    <row r="20" spans="1:11" x14ac:dyDescent="0.25">
      <c r="A20">
        <v>2400</v>
      </c>
      <c r="B20">
        <f t="shared" si="6"/>
        <v>0.125</v>
      </c>
      <c r="C20">
        <f t="shared" si="7"/>
        <v>12.5</v>
      </c>
      <c r="D20">
        <f t="shared" si="8"/>
        <v>6.25</v>
      </c>
      <c r="F20" s="3" t="s">
        <v>13</v>
      </c>
      <c r="H20">
        <v>2</v>
      </c>
      <c r="J20">
        <f t="shared" si="0"/>
        <v>32</v>
      </c>
      <c r="K20">
        <f t="shared" si="4"/>
        <v>57.6</v>
      </c>
    </row>
    <row r="21" spans="1:11" x14ac:dyDescent="0.25">
      <c r="A21">
        <v>2550</v>
      </c>
      <c r="B21">
        <f t="shared" si="6"/>
        <v>0.11764705882352941</v>
      </c>
      <c r="C21">
        <f t="shared" si="7"/>
        <v>11.76470588235294</v>
      </c>
      <c r="D21">
        <f t="shared" si="8"/>
        <v>5.8823529411764701</v>
      </c>
      <c r="F21" s="3"/>
      <c r="H21">
        <f>H20</f>
        <v>2</v>
      </c>
      <c r="J21">
        <f t="shared" si="0"/>
        <v>34</v>
      </c>
      <c r="K21">
        <f t="shared" si="4"/>
        <v>61.2</v>
      </c>
    </row>
    <row r="22" spans="1:11" x14ac:dyDescent="0.25">
      <c r="A22">
        <v>4900</v>
      </c>
      <c r="B22">
        <f t="shared" si="6"/>
        <v>6.1224489795918366E-2</v>
      </c>
      <c r="C22">
        <f t="shared" si="7"/>
        <v>6.1224489795918364</v>
      </c>
      <c r="D22">
        <f t="shared" si="8"/>
        <v>3.0612244897959182</v>
      </c>
      <c r="F22" s="3"/>
      <c r="H22">
        <f t="shared" ref="H22:H23" si="11">H21</f>
        <v>2</v>
      </c>
      <c r="J22">
        <f t="shared" si="0"/>
        <v>65</v>
      </c>
      <c r="K22">
        <f t="shared" si="4"/>
        <v>117</v>
      </c>
    </row>
    <row r="23" spans="1:11" x14ac:dyDescent="0.25">
      <c r="A23">
        <v>5800</v>
      </c>
      <c r="B23">
        <f t="shared" si="6"/>
        <v>5.1724137931034482E-2</v>
      </c>
      <c r="C23">
        <f t="shared" si="7"/>
        <v>5.1724137931034484</v>
      </c>
      <c r="D23">
        <f t="shared" si="8"/>
        <v>2.5862068965517242</v>
      </c>
      <c r="F23" s="3"/>
      <c r="H23">
        <f t="shared" si="11"/>
        <v>2</v>
      </c>
      <c r="J23">
        <f t="shared" si="0"/>
        <v>77</v>
      </c>
      <c r="K23">
        <f t="shared" si="4"/>
        <v>138.6</v>
      </c>
    </row>
    <row r="25" spans="1:11" ht="15" customHeight="1" x14ac:dyDescent="0.25">
      <c r="D25" t="s">
        <v>21</v>
      </c>
      <c r="J25" s="3" t="s">
        <v>26</v>
      </c>
      <c r="K25" s="3"/>
    </row>
    <row r="26" spans="1:11" x14ac:dyDescent="0.25">
      <c r="D26" t="s">
        <v>24</v>
      </c>
      <c r="J26" s="3"/>
      <c r="K26" s="3"/>
    </row>
    <row r="27" spans="1:11" x14ac:dyDescent="0.25">
      <c r="D27" t="s">
        <v>22</v>
      </c>
      <c r="J27" s="3"/>
      <c r="K27" s="3"/>
    </row>
    <row r="28" spans="1:11" x14ac:dyDescent="0.25">
      <c r="D28" t="s">
        <v>23</v>
      </c>
      <c r="J28" s="3"/>
      <c r="K28" s="3"/>
    </row>
    <row r="29" spans="1:11" x14ac:dyDescent="0.25">
      <c r="D29" t="s">
        <v>25</v>
      </c>
      <c r="J29" s="3"/>
      <c r="K29" s="3"/>
    </row>
    <row r="30" spans="1:11" x14ac:dyDescent="0.25">
      <c r="J30" s="3"/>
      <c r="K30" s="3"/>
    </row>
    <row r="31" spans="1:11" x14ac:dyDescent="0.25">
      <c r="J31" s="3"/>
      <c r="K31" s="3"/>
    </row>
    <row r="32" spans="1:11" x14ac:dyDescent="0.25">
      <c r="J32" s="3"/>
      <c r="K32" s="3"/>
    </row>
    <row r="33" spans="1:12" x14ac:dyDescent="0.25">
      <c r="J33" s="3"/>
      <c r="K33" s="3"/>
    </row>
    <row r="38" spans="1:12" x14ac:dyDescent="0.25">
      <c r="G38">
        <v>0</v>
      </c>
      <c r="H38">
        <v>0</v>
      </c>
      <c r="I38">
        <v>0</v>
      </c>
      <c r="K38" s="1"/>
      <c r="L38" s="1"/>
    </row>
    <row r="39" spans="1:12" x14ac:dyDescent="0.25">
      <c r="C39">
        <v>3</v>
      </c>
      <c r="D39">
        <v>7</v>
      </c>
      <c r="G39" t="s">
        <v>15</v>
      </c>
    </row>
    <row r="40" spans="1:12" x14ac:dyDescent="0.25">
      <c r="C40" t="s">
        <v>16</v>
      </c>
      <c r="D40" t="s">
        <v>16</v>
      </c>
      <c r="G40" t="s">
        <v>17</v>
      </c>
      <c r="H40" t="s">
        <v>18</v>
      </c>
      <c r="I40" t="s">
        <v>19</v>
      </c>
    </row>
    <row r="41" spans="1:12" x14ac:dyDescent="0.25">
      <c r="A41">
        <v>0</v>
      </c>
      <c r="B41">
        <f>SIN(RADIANS(A41))</f>
        <v>0</v>
      </c>
      <c r="C41">
        <f>$B41+C$39</f>
        <v>3</v>
      </c>
      <c r="D41">
        <f>$B41+D$39</f>
        <v>7</v>
      </c>
      <c r="G41">
        <f>(C41-C$39)-(D59-D$39)+G$38</f>
        <v>0</v>
      </c>
      <c r="H41">
        <f>(C41-C$39)-(D50-D$39)+H$38</f>
        <v>-1</v>
      </c>
      <c r="I41">
        <f>(C41-C$39)-(D43-D$39)+I$38</f>
        <v>-0.34202014332566844</v>
      </c>
    </row>
    <row r="42" spans="1:12" x14ac:dyDescent="0.25">
      <c r="A42">
        <v>10</v>
      </c>
      <c r="B42">
        <f t="shared" ref="B42:B105" si="12">SIN(RADIANS(A42))</f>
        <v>0.17364817766693033</v>
      </c>
      <c r="C42">
        <f t="shared" ref="C42:D73" si="13">$B42+C$39</f>
        <v>3.1736481776669305</v>
      </c>
      <c r="D42">
        <f t="shared" si="13"/>
        <v>7.1736481776669301</v>
      </c>
      <c r="G42">
        <f t="shared" ref="G42:G105" si="14">(C42-C$39)-(D60-D$39)+G$38</f>
        <v>0.34729635533386061</v>
      </c>
      <c r="H42">
        <f t="shared" ref="H42:H105" si="15">(C42-C$39)-(D51-D$39)+H$38</f>
        <v>-0.81115957534527761</v>
      </c>
      <c r="I42">
        <f t="shared" ref="I42:I105" si="16">(C42-C$39)-(D44-D$39)+I$38</f>
        <v>-0.32635182233306947</v>
      </c>
    </row>
    <row r="43" spans="1:12" x14ac:dyDescent="0.25">
      <c r="A43">
        <v>20</v>
      </c>
      <c r="B43">
        <f t="shared" si="12"/>
        <v>0.34202014332566871</v>
      </c>
      <c r="C43">
        <f t="shared" si="13"/>
        <v>3.3420201433256689</v>
      </c>
      <c r="D43">
        <f t="shared" si="13"/>
        <v>7.3420201433256684</v>
      </c>
      <c r="G43">
        <f t="shared" si="14"/>
        <v>0.68404028665133731</v>
      </c>
      <c r="H43">
        <f t="shared" si="15"/>
        <v>-0.59767247746023999</v>
      </c>
      <c r="I43">
        <f t="shared" si="16"/>
        <v>-0.30076746636087082</v>
      </c>
    </row>
    <row r="44" spans="1:12" x14ac:dyDescent="0.25">
      <c r="A44">
        <v>30</v>
      </c>
      <c r="B44">
        <f t="shared" si="12"/>
        <v>0.49999999999999994</v>
      </c>
      <c r="C44">
        <f t="shared" si="13"/>
        <v>3.5</v>
      </c>
      <c r="D44">
        <f t="shared" si="13"/>
        <v>7.5</v>
      </c>
      <c r="G44">
        <f t="shared" si="14"/>
        <v>1</v>
      </c>
      <c r="H44">
        <f t="shared" si="15"/>
        <v>-0.36602540378443837</v>
      </c>
      <c r="I44">
        <f t="shared" si="16"/>
        <v>-0.2660444431189779</v>
      </c>
    </row>
    <row r="45" spans="1:12" x14ac:dyDescent="0.25">
      <c r="A45">
        <v>40</v>
      </c>
      <c r="B45">
        <f t="shared" si="12"/>
        <v>0.64278760968653925</v>
      </c>
      <c r="C45">
        <f t="shared" si="13"/>
        <v>3.6427876096865393</v>
      </c>
      <c r="D45">
        <f t="shared" si="13"/>
        <v>7.6427876096865397</v>
      </c>
      <c r="G45">
        <f t="shared" si="14"/>
        <v>1.2855752193730789</v>
      </c>
      <c r="H45">
        <f t="shared" si="15"/>
        <v>-0.12325683343243865</v>
      </c>
      <c r="I45">
        <f t="shared" si="16"/>
        <v>-0.22323779409789912</v>
      </c>
    </row>
    <row r="46" spans="1:12" x14ac:dyDescent="0.25">
      <c r="A46">
        <v>50</v>
      </c>
      <c r="B46">
        <f t="shared" si="12"/>
        <v>0.76604444311897801</v>
      </c>
      <c r="C46">
        <f t="shared" si="13"/>
        <v>3.7660444431189779</v>
      </c>
      <c r="D46">
        <f t="shared" si="13"/>
        <v>7.7660444431189779</v>
      </c>
      <c r="G46">
        <f t="shared" si="14"/>
        <v>1.5320888862379558</v>
      </c>
      <c r="H46">
        <f t="shared" si="15"/>
        <v>0.12325683343243821</v>
      </c>
      <c r="I46">
        <f t="shared" si="16"/>
        <v>-0.17364817766693008</v>
      </c>
    </row>
    <row r="47" spans="1:12" x14ac:dyDescent="0.25">
      <c r="A47">
        <v>60</v>
      </c>
      <c r="B47">
        <f t="shared" si="12"/>
        <v>0.8660254037844386</v>
      </c>
      <c r="C47">
        <f t="shared" si="13"/>
        <v>3.8660254037844384</v>
      </c>
      <c r="D47">
        <f t="shared" si="13"/>
        <v>7.8660254037844384</v>
      </c>
      <c r="G47">
        <f t="shared" si="14"/>
        <v>1.7320508075688767</v>
      </c>
      <c r="H47">
        <f t="shared" si="15"/>
        <v>0.36602540378443837</v>
      </c>
      <c r="I47">
        <f t="shared" si="16"/>
        <v>-0.11878234922776976</v>
      </c>
    </row>
    <row r="48" spans="1:12" x14ac:dyDescent="0.25">
      <c r="A48">
        <v>70</v>
      </c>
      <c r="B48">
        <f t="shared" si="12"/>
        <v>0.93969262078590832</v>
      </c>
      <c r="C48">
        <f t="shared" si="13"/>
        <v>3.9396926207859084</v>
      </c>
      <c r="D48">
        <f t="shared" si="13"/>
        <v>7.939692620785908</v>
      </c>
      <c r="G48">
        <f t="shared" si="14"/>
        <v>1.8793852415718173</v>
      </c>
      <c r="H48">
        <f t="shared" si="15"/>
        <v>0.5976724774602391</v>
      </c>
      <c r="I48">
        <f t="shared" si="16"/>
        <v>-6.0307379214091572E-2</v>
      </c>
    </row>
    <row r="49" spans="1:9" x14ac:dyDescent="0.25">
      <c r="A49">
        <v>80</v>
      </c>
      <c r="B49">
        <f t="shared" si="12"/>
        <v>0.98480775301220802</v>
      </c>
      <c r="C49">
        <f t="shared" si="13"/>
        <v>3.9848077530122081</v>
      </c>
      <c r="D49">
        <f t="shared" si="13"/>
        <v>7.9848077530122081</v>
      </c>
      <c r="G49">
        <f t="shared" si="14"/>
        <v>1.9696155060244163</v>
      </c>
      <c r="H49">
        <f t="shared" si="15"/>
        <v>0.81115957534527805</v>
      </c>
      <c r="I49">
        <f t="shared" si="16"/>
        <v>0</v>
      </c>
    </row>
    <row r="50" spans="1:9" x14ac:dyDescent="0.25">
      <c r="A50">
        <v>90</v>
      </c>
      <c r="B50">
        <f t="shared" si="12"/>
        <v>1</v>
      </c>
      <c r="C50">
        <f t="shared" si="13"/>
        <v>4</v>
      </c>
      <c r="D50">
        <f t="shared" si="13"/>
        <v>8</v>
      </c>
      <c r="G50">
        <f t="shared" si="14"/>
        <v>2</v>
      </c>
      <c r="H50">
        <f t="shared" si="15"/>
        <v>1</v>
      </c>
      <c r="I50">
        <f t="shared" si="16"/>
        <v>6.0307379214091128E-2</v>
      </c>
    </row>
    <row r="51" spans="1:9" x14ac:dyDescent="0.25">
      <c r="A51">
        <v>100</v>
      </c>
      <c r="B51">
        <f t="shared" si="12"/>
        <v>0.98480775301220802</v>
      </c>
      <c r="C51">
        <f t="shared" si="13"/>
        <v>3.9848077530122081</v>
      </c>
      <c r="D51">
        <f t="shared" si="13"/>
        <v>7.9848077530122081</v>
      </c>
      <c r="G51">
        <f t="shared" si="14"/>
        <v>1.9696155060244163</v>
      </c>
      <c r="H51">
        <f t="shared" si="15"/>
        <v>1.1584559306791382</v>
      </c>
      <c r="I51">
        <f t="shared" si="16"/>
        <v>0.11878234922776976</v>
      </c>
    </row>
    <row r="52" spans="1:9" x14ac:dyDescent="0.25">
      <c r="A52">
        <v>110</v>
      </c>
      <c r="B52">
        <f t="shared" si="12"/>
        <v>0.93969262078590843</v>
      </c>
      <c r="C52">
        <f t="shared" si="13"/>
        <v>3.9396926207859084</v>
      </c>
      <c r="D52">
        <f t="shared" si="13"/>
        <v>7.9396926207859089</v>
      </c>
      <c r="G52">
        <f t="shared" si="14"/>
        <v>1.8793852415718164</v>
      </c>
      <c r="H52">
        <f t="shared" si="15"/>
        <v>1.2817127641115769</v>
      </c>
      <c r="I52">
        <f t="shared" si="16"/>
        <v>0.17364817766693053</v>
      </c>
    </row>
    <row r="53" spans="1:9" x14ac:dyDescent="0.25">
      <c r="A53">
        <v>120</v>
      </c>
      <c r="B53">
        <f t="shared" si="12"/>
        <v>0.86602540378443871</v>
      </c>
      <c r="C53">
        <f t="shared" si="13"/>
        <v>3.8660254037844388</v>
      </c>
      <c r="D53">
        <f t="shared" si="13"/>
        <v>7.8660254037844384</v>
      </c>
      <c r="G53">
        <f t="shared" si="14"/>
        <v>1.7320508075688772</v>
      </c>
      <c r="H53">
        <f t="shared" si="15"/>
        <v>1.3660254037844388</v>
      </c>
      <c r="I53">
        <f t="shared" si="16"/>
        <v>0.22323779409789912</v>
      </c>
    </row>
    <row r="54" spans="1:9" x14ac:dyDescent="0.25">
      <c r="A54">
        <v>130</v>
      </c>
      <c r="B54">
        <f t="shared" si="12"/>
        <v>0.76604444311897801</v>
      </c>
      <c r="C54">
        <f t="shared" si="13"/>
        <v>3.7660444431189779</v>
      </c>
      <c r="D54">
        <f t="shared" si="13"/>
        <v>7.7660444431189779</v>
      </c>
      <c r="G54">
        <f t="shared" si="14"/>
        <v>1.5320888862379558</v>
      </c>
      <c r="H54">
        <f t="shared" si="15"/>
        <v>1.4088320528055176</v>
      </c>
      <c r="I54">
        <f t="shared" si="16"/>
        <v>0.2660444431189779</v>
      </c>
    </row>
    <row r="55" spans="1:9" x14ac:dyDescent="0.25">
      <c r="A55">
        <v>140</v>
      </c>
      <c r="B55">
        <f t="shared" si="12"/>
        <v>0.64278760968653947</v>
      </c>
      <c r="C55">
        <f t="shared" si="13"/>
        <v>3.6427876096865397</v>
      </c>
      <c r="D55">
        <f t="shared" si="13"/>
        <v>7.6427876096865397</v>
      </c>
      <c r="G55">
        <f t="shared" si="14"/>
        <v>1.2855752193730794</v>
      </c>
      <c r="H55">
        <f t="shared" si="15"/>
        <v>1.4088320528055176</v>
      </c>
      <c r="I55">
        <f t="shared" si="16"/>
        <v>0.30076746636087037</v>
      </c>
    </row>
    <row r="56" spans="1:9" x14ac:dyDescent="0.25">
      <c r="A56">
        <v>150</v>
      </c>
      <c r="B56">
        <f t="shared" si="12"/>
        <v>0.49999999999999994</v>
      </c>
      <c r="C56">
        <f t="shared" si="13"/>
        <v>3.5</v>
      </c>
      <c r="D56">
        <f t="shared" si="13"/>
        <v>7.5</v>
      </c>
      <c r="G56">
        <f t="shared" si="14"/>
        <v>1</v>
      </c>
      <c r="H56">
        <f t="shared" si="15"/>
        <v>1.3660254037844384</v>
      </c>
      <c r="I56">
        <f t="shared" si="16"/>
        <v>0.32635182233306992</v>
      </c>
    </row>
    <row r="57" spans="1:9" x14ac:dyDescent="0.25">
      <c r="A57">
        <v>160</v>
      </c>
      <c r="B57">
        <f t="shared" si="12"/>
        <v>0.34202014332566888</v>
      </c>
      <c r="C57">
        <f t="shared" si="13"/>
        <v>3.3420201433256689</v>
      </c>
      <c r="D57">
        <f t="shared" si="13"/>
        <v>7.3420201433256693</v>
      </c>
      <c r="G57">
        <f t="shared" si="14"/>
        <v>0.68404028665133731</v>
      </c>
      <c r="H57">
        <f t="shared" si="15"/>
        <v>1.2817127641115778</v>
      </c>
      <c r="I57">
        <f t="shared" si="16"/>
        <v>0.34202014332566888</v>
      </c>
    </row>
    <row r="58" spans="1:9" x14ac:dyDescent="0.25">
      <c r="A58">
        <v>170</v>
      </c>
      <c r="B58">
        <f t="shared" si="12"/>
        <v>0.17364817766693028</v>
      </c>
      <c r="C58">
        <f t="shared" si="13"/>
        <v>3.1736481776669301</v>
      </c>
      <c r="D58">
        <f t="shared" si="13"/>
        <v>7.1736481776669301</v>
      </c>
      <c r="G58">
        <f t="shared" si="14"/>
        <v>0.34729635533386016</v>
      </c>
      <c r="H58">
        <f t="shared" si="15"/>
        <v>1.1584559306791382</v>
      </c>
      <c r="I58">
        <f t="shared" si="16"/>
        <v>0.34729635533386016</v>
      </c>
    </row>
    <row r="59" spans="1:9" x14ac:dyDescent="0.25">
      <c r="A59">
        <v>180</v>
      </c>
      <c r="B59">
        <f t="shared" si="12"/>
        <v>1.22514845490862E-16</v>
      </c>
      <c r="C59">
        <f t="shared" si="13"/>
        <v>3</v>
      </c>
      <c r="D59">
        <f t="shared" si="13"/>
        <v>7</v>
      </c>
      <c r="G59">
        <f t="shared" si="14"/>
        <v>0</v>
      </c>
      <c r="H59">
        <f t="shared" si="15"/>
        <v>1</v>
      </c>
      <c r="I59">
        <f t="shared" si="16"/>
        <v>0.34202014332566844</v>
      </c>
    </row>
    <row r="60" spans="1:9" x14ac:dyDescent="0.25">
      <c r="A60">
        <v>190</v>
      </c>
      <c r="B60">
        <f t="shared" si="12"/>
        <v>-0.17364817766693047</v>
      </c>
      <c r="C60">
        <f t="shared" si="13"/>
        <v>2.8263518223330695</v>
      </c>
      <c r="D60">
        <f t="shared" si="13"/>
        <v>6.8263518223330699</v>
      </c>
      <c r="G60">
        <f t="shared" si="14"/>
        <v>-0.34729635533386061</v>
      </c>
      <c r="H60">
        <f t="shared" si="15"/>
        <v>0.81115957534527761</v>
      </c>
      <c r="I60">
        <f t="shared" si="16"/>
        <v>0.32635182233306947</v>
      </c>
    </row>
    <row r="61" spans="1:9" x14ac:dyDescent="0.25">
      <c r="A61">
        <v>200</v>
      </c>
      <c r="B61">
        <f t="shared" si="12"/>
        <v>-0.34202014332566866</v>
      </c>
      <c r="C61">
        <f t="shared" si="13"/>
        <v>2.6579798566743316</v>
      </c>
      <c r="D61">
        <f t="shared" si="13"/>
        <v>6.6579798566743316</v>
      </c>
      <c r="G61">
        <f t="shared" si="14"/>
        <v>-0.68404028665133776</v>
      </c>
      <c r="H61">
        <f t="shared" si="15"/>
        <v>0.59767247746023955</v>
      </c>
      <c r="I61">
        <f t="shared" si="16"/>
        <v>0.30076746636087126</v>
      </c>
    </row>
    <row r="62" spans="1:9" x14ac:dyDescent="0.25">
      <c r="A62">
        <v>210</v>
      </c>
      <c r="B62">
        <f t="shared" si="12"/>
        <v>-0.50000000000000011</v>
      </c>
      <c r="C62">
        <f t="shared" si="13"/>
        <v>2.5</v>
      </c>
      <c r="D62">
        <f t="shared" si="13"/>
        <v>6.5</v>
      </c>
      <c r="G62">
        <f t="shared" si="14"/>
        <v>-1</v>
      </c>
      <c r="H62">
        <f t="shared" si="15"/>
        <v>0.36602540378443837</v>
      </c>
      <c r="I62">
        <f t="shared" si="16"/>
        <v>0.2660444431189779</v>
      </c>
    </row>
    <row r="63" spans="1:9" x14ac:dyDescent="0.25">
      <c r="A63">
        <v>220</v>
      </c>
      <c r="B63">
        <f t="shared" si="12"/>
        <v>-0.64278760968653925</v>
      </c>
      <c r="C63">
        <f t="shared" si="13"/>
        <v>2.3572123903134607</v>
      </c>
      <c r="D63">
        <f t="shared" si="13"/>
        <v>6.3572123903134603</v>
      </c>
      <c r="G63">
        <f t="shared" si="14"/>
        <v>-1.2855752193730781</v>
      </c>
      <c r="H63">
        <f t="shared" si="15"/>
        <v>0.12325683343243865</v>
      </c>
      <c r="I63">
        <f t="shared" si="16"/>
        <v>0.22323779409789912</v>
      </c>
    </row>
    <row r="64" spans="1:9" x14ac:dyDescent="0.25">
      <c r="A64">
        <v>230</v>
      </c>
      <c r="B64">
        <f t="shared" si="12"/>
        <v>-0.7660444431189779</v>
      </c>
      <c r="C64">
        <f t="shared" si="13"/>
        <v>2.2339555568810221</v>
      </c>
      <c r="D64">
        <f t="shared" si="13"/>
        <v>6.2339555568810221</v>
      </c>
      <c r="G64">
        <f t="shared" si="14"/>
        <v>-1.5320888862379558</v>
      </c>
      <c r="H64">
        <f t="shared" si="15"/>
        <v>-0.12325683343243821</v>
      </c>
      <c r="I64">
        <f t="shared" si="16"/>
        <v>0.17364817766693097</v>
      </c>
    </row>
    <row r="65" spans="1:9" x14ac:dyDescent="0.25">
      <c r="A65">
        <v>240</v>
      </c>
      <c r="B65">
        <f t="shared" si="12"/>
        <v>-0.86602540378443837</v>
      </c>
      <c r="C65">
        <f t="shared" si="13"/>
        <v>2.1339745962155616</v>
      </c>
      <c r="D65">
        <f t="shared" si="13"/>
        <v>6.1339745962155616</v>
      </c>
      <c r="G65">
        <f t="shared" si="14"/>
        <v>-1.7320508075688776</v>
      </c>
      <c r="H65">
        <f t="shared" si="15"/>
        <v>-0.36602540378443837</v>
      </c>
      <c r="I65">
        <f t="shared" si="16"/>
        <v>0.11878234922776976</v>
      </c>
    </row>
    <row r="66" spans="1:9" x14ac:dyDescent="0.25">
      <c r="A66">
        <v>250</v>
      </c>
      <c r="B66">
        <f t="shared" si="12"/>
        <v>-0.93969262078590843</v>
      </c>
      <c r="C66">
        <f t="shared" si="13"/>
        <v>2.0603073792140916</v>
      </c>
      <c r="D66">
        <f t="shared" si="13"/>
        <v>6.0603073792140911</v>
      </c>
      <c r="G66">
        <f t="shared" si="14"/>
        <v>-1.8793852415718173</v>
      </c>
      <c r="H66">
        <f t="shared" si="15"/>
        <v>-0.59767247746023999</v>
      </c>
      <c r="I66">
        <f t="shared" si="16"/>
        <v>6.0307379214091572E-2</v>
      </c>
    </row>
    <row r="67" spans="1:9" x14ac:dyDescent="0.25">
      <c r="A67">
        <v>260</v>
      </c>
      <c r="B67">
        <f t="shared" si="12"/>
        <v>-0.98480775301220802</v>
      </c>
      <c r="C67">
        <f t="shared" si="13"/>
        <v>2.0151922469877919</v>
      </c>
      <c r="D67">
        <f t="shared" si="13"/>
        <v>6.0151922469877919</v>
      </c>
      <c r="G67">
        <f t="shared" si="14"/>
        <v>-1.9696155060244163</v>
      </c>
      <c r="H67">
        <f t="shared" si="15"/>
        <v>-0.81115957534527805</v>
      </c>
      <c r="I67">
        <f t="shared" si="16"/>
        <v>0</v>
      </c>
    </row>
    <row r="68" spans="1:9" x14ac:dyDescent="0.25">
      <c r="A68">
        <v>270</v>
      </c>
      <c r="B68">
        <f t="shared" si="12"/>
        <v>-1</v>
      </c>
      <c r="C68">
        <f t="shared" si="13"/>
        <v>2</v>
      </c>
      <c r="D68">
        <f t="shared" si="13"/>
        <v>6</v>
      </c>
      <c r="G68">
        <f t="shared" si="14"/>
        <v>-2</v>
      </c>
      <c r="H68">
        <f t="shared" si="15"/>
        <v>-1</v>
      </c>
      <c r="I68">
        <f t="shared" si="16"/>
        <v>-6.0307379214092016E-2</v>
      </c>
    </row>
    <row r="69" spans="1:9" x14ac:dyDescent="0.25">
      <c r="A69">
        <v>280</v>
      </c>
      <c r="B69">
        <f t="shared" si="12"/>
        <v>-0.98480775301220813</v>
      </c>
      <c r="C69">
        <f t="shared" si="13"/>
        <v>2.0151922469877919</v>
      </c>
      <c r="D69">
        <f t="shared" si="13"/>
        <v>6.0151922469877919</v>
      </c>
      <c r="G69">
        <f t="shared" si="14"/>
        <v>-1.9696155060244163</v>
      </c>
      <c r="H69">
        <f t="shared" si="15"/>
        <v>-1.1584559306791382</v>
      </c>
      <c r="I69">
        <f t="shared" si="16"/>
        <v>-0.11878234922776976</v>
      </c>
    </row>
    <row r="70" spans="1:9" x14ac:dyDescent="0.25">
      <c r="A70">
        <v>290</v>
      </c>
      <c r="B70">
        <f t="shared" si="12"/>
        <v>-0.93969262078590832</v>
      </c>
      <c r="C70">
        <f t="shared" si="13"/>
        <v>2.0603073792140916</v>
      </c>
      <c r="D70">
        <f t="shared" si="13"/>
        <v>6.060307379214092</v>
      </c>
      <c r="G70">
        <f t="shared" si="14"/>
        <v>-1.8793852415718173</v>
      </c>
      <c r="H70">
        <f t="shared" si="15"/>
        <v>-1.2817127641115778</v>
      </c>
      <c r="I70">
        <f t="shared" si="16"/>
        <v>-0.17364817766693053</v>
      </c>
    </row>
    <row r="71" spans="1:9" x14ac:dyDescent="0.25">
      <c r="A71">
        <v>300</v>
      </c>
      <c r="B71">
        <f t="shared" si="12"/>
        <v>-0.8660254037844386</v>
      </c>
      <c r="C71">
        <f t="shared" si="13"/>
        <v>2.1339745962155616</v>
      </c>
      <c r="D71">
        <f t="shared" si="13"/>
        <v>6.1339745962155616</v>
      </c>
      <c r="G71">
        <f t="shared" si="14"/>
        <v>-1.7320508075688776</v>
      </c>
      <c r="H71">
        <f t="shared" si="15"/>
        <v>-1.3660254037844384</v>
      </c>
      <c r="I71">
        <f t="shared" si="16"/>
        <v>-0.22323779409789868</v>
      </c>
    </row>
    <row r="72" spans="1:9" x14ac:dyDescent="0.25">
      <c r="A72">
        <v>310</v>
      </c>
      <c r="B72">
        <f t="shared" si="12"/>
        <v>-0.76604444311897812</v>
      </c>
      <c r="C72">
        <f t="shared" si="13"/>
        <v>2.2339555568810221</v>
      </c>
      <c r="D72">
        <f t="shared" si="13"/>
        <v>6.2339555568810221</v>
      </c>
      <c r="G72">
        <f t="shared" si="14"/>
        <v>-1.5320888862379558</v>
      </c>
      <c r="H72">
        <f t="shared" si="15"/>
        <v>-1.4088320528055167</v>
      </c>
      <c r="I72">
        <f t="shared" si="16"/>
        <v>-0.2660444431189779</v>
      </c>
    </row>
    <row r="73" spans="1:9" x14ac:dyDescent="0.25">
      <c r="A73">
        <v>320</v>
      </c>
      <c r="B73">
        <f t="shared" si="12"/>
        <v>-0.64278760968653958</v>
      </c>
      <c r="C73">
        <f t="shared" si="13"/>
        <v>2.3572123903134603</v>
      </c>
      <c r="D73">
        <f t="shared" si="13"/>
        <v>6.3572123903134603</v>
      </c>
      <c r="G73">
        <f t="shared" si="14"/>
        <v>-1.2855752193730785</v>
      </c>
      <c r="H73">
        <f t="shared" si="15"/>
        <v>-1.4088320528055176</v>
      </c>
      <c r="I73">
        <f t="shared" si="16"/>
        <v>-0.30076746636087126</v>
      </c>
    </row>
    <row r="74" spans="1:9" x14ac:dyDescent="0.25">
      <c r="A74">
        <v>330</v>
      </c>
      <c r="B74">
        <f t="shared" si="12"/>
        <v>-0.50000000000000044</v>
      </c>
      <c r="C74">
        <f t="shared" ref="C74:D114" si="17">$B74+C$39</f>
        <v>2.4999999999999996</v>
      </c>
      <c r="D74">
        <f t="shared" si="17"/>
        <v>6.5</v>
      </c>
      <c r="G74">
        <f t="shared" si="14"/>
        <v>-1.0000000000000004</v>
      </c>
      <c r="H74">
        <f t="shared" si="15"/>
        <v>-1.3660254037844397</v>
      </c>
      <c r="I74">
        <f t="shared" si="16"/>
        <v>-0.32635182233307036</v>
      </c>
    </row>
    <row r="75" spans="1:9" x14ac:dyDescent="0.25">
      <c r="A75">
        <v>340</v>
      </c>
      <c r="B75">
        <f t="shared" si="12"/>
        <v>-0.3420201433256686</v>
      </c>
      <c r="C75">
        <f t="shared" si="17"/>
        <v>2.6579798566743316</v>
      </c>
      <c r="D75">
        <f t="shared" si="17"/>
        <v>6.6579798566743316</v>
      </c>
      <c r="G75">
        <f t="shared" si="14"/>
        <v>-0.68404028665133687</v>
      </c>
      <c r="H75">
        <f t="shared" si="15"/>
        <v>-1.2817127641115773</v>
      </c>
      <c r="I75">
        <f t="shared" si="16"/>
        <v>-0.34202014332566844</v>
      </c>
    </row>
    <row r="76" spans="1:9" x14ac:dyDescent="0.25">
      <c r="A76">
        <v>350</v>
      </c>
      <c r="B76">
        <f t="shared" si="12"/>
        <v>-0.17364817766693039</v>
      </c>
      <c r="C76">
        <f t="shared" si="17"/>
        <v>2.8263518223330695</v>
      </c>
      <c r="D76">
        <f t="shared" si="17"/>
        <v>6.8263518223330699</v>
      </c>
      <c r="G76">
        <f t="shared" si="14"/>
        <v>-0.34729635533386061</v>
      </c>
      <c r="H76">
        <f t="shared" si="15"/>
        <v>-1.1584559306791387</v>
      </c>
      <c r="I76">
        <f t="shared" si="16"/>
        <v>-0.34729635533386061</v>
      </c>
    </row>
    <row r="77" spans="1:9" x14ac:dyDescent="0.25">
      <c r="A77">
        <v>360</v>
      </c>
      <c r="B77">
        <f t="shared" si="12"/>
        <v>-2.45029690981724E-16</v>
      </c>
      <c r="C77">
        <f t="shared" si="17"/>
        <v>2.9999999999999996</v>
      </c>
      <c r="D77">
        <f t="shared" si="17"/>
        <v>7</v>
      </c>
      <c r="G77">
        <f t="shared" si="14"/>
        <v>-4.4408920985006262E-16</v>
      </c>
      <c r="H77">
        <f t="shared" si="15"/>
        <v>-1.0000000000000004</v>
      </c>
      <c r="I77">
        <f t="shared" si="16"/>
        <v>-0.34202014332566977</v>
      </c>
    </row>
    <row r="78" spans="1:9" x14ac:dyDescent="0.25">
      <c r="A78">
        <v>370</v>
      </c>
      <c r="B78">
        <f t="shared" si="12"/>
        <v>0.17364817766692991</v>
      </c>
      <c r="C78">
        <f t="shared" si="17"/>
        <v>3.1736481776669301</v>
      </c>
      <c r="D78">
        <f t="shared" si="17"/>
        <v>7.1736481776669301</v>
      </c>
      <c r="G78">
        <f t="shared" si="14"/>
        <v>0.34729635533386016</v>
      </c>
      <c r="H78">
        <f t="shared" si="15"/>
        <v>-0.81115957534527805</v>
      </c>
      <c r="I78">
        <f t="shared" si="16"/>
        <v>-0.32635182233306992</v>
      </c>
    </row>
    <row r="79" spans="1:9" x14ac:dyDescent="0.25">
      <c r="A79">
        <v>380</v>
      </c>
      <c r="B79">
        <f t="shared" si="12"/>
        <v>0.34202014332566893</v>
      </c>
      <c r="C79">
        <f t="shared" si="17"/>
        <v>3.3420201433256689</v>
      </c>
      <c r="D79">
        <f t="shared" si="17"/>
        <v>7.3420201433256693</v>
      </c>
      <c r="G79">
        <f t="shared" si="14"/>
        <v>0.68404028665133643</v>
      </c>
      <c r="H79">
        <f t="shared" si="15"/>
        <v>-0.59767247746023999</v>
      </c>
      <c r="I79">
        <f t="shared" si="16"/>
        <v>-0.30076746636086993</v>
      </c>
    </row>
    <row r="80" spans="1:9" x14ac:dyDescent="0.25">
      <c r="A80">
        <v>390</v>
      </c>
      <c r="B80">
        <f t="shared" si="12"/>
        <v>0.5</v>
      </c>
      <c r="C80">
        <f t="shared" si="17"/>
        <v>3.5</v>
      </c>
      <c r="D80">
        <f t="shared" si="17"/>
        <v>7.5</v>
      </c>
      <c r="G80">
        <f t="shared" si="14"/>
        <v>0.99999999999999911</v>
      </c>
      <c r="H80">
        <f t="shared" si="15"/>
        <v>-0.36602540378443926</v>
      </c>
      <c r="I80">
        <f t="shared" si="16"/>
        <v>-0.2660444431189779</v>
      </c>
    </row>
    <row r="81" spans="1:9" x14ac:dyDescent="0.25">
      <c r="A81">
        <v>400</v>
      </c>
      <c r="B81">
        <f t="shared" si="12"/>
        <v>0.64278760968653914</v>
      </c>
      <c r="C81">
        <f t="shared" si="17"/>
        <v>3.6427876096865393</v>
      </c>
      <c r="D81">
        <f t="shared" si="17"/>
        <v>7.6427876096865388</v>
      </c>
      <c r="G81">
        <f t="shared" si="14"/>
        <v>1.2855752193730789</v>
      </c>
      <c r="H81">
        <f t="shared" si="15"/>
        <v>-0.12325683343243865</v>
      </c>
      <c r="I81">
        <f t="shared" si="16"/>
        <v>-0.22323779409790001</v>
      </c>
    </row>
    <row r="82" spans="1:9" x14ac:dyDescent="0.25">
      <c r="A82">
        <v>410</v>
      </c>
      <c r="B82">
        <f t="shared" si="12"/>
        <v>0.76604444311897779</v>
      </c>
      <c r="C82">
        <f t="shared" si="17"/>
        <v>3.7660444431189779</v>
      </c>
      <c r="D82">
        <f t="shared" si="17"/>
        <v>7.7660444431189779</v>
      </c>
      <c r="G82">
        <f t="shared" si="14"/>
        <v>1.5320888862379558</v>
      </c>
      <c r="H82">
        <f t="shared" si="15"/>
        <v>0.12325683343243909</v>
      </c>
      <c r="I82">
        <f t="shared" si="16"/>
        <v>-0.17364817766693097</v>
      </c>
    </row>
    <row r="83" spans="1:9" x14ac:dyDescent="0.25">
      <c r="A83">
        <v>420</v>
      </c>
      <c r="B83">
        <f t="shared" si="12"/>
        <v>0.86602540378443882</v>
      </c>
      <c r="C83">
        <f t="shared" si="17"/>
        <v>3.8660254037844388</v>
      </c>
      <c r="D83">
        <f t="shared" si="17"/>
        <v>7.8660254037844393</v>
      </c>
      <c r="G83">
        <f t="shared" si="14"/>
        <v>1.7320508075688772</v>
      </c>
      <c r="H83">
        <f t="shared" si="15"/>
        <v>0.36602540378443882</v>
      </c>
      <c r="I83">
        <f t="shared" si="16"/>
        <v>-0.11878234922776931</v>
      </c>
    </row>
    <row r="84" spans="1:9" x14ac:dyDescent="0.25">
      <c r="A84">
        <v>430</v>
      </c>
      <c r="B84">
        <f t="shared" si="12"/>
        <v>0.93969262078590843</v>
      </c>
      <c r="C84">
        <f t="shared" si="17"/>
        <v>3.9396926207859084</v>
      </c>
      <c r="D84">
        <f t="shared" si="17"/>
        <v>7.9396926207859089</v>
      </c>
      <c r="G84">
        <f t="shared" si="14"/>
        <v>1.8793852415718173</v>
      </c>
      <c r="H84">
        <f t="shared" si="15"/>
        <v>0.59767247746023999</v>
      </c>
      <c r="I84">
        <f t="shared" si="16"/>
        <v>-6.0307379214091572E-2</v>
      </c>
    </row>
    <row r="85" spans="1:9" x14ac:dyDescent="0.25">
      <c r="A85">
        <v>440</v>
      </c>
      <c r="B85">
        <f t="shared" si="12"/>
        <v>0.98480775301220802</v>
      </c>
      <c r="C85">
        <f t="shared" si="17"/>
        <v>3.9848077530122081</v>
      </c>
      <c r="D85">
        <f t="shared" si="17"/>
        <v>7.9848077530122081</v>
      </c>
      <c r="G85">
        <f t="shared" si="14"/>
        <v>1.9696155060244163</v>
      </c>
      <c r="H85">
        <f t="shared" si="15"/>
        <v>0.81115957534527805</v>
      </c>
      <c r="I85">
        <f t="shared" si="16"/>
        <v>0</v>
      </c>
    </row>
    <row r="86" spans="1:9" x14ac:dyDescent="0.25">
      <c r="A86">
        <v>450</v>
      </c>
      <c r="B86">
        <f t="shared" si="12"/>
        <v>1</v>
      </c>
      <c r="C86">
        <f t="shared" si="17"/>
        <v>4</v>
      </c>
      <c r="D86">
        <f t="shared" si="17"/>
        <v>8</v>
      </c>
      <c r="G86">
        <f t="shared" si="14"/>
        <v>2</v>
      </c>
      <c r="H86">
        <f t="shared" si="15"/>
        <v>1</v>
      </c>
      <c r="I86">
        <f t="shared" si="16"/>
        <v>6.0307379214091128E-2</v>
      </c>
    </row>
    <row r="87" spans="1:9" x14ac:dyDescent="0.25">
      <c r="A87">
        <v>460</v>
      </c>
      <c r="B87">
        <f t="shared" si="12"/>
        <v>0.98480775301220813</v>
      </c>
      <c r="C87">
        <f t="shared" si="17"/>
        <v>3.9848077530122081</v>
      </c>
      <c r="D87">
        <f t="shared" si="17"/>
        <v>7.9848077530122081</v>
      </c>
      <c r="G87">
        <f t="shared" si="14"/>
        <v>1.9696155060244163</v>
      </c>
      <c r="H87">
        <f t="shared" si="15"/>
        <v>1.1584559306791382</v>
      </c>
      <c r="I87">
        <f t="shared" si="16"/>
        <v>0.11878234922776887</v>
      </c>
    </row>
    <row r="88" spans="1:9" x14ac:dyDescent="0.25">
      <c r="A88">
        <v>470</v>
      </c>
      <c r="B88">
        <f t="shared" si="12"/>
        <v>0.93969262078590865</v>
      </c>
      <c r="C88">
        <f t="shared" si="17"/>
        <v>3.9396926207859089</v>
      </c>
      <c r="D88">
        <f t="shared" si="17"/>
        <v>7.9396926207859089</v>
      </c>
      <c r="G88">
        <f t="shared" si="14"/>
        <v>1.8793852415718177</v>
      </c>
      <c r="H88">
        <f t="shared" si="15"/>
        <v>1.2817127641115764</v>
      </c>
      <c r="I88">
        <f t="shared" si="16"/>
        <v>0.17364817766693097</v>
      </c>
    </row>
    <row r="89" spans="1:9" x14ac:dyDescent="0.25">
      <c r="A89">
        <v>480</v>
      </c>
      <c r="B89">
        <f t="shared" si="12"/>
        <v>0.86602540378443915</v>
      </c>
      <c r="C89">
        <f t="shared" si="17"/>
        <v>3.8660254037844393</v>
      </c>
      <c r="D89">
        <f t="shared" si="17"/>
        <v>7.8660254037844393</v>
      </c>
      <c r="G89">
        <f t="shared" si="14"/>
        <v>1.7320508075688785</v>
      </c>
      <c r="H89">
        <f t="shared" si="15"/>
        <v>1.3660254037844384</v>
      </c>
      <c r="I89">
        <f t="shared" si="16"/>
        <v>0.22323779409790045</v>
      </c>
    </row>
    <row r="90" spans="1:9" x14ac:dyDescent="0.25">
      <c r="A90">
        <v>490</v>
      </c>
      <c r="B90">
        <f t="shared" si="12"/>
        <v>0.76604444311897757</v>
      </c>
      <c r="C90">
        <f t="shared" si="17"/>
        <v>3.7660444431189775</v>
      </c>
      <c r="D90">
        <f t="shared" si="17"/>
        <v>7.7660444431189779</v>
      </c>
      <c r="G90">
        <f t="shared" si="14"/>
        <v>1.5320888862379554</v>
      </c>
      <c r="H90">
        <f t="shared" si="15"/>
        <v>1.4088320528055172</v>
      </c>
      <c r="I90">
        <f t="shared" si="16"/>
        <v>0.26604444311897746</v>
      </c>
    </row>
    <row r="91" spans="1:9" x14ac:dyDescent="0.25">
      <c r="A91">
        <v>500</v>
      </c>
      <c r="B91">
        <f t="shared" si="12"/>
        <v>0.64278760968653903</v>
      </c>
      <c r="C91">
        <f t="shared" si="17"/>
        <v>3.6427876096865388</v>
      </c>
      <c r="D91">
        <f t="shared" si="17"/>
        <v>7.6427876096865388</v>
      </c>
      <c r="G91">
        <f t="shared" si="14"/>
        <v>1.2855752193730776</v>
      </c>
      <c r="H91">
        <f t="shared" si="15"/>
        <v>1.4088320528055167</v>
      </c>
      <c r="I91">
        <f t="shared" si="16"/>
        <v>0.30076746636087037</v>
      </c>
    </row>
    <row r="92" spans="1:9" x14ac:dyDescent="0.25">
      <c r="A92">
        <v>510</v>
      </c>
      <c r="B92">
        <f t="shared" si="12"/>
        <v>0.49999999999999978</v>
      </c>
      <c r="C92">
        <f t="shared" si="17"/>
        <v>3.5</v>
      </c>
      <c r="D92">
        <f t="shared" si="17"/>
        <v>7.5</v>
      </c>
      <c r="G92">
        <f t="shared" si="14"/>
        <v>1</v>
      </c>
      <c r="H92">
        <f t="shared" si="15"/>
        <v>1.3660254037844384</v>
      </c>
      <c r="I92">
        <f t="shared" si="16"/>
        <v>0.32635182233306992</v>
      </c>
    </row>
    <row r="93" spans="1:9" x14ac:dyDescent="0.25">
      <c r="A93">
        <v>520</v>
      </c>
      <c r="B93">
        <f t="shared" si="12"/>
        <v>0.34202014332566871</v>
      </c>
      <c r="C93">
        <f t="shared" si="17"/>
        <v>3.3420201433256689</v>
      </c>
      <c r="D93">
        <f t="shared" si="17"/>
        <v>7.3420201433256684</v>
      </c>
      <c r="G93">
        <f t="shared" si="14"/>
        <v>0.68404028665133731</v>
      </c>
      <c r="H93">
        <f t="shared" si="15"/>
        <v>1.2817127641115778</v>
      </c>
      <c r="I93">
        <f t="shared" si="16"/>
        <v>0.34202014332566888</v>
      </c>
    </row>
    <row r="94" spans="1:9" x14ac:dyDescent="0.25">
      <c r="A94">
        <v>530</v>
      </c>
      <c r="B94">
        <f t="shared" si="12"/>
        <v>0.1736481776669305</v>
      </c>
      <c r="C94">
        <f t="shared" si="17"/>
        <v>3.1736481776669305</v>
      </c>
      <c r="D94">
        <f t="shared" si="17"/>
        <v>7.1736481776669301</v>
      </c>
      <c r="G94">
        <f t="shared" si="14"/>
        <v>0.3472963553338615</v>
      </c>
      <c r="H94">
        <f t="shared" si="15"/>
        <v>1.1584559306791387</v>
      </c>
      <c r="I94">
        <f t="shared" si="16"/>
        <v>0.34729635533386061</v>
      </c>
    </row>
    <row r="95" spans="1:9" x14ac:dyDescent="0.25">
      <c r="A95">
        <v>540</v>
      </c>
      <c r="B95">
        <f t="shared" si="12"/>
        <v>3.67544536472586E-16</v>
      </c>
      <c r="C95">
        <f t="shared" si="17"/>
        <v>3.0000000000000004</v>
      </c>
      <c r="D95">
        <f t="shared" si="17"/>
        <v>7</v>
      </c>
      <c r="G95">
        <f t="shared" si="14"/>
        <v>1.3322676295501878E-15</v>
      </c>
      <c r="H95">
        <f t="shared" si="15"/>
        <v>1.0000000000000004</v>
      </c>
      <c r="I95">
        <f t="shared" si="16"/>
        <v>0.34202014332566799</v>
      </c>
    </row>
    <row r="96" spans="1:9" x14ac:dyDescent="0.25">
      <c r="A96">
        <v>550</v>
      </c>
      <c r="B96">
        <f t="shared" si="12"/>
        <v>-0.17364817766692978</v>
      </c>
      <c r="C96">
        <f t="shared" si="17"/>
        <v>2.8263518223330704</v>
      </c>
      <c r="D96">
        <f t="shared" si="17"/>
        <v>6.8263518223330699</v>
      </c>
      <c r="G96">
        <f t="shared" si="14"/>
        <v>-0.34729635533385972</v>
      </c>
      <c r="H96">
        <f t="shared" si="15"/>
        <v>0.81115957534527849</v>
      </c>
      <c r="I96">
        <f t="shared" si="16"/>
        <v>0.32635182233306947</v>
      </c>
    </row>
    <row r="97" spans="1:9" x14ac:dyDescent="0.25">
      <c r="A97">
        <v>560</v>
      </c>
      <c r="B97">
        <f t="shared" si="12"/>
        <v>-0.34202014332566799</v>
      </c>
      <c r="C97">
        <f t="shared" si="17"/>
        <v>2.657979856674332</v>
      </c>
      <c r="D97">
        <f t="shared" si="17"/>
        <v>6.6579798566743325</v>
      </c>
      <c r="G97">
        <f t="shared" si="14"/>
        <v>-0.68404028665133554</v>
      </c>
      <c r="H97">
        <f t="shared" si="15"/>
        <v>0.59767247746024088</v>
      </c>
      <c r="I97">
        <f t="shared" si="16"/>
        <v>0.3007674663608717</v>
      </c>
    </row>
    <row r="98" spans="1:9" x14ac:dyDescent="0.25">
      <c r="A98">
        <v>570</v>
      </c>
      <c r="B98">
        <f t="shared" si="12"/>
        <v>-0.49999999999999917</v>
      </c>
      <c r="C98">
        <f t="shared" si="17"/>
        <v>2.5000000000000009</v>
      </c>
      <c r="D98">
        <f t="shared" si="17"/>
        <v>6.5000000000000009</v>
      </c>
      <c r="G98">
        <f t="shared" si="14"/>
        <v>-0.99999999999999822</v>
      </c>
      <c r="H98">
        <f t="shared" si="15"/>
        <v>0.36602540378444015</v>
      </c>
      <c r="I98">
        <f t="shared" si="16"/>
        <v>0.26604444311897879</v>
      </c>
    </row>
    <row r="99" spans="1:9" x14ac:dyDescent="0.25">
      <c r="A99">
        <v>580</v>
      </c>
      <c r="B99">
        <f t="shared" si="12"/>
        <v>-0.64278760968653981</v>
      </c>
      <c r="C99">
        <f t="shared" si="17"/>
        <v>2.3572123903134603</v>
      </c>
      <c r="D99">
        <f t="shared" si="17"/>
        <v>6.3572123903134603</v>
      </c>
      <c r="G99">
        <f t="shared" si="14"/>
        <v>-1.2855752193730794</v>
      </c>
      <c r="H99">
        <f t="shared" si="15"/>
        <v>0.12325683343243821</v>
      </c>
      <c r="I99">
        <f t="shared" si="16"/>
        <v>0.22323779409789868</v>
      </c>
    </row>
    <row r="100" spans="1:9" x14ac:dyDescent="0.25">
      <c r="A100">
        <v>590</v>
      </c>
      <c r="B100">
        <f t="shared" si="12"/>
        <v>-0.76604444311897824</v>
      </c>
      <c r="C100">
        <f t="shared" si="17"/>
        <v>2.2339555568810217</v>
      </c>
      <c r="D100">
        <f t="shared" si="17"/>
        <v>6.2339555568810221</v>
      </c>
      <c r="G100">
        <f t="shared" si="14"/>
        <v>-1.5320888862379562</v>
      </c>
      <c r="H100">
        <f t="shared" si="15"/>
        <v>-0.12325683343243954</v>
      </c>
      <c r="I100">
        <f t="shared" si="16"/>
        <v>0.17364817766693053</v>
      </c>
    </row>
    <row r="101" spans="1:9" x14ac:dyDescent="0.25">
      <c r="A101">
        <v>600</v>
      </c>
      <c r="B101">
        <f t="shared" si="12"/>
        <v>-0.86602540378443871</v>
      </c>
      <c r="C101">
        <f t="shared" si="17"/>
        <v>2.1339745962155612</v>
      </c>
      <c r="D101">
        <f t="shared" si="17"/>
        <v>6.1339745962155616</v>
      </c>
      <c r="G101">
        <f t="shared" si="14"/>
        <v>-1.7320508075688772</v>
      </c>
      <c r="H101">
        <f t="shared" si="15"/>
        <v>-0.36602540378443882</v>
      </c>
      <c r="I101">
        <f t="shared" si="16"/>
        <v>0.11878234922776931</v>
      </c>
    </row>
    <row r="102" spans="1:9" x14ac:dyDescent="0.25">
      <c r="A102">
        <v>610</v>
      </c>
      <c r="B102">
        <f t="shared" si="12"/>
        <v>-0.93969262078590843</v>
      </c>
      <c r="C102">
        <f t="shared" si="17"/>
        <v>2.0603073792140916</v>
      </c>
      <c r="D102">
        <f t="shared" si="17"/>
        <v>6.0603073792140911</v>
      </c>
      <c r="G102">
        <f t="shared" si="14"/>
        <v>-1.8793852415718164</v>
      </c>
      <c r="H102">
        <f t="shared" si="15"/>
        <v>-0.59767247746023999</v>
      </c>
      <c r="I102">
        <f t="shared" si="16"/>
        <v>6.0307379214091572E-2</v>
      </c>
    </row>
    <row r="103" spans="1:9" x14ac:dyDescent="0.25">
      <c r="A103">
        <v>620</v>
      </c>
      <c r="B103">
        <f t="shared" si="12"/>
        <v>-0.98480775301220802</v>
      </c>
      <c r="C103">
        <f t="shared" si="17"/>
        <v>2.0151922469877919</v>
      </c>
      <c r="D103">
        <f t="shared" si="17"/>
        <v>6.0151922469877919</v>
      </c>
      <c r="G103">
        <f t="shared" si="14"/>
        <v>-1.9696155060244163</v>
      </c>
      <c r="H103">
        <f t="shared" si="15"/>
        <v>-0.81115957534527716</v>
      </c>
      <c r="I103">
        <f t="shared" si="16"/>
        <v>0</v>
      </c>
    </row>
    <row r="104" spans="1:9" x14ac:dyDescent="0.25">
      <c r="A104">
        <v>630</v>
      </c>
      <c r="B104">
        <f t="shared" si="12"/>
        <v>-1</v>
      </c>
      <c r="C104">
        <f t="shared" si="17"/>
        <v>2</v>
      </c>
      <c r="D104">
        <f t="shared" si="17"/>
        <v>6</v>
      </c>
      <c r="G104">
        <f t="shared" si="14"/>
        <v>-2</v>
      </c>
      <c r="H104">
        <f t="shared" si="15"/>
        <v>-0.99999999999999911</v>
      </c>
      <c r="I104">
        <f t="shared" si="16"/>
        <v>-6.0307379214091128E-2</v>
      </c>
    </row>
    <row r="105" spans="1:9" x14ac:dyDescent="0.25">
      <c r="A105">
        <v>640</v>
      </c>
      <c r="B105">
        <f t="shared" si="12"/>
        <v>-0.98480775301220813</v>
      </c>
      <c r="C105">
        <f t="shared" si="17"/>
        <v>2.0151922469877919</v>
      </c>
      <c r="D105">
        <f t="shared" si="17"/>
        <v>6.0151922469877919</v>
      </c>
      <c r="G105">
        <f t="shared" si="14"/>
        <v>-1.9696155060244163</v>
      </c>
      <c r="H105">
        <f t="shared" si="15"/>
        <v>-1.1584559306791382</v>
      </c>
      <c r="I105">
        <f t="shared" si="16"/>
        <v>-0.11878234922776887</v>
      </c>
    </row>
    <row r="106" spans="1:9" x14ac:dyDescent="0.25">
      <c r="A106">
        <v>650</v>
      </c>
      <c r="B106">
        <f t="shared" ref="B106:B169" si="18">SIN(RADIANS(A106))</f>
        <v>-0.93969262078590865</v>
      </c>
      <c r="C106">
        <f t="shared" si="17"/>
        <v>2.0603073792140911</v>
      </c>
      <c r="D106">
        <f t="shared" si="17"/>
        <v>6.0603073792140911</v>
      </c>
      <c r="G106">
        <f t="shared" ref="G106:G112" si="19">(C106-C$39)-(D124-D$39)+G$38</f>
        <v>-1.8793852415718177</v>
      </c>
      <c r="H106">
        <f t="shared" ref="H106:H113" si="20">(C106-C$39)-(D115-D$39)+H$38</f>
        <v>-1.2817127641115764</v>
      </c>
      <c r="I106">
        <f t="shared" ref="I106:I113" si="21">(C106-C$39)-(D108-D$39)+I$38</f>
        <v>-0.17364817766693097</v>
      </c>
    </row>
    <row r="107" spans="1:9" x14ac:dyDescent="0.25">
      <c r="A107">
        <v>660</v>
      </c>
      <c r="B107">
        <f t="shared" si="18"/>
        <v>-0.86602540378443915</v>
      </c>
      <c r="C107">
        <f t="shared" si="17"/>
        <v>2.1339745962155607</v>
      </c>
      <c r="D107">
        <f t="shared" si="17"/>
        <v>6.1339745962155607</v>
      </c>
      <c r="G107">
        <f t="shared" si="19"/>
        <v>-1.7320508075688776</v>
      </c>
      <c r="H107">
        <f t="shared" si="20"/>
        <v>-1.3660254037844384</v>
      </c>
      <c r="I107">
        <f t="shared" si="21"/>
        <v>-0.22323779409790045</v>
      </c>
    </row>
    <row r="108" spans="1:9" x14ac:dyDescent="0.25">
      <c r="A108">
        <v>670</v>
      </c>
      <c r="B108">
        <f t="shared" si="18"/>
        <v>-0.76604444311897768</v>
      </c>
      <c r="C108">
        <f t="shared" si="17"/>
        <v>2.2339555568810221</v>
      </c>
      <c r="D108">
        <f t="shared" si="17"/>
        <v>6.2339555568810221</v>
      </c>
      <c r="G108">
        <f t="shared" si="19"/>
        <v>-1.5320888862379558</v>
      </c>
      <c r="H108">
        <f t="shared" si="20"/>
        <v>-1.4088320528055176</v>
      </c>
      <c r="I108">
        <f t="shared" si="21"/>
        <v>-0.2660444431189779</v>
      </c>
    </row>
    <row r="109" spans="1:9" x14ac:dyDescent="0.25">
      <c r="A109">
        <v>680</v>
      </c>
      <c r="B109">
        <f t="shared" si="18"/>
        <v>-0.64278760968653903</v>
      </c>
      <c r="C109">
        <f t="shared" si="17"/>
        <v>2.3572123903134612</v>
      </c>
      <c r="D109">
        <f t="shared" si="17"/>
        <v>6.3572123903134612</v>
      </c>
      <c r="G109">
        <f t="shared" si="19"/>
        <v>-1.2855752193730776</v>
      </c>
      <c r="H109">
        <f t="shared" si="20"/>
        <v>-1.4088320528055167</v>
      </c>
      <c r="I109">
        <f t="shared" si="21"/>
        <v>-0.30076746636087037</v>
      </c>
    </row>
    <row r="110" spans="1:9" x14ac:dyDescent="0.25">
      <c r="A110">
        <v>690</v>
      </c>
      <c r="B110">
        <f t="shared" si="18"/>
        <v>-0.49999999999999989</v>
      </c>
      <c r="C110">
        <f t="shared" si="17"/>
        <v>2.5</v>
      </c>
      <c r="D110">
        <f t="shared" si="17"/>
        <v>6.5</v>
      </c>
      <c r="G110">
        <f t="shared" si="19"/>
        <v>-1</v>
      </c>
      <c r="H110">
        <f t="shared" si="20"/>
        <v>-1.3660254037844384</v>
      </c>
      <c r="I110">
        <f t="shared" si="21"/>
        <v>-0.32635182233306903</v>
      </c>
    </row>
    <row r="111" spans="1:9" x14ac:dyDescent="0.25">
      <c r="A111">
        <v>700</v>
      </c>
      <c r="B111">
        <f t="shared" si="18"/>
        <v>-0.34202014332566882</v>
      </c>
      <c r="C111">
        <f t="shared" si="17"/>
        <v>2.6579798566743311</v>
      </c>
      <c r="D111">
        <f t="shared" si="17"/>
        <v>6.6579798566743316</v>
      </c>
      <c r="G111">
        <f t="shared" si="19"/>
        <v>-0.6840402866513382</v>
      </c>
      <c r="H111">
        <f t="shared" si="20"/>
        <v>-1.2817127641115769</v>
      </c>
      <c r="I111">
        <f t="shared" si="21"/>
        <v>-0.34202014332566799</v>
      </c>
    </row>
    <row r="112" spans="1:9" x14ac:dyDescent="0.25">
      <c r="A112">
        <v>710</v>
      </c>
      <c r="B112">
        <f t="shared" si="18"/>
        <v>-0.17364817766693064</v>
      </c>
      <c r="C112">
        <f t="shared" si="17"/>
        <v>2.8263518223330695</v>
      </c>
      <c r="D112">
        <f t="shared" si="17"/>
        <v>6.826351822333069</v>
      </c>
      <c r="G112">
        <f t="shared" si="19"/>
        <v>-0.3472963553338615</v>
      </c>
      <c r="H112">
        <f t="shared" si="20"/>
        <v>-1.1584559306791387</v>
      </c>
      <c r="I112">
        <f t="shared" si="21"/>
        <v>-0.34729635533386061</v>
      </c>
    </row>
    <row r="113" spans="1:9" x14ac:dyDescent="0.25">
      <c r="A113">
        <v>720</v>
      </c>
      <c r="B113">
        <f t="shared" si="18"/>
        <v>-4.90059381963448E-16</v>
      </c>
      <c r="C113">
        <f t="shared" si="17"/>
        <v>2.9999999999999996</v>
      </c>
      <c r="D113">
        <f t="shared" si="17"/>
        <v>6.9999999999999991</v>
      </c>
      <c r="G113">
        <f>(C113-C$39)-(D131-D$39)+G$38</f>
        <v>-1.3322676295501878E-15</v>
      </c>
      <c r="H113">
        <f t="shared" si="20"/>
        <v>-1.0000000000000004</v>
      </c>
      <c r="I113">
        <f t="shared" si="21"/>
        <v>-0.34202014332566799</v>
      </c>
    </row>
    <row r="114" spans="1:9" x14ac:dyDescent="0.25">
      <c r="A114">
        <v>730</v>
      </c>
      <c r="B114">
        <f t="shared" si="18"/>
        <v>0.17364817766692967</v>
      </c>
      <c r="C114">
        <f t="shared" si="17"/>
        <v>3.1736481776669296</v>
      </c>
      <c r="D114">
        <f t="shared" si="17"/>
        <v>7.1736481776669301</v>
      </c>
    </row>
    <row r="115" spans="1:9" x14ac:dyDescent="0.25">
      <c r="A115">
        <v>740</v>
      </c>
      <c r="B115">
        <f t="shared" si="18"/>
        <v>0.34202014332566788</v>
      </c>
      <c r="C115">
        <f t="shared" ref="C115:D130" si="22">$B115+C$39</f>
        <v>3.342020143325668</v>
      </c>
      <c r="D115">
        <f t="shared" si="22"/>
        <v>7.3420201433256675</v>
      </c>
    </row>
    <row r="116" spans="1:9" x14ac:dyDescent="0.25">
      <c r="A116">
        <v>750</v>
      </c>
      <c r="B116">
        <f t="shared" si="18"/>
        <v>0.49999999999999906</v>
      </c>
      <c r="C116">
        <f t="shared" si="22"/>
        <v>3.4999999999999991</v>
      </c>
      <c r="D116">
        <f t="shared" si="22"/>
        <v>7.4999999999999991</v>
      </c>
    </row>
    <row r="117" spans="1:9" x14ac:dyDescent="0.25">
      <c r="A117">
        <v>760</v>
      </c>
      <c r="B117">
        <f t="shared" si="18"/>
        <v>0.6427876096865397</v>
      </c>
      <c r="C117">
        <f t="shared" si="22"/>
        <v>3.6427876096865397</v>
      </c>
      <c r="D117">
        <f t="shared" si="22"/>
        <v>7.6427876096865397</v>
      </c>
    </row>
    <row r="118" spans="1:9" x14ac:dyDescent="0.25">
      <c r="A118">
        <v>770</v>
      </c>
      <c r="B118">
        <f t="shared" si="18"/>
        <v>0.76604444311897824</v>
      </c>
      <c r="C118">
        <f t="shared" si="22"/>
        <v>3.7660444431189783</v>
      </c>
      <c r="D118">
        <f t="shared" si="22"/>
        <v>7.7660444431189779</v>
      </c>
    </row>
    <row r="119" spans="1:9" x14ac:dyDescent="0.25">
      <c r="A119">
        <v>780</v>
      </c>
      <c r="B119">
        <f t="shared" si="18"/>
        <v>0.86602540378443871</v>
      </c>
      <c r="C119">
        <f t="shared" si="22"/>
        <v>3.8660254037844388</v>
      </c>
      <c r="D119">
        <f t="shared" si="22"/>
        <v>7.8660254037844384</v>
      </c>
    </row>
    <row r="120" spans="1:9" x14ac:dyDescent="0.25">
      <c r="A120">
        <v>790</v>
      </c>
      <c r="B120">
        <f t="shared" si="18"/>
        <v>0.93969262078590832</v>
      </c>
      <c r="C120">
        <f t="shared" si="22"/>
        <v>3.9396926207859084</v>
      </c>
      <c r="D120">
        <f t="shared" si="22"/>
        <v>7.939692620785908</v>
      </c>
    </row>
    <row r="121" spans="1:9" x14ac:dyDescent="0.25">
      <c r="A121">
        <v>800</v>
      </c>
      <c r="B121">
        <f t="shared" si="18"/>
        <v>0.98480775301220802</v>
      </c>
      <c r="C121">
        <f t="shared" si="22"/>
        <v>3.9848077530122081</v>
      </c>
      <c r="D121">
        <f t="shared" si="22"/>
        <v>7.9848077530122081</v>
      </c>
    </row>
    <row r="122" spans="1:9" x14ac:dyDescent="0.25">
      <c r="A122">
        <v>810</v>
      </c>
      <c r="B122">
        <f t="shared" si="18"/>
        <v>1</v>
      </c>
      <c r="C122">
        <f t="shared" si="22"/>
        <v>4</v>
      </c>
      <c r="D122">
        <f t="shared" si="22"/>
        <v>8</v>
      </c>
    </row>
    <row r="123" spans="1:9" x14ac:dyDescent="0.25">
      <c r="A123">
        <v>820</v>
      </c>
      <c r="B123">
        <f t="shared" si="18"/>
        <v>0.98480775301220824</v>
      </c>
      <c r="C123">
        <f t="shared" si="22"/>
        <v>3.9848077530122081</v>
      </c>
      <c r="D123">
        <f t="shared" si="22"/>
        <v>7.9848077530122081</v>
      </c>
    </row>
    <row r="124" spans="1:9" x14ac:dyDescent="0.25">
      <c r="A124">
        <v>830</v>
      </c>
      <c r="B124">
        <f t="shared" si="18"/>
        <v>0.93969262078590876</v>
      </c>
      <c r="C124">
        <f t="shared" si="22"/>
        <v>3.9396926207859089</v>
      </c>
      <c r="D124">
        <f t="shared" si="22"/>
        <v>7.9396926207859089</v>
      </c>
    </row>
    <row r="125" spans="1:9" x14ac:dyDescent="0.25">
      <c r="A125">
        <v>840</v>
      </c>
      <c r="B125">
        <f t="shared" si="18"/>
        <v>0.86602540378443837</v>
      </c>
      <c r="C125">
        <f t="shared" si="22"/>
        <v>3.8660254037844384</v>
      </c>
      <c r="D125">
        <f t="shared" si="22"/>
        <v>7.8660254037844384</v>
      </c>
    </row>
    <row r="126" spans="1:9" x14ac:dyDescent="0.25">
      <c r="A126">
        <v>850</v>
      </c>
      <c r="B126">
        <f t="shared" si="18"/>
        <v>0.76604444311897779</v>
      </c>
      <c r="C126">
        <f t="shared" si="22"/>
        <v>3.7660444431189779</v>
      </c>
      <c r="D126">
        <f t="shared" si="22"/>
        <v>7.7660444431189779</v>
      </c>
    </row>
    <row r="127" spans="1:9" x14ac:dyDescent="0.25">
      <c r="A127">
        <v>860</v>
      </c>
      <c r="B127">
        <f t="shared" si="18"/>
        <v>0.64278760968653914</v>
      </c>
      <c r="C127">
        <f t="shared" si="22"/>
        <v>3.6427876096865393</v>
      </c>
      <c r="D127">
        <f t="shared" si="22"/>
        <v>7.6427876096865388</v>
      </c>
    </row>
    <row r="128" spans="1:9" x14ac:dyDescent="0.25">
      <c r="A128">
        <v>870</v>
      </c>
      <c r="B128">
        <f t="shared" si="18"/>
        <v>0.5</v>
      </c>
      <c r="C128">
        <f t="shared" si="22"/>
        <v>3.5</v>
      </c>
      <c r="D128">
        <f t="shared" si="22"/>
        <v>7.5</v>
      </c>
    </row>
    <row r="129" spans="1:4" x14ac:dyDescent="0.25">
      <c r="A129">
        <v>880</v>
      </c>
      <c r="B129">
        <f t="shared" si="18"/>
        <v>0.34202014332566893</v>
      </c>
      <c r="C129">
        <f t="shared" si="22"/>
        <v>3.3420201433256689</v>
      </c>
      <c r="D129">
        <f t="shared" si="22"/>
        <v>7.3420201433256693</v>
      </c>
    </row>
    <row r="130" spans="1:4" x14ac:dyDescent="0.25">
      <c r="A130">
        <v>890</v>
      </c>
      <c r="B130">
        <f t="shared" si="18"/>
        <v>0.17364817766693075</v>
      </c>
      <c r="C130">
        <f t="shared" si="22"/>
        <v>3.173648177666931</v>
      </c>
      <c r="D130">
        <f t="shared" si="22"/>
        <v>7.173648177666931</v>
      </c>
    </row>
    <row r="131" spans="1:4" x14ac:dyDescent="0.25">
      <c r="A131">
        <v>900</v>
      </c>
      <c r="B131">
        <f t="shared" si="18"/>
        <v>6.1257422745431001E-16</v>
      </c>
      <c r="C131">
        <f t="shared" ref="C131:D175" si="23">$B131+C$39</f>
        <v>3.0000000000000004</v>
      </c>
      <c r="D131">
        <f t="shared" si="23"/>
        <v>7.0000000000000009</v>
      </c>
    </row>
    <row r="132" spans="1:4" x14ac:dyDescent="0.25">
      <c r="A132">
        <v>910</v>
      </c>
      <c r="B132">
        <f t="shared" si="18"/>
        <v>-0.17364817766692955</v>
      </c>
      <c r="C132">
        <f t="shared" si="23"/>
        <v>2.8263518223330704</v>
      </c>
      <c r="D132">
        <f t="shared" si="23"/>
        <v>6.8263518223330708</v>
      </c>
    </row>
    <row r="133" spans="1:4" x14ac:dyDescent="0.25">
      <c r="A133">
        <v>920</v>
      </c>
      <c r="B133">
        <f t="shared" si="18"/>
        <v>-0.34202014332566777</v>
      </c>
      <c r="C133">
        <f t="shared" si="23"/>
        <v>2.6579798566743325</v>
      </c>
      <c r="D133">
        <f t="shared" si="23"/>
        <v>6.6579798566743325</v>
      </c>
    </row>
    <row r="134" spans="1:4" x14ac:dyDescent="0.25">
      <c r="A134">
        <v>930</v>
      </c>
      <c r="B134">
        <f t="shared" si="18"/>
        <v>-0.49999999999999895</v>
      </c>
      <c r="C134">
        <f t="shared" si="23"/>
        <v>2.5000000000000009</v>
      </c>
      <c r="D134">
        <f t="shared" si="23"/>
        <v>6.5000000000000009</v>
      </c>
    </row>
    <row r="135" spans="1:4" x14ac:dyDescent="0.25">
      <c r="A135">
        <v>940</v>
      </c>
      <c r="B135">
        <f t="shared" si="18"/>
        <v>-0.64278760968653825</v>
      </c>
      <c r="C135">
        <f t="shared" si="23"/>
        <v>2.3572123903134616</v>
      </c>
      <c r="D135">
        <f t="shared" si="23"/>
        <v>6.3572123903134621</v>
      </c>
    </row>
    <row r="136" spans="1:4" x14ac:dyDescent="0.25">
      <c r="A136">
        <v>950</v>
      </c>
      <c r="B136">
        <f t="shared" si="18"/>
        <v>-0.76604444311897701</v>
      </c>
      <c r="C136">
        <f t="shared" si="23"/>
        <v>2.233955556881023</v>
      </c>
      <c r="D136">
        <f t="shared" si="23"/>
        <v>6.233955556881023</v>
      </c>
    </row>
    <row r="137" spans="1:4" x14ac:dyDescent="0.25">
      <c r="A137">
        <v>960</v>
      </c>
      <c r="B137">
        <f t="shared" si="18"/>
        <v>-0.86602540378443771</v>
      </c>
      <c r="C137">
        <f t="shared" si="23"/>
        <v>2.1339745962155625</v>
      </c>
      <c r="D137">
        <f t="shared" si="23"/>
        <v>6.1339745962155625</v>
      </c>
    </row>
    <row r="138" spans="1:4" x14ac:dyDescent="0.25">
      <c r="A138">
        <v>970</v>
      </c>
      <c r="B138">
        <f t="shared" si="18"/>
        <v>-0.93969262078590765</v>
      </c>
      <c r="C138">
        <f t="shared" si="23"/>
        <v>2.0603073792140925</v>
      </c>
      <c r="D138">
        <f t="shared" si="23"/>
        <v>6.060307379214092</v>
      </c>
    </row>
    <row r="139" spans="1:4" x14ac:dyDescent="0.25">
      <c r="A139">
        <v>980</v>
      </c>
      <c r="B139">
        <f t="shared" si="18"/>
        <v>-0.98480775301220824</v>
      </c>
      <c r="C139">
        <f t="shared" si="23"/>
        <v>2.0151922469877919</v>
      </c>
      <c r="D139">
        <f t="shared" si="23"/>
        <v>6.0151922469877919</v>
      </c>
    </row>
    <row r="140" spans="1:4" x14ac:dyDescent="0.25">
      <c r="A140">
        <v>990</v>
      </c>
      <c r="B140">
        <f t="shared" si="18"/>
        <v>-1</v>
      </c>
      <c r="C140">
        <f t="shared" si="23"/>
        <v>2</v>
      </c>
      <c r="D140">
        <f t="shared" si="23"/>
        <v>6</v>
      </c>
    </row>
    <row r="141" spans="1:4" x14ac:dyDescent="0.25">
      <c r="A141">
        <v>1000</v>
      </c>
      <c r="B141">
        <f t="shared" si="18"/>
        <v>-0.98480775301220791</v>
      </c>
      <c r="C141">
        <f t="shared" si="23"/>
        <v>2.0151922469877919</v>
      </c>
      <c r="D141">
        <f t="shared" si="23"/>
        <v>6.0151922469877919</v>
      </c>
    </row>
    <row r="142" spans="1:4" x14ac:dyDescent="0.25">
      <c r="A142">
        <v>1010</v>
      </c>
      <c r="B142">
        <f t="shared" si="18"/>
        <v>-0.93969262078590809</v>
      </c>
      <c r="C142">
        <f t="shared" si="23"/>
        <v>2.060307379214092</v>
      </c>
      <c r="D142">
        <f t="shared" si="23"/>
        <v>6.060307379214092</v>
      </c>
    </row>
    <row r="143" spans="1:4" x14ac:dyDescent="0.25">
      <c r="A143">
        <v>1020</v>
      </c>
      <c r="B143">
        <f t="shared" si="18"/>
        <v>-0.86602540378443837</v>
      </c>
      <c r="C143">
        <f t="shared" si="23"/>
        <v>2.1339745962155616</v>
      </c>
      <c r="D143">
        <f t="shared" si="23"/>
        <v>6.1339745962155616</v>
      </c>
    </row>
    <row r="144" spans="1:4" x14ac:dyDescent="0.25">
      <c r="A144">
        <v>1030</v>
      </c>
      <c r="B144">
        <f t="shared" si="18"/>
        <v>-0.7660444431189779</v>
      </c>
      <c r="C144">
        <f t="shared" si="23"/>
        <v>2.2339555568810221</v>
      </c>
      <c r="D144">
        <f t="shared" si="23"/>
        <v>6.2339555568810221</v>
      </c>
    </row>
    <row r="145" spans="1:4" x14ac:dyDescent="0.25">
      <c r="A145">
        <v>1040</v>
      </c>
      <c r="B145">
        <f t="shared" si="18"/>
        <v>-0.64278760968653925</v>
      </c>
      <c r="C145">
        <f t="shared" si="23"/>
        <v>2.3572123903134607</v>
      </c>
      <c r="D145">
        <f t="shared" si="23"/>
        <v>6.3572123903134603</v>
      </c>
    </row>
    <row r="146" spans="1:4" x14ac:dyDescent="0.25">
      <c r="A146">
        <v>1050</v>
      </c>
      <c r="B146">
        <f t="shared" si="18"/>
        <v>-0.50000000000000011</v>
      </c>
      <c r="C146">
        <f t="shared" si="23"/>
        <v>2.5</v>
      </c>
      <c r="D146">
        <f t="shared" si="23"/>
        <v>6.5</v>
      </c>
    </row>
    <row r="147" spans="1:4" x14ac:dyDescent="0.25">
      <c r="A147">
        <v>1060</v>
      </c>
      <c r="B147">
        <f t="shared" si="18"/>
        <v>-0.34202014332566905</v>
      </c>
      <c r="C147">
        <f t="shared" si="23"/>
        <v>2.6579798566743311</v>
      </c>
      <c r="D147">
        <f t="shared" si="23"/>
        <v>6.6579798566743307</v>
      </c>
    </row>
    <row r="148" spans="1:4" x14ac:dyDescent="0.25">
      <c r="A148">
        <v>1070</v>
      </c>
      <c r="B148">
        <f t="shared" si="18"/>
        <v>-0.17364817766693086</v>
      </c>
      <c r="C148">
        <f t="shared" si="23"/>
        <v>2.826351822333069</v>
      </c>
      <c r="D148">
        <f t="shared" si="23"/>
        <v>6.826351822333069</v>
      </c>
    </row>
    <row r="149" spans="1:4" x14ac:dyDescent="0.25">
      <c r="A149">
        <v>1080</v>
      </c>
      <c r="B149">
        <f t="shared" si="18"/>
        <v>-7.3508907294517201E-16</v>
      </c>
      <c r="C149">
        <f t="shared" si="23"/>
        <v>2.9999999999999991</v>
      </c>
      <c r="D149">
        <f t="shared" si="23"/>
        <v>6.9999999999999991</v>
      </c>
    </row>
    <row r="150" spans="1:4" x14ac:dyDescent="0.25">
      <c r="A150">
        <v>1090</v>
      </c>
      <c r="B150">
        <f t="shared" si="18"/>
        <v>0.17364817766692942</v>
      </c>
      <c r="C150">
        <f t="shared" si="23"/>
        <v>3.1736481776669292</v>
      </c>
      <c r="D150">
        <f t="shared" si="23"/>
        <v>7.1736481776669292</v>
      </c>
    </row>
    <row r="151" spans="1:4" x14ac:dyDescent="0.25">
      <c r="A151">
        <v>1100</v>
      </c>
      <c r="B151">
        <f t="shared" si="18"/>
        <v>0.34202014332566766</v>
      </c>
      <c r="C151">
        <f t="shared" si="23"/>
        <v>3.3420201433256675</v>
      </c>
      <c r="D151">
        <f t="shared" si="23"/>
        <v>7.3420201433256675</v>
      </c>
    </row>
    <row r="152" spans="1:4" x14ac:dyDescent="0.25">
      <c r="A152">
        <v>1110</v>
      </c>
      <c r="B152">
        <f t="shared" si="18"/>
        <v>0.49999999999999883</v>
      </c>
      <c r="C152">
        <f t="shared" si="23"/>
        <v>3.4999999999999987</v>
      </c>
      <c r="D152">
        <f t="shared" si="23"/>
        <v>7.4999999999999991</v>
      </c>
    </row>
    <row r="153" spans="1:4" x14ac:dyDescent="0.25">
      <c r="A153">
        <v>1120</v>
      </c>
      <c r="B153">
        <f t="shared" si="18"/>
        <v>0.64278760968653814</v>
      </c>
      <c r="C153">
        <f t="shared" si="23"/>
        <v>3.6427876096865379</v>
      </c>
      <c r="D153">
        <f t="shared" si="23"/>
        <v>7.6427876096865379</v>
      </c>
    </row>
    <row r="154" spans="1:4" x14ac:dyDescent="0.25">
      <c r="A154">
        <v>1130</v>
      </c>
      <c r="B154">
        <f t="shared" si="18"/>
        <v>0.7660444431189769</v>
      </c>
      <c r="C154">
        <f t="shared" si="23"/>
        <v>3.766044443118977</v>
      </c>
      <c r="D154">
        <f t="shared" si="23"/>
        <v>7.766044443118977</v>
      </c>
    </row>
    <row r="155" spans="1:4" x14ac:dyDescent="0.25">
      <c r="A155">
        <v>1140</v>
      </c>
      <c r="B155">
        <f t="shared" si="18"/>
        <v>0.86602540378443771</v>
      </c>
      <c r="C155">
        <f t="shared" si="23"/>
        <v>3.8660254037844375</v>
      </c>
      <c r="D155">
        <f t="shared" si="23"/>
        <v>7.8660254037844375</v>
      </c>
    </row>
    <row r="156" spans="1:4" x14ac:dyDescent="0.25">
      <c r="A156">
        <v>1150</v>
      </c>
      <c r="B156">
        <f t="shared" si="18"/>
        <v>0.93969262078590887</v>
      </c>
      <c r="C156">
        <f t="shared" si="23"/>
        <v>3.9396926207859089</v>
      </c>
      <c r="D156">
        <f t="shared" si="23"/>
        <v>7.9396926207859089</v>
      </c>
    </row>
    <row r="157" spans="1:4" x14ac:dyDescent="0.25">
      <c r="A157">
        <v>1160</v>
      </c>
      <c r="B157">
        <f t="shared" si="18"/>
        <v>0.98480775301220824</v>
      </c>
      <c r="C157">
        <f t="shared" si="23"/>
        <v>3.9848077530122081</v>
      </c>
      <c r="D157">
        <f t="shared" si="23"/>
        <v>7.9848077530122081</v>
      </c>
    </row>
    <row r="158" spans="1:4" x14ac:dyDescent="0.25">
      <c r="A158">
        <v>1170</v>
      </c>
      <c r="B158">
        <f t="shared" si="18"/>
        <v>1</v>
      </c>
      <c r="C158">
        <f t="shared" si="23"/>
        <v>4</v>
      </c>
      <c r="D158">
        <f t="shared" si="23"/>
        <v>8</v>
      </c>
    </row>
    <row r="159" spans="1:4" x14ac:dyDescent="0.25">
      <c r="A159">
        <v>1180</v>
      </c>
      <c r="B159">
        <f t="shared" si="18"/>
        <v>0.98480775301220791</v>
      </c>
      <c r="C159">
        <f t="shared" si="23"/>
        <v>3.9848077530122081</v>
      </c>
      <c r="D159">
        <f t="shared" si="23"/>
        <v>7.9848077530122081</v>
      </c>
    </row>
    <row r="160" spans="1:4" x14ac:dyDescent="0.25">
      <c r="A160">
        <v>1190</v>
      </c>
      <c r="B160">
        <f t="shared" si="18"/>
        <v>0.93969262078590821</v>
      </c>
      <c r="C160">
        <f t="shared" si="23"/>
        <v>3.939692620785908</v>
      </c>
      <c r="D160">
        <f t="shared" si="23"/>
        <v>7.939692620785908</v>
      </c>
    </row>
    <row r="161" spans="1:4" x14ac:dyDescent="0.25">
      <c r="A161">
        <v>1200</v>
      </c>
      <c r="B161">
        <f t="shared" si="18"/>
        <v>0.86602540378443849</v>
      </c>
      <c r="C161">
        <f t="shared" si="23"/>
        <v>3.8660254037844384</v>
      </c>
      <c r="D161">
        <f t="shared" si="23"/>
        <v>7.8660254037844384</v>
      </c>
    </row>
    <row r="162" spans="1:4" x14ac:dyDescent="0.25">
      <c r="A162">
        <v>1210</v>
      </c>
      <c r="B162">
        <f t="shared" si="18"/>
        <v>0.7660444431189779</v>
      </c>
      <c r="C162">
        <f t="shared" si="23"/>
        <v>3.7660444431189779</v>
      </c>
      <c r="D162">
        <f t="shared" si="23"/>
        <v>7.7660444431189779</v>
      </c>
    </row>
    <row r="163" spans="1:4" x14ac:dyDescent="0.25">
      <c r="A163">
        <v>1220</v>
      </c>
      <c r="B163">
        <f t="shared" si="18"/>
        <v>0.64278760968653936</v>
      </c>
      <c r="C163">
        <f t="shared" si="23"/>
        <v>3.6427876096865393</v>
      </c>
      <c r="D163">
        <f t="shared" si="23"/>
        <v>7.6427876096865397</v>
      </c>
    </row>
    <row r="164" spans="1:4" x14ac:dyDescent="0.25">
      <c r="A164">
        <v>1230</v>
      </c>
      <c r="B164">
        <f t="shared" si="18"/>
        <v>0.50000000000000022</v>
      </c>
      <c r="C164">
        <f t="shared" si="23"/>
        <v>3.5</v>
      </c>
      <c r="D164">
        <f t="shared" si="23"/>
        <v>7.5</v>
      </c>
    </row>
    <row r="165" spans="1:4" x14ac:dyDescent="0.25">
      <c r="A165">
        <v>1240</v>
      </c>
      <c r="B165">
        <f t="shared" si="18"/>
        <v>0.34202014332566916</v>
      </c>
      <c r="C165">
        <f t="shared" si="23"/>
        <v>3.3420201433256693</v>
      </c>
      <c r="D165">
        <f t="shared" si="23"/>
        <v>7.3420201433256693</v>
      </c>
    </row>
    <row r="166" spans="1:4" x14ac:dyDescent="0.25">
      <c r="A166">
        <v>1250</v>
      </c>
      <c r="B166">
        <f t="shared" si="18"/>
        <v>0.173648177666931</v>
      </c>
      <c r="C166">
        <f t="shared" si="23"/>
        <v>3.173648177666931</v>
      </c>
      <c r="D166">
        <f t="shared" si="23"/>
        <v>7.173648177666931</v>
      </c>
    </row>
    <row r="167" spans="1:4" x14ac:dyDescent="0.25">
      <c r="A167">
        <v>1260</v>
      </c>
      <c r="B167">
        <f t="shared" si="18"/>
        <v>8.5760391843603401E-16</v>
      </c>
      <c r="C167">
        <f t="shared" si="23"/>
        <v>3.0000000000000009</v>
      </c>
      <c r="D167">
        <f t="shared" si="23"/>
        <v>7.0000000000000009</v>
      </c>
    </row>
    <row r="168" spans="1:4" x14ac:dyDescent="0.25">
      <c r="A168">
        <v>1270</v>
      </c>
      <c r="B168">
        <f t="shared" si="18"/>
        <v>-0.1736481776669293</v>
      </c>
      <c r="C168">
        <f t="shared" si="23"/>
        <v>2.8263518223330708</v>
      </c>
      <c r="D168">
        <f t="shared" si="23"/>
        <v>6.8263518223330708</v>
      </c>
    </row>
    <row r="169" spans="1:4" x14ac:dyDescent="0.25">
      <c r="A169">
        <v>1280</v>
      </c>
      <c r="B169">
        <f t="shared" si="18"/>
        <v>-0.34202014332566755</v>
      </c>
      <c r="C169">
        <f t="shared" si="23"/>
        <v>2.6579798566743325</v>
      </c>
      <c r="D169">
        <f t="shared" si="23"/>
        <v>6.6579798566743325</v>
      </c>
    </row>
    <row r="170" spans="1:4" x14ac:dyDescent="0.25">
      <c r="A170">
        <v>1290</v>
      </c>
      <c r="B170">
        <f t="shared" ref="B170:B175" si="24">SIN(RADIANS(A170))</f>
        <v>-0.49999999999999872</v>
      </c>
      <c r="C170">
        <f t="shared" si="23"/>
        <v>2.5000000000000013</v>
      </c>
      <c r="D170">
        <f t="shared" si="23"/>
        <v>6.5000000000000009</v>
      </c>
    </row>
    <row r="171" spans="1:4" x14ac:dyDescent="0.25">
      <c r="A171">
        <v>1300</v>
      </c>
      <c r="B171">
        <f t="shared" si="24"/>
        <v>-0.64278760968653803</v>
      </c>
      <c r="C171">
        <f t="shared" si="23"/>
        <v>2.3572123903134621</v>
      </c>
      <c r="D171">
        <f t="shared" si="23"/>
        <v>6.3572123903134621</v>
      </c>
    </row>
    <row r="172" spans="1:4" x14ac:dyDescent="0.25">
      <c r="A172">
        <v>1310</v>
      </c>
      <c r="B172">
        <f t="shared" si="24"/>
        <v>-0.76604444311897679</v>
      </c>
      <c r="C172">
        <f t="shared" si="23"/>
        <v>2.233955556881023</v>
      </c>
      <c r="D172">
        <f t="shared" si="23"/>
        <v>6.233955556881023</v>
      </c>
    </row>
    <row r="173" spans="1:4" x14ac:dyDescent="0.25">
      <c r="A173">
        <v>1320</v>
      </c>
      <c r="B173">
        <f t="shared" si="24"/>
        <v>-0.8660254037844376</v>
      </c>
      <c r="C173">
        <f t="shared" si="23"/>
        <v>2.1339745962155625</v>
      </c>
      <c r="D173">
        <f t="shared" si="23"/>
        <v>6.1339745962155625</v>
      </c>
    </row>
    <row r="174" spans="1:4" x14ac:dyDescent="0.25">
      <c r="A174">
        <v>1330</v>
      </c>
      <c r="B174">
        <f t="shared" si="24"/>
        <v>-0.93969262078590887</v>
      </c>
      <c r="C174">
        <f t="shared" si="23"/>
        <v>2.0603073792140911</v>
      </c>
      <c r="D174">
        <f t="shared" si="23"/>
        <v>6.0603073792140911</v>
      </c>
    </row>
    <row r="175" spans="1:4" x14ac:dyDescent="0.25">
      <c r="A175">
        <v>1340</v>
      </c>
      <c r="B175">
        <f t="shared" si="24"/>
        <v>-0.98480775301220824</v>
      </c>
      <c r="C175">
        <f t="shared" si="23"/>
        <v>2.0151922469877919</v>
      </c>
      <c r="D175">
        <f t="shared" si="23"/>
        <v>6.0151922469877919</v>
      </c>
    </row>
  </sheetData>
  <mergeCells count="5">
    <mergeCell ref="F8:F11"/>
    <mergeCell ref="F12:F13"/>
    <mergeCell ref="F14:F19"/>
    <mergeCell ref="F20:F23"/>
    <mergeCell ref="J25:K33"/>
  </mergeCells>
  <conditionalFormatting sqref="D2:D25 D28:D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3">
    <cfRule type="colorScale" priority="2">
      <colorScale>
        <cfvo type="num" val="25"/>
        <cfvo type="percentile" val="50"/>
        <cfvo type="num" val="100"/>
        <color rgb="FFF8696B"/>
        <color rgb="FFFFEB84"/>
        <color rgb="FF63BE7B"/>
      </colorScale>
    </cfRule>
  </conditionalFormatting>
  <conditionalFormatting sqref="K2:K23">
    <cfRule type="colorScale" priority="1">
      <colorScale>
        <cfvo type="num" val="45"/>
        <cfvo type="percentile" val="50"/>
        <cfvo type="num" val="18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Obliczenia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Waldemar Mróz</dc:creator>
  <cp:lastModifiedBy>Waldek</cp:lastModifiedBy>
  <dcterms:created xsi:type="dcterms:W3CDTF">2018-09-20T17:15:39Z</dcterms:created>
  <dcterms:modified xsi:type="dcterms:W3CDTF">2018-09-28T15:12:59Z</dcterms:modified>
</cp:coreProperties>
</file>