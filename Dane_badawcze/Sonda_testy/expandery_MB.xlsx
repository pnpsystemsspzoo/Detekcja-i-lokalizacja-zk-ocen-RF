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ldek\Documents\PnpSystems\"/>
    </mc:Choice>
  </mc:AlternateContent>
  <bookViews>
    <workbookView xWindow="0" yWindow="0" windowWidth="21420" windowHeight="5070" tabRatio="943" activeTab="9"/>
  </bookViews>
  <sheets>
    <sheet name="konfig" sheetId="16" r:id="rId1"/>
    <sheet name="I2C" sheetId="27" r:id="rId2"/>
    <sheet name="kod.cfg" sheetId="2" r:id="rId3"/>
    <sheet name="I2C_Bridge_GPIO" sheetId="4" r:id="rId4"/>
    <sheet name="I2C_Bridge_SFP" sheetId="5" r:id="rId5"/>
    <sheet name="I2C_Bridge_PCIE" sheetId="6" r:id="rId6"/>
    <sheet name="I2C_Expander_Main_Rst" sheetId="1" r:id="rId7"/>
    <sheet name="I2C_Expander_PWR_CLK" sheetId="3" r:id="rId8"/>
    <sheet name="I2C_Expander_PWR_Distr" sheetId="7" r:id="rId9"/>
    <sheet name="I2C_Expander_SFP" sheetId="8" r:id="rId10"/>
    <sheet name="I2C_Expander_00" sheetId="9" r:id="rId11"/>
    <sheet name="I2C_Expander_01" sheetId="10" r:id="rId12"/>
    <sheet name="I2C_Expander_02" sheetId="11" r:id="rId13"/>
    <sheet name="I2C_Expander_10" sheetId="12" r:id="rId14"/>
    <sheet name="I2C_expander_11" sheetId="13" r:id="rId15"/>
    <sheet name="I2C_Expander_12" sheetId="14" r:id="rId16"/>
    <sheet name="DAC1220" sheetId="18" r:id="rId17"/>
    <sheet name="LTC6952_0" sheetId="15" r:id="rId18"/>
    <sheet name="LTC6952_1" sheetId="17" r:id="rId19"/>
    <sheet name="LMK05028" sheetId="19" r:id="rId20"/>
    <sheet name="RadioCard_ILS_Exp1" sheetId="20" r:id="rId21"/>
    <sheet name="RadioCard_ILS_Exp2" sheetId="24" r:id="rId22"/>
    <sheet name="RadioCard_ILS_Devices" sheetId="26" r:id="rId23"/>
    <sheet name="RadioCard_TETRA_Devices" sheetId="28" r:id="rId24"/>
    <sheet name="RadioCard_TETRA_Exp1" sheetId="29" r:id="rId25"/>
    <sheet name="RadioCard_TETRA_Exp2" sheetId="30" r:id="rId26"/>
    <sheet name="RadioCard_GNSS_L1_Devices" sheetId="31" r:id="rId27"/>
    <sheet name="RadioCard_GNSS_L1_Exp1" sheetId="32" r:id="rId28"/>
    <sheet name="RadioCard_GNSS_L1_Exp2" sheetId="33" r:id="rId2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13" l="1"/>
  <c r="H195" i="4" l="1"/>
  <c r="H194" i="4"/>
  <c r="B194" i="4"/>
  <c r="A194" i="4"/>
  <c r="B193" i="4"/>
  <c r="A193" i="4"/>
  <c r="H192" i="4"/>
  <c r="B192" i="4"/>
  <c r="A192" i="4"/>
  <c r="H175" i="4"/>
  <c r="H174" i="4"/>
  <c r="B174" i="4"/>
  <c r="A174" i="4"/>
  <c r="B173" i="4"/>
  <c r="A173" i="4"/>
  <c r="H172" i="4"/>
  <c r="B172" i="4"/>
  <c r="A172" i="4"/>
  <c r="H155" i="4"/>
  <c r="H154" i="4"/>
  <c r="B154" i="4"/>
  <c r="A154" i="4"/>
  <c r="B153" i="4"/>
  <c r="A153" i="4"/>
  <c r="H152" i="4"/>
  <c r="B152" i="4"/>
  <c r="A152" i="4"/>
  <c r="H135" i="4"/>
  <c r="H134" i="4"/>
  <c r="B134" i="4"/>
  <c r="A134" i="4"/>
  <c r="B133" i="4"/>
  <c r="A133" i="4"/>
  <c r="H132" i="4"/>
  <c r="B132" i="4"/>
  <c r="A132" i="4"/>
  <c r="H115" i="4"/>
  <c r="H114" i="4"/>
  <c r="B114" i="4"/>
  <c r="A114" i="4"/>
  <c r="B113" i="4"/>
  <c r="A113" i="4"/>
  <c r="H112" i="4"/>
  <c r="B112" i="4"/>
  <c r="A112" i="4"/>
  <c r="H95" i="4"/>
  <c r="H94" i="4"/>
  <c r="B94" i="4"/>
  <c r="A94" i="4"/>
  <c r="B93" i="4"/>
  <c r="A93" i="4"/>
  <c r="H92" i="4"/>
  <c r="B92" i="4"/>
  <c r="A92" i="4"/>
  <c r="H75" i="4"/>
  <c r="H74" i="4"/>
  <c r="B74" i="4"/>
  <c r="A74" i="4"/>
  <c r="B73" i="4"/>
  <c r="A73" i="4"/>
  <c r="H72" i="4"/>
  <c r="B72" i="4"/>
  <c r="A72" i="4"/>
  <c r="H55" i="4"/>
  <c r="H54" i="4"/>
  <c r="B54" i="4"/>
  <c r="A54" i="4"/>
  <c r="B53" i="4"/>
  <c r="A53" i="4"/>
  <c r="H52" i="4"/>
  <c r="B52" i="4"/>
  <c r="A52" i="4"/>
  <c r="H35" i="4"/>
  <c r="H34" i="4"/>
  <c r="B34" i="4"/>
  <c r="A34" i="4"/>
  <c r="B33" i="4"/>
  <c r="A33" i="4"/>
  <c r="H32" i="4"/>
  <c r="B32" i="4"/>
  <c r="A32" i="4"/>
  <c r="H195" i="5"/>
  <c r="H194" i="5"/>
  <c r="B194" i="5"/>
  <c r="A194" i="5"/>
  <c r="B193" i="5"/>
  <c r="A193" i="5"/>
  <c r="H192" i="5"/>
  <c r="B192" i="5"/>
  <c r="A192" i="5"/>
  <c r="H175" i="5"/>
  <c r="H174" i="5"/>
  <c r="B174" i="5"/>
  <c r="A174" i="5"/>
  <c r="B173" i="5"/>
  <c r="A173" i="5"/>
  <c r="H172" i="5"/>
  <c r="B172" i="5"/>
  <c r="A172" i="5"/>
  <c r="H155" i="5"/>
  <c r="H154" i="5"/>
  <c r="B154" i="5"/>
  <c r="A154" i="5"/>
  <c r="B153" i="5"/>
  <c r="A153" i="5"/>
  <c r="H152" i="5"/>
  <c r="B152" i="5"/>
  <c r="A152" i="5"/>
  <c r="H135" i="5"/>
  <c r="H134" i="5"/>
  <c r="B134" i="5"/>
  <c r="A134" i="5"/>
  <c r="B133" i="5"/>
  <c r="A133" i="5"/>
  <c r="H132" i="5"/>
  <c r="B132" i="5"/>
  <c r="A132" i="5"/>
  <c r="H115" i="5"/>
  <c r="H114" i="5"/>
  <c r="B114" i="5"/>
  <c r="A114" i="5"/>
  <c r="B113" i="5"/>
  <c r="A113" i="5"/>
  <c r="H112" i="5"/>
  <c r="B112" i="5"/>
  <c r="A112" i="5"/>
  <c r="H95" i="5"/>
  <c r="H94" i="5"/>
  <c r="B94" i="5"/>
  <c r="A94" i="5"/>
  <c r="B93" i="5"/>
  <c r="A93" i="5"/>
  <c r="H92" i="5"/>
  <c r="B92" i="5"/>
  <c r="A92" i="5"/>
  <c r="H75" i="5"/>
  <c r="H74" i="5"/>
  <c r="B74" i="5"/>
  <c r="A74" i="5"/>
  <c r="B73" i="5"/>
  <c r="A73" i="5"/>
  <c r="H72" i="5"/>
  <c r="B72" i="5"/>
  <c r="A72" i="5"/>
  <c r="H55" i="5"/>
  <c r="H54" i="5"/>
  <c r="B54" i="5"/>
  <c r="A54" i="5"/>
  <c r="B53" i="5"/>
  <c r="A53" i="5"/>
  <c r="H52" i="5"/>
  <c r="B52" i="5"/>
  <c r="A52" i="5"/>
  <c r="H35" i="5"/>
  <c r="H34" i="5"/>
  <c r="B34" i="5"/>
  <c r="A34" i="5"/>
  <c r="B33" i="5"/>
  <c r="A33" i="5"/>
  <c r="H32" i="5"/>
  <c r="B32" i="5"/>
  <c r="A32" i="5"/>
  <c r="A72" i="6"/>
  <c r="B72" i="6"/>
  <c r="H72" i="6"/>
  <c r="A73" i="6"/>
  <c r="B73" i="6"/>
  <c r="A74" i="6"/>
  <c r="B74" i="6"/>
  <c r="H74" i="6"/>
  <c r="H75" i="6"/>
  <c r="A92" i="6"/>
  <c r="B92" i="6"/>
  <c r="H92" i="6"/>
  <c r="A93" i="6"/>
  <c r="B93" i="6"/>
  <c r="A94" i="6"/>
  <c r="B94" i="6"/>
  <c r="H94" i="6"/>
  <c r="H95" i="6"/>
  <c r="A112" i="6"/>
  <c r="B112" i="6"/>
  <c r="H112" i="6"/>
  <c r="A113" i="6"/>
  <c r="B113" i="6"/>
  <c r="A114" i="6"/>
  <c r="B114" i="6"/>
  <c r="H114" i="6"/>
  <c r="H115" i="6"/>
  <c r="A132" i="6"/>
  <c r="B132" i="6"/>
  <c r="H132" i="6"/>
  <c r="A133" i="6"/>
  <c r="B133" i="6"/>
  <c r="A134" i="6"/>
  <c r="B134" i="6"/>
  <c r="H134" i="6"/>
  <c r="H135" i="6"/>
  <c r="A152" i="6"/>
  <c r="B152" i="6"/>
  <c r="H152" i="6"/>
  <c r="A153" i="6"/>
  <c r="B153" i="6"/>
  <c r="A154" i="6"/>
  <c r="B154" i="6"/>
  <c r="H154" i="6"/>
  <c r="H155" i="6"/>
  <c r="A172" i="6"/>
  <c r="B172" i="6"/>
  <c r="H172" i="6"/>
  <c r="A173" i="6"/>
  <c r="B173" i="6"/>
  <c r="A174" i="6"/>
  <c r="B174" i="6"/>
  <c r="H174" i="6"/>
  <c r="H175" i="6"/>
  <c r="A192" i="6"/>
  <c r="B192" i="6"/>
  <c r="H192" i="6"/>
  <c r="A193" i="6"/>
  <c r="B193" i="6"/>
  <c r="A194" i="6"/>
  <c r="B194" i="6"/>
  <c r="H194" i="6"/>
  <c r="H195" i="6"/>
  <c r="A212" i="6"/>
  <c r="B212" i="6"/>
  <c r="H212" i="6"/>
  <c r="A213" i="6"/>
  <c r="B213" i="6"/>
  <c r="A214" i="6"/>
  <c r="B214" i="6"/>
  <c r="H214" i="6"/>
  <c r="H215" i="6"/>
  <c r="B241" i="33"/>
  <c r="H239" i="33"/>
  <c r="H238" i="33"/>
  <c r="H237" i="33"/>
  <c r="H236" i="33"/>
  <c r="H235" i="33"/>
  <c r="B234" i="33"/>
  <c r="A234" i="33"/>
  <c r="H233" i="33"/>
  <c r="A233" i="33"/>
  <c r="H232" i="33"/>
  <c r="B232" i="33"/>
  <c r="A232" i="33"/>
  <c r="B221" i="33"/>
  <c r="H219" i="33"/>
  <c r="H218" i="33"/>
  <c r="H217" i="33"/>
  <c r="H216" i="33"/>
  <c r="H215" i="33"/>
  <c r="B214" i="33"/>
  <c r="A214" i="33"/>
  <c r="H213" i="33"/>
  <c r="A213" i="33"/>
  <c r="H212" i="33"/>
  <c r="B212" i="33"/>
  <c r="A212" i="33"/>
  <c r="B201" i="33"/>
  <c r="H199" i="33"/>
  <c r="H198" i="33"/>
  <c r="H197" i="33"/>
  <c r="H196" i="33"/>
  <c r="H195" i="33"/>
  <c r="B194" i="33"/>
  <c r="A194" i="33"/>
  <c r="H193" i="33"/>
  <c r="A193" i="33"/>
  <c r="H192" i="33"/>
  <c r="B192" i="33"/>
  <c r="A192" i="33"/>
  <c r="B181" i="33"/>
  <c r="H179" i="33"/>
  <c r="H178" i="33"/>
  <c r="H177" i="33"/>
  <c r="H176" i="33"/>
  <c r="H175" i="33"/>
  <c r="B174" i="33"/>
  <c r="A174" i="33"/>
  <c r="H173" i="33"/>
  <c r="A173" i="33"/>
  <c r="H172" i="33"/>
  <c r="B172" i="33"/>
  <c r="A172" i="33"/>
  <c r="B161" i="33"/>
  <c r="H159" i="33"/>
  <c r="H158" i="33"/>
  <c r="H157" i="33"/>
  <c r="H156" i="33"/>
  <c r="H155" i="33"/>
  <c r="B154" i="33"/>
  <c r="A154" i="33"/>
  <c r="H153" i="33"/>
  <c r="A153" i="33"/>
  <c r="H152" i="33"/>
  <c r="B152" i="33"/>
  <c r="A152" i="33"/>
  <c r="B141" i="33"/>
  <c r="H139" i="33"/>
  <c r="H138" i="33"/>
  <c r="H137" i="33"/>
  <c r="H136" i="33"/>
  <c r="H135" i="33"/>
  <c r="B134" i="33"/>
  <c r="A134" i="33"/>
  <c r="H133" i="33"/>
  <c r="A133" i="33"/>
  <c r="H132" i="33"/>
  <c r="B132" i="33"/>
  <c r="A132" i="33"/>
  <c r="B121" i="33"/>
  <c r="H119" i="33"/>
  <c r="H118" i="33"/>
  <c r="H117" i="33"/>
  <c r="H116" i="33"/>
  <c r="H115" i="33"/>
  <c r="B114" i="33"/>
  <c r="A114" i="33"/>
  <c r="H113" i="33"/>
  <c r="A113" i="33"/>
  <c r="H112" i="33"/>
  <c r="B112" i="33"/>
  <c r="A112" i="33"/>
  <c r="B101" i="33"/>
  <c r="H99" i="33"/>
  <c r="H98" i="33"/>
  <c r="H97" i="33"/>
  <c r="H96" i="33"/>
  <c r="H95" i="33"/>
  <c r="B94" i="33"/>
  <c r="A94" i="33"/>
  <c r="H93" i="33"/>
  <c r="A93" i="33"/>
  <c r="H92" i="33"/>
  <c r="B92" i="33"/>
  <c r="A92" i="33"/>
  <c r="B81" i="33"/>
  <c r="H79" i="33"/>
  <c r="H78" i="33"/>
  <c r="H77" i="33"/>
  <c r="H76" i="33"/>
  <c r="H75" i="33"/>
  <c r="B74" i="33"/>
  <c r="A74" i="33"/>
  <c r="H73" i="33"/>
  <c r="A73" i="33"/>
  <c r="H72" i="33"/>
  <c r="B72" i="33"/>
  <c r="A72" i="33"/>
  <c r="B61" i="33"/>
  <c r="A61" i="33"/>
  <c r="H59" i="33"/>
  <c r="H58" i="33"/>
  <c r="H57" i="33"/>
  <c r="H56" i="33"/>
  <c r="H55" i="33"/>
  <c r="B54" i="33"/>
  <c r="A54" i="33"/>
  <c r="H53" i="33"/>
  <c r="A53" i="33"/>
  <c r="H52" i="33"/>
  <c r="B52" i="33"/>
  <c r="A52" i="33"/>
  <c r="H36" i="33"/>
  <c r="G36" i="33"/>
  <c r="H35" i="33"/>
  <c r="G35" i="33"/>
  <c r="H33" i="33"/>
  <c r="B33" i="33"/>
  <c r="B193" i="33" s="1"/>
  <c r="H32" i="33"/>
  <c r="B32" i="33"/>
  <c r="A32" i="33"/>
  <c r="BA21" i="33"/>
  <c r="BA22" i="33" s="1"/>
  <c r="AO21" i="33"/>
  <c r="AO22" i="33" s="1"/>
  <c r="AC21" i="33"/>
  <c r="AC22" i="33" s="1"/>
  <c r="Q21" i="33"/>
  <c r="Q22" i="33" s="1"/>
  <c r="E21" i="33"/>
  <c r="E22" i="33" s="1"/>
  <c r="BB20" i="33"/>
  <c r="BC20" i="33" s="1"/>
  <c r="AP20" i="33"/>
  <c r="AF20" i="33"/>
  <c r="AE20" i="33"/>
  <c r="AD20" i="33"/>
  <c r="S20" i="33"/>
  <c r="T20" i="33" s="1"/>
  <c r="R20" i="33"/>
  <c r="I20" i="33"/>
  <c r="J20" i="33" s="1"/>
  <c r="H20" i="33"/>
  <c r="BB19" i="33"/>
  <c r="BC19" i="33" s="1"/>
  <c r="BD19" i="33" s="1"/>
  <c r="BE19" i="33" s="1"/>
  <c r="BF19" i="33" s="1"/>
  <c r="BG19" i="33" s="1"/>
  <c r="BH19" i="33" s="1"/>
  <c r="BI19" i="33" s="1"/>
  <c r="BJ19" i="33" s="1"/>
  <c r="BK19" i="33" s="1"/>
  <c r="AP19" i="33"/>
  <c r="AQ19" i="33" s="1"/>
  <c r="AR19" i="33" s="1"/>
  <c r="AS19" i="33" s="1"/>
  <c r="AT19" i="33" s="1"/>
  <c r="AU19" i="33" s="1"/>
  <c r="AV19" i="33" s="1"/>
  <c r="AW19" i="33" s="1"/>
  <c r="AX19" i="33" s="1"/>
  <c r="AY19" i="33" s="1"/>
  <c r="AF19" i="33"/>
  <c r="AG19" i="33" s="1"/>
  <c r="AH19" i="33" s="1"/>
  <c r="AI19" i="33" s="1"/>
  <c r="AJ19" i="33" s="1"/>
  <c r="AK19" i="33" s="1"/>
  <c r="AL19" i="33" s="1"/>
  <c r="AM19" i="33" s="1"/>
  <c r="AE19" i="33"/>
  <c r="AD19" i="33"/>
  <c r="X19" i="33"/>
  <c r="Y19" i="33" s="1"/>
  <c r="Z19" i="33" s="1"/>
  <c r="AA19" i="33" s="1"/>
  <c r="S19" i="33"/>
  <c r="T19" i="33" s="1"/>
  <c r="U19" i="33" s="1"/>
  <c r="V19" i="33" s="1"/>
  <c r="W19" i="33" s="1"/>
  <c r="R19" i="33"/>
  <c r="I19" i="33"/>
  <c r="J19" i="33" s="1"/>
  <c r="K19" i="33" s="1"/>
  <c r="L19" i="33" s="1"/>
  <c r="M19" i="33" s="1"/>
  <c r="N19" i="33" s="1"/>
  <c r="O19" i="33" s="1"/>
  <c r="H19" i="33"/>
  <c r="G19" i="33"/>
  <c r="BC18" i="33"/>
  <c r="BD18" i="33" s="1"/>
  <c r="BE18" i="33" s="1"/>
  <c r="BF18" i="33" s="1"/>
  <c r="BG18" i="33" s="1"/>
  <c r="BH18" i="33" s="1"/>
  <c r="BI18" i="33" s="1"/>
  <c r="BJ18" i="33" s="1"/>
  <c r="BK18" i="33" s="1"/>
  <c r="BB18" i="33"/>
  <c r="AQ18" i="33"/>
  <c r="AR18" i="33" s="1"/>
  <c r="AS18" i="33" s="1"/>
  <c r="AT18" i="33" s="1"/>
  <c r="AU18" i="33" s="1"/>
  <c r="AV18" i="33" s="1"/>
  <c r="AW18" i="33" s="1"/>
  <c r="AX18" i="33" s="1"/>
  <c r="AY18" i="33" s="1"/>
  <c r="AP18" i="33"/>
  <c r="AD18" i="33"/>
  <c r="AE18" i="33" s="1"/>
  <c r="AF18" i="33" s="1"/>
  <c r="AG18" i="33" s="1"/>
  <c r="AH18" i="33" s="1"/>
  <c r="AI18" i="33" s="1"/>
  <c r="AJ18" i="33" s="1"/>
  <c r="AK18" i="33" s="1"/>
  <c r="AL18" i="33" s="1"/>
  <c r="AM18" i="33" s="1"/>
  <c r="T18" i="33"/>
  <c r="U18" i="33" s="1"/>
  <c r="V18" i="33" s="1"/>
  <c r="W18" i="33" s="1"/>
  <c r="X18" i="33" s="1"/>
  <c r="Y18" i="33" s="1"/>
  <c r="Z18" i="33" s="1"/>
  <c r="AA18" i="33" s="1"/>
  <c r="S18" i="33"/>
  <c r="R18" i="33"/>
  <c r="J18" i="33"/>
  <c r="K18" i="33" s="1"/>
  <c r="L18" i="33" s="1"/>
  <c r="M18" i="33" s="1"/>
  <c r="N18" i="33" s="1"/>
  <c r="O18" i="33" s="1"/>
  <c r="I18" i="33"/>
  <c r="H18" i="33"/>
  <c r="BC17" i="33"/>
  <c r="BD17" i="33" s="1"/>
  <c r="BE17" i="33" s="1"/>
  <c r="BF17" i="33" s="1"/>
  <c r="BG17" i="33" s="1"/>
  <c r="BH17" i="33" s="1"/>
  <c r="BI17" i="33" s="1"/>
  <c r="BJ17" i="33" s="1"/>
  <c r="BK17" i="33" s="1"/>
  <c r="BB17" i="33"/>
  <c r="AQ17" i="33"/>
  <c r="AR17" i="33" s="1"/>
  <c r="AS17" i="33" s="1"/>
  <c r="AT17" i="33" s="1"/>
  <c r="AU17" i="33" s="1"/>
  <c r="AV17" i="33" s="1"/>
  <c r="AW17" i="33" s="1"/>
  <c r="AX17" i="33" s="1"/>
  <c r="AY17" i="33" s="1"/>
  <c r="AP17" i="33"/>
  <c r="AG17" i="33"/>
  <c r="AH17" i="33" s="1"/>
  <c r="AI17" i="33" s="1"/>
  <c r="AJ17" i="33" s="1"/>
  <c r="AK17" i="33" s="1"/>
  <c r="AL17" i="33" s="1"/>
  <c r="AM17" i="33" s="1"/>
  <c r="AD17" i="33"/>
  <c r="AE17" i="33" s="1"/>
  <c r="AF17" i="33" s="1"/>
  <c r="T17" i="33"/>
  <c r="U17" i="33" s="1"/>
  <c r="V17" i="33" s="1"/>
  <c r="W17" i="33" s="1"/>
  <c r="X17" i="33" s="1"/>
  <c r="Y17" i="33" s="1"/>
  <c r="Z17" i="33" s="1"/>
  <c r="AA17" i="33" s="1"/>
  <c r="S17" i="33"/>
  <c r="R17" i="33"/>
  <c r="M17" i="33"/>
  <c r="N17" i="33" s="1"/>
  <c r="O17" i="33" s="1"/>
  <c r="J17" i="33"/>
  <c r="K17" i="33" s="1"/>
  <c r="L17" i="33" s="1"/>
  <c r="I17" i="33"/>
  <c r="H17" i="33"/>
  <c r="BC16" i="33"/>
  <c r="BD16" i="33" s="1"/>
  <c r="BE16" i="33" s="1"/>
  <c r="BF16" i="33" s="1"/>
  <c r="BG16" i="33" s="1"/>
  <c r="BH16" i="33" s="1"/>
  <c r="BI16" i="33" s="1"/>
  <c r="BJ16" i="33" s="1"/>
  <c r="BK16" i="33" s="1"/>
  <c r="BB16" i="33"/>
  <c r="AQ16" i="33"/>
  <c r="AR16" i="33" s="1"/>
  <c r="AS16" i="33" s="1"/>
  <c r="AT16" i="33" s="1"/>
  <c r="AU16" i="33" s="1"/>
  <c r="AV16" i="33" s="1"/>
  <c r="AW16" i="33" s="1"/>
  <c r="AX16" i="33" s="1"/>
  <c r="AY16" i="33" s="1"/>
  <c r="AP16" i="33"/>
  <c r="AG16" i="33"/>
  <c r="AH16" i="33" s="1"/>
  <c r="AI16" i="33" s="1"/>
  <c r="AJ16" i="33" s="1"/>
  <c r="AK16" i="33" s="1"/>
  <c r="AL16" i="33" s="1"/>
  <c r="AM16" i="33" s="1"/>
  <c r="AD16" i="33"/>
  <c r="AE16" i="33" s="1"/>
  <c r="AF16" i="33" s="1"/>
  <c r="T16" i="33"/>
  <c r="U16" i="33" s="1"/>
  <c r="V16" i="33" s="1"/>
  <c r="W16" i="33" s="1"/>
  <c r="X16" i="33" s="1"/>
  <c r="Y16" i="33" s="1"/>
  <c r="Z16" i="33" s="1"/>
  <c r="AA16" i="33" s="1"/>
  <c r="S16" i="33"/>
  <c r="R16" i="33"/>
  <c r="G16" i="33"/>
  <c r="H16" i="33" s="1"/>
  <c r="I16" i="33" s="1"/>
  <c r="J16" i="33" s="1"/>
  <c r="K16" i="33" s="1"/>
  <c r="L16" i="33" s="1"/>
  <c r="M16" i="33" s="1"/>
  <c r="N16" i="33" s="1"/>
  <c r="O16" i="33" s="1"/>
  <c r="BB15" i="33"/>
  <c r="BC15" i="33" s="1"/>
  <c r="BD15" i="33" s="1"/>
  <c r="BE15" i="33" s="1"/>
  <c r="BF15" i="33" s="1"/>
  <c r="BG15" i="33" s="1"/>
  <c r="BH15" i="33" s="1"/>
  <c r="BI15" i="33" s="1"/>
  <c r="BJ15" i="33" s="1"/>
  <c r="BK15" i="33" s="1"/>
  <c r="AQ15" i="33"/>
  <c r="AR15" i="33" s="1"/>
  <c r="AS15" i="33" s="1"/>
  <c r="AT15" i="33" s="1"/>
  <c r="AU15" i="33" s="1"/>
  <c r="AV15" i="33" s="1"/>
  <c r="AW15" i="33" s="1"/>
  <c r="AX15" i="33" s="1"/>
  <c r="AY15" i="33" s="1"/>
  <c r="AP15" i="33"/>
  <c r="AD15" i="33"/>
  <c r="AE15" i="33" s="1"/>
  <c r="AF15" i="33" s="1"/>
  <c r="AG15" i="33" s="1"/>
  <c r="AH15" i="33" s="1"/>
  <c r="AI15" i="33" s="1"/>
  <c r="AJ15" i="33" s="1"/>
  <c r="AK15" i="33" s="1"/>
  <c r="AL15" i="33" s="1"/>
  <c r="AM15" i="33" s="1"/>
  <c r="R15" i="33"/>
  <c r="S15" i="33" s="1"/>
  <c r="T15" i="33" s="1"/>
  <c r="U15" i="33" s="1"/>
  <c r="V15" i="33" s="1"/>
  <c r="W15" i="33" s="1"/>
  <c r="X15" i="33" s="1"/>
  <c r="Y15" i="33" s="1"/>
  <c r="Z15" i="33" s="1"/>
  <c r="AA15" i="33" s="1"/>
  <c r="J15" i="33"/>
  <c r="K15" i="33" s="1"/>
  <c r="L15" i="33" s="1"/>
  <c r="M15" i="33" s="1"/>
  <c r="N15" i="33" s="1"/>
  <c r="O15" i="33" s="1"/>
  <c r="H15" i="33"/>
  <c r="I15" i="33" s="1"/>
  <c r="G15" i="33"/>
  <c r="BC14" i="33"/>
  <c r="BD14" i="33" s="1"/>
  <c r="BE14" i="33" s="1"/>
  <c r="BF14" i="33" s="1"/>
  <c r="BG14" i="33" s="1"/>
  <c r="BH14" i="33" s="1"/>
  <c r="BI14" i="33" s="1"/>
  <c r="BJ14" i="33" s="1"/>
  <c r="BK14" i="33" s="1"/>
  <c r="BB14" i="33"/>
  <c r="AP14" i="33"/>
  <c r="AQ14" i="33" s="1"/>
  <c r="AR14" i="33" s="1"/>
  <c r="AS14" i="33" s="1"/>
  <c r="AT14" i="33" s="1"/>
  <c r="AU14" i="33" s="1"/>
  <c r="AV14" i="33" s="1"/>
  <c r="AW14" i="33" s="1"/>
  <c r="AX14" i="33" s="1"/>
  <c r="AY14" i="33" s="1"/>
  <c r="AE14" i="33"/>
  <c r="AF14" i="33" s="1"/>
  <c r="AG14" i="33" s="1"/>
  <c r="AH14" i="33" s="1"/>
  <c r="AI14" i="33" s="1"/>
  <c r="AJ14" i="33" s="1"/>
  <c r="AK14" i="33" s="1"/>
  <c r="AL14" i="33" s="1"/>
  <c r="AM14" i="33" s="1"/>
  <c r="AD14" i="33"/>
  <c r="R14" i="33"/>
  <c r="S14" i="33" s="1"/>
  <c r="T14" i="33" s="1"/>
  <c r="U14" i="33" s="1"/>
  <c r="V14" i="33" s="1"/>
  <c r="W14" i="33" s="1"/>
  <c r="X14" i="33" s="1"/>
  <c r="Y14" i="33" s="1"/>
  <c r="Z14" i="33" s="1"/>
  <c r="AA14" i="33" s="1"/>
  <c r="F14" i="33"/>
  <c r="F21" i="33" s="1"/>
  <c r="F22" i="33" s="1"/>
  <c r="BB13" i="33"/>
  <c r="BC13" i="33" s="1"/>
  <c r="BD13" i="33" s="1"/>
  <c r="BE13" i="33" s="1"/>
  <c r="BF13" i="33" s="1"/>
  <c r="BG13" i="33" s="1"/>
  <c r="BH13" i="33" s="1"/>
  <c r="BI13" i="33" s="1"/>
  <c r="BJ13" i="33" s="1"/>
  <c r="BK13" i="33" s="1"/>
  <c r="AQ13" i="33"/>
  <c r="AR13" i="33" s="1"/>
  <c r="AS13" i="33" s="1"/>
  <c r="AT13" i="33" s="1"/>
  <c r="AU13" i="33" s="1"/>
  <c r="AV13" i="33" s="1"/>
  <c r="AW13" i="33" s="1"/>
  <c r="AX13" i="33" s="1"/>
  <c r="AY13" i="33" s="1"/>
  <c r="AP13" i="33"/>
  <c r="AD13" i="33"/>
  <c r="AE13" i="33" s="1"/>
  <c r="AF13" i="33" s="1"/>
  <c r="AG13" i="33" s="1"/>
  <c r="AH13" i="33" s="1"/>
  <c r="AI13" i="33" s="1"/>
  <c r="AJ13" i="33" s="1"/>
  <c r="AK13" i="33" s="1"/>
  <c r="AL13" i="33" s="1"/>
  <c r="AM13" i="33" s="1"/>
  <c r="R13" i="33"/>
  <c r="S13" i="33" s="1"/>
  <c r="T13" i="33" s="1"/>
  <c r="U13" i="33" s="1"/>
  <c r="V13" i="33" s="1"/>
  <c r="W13" i="33" s="1"/>
  <c r="X13" i="33" s="1"/>
  <c r="Y13" i="33" s="1"/>
  <c r="Z13" i="33" s="1"/>
  <c r="AA13" i="33" s="1"/>
  <c r="H13" i="33"/>
  <c r="I13" i="33" s="1"/>
  <c r="J13" i="33" s="1"/>
  <c r="K13" i="33" s="1"/>
  <c r="L13" i="33" s="1"/>
  <c r="M13" i="33" s="1"/>
  <c r="N13" i="33" s="1"/>
  <c r="O13" i="33" s="1"/>
  <c r="G13" i="33"/>
  <c r="AO11" i="33"/>
  <c r="AC11" i="33"/>
  <c r="F11" i="33"/>
  <c r="BB10" i="33"/>
  <c r="BB11" i="33" s="1"/>
  <c r="BA10" i="33"/>
  <c r="BA11" i="33" s="1"/>
  <c r="AO10" i="33"/>
  <c r="AC10" i="33"/>
  <c r="Q10" i="33"/>
  <c r="Q11" i="33" s="1"/>
  <c r="G10" i="33"/>
  <c r="G11" i="33" s="1"/>
  <c r="F10" i="33"/>
  <c r="E10" i="33"/>
  <c r="E11" i="33" s="1"/>
  <c r="BB9" i="33"/>
  <c r="BC9" i="33" s="1"/>
  <c r="AQ9" i="33"/>
  <c r="AP9" i="33"/>
  <c r="AP10" i="33" s="1"/>
  <c r="AP11" i="33" s="1"/>
  <c r="AD9" i="33"/>
  <c r="AE9" i="33" s="1"/>
  <c r="R9" i="33"/>
  <c r="R10" i="33" s="1"/>
  <c r="R11" i="33" s="1"/>
  <c r="H9" i="33"/>
  <c r="H10" i="33" s="1"/>
  <c r="H11" i="33" s="1"/>
  <c r="BB8" i="33"/>
  <c r="BC8" i="33" s="1"/>
  <c r="BD8" i="33" s="1"/>
  <c r="BE8" i="33" s="1"/>
  <c r="BF8" i="33" s="1"/>
  <c r="BG8" i="33" s="1"/>
  <c r="BH8" i="33" s="1"/>
  <c r="BI8" i="33" s="1"/>
  <c r="BJ8" i="33" s="1"/>
  <c r="BK8" i="33" s="1"/>
  <c r="AQ8" i="33"/>
  <c r="AR8" i="33" s="1"/>
  <c r="AS8" i="33" s="1"/>
  <c r="AT8" i="33" s="1"/>
  <c r="AU8" i="33" s="1"/>
  <c r="AV8" i="33" s="1"/>
  <c r="AW8" i="33" s="1"/>
  <c r="AX8" i="33" s="1"/>
  <c r="AY8" i="33" s="1"/>
  <c r="AP8" i="33"/>
  <c r="AD8" i="33"/>
  <c r="AE8" i="33" s="1"/>
  <c r="AF8" i="33" s="1"/>
  <c r="AG8" i="33" s="1"/>
  <c r="AH8" i="33" s="1"/>
  <c r="AI8" i="33" s="1"/>
  <c r="AJ8" i="33" s="1"/>
  <c r="AK8" i="33" s="1"/>
  <c r="AL8" i="33" s="1"/>
  <c r="AM8" i="33" s="1"/>
  <c r="R8" i="33"/>
  <c r="S8" i="33" s="1"/>
  <c r="T8" i="33" s="1"/>
  <c r="U8" i="33" s="1"/>
  <c r="V8" i="33" s="1"/>
  <c r="W8" i="33" s="1"/>
  <c r="X8" i="33" s="1"/>
  <c r="Y8" i="33" s="1"/>
  <c r="Z8" i="33" s="1"/>
  <c r="AA8" i="33" s="1"/>
  <c r="H8" i="33"/>
  <c r="I8" i="33" s="1"/>
  <c r="J8" i="33" s="1"/>
  <c r="K8" i="33" s="1"/>
  <c r="L8" i="33" s="1"/>
  <c r="M8" i="33" s="1"/>
  <c r="N8" i="33" s="1"/>
  <c r="O8" i="33" s="1"/>
  <c r="BB7" i="33"/>
  <c r="BC7" i="33" s="1"/>
  <c r="BD7" i="33" s="1"/>
  <c r="BE7" i="33" s="1"/>
  <c r="BF7" i="33" s="1"/>
  <c r="BG7" i="33" s="1"/>
  <c r="BH7" i="33" s="1"/>
  <c r="BI7" i="33" s="1"/>
  <c r="BJ7" i="33" s="1"/>
  <c r="BK7" i="33" s="1"/>
  <c r="AQ7" i="33"/>
  <c r="AR7" i="33" s="1"/>
  <c r="AS7" i="33" s="1"/>
  <c r="AT7" i="33" s="1"/>
  <c r="AU7" i="33" s="1"/>
  <c r="AV7" i="33" s="1"/>
  <c r="AW7" i="33" s="1"/>
  <c r="AX7" i="33" s="1"/>
  <c r="AY7" i="33" s="1"/>
  <c r="AP7" i="33"/>
  <c r="AD7" i="33"/>
  <c r="AE7" i="33" s="1"/>
  <c r="AF7" i="33" s="1"/>
  <c r="AG7" i="33" s="1"/>
  <c r="AH7" i="33" s="1"/>
  <c r="AI7" i="33" s="1"/>
  <c r="AJ7" i="33" s="1"/>
  <c r="AK7" i="33" s="1"/>
  <c r="AL7" i="33" s="1"/>
  <c r="AM7" i="33" s="1"/>
  <c r="R7" i="33"/>
  <c r="S7" i="33" s="1"/>
  <c r="T7" i="33" s="1"/>
  <c r="U7" i="33" s="1"/>
  <c r="V7" i="33" s="1"/>
  <c r="W7" i="33" s="1"/>
  <c r="X7" i="33" s="1"/>
  <c r="Y7" i="33" s="1"/>
  <c r="Z7" i="33" s="1"/>
  <c r="AA7" i="33" s="1"/>
  <c r="M7" i="33"/>
  <c r="N7" i="33" s="1"/>
  <c r="O7" i="33" s="1"/>
  <c r="L7" i="33"/>
  <c r="K7" i="33"/>
  <c r="BB6" i="33"/>
  <c r="BC6" i="33" s="1"/>
  <c r="BD6" i="33" s="1"/>
  <c r="BE6" i="33" s="1"/>
  <c r="BF6" i="33" s="1"/>
  <c r="BG6" i="33" s="1"/>
  <c r="BH6" i="33" s="1"/>
  <c r="BI6" i="33" s="1"/>
  <c r="BJ6" i="33" s="1"/>
  <c r="BK6" i="33" s="1"/>
  <c r="AQ6" i="33"/>
  <c r="AR6" i="33" s="1"/>
  <c r="AS6" i="33" s="1"/>
  <c r="AT6" i="33" s="1"/>
  <c r="AU6" i="33" s="1"/>
  <c r="AV6" i="33" s="1"/>
  <c r="AW6" i="33" s="1"/>
  <c r="AX6" i="33" s="1"/>
  <c r="AY6" i="33" s="1"/>
  <c r="AP6" i="33"/>
  <c r="AD6" i="33"/>
  <c r="AD10" i="33" s="1"/>
  <c r="AD11" i="33" s="1"/>
  <c r="T6" i="33"/>
  <c r="U6" i="33" s="1"/>
  <c r="V6" i="33" s="1"/>
  <c r="W6" i="33" s="1"/>
  <c r="X6" i="33" s="1"/>
  <c r="Y6" i="33" s="1"/>
  <c r="Z6" i="33" s="1"/>
  <c r="AA6" i="33" s="1"/>
  <c r="S6" i="33"/>
  <c r="R6" i="33"/>
  <c r="M6" i="33"/>
  <c r="N6" i="33" s="1"/>
  <c r="O6" i="33" s="1"/>
  <c r="L6" i="33"/>
  <c r="I6" i="33"/>
  <c r="BC5" i="33"/>
  <c r="BD5" i="33" s="1"/>
  <c r="BE5" i="33" s="1"/>
  <c r="BF5" i="33" s="1"/>
  <c r="BG5" i="33" s="1"/>
  <c r="BH5" i="33" s="1"/>
  <c r="BI5" i="33" s="1"/>
  <c r="BJ5" i="33" s="1"/>
  <c r="BK5" i="33" s="1"/>
  <c r="BB5" i="33"/>
  <c r="AP5" i="33"/>
  <c r="AQ5" i="33" s="1"/>
  <c r="AR5" i="33" s="1"/>
  <c r="AS5" i="33" s="1"/>
  <c r="AT5" i="33" s="1"/>
  <c r="AU5" i="33" s="1"/>
  <c r="AV5" i="33" s="1"/>
  <c r="AW5" i="33" s="1"/>
  <c r="AX5" i="33" s="1"/>
  <c r="AY5" i="33" s="1"/>
  <c r="AD5" i="33"/>
  <c r="AE5" i="33" s="1"/>
  <c r="AF5" i="33" s="1"/>
  <c r="AG5" i="33" s="1"/>
  <c r="AH5" i="33" s="1"/>
  <c r="AI5" i="33" s="1"/>
  <c r="AJ5" i="33" s="1"/>
  <c r="AK5" i="33" s="1"/>
  <c r="AL5" i="33" s="1"/>
  <c r="AM5" i="33" s="1"/>
  <c r="R5" i="33"/>
  <c r="S5" i="33" s="1"/>
  <c r="T5" i="33" s="1"/>
  <c r="U5" i="33" s="1"/>
  <c r="V5" i="33" s="1"/>
  <c r="W5" i="33" s="1"/>
  <c r="X5" i="33" s="1"/>
  <c r="Y5" i="33" s="1"/>
  <c r="Z5" i="33" s="1"/>
  <c r="AA5" i="33" s="1"/>
  <c r="H5" i="33"/>
  <c r="I5" i="33" s="1"/>
  <c r="J5" i="33" s="1"/>
  <c r="K5" i="33" s="1"/>
  <c r="L5" i="33" s="1"/>
  <c r="M5" i="33" s="1"/>
  <c r="N5" i="33" s="1"/>
  <c r="O5" i="33" s="1"/>
  <c r="BC4" i="33"/>
  <c r="BD4" i="33" s="1"/>
  <c r="BE4" i="33" s="1"/>
  <c r="BF4" i="33" s="1"/>
  <c r="BG4" i="33" s="1"/>
  <c r="BH4" i="33" s="1"/>
  <c r="BI4" i="33" s="1"/>
  <c r="BJ4" i="33" s="1"/>
  <c r="BK4" i="33" s="1"/>
  <c r="BB4" i="33"/>
  <c r="AP4" i="33"/>
  <c r="AQ4" i="33" s="1"/>
  <c r="AR4" i="33" s="1"/>
  <c r="AS4" i="33" s="1"/>
  <c r="AT4" i="33" s="1"/>
  <c r="AU4" i="33" s="1"/>
  <c r="AV4" i="33" s="1"/>
  <c r="AW4" i="33" s="1"/>
  <c r="AX4" i="33" s="1"/>
  <c r="AY4" i="33" s="1"/>
  <c r="AD4" i="33"/>
  <c r="AE4" i="33" s="1"/>
  <c r="AF4" i="33" s="1"/>
  <c r="AG4" i="33" s="1"/>
  <c r="AH4" i="33" s="1"/>
  <c r="AI4" i="33" s="1"/>
  <c r="AJ4" i="33" s="1"/>
  <c r="AK4" i="33" s="1"/>
  <c r="AL4" i="33" s="1"/>
  <c r="AM4" i="33" s="1"/>
  <c r="R4" i="33"/>
  <c r="S4" i="33" s="1"/>
  <c r="T4" i="33" s="1"/>
  <c r="U4" i="33" s="1"/>
  <c r="V4" i="33" s="1"/>
  <c r="W4" i="33" s="1"/>
  <c r="X4" i="33" s="1"/>
  <c r="Y4" i="33" s="1"/>
  <c r="Z4" i="33" s="1"/>
  <c r="AA4" i="33" s="1"/>
  <c r="H4" i="33"/>
  <c r="I4" i="33" s="1"/>
  <c r="J4" i="33" s="1"/>
  <c r="K4" i="33" s="1"/>
  <c r="L4" i="33" s="1"/>
  <c r="M4" i="33" s="1"/>
  <c r="N4" i="33" s="1"/>
  <c r="O4" i="33" s="1"/>
  <c r="BC3" i="33"/>
  <c r="BD3" i="33" s="1"/>
  <c r="BE3" i="33" s="1"/>
  <c r="BF3" i="33" s="1"/>
  <c r="BG3" i="33" s="1"/>
  <c r="BH3" i="33" s="1"/>
  <c r="BI3" i="33" s="1"/>
  <c r="BJ3" i="33" s="1"/>
  <c r="BK3" i="33" s="1"/>
  <c r="BB3" i="33"/>
  <c r="AP3" i="33"/>
  <c r="AQ3" i="33" s="1"/>
  <c r="AR3" i="33" s="1"/>
  <c r="AS3" i="33" s="1"/>
  <c r="AT3" i="33" s="1"/>
  <c r="AU3" i="33" s="1"/>
  <c r="AV3" i="33" s="1"/>
  <c r="AW3" i="33" s="1"/>
  <c r="AX3" i="33" s="1"/>
  <c r="AY3" i="33" s="1"/>
  <c r="AD3" i="33"/>
  <c r="AE3" i="33" s="1"/>
  <c r="AF3" i="33" s="1"/>
  <c r="AG3" i="33" s="1"/>
  <c r="AH3" i="33" s="1"/>
  <c r="AI3" i="33" s="1"/>
  <c r="AJ3" i="33" s="1"/>
  <c r="AK3" i="33" s="1"/>
  <c r="AL3" i="33" s="1"/>
  <c r="AM3" i="33" s="1"/>
  <c r="R3" i="33"/>
  <c r="S3" i="33" s="1"/>
  <c r="T3" i="33" s="1"/>
  <c r="U3" i="33" s="1"/>
  <c r="V3" i="33" s="1"/>
  <c r="W3" i="33" s="1"/>
  <c r="X3" i="33" s="1"/>
  <c r="Y3" i="33" s="1"/>
  <c r="Z3" i="33" s="1"/>
  <c r="AA3" i="33" s="1"/>
  <c r="H3" i="33"/>
  <c r="I3" i="33" s="1"/>
  <c r="J3" i="33" s="1"/>
  <c r="K3" i="33" s="1"/>
  <c r="L3" i="33" s="1"/>
  <c r="M3" i="33" s="1"/>
  <c r="N3" i="33" s="1"/>
  <c r="O3" i="33" s="1"/>
  <c r="BC2" i="33"/>
  <c r="BD2" i="33" s="1"/>
  <c r="BE2" i="33" s="1"/>
  <c r="BF2" i="33" s="1"/>
  <c r="BG2" i="33" s="1"/>
  <c r="BH2" i="33" s="1"/>
  <c r="BI2" i="33" s="1"/>
  <c r="BJ2" i="33" s="1"/>
  <c r="BK2" i="33" s="1"/>
  <c r="BB2" i="33"/>
  <c r="AP2" i="33"/>
  <c r="AQ2" i="33" s="1"/>
  <c r="AR2" i="33" s="1"/>
  <c r="AS2" i="33" s="1"/>
  <c r="AT2" i="33" s="1"/>
  <c r="AU2" i="33" s="1"/>
  <c r="AV2" i="33" s="1"/>
  <c r="AW2" i="33" s="1"/>
  <c r="AX2" i="33" s="1"/>
  <c r="AY2" i="33" s="1"/>
  <c r="AD2" i="33"/>
  <c r="AE2" i="33" s="1"/>
  <c r="AF2" i="33" s="1"/>
  <c r="AG2" i="33" s="1"/>
  <c r="AH2" i="33" s="1"/>
  <c r="AI2" i="33" s="1"/>
  <c r="AJ2" i="33" s="1"/>
  <c r="AK2" i="33" s="1"/>
  <c r="AL2" i="33" s="1"/>
  <c r="AM2" i="33" s="1"/>
  <c r="R2" i="33"/>
  <c r="S2" i="33" s="1"/>
  <c r="T2" i="33" s="1"/>
  <c r="U2" i="33" s="1"/>
  <c r="V2" i="33" s="1"/>
  <c r="W2" i="33" s="1"/>
  <c r="X2" i="33" s="1"/>
  <c r="Y2" i="33" s="1"/>
  <c r="Z2" i="33" s="1"/>
  <c r="AA2" i="33" s="1"/>
  <c r="J2" i="33"/>
  <c r="K2" i="33" s="1"/>
  <c r="L2" i="33" s="1"/>
  <c r="M2" i="33" s="1"/>
  <c r="N2" i="33" s="1"/>
  <c r="O2" i="33" s="1"/>
  <c r="I2" i="33"/>
  <c r="B241" i="32"/>
  <c r="H239" i="32"/>
  <c r="H238" i="32"/>
  <c r="H237" i="32"/>
  <c r="H236" i="32"/>
  <c r="H235" i="32"/>
  <c r="B234" i="32"/>
  <c r="A234" i="32"/>
  <c r="H233" i="32"/>
  <c r="A233" i="32"/>
  <c r="H232" i="32"/>
  <c r="B232" i="32"/>
  <c r="A232" i="32"/>
  <c r="B221" i="32"/>
  <c r="H219" i="32"/>
  <c r="H218" i="32"/>
  <c r="H217" i="32"/>
  <c r="H216" i="32"/>
  <c r="H215" i="32"/>
  <c r="B214" i="32"/>
  <c r="A214" i="32"/>
  <c r="H213" i="32"/>
  <c r="A213" i="32"/>
  <c r="H212" i="32"/>
  <c r="B212" i="32"/>
  <c r="A212" i="32"/>
  <c r="B201" i="32"/>
  <c r="H199" i="32"/>
  <c r="H198" i="32"/>
  <c r="H197" i="32"/>
  <c r="H196" i="32"/>
  <c r="H195" i="32"/>
  <c r="B194" i="32"/>
  <c r="A194" i="32"/>
  <c r="H193" i="32"/>
  <c r="A193" i="32"/>
  <c r="H192" i="32"/>
  <c r="B192" i="32"/>
  <c r="A192" i="32"/>
  <c r="B181" i="32"/>
  <c r="H179" i="32"/>
  <c r="H178" i="32"/>
  <c r="H177" i="32"/>
  <c r="H176" i="32"/>
  <c r="H175" i="32"/>
  <c r="B174" i="32"/>
  <c r="A174" i="32"/>
  <c r="H173" i="32"/>
  <c r="A173" i="32"/>
  <c r="H172" i="32"/>
  <c r="B172" i="32"/>
  <c r="A172" i="32"/>
  <c r="B161" i="32"/>
  <c r="H159" i="32"/>
  <c r="H158" i="32"/>
  <c r="H157" i="32"/>
  <c r="H156" i="32"/>
  <c r="H155" i="32"/>
  <c r="B154" i="32"/>
  <c r="A154" i="32"/>
  <c r="H153" i="32"/>
  <c r="A153" i="32"/>
  <c r="H152" i="32"/>
  <c r="B152" i="32"/>
  <c r="A152" i="32"/>
  <c r="B141" i="32"/>
  <c r="H139" i="32"/>
  <c r="H138" i="32"/>
  <c r="H137" i="32"/>
  <c r="H136" i="32"/>
  <c r="H135" i="32"/>
  <c r="B134" i="32"/>
  <c r="A134" i="32"/>
  <c r="H133" i="32"/>
  <c r="A133" i="32"/>
  <c r="H132" i="32"/>
  <c r="B132" i="32"/>
  <c r="A132" i="32"/>
  <c r="B121" i="32"/>
  <c r="H119" i="32"/>
  <c r="H118" i="32"/>
  <c r="H117" i="32"/>
  <c r="H116" i="32"/>
  <c r="H115" i="32"/>
  <c r="B114" i="32"/>
  <c r="A114" i="32"/>
  <c r="H113" i="32"/>
  <c r="A113" i="32"/>
  <c r="H112" i="32"/>
  <c r="B112" i="32"/>
  <c r="A112" i="32"/>
  <c r="B101" i="32"/>
  <c r="H99" i="32"/>
  <c r="H98" i="32"/>
  <c r="H97" i="32"/>
  <c r="H96" i="32"/>
  <c r="H95" i="32"/>
  <c r="B94" i="32"/>
  <c r="A94" i="32"/>
  <c r="H93" i="32"/>
  <c r="A93" i="32"/>
  <c r="H92" i="32"/>
  <c r="B92" i="32"/>
  <c r="A92" i="32"/>
  <c r="B81" i="32"/>
  <c r="H79" i="32"/>
  <c r="H78" i="32"/>
  <c r="H77" i="32"/>
  <c r="H76" i="32"/>
  <c r="H75" i="32"/>
  <c r="B74" i="32"/>
  <c r="A74" i="32"/>
  <c r="H73" i="32"/>
  <c r="A73" i="32"/>
  <c r="H72" i="32"/>
  <c r="B72" i="32"/>
  <c r="A72" i="32"/>
  <c r="B61" i="32"/>
  <c r="A61" i="32"/>
  <c r="H59" i="32"/>
  <c r="H58" i="32"/>
  <c r="H57" i="32"/>
  <c r="H56" i="32"/>
  <c r="H55" i="32"/>
  <c r="B54" i="32"/>
  <c r="A54" i="32"/>
  <c r="H53" i="32"/>
  <c r="A53" i="32"/>
  <c r="H52" i="32"/>
  <c r="B52" i="32"/>
  <c r="A52" i="32"/>
  <c r="AC22" i="32"/>
  <c r="BA21" i="32"/>
  <c r="BA22" i="32" s="1"/>
  <c r="AO21" i="32"/>
  <c r="AO22" i="32" s="1"/>
  <c r="AC21" i="32"/>
  <c r="Q21" i="32"/>
  <c r="Q22" i="32" s="1"/>
  <c r="E21" i="32"/>
  <c r="E22" i="32" s="1"/>
  <c r="BB20" i="32"/>
  <c r="BC20" i="32" s="1"/>
  <c r="AQ20" i="32"/>
  <c r="AP20" i="32"/>
  <c r="AG20" i="32"/>
  <c r="AF20" i="32"/>
  <c r="AE20" i="32"/>
  <c r="AD20" i="32"/>
  <c r="R20" i="32"/>
  <c r="S20" i="32" s="1"/>
  <c r="T20" i="32" s="1"/>
  <c r="F20" i="32"/>
  <c r="BC19" i="32"/>
  <c r="BD19" i="32" s="1"/>
  <c r="BE19" i="32" s="1"/>
  <c r="BF19" i="32" s="1"/>
  <c r="BG19" i="32" s="1"/>
  <c r="BH19" i="32" s="1"/>
  <c r="BI19" i="32" s="1"/>
  <c r="BJ19" i="32" s="1"/>
  <c r="BK19" i="32" s="1"/>
  <c r="BB19" i="32"/>
  <c r="AS19" i="32"/>
  <c r="AT19" i="32" s="1"/>
  <c r="AU19" i="32" s="1"/>
  <c r="AV19" i="32" s="1"/>
  <c r="AW19" i="32" s="1"/>
  <c r="AX19" i="32" s="1"/>
  <c r="AY19" i="32" s="1"/>
  <c r="AR19" i="32"/>
  <c r="AQ19" i="32"/>
  <c r="AP19" i="32"/>
  <c r="AI19" i="32"/>
  <c r="AJ19" i="32" s="1"/>
  <c r="AK19" i="32" s="1"/>
  <c r="AL19" i="32" s="1"/>
  <c r="AM19" i="32" s="1"/>
  <c r="AD19" i="32"/>
  <c r="AE19" i="32" s="1"/>
  <c r="AF19" i="32" s="1"/>
  <c r="AG19" i="32" s="1"/>
  <c r="AH19" i="32" s="1"/>
  <c r="X19" i="32"/>
  <c r="Y19" i="32" s="1"/>
  <c r="Z19" i="32" s="1"/>
  <c r="AA19" i="32" s="1"/>
  <c r="R19" i="32"/>
  <c r="S19" i="32" s="1"/>
  <c r="T19" i="32" s="1"/>
  <c r="U19" i="32" s="1"/>
  <c r="V19" i="32" s="1"/>
  <c r="W19" i="32" s="1"/>
  <c r="G19" i="32"/>
  <c r="H19" i="32" s="1"/>
  <c r="I19" i="32" s="1"/>
  <c r="J19" i="32" s="1"/>
  <c r="K19" i="32" s="1"/>
  <c r="L19" i="32" s="1"/>
  <c r="M19" i="32" s="1"/>
  <c r="N19" i="32" s="1"/>
  <c r="O19" i="32" s="1"/>
  <c r="F19" i="32"/>
  <c r="BC18" i="32"/>
  <c r="BD18" i="32" s="1"/>
  <c r="BE18" i="32" s="1"/>
  <c r="BF18" i="32" s="1"/>
  <c r="BG18" i="32" s="1"/>
  <c r="BH18" i="32" s="1"/>
  <c r="BI18" i="32" s="1"/>
  <c r="BJ18" i="32" s="1"/>
  <c r="BK18" i="32" s="1"/>
  <c r="BB18" i="32"/>
  <c r="AQ18" i="32"/>
  <c r="AR18" i="32" s="1"/>
  <c r="AS18" i="32" s="1"/>
  <c r="AT18" i="32" s="1"/>
  <c r="AU18" i="32" s="1"/>
  <c r="AV18" i="32" s="1"/>
  <c r="AW18" i="32" s="1"/>
  <c r="AX18" i="32" s="1"/>
  <c r="AY18" i="32" s="1"/>
  <c r="AP18" i="32"/>
  <c r="AD18" i="32"/>
  <c r="AE18" i="32" s="1"/>
  <c r="AF18" i="32" s="1"/>
  <c r="AG18" i="32" s="1"/>
  <c r="AH18" i="32" s="1"/>
  <c r="AI18" i="32" s="1"/>
  <c r="AJ18" i="32" s="1"/>
  <c r="AK18" i="32" s="1"/>
  <c r="AL18" i="32" s="1"/>
  <c r="AM18" i="32" s="1"/>
  <c r="R18" i="32"/>
  <c r="S18" i="32" s="1"/>
  <c r="T18" i="32" s="1"/>
  <c r="U18" i="32" s="1"/>
  <c r="V18" i="32" s="1"/>
  <c r="W18" i="32" s="1"/>
  <c r="X18" i="32" s="1"/>
  <c r="Y18" i="32" s="1"/>
  <c r="Z18" i="32" s="1"/>
  <c r="AA18" i="32" s="1"/>
  <c r="G18" i="32"/>
  <c r="H18" i="32" s="1"/>
  <c r="I18" i="32" s="1"/>
  <c r="J18" i="32" s="1"/>
  <c r="K18" i="32" s="1"/>
  <c r="L18" i="32" s="1"/>
  <c r="M18" i="32" s="1"/>
  <c r="N18" i="32" s="1"/>
  <c r="O18" i="32" s="1"/>
  <c r="F18" i="32"/>
  <c r="BB17" i="32"/>
  <c r="BB21" i="32" s="1"/>
  <c r="BB22" i="32" s="1"/>
  <c r="AU17" i="32"/>
  <c r="AV17" i="32" s="1"/>
  <c r="AW17" i="32" s="1"/>
  <c r="AX17" i="32" s="1"/>
  <c r="AY17" i="32" s="1"/>
  <c r="AP17" i="32"/>
  <c r="AQ17" i="32" s="1"/>
  <c r="AR17" i="32" s="1"/>
  <c r="AS17" i="32" s="1"/>
  <c r="AT17" i="32" s="1"/>
  <c r="AH17" i="32"/>
  <c r="AI17" i="32" s="1"/>
  <c r="AJ17" i="32" s="1"/>
  <c r="AK17" i="32" s="1"/>
  <c r="AL17" i="32" s="1"/>
  <c r="AM17" i="32" s="1"/>
  <c r="AD17" i="32"/>
  <c r="AE17" i="32" s="1"/>
  <c r="AF17" i="32" s="1"/>
  <c r="AG17" i="32" s="1"/>
  <c r="S17" i="32"/>
  <c r="T17" i="32" s="1"/>
  <c r="U17" i="32" s="1"/>
  <c r="V17" i="32" s="1"/>
  <c r="W17" i="32" s="1"/>
  <c r="X17" i="32" s="1"/>
  <c r="Y17" i="32" s="1"/>
  <c r="Z17" i="32" s="1"/>
  <c r="AA17" i="32" s="1"/>
  <c r="R17" i="32"/>
  <c r="J17" i="32"/>
  <c r="K17" i="32" s="1"/>
  <c r="L17" i="32" s="1"/>
  <c r="M17" i="32" s="1"/>
  <c r="N17" i="32" s="1"/>
  <c r="O17" i="32" s="1"/>
  <c r="F17" i="32"/>
  <c r="G17" i="32" s="1"/>
  <c r="H17" i="32" s="1"/>
  <c r="I17" i="32" s="1"/>
  <c r="BB16" i="32"/>
  <c r="BC16" i="32" s="1"/>
  <c r="BD16" i="32" s="1"/>
  <c r="BE16" i="32" s="1"/>
  <c r="BF16" i="32" s="1"/>
  <c r="BG16" i="32" s="1"/>
  <c r="BH16" i="32" s="1"/>
  <c r="BI16" i="32" s="1"/>
  <c r="BJ16" i="32" s="1"/>
  <c r="BK16" i="32" s="1"/>
  <c r="AP16" i="32"/>
  <c r="AQ16" i="32" s="1"/>
  <c r="AR16" i="32" s="1"/>
  <c r="AS16" i="32" s="1"/>
  <c r="AT16" i="32" s="1"/>
  <c r="AU16" i="32" s="1"/>
  <c r="AV16" i="32" s="1"/>
  <c r="AW16" i="32" s="1"/>
  <c r="AX16" i="32" s="1"/>
  <c r="AY16" i="32" s="1"/>
  <c r="AF16" i="32"/>
  <c r="AG16" i="32" s="1"/>
  <c r="AH16" i="32" s="1"/>
  <c r="AI16" i="32" s="1"/>
  <c r="AJ16" i="32" s="1"/>
  <c r="AK16" i="32" s="1"/>
  <c r="AL16" i="32" s="1"/>
  <c r="AM16" i="32" s="1"/>
  <c r="AE16" i="32"/>
  <c r="AD16" i="32"/>
  <c r="U16" i="32"/>
  <c r="V16" i="32" s="1"/>
  <c r="W16" i="32" s="1"/>
  <c r="X16" i="32" s="1"/>
  <c r="Y16" i="32" s="1"/>
  <c r="Z16" i="32" s="1"/>
  <c r="AA16" i="32" s="1"/>
  <c r="R16" i="32"/>
  <c r="S16" i="32" s="1"/>
  <c r="T16" i="32" s="1"/>
  <c r="H16" i="32"/>
  <c r="I16" i="32" s="1"/>
  <c r="J16" i="32" s="1"/>
  <c r="K16" i="32" s="1"/>
  <c r="L16" i="32" s="1"/>
  <c r="M16" i="32" s="1"/>
  <c r="N16" i="32" s="1"/>
  <c r="O16" i="32" s="1"/>
  <c r="F16" i="32"/>
  <c r="G16" i="32" s="1"/>
  <c r="BC15" i="32"/>
  <c r="BD15" i="32" s="1"/>
  <c r="BE15" i="32" s="1"/>
  <c r="BF15" i="32" s="1"/>
  <c r="BG15" i="32" s="1"/>
  <c r="BH15" i="32" s="1"/>
  <c r="BI15" i="32" s="1"/>
  <c r="BJ15" i="32" s="1"/>
  <c r="BK15" i="32" s="1"/>
  <c r="BB15" i="32"/>
  <c r="AQ15" i="32"/>
  <c r="AR15" i="32" s="1"/>
  <c r="AS15" i="32" s="1"/>
  <c r="AT15" i="32" s="1"/>
  <c r="AU15" i="32" s="1"/>
  <c r="AV15" i="32" s="1"/>
  <c r="AW15" i="32" s="1"/>
  <c r="AX15" i="32" s="1"/>
  <c r="AY15" i="32" s="1"/>
  <c r="AP15" i="32"/>
  <c r="AE15" i="32"/>
  <c r="AF15" i="32" s="1"/>
  <c r="AG15" i="32" s="1"/>
  <c r="AH15" i="32" s="1"/>
  <c r="AI15" i="32" s="1"/>
  <c r="AJ15" i="32" s="1"/>
  <c r="AK15" i="32" s="1"/>
  <c r="AL15" i="32" s="1"/>
  <c r="AM15" i="32" s="1"/>
  <c r="AD15" i="32"/>
  <c r="R15" i="32"/>
  <c r="S15" i="32" s="1"/>
  <c r="T15" i="32" s="1"/>
  <c r="U15" i="32" s="1"/>
  <c r="V15" i="32" s="1"/>
  <c r="W15" i="32" s="1"/>
  <c r="X15" i="32" s="1"/>
  <c r="Y15" i="32" s="1"/>
  <c r="Z15" i="32" s="1"/>
  <c r="AA15" i="32" s="1"/>
  <c r="F15" i="32"/>
  <c r="G15" i="32" s="1"/>
  <c r="H15" i="32" s="1"/>
  <c r="I15" i="32" s="1"/>
  <c r="J15" i="32" s="1"/>
  <c r="K15" i="32" s="1"/>
  <c r="L15" i="32" s="1"/>
  <c r="M15" i="32" s="1"/>
  <c r="N15" i="32" s="1"/>
  <c r="O15" i="32" s="1"/>
  <c r="BF14" i="32"/>
  <c r="BG14" i="32" s="1"/>
  <c r="BH14" i="32" s="1"/>
  <c r="BI14" i="32" s="1"/>
  <c r="BJ14" i="32" s="1"/>
  <c r="BK14" i="32" s="1"/>
  <c r="BE14" i="32"/>
  <c r="BD14" i="32"/>
  <c r="BC14" i="32"/>
  <c r="BB14" i="32"/>
  <c r="AP14" i="32"/>
  <c r="AQ14" i="32" s="1"/>
  <c r="AR14" i="32" s="1"/>
  <c r="AS14" i="32" s="1"/>
  <c r="AT14" i="32" s="1"/>
  <c r="AU14" i="32" s="1"/>
  <c r="AV14" i="32" s="1"/>
  <c r="AW14" i="32" s="1"/>
  <c r="AX14" i="32" s="1"/>
  <c r="AY14" i="32" s="1"/>
  <c r="AI14" i="32"/>
  <c r="AJ14" i="32" s="1"/>
  <c r="AK14" i="32" s="1"/>
  <c r="AL14" i="32" s="1"/>
  <c r="AM14" i="32" s="1"/>
  <c r="AG14" i="32"/>
  <c r="AH14" i="32" s="1"/>
  <c r="AF14" i="32"/>
  <c r="AD14" i="32"/>
  <c r="AE14" i="32" s="1"/>
  <c r="V14" i="32"/>
  <c r="W14" i="32" s="1"/>
  <c r="X14" i="32" s="1"/>
  <c r="Y14" i="32" s="1"/>
  <c r="Z14" i="32" s="1"/>
  <c r="AA14" i="32" s="1"/>
  <c r="T14" i="32"/>
  <c r="U14" i="32" s="1"/>
  <c r="S14" i="32"/>
  <c r="R14" i="32"/>
  <c r="F14" i="32"/>
  <c r="G14" i="32" s="1"/>
  <c r="H14" i="32" s="1"/>
  <c r="I14" i="32" s="1"/>
  <c r="J14" i="32" s="1"/>
  <c r="K14" i="32" s="1"/>
  <c r="L14" i="32" s="1"/>
  <c r="M14" i="32" s="1"/>
  <c r="N14" i="32" s="1"/>
  <c r="O14" i="32" s="1"/>
  <c r="BB13" i="32"/>
  <c r="BC13" i="32" s="1"/>
  <c r="BD13" i="32" s="1"/>
  <c r="BE13" i="32" s="1"/>
  <c r="BF13" i="32" s="1"/>
  <c r="BG13" i="32" s="1"/>
  <c r="BH13" i="32" s="1"/>
  <c r="BI13" i="32" s="1"/>
  <c r="BJ13" i="32" s="1"/>
  <c r="BK13" i="32" s="1"/>
  <c r="AT13" i="32"/>
  <c r="AU13" i="32" s="1"/>
  <c r="AV13" i="32" s="1"/>
  <c r="AW13" i="32" s="1"/>
  <c r="AX13" i="32" s="1"/>
  <c r="AY13" i="32" s="1"/>
  <c r="AP13" i="32"/>
  <c r="AQ13" i="32" s="1"/>
  <c r="AR13" i="32" s="1"/>
  <c r="AS13" i="32" s="1"/>
  <c r="AF13" i="32"/>
  <c r="AG13" i="32" s="1"/>
  <c r="AH13" i="32" s="1"/>
  <c r="AI13" i="32" s="1"/>
  <c r="AJ13" i="32" s="1"/>
  <c r="AK13" i="32" s="1"/>
  <c r="AL13" i="32" s="1"/>
  <c r="AM13" i="32" s="1"/>
  <c r="AE13" i="32"/>
  <c r="AD13" i="32"/>
  <c r="R13" i="32"/>
  <c r="S13" i="32" s="1"/>
  <c r="T13" i="32" s="1"/>
  <c r="U13" i="32" s="1"/>
  <c r="V13" i="32" s="1"/>
  <c r="W13" i="32" s="1"/>
  <c r="X13" i="32" s="1"/>
  <c r="Y13" i="32" s="1"/>
  <c r="Z13" i="32" s="1"/>
  <c r="AA13" i="32" s="1"/>
  <c r="H13" i="32"/>
  <c r="I13" i="32" s="1"/>
  <c r="J13" i="32" s="1"/>
  <c r="K13" i="32" s="1"/>
  <c r="L13" i="32" s="1"/>
  <c r="M13" i="32" s="1"/>
  <c r="N13" i="32" s="1"/>
  <c r="O13" i="32" s="1"/>
  <c r="F13" i="32"/>
  <c r="G13" i="32" s="1"/>
  <c r="AO11" i="32"/>
  <c r="BA10" i="32"/>
  <c r="BA11" i="32" s="1"/>
  <c r="AO10" i="32"/>
  <c r="AC10" i="32"/>
  <c r="AC11" i="32" s="1"/>
  <c r="Q10" i="32"/>
  <c r="Q11" i="32" s="1"/>
  <c r="E10" i="32"/>
  <c r="E11" i="32" s="1"/>
  <c r="BD9" i="32"/>
  <c r="BB9" i="32"/>
  <c r="BC9" i="32" s="1"/>
  <c r="AP9" i="32"/>
  <c r="AF9" i="32"/>
  <c r="AE9" i="32"/>
  <c r="AD9" i="32"/>
  <c r="R9" i="32"/>
  <c r="S9" i="32" s="1"/>
  <c r="F9" i="32"/>
  <c r="G9" i="32" s="1"/>
  <c r="BF8" i="32"/>
  <c r="BG8" i="32" s="1"/>
  <c r="BH8" i="32" s="1"/>
  <c r="BI8" i="32" s="1"/>
  <c r="BJ8" i="32" s="1"/>
  <c r="BK8" i="32" s="1"/>
  <c r="BB8" i="32"/>
  <c r="BC8" i="32" s="1"/>
  <c r="BD8" i="32" s="1"/>
  <c r="BE8" i="32" s="1"/>
  <c r="AQ8" i="32"/>
  <c r="AR8" i="32" s="1"/>
  <c r="AS8" i="32" s="1"/>
  <c r="AT8" i="32" s="1"/>
  <c r="AU8" i="32" s="1"/>
  <c r="AV8" i="32" s="1"/>
  <c r="AW8" i="32" s="1"/>
  <c r="AX8" i="32" s="1"/>
  <c r="AY8" i="32" s="1"/>
  <c r="AP8" i="32"/>
  <c r="AD8" i="32"/>
  <c r="AE8" i="32" s="1"/>
  <c r="T8" i="32"/>
  <c r="U8" i="32" s="1"/>
  <c r="V8" i="32" s="1"/>
  <c r="W8" i="32" s="1"/>
  <c r="X8" i="32" s="1"/>
  <c r="Y8" i="32" s="1"/>
  <c r="Z8" i="32" s="1"/>
  <c r="AA8" i="32" s="1"/>
  <c r="R8" i="32"/>
  <c r="S8" i="32" s="1"/>
  <c r="F8" i="32"/>
  <c r="G8" i="32" s="1"/>
  <c r="H8" i="32" s="1"/>
  <c r="I8" i="32" s="1"/>
  <c r="J8" i="32" s="1"/>
  <c r="K8" i="32" s="1"/>
  <c r="L8" i="32" s="1"/>
  <c r="M8" i="32" s="1"/>
  <c r="N8" i="32" s="1"/>
  <c r="O8" i="32" s="1"/>
  <c r="BD7" i="32"/>
  <c r="BE7" i="32" s="1"/>
  <c r="BF7" i="32" s="1"/>
  <c r="BG7" i="32" s="1"/>
  <c r="BH7" i="32" s="1"/>
  <c r="BI7" i="32" s="1"/>
  <c r="BJ7" i="32" s="1"/>
  <c r="BK7" i="32" s="1"/>
  <c r="BC7" i="32"/>
  <c r="BB7" i="32"/>
  <c r="AQ7" i="32"/>
  <c r="AR7" i="32" s="1"/>
  <c r="AS7" i="32" s="1"/>
  <c r="AT7" i="32" s="1"/>
  <c r="AU7" i="32" s="1"/>
  <c r="AV7" i="32" s="1"/>
  <c r="AW7" i="32" s="1"/>
  <c r="AX7" i="32" s="1"/>
  <c r="AY7" i="32" s="1"/>
  <c r="AP7" i="32"/>
  <c r="AF7" i="32"/>
  <c r="AG7" i="32" s="1"/>
  <c r="AH7" i="32" s="1"/>
  <c r="AI7" i="32" s="1"/>
  <c r="AJ7" i="32" s="1"/>
  <c r="AK7" i="32" s="1"/>
  <c r="AL7" i="32" s="1"/>
  <c r="AM7" i="32" s="1"/>
  <c r="AD7" i="32"/>
  <c r="AE7" i="32" s="1"/>
  <c r="S7" i="32"/>
  <c r="T7" i="32" s="1"/>
  <c r="U7" i="32" s="1"/>
  <c r="V7" i="32" s="1"/>
  <c r="W7" i="32" s="1"/>
  <c r="X7" i="32" s="1"/>
  <c r="Y7" i="32" s="1"/>
  <c r="Z7" i="32" s="1"/>
  <c r="AA7" i="32" s="1"/>
  <c r="R7" i="32"/>
  <c r="G7" i="32"/>
  <c r="H7" i="32" s="1"/>
  <c r="I7" i="32" s="1"/>
  <c r="J7" i="32" s="1"/>
  <c r="K7" i="32" s="1"/>
  <c r="L7" i="32" s="1"/>
  <c r="M7" i="32" s="1"/>
  <c r="N7" i="32" s="1"/>
  <c r="O7" i="32" s="1"/>
  <c r="F7" i="32"/>
  <c r="BC6" i="32"/>
  <c r="BD6" i="32" s="1"/>
  <c r="BE6" i="32" s="1"/>
  <c r="BF6" i="32" s="1"/>
  <c r="BG6" i="32" s="1"/>
  <c r="BH6" i="32" s="1"/>
  <c r="BI6" i="32" s="1"/>
  <c r="BJ6" i="32" s="1"/>
  <c r="BK6" i="32" s="1"/>
  <c r="BB6" i="32"/>
  <c r="AP6" i="32"/>
  <c r="AQ6" i="32" s="1"/>
  <c r="AR6" i="32" s="1"/>
  <c r="AS6" i="32" s="1"/>
  <c r="AT6" i="32" s="1"/>
  <c r="AU6" i="32" s="1"/>
  <c r="AV6" i="32" s="1"/>
  <c r="AW6" i="32" s="1"/>
  <c r="AX6" i="32" s="1"/>
  <c r="AY6" i="32" s="1"/>
  <c r="AD6" i="32"/>
  <c r="AE6" i="32" s="1"/>
  <c r="AF6" i="32" s="1"/>
  <c r="AG6" i="32" s="1"/>
  <c r="AH6" i="32" s="1"/>
  <c r="AI6" i="32" s="1"/>
  <c r="AJ6" i="32" s="1"/>
  <c r="AK6" i="32" s="1"/>
  <c r="AL6" i="32" s="1"/>
  <c r="AM6" i="32" s="1"/>
  <c r="S6" i="32"/>
  <c r="T6" i="32" s="1"/>
  <c r="U6" i="32" s="1"/>
  <c r="V6" i="32" s="1"/>
  <c r="W6" i="32" s="1"/>
  <c r="X6" i="32" s="1"/>
  <c r="Y6" i="32" s="1"/>
  <c r="Z6" i="32" s="1"/>
  <c r="AA6" i="32" s="1"/>
  <c r="R6" i="32"/>
  <c r="F6" i="32"/>
  <c r="G6" i="32" s="1"/>
  <c r="H6" i="32" s="1"/>
  <c r="I6" i="32" s="1"/>
  <c r="J6" i="32" s="1"/>
  <c r="K6" i="32" s="1"/>
  <c r="L6" i="32" s="1"/>
  <c r="M6" i="32" s="1"/>
  <c r="N6" i="32" s="1"/>
  <c r="O6" i="32" s="1"/>
  <c r="BB5" i="32"/>
  <c r="BC5" i="32" s="1"/>
  <c r="BD5" i="32" s="1"/>
  <c r="BE5" i="32" s="1"/>
  <c r="BF5" i="32" s="1"/>
  <c r="BG5" i="32" s="1"/>
  <c r="BH5" i="32" s="1"/>
  <c r="BI5" i="32" s="1"/>
  <c r="BJ5" i="32" s="1"/>
  <c r="BK5" i="32" s="1"/>
  <c r="AP5" i="32"/>
  <c r="AQ5" i="32" s="1"/>
  <c r="AR5" i="32" s="1"/>
  <c r="AS5" i="32" s="1"/>
  <c r="AT5" i="32" s="1"/>
  <c r="AU5" i="32" s="1"/>
  <c r="AV5" i="32" s="1"/>
  <c r="AW5" i="32" s="1"/>
  <c r="AX5" i="32" s="1"/>
  <c r="AY5" i="32" s="1"/>
  <c r="AF5" i="32"/>
  <c r="AG5" i="32" s="1"/>
  <c r="AH5" i="32" s="1"/>
  <c r="AI5" i="32" s="1"/>
  <c r="AJ5" i="32" s="1"/>
  <c r="AK5" i="32" s="1"/>
  <c r="AL5" i="32" s="1"/>
  <c r="AM5" i="32" s="1"/>
  <c r="AE5" i="32"/>
  <c r="AD5" i="32"/>
  <c r="R5" i="32"/>
  <c r="S5" i="32" s="1"/>
  <c r="T5" i="32" s="1"/>
  <c r="U5" i="32" s="1"/>
  <c r="V5" i="32" s="1"/>
  <c r="W5" i="32" s="1"/>
  <c r="X5" i="32" s="1"/>
  <c r="Y5" i="32" s="1"/>
  <c r="Z5" i="32" s="1"/>
  <c r="AA5" i="32" s="1"/>
  <c r="H5" i="32"/>
  <c r="I5" i="32" s="1"/>
  <c r="J5" i="32" s="1"/>
  <c r="K5" i="32" s="1"/>
  <c r="L5" i="32" s="1"/>
  <c r="M5" i="32" s="1"/>
  <c r="N5" i="32" s="1"/>
  <c r="O5" i="32" s="1"/>
  <c r="F5" i="32"/>
  <c r="G5" i="32" s="1"/>
  <c r="BC4" i="32"/>
  <c r="BD4" i="32" s="1"/>
  <c r="BE4" i="32" s="1"/>
  <c r="BF4" i="32" s="1"/>
  <c r="BG4" i="32" s="1"/>
  <c r="BH4" i="32" s="1"/>
  <c r="BI4" i="32" s="1"/>
  <c r="BJ4" i="32" s="1"/>
  <c r="BK4" i="32" s="1"/>
  <c r="BB4" i="32"/>
  <c r="AP4" i="32"/>
  <c r="AQ4" i="32" s="1"/>
  <c r="AR4" i="32" s="1"/>
  <c r="AS4" i="32" s="1"/>
  <c r="AT4" i="32" s="1"/>
  <c r="AU4" i="32" s="1"/>
  <c r="AV4" i="32" s="1"/>
  <c r="AW4" i="32" s="1"/>
  <c r="AX4" i="32" s="1"/>
  <c r="AY4" i="32" s="1"/>
  <c r="AD4" i="32"/>
  <c r="AE4" i="32" s="1"/>
  <c r="AF4" i="32" s="1"/>
  <c r="AG4" i="32" s="1"/>
  <c r="AH4" i="32" s="1"/>
  <c r="AI4" i="32" s="1"/>
  <c r="AJ4" i="32" s="1"/>
  <c r="AK4" i="32" s="1"/>
  <c r="AL4" i="32" s="1"/>
  <c r="AM4" i="32" s="1"/>
  <c r="R4" i="32"/>
  <c r="S4" i="32" s="1"/>
  <c r="T4" i="32" s="1"/>
  <c r="U4" i="32" s="1"/>
  <c r="V4" i="32" s="1"/>
  <c r="W4" i="32" s="1"/>
  <c r="X4" i="32" s="1"/>
  <c r="Y4" i="32" s="1"/>
  <c r="Z4" i="32" s="1"/>
  <c r="AA4" i="32" s="1"/>
  <c r="G4" i="32"/>
  <c r="H4" i="32" s="1"/>
  <c r="I4" i="32" s="1"/>
  <c r="J4" i="32" s="1"/>
  <c r="K4" i="32" s="1"/>
  <c r="L4" i="32" s="1"/>
  <c r="M4" i="32" s="1"/>
  <c r="N4" i="32" s="1"/>
  <c r="O4" i="32" s="1"/>
  <c r="F4" i="32"/>
  <c r="BB3" i="32"/>
  <c r="BC3" i="32" s="1"/>
  <c r="BD3" i="32" s="1"/>
  <c r="BE3" i="32" s="1"/>
  <c r="BF3" i="32" s="1"/>
  <c r="BG3" i="32" s="1"/>
  <c r="BH3" i="32" s="1"/>
  <c r="BI3" i="32" s="1"/>
  <c r="BJ3" i="32" s="1"/>
  <c r="BK3" i="32" s="1"/>
  <c r="AP3" i="32"/>
  <c r="AQ3" i="32" s="1"/>
  <c r="AR3" i="32" s="1"/>
  <c r="AS3" i="32" s="1"/>
  <c r="AT3" i="32" s="1"/>
  <c r="AU3" i="32" s="1"/>
  <c r="AV3" i="32" s="1"/>
  <c r="AW3" i="32" s="1"/>
  <c r="AX3" i="32" s="1"/>
  <c r="AY3" i="32" s="1"/>
  <c r="AD3" i="32"/>
  <c r="AE3" i="32" s="1"/>
  <c r="AF3" i="32" s="1"/>
  <c r="AG3" i="32" s="1"/>
  <c r="AH3" i="32" s="1"/>
  <c r="AI3" i="32" s="1"/>
  <c r="AJ3" i="32" s="1"/>
  <c r="AK3" i="32" s="1"/>
  <c r="AL3" i="32" s="1"/>
  <c r="AM3" i="32" s="1"/>
  <c r="S3" i="32"/>
  <c r="T3" i="32" s="1"/>
  <c r="U3" i="32" s="1"/>
  <c r="V3" i="32" s="1"/>
  <c r="W3" i="32" s="1"/>
  <c r="X3" i="32" s="1"/>
  <c r="Y3" i="32" s="1"/>
  <c r="Z3" i="32" s="1"/>
  <c r="AA3" i="32" s="1"/>
  <c r="R3" i="32"/>
  <c r="F3" i="32"/>
  <c r="G3" i="32" s="1"/>
  <c r="H3" i="32" s="1"/>
  <c r="I3" i="32" s="1"/>
  <c r="J3" i="32" s="1"/>
  <c r="K3" i="32" s="1"/>
  <c r="L3" i="32" s="1"/>
  <c r="M3" i="32" s="1"/>
  <c r="N3" i="32" s="1"/>
  <c r="O3" i="32" s="1"/>
  <c r="BB2" i="32"/>
  <c r="BC2" i="32" s="1"/>
  <c r="BD2" i="32" s="1"/>
  <c r="BE2" i="32" s="1"/>
  <c r="BF2" i="32" s="1"/>
  <c r="BG2" i="32" s="1"/>
  <c r="BH2" i="32" s="1"/>
  <c r="BI2" i="32" s="1"/>
  <c r="BJ2" i="32" s="1"/>
  <c r="BK2" i="32" s="1"/>
  <c r="AP2" i="32"/>
  <c r="AQ2" i="32" s="1"/>
  <c r="AR2" i="32" s="1"/>
  <c r="AS2" i="32" s="1"/>
  <c r="AT2" i="32" s="1"/>
  <c r="AU2" i="32" s="1"/>
  <c r="AV2" i="32" s="1"/>
  <c r="AW2" i="32" s="1"/>
  <c r="AX2" i="32" s="1"/>
  <c r="AY2" i="32" s="1"/>
  <c r="AE2" i="32"/>
  <c r="AF2" i="32" s="1"/>
  <c r="AG2" i="32" s="1"/>
  <c r="AH2" i="32" s="1"/>
  <c r="AI2" i="32" s="1"/>
  <c r="AJ2" i="32" s="1"/>
  <c r="AK2" i="32" s="1"/>
  <c r="AL2" i="32" s="1"/>
  <c r="AM2" i="32" s="1"/>
  <c r="AD2" i="32"/>
  <c r="R2" i="32"/>
  <c r="S2" i="32" s="1"/>
  <c r="T2" i="32" s="1"/>
  <c r="U2" i="32" s="1"/>
  <c r="V2" i="32" s="1"/>
  <c r="W2" i="32" s="1"/>
  <c r="X2" i="32" s="1"/>
  <c r="Y2" i="32" s="1"/>
  <c r="Z2" i="32" s="1"/>
  <c r="AA2" i="32" s="1"/>
  <c r="F2" i="32"/>
  <c r="G2" i="32" s="1"/>
  <c r="H2" i="32" s="1"/>
  <c r="I2" i="32" s="1"/>
  <c r="J2" i="32" s="1"/>
  <c r="K2" i="32" s="1"/>
  <c r="L2" i="32" s="1"/>
  <c r="M2" i="32" s="1"/>
  <c r="N2" i="32" s="1"/>
  <c r="O2" i="32" s="1"/>
  <c r="B241" i="30"/>
  <c r="H239" i="30"/>
  <c r="H238" i="30"/>
  <c r="H237" i="30"/>
  <c r="H236" i="30"/>
  <c r="H235" i="30"/>
  <c r="B234" i="30"/>
  <c r="A234" i="30"/>
  <c r="H233" i="30"/>
  <c r="A233" i="30"/>
  <c r="H232" i="30"/>
  <c r="B232" i="30"/>
  <c r="A232" i="30"/>
  <c r="B221" i="30"/>
  <c r="H219" i="30"/>
  <c r="H218" i="30"/>
  <c r="H217" i="30"/>
  <c r="H216" i="30"/>
  <c r="H215" i="30"/>
  <c r="B214" i="30"/>
  <c r="A214" i="30"/>
  <c r="H213" i="30"/>
  <c r="A213" i="30"/>
  <c r="H212" i="30"/>
  <c r="B212" i="30"/>
  <c r="A212" i="30"/>
  <c r="B201" i="30"/>
  <c r="H199" i="30"/>
  <c r="H198" i="30"/>
  <c r="H197" i="30"/>
  <c r="H196" i="30"/>
  <c r="H195" i="30"/>
  <c r="B194" i="30"/>
  <c r="A194" i="30"/>
  <c r="H193" i="30"/>
  <c r="A193" i="30"/>
  <c r="H192" i="30"/>
  <c r="B192" i="30"/>
  <c r="A192" i="30"/>
  <c r="B181" i="30"/>
  <c r="H179" i="30"/>
  <c r="H178" i="30"/>
  <c r="H177" i="30"/>
  <c r="H176" i="30"/>
  <c r="H175" i="30"/>
  <c r="B174" i="30"/>
  <c r="A174" i="30"/>
  <c r="H173" i="30"/>
  <c r="A173" i="30"/>
  <c r="H172" i="30"/>
  <c r="B172" i="30"/>
  <c r="A172" i="30"/>
  <c r="B161" i="30"/>
  <c r="H159" i="30"/>
  <c r="H158" i="30"/>
  <c r="H157" i="30"/>
  <c r="H156" i="30"/>
  <c r="H155" i="30"/>
  <c r="B154" i="30"/>
  <c r="A154" i="30"/>
  <c r="H153" i="30"/>
  <c r="A153" i="30"/>
  <c r="H152" i="30"/>
  <c r="B152" i="30"/>
  <c r="A152" i="30"/>
  <c r="B141" i="30"/>
  <c r="H139" i="30"/>
  <c r="H138" i="30"/>
  <c r="H137" i="30"/>
  <c r="H136" i="30"/>
  <c r="H135" i="30"/>
  <c r="B134" i="30"/>
  <c r="A134" i="30"/>
  <c r="H133" i="30"/>
  <c r="A133" i="30"/>
  <c r="H132" i="30"/>
  <c r="B132" i="30"/>
  <c r="A132" i="30"/>
  <c r="B121" i="30"/>
  <c r="H119" i="30"/>
  <c r="H118" i="30"/>
  <c r="H117" i="30"/>
  <c r="H116" i="30"/>
  <c r="H115" i="30"/>
  <c r="B114" i="30"/>
  <c r="A114" i="30"/>
  <c r="H113" i="30"/>
  <c r="A113" i="30"/>
  <c r="H112" i="30"/>
  <c r="B112" i="30"/>
  <c r="A112" i="30"/>
  <c r="B101" i="30"/>
  <c r="H99" i="30"/>
  <c r="H98" i="30"/>
  <c r="H97" i="30"/>
  <c r="H96" i="30"/>
  <c r="H95" i="30"/>
  <c r="B94" i="30"/>
  <c r="A94" i="30"/>
  <c r="H93" i="30"/>
  <c r="A93" i="30"/>
  <c r="H92" i="30"/>
  <c r="B92" i="30"/>
  <c r="A92" i="30"/>
  <c r="B81" i="30"/>
  <c r="H79" i="30"/>
  <c r="H78" i="30"/>
  <c r="H77" i="30"/>
  <c r="H76" i="30"/>
  <c r="H75" i="30"/>
  <c r="B74" i="30"/>
  <c r="A74" i="30"/>
  <c r="H73" i="30"/>
  <c r="A73" i="30"/>
  <c r="H72" i="30"/>
  <c r="B72" i="30"/>
  <c r="A72" i="30"/>
  <c r="B61" i="30"/>
  <c r="A61" i="30"/>
  <c r="H59" i="30"/>
  <c r="H58" i="30"/>
  <c r="H57" i="30"/>
  <c r="H56" i="30"/>
  <c r="H55" i="30"/>
  <c r="B54" i="30"/>
  <c r="A54" i="30"/>
  <c r="H53" i="30"/>
  <c r="A53" i="30"/>
  <c r="H52" i="30"/>
  <c r="B52" i="30"/>
  <c r="A52" i="30"/>
  <c r="H36" i="30"/>
  <c r="G36" i="30"/>
  <c r="H35" i="30"/>
  <c r="G35" i="30"/>
  <c r="H33" i="30"/>
  <c r="B33" i="30"/>
  <c r="H32" i="30"/>
  <c r="B32" i="30"/>
  <c r="A32" i="30"/>
  <c r="AC22" i="30"/>
  <c r="BA21" i="30"/>
  <c r="BA22" i="30" s="1"/>
  <c r="AO21" i="30"/>
  <c r="AO22" i="30" s="1"/>
  <c r="AC21" i="30"/>
  <c r="Q21" i="30"/>
  <c r="Q22" i="30" s="1"/>
  <c r="E21" i="30"/>
  <c r="E22" i="30" s="1"/>
  <c r="BB20" i="30"/>
  <c r="BC20" i="30" s="1"/>
  <c r="AQ20" i="30"/>
  <c r="AP20" i="30"/>
  <c r="AP21" i="30" s="1"/>
  <c r="AP22" i="30" s="1"/>
  <c r="AG20" i="30"/>
  <c r="AF20" i="30"/>
  <c r="AE20" i="30"/>
  <c r="AD20" i="30"/>
  <c r="S20" i="30"/>
  <c r="T20" i="30" s="1"/>
  <c r="R20" i="30"/>
  <c r="I20" i="30"/>
  <c r="J20" i="30" s="1"/>
  <c r="K20" i="30" s="1"/>
  <c r="H20" i="30"/>
  <c r="BB19" i="30"/>
  <c r="BC19" i="30" s="1"/>
  <c r="BD19" i="30" s="1"/>
  <c r="BE19" i="30" s="1"/>
  <c r="BF19" i="30" s="1"/>
  <c r="BG19" i="30" s="1"/>
  <c r="BH19" i="30" s="1"/>
  <c r="BI19" i="30" s="1"/>
  <c r="BJ19" i="30" s="1"/>
  <c r="BK19" i="30" s="1"/>
  <c r="AY19" i="30"/>
  <c r="AQ19" i="30"/>
  <c r="AR19" i="30" s="1"/>
  <c r="AS19" i="30" s="1"/>
  <c r="AT19" i="30" s="1"/>
  <c r="AU19" i="30" s="1"/>
  <c r="AV19" i="30" s="1"/>
  <c r="AW19" i="30" s="1"/>
  <c r="AX19" i="30" s="1"/>
  <c r="AP19" i="30"/>
  <c r="AG19" i="30"/>
  <c r="AH19" i="30" s="1"/>
  <c r="AI19" i="30" s="1"/>
  <c r="AJ19" i="30" s="1"/>
  <c r="AK19" i="30" s="1"/>
  <c r="AL19" i="30" s="1"/>
  <c r="AM19" i="30" s="1"/>
  <c r="AF19" i="30"/>
  <c r="AE19" i="30"/>
  <c r="AD19" i="30"/>
  <c r="W19" i="30"/>
  <c r="X19" i="30" s="1"/>
  <c r="Y19" i="30" s="1"/>
  <c r="Z19" i="30" s="1"/>
  <c r="AA19" i="30" s="1"/>
  <c r="S19" i="30"/>
  <c r="T19" i="30" s="1"/>
  <c r="U19" i="30" s="1"/>
  <c r="V19" i="30" s="1"/>
  <c r="R19" i="30"/>
  <c r="I19" i="30"/>
  <c r="J19" i="30" s="1"/>
  <c r="K19" i="30" s="1"/>
  <c r="L19" i="30" s="1"/>
  <c r="M19" i="30" s="1"/>
  <c r="N19" i="30" s="1"/>
  <c r="O19" i="30" s="1"/>
  <c r="H19" i="30"/>
  <c r="G19" i="30"/>
  <c r="BB18" i="30"/>
  <c r="BC18" i="30" s="1"/>
  <c r="BD18" i="30" s="1"/>
  <c r="BE18" i="30" s="1"/>
  <c r="BF18" i="30" s="1"/>
  <c r="BG18" i="30" s="1"/>
  <c r="BH18" i="30" s="1"/>
  <c r="BI18" i="30" s="1"/>
  <c r="BJ18" i="30" s="1"/>
  <c r="BK18" i="30" s="1"/>
  <c r="AR18" i="30"/>
  <c r="AS18" i="30" s="1"/>
  <c r="AT18" i="30" s="1"/>
  <c r="AU18" i="30" s="1"/>
  <c r="AV18" i="30" s="1"/>
  <c r="AW18" i="30" s="1"/>
  <c r="AX18" i="30" s="1"/>
  <c r="AY18" i="30" s="1"/>
  <c r="AQ18" i="30"/>
  <c r="AP18" i="30"/>
  <c r="AH18" i="30"/>
  <c r="AI18" i="30" s="1"/>
  <c r="AJ18" i="30" s="1"/>
  <c r="AK18" i="30" s="1"/>
  <c r="AL18" i="30" s="1"/>
  <c r="AM18" i="30" s="1"/>
  <c r="AD18" i="30"/>
  <c r="AE18" i="30" s="1"/>
  <c r="AF18" i="30" s="1"/>
  <c r="AG18" i="30" s="1"/>
  <c r="T18" i="30"/>
  <c r="U18" i="30" s="1"/>
  <c r="V18" i="30" s="1"/>
  <c r="W18" i="30" s="1"/>
  <c r="X18" i="30" s="1"/>
  <c r="Y18" i="30" s="1"/>
  <c r="Z18" i="30" s="1"/>
  <c r="AA18" i="30" s="1"/>
  <c r="S18" i="30"/>
  <c r="R18" i="30"/>
  <c r="J18" i="30"/>
  <c r="K18" i="30" s="1"/>
  <c r="L18" i="30" s="1"/>
  <c r="M18" i="30" s="1"/>
  <c r="N18" i="30" s="1"/>
  <c r="O18" i="30" s="1"/>
  <c r="I18" i="30"/>
  <c r="H18" i="30"/>
  <c r="BB17" i="30"/>
  <c r="BC17" i="30" s="1"/>
  <c r="BD17" i="30" s="1"/>
  <c r="BE17" i="30" s="1"/>
  <c r="BF17" i="30" s="1"/>
  <c r="BG17" i="30" s="1"/>
  <c r="BH17" i="30" s="1"/>
  <c r="BI17" i="30" s="1"/>
  <c r="BJ17" i="30" s="1"/>
  <c r="BK17" i="30" s="1"/>
  <c r="AR17" i="30"/>
  <c r="AS17" i="30" s="1"/>
  <c r="AT17" i="30" s="1"/>
  <c r="AU17" i="30" s="1"/>
  <c r="AV17" i="30" s="1"/>
  <c r="AW17" i="30" s="1"/>
  <c r="AX17" i="30" s="1"/>
  <c r="AY17" i="30" s="1"/>
  <c r="AQ17" i="30"/>
  <c r="AP17" i="30"/>
  <c r="AD17" i="30"/>
  <c r="AE17" i="30" s="1"/>
  <c r="AF17" i="30" s="1"/>
  <c r="AG17" i="30" s="1"/>
  <c r="AH17" i="30" s="1"/>
  <c r="AI17" i="30" s="1"/>
  <c r="AJ17" i="30" s="1"/>
  <c r="AK17" i="30" s="1"/>
  <c r="AL17" i="30" s="1"/>
  <c r="AM17" i="30" s="1"/>
  <c r="X17" i="30"/>
  <c r="Y17" i="30" s="1"/>
  <c r="Z17" i="30" s="1"/>
  <c r="AA17" i="30" s="1"/>
  <c r="T17" i="30"/>
  <c r="U17" i="30" s="1"/>
  <c r="V17" i="30" s="1"/>
  <c r="W17" i="30" s="1"/>
  <c r="S17" i="30"/>
  <c r="R17" i="30"/>
  <c r="N17" i="30"/>
  <c r="O17" i="30" s="1"/>
  <c r="J17" i="30"/>
  <c r="K17" i="30" s="1"/>
  <c r="L17" i="30" s="1"/>
  <c r="M17" i="30" s="1"/>
  <c r="I17" i="30"/>
  <c r="H17" i="30"/>
  <c r="BB16" i="30"/>
  <c r="BC16" i="30" s="1"/>
  <c r="BD16" i="30" s="1"/>
  <c r="BE16" i="30" s="1"/>
  <c r="BF16" i="30" s="1"/>
  <c r="BG16" i="30" s="1"/>
  <c r="BH16" i="30" s="1"/>
  <c r="BI16" i="30" s="1"/>
  <c r="BJ16" i="30" s="1"/>
  <c r="BK16" i="30" s="1"/>
  <c r="AP16" i="30"/>
  <c r="AQ16" i="30" s="1"/>
  <c r="AR16" i="30" s="1"/>
  <c r="AS16" i="30" s="1"/>
  <c r="AT16" i="30" s="1"/>
  <c r="AU16" i="30" s="1"/>
  <c r="AV16" i="30" s="1"/>
  <c r="AW16" i="30" s="1"/>
  <c r="AX16" i="30" s="1"/>
  <c r="AY16" i="30" s="1"/>
  <c r="AH16" i="30"/>
  <c r="AI16" i="30" s="1"/>
  <c r="AJ16" i="30" s="1"/>
  <c r="AK16" i="30" s="1"/>
  <c r="AL16" i="30" s="1"/>
  <c r="AM16" i="30" s="1"/>
  <c r="AD16" i="30"/>
  <c r="AE16" i="30" s="1"/>
  <c r="AF16" i="30" s="1"/>
  <c r="AG16" i="30" s="1"/>
  <c r="T16" i="30"/>
  <c r="U16" i="30" s="1"/>
  <c r="V16" i="30" s="1"/>
  <c r="W16" i="30" s="1"/>
  <c r="X16" i="30" s="1"/>
  <c r="Y16" i="30" s="1"/>
  <c r="Z16" i="30" s="1"/>
  <c r="AA16" i="30" s="1"/>
  <c r="S16" i="30"/>
  <c r="R16" i="30"/>
  <c r="G16" i="30"/>
  <c r="H16" i="30" s="1"/>
  <c r="I16" i="30" s="1"/>
  <c r="J16" i="30" s="1"/>
  <c r="K16" i="30" s="1"/>
  <c r="L16" i="30" s="1"/>
  <c r="M16" i="30" s="1"/>
  <c r="N16" i="30" s="1"/>
  <c r="O16" i="30" s="1"/>
  <c r="BK15" i="30"/>
  <c r="BC15" i="30"/>
  <c r="BD15" i="30" s="1"/>
  <c r="BE15" i="30" s="1"/>
  <c r="BF15" i="30" s="1"/>
  <c r="BG15" i="30" s="1"/>
  <c r="BH15" i="30" s="1"/>
  <c r="BI15" i="30" s="1"/>
  <c r="BJ15" i="30" s="1"/>
  <c r="BB15" i="30"/>
  <c r="AS15" i="30"/>
  <c r="AT15" i="30" s="1"/>
  <c r="AU15" i="30" s="1"/>
  <c r="AV15" i="30" s="1"/>
  <c r="AW15" i="30" s="1"/>
  <c r="AX15" i="30" s="1"/>
  <c r="AY15" i="30" s="1"/>
  <c r="AR15" i="30"/>
  <c r="AQ15" i="30"/>
  <c r="AP15" i="30"/>
  <c r="AI15" i="30"/>
  <c r="AJ15" i="30" s="1"/>
  <c r="AK15" i="30" s="1"/>
  <c r="AL15" i="30" s="1"/>
  <c r="AM15" i="30" s="1"/>
  <c r="AE15" i="30"/>
  <c r="AF15" i="30" s="1"/>
  <c r="AG15" i="30" s="1"/>
  <c r="AH15" i="30" s="1"/>
  <c r="AD15" i="30"/>
  <c r="R15" i="30"/>
  <c r="S15" i="30" s="1"/>
  <c r="T15" i="30" s="1"/>
  <c r="U15" i="30" s="1"/>
  <c r="V15" i="30" s="1"/>
  <c r="W15" i="30" s="1"/>
  <c r="X15" i="30" s="1"/>
  <c r="Y15" i="30" s="1"/>
  <c r="Z15" i="30" s="1"/>
  <c r="AA15" i="30" s="1"/>
  <c r="G15" i="30"/>
  <c r="H15" i="30" s="1"/>
  <c r="I15" i="30" s="1"/>
  <c r="J15" i="30" s="1"/>
  <c r="K15" i="30" s="1"/>
  <c r="L15" i="30" s="1"/>
  <c r="M15" i="30" s="1"/>
  <c r="N15" i="30" s="1"/>
  <c r="O15" i="30" s="1"/>
  <c r="BD14" i="30"/>
  <c r="BE14" i="30" s="1"/>
  <c r="BF14" i="30" s="1"/>
  <c r="BG14" i="30" s="1"/>
  <c r="BH14" i="30" s="1"/>
  <c r="BI14" i="30" s="1"/>
  <c r="BJ14" i="30" s="1"/>
  <c r="BK14" i="30" s="1"/>
  <c r="BC14" i="30"/>
  <c r="BB14" i="30"/>
  <c r="AP14" i="30"/>
  <c r="AQ14" i="30" s="1"/>
  <c r="AR14" i="30" s="1"/>
  <c r="AS14" i="30" s="1"/>
  <c r="AT14" i="30" s="1"/>
  <c r="AU14" i="30" s="1"/>
  <c r="AV14" i="30" s="1"/>
  <c r="AW14" i="30" s="1"/>
  <c r="AX14" i="30" s="1"/>
  <c r="AY14" i="30" s="1"/>
  <c r="AJ14" i="30"/>
  <c r="AK14" i="30" s="1"/>
  <c r="AL14" i="30" s="1"/>
  <c r="AM14" i="30" s="1"/>
  <c r="AF14" i="30"/>
  <c r="AG14" i="30" s="1"/>
  <c r="AH14" i="30" s="1"/>
  <c r="AI14" i="30" s="1"/>
  <c r="AE14" i="30"/>
  <c r="AD14" i="30"/>
  <c r="Z14" i="30"/>
  <c r="AA14" i="30" s="1"/>
  <c r="V14" i="30"/>
  <c r="W14" i="30" s="1"/>
  <c r="X14" i="30" s="1"/>
  <c r="Y14" i="30" s="1"/>
  <c r="R14" i="30"/>
  <c r="S14" i="30" s="1"/>
  <c r="T14" i="30" s="1"/>
  <c r="U14" i="30" s="1"/>
  <c r="H14" i="30"/>
  <c r="I14" i="30" s="1"/>
  <c r="J14" i="30" s="1"/>
  <c r="K14" i="30" s="1"/>
  <c r="L14" i="30" s="1"/>
  <c r="M14" i="30" s="1"/>
  <c r="N14" i="30" s="1"/>
  <c r="O14" i="30" s="1"/>
  <c r="G14" i="30"/>
  <c r="F14" i="30"/>
  <c r="F21" i="30" s="1"/>
  <c r="F22" i="30" s="1"/>
  <c r="BB13" i="30"/>
  <c r="BC13" i="30" s="1"/>
  <c r="BD13" i="30" s="1"/>
  <c r="BE13" i="30" s="1"/>
  <c r="BF13" i="30" s="1"/>
  <c r="BG13" i="30" s="1"/>
  <c r="BH13" i="30" s="1"/>
  <c r="BI13" i="30" s="1"/>
  <c r="BJ13" i="30" s="1"/>
  <c r="BK13" i="30" s="1"/>
  <c r="AQ13" i="30"/>
  <c r="AR13" i="30" s="1"/>
  <c r="AS13" i="30" s="1"/>
  <c r="AT13" i="30" s="1"/>
  <c r="AU13" i="30" s="1"/>
  <c r="AV13" i="30" s="1"/>
  <c r="AW13" i="30" s="1"/>
  <c r="AX13" i="30" s="1"/>
  <c r="AY13" i="30" s="1"/>
  <c r="AP13" i="30"/>
  <c r="AD13" i="30"/>
  <c r="AE13" i="30" s="1"/>
  <c r="AF13" i="30" s="1"/>
  <c r="AG13" i="30" s="1"/>
  <c r="AH13" i="30" s="1"/>
  <c r="AI13" i="30" s="1"/>
  <c r="AJ13" i="30" s="1"/>
  <c r="AK13" i="30" s="1"/>
  <c r="AL13" i="30" s="1"/>
  <c r="AM13" i="30" s="1"/>
  <c r="R13" i="30"/>
  <c r="S13" i="30" s="1"/>
  <c r="T13" i="30" s="1"/>
  <c r="U13" i="30" s="1"/>
  <c r="V13" i="30" s="1"/>
  <c r="W13" i="30" s="1"/>
  <c r="X13" i="30" s="1"/>
  <c r="Y13" i="30" s="1"/>
  <c r="Z13" i="30" s="1"/>
  <c r="AA13" i="30" s="1"/>
  <c r="M13" i="30"/>
  <c r="N13" i="30" s="1"/>
  <c r="O13" i="30" s="1"/>
  <c r="K13" i="30"/>
  <c r="L13" i="30" s="1"/>
  <c r="J13" i="30"/>
  <c r="I13" i="30"/>
  <c r="H13" i="30"/>
  <c r="G13" i="30"/>
  <c r="AO11" i="30"/>
  <c r="AC11" i="30"/>
  <c r="E11" i="30"/>
  <c r="BA10" i="30"/>
  <c r="BA11" i="30" s="1"/>
  <c r="AO10" i="30"/>
  <c r="AD10" i="30"/>
  <c r="AD11" i="30" s="1"/>
  <c r="AC10" i="30"/>
  <c r="Q10" i="30"/>
  <c r="Q11" i="30" s="1"/>
  <c r="G10" i="30"/>
  <c r="G11" i="30" s="1"/>
  <c r="F10" i="30"/>
  <c r="F11" i="30" s="1"/>
  <c r="E10" i="30"/>
  <c r="BC9" i="30"/>
  <c r="BB9" i="30"/>
  <c r="AQ9" i="30"/>
  <c r="AR9" i="30" s="1"/>
  <c r="AP9" i="30"/>
  <c r="AP10" i="30" s="1"/>
  <c r="AP11" i="30" s="1"/>
  <c r="AE9" i="30"/>
  <c r="AF9" i="30" s="1"/>
  <c r="AD9" i="30"/>
  <c r="S9" i="30"/>
  <c r="T9" i="30" s="1"/>
  <c r="R9" i="30"/>
  <c r="I9" i="30"/>
  <c r="J9" i="30" s="1"/>
  <c r="H9" i="30"/>
  <c r="BC8" i="30"/>
  <c r="BD8" i="30" s="1"/>
  <c r="BE8" i="30" s="1"/>
  <c r="BF8" i="30" s="1"/>
  <c r="BG8" i="30" s="1"/>
  <c r="BH8" i="30" s="1"/>
  <c r="BI8" i="30" s="1"/>
  <c r="BJ8" i="30" s="1"/>
  <c r="BK8" i="30" s="1"/>
  <c r="BB8" i="30"/>
  <c r="AQ8" i="30"/>
  <c r="AR8" i="30" s="1"/>
  <c r="AS8" i="30" s="1"/>
  <c r="AT8" i="30" s="1"/>
  <c r="AU8" i="30" s="1"/>
  <c r="AV8" i="30" s="1"/>
  <c r="AW8" i="30" s="1"/>
  <c r="AX8" i="30" s="1"/>
  <c r="AY8" i="30" s="1"/>
  <c r="AP8" i="30"/>
  <c r="AG8" i="30"/>
  <c r="AH8" i="30" s="1"/>
  <c r="AI8" i="30" s="1"/>
  <c r="AJ8" i="30" s="1"/>
  <c r="AK8" i="30" s="1"/>
  <c r="AL8" i="30" s="1"/>
  <c r="AM8" i="30" s="1"/>
  <c r="AF8" i="30"/>
  <c r="AE8" i="30"/>
  <c r="AD8" i="30"/>
  <c r="S8" i="30"/>
  <c r="S10" i="30" s="1"/>
  <c r="S11" i="30" s="1"/>
  <c r="R8" i="30"/>
  <c r="I8" i="30"/>
  <c r="I10" i="30" s="1"/>
  <c r="I11" i="30" s="1"/>
  <c r="H8" i="30"/>
  <c r="BC7" i="30"/>
  <c r="BD7" i="30" s="1"/>
  <c r="BE7" i="30" s="1"/>
  <c r="BF7" i="30" s="1"/>
  <c r="BG7" i="30" s="1"/>
  <c r="BH7" i="30" s="1"/>
  <c r="BI7" i="30" s="1"/>
  <c r="BJ7" i="30" s="1"/>
  <c r="BK7" i="30" s="1"/>
  <c r="BB7" i="30"/>
  <c r="AQ7" i="30"/>
  <c r="AR7" i="30" s="1"/>
  <c r="AS7" i="30" s="1"/>
  <c r="AT7" i="30" s="1"/>
  <c r="AU7" i="30" s="1"/>
  <c r="AV7" i="30" s="1"/>
  <c r="AW7" i="30" s="1"/>
  <c r="AX7" i="30" s="1"/>
  <c r="AY7" i="30" s="1"/>
  <c r="AP7" i="30"/>
  <c r="AG7" i="30"/>
  <c r="AH7" i="30" s="1"/>
  <c r="AI7" i="30" s="1"/>
  <c r="AJ7" i="30" s="1"/>
  <c r="AK7" i="30" s="1"/>
  <c r="AL7" i="30" s="1"/>
  <c r="AM7" i="30" s="1"/>
  <c r="AF7" i="30"/>
  <c r="AE7" i="30"/>
  <c r="AD7" i="30"/>
  <c r="S7" i="30"/>
  <c r="T7" i="30" s="1"/>
  <c r="U7" i="30" s="1"/>
  <c r="V7" i="30" s="1"/>
  <c r="W7" i="30" s="1"/>
  <c r="X7" i="30" s="1"/>
  <c r="Y7" i="30" s="1"/>
  <c r="Z7" i="30" s="1"/>
  <c r="AA7" i="30" s="1"/>
  <c r="R7" i="30"/>
  <c r="R10" i="30" s="1"/>
  <c r="R11" i="30" s="1"/>
  <c r="M7" i="30"/>
  <c r="N7" i="30" s="1"/>
  <c r="O7" i="30" s="1"/>
  <c r="L7" i="30"/>
  <c r="K7" i="30"/>
  <c r="BB6" i="30"/>
  <c r="BB10" i="30" s="1"/>
  <c r="BB11" i="30" s="1"/>
  <c r="AP6" i="30"/>
  <c r="AQ6" i="30" s="1"/>
  <c r="AR6" i="30" s="1"/>
  <c r="AS6" i="30" s="1"/>
  <c r="AT6" i="30" s="1"/>
  <c r="AU6" i="30" s="1"/>
  <c r="AV6" i="30" s="1"/>
  <c r="AW6" i="30" s="1"/>
  <c r="AX6" i="30" s="1"/>
  <c r="AY6" i="30" s="1"/>
  <c r="AD6" i="30"/>
  <c r="AE6" i="30" s="1"/>
  <c r="AF6" i="30" s="1"/>
  <c r="AG6" i="30" s="1"/>
  <c r="AH6" i="30" s="1"/>
  <c r="AI6" i="30" s="1"/>
  <c r="AJ6" i="30" s="1"/>
  <c r="AK6" i="30" s="1"/>
  <c r="AL6" i="30" s="1"/>
  <c r="AM6" i="30" s="1"/>
  <c r="T6" i="30"/>
  <c r="U6" i="30" s="1"/>
  <c r="V6" i="30" s="1"/>
  <c r="W6" i="30" s="1"/>
  <c r="X6" i="30" s="1"/>
  <c r="Y6" i="30" s="1"/>
  <c r="Z6" i="30" s="1"/>
  <c r="AA6" i="30" s="1"/>
  <c r="S6" i="30"/>
  <c r="R6" i="30"/>
  <c r="L6" i="30"/>
  <c r="M6" i="30" s="1"/>
  <c r="N6" i="30" s="1"/>
  <c r="O6" i="30" s="1"/>
  <c r="I6" i="30"/>
  <c r="BC5" i="30"/>
  <c r="BD5" i="30" s="1"/>
  <c r="BE5" i="30" s="1"/>
  <c r="BF5" i="30" s="1"/>
  <c r="BG5" i="30" s="1"/>
  <c r="BH5" i="30" s="1"/>
  <c r="BI5" i="30" s="1"/>
  <c r="BJ5" i="30" s="1"/>
  <c r="BK5" i="30" s="1"/>
  <c r="BB5" i="30"/>
  <c r="AS5" i="30"/>
  <c r="AT5" i="30" s="1"/>
  <c r="AU5" i="30" s="1"/>
  <c r="AV5" i="30" s="1"/>
  <c r="AW5" i="30" s="1"/>
  <c r="AX5" i="30" s="1"/>
  <c r="AY5" i="30" s="1"/>
  <c r="AR5" i="30"/>
  <c r="AQ5" i="30"/>
  <c r="AP5" i="30"/>
  <c r="AE5" i="30"/>
  <c r="AF5" i="30" s="1"/>
  <c r="AG5" i="30" s="1"/>
  <c r="AH5" i="30" s="1"/>
  <c r="AI5" i="30" s="1"/>
  <c r="AJ5" i="30" s="1"/>
  <c r="AK5" i="30" s="1"/>
  <c r="AL5" i="30" s="1"/>
  <c r="AM5" i="30" s="1"/>
  <c r="AD5" i="30"/>
  <c r="S5" i="30"/>
  <c r="T5" i="30" s="1"/>
  <c r="U5" i="30" s="1"/>
  <c r="V5" i="30" s="1"/>
  <c r="W5" i="30" s="1"/>
  <c r="X5" i="30" s="1"/>
  <c r="Y5" i="30" s="1"/>
  <c r="Z5" i="30" s="1"/>
  <c r="AA5" i="30" s="1"/>
  <c r="R5" i="30"/>
  <c r="I5" i="30"/>
  <c r="J5" i="30" s="1"/>
  <c r="K5" i="30" s="1"/>
  <c r="L5" i="30" s="1"/>
  <c r="M5" i="30" s="1"/>
  <c r="N5" i="30" s="1"/>
  <c r="O5" i="30" s="1"/>
  <c r="H5" i="30"/>
  <c r="H10" i="30" s="1"/>
  <c r="H11" i="30" s="1"/>
  <c r="BC4" i="30"/>
  <c r="BD4" i="30" s="1"/>
  <c r="BE4" i="30" s="1"/>
  <c r="BF4" i="30" s="1"/>
  <c r="BG4" i="30" s="1"/>
  <c r="BH4" i="30" s="1"/>
  <c r="BI4" i="30" s="1"/>
  <c r="BJ4" i="30" s="1"/>
  <c r="BK4" i="30" s="1"/>
  <c r="BB4" i="30"/>
  <c r="AS4" i="30"/>
  <c r="AT4" i="30" s="1"/>
  <c r="AU4" i="30" s="1"/>
  <c r="AV4" i="30" s="1"/>
  <c r="AW4" i="30" s="1"/>
  <c r="AX4" i="30" s="1"/>
  <c r="AY4" i="30" s="1"/>
  <c r="AR4" i="30"/>
  <c r="AQ4" i="30"/>
  <c r="AP4" i="30"/>
  <c r="AE4" i="30"/>
  <c r="AF4" i="30" s="1"/>
  <c r="AG4" i="30" s="1"/>
  <c r="AH4" i="30" s="1"/>
  <c r="AI4" i="30" s="1"/>
  <c r="AJ4" i="30" s="1"/>
  <c r="AK4" i="30" s="1"/>
  <c r="AL4" i="30" s="1"/>
  <c r="AM4" i="30" s="1"/>
  <c r="AD4" i="30"/>
  <c r="S4" i="30"/>
  <c r="T4" i="30" s="1"/>
  <c r="U4" i="30" s="1"/>
  <c r="V4" i="30" s="1"/>
  <c r="W4" i="30" s="1"/>
  <c r="X4" i="30" s="1"/>
  <c r="Y4" i="30" s="1"/>
  <c r="Z4" i="30" s="1"/>
  <c r="AA4" i="30" s="1"/>
  <c r="R4" i="30"/>
  <c r="I4" i="30"/>
  <c r="J4" i="30" s="1"/>
  <c r="K4" i="30" s="1"/>
  <c r="L4" i="30" s="1"/>
  <c r="M4" i="30" s="1"/>
  <c r="N4" i="30" s="1"/>
  <c r="O4" i="30" s="1"/>
  <c r="H4" i="30"/>
  <c r="BC3" i="30"/>
  <c r="BD3" i="30" s="1"/>
  <c r="BE3" i="30" s="1"/>
  <c r="BF3" i="30" s="1"/>
  <c r="BG3" i="30" s="1"/>
  <c r="BH3" i="30" s="1"/>
  <c r="BI3" i="30" s="1"/>
  <c r="BJ3" i="30" s="1"/>
  <c r="BK3" i="30" s="1"/>
  <c r="BB3" i="30"/>
  <c r="AP3" i="30"/>
  <c r="AQ3" i="30" s="1"/>
  <c r="AR3" i="30" s="1"/>
  <c r="AS3" i="30" s="1"/>
  <c r="AT3" i="30" s="1"/>
  <c r="AU3" i="30" s="1"/>
  <c r="AV3" i="30" s="1"/>
  <c r="AW3" i="30" s="1"/>
  <c r="AX3" i="30" s="1"/>
  <c r="AY3" i="30" s="1"/>
  <c r="AE3" i="30"/>
  <c r="AF3" i="30" s="1"/>
  <c r="AG3" i="30" s="1"/>
  <c r="AH3" i="30" s="1"/>
  <c r="AI3" i="30" s="1"/>
  <c r="AJ3" i="30" s="1"/>
  <c r="AK3" i="30" s="1"/>
  <c r="AL3" i="30" s="1"/>
  <c r="AM3" i="30" s="1"/>
  <c r="AD3" i="30"/>
  <c r="S3" i="30"/>
  <c r="T3" i="30" s="1"/>
  <c r="U3" i="30" s="1"/>
  <c r="V3" i="30" s="1"/>
  <c r="W3" i="30" s="1"/>
  <c r="X3" i="30" s="1"/>
  <c r="Y3" i="30" s="1"/>
  <c r="Z3" i="30" s="1"/>
  <c r="AA3" i="30" s="1"/>
  <c r="R3" i="30"/>
  <c r="I3" i="30"/>
  <c r="J3" i="30" s="1"/>
  <c r="K3" i="30" s="1"/>
  <c r="L3" i="30" s="1"/>
  <c r="M3" i="30" s="1"/>
  <c r="N3" i="30" s="1"/>
  <c r="O3" i="30" s="1"/>
  <c r="H3" i="30"/>
  <c r="BC2" i="30"/>
  <c r="BD2" i="30" s="1"/>
  <c r="BE2" i="30" s="1"/>
  <c r="BF2" i="30" s="1"/>
  <c r="BG2" i="30" s="1"/>
  <c r="BH2" i="30" s="1"/>
  <c r="BI2" i="30" s="1"/>
  <c r="BJ2" i="30" s="1"/>
  <c r="BK2" i="30" s="1"/>
  <c r="BB2" i="30"/>
  <c r="AP2" i="30"/>
  <c r="AQ2" i="30" s="1"/>
  <c r="AR2" i="30" s="1"/>
  <c r="AS2" i="30" s="1"/>
  <c r="AT2" i="30" s="1"/>
  <c r="AU2" i="30" s="1"/>
  <c r="AV2" i="30" s="1"/>
  <c r="AW2" i="30" s="1"/>
  <c r="AX2" i="30" s="1"/>
  <c r="AY2" i="30" s="1"/>
  <c r="AE2" i="30"/>
  <c r="AF2" i="30" s="1"/>
  <c r="AG2" i="30" s="1"/>
  <c r="AH2" i="30" s="1"/>
  <c r="AI2" i="30" s="1"/>
  <c r="AJ2" i="30" s="1"/>
  <c r="AK2" i="30" s="1"/>
  <c r="AL2" i="30" s="1"/>
  <c r="AM2" i="30" s="1"/>
  <c r="AD2" i="30"/>
  <c r="S2" i="30"/>
  <c r="T2" i="30" s="1"/>
  <c r="U2" i="30" s="1"/>
  <c r="V2" i="30" s="1"/>
  <c r="W2" i="30" s="1"/>
  <c r="X2" i="30" s="1"/>
  <c r="Y2" i="30" s="1"/>
  <c r="Z2" i="30" s="1"/>
  <c r="AA2" i="30" s="1"/>
  <c r="R2" i="30"/>
  <c r="I2" i="30"/>
  <c r="J2" i="30" s="1"/>
  <c r="K2" i="30" s="1"/>
  <c r="L2" i="30" s="1"/>
  <c r="M2" i="30" s="1"/>
  <c r="N2" i="30" s="1"/>
  <c r="O2" i="30" s="1"/>
  <c r="B241" i="29"/>
  <c r="H239" i="29"/>
  <c r="H238" i="29"/>
  <c r="H237" i="29"/>
  <c r="H236" i="29"/>
  <c r="H235" i="29"/>
  <c r="B234" i="29"/>
  <c r="A234" i="29"/>
  <c r="H233" i="29"/>
  <c r="A233" i="29"/>
  <c r="H232" i="29"/>
  <c r="B232" i="29"/>
  <c r="A232" i="29"/>
  <c r="B221" i="29"/>
  <c r="H219" i="29"/>
  <c r="H218" i="29"/>
  <c r="H217" i="29"/>
  <c r="H216" i="29"/>
  <c r="H215" i="29"/>
  <c r="B214" i="29"/>
  <c r="A214" i="29"/>
  <c r="H213" i="29"/>
  <c r="A213" i="29"/>
  <c r="H212" i="29"/>
  <c r="B212" i="29"/>
  <c r="A212" i="29"/>
  <c r="B201" i="29"/>
  <c r="H199" i="29"/>
  <c r="H198" i="29"/>
  <c r="H197" i="29"/>
  <c r="H196" i="29"/>
  <c r="H195" i="29"/>
  <c r="B194" i="29"/>
  <c r="A194" i="29"/>
  <c r="H193" i="29"/>
  <c r="A193" i="29"/>
  <c r="H192" i="29"/>
  <c r="B192" i="29"/>
  <c r="A192" i="29"/>
  <c r="B181" i="29"/>
  <c r="H179" i="29"/>
  <c r="H178" i="29"/>
  <c r="H177" i="29"/>
  <c r="H176" i="29"/>
  <c r="H175" i="29"/>
  <c r="B174" i="29"/>
  <c r="A174" i="29"/>
  <c r="H173" i="29"/>
  <c r="A173" i="29"/>
  <c r="H172" i="29"/>
  <c r="B172" i="29"/>
  <c r="A172" i="29"/>
  <c r="B161" i="29"/>
  <c r="H159" i="29"/>
  <c r="H158" i="29"/>
  <c r="H157" i="29"/>
  <c r="H156" i="29"/>
  <c r="H155" i="29"/>
  <c r="B154" i="29"/>
  <c r="A154" i="29"/>
  <c r="H153" i="29"/>
  <c r="A153" i="29"/>
  <c r="H152" i="29"/>
  <c r="B152" i="29"/>
  <c r="A152" i="29"/>
  <c r="B141" i="29"/>
  <c r="H139" i="29"/>
  <c r="H138" i="29"/>
  <c r="H137" i="29"/>
  <c r="H136" i="29"/>
  <c r="H135" i="29"/>
  <c r="B134" i="29"/>
  <c r="A134" i="29"/>
  <c r="H133" i="29"/>
  <c r="A133" i="29"/>
  <c r="H132" i="29"/>
  <c r="B132" i="29"/>
  <c r="A132" i="29"/>
  <c r="B121" i="29"/>
  <c r="H119" i="29"/>
  <c r="H118" i="29"/>
  <c r="H117" i="29"/>
  <c r="H116" i="29"/>
  <c r="H115" i="29"/>
  <c r="B114" i="29"/>
  <c r="A114" i="29"/>
  <c r="H113" i="29"/>
  <c r="A113" i="29"/>
  <c r="H112" i="29"/>
  <c r="B112" i="29"/>
  <c r="A112" i="29"/>
  <c r="B101" i="29"/>
  <c r="H99" i="29"/>
  <c r="H98" i="29"/>
  <c r="H97" i="29"/>
  <c r="H96" i="29"/>
  <c r="H95" i="29"/>
  <c r="B94" i="29"/>
  <c r="A94" i="29"/>
  <c r="H93" i="29"/>
  <c r="A93" i="29"/>
  <c r="H92" i="29"/>
  <c r="B92" i="29"/>
  <c r="A92" i="29"/>
  <c r="B81" i="29"/>
  <c r="H79" i="29"/>
  <c r="H78" i="29"/>
  <c r="H77" i="29"/>
  <c r="H76" i="29"/>
  <c r="H75" i="29"/>
  <c r="B74" i="29"/>
  <c r="A74" i="29"/>
  <c r="H73" i="29"/>
  <c r="A73" i="29"/>
  <c r="H72" i="29"/>
  <c r="B72" i="29"/>
  <c r="A72" i="29"/>
  <c r="B61" i="29"/>
  <c r="A61" i="29"/>
  <c r="H59" i="29"/>
  <c r="H58" i="29"/>
  <c r="H57" i="29"/>
  <c r="H56" i="29"/>
  <c r="H55" i="29"/>
  <c r="B54" i="29"/>
  <c r="A54" i="29"/>
  <c r="H53" i="29"/>
  <c r="A53" i="29"/>
  <c r="H52" i="29"/>
  <c r="B52" i="29"/>
  <c r="A52" i="29"/>
  <c r="H36" i="29"/>
  <c r="G36" i="29"/>
  <c r="H35" i="29"/>
  <c r="G35" i="29"/>
  <c r="H33" i="29"/>
  <c r="B33" i="29"/>
  <c r="B193" i="29" s="1"/>
  <c r="H32" i="29"/>
  <c r="B32" i="29"/>
  <c r="A32" i="29"/>
  <c r="BA22" i="29"/>
  <c r="BA21" i="29"/>
  <c r="AO21" i="29"/>
  <c r="AO22" i="29" s="1"/>
  <c r="AC21" i="29"/>
  <c r="AC22" i="29" s="1"/>
  <c r="AC23" i="29" s="1"/>
  <c r="E25" i="29" s="1"/>
  <c r="Q21" i="29"/>
  <c r="Q22" i="29" s="1"/>
  <c r="E21" i="29"/>
  <c r="E22" i="29" s="1"/>
  <c r="E23" i="29" s="1"/>
  <c r="BB20" i="29"/>
  <c r="BC20" i="29" s="1"/>
  <c r="AP20" i="29"/>
  <c r="AE20" i="29"/>
  <c r="AD20" i="29"/>
  <c r="R20" i="29"/>
  <c r="S20" i="29" s="1"/>
  <c r="F20" i="29"/>
  <c r="BB19" i="29"/>
  <c r="BC19" i="29" s="1"/>
  <c r="BD19" i="29" s="1"/>
  <c r="BE19" i="29" s="1"/>
  <c r="BF19" i="29" s="1"/>
  <c r="BG19" i="29" s="1"/>
  <c r="BH19" i="29" s="1"/>
  <c r="BI19" i="29" s="1"/>
  <c r="BJ19" i="29" s="1"/>
  <c r="BK19" i="29" s="1"/>
  <c r="AR19" i="29"/>
  <c r="AS19" i="29" s="1"/>
  <c r="AT19" i="29" s="1"/>
  <c r="AU19" i="29" s="1"/>
  <c r="AV19" i="29" s="1"/>
  <c r="AW19" i="29" s="1"/>
  <c r="AX19" i="29" s="1"/>
  <c r="AY19" i="29" s="1"/>
  <c r="AQ19" i="29"/>
  <c r="AP19" i="29"/>
  <c r="AG19" i="29"/>
  <c r="AH19" i="29" s="1"/>
  <c r="AI19" i="29" s="1"/>
  <c r="AJ19" i="29" s="1"/>
  <c r="AK19" i="29" s="1"/>
  <c r="AL19" i="29" s="1"/>
  <c r="AM19" i="29" s="1"/>
  <c r="AD19" i="29"/>
  <c r="AE19" i="29" s="1"/>
  <c r="AF19" i="29" s="1"/>
  <c r="R19" i="29"/>
  <c r="S19" i="29" s="1"/>
  <c r="T19" i="29" s="1"/>
  <c r="U19" i="29" s="1"/>
  <c r="V19" i="29" s="1"/>
  <c r="W19" i="29" s="1"/>
  <c r="X19" i="29" s="1"/>
  <c r="Y19" i="29" s="1"/>
  <c r="Z19" i="29" s="1"/>
  <c r="AA19" i="29" s="1"/>
  <c r="J19" i="29"/>
  <c r="K19" i="29" s="1"/>
  <c r="L19" i="29" s="1"/>
  <c r="M19" i="29" s="1"/>
  <c r="N19" i="29" s="1"/>
  <c r="O19" i="29" s="1"/>
  <c r="F19" i="29"/>
  <c r="G19" i="29" s="1"/>
  <c r="H19" i="29" s="1"/>
  <c r="I19" i="29" s="1"/>
  <c r="BC18" i="29"/>
  <c r="BD18" i="29" s="1"/>
  <c r="BE18" i="29" s="1"/>
  <c r="BF18" i="29" s="1"/>
  <c r="BG18" i="29" s="1"/>
  <c r="BH18" i="29" s="1"/>
  <c r="BI18" i="29" s="1"/>
  <c r="BJ18" i="29" s="1"/>
  <c r="BK18" i="29" s="1"/>
  <c r="BB18" i="29"/>
  <c r="AS18" i="29"/>
  <c r="AT18" i="29" s="1"/>
  <c r="AU18" i="29" s="1"/>
  <c r="AV18" i="29" s="1"/>
  <c r="AW18" i="29" s="1"/>
  <c r="AX18" i="29" s="1"/>
  <c r="AY18" i="29" s="1"/>
  <c r="AP18" i="29"/>
  <c r="AQ18" i="29" s="1"/>
  <c r="AR18" i="29" s="1"/>
  <c r="AD18" i="29"/>
  <c r="AE18" i="29" s="1"/>
  <c r="AF18" i="29" s="1"/>
  <c r="AG18" i="29" s="1"/>
  <c r="AH18" i="29" s="1"/>
  <c r="AI18" i="29" s="1"/>
  <c r="AJ18" i="29" s="1"/>
  <c r="AK18" i="29" s="1"/>
  <c r="AL18" i="29" s="1"/>
  <c r="AM18" i="29" s="1"/>
  <c r="R18" i="29"/>
  <c r="S18" i="29" s="1"/>
  <c r="T18" i="29" s="1"/>
  <c r="U18" i="29" s="1"/>
  <c r="V18" i="29" s="1"/>
  <c r="W18" i="29" s="1"/>
  <c r="X18" i="29" s="1"/>
  <c r="Y18" i="29" s="1"/>
  <c r="Z18" i="29" s="1"/>
  <c r="AA18" i="29" s="1"/>
  <c r="G18" i="29"/>
  <c r="H18" i="29" s="1"/>
  <c r="I18" i="29" s="1"/>
  <c r="J18" i="29" s="1"/>
  <c r="K18" i="29" s="1"/>
  <c r="L18" i="29" s="1"/>
  <c r="M18" i="29" s="1"/>
  <c r="N18" i="29" s="1"/>
  <c r="O18" i="29" s="1"/>
  <c r="F18" i="29"/>
  <c r="BB17" i="29"/>
  <c r="BC17" i="29" s="1"/>
  <c r="BD17" i="29" s="1"/>
  <c r="BE17" i="29" s="1"/>
  <c r="BF17" i="29" s="1"/>
  <c r="BG17" i="29" s="1"/>
  <c r="BH17" i="29" s="1"/>
  <c r="BI17" i="29" s="1"/>
  <c r="BJ17" i="29" s="1"/>
  <c r="BK17" i="29" s="1"/>
  <c r="AP17" i="29"/>
  <c r="AQ17" i="29" s="1"/>
  <c r="AR17" i="29" s="1"/>
  <c r="AS17" i="29" s="1"/>
  <c r="AT17" i="29" s="1"/>
  <c r="AU17" i="29" s="1"/>
  <c r="AV17" i="29" s="1"/>
  <c r="AW17" i="29" s="1"/>
  <c r="AX17" i="29" s="1"/>
  <c r="AY17" i="29" s="1"/>
  <c r="AH17" i="29"/>
  <c r="AI17" i="29" s="1"/>
  <c r="AJ17" i="29" s="1"/>
  <c r="AK17" i="29" s="1"/>
  <c r="AL17" i="29" s="1"/>
  <c r="AM17" i="29" s="1"/>
  <c r="AD17" i="29"/>
  <c r="AE17" i="29" s="1"/>
  <c r="AF17" i="29" s="1"/>
  <c r="AG17" i="29" s="1"/>
  <c r="S17" i="29"/>
  <c r="T17" i="29" s="1"/>
  <c r="U17" i="29" s="1"/>
  <c r="V17" i="29" s="1"/>
  <c r="W17" i="29" s="1"/>
  <c r="X17" i="29" s="1"/>
  <c r="Y17" i="29" s="1"/>
  <c r="Z17" i="29" s="1"/>
  <c r="AA17" i="29" s="1"/>
  <c r="R17" i="29"/>
  <c r="I17" i="29"/>
  <c r="J17" i="29" s="1"/>
  <c r="K17" i="29" s="1"/>
  <c r="L17" i="29" s="1"/>
  <c r="M17" i="29" s="1"/>
  <c r="N17" i="29" s="1"/>
  <c r="O17" i="29" s="1"/>
  <c r="F17" i="29"/>
  <c r="G17" i="29" s="1"/>
  <c r="H17" i="29" s="1"/>
  <c r="BB16" i="29"/>
  <c r="BC16" i="29" s="1"/>
  <c r="BD16" i="29" s="1"/>
  <c r="BE16" i="29" s="1"/>
  <c r="BF16" i="29" s="1"/>
  <c r="BG16" i="29" s="1"/>
  <c r="BH16" i="29" s="1"/>
  <c r="BI16" i="29" s="1"/>
  <c r="BJ16" i="29" s="1"/>
  <c r="BK16" i="29" s="1"/>
  <c r="AT16" i="29"/>
  <c r="AU16" i="29" s="1"/>
  <c r="AV16" i="29" s="1"/>
  <c r="AW16" i="29" s="1"/>
  <c r="AX16" i="29" s="1"/>
  <c r="AY16" i="29" s="1"/>
  <c r="AP16" i="29"/>
  <c r="AQ16" i="29" s="1"/>
  <c r="AR16" i="29" s="1"/>
  <c r="AS16" i="29" s="1"/>
  <c r="AE16" i="29"/>
  <c r="AF16" i="29" s="1"/>
  <c r="AG16" i="29" s="1"/>
  <c r="AH16" i="29" s="1"/>
  <c r="AI16" i="29" s="1"/>
  <c r="AJ16" i="29" s="1"/>
  <c r="AK16" i="29" s="1"/>
  <c r="AL16" i="29" s="1"/>
  <c r="AM16" i="29" s="1"/>
  <c r="AD16" i="29"/>
  <c r="U16" i="29"/>
  <c r="V16" i="29" s="1"/>
  <c r="W16" i="29" s="1"/>
  <c r="X16" i="29" s="1"/>
  <c r="Y16" i="29" s="1"/>
  <c r="Z16" i="29" s="1"/>
  <c r="AA16" i="29" s="1"/>
  <c r="R16" i="29"/>
  <c r="S16" i="29" s="1"/>
  <c r="T16" i="29" s="1"/>
  <c r="L16" i="29"/>
  <c r="M16" i="29" s="1"/>
  <c r="N16" i="29" s="1"/>
  <c r="O16" i="29" s="1"/>
  <c r="F16" i="29"/>
  <c r="G16" i="29" s="1"/>
  <c r="H16" i="29" s="1"/>
  <c r="I16" i="29" s="1"/>
  <c r="J16" i="29" s="1"/>
  <c r="K16" i="29" s="1"/>
  <c r="BF15" i="29"/>
  <c r="BG15" i="29" s="1"/>
  <c r="BH15" i="29" s="1"/>
  <c r="BI15" i="29" s="1"/>
  <c r="BJ15" i="29" s="1"/>
  <c r="BK15" i="29" s="1"/>
  <c r="BB15" i="29"/>
  <c r="BC15" i="29" s="1"/>
  <c r="BD15" i="29" s="1"/>
  <c r="BE15" i="29" s="1"/>
  <c r="AQ15" i="29"/>
  <c r="AR15" i="29" s="1"/>
  <c r="AS15" i="29" s="1"/>
  <c r="AT15" i="29" s="1"/>
  <c r="AU15" i="29" s="1"/>
  <c r="AV15" i="29" s="1"/>
  <c r="AW15" i="29" s="1"/>
  <c r="AX15" i="29" s="1"/>
  <c r="AY15" i="29" s="1"/>
  <c r="AP15" i="29"/>
  <c r="AG15" i="29"/>
  <c r="AH15" i="29" s="1"/>
  <c r="AI15" i="29" s="1"/>
  <c r="AJ15" i="29" s="1"/>
  <c r="AK15" i="29" s="1"/>
  <c r="AL15" i="29" s="1"/>
  <c r="AM15" i="29" s="1"/>
  <c r="AD15" i="29"/>
  <c r="AE15" i="29" s="1"/>
  <c r="AF15" i="29" s="1"/>
  <c r="R15" i="29"/>
  <c r="S15" i="29" s="1"/>
  <c r="T15" i="29" s="1"/>
  <c r="U15" i="29" s="1"/>
  <c r="V15" i="29" s="1"/>
  <c r="W15" i="29" s="1"/>
  <c r="X15" i="29" s="1"/>
  <c r="Y15" i="29" s="1"/>
  <c r="Z15" i="29" s="1"/>
  <c r="AA15" i="29" s="1"/>
  <c r="F15" i="29"/>
  <c r="G15" i="29" s="1"/>
  <c r="H15" i="29" s="1"/>
  <c r="I15" i="29" s="1"/>
  <c r="J15" i="29" s="1"/>
  <c r="K15" i="29" s="1"/>
  <c r="L15" i="29" s="1"/>
  <c r="M15" i="29" s="1"/>
  <c r="N15" i="29" s="1"/>
  <c r="O15" i="29" s="1"/>
  <c r="BC14" i="29"/>
  <c r="BD14" i="29" s="1"/>
  <c r="BE14" i="29" s="1"/>
  <c r="BF14" i="29" s="1"/>
  <c r="BG14" i="29" s="1"/>
  <c r="BH14" i="29" s="1"/>
  <c r="BI14" i="29" s="1"/>
  <c r="BJ14" i="29" s="1"/>
  <c r="BK14" i="29" s="1"/>
  <c r="BB14" i="29"/>
  <c r="AY14" i="29"/>
  <c r="AP14" i="29"/>
  <c r="AQ14" i="29" s="1"/>
  <c r="AR14" i="29" s="1"/>
  <c r="AS14" i="29" s="1"/>
  <c r="AT14" i="29" s="1"/>
  <c r="AU14" i="29" s="1"/>
  <c r="AV14" i="29" s="1"/>
  <c r="AW14" i="29" s="1"/>
  <c r="AX14" i="29" s="1"/>
  <c r="AD14" i="29"/>
  <c r="AE14" i="29" s="1"/>
  <c r="AF14" i="29" s="1"/>
  <c r="AG14" i="29" s="1"/>
  <c r="AH14" i="29" s="1"/>
  <c r="AI14" i="29" s="1"/>
  <c r="AJ14" i="29" s="1"/>
  <c r="AK14" i="29" s="1"/>
  <c r="AL14" i="29" s="1"/>
  <c r="AM14" i="29" s="1"/>
  <c r="V14" i="29"/>
  <c r="W14" i="29" s="1"/>
  <c r="X14" i="29" s="1"/>
  <c r="Y14" i="29" s="1"/>
  <c r="Z14" i="29" s="1"/>
  <c r="AA14" i="29" s="1"/>
  <c r="R14" i="29"/>
  <c r="S14" i="29" s="1"/>
  <c r="T14" i="29" s="1"/>
  <c r="U14" i="29" s="1"/>
  <c r="G14" i="29"/>
  <c r="H14" i="29" s="1"/>
  <c r="I14" i="29" s="1"/>
  <c r="J14" i="29" s="1"/>
  <c r="K14" i="29" s="1"/>
  <c r="L14" i="29" s="1"/>
  <c r="M14" i="29" s="1"/>
  <c r="N14" i="29" s="1"/>
  <c r="O14" i="29" s="1"/>
  <c r="BE13" i="29"/>
  <c r="BF13" i="29" s="1"/>
  <c r="BG13" i="29" s="1"/>
  <c r="BH13" i="29" s="1"/>
  <c r="BI13" i="29" s="1"/>
  <c r="BJ13" i="29" s="1"/>
  <c r="BK13" i="29" s="1"/>
  <c r="BB13" i="29"/>
  <c r="BC13" i="29" s="1"/>
  <c r="BD13" i="29" s="1"/>
  <c r="AR13" i="29"/>
  <c r="AS13" i="29" s="1"/>
  <c r="AT13" i="29" s="1"/>
  <c r="AU13" i="29" s="1"/>
  <c r="AV13" i="29" s="1"/>
  <c r="AW13" i="29" s="1"/>
  <c r="AX13" i="29" s="1"/>
  <c r="AY13" i="29" s="1"/>
  <c r="AP13" i="29"/>
  <c r="AQ13" i="29" s="1"/>
  <c r="AD13" i="29"/>
  <c r="AE13" i="29" s="1"/>
  <c r="AF13" i="29" s="1"/>
  <c r="AG13" i="29" s="1"/>
  <c r="AH13" i="29" s="1"/>
  <c r="AI13" i="29" s="1"/>
  <c r="AJ13" i="29" s="1"/>
  <c r="AK13" i="29" s="1"/>
  <c r="AL13" i="29" s="1"/>
  <c r="AM13" i="29" s="1"/>
  <c r="T13" i="29"/>
  <c r="U13" i="29" s="1"/>
  <c r="V13" i="29" s="1"/>
  <c r="W13" i="29" s="1"/>
  <c r="X13" i="29" s="1"/>
  <c r="Y13" i="29" s="1"/>
  <c r="Z13" i="29" s="1"/>
  <c r="AA13" i="29" s="1"/>
  <c r="R13" i="29"/>
  <c r="S13" i="29" s="1"/>
  <c r="H13" i="29"/>
  <c r="I13" i="29" s="1"/>
  <c r="J13" i="29" s="1"/>
  <c r="K13" i="29" s="1"/>
  <c r="L13" i="29" s="1"/>
  <c r="M13" i="29" s="1"/>
  <c r="N13" i="29" s="1"/>
  <c r="O13" i="29" s="1"/>
  <c r="AO11" i="29"/>
  <c r="BA10" i="29"/>
  <c r="BA11" i="29" s="1"/>
  <c r="AO10" i="29"/>
  <c r="AC10" i="29"/>
  <c r="AC11" i="29" s="1"/>
  <c r="Q10" i="29"/>
  <c r="Q11" i="29" s="1"/>
  <c r="E10" i="29"/>
  <c r="E11" i="29" s="1"/>
  <c r="BB9" i="29"/>
  <c r="AP9" i="29"/>
  <c r="AD9" i="29"/>
  <c r="R9" i="29"/>
  <c r="S9" i="29" s="1"/>
  <c r="T9" i="29" s="1"/>
  <c r="F9" i="29"/>
  <c r="BB8" i="29"/>
  <c r="BC8" i="29" s="1"/>
  <c r="BD8" i="29" s="1"/>
  <c r="BE8" i="29" s="1"/>
  <c r="BF8" i="29" s="1"/>
  <c r="BG8" i="29" s="1"/>
  <c r="BH8" i="29" s="1"/>
  <c r="BI8" i="29" s="1"/>
  <c r="BJ8" i="29" s="1"/>
  <c r="BK8" i="29" s="1"/>
  <c r="AP8" i="29"/>
  <c r="AQ8" i="29" s="1"/>
  <c r="AR8" i="29" s="1"/>
  <c r="AS8" i="29" s="1"/>
  <c r="AT8" i="29" s="1"/>
  <c r="AU8" i="29" s="1"/>
  <c r="AV8" i="29" s="1"/>
  <c r="AW8" i="29" s="1"/>
  <c r="AX8" i="29" s="1"/>
  <c r="AY8" i="29" s="1"/>
  <c r="AF8" i="29"/>
  <c r="AG8" i="29" s="1"/>
  <c r="AH8" i="29" s="1"/>
  <c r="AI8" i="29" s="1"/>
  <c r="AJ8" i="29" s="1"/>
  <c r="AK8" i="29" s="1"/>
  <c r="AL8" i="29" s="1"/>
  <c r="AM8" i="29" s="1"/>
  <c r="AD8" i="29"/>
  <c r="AE8" i="29" s="1"/>
  <c r="R8" i="29"/>
  <c r="S8" i="29" s="1"/>
  <c r="T8" i="29" s="1"/>
  <c r="U8" i="29" s="1"/>
  <c r="V8" i="29" s="1"/>
  <c r="W8" i="29" s="1"/>
  <c r="X8" i="29" s="1"/>
  <c r="Y8" i="29" s="1"/>
  <c r="Z8" i="29" s="1"/>
  <c r="AA8" i="29" s="1"/>
  <c r="H8" i="29"/>
  <c r="I8" i="29" s="1"/>
  <c r="J8" i="29" s="1"/>
  <c r="K8" i="29" s="1"/>
  <c r="L8" i="29" s="1"/>
  <c r="M8" i="29" s="1"/>
  <c r="N8" i="29" s="1"/>
  <c r="O8" i="29" s="1"/>
  <c r="F8" i="29"/>
  <c r="G8" i="29" s="1"/>
  <c r="BC7" i="29"/>
  <c r="BD7" i="29" s="1"/>
  <c r="BE7" i="29" s="1"/>
  <c r="BF7" i="29" s="1"/>
  <c r="BG7" i="29" s="1"/>
  <c r="BH7" i="29" s="1"/>
  <c r="BI7" i="29" s="1"/>
  <c r="BJ7" i="29" s="1"/>
  <c r="BK7" i="29" s="1"/>
  <c r="BB7" i="29"/>
  <c r="AP7" i="29"/>
  <c r="AQ7" i="29" s="1"/>
  <c r="AR7" i="29" s="1"/>
  <c r="AS7" i="29" s="1"/>
  <c r="AT7" i="29" s="1"/>
  <c r="AU7" i="29" s="1"/>
  <c r="AV7" i="29" s="1"/>
  <c r="AW7" i="29" s="1"/>
  <c r="AX7" i="29" s="1"/>
  <c r="AY7" i="29" s="1"/>
  <c r="AD7" i="29"/>
  <c r="AE7" i="29" s="1"/>
  <c r="AF7" i="29" s="1"/>
  <c r="AG7" i="29" s="1"/>
  <c r="AH7" i="29" s="1"/>
  <c r="AI7" i="29" s="1"/>
  <c r="AJ7" i="29" s="1"/>
  <c r="AK7" i="29" s="1"/>
  <c r="AL7" i="29" s="1"/>
  <c r="AM7" i="29" s="1"/>
  <c r="T7" i="29"/>
  <c r="U7" i="29" s="1"/>
  <c r="V7" i="29" s="1"/>
  <c r="W7" i="29" s="1"/>
  <c r="X7" i="29" s="1"/>
  <c r="Y7" i="29" s="1"/>
  <c r="Z7" i="29" s="1"/>
  <c r="AA7" i="29" s="1"/>
  <c r="R7" i="29"/>
  <c r="S7" i="29" s="1"/>
  <c r="H7" i="29"/>
  <c r="I7" i="29" s="1"/>
  <c r="J7" i="29" s="1"/>
  <c r="K7" i="29" s="1"/>
  <c r="L7" i="29" s="1"/>
  <c r="M7" i="29" s="1"/>
  <c r="N7" i="29" s="1"/>
  <c r="O7" i="29" s="1"/>
  <c r="G7" i="29"/>
  <c r="F7" i="29"/>
  <c r="BB6" i="29"/>
  <c r="BC6" i="29" s="1"/>
  <c r="BD6" i="29" s="1"/>
  <c r="BE6" i="29" s="1"/>
  <c r="BF6" i="29" s="1"/>
  <c r="BG6" i="29" s="1"/>
  <c r="BH6" i="29" s="1"/>
  <c r="BI6" i="29" s="1"/>
  <c r="BJ6" i="29" s="1"/>
  <c r="BK6" i="29" s="1"/>
  <c r="AR6" i="29"/>
  <c r="AS6" i="29" s="1"/>
  <c r="AT6" i="29" s="1"/>
  <c r="AU6" i="29" s="1"/>
  <c r="AV6" i="29" s="1"/>
  <c r="AW6" i="29" s="1"/>
  <c r="AX6" i="29" s="1"/>
  <c r="AY6" i="29" s="1"/>
  <c r="AP6" i="29"/>
  <c r="AQ6" i="29" s="1"/>
  <c r="AD6" i="29"/>
  <c r="AE6" i="29" s="1"/>
  <c r="AF6" i="29" s="1"/>
  <c r="AG6" i="29" s="1"/>
  <c r="AH6" i="29" s="1"/>
  <c r="AI6" i="29" s="1"/>
  <c r="AJ6" i="29" s="1"/>
  <c r="AK6" i="29" s="1"/>
  <c r="AL6" i="29" s="1"/>
  <c r="AM6" i="29" s="1"/>
  <c r="R6" i="29"/>
  <c r="S6" i="29" s="1"/>
  <c r="T6" i="29" s="1"/>
  <c r="U6" i="29" s="1"/>
  <c r="V6" i="29" s="1"/>
  <c r="W6" i="29" s="1"/>
  <c r="X6" i="29" s="1"/>
  <c r="Y6" i="29" s="1"/>
  <c r="Z6" i="29" s="1"/>
  <c r="AA6" i="29" s="1"/>
  <c r="F6" i="29"/>
  <c r="G6" i="29" s="1"/>
  <c r="H6" i="29" s="1"/>
  <c r="I6" i="29" s="1"/>
  <c r="J6" i="29" s="1"/>
  <c r="K6" i="29" s="1"/>
  <c r="L6" i="29" s="1"/>
  <c r="M6" i="29" s="1"/>
  <c r="N6" i="29" s="1"/>
  <c r="O6" i="29" s="1"/>
  <c r="BB5" i="29"/>
  <c r="BC5" i="29" s="1"/>
  <c r="BD5" i="29" s="1"/>
  <c r="BE5" i="29" s="1"/>
  <c r="BF5" i="29" s="1"/>
  <c r="BG5" i="29" s="1"/>
  <c r="BH5" i="29" s="1"/>
  <c r="BI5" i="29" s="1"/>
  <c r="BJ5" i="29" s="1"/>
  <c r="BK5" i="29" s="1"/>
  <c r="AW5" i="29"/>
  <c r="AX5" i="29" s="1"/>
  <c r="AY5" i="29" s="1"/>
  <c r="AR5" i="29"/>
  <c r="AS5" i="29" s="1"/>
  <c r="AT5" i="29" s="1"/>
  <c r="AU5" i="29" s="1"/>
  <c r="AV5" i="29" s="1"/>
  <c r="AP5" i="29"/>
  <c r="AQ5" i="29" s="1"/>
  <c r="AE5" i="29"/>
  <c r="AF5" i="29" s="1"/>
  <c r="AG5" i="29" s="1"/>
  <c r="AH5" i="29" s="1"/>
  <c r="AI5" i="29" s="1"/>
  <c r="AJ5" i="29" s="1"/>
  <c r="AK5" i="29" s="1"/>
  <c r="AL5" i="29" s="1"/>
  <c r="AM5" i="29" s="1"/>
  <c r="AD5" i="29"/>
  <c r="R5" i="29"/>
  <c r="S5" i="29" s="1"/>
  <c r="T5" i="29" s="1"/>
  <c r="U5" i="29" s="1"/>
  <c r="V5" i="29" s="1"/>
  <c r="W5" i="29" s="1"/>
  <c r="X5" i="29" s="1"/>
  <c r="Y5" i="29" s="1"/>
  <c r="Z5" i="29" s="1"/>
  <c r="AA5" i="29" s="1"/>
  <c r="K5" i="29"/>
  <c r="L5" i="29" s="1"/>
  <c r="M5" i="29" s="1"/>
  <c r="N5" i="29" s="1"/>
  <c r="O5" i="29" s="1"/>
  <c r="F5" i="29"/>
  <c r="G5" i="29" s="1"/>
  <c r="H5" i="29" s="1"/>
  <c r="I5" i="29" s="1"/>
  <c r="J5" i="29" s="1"/>
  <c r="BF4" i="29"/>
  <c r="BG4" i="29" s="1"/>
  <c r="BH4" i="29" s="1"/>
  <c r="BI4" i="29" s="1"/>
  <c r="BJ4" i="29" s="1"/>
  <c r="BK4" i="29" s="1"/>
  <c r="BB4" i="29"/>
  <c r="BC4" i="29" s="1"/>
  <c r="BD4" i="29" s="1"/>
  <c r="BE4" i="29" s="1"/>
  <c r="AT4" i="29"/>
  <c r="AU4" i="29" s="1"/>
  <c r="AV4" i="29" s="1"/>
  <c r="AW4" i="29" s="1"/>
  <c r="AX4" i="29" s="1"/>
  <c r="AY4" i="29" s="1"/>
  <c r="AP4" i="29"/>
  <c r="AQ4" i="29" s="1"/>
  <c r="AR4" i="29" s="1"/>
  <c r="AS4" i="29" s="1"/>
  <c r="AH4" i="29"/>
  <c r="AI4" i="29" s="1"/>
  <c r="AJ4" i="29" s="1"/>
  <c r="AK4" i="29" s="1"/>
  <c r="AL4" i="29" s="1"/>
  <c r="AM4" i="29" s="1"/>
  <c r="AD4" i="29"/>
  <c r="AE4" i="29" s="1"/>
  <c r="AF4" i="29" s="1"/>
  <c r="AG4" i="29" s="1"/>
  <c r="R4" i="29"/>
  <c r="S4" i="29" s="1"/>
  <c r="T4" i="29" s="1"/>
  <c r="U4" i="29" s="1"/>
  <c r="V4" i="29" s="1"/>
  <c r="W4" i="29" s="1"/>
  <c r="X4" i="29" s="1"/>
  <c r="Y4" i="29" s="1"/>
  <c r="Z4" i="29" s="1"/>
  <c r="AA4" i="29" s="1"/>
  <c r="F4" i="29"/>
  <c r="G4" i="29" s="1"/>
  <c r="H4" i="29" s="1"/>
  <c r="I4" i="29" s="1"/>
  <c r="J4" i="29" s="1"/>
  <c r="K4" i="29" s="1"/>
  <c r="L4" i="29" s="1"/>
  <c r="M4" i="29" s="1"/>
  <c r="N4" i="29" s="1"/>
  <c r="O4" i="29" s="1"/>
  <c r="BD3" i="29"/>
  <c r="BE3" i="29" s="1"/>
  <c r="BF3" i="29" s="1"/>
  <c r="BG3" i="29" s="1"/>
  <c r="BH3" i="29" s="1"/>
  <c r="BI3" i="29" s="1"/>
  <c r="BJ3" i="29" s="1"/>
  <c r="BK3" i="29" s="1"/>
  <c r="BC3" i="29"/>
  <c r="BB3" i="29"/>
  <c r="AP3" i="29"/>
  <c r="AQ3" i="29" s="1"/>
  <c r="AR3" i="29" s="1"/>
  <c r="AS3" i="29" s="1"/>
  <c r="AT3" i="29" s="1"/>
  <c r="AU3" i="29" s="1"/>
  <c r="AV3" i="29" s="1"/>
  <c r="AW3" i="29" s="1"/>
  <c r="AX3" i="29" s="1"/>
  <c r="AY3" i="29" s="1"/>
  <c r="AE3" i="29"/>
  <c r="AF3" i="29" s="1"/>
  <c r="AG3" i="29" s="1"/>
  <c r="AH3" i="29" s="1"/>
  <c r="AI3" i="29" s="1"/>
  <c r="AJ3" i="29" s="1"/>
  <c r="AK3" i="29" s="1"/>
  <c r="AL3" i="29" s="1"/>
  <c r="AM3" i="29" s="1"/>
  <c r="AD3" i="29"/>
  <c r="R3" i="29"/>
  <c r="R10" i="29" s="1"/>
  <c r="R11" i="29" s="1"/>
  <c r="G3" i="29"/>
  <c r="H3" i="29" s="1"/>
  <c r="I3" i="29" s="1"/>
  <c r="J3" i="29" s="1"/>
  <c r="K3" i="29" s="1"/>
  <c r="L3" i="29" s="1"/>
  <c r="M3" i="29" s="1"/>
  <c r="N3" i="29" s="1"/>
  <c r="O3" i="29" s="1"/>
  <c r="F3" i="29"/>
  <c r="BE2" i="29"/>
  <c r="BF2" i="29" s="1"/>
  <c r="BG2" i="29" s="1"/>
  <c r="BH2" i="29" s="1"/>
  <c r="BI2" i="29" s="1"/>
  <c r="BJ2" i="29" s="1"/>
  <c r="BK2" i="29" s="1"/>
  <c r="BB2" i="29"/>
  <c r="BC2" i="29" s="1"/>
  <c r="BD2" i="29" s="1"/>
  <c r="AQ2" i="29"/>
  <c r="AR2" i="29" s="1"/>
  <c r="AS2" i="29" s="1"/>
  <c r="AT2" i="29" s="1"/>
  <c r="AU2" i="29" s="1"/>
  <c r="AV2" i="29" s="1"/>
  <c r="AW2" i="29" s="1"/>
  <c r="AX2" i="29" s="1"/>
  <c r="AY2" i="29" s="1"/>
  <c r="AP2" i="29"/>
  <c r="AE2" i="29"/>
  <c r="AF2" i="29" s="1"/>
  <c r="AG2" i="29" s="1"/>
  <c r="AH2" i="29" s="1"/>
  <c r="AI2" i="29" s="1"/>
  <c r="AJ2" i="29" s="1"/>
  <c r="AK2" i="29" s="1"/>
  <c r="AL2" i="29" s="1"/>
  <c r="AM2" i="29" s="1"/>
  <c r="AD2" i="29"/>
  <c r="R2" i="29"/>
  <c r="S2" i="29" s="1"/>
  <c r="T2" i="29" s="1"/>
  <c r="U2" i="29" s="1"/>
  <c r="V2" i="29" s="1"/>
  <c r="W2" i="29" s="1"/>
  <c r="X2" i="29" s="1"/>
  <c r="Y2" i="29" s="1"/>
  <c r="Z2" i="29" s="1"/>
  <c r="AA2" i="29" s="1"/>
  <c r="F2" i="29"/>
  <c r="G2" i="29" s="1"/>
  <c r="H2" i="29" s="1"/>
  <c r="I2" i="29" s="1"/>
  <c r="J2" i="29" s="1"/>
  <c r="K2" i="29" s="1"/>
  <c r="L2" i="29" s="1"/>
  <c r="M2" i="29" s="1"/>
  <c r="N2" i="29" s="1"/>
  <c r="O2" i="29" s="1"/>
  <c r="A115" i="32"/>
  <c r="A59" i="30"/>
  <c r="A215" i="29"/>
  <c r="A215" i="32"/>
  <c r="A91" i="4"/>
  <c r="A157" i="30"/>
  <c r="A158" i="30"/>
  <c r="A216" i="33"/>
  <c r="A215" i="33"/>
  <c r="A171" i="6"/>
  <c r="A116" i="33"/>
  <c r="A115" i="30"/>
  <c r="A177" i="32"/>
  <c r="A156" i="32"/>
  <c r="B155" i="5"/>
  <c r="A218" i="33"/>
  <c r="A118" i="30"/>
  <c r="A95" i="4"/>
  <c r="A51" i="5"/>
  <c r="A55" i="30"/>
  <c r="A197" i="32"/>
  <c r="A76" i="33"/>
  <c r="A135" i="4"/>
  <c r="A75" i="6"/>
  <c r="A131" i="30"/>
  <c r="A239" i="32"/>
  <c r="A198" i="30"/>
  <c r="A217" i="30"/>
  <c r="A75" i="5"/>
  <c r="A157" i="32"/>
  <c r="A196" i="32"/>
  <c r="A111" i="33"/>
  <c r="A196" i="33"/>
  <c r="A131" i="32"/>
  <c r="A117" i="33"/>
  <c r="B95" i="4"/>
  <c r="A177" i="33"/>
  <c r="A31" i="33"/>
  <c r="A36" i="29"/>
  <c r="A98" i="32"/>
  <c r="A191" i="29"/>
  <c r="A76" i="30"/>
  <c r="A58" i="32"/>
  <c r="B175" i="4"/>
  <c r="A119" i="29"/>
  <c r="A31" i="30"/>
  <c r="A178" i="32"/>
  <c r="A237" i="32"/>
  <c r="A158" i="29"/>
  <c r="B35" i="4"/>
  <c r="A97" i="29"/>
  <c r="A91" i="33"/>
  <c r="B175" i="6"/>
  <c r="A98" i="30"/>
  <c r="B195" i="5"/>
  <c r="A135" i="30"/>
  <c r="B215" i="6"/>
  <c r="A56" i="32"/>
  <c r="A77" i="30"/>
  <c r="A138" i="29"/>
  <c r="A175" i="33"/>
  <c r="A156" i="29"/>
  <c r="A236" i="32"/>
  <c r="B135" i="4"/>
  <c r="A235" i="29"/>
  <c r="A151" i="33"/>
  <c r="A118" i="33"/>
  <c r="A118" i="29"/>
  <c r="A79" i="33"/>
  <c r="A175" i="29"/>
  <c r="A55" i="33"/>
  <c r="A31" i="5"/>
  <c r="A58" i="33"/>
  <c r="A197" i="30"/>
  <c r="A91" i="30"/>
  <c r="A95" i="5"/>
  <c r="B115" i="5"/>
  <c r="A56" i="30"/>
  <c r="A115" i="6"/>
  <c r="A71" i="6"/>
  <c r="A71" i="5"/>
  <c r="A56" i="33"/>
  <c r="A79" i="32"/>
  <c r="A79" i="30"/>
  <c r="A137" i="29"/>
  <c r="A177" i="29"/>
  <c r="A175" i="4"/>
  <c r="A239" i="30"/>
  <c r="A116" i="32"/>
  <c r="A78" i="33"/>
  <c r="A238" i="29"/>
  <c r="A136" i="33"/>
  <c r="A138" i="30"/>
  <c r="A59" i="29"/>
  <c r="A51" i="33"/>
  <c r="A138" i="32"/>
  <c r="A91" i="32"/>
  <c r="A197" i="33"/>
  <c r="B95" i="5"/>
  <c r="A151" i="5"/>
  <c r="A239" i="33"/>
  <c r="A199" i="32"/>
  <c r="A195" i="6"/>
  <c r="A95" i="6"/>
  <c r="B95" i="6"/>
  <c r="A195" i="30"/>
  <c r="A155" i="6"/>
  <c r="A91" i="6"/>
  <c r="A139" i="29"/>
  <c r="A178" i="33"/>
  <c r="A51" i="29"/>
  <c r="A75" i="4"/>
  <c r="B195" i="6"/>
  <c r="A97" i="33"/>
  <c r="A195" i="4"/>
  <c r="B36" i="29"/>
  <c r="A231" i="29"/>
  <c r="A98" i="33"/>
  <c r="A96" i="32"/>
  <c r="A179" i="30"/>
  <c r="A35" i="33"/>
  <c r="A117" i="30"/>
  <c r="A198" i="33"/>
  <c r="A219" i="32"/>
  <c r="A119" i="30"/>
  <c r="A55" i="32"/>
  <c r="A98" i="29"/>
  <c r="A78" i="29"/>
  <c r="A77" i="33"/>
  <c r="A131" i="4"/>
  <c r="A175" i="6"/>
  <c r="A216" i="29"/>
  <c r="A177" i="30"/>
  <c r="A159" i="33"/>
  <c r="A219" i="33"/>
  <c r="A231" i="32"/>
  <c r="A199" i="29"/>
  <c r="A115" i="33"/>
  <c r="A57" i="33"/>
  <c r="A237" i="30"/>
  <c r="A137" i="33"/>
  <c r="A199" i="30"/>
  <c r="B75" i="5"/>
  <c r="A191" i="32"/>
  <c r="A59" i="33"/>
  <c r="A78" i="30"/>
  <c r="A211" i="29"/>
  <c r="A58" i="29"/>
  <c r="B115" i="4"/>
  <c r="A99" i="32"/>
  <c r="A178" i="30"/>
  <c r="A71" i="29"/>
  <c r="A136" i="29"/>
  <c r="A159" i="29"/>
  <c r="A75" i="30"/>
  <c r="A195" i="32"/>
  <c r="A59" i="32"/>
  <c r="A211" i="32"/>
  <c r="B55" i="4"/>
  <c r="A155" i="4"/>
  <c r="A78" i="32"/>
  <c r="A217" i="33"/>
  <c r="A198" i="29"/>
  <c r="A119" i="32"/>
  <c r="B75" i="6"/>
  <c r="B195" i="4"/>
  <c r="B135" i="5"/>
  <c r="A179" i="32"/>
  <c r="A191" i="6"/>
  <c r="A56" i="29"/>
  <c r="A171" i="4"/>
  <c r="A71" i="33"/>
  <c r="A55" i="5"/>
  <c r="A171" i="30"/>
  <c r="A99" i="29"/>
  <c r="A235" i="32"/>
  <c r="A71" i="30"/>
  <c r="A196" i="29"/>
  <c r="A115" i="29"/>
  <c r="A35" i="29"/>
  <c r="A218" i="32"/>
  <c r="A135" i="6"/>
  <c r="A235" i="33"/>
  <c r="A95" i="33"/>
  <c r="A236" i="33"/>
  <c r="A156" i="33"/>
  <c r="A197" i="29"/>
  <c r="A131" i="33"/>
  <c r="A217" i="32"/>
  <c r="A96" i="30"/>
  <c r="A175" i="30"/>
  <c r="A99" i="33"/>
  <c r="A131" i="5"/>
  <c r="A175" i="32"/>
  <c r="A31" i="4"/>
  <c r="A159" i="30"/>
  <c r="A176" i="33"/>
  <c r="A111" i="4"/>
  <c r="A171" i="33"/>
  <c r="A36" i="33"/>
  <c r="A111" i="30"/>
  <c r="A139" i="30"/>
  <c r="A36" i="30"/>
  <c r="B55" i="5"/>
  <c r="A178" i="29"/>
  <c r="A136" i="30"/>
  <c r="A219" i="30"/>
  <c r="A75" i="29"/>
  <c r="B155" i="6"/>
  <c r="B175" i="5"/>
  <c r="A191" i="33"/>
  <c r="A237" i="33"/>
  <c r="A219" i="29"/>
  <c r="B75" i="4"/>
  <c r="A138" i="33"/>
  <c r="A211" i="33"/>
  <c r="A51" i="4"/>
  <c r="A236" i="29"/>
  <c r="A116" i="30"/>
  <c r="A95" i="29"/>
  <c r="A155" i="32"/>
  <c r="A111" i="29"/>
  <c r="B155" i="4"/>
  <c r="A96" i="33"/>
  <c r="A139" i="32"/>
  <c r="A76" i="29"/>
  <c r="A151" i="6"/>
  <c r="A95" i="32"/>
  <c r="A155" i="33"/>
  <c r="A238" i="30"/>
  <c r="A117" i="29"/>
  <c r="A157" i="33"/>
  <c r="A136" i="32"/>
  <c r="A159" i="32"/>
  <c r="A131" i="6"/>
  <c r="A58" i="30"/>
  <c r="A91" i="5"/>
  <c r="A216" i="30"/>
  <c r="A116" i="29"/>
  <c r="A191" i="5"/>
  <c r="A137" i="32"/>
  <c r="A57" i="32"/>
  <c r="A71" i="4"/>
  <c r="A75" i="33"/>
  <c r="A171" i="5"/>
  <c r="A236" i="30"/>
  <c r="A191" i="4"/>
  <c r="A151" i="4"/>
  <c r="A176" i="29"/>
  <c r="A196" i="30"/>
  <c r="A179" i="33"/>
  <c r="A91" i="29"/>
  <c r="A155" i="29"/>
  <c r="A77" i="32"/>
  <c r="A111" i="6"/>
  <c r="A76" i="32"/>
  <c r="A57" i="29"/>
  <c r="A155" i="5"/>
  <c r="A119" i="33"/>
  <c r="A118" i="32"/>
  <c r="A117" i="32"/>
  <c r="A157" i="29"/>
  <c r="A75" i="32"/>
  <c r="A195" i="5"/>
  <c r="A79" i="29"/>
  <c r="A71" i="32"/>
  <c r="A95" i="30"/>
  <c r="A238" i="32"/>
  <c r="A155" i="30"/>
  <c r="A35" i="5"/>
  <c r="A35" i="4"/>
  <c r="A158" i="33"/>
  <c r="A179" i="29"/>
  <c r="A135" i="29"/>
  <c r="A139" i="33"/>
  <c r="A137" i="30"/>
  <c r="A55" i="29"/>
  <c r="A216" i="32"/>
  <c r="A77" i="29"/>
  <c r="A171" i="32"/>
  <c r="B35" i="5"/>
  <c r="A151" i="29"/>
  <c r="A156" i="30"/>
  <c r="A217" i="29"/>
  <c r="A31" i="29"/>
  <c r="A111" i="5"/>
  <c r="A97" i="30"/>
  <c r="A151" i="30"/>
  <c r="A175" i="5"/>
  <c r="A135" i="5"/>
  <c r="A231" i="33"/>
  <c r="A176" i="32"/>
  <c r="A96" i="29"/>
  <c r="A231" i="30"/>
  <c r="A239" i="29"/>
  <c r="A215" i="30"/>
  <c r="A191" i="30"/>
  <c r="A199" i="33"/>
  <c r="A198" i="32"/>
  <c r="A115" i="4"/>
  <c r="A211" i="30"/>
  <c r="A55" i="4"/>
  <c r="A195" i="29"/>
  <c r="A135" i="32"/>
  <c r="A218" i="29"/>
  <c r="A195" i="33"/>
  <c r="A135" i="33"/>
  <c r="A211" i="6"/>
  <c r="A131" i="29"/>
  <c r="A111" i="32"/>
  <c r="A215" i="6"/>
  <c r="A115" i="5"/>
  <c r="B115" i="6"/>
  <c r="A57" i="30"/>
  <c r="A237" i="29"/>
  <c r="B135" i="6"/>
  <c r="A238" i="33"/>
  <c r="A171" i="29"/>
  <c r="A176" i="30"/>
  <c r="A97" i="32"/>
  <c r="A35" i="30"/>
  <c r="A218" i="30"/>
  <c r="A51" i="32"/>
  <c r="A235" i="30"/>
  <c r="A151" i="32"/>
  <c r="A51" i="30"/>
  <c r="A158" i="32"/>
  <c r="A99" i="30"/>
  <c r="Q23" i="29" l="1"/>
  <c r="A101" i="33"/>
  <c r="A181" i="33"/>
  <c r="A121" i="33"/>
  <c r="A201" i="33"/>
  <c r="A141" i="33"/>
  <c r="A221" i="33"/>
  <c r="A81" i="33"/>
  <c r="A161" i="33"/>
  <c r="A241" i="33"/>
  <c r="AF9" i="33"/>
  <c r="AQ10" i="33"/>
  <c r="AQ11" i="33" s="1"/>
  <c r="BD9" i="33"/>
  <c r="BC10" i="33"/>
  <c r="BC11" i="33" s="1"/>
  <c r="AE6" i="33"/>
  <c r="AF6" i="33" s="1"/>
  <c r="AG6" i="33" s="1"/>
  <c r="AH6" i="33" s="1"/>
  <c r="AI6" i="33" s="1"/>
  <c r="AJ6" i="33" s="1"/>
  <c r="AK6" i="33" s="1"/>
  <c r="AL6" i="33" s="1"/>
  <c r="AM6" i="33" s="1"/>
  <c r="AR9" i="33"/>
  <c r="Q23" i="33"/>
  <c r="T21" i="33"/>
  <c r="T22" i="33" s="1"/>
  <c r="U20" i="33"/>
  <c r="AC23" i="33"/>
  <c r="E25" i="33" s="1"/>
  <c r="F23" i="33"/>
  <c r="AD21" i="33"/>
  <c r="AD22" i="33" s="1"/>
  <c r="AD23" i="33" s="1"/>
  <c r="F25" i="33" s="1"/>
  <c r="AO23" i="33"/>
  <c r="E26" i="33" s="1"/>
  <c r="I9" i="33"/>
  <c r="S9" i="33"/>
  <c r="G14" i="33"/>
  <c r="H14" i="33" s="1"/>
  <c r="I14" i="33" s="1"/>
  <c r="J14" i="33" s="1"/>
  <c r="K14" i="33" s="1"/>
  <c r="L14" i="33" s="1"/>
  <c r="M14" i="33" s="1"/>
  <c r="N14" i="33" s="1"/>
  <c r="O14" i="33" s="1"/>
  <c r="AE21" i="33"/>
  <c r="AE22" i="33" s="1"/>
  <c r="BA23" i="33"/>
  <c r="E27" i="33" s="1"/>
  <c r="AF21" i="33"/>
  <c r="AF22" i="33" s="1"/>
  <c r="R21" i="33"/>
  <c r="R22" i="33" s="1"/>
  <c r="R23" i="33" s="1"/>
  <c r="F24" i="33" s="1"/>
  <c r="AP21" i="33"/>
  <c r="AP22" i="33" s="1"/>
  <c r="AP23" i="33" s="1"/>
  <c r="F26" i="33" s="1"/>
  <c r="BD20" i="33"/>
  <c r="BC21" i="33"/>
  <c r="BC22" i="33" s="1"/>
  <c r="BC23" i="33" s="1"/>
  <c r="G27" i="33" s="1"/>
  <c r="J21" i="33"/>
  <c r="J22" i="33" s="1"/>
  <c r="K20" i="33"/>
  <c r="E23" i="33"/>
  <c r="I21" i="33"/>
  <c r="I22" i="33" s="1"/>
  <c r="B53" i="33"/>
  <c r="B133" i="33"/>
  <c r="B213" i="33"/>
  <c r="AG20" i="33"/>
  <c r="AQ20" i="33"/>
  <c r="S21" i="33"/>
  <c r="S22" i="33" s="1"/>
  <c r="BB21" i="33"/>
  <c r="BB22" i="33" s="1"/>
  <c r="BB23" i="33" s="1"/>
  <c r="F27" i="33" s="1"/>
  <c r="B73" i="33"/>
  <c r="B153" i="33"/>
  <c r="B233" i="33"/>
  <c r="B93" i="33"/>
  <c r="B173" i="33"/>
  <c r="B113" i="33"/>
  <c r="A201" i="32"/>
  <c r="A121" i="32"/>
  <c r="A101" i="32"/>
  <c r="A181" i="32"/>
  <c r="A141" i="32"/>
  <c r="A221" i="32"/>
  <c r="A81" i="32"/>
  <c r="A161" i="32"/>
  <c r="A241" i="32"/>
  <c r="AF8" i="32"/>
  <c r="AG8" i="32" s="1"/>
  <c r="AH8" i="32" s="1"/>
  <c r="AI8" i="32" s="1"/>
  <c r="AJ8" i="32" s="1"/>
  <c r="AK8" i="32" s="1"/>
  <c r="AL8" i="32" s="1"/>
  <c r="AM8" i="32" s="1"/>
  <c r="AE10" i="32"/>
  <c r="AE11" i="32" s="1"/>
  <c r="S10" i="32"/>
  <c r="S11" i="32" s="1"/>
  <c r="T9" i="32"/>
  <c r="S21" i="32"/>
  <c r="S22" i="32" s="1"/>
  <c r="S23" i="32" s="1"/>
  <c r="G24" i="32" s="1"/>
  <c r="BD10" i="32"/>
  <c r="BD11" i="32" s="1"/>
  <c r="BE9" i="32"/>
  <c r="AQ9" i="32"/>
  <c r="AP10" i="32"/>
  <c r="AP11" i="32" s="1"/>
  <c r="AG9" i="32"/>
  <c r="AF10" i="32"/>
  <c r="AF11" i="32" s="1"/>
  <c r="AP21" i="32"/>
  <c r="AP22" i="32" s="1"/>
  <c r="AP23" i="32" s="1"/>
  <c r="F26" i="32" s="1"/>
  <c r="G10" i="32"/>
  <c r="G11" i="32" s="1"/>
  <c r="AD10" i="32"/>
  <c r="AD11" i="32" s="1"/>
  <c r="H9" i="32"/>
  <c r="BC10" i="32"/>
  <c r="BC11" i="32" s="1"/>
  <c r="R10" i="32"/>
  <c r="R11" i="32" s="1"/>
  <c r="F21" i="32"/>
  <c r="F22" i="32" s="1"/>
  <c r="F10" i="32"/>
  <c r="F11" i="32" s="1"/>
  <c r="AR20" i="32"/>
  <c r="AQ21" i="32"/>
  <c r="AQ22" i="32" s="1"/>
  <c r="T21" i="32"/>
  <c r="T22" i="32" s="1"/>
  <c r="U20" i="32"/>
  <c r="BD20" i="32"/>
  <c r="AC23" i="32"/>
  <c r="E25" i="32" s="1"/>
  <c r="AD21" i="32"/>
  <c r="AD22" i="32" s="1"/>
  <c r="AO23" i="32"/>
  <c r="E26" i="32" s="1"/>
  <c r="BB10" i="32"/>
  <c r="BB11" i="32" s="1"/>
  <c r="BB23" i="32" s="1"/>
  <c r="F27" i="32" s="1"/>
  <c r="BC17" i="32"/>
  <c r="BD17" i="32" s="1"/>
  <c r="BE17" i="32" s="1"/>
  <c r="BF17" i="32" s="1"/>
  <c r="BG17" i="32" s="1"/>
  <c r="BH17" i="32" s="1"/>
  <c r="BI17" i="32" s="1"/>
  <c r="BJ17" i="32" s="1"/>
  <c r="BK17" i="32" s="1"/>
  <c r="AE21" i="32"/>
  <c r="AE22" i="32" s="1"/>
  <c r="E23" i="32"/>
  <c r="AF21" i="32"/>
  <c r="AF22" i="32" s="1"/>
  <c r="AF23" i="32" s="1"/>
  <c r="H25" i="32" s="1"/>
  <c r="BA23" i="32"/>
  <c r="E27" i="32" s="1"/>
  <c r="AG21" i="32"/>
  <c r="AG22" i="32" s="1"/>
  <c r="AH20" i="32"/>
  <c r="Q23" i="32"/>
  <c r="B193" i="32"/>
  <c r="B113" i="32"/>
  <c r="B173" i="32"/>
  <c r="B93" i="32"/>
  <c r="B233" i="32"/>
  <c r="B153" i="32"/>
  <c r="B73" i="32"/>
  <c r="B213" i="32"/>
  <c r="B133" i="32"/>
  <c r="B53" i="32"/>
  <c r="R21" i="32"/>
  <c r="R22" i="32" s="1"/>
  <c r="R23" i="32" s="1"/>
  <c r="F24" i="32" s="1"/>
  <c r="G20" i="32"/>
  <c r="A121" i="30"/>
  <c r="A201" i="30"/>
  <c r="A101" i="30"/>
  <c r="A181" i="30"/>
  <c r="A141" i="30"/>
  <c r="A221" i="30"/>
  <c r="A81" i="30"/>
  <c r="A161" i="30"/>
  <c r="A241" i="30"/>
  <c r="AR10" i="30"/>
  <c r="AR11" i="30" s="1"/>
  <c r="AS9" i="30"/>
  <c r="J10" i="30"/>
  <c r="J11" i="30" s="1"/>
  <c r="K9" i="30"/>
  <c r="U9" i="30"/>
  <c r="AG9" i="30"/>
  <c r="AF10" i="30"/>
  <c r="AF11" i="30" s="1"/>
  <c r="BD9" i="30"/>
  <c r="AE10" i="30"/>
  <c r="AE11" i="30" s="1"/>
  <c r="R21" i="30"/>
  <c r="R22" i="30" s="1"/>
  <c r="R23" i="30" s="1"/>
  <c r="F24" i="30" s="1"/>
  <c r="AR20" i="30"/>
  <c r="AQ21" i="30"/>
  <c r="AQ22" i="30" s="1"/>
  <c r="T21" i="30"/>
  <c r="T22" i="30" s="1"/>
  <c r="U20" i="30"/>
  <c r="BC6" i="30"/>
  <c r="BD6" i="30" s="1"/>
  <c r="BE6" i="30" s="1"/>
  <c r="BF6" i="30" s="1"/>
  <c r="BG6" i="30" s="1"/>
  <c r="BH6" i="30" s="1"/>
  <c r="BI6" i="30" s="1"/>
  <c r="BJ6" i="30" s="1"/>
  <c r="BK6" i="30" s="1"/>
  <c r="J8" i="30"/>
  <c r="K8" i="30" s="1"/>
  <c r="L8" i="30" s="1"/>
  <c r="M8" i="30" s="1"/>
  <c r="N8" i="30" s="1"/>
  <c r="O8" i="30" s="1"/>
  <c r="T8" i="30"/>
  <c r="U8" i="30" s="1"/>
  <c r="V8" i="30" s="1"/>
  <c r="W8" i="30" s="1"/>
  <c r="X8" i="30" s="1"/>
  <c r="Y8" i="30" s="1"/>
  <c r="Z8" i="30" s="1"/>
  <c r="AA8" i="30" s="1"/>
  <c r="BD20" i="30"/>
  <c r="BC21" i="30"/>
  <c r="BC22" i="30" s="1"/>
  <c r="AC23" i="30"/>
  <c r="E25" i="30" s="1"/>
  <c r="AQ10" i="30"/>
  <c r="AQ11" i="30" s="1"/>
  <c r="AD21" i="30"/>
  <c r="AD22" i="30" s="1"/>
  <c r="AD23" i="30" s="1"/>
  <c r="F25" i="30" s="1"/>
  <c r="AO23" i="30"/>
  <c r="E26" i="30" s="1"/>
  <c r="S21" i="30"/>
  <c r="S22" i="30" s="1"/>
  <c r="S23" i="30" s="1"/>
  <c r="G24" i="30" s="1"/>
  <c r="AE21" i="30"/>
  <c r="AE22" i="30" s="1"/>
  <c r="AE23" i="30" s="1"/>
  <c r="G25" i="30" s="1"/>
  <c r="E23" i="30"/>
  <c r="F23" i="30"/>
  <c r="G21" i="30"/>
  <c r="G22" i="30" s="1"/>
  <c r="G23" i="30" s="1"/>
  <c r="H21" i="30"/>
  <c r="H22" i="30" s="1"/>
  <c r="H23" i="30" s="1"/>
  <c r="AF21" i="30"/>
  <c r="AF22" i="30" s="1"/>
  <c r="AF23" i="30" s="1"/>
  <c r="H25" i="30" s="1"/>
  <c r="J21" i="30"/>
  <c r="J22" i="30" s="1"/>
  <c r="J23" i="30" s="1"/>
  <c r="BA23" i="30"/>
  <c r="E27" i="30" s="1"/>
  <c r="AP23" i="30"/>
  <c r="F26" i="30" s="1"/>
  <c r="K21" i="30"/>
  <c r="K22" i="30" s="1"/>
  <c r="L20" i="30"/>
  <c r="AG21" i="30"/>
  <c r="AG22" i="30" s="1"/>
  <c r="AH20" i="30"/>
  <c r="Q23" i="30"/>
  <c r="BB21" i="30"/>
  <c r="BB22" i="30" s="1"/>
  <c r="BB23" i="30" s="1"/>
  <c r="F27" i="30" s="1"/>
  <c r="B193" i="30"/>
  <c r="B113" i="30"/>
  <c r="B173" i="30"/>
  <c r="B93" i="30"/>
  <c r="B233" i="30"/>
  <c r="B153" i="30"/>
  <c r="B73" i="30"/>
  <c r="B213" i="30"/>
  <c r="B133" i="30"/>
  <c r="B53" i="30"/>
  <c r="I21" i="30"/>
  <c r="I22" i="30" s="1"/>
  <c r="I23" i="30" s="1"/>
  <c r="A181" i="29"/>
  <c r="A101" i="29"/>
  <c r="A121" i="29"/>
  <c r="A201" i="29"/>
  <c r="A141" i="29"/>
  <c r="A221" i="29"/>
  <c r="A81" i="29"/>
  <c r="A161" i="29"/>
  <c r="A241" i="29"/>
  <c r="AD10" i="29"/>
  <c r="AD11" i="29" s="1"/>
  <c r="AE9" i="29"/>
  <c r="AQ9" i="29"/>
  <c r="AP10" i="29"/>
  <c r="AP11" i="29" s="1"/>
  <c r="U9" i="29"/>
  <c r="S3" i="29"/>
  <c r="T3" i="29" s="1"/>
  <c r="U3" i="29" s="1"/>
  <c r="V3" i="29" s="1"/>
  <c r="W3" i="29" s="1"/>
  <c r="X3" i="29" s="1"/>
  <c r="Y3" i="29" s="1"/>
  <c r="Z3" i="29" s="1"/>
  <c r="AA3" i="29" s="1"/>
  <c r="AO23" i="29"/>
  <c r="E26" i="29" s="1"/>
  <c r="F10" i="29"/>
  <c r="F11" i="29" s="1"/>
  <c r="G9" i="29"/>
  <c r="BC9" i="29"/>
  <c r="BB10" i="29"/>
  <c r="BB11" i="29" s="1"/>
  <c r="AP21" i="29"/>
  <c r="AP22" i="29" s="1"/>
  <c r="AE21" i="29"/>
  <c r="AE22" i="29" s="1"/>
  <c r="AF20" i="29"/>
  <c r="BD20" i="29"/>
  <c r="BC21" i="29"/>
  <c r="BC22" i="29" s="1"/>
  <c r="BA23" i="29"/>
  <c r="E27" i="29" s="1"/>
  <c r="F21" i="29"/>
  <c r="F22" i="29" s="1"/>
  <c r="F23" i="29" s="1"/>
  <c r="T20" i="29"/>
  <c r="S21" i="29"/>
  <c r="S22" i="29" s="1"/>
  <c r="AD21" i="29"/>
  <c r="AD22" i="29" s="1"/>
  <c r="AD23" i="29" s="1"/>
  <c r="F25" i="29" s="1"/>
  <c r="R21" i="29"/>
  <c r="R22" i="29" s="1"/>
  <c r="R23" i="29" s="1"/>
  <c r="F24" i="29" s="1"/>
  <c r="B53" i="29"/>
  <c r="B133" i="29"/>
  <c r="B213" i="29"/>
  <c r="AQ20" i="29"/>
  <c r="BB21" i="29"/>
  <c r="BB22" i="29" s="1"/>
  <c r="BB23" i="29" s="1"/>
  <c r="F27" i="29" s="1"/>
  <c r="B73" i="29"/>
  <c r="B153" i="29"/>
  <c r="B233" i="29"/>
  <c r="G20" i="29"/>
  <c r="B93" i="29"/>
  <c r="B173" i="29"/>
  <c r="B113" i="29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N1088" i="2"/>
  <c r="N1168" i="2"/>
  <c r="M1048" i="2"/>
  <c r="M1128" i="2"/>
  <c r="N1048" i="2"/>
  <c r="N1128" i="2"/>
  <c r="M1108" i="2"/>
  <c r="M1148" i="2"/>
  <c r="M1168" i="2"/>
  <c r="N1188" i="2"/>
  <c r="M1228" i="2"/>
  <c r="N1228" i="2"/>
  <c r="M1068" i="2"/>
  <c r="M1088" i="2"/>
  <c r="N1108" i="2"/>
  <c r="N1148" i="2"/>
  <c r="M1208" i="2"/>
  <c r="M1248" i="2"/>
  <c r="N1248" i="2"/>
  <c r="M1348" i="2"/>
  <c r="M1428" i="2"/>
  <c r="N1328" i="2"/>
  <c r="N1408" i="2"/>
  <c r="M1188" i="2"/>
  <c r="N1208" i="2"/>
  <c r="M1308" i="2"/>
  <c r="M1388" i="2"/>
  <c r="N1068" i="2"/>
  <c r="M1528" i="2"/>
  <c r="M1268" i="2"/>
  <c r="M1288" i="2"/>
  <c r="N1308" i="2"/>
  <c r="M1328" i="2"/>
  <c r="N1348" i="2"/>
  <c r="N1368" i="2"/>
  <c r="N1508" i="2"/>
  <c r="N1268" i="2"/>
  <c r="N1288" i="2"/>
  <c r="M1488" i="2"/>
  <c r="M1568" i="2"/>
  <c r="M1648" i="2"/>
  <c r="M1448" i="2"/>
  <c r="N1628" i="2"/>
  <c r="M1368" i="2"/>
  <c r="N1388" i="2"/>
  <c r="M1408" i="2"/>
  <c r="N1428" i="2"/>
  <c r="N1448" i="2"/>
  <c r="M1608" i="2"/>
  <c r="N1588" i="2"/>
  <c r="M1548" i="2"/>
  <c r="N1568" i="2"/>
  <c r="N1728" i="2"/>
  <c r="N1808" i="2"/>
  <c r="N1888" i="2"/>
  <c r="N1468" i="2"/>
  <c r="M1688" i="2"/>
  <c r="M1768" i="2"/>
  <c r="M1848" i="2"/>
  <c r="M1668" i="2"/>
  <c r="N1688" i="2"/>
  <c r="N1768" i="2"/>
  <c r="N1848" i="2"/>
  <c r="M1468" i="2"/>
  <c r="M1708" i="2"/>
  <c r="M1728" i="2"/>
  <c r="N1748" i="2"/>
  <c r="N1788" i="2"/>
  <c r="M1588" i="2"/>
  <c r="N1608" i="2"/>
  <c r="M1628" i="2"/>
  <c r="N1708" i="2"/>
  <c r="N1548" i="2"/>
  <c r="M1928" i="2"/>
  <c r="M2008" i="2"/>
  <c r="N1928" i="2"/>
  <c r="N2008" i="2"/>
  <c r="N1528" i="2"/>
  <c r="N1668" i="2"/>
  <c r="M1788" i="2"/>
  <c r="M1808" i="2"/>
  <c r="M1968" i="2"/>
  <c r="M1508" i="2"/>
  <c r="M2028" i="2"/>
  <c r="M2108" i="2"/>
  <c r="M2188" i="2"/>
  <c r="M1748" i="2"/>
  <c r="M1988" i="2"/>
  <c r="N2028" i="2"/>
  <c r="N2108" i="2"/>
  <c r="N2188" i="2"/>
  <c r="N1488" i="2"/>
  <c r="M1908" i="2"/>
  <c r="M1948" i="2"/>
  <c r="N1648" i="2"/>
  <c r="M1828" i="2"/>
  <c r="M1868" i="2"/>
  <c r="M1888" i="2"/>
  <c r="M2068" i="2"/>
  <c r="M2148" i="2"/>
  <c r="M2168" i="2"/>
  <c r="M2228" i="2"/>
  <c r="N1908" i="2"/>
  <c r="N1948" i="2"/>
  <c r="N1968" i="2"/>
  <c r="M2048" i="2"/>
  <c r="N2068" i="2"/>
  <c r="N2088" i="2"/>
  <c r="N2128" i="2"/>
  <c r="M2208" i="2"/>
  <c r="M2288" i="2"/>
  <c r="M2368" i="2"/>
  <c r="M2448" i="2"/>
  <c r="N1868" i="2"/>
  <c r="M2268" i="2"/>
  <c r="N1828" i="2"/>
  <c r="N2268" i="2"/>
  <c r="N2348" i="2"/>
  <c r="N2428" i="2"/>
  <c r="N2508" i="2"/>
  <c r="M2248" i="2"/>
  <c r="M2328" i="2"/>
  <c r="M2408" i="2"/>
  <c r="M2488" i="2"/>
  <c r="N2228" i="2"/>
  <c r="N2288" i="2"/>
  <c r="N2308" i="2"/>
  <c r="M2528" i="2"/>
  <c r="N2208" i="2"/>
  <c r="M2588" i="2"/>
  <c r="M2668" i="2"/>
  <c r="M2748" i="2"/>
  <c r="N1988" i="2"/>
  <c r="N2588" i="2"/>
  <c r="N2668" i="2"/>
  <c r="N2748" i="2"/>
  <c r="M2088" i="2"/>
  <c r="M2128" i="2"/>
  <c r="N2148" i="2"/>
  <c r="N2168" i="2"/>
  <c r="N2248" i="2"/>
  <c r="M2388" i="2"/>
  <c r="N2408" i="2"/>
  <c r="M2428" i="2"/>
  <c r="N2448" i="2"/>
  <c r="N2468" i="2"/>
  <c r="M2548" i="2"/>
  <c r="M2628" i="2"/>
  <c r="M2708" i="2"/>
  <c r="M2468" i="2"/>
  <c r="N2488" i="2"/>
  <c r="M2508" i="2"/>
  <c r="M2848" i="2"/>
  <c r="M2928" i="2"/>
  <c r="M2308" i="2"/>
  <c r="N2328" i="2"/>
  <c r="M2348" i="2"/>
  <c r="N2368" i="2"/>
  <c r="N2388" i="2"/>
  <c r="N2548" i="2"/>
  <c r="N2048" i="2"/>
  <c r="M2828" i="2"/>
  <c r="M2908" i="2"/>
  <c r="M2988" i="2"/>
  <c r="M3068" i="2"/>
  <c r="N2528" i="2"/>
  <c r="M2648" i="2"/>
  <c r="M2688" i="2"/>
  <c r="N2708" i="2"/>
  <c r="N2728" i="2"/>
  <c r="N2768" i="2"/>
  <c r="M2808" i="2"/>
  <c r="M2888" i="2"/>
  <c r="M2968" i="2"/>
  <c r="M2568" i="2"/>
  <c r="M2608" i="2"/>
  <c r="N2628" i="2"/>
  <c r="N2648" i="2"/>
  <c r="N2688" i="2"/>
  <c r="N2808" i="2"/>
  <c r="N2888" i="2"/>
  <c r="N2968" i="2"/>
  <c r="N3048" i="2"/>
  <c r="N2568" i="2"/>
  <c r="N2608" i="2"/>
  <c r="M2788" i="2"/>
  <c r="M2868" i="2"/>
  <c r="M2948" i="2"/>
  <c r="M3028" i="2"/>
  <c r="N2868" i="2"/>
  <c r="N3128" i="2"/>
  <c r="N3208" i="2"/>
  <c r="N3288" i="2"/>
  <c r="N2948" i="2"/>
  <c r="M3108" i="2"/>
  <c r="N2848" i="2"/>
  <c r="N3108" i="2"/>
  <c r="N3188" i="2"/>
  <c r="N3268" i="2"/>
  <c r="N3348" i="2"/>
  <c r="N3428" i="2"/>
  <c r="M2728" i="2"/>
  <c r="M2768" i="2"/>
  <c r="N2928" i="2"/>
  <c r="M3008" i="2"/>
  <c r="N3028" i="2"/>
  <c r="M3048" i="2"/>
  <c r="N3068" i="2"/>
  <c r="M3168" i="2"/>
  <c r="M3248" i="2"/>
  <c r="M3328" i="2"/>
  <c r="M3408" i="2"/>
  <c r="N2828" i="2"/>
  <c r="N2988" i="2"/>
  <c r="N3008" i="2"/>
  <c r="N3168" i="2"/>
  <c r="N3248" i="2"/>
  <c r="N3328" i="2"/>
  <c r="N2908" i="2"/>
  <c r="M3088" i="2"/>
  <c r="N3088" i="2"/>
  <c r="N3148" i="2"/>
  <c r="N3228" i="2"/>
  <c r="N3308" i="2"/>
  <c r="N3388" i="2"/>
  <c r="M3148" i="2"/>
  <c r="M3448" i="2"/>
  <c r="M3528" i="2"/>
  <c r="M3608" i="2"/>
  <c r="M3688" i="2"/>
  <c r="M3228" i="2"/>
  <c r="M3128" i="2"/>
  <c r="M3308" i="2"/>
  <c r="M3508" i="2"/>
  <c r="M3588" i="2"/>
  <c r="M3668" i="2"/>
  <c r="M3748" i="2"/>
  <c r="M3208" i="2"/>
  <c r="M3288" i="2"/>
  <c r="M3488" i="2"/>
  <c r="M3568" i="2"/>
  <c r="M3648" i="2"/>
  <c r="M3188" i="2"/>
  <c r="M3368" i="2"/>
  <c r="M3388" i="2"/>
  <c r="N3408" i="2"/>
  <c r="M3428" i="2"/>
  <c r="N3488" i="2"/>
  <c r="N3568" i="2"/>
  <c r="N3648" i="2"/>
  <c r="N3728" i="2"/>
  <c r="M3268" i="2"/>
  <c r="M3348" i="2"/>
  <c r="N3368" i="2"/>
  <c r="M3468" i="2"/>
  <c r="M3548" i="2"/>
  <c r="M3628" i="2"/>
  <c r="M3708" i="2"/>
  <c r="M3788" i="2"/>
  <c r="N3668" i="2"/>
  <c r="N3828" i="2"/>
  <c r="N3908" i="2"/>
  <c r="N3988" i="2"/>
  <c r="N4068" i="2"/>
  <c r="N3468" i="2"/>
  <c r="M3808" i="2"/>
  <c r="N3548" i="2"/>
  <c r="N3808" i="2"/>
  <c r="N3888" i="2"/>
  <c r="N3968" i="2"/>
  <c r="N4048" i="2"/>
  <c r="N4128" i="2"/>
  <c r="N2788" i="2"/>
  <c r="N3448" i="2"/>
  <c r="N3628" i="2"/>
  <c r="M3868" i="2"/>
  <c r="M3948" i="2"/>
  <c r="M4028" i="2"/>
  <c r="M4108" i="2"/>
  <c r="N3528" i="2"/>
  <c r="N3868" i="2"/>
  <c r="N3948" i="2"/>
  <c r="N4028" i="2"/>
  <c r="N3608" i="2"/>
  <c r="N3508" i="2"/>
  <c r="N3688" i="2"/>
  <c r="M3768" i="2"/>
  <c r="N3788" i="2"/>
  <c r="N3848" i="2"/>
  <c r="N3928" i="2"/>
  <c r="N4008" i="2"/>
  <c r="N4088" i="2"/>
  <c r="M3888" i="2"/>
  <c r="M4068" i="2"/>
  <c r="N4228" i="2"/>
  <c r="M3968" i="2"/>
  <c r="M4208" i="2"/>
  <c r="N3708" i="2"/>
  <c r="M3728" i="2"/>
  <c r="N3748" i="2"/>
  <c r="N3768" i="2"/>
  <c r="M4048" i="2"/>
  <c r="N4208" i="2"/>
  <c r="N4288" i="2"/>
  <c r="N4368" i="2"/>
  <c r="N4448" i="2"/>
  <c r="M3848" i="2"/>
  <c r="M4188" i="2"/>
  <c r="M3928" i="2"/>
  <c r="N4188" i="2"/>
  <c r="N4268" i="2"/>
  <c r="N3588" i="2"/>
  <c r="M3828" i="2"/>
  <c r="M4008" i="2"/>
  <c r="M4168" i="2"/>
  <c r="M4248" i="2"/>
  <c r="M4328" i="2"/>
  <c r="M4408" i="2"/>
  <c r="M4488" i="2"/>
  <c r="M3908" i="2"/>
  <c r="M4148" i="2"/>
  <c r="N4168" i="2"/>
  <c r="N4248" i="2"/>
  <c r="N4328" i="2"/>
  <c r="N4408" i="2"/>
  <c r="N4488" i="2"/>
  <c r="M4288" i="2"/>
  <c r="N4308" i="2"/>
  <c r="N4348" i="2"/>
  <c r="N4568" i="2"/>
  <c r="N4648" i="2"/>
  <c r="N4728" i="2"/>
  <c r="N4808" i="2"/>
  <c r="M4088" i="2"/>
  <c r="N4108" i="2"/>
  <c r="M4128" i="2"/>
  <c r="N4148" i="2"/>
  <c r="M4548" i="2"/>
  <c r="N4548" i="2"/>
  <c r="N4628" i="2"/>
  <c r="N4708" i="2"/>
  <c r="N4788" i="2"/>
  <c r="M4228" i="2"/>
  <c r="M4268" i="2"/>
  <c r="M4528" i="2"/>
  <c r="M4608" i="2"/>
  <c r="M4688" i="2"/>
  <c r="M4768" i="2"/>
  <c r="M4848" i="2"/>
  <c r="N4528" i="2"/>
  <c r="N4608" i="2"/>
  <c r="N4688" i="2"/>
  <c r="N4768" i="2"/>
  <c r="M4468" i="2"/>
  <c r="M4508" i="2"/>
  <c r="M4588" i="2"/>
  <c r="M4388" i="2"/>
  <c r="M4428" i="2"/>
  <c r="M4448" i="2"/>
  <c r="N4468" i="2"/>
  <c r="N4508" i="2"/>
  <c r="N4588" i="2"/>
  <c r="N4668" i="2"/>
  <c r="N4748" i="2"/>
  <c r="N4828" i="2"/>
  <c r="M4308" i="2"/>
  <c r="M4348" i="2"/>
  <c r="M4368" i="2"/>
  <c r="N4388" i="2"/>
  <c r="N4428" i="2"/>
  <c r="N4868" i="2"/>
  <c r="N4948" i="2"/>
  <c r="N5028" i="2"/>
  <c r="N5108" i="2"/>
  <c r="N5188" i="2"/>
  <c r="M4668" i="2"/>
  <c r="M4928" i="2"/>
  <c r="M4748" i="2"/>
  <c r="N4928" i="2"/>
  <c r="N5008" i="2"/>
  <c r="N5088" i="2"/>
  <c r="N5168" i="2"/>
  <c r="N5248" i="2"/>
  <c r="M4568" i="2"/>
  <c r="M4648" i="2"/>
  <c r="M4828" i="2"/>
  <c r="N4848" i="2"/>
  <c r="M4908" i="2"/>
  <c r="M4728" i="2"/>
  <c r="N4908" i="2"/>
  <c r="N4988" i="2"/>
  <c r="N5068" i="2"/>
  <c r="N5148" i="2"/>
  <c r="N5228" i="2"/>
  <c r="M4628" i="2"/>
  <c r="M4808" i="2"/>
  <c r="M4888" i="2"/>
  <c r="M4968" i="2"/>
  <c r="M5048" i="2"/>
  <c r="M5128" i="2"/>
  <c r="M5208" i="2"/>
  <c r="M3988" i="2"/>
  <c r="M4708" i="2"/>
  <c r="N4888" i="2"/>
  <c r="N4968" i="2"/>
  <c r="N5048" i="2"/>
  <c r="N5128" i="2"/>
  <c r="N5208" i="2"/>
  <c r="M4988" i="2"/>
  <c r="M5168" i="2"/>
  <c r="N5328" i="2"/>
  <c r="N5408" i="2"/>
  <c r="N5488" i="2"/>
  <c r="N5568" i="2"/>
  <c r="N5648" i="2"/>
  <c r="M4948" i="2"/>
  <c r="M5068" i="2"/>
  <c r="M5248" i="2"/>
  <c r="M5308" i="2"/>
  <c r="M5388" i="2"/>
  <c r="M5148" i="2"/>
  <c r="N5308" i="2"/>
  <c r="N5388" i="2"/>
  <c r="N5468" i="2"/>
  <c r="N5548" i="2"/>
  <c r="N5628" i="2"/>
  <c r="M4788" i="2"/>
  <c r="M5228" i="2"/>
  <c r="M5288" i="2"/>
  <c r="M5368" i="2"/>
  <c r="M5448" i="2"/>
  <c r="M5528" i="2"/>
  <c r="M5608" i="2"/>
  <c r="M5028" i="2"/>
  <c r="N5288" i="2"/>
  <c r="N5368" i="2"/>
  <c r="N5448" i="2"/>
  <c r="N5528" i="2"/>
  <c r="N5608" i="2"/>
  <c r="M5108" i="2"/>
  <c r="M5268" i="2"/>
  <c r="M5348" i="2"/>
  <c r="M4868" i="2"/>
  <c r="M5008" i="2"/>
  <c r="M5188" i="2"/>
  <c r="N5268" i="2"/>
  <c r="N5348" i="2"/>
  <c r="N5428" i="2"/>
  <c r="N5508" i="2"/>
  <c r="N5588" i="2"/>
  <c r="M5548" i="2"/>
  <c r="M5668" i="2"/>
  <c r="M5748" i="2"/>
  <c r="M5828" i="2"/>
  <c r="M5908" i="2"/>
  <c r="M5988" i="2"/>
  <c r="N5908" i="2"/>
  <c r="N5988" i="2"/>
  <c r="M5628" i="2"/>
  <c r="N5668" i="2"/>
  <c r="N5748" i="2"/>
  <c r="N5828" i="2"/>
  <c r="M5428" i="2"/>
  <c r="M5728" i="2"/>
  <c r="M5808" i="2"/>
  <c r="M5888" i="2"/>
  <c r="M5968" i="2"/>
  <c r="M5328" i="2"/>
  <c r="M5508" i="2"/>
  <c r="N5728" i="2"/>
  <c r="N5808" i="2"/>
  <c r="N5888" i="2"/>
  <c r="N5968" i="2"/>
  <c r="M5588" i="2"/>
  <c r="M5708" i="2"/>
  <c r="M5788" i="2"/>
  <c r="M5868" i="2"/>
  <c r="M5948" i="2"/>
  <c r="M5468" i="2"/>
  <c r="M5648" i="2"/>
  <c r="N5848" i="2"/>
  <c r="N5928" i="2"/>
  <c r="M5088" i="2"/>
  <c r="M5488" i="2"/>
  <c r="N5708" i="2"/>
  <c r="N5788" i="2"/>
  <c r="N5868" i="2"/>
  <c r="N5948" i="2"/>
  <c r="N5688" i="2"/>
  <c r="M5408" i="2"/>
  <c r="M5568" i="2"/>
  <c r="M5688" i="2"/>
  <c r="M5768" i="2"/>
  <c r="M5848" i="2"/>
  <c r="M5928" i="2"/>
  <c r="N5768" i="2"/>
  <c r="F220" i="16"/>
  <c r="F228" i="16"/>
  <c r="F236" i="16"/>
  <c r="F244" i="16"/>
  <c r="F252" i="16"/>
  <c r="F260" i="16"/>
  <c r="F159" i="16"/>
  <c r="F170" i="16"/>
  <c r="F178" i="16"/>
  <c r="F186" i="16"/>
  <c r="F194" i="16"/>
  <c r="F202" i="16"/>
  <c r="F210" i="16"/>
  <c r="F218" i="16"/>
  <c r="F226" i="16"/>
  <c r="F234" i="16"/>
  <c r="F242" i="16"/>
  <c r="F250" i="16"/>
  <c r="F258" i="16"/>
  <c r="F168" i="16"/>
  <c r="F176" i="16"/>
  <c r="F184" i="16"/>
  <c r="F192" i="16"/>
  <c r="F200" i="16"/>
  <c r="F208" i="16"/>
  <c r="F216" i="16"/>
  <c r="F224" i="16"/>
  <c r="F232" i="16"/>
  <c r="F240" i="16"/>
  <c r="F248" i="16"/>
  <c r="F256" i="16"/>
  <c r="F160" i="16"/>
  <c r="F165" i="16"/>
  <c r="F173" i="16"/>
  <c r="F166" i="16"/>
  <c r="F174" i="16"/>
  <c r="F182" i="16"/>
  <c r="F190" i="16"/>
  <c r="F198" i="16"/>
  <c r="F206" i="16"/>
  <c r="F214" i="16"/>
  <c r="F222" i="16"/>
  <c r="F230" i="16"/>
  <c r="F238" i="16"/>
  <c r="F246" i="16"/>
  <c r="F254" i="16"/>
  <c r="F262" i="16"/>
  <c r="F162" i="16"/>
  <c r="F266" i="16"/>
  <c r="F171" i="16"/>
  <c r="F187" i="16"/>
  <c r="F197" i="16"/>
  <c r="F207" i="16"/>
  <c r="F183" i="16"/>
  <c r="F227" i="16"/>
  <c r="F167" i="16"/>
  <c r="F203" i="16"/>
  <c r="F213" i="16"/>
  <c r="F223" i="16"/>
  <c r="F292" i="16"/>
  <c r="F302" i="16"/>
  <c r="F312" i="16"/>
  <c r="F316" i="16"/>
  <c r="F322" i="16"/>
  <c r="F341" i="16"/>
  <c r="F350" i="16"/>
  <c r="F355" i="16"/>
  <c r="F373" i="16"/>
  <c r="F382" i="16"/>
  <c r="F387" i="16"/>
  <c r="F395" i="16"/>
  <c r="F399" i="16"/>
  <c r="F406" i="16"/>
  <c r="F416" i="16"/>
  <c r="F431" i="16"/>
  <c r="F438" i="16"/>
  <c r="F448" i="16"/>
  <c r="F463" i="16"/>
  <c r="F469" i="16"/>
  <c r="F472" i="16"/>
  <c r="F479" i="16"/>
  <c r="F485" i="16"/>
  <c r="F503" i="16"/>
  <c r="F517" i="16"/>
  <c r="F535" i="16"/>
  <c r="F179" i="16"/>
  <c r="F189" i="16"/>
  <c r="F199" i="16"/>
  <c r="F243" i="16"/>
  <c r="F253" i="16"/>
  <c r="F263" i="16"/>
  <c r="F287" i="16"/>
  <c r="F293" i="16"/>
  <c r="F327" i="16"/>
  <c r="F359" i="16"/>
  <c r="F391" i="16"/>
  <c r="F413" i="16"/>
  <c r="F420" i="16"/>
  <c r="F445" i="16"/>
  <c r="F452" i="16"/>
  <c r="F506" i="16"/>
  <c r="F219" i="16"/>
  <c r="F229" i="16"/>
  <c r="F239" i="16"/>
  <c r="F264" i="16"/>
  <c r="F268" i="16"/>
  <c r="F274" i="16"/>
  <c r="F283" i="16"/>
  <c r="F308" i="16"/>
  <c r="F318" i="16"/>
  <c r="F328" i="16"/>
  <c r="F332" i="16"/>
  <c r="F338" i="16"/>
  <c r="F342" i="16"/>
  <c r="F360" i="16"/>
  <c r="F364" i="16"/>
  <c r="F370" i="16"/>
  <c r="F374" i="16"/>
  <c r="F392" i="16"/>
  <c r="F403" i="16"/>
  <c r="F407" i="16"/>
  <c r="F414" i="16"/>
  <c r="F417" i="16"/>
  <c r="F424" i="16"/>
  <c r="F435" i="16"/>
  <c r="F439" i="16"/>
  <c r="F446" i="16"/>
  <c r="F449" i="16"/>
  <c r="F456" i="16"/>
  <c r="F476" i="16"/>
  <c r="F181" i="16"/>
  <c r="F191" i="16"/>
  <c r="F235" i="16"/>
  <c r="F245" i="16"/>
  <c r="F255" i="16"/>
  <c r="F270" i="16"/>
  <c r="F280" i="16"/>
  <c r="F284" i="16"/>
  <c r="F290" i="16"/>
  <c r="F324" i="16"/>
  <c r="F334" i="16"/>
  <c r="F339" i="16"/>
  <c r="F357" i="16"/>
  <c r="F366" i="16"/>
  <c r="F371" i="16"/>
  <c r="F389" i="16"/>
  <c r="F393" i="16"/>
  <c r="F400" i="16"/>
  <c r="F415" i="16"/>
  <c r="F422" i="16"/>
  <c r="F432" i="16"/>
  <c r="F447" i="16"/>
  <c r="F454" i="16"/>
  <c r="F464" i="16"/>
  <c r="F471" i="16"/>
  <c r="F477" i="16"/>
  <c r="F480" i="16"/>
  <c r="F487" i="16"/>
  <c r="F501" i="16"/>
  <c r="F519" i="16"/>
  <c r="F533" i="16"/>
  <c r="F211" i="16"/>
  <c r="F221" i="16"/>
  <c r="F231" i="16"/>
  <c r="F295" i="16"/>
  <c r="F319" i="16"/>
  <c r="F325" i="16"/>
  <c r="F343" i="16"/>
  <c r="F375" i="16"/>
  <c r="F397" i="16"/>
  <c r="F404" i="16"/>
  <c r="F429" i="16"/>
  <c r="F436" i="16"/>
  <c r="F461" i="16"/>
  <c r="F490" i="16"/>
  <c r="F175" i="16"/>
  <c r="F259" i="16"/>
  <c r="F271" i="16"/>
  <c r="F303" i="16"/>
  <c r="F335" i="16"/>
  <c r="F347" i="16"/>
  <c r="F358" i="16"/>
  <c r="F380" i="16"/>
  <c r="F412" i="16"/>
  <c r="F444" i="16"/>
  <c r="F465" i="16"/>
  <c r="F470" i="16"/>
  <c r="F493" i="16"/>
  <c r="F498" i="16"/>
  <c r="F524" i="16"/>
  <c r="F572" i="16"/>
  <c r="F625" i="16"/>
  <c r="F205" i="16"/>
  <c r="F247" i="16"/>
  <c r="F299" i="16"/>
  <c r="F376" i="16"/>
  <c r="F398" i="16"/>
  <c r="F408" i="16"/>
  <c r="F430" i="16"/>
  <c r="F440" i="16"/>
  <c r="F462" i="16"/>
  <c r="F475" i="16"/>
  <c r="F484" i="16"/>
  <c r="F489" i="16"/>
  <c r="F507" i="16"/>
  <c r="F521" i="16"/>
  <c r="F528" i="16"/>
  <c r="F544" i="16"/>
  <c r="F550" i="16"/>
  <c r="F554" i="16"/>
  <c r="F576" i="16"/>
  <c r="F582" i="16"/>
  <c r="F586" i="16"/>
  <c r="F606" i="16"/>
  <c r="F622" i="16"/>
  <c r="F638" i="16"/>
  <c r="F654" i="16"/>
  <c r="F286" i="16"/>
  <c r="F331" i="16"/>
  <c r="F495" i="16"/>
  <c r="F518" i="16"/>
  <c r="F580" i="16"/>
  <c r="F604" i="16"/>
  <c r="F620" i="16"/>
  <c r="F652" i="16"/>
  <c r="F267" i="16"/>
  <c r="F311" i="16"/>
  <c r="F354" i="16"/>
  <c r="F419" i="16"/>
  <c r="F451" i="16"/>
  <c r="F511" i="16"/>
  <c r="F548" i="16"/>
  <c r="F565" i="16"/>
  <c r="F636" i="16"/>
  <c r="F163" i="16"/>
  <c r="F261" i="16"/>
  <c r="F279" i="16"/>
  <c r="F306" i="16"/>
  <c r="F348" i="16"/>
  <c r="F388" i="16"/>
  <c r="F467" i="16"/>
  <c r="F491" i="16"/>
  <c r="F499" i="16"/>
  <c r="F504" i="16"/>
  <c r="F515" i="16"/>
  <c r="F522" i="16"/>
  <c r="F525" i="16"/>
  <c r="F537" i="16"/>
  <c r="F552" i="16"/>
  <c r="F558" i="16"/>
  <c r="F562" i="16"/>
  <c r="F569" i="16"/>
  <c r="F584" i="16"/>
  <c r="F590" i="16"/>
  <c r="F594" i="16"/>
  <c r="F610" i="16"/>
  <c r="F626" i="16"/>
  <c r="F642" i="16"/>
  <c r="F658" i="16"/>
  <c r="F640" i="16"/>
  <c r="F656" i="16"/>
  <c r="F531" i="16"/>
  <c r="F574" i="16"/>
  <c r="F615" i="16"/>
  <c r="F557" i="16"/>
  <c r="F609" i="16"/>
  <c r="F641" i="16"/>
  <c r="F215" i="16"/>
  <c r="F300" i="16"/>
  <c r="F344" i="16"/>
  <c r="F372" i="16"/>
  <c r="F383" i="16"/>
  <c r="F394" i="16"/>
  <c r="F405" i="16"/>
  <c r="F411" i="16"/>
  <c r="F427" i="16"/>
  <c r="F437" i="16"/>
  <c r="F443" i="16"/>
  <c r="F459" i="16"/>
  <c r="F481" i="16"/>
  <c r="F486" i="16"/>
  <c r="F523" i="16"/>
  <c r="F530" i="16"/>
  <c r="F541" i="16"/>
  <c r="F556" i="16"/>
  <c r="F573" i="16"/>
  <c r="F588" i="16"/>
  <c r="F608" i="16"/>
  <c r="F624" i="16"/>
  <c r="F428" i="16"/>
  <c r="F460" i="16"/>
  <c r="F483" i="16"/>
  <c r="F509" i="16"/>
  <c r="F542" i="16"/>
  <c r="F568" i="16"/>
  <c r="F599" i="16"/>
  <c r="F647" i="16"/>
  <c r="F589" i="16"/>
  <c r="F648" i="16"/>
  <c r="F195" i="16"/>
  <c r="F296" i="16"/>
  <c r="F367" i="16"/>
  <c r="F379" i="16"/>
  <c r="F390" i="16"/>
  <c r="F421" i="16"/>
  <c r="F453" i="16"/>
  <c r="F468" i="16"/>
  <c r="F473" i="16"/>
  <c r="F496" i="16"/>
  <c r="F508" i="16"/>
  <c r="F512" i="16"/>
  <c r="F520" i="16"/>
  <c r="F527" i="16"/>
  <c r="F538" i="16"/>
  <c r="F560" i="16"/>
  <c r="F566" i="16"/>
  <c r="F570" i="16"/>
  <c r="F592" i="16"/>
  <c r="F598" i="16"/>
  <c r="F614" i="16"/>
  <c r="F630" i="16"/>
  <c r="F646" i="16"/>
  <c r="F662" i="16"/>
  <c r="F276" i="16"/>
  <c r="F315" i="16"/>
  <c r="F351" i="16"/>
  <c r="F386" i="16"/>
  <c r="F423" i="16"/>
  <c r="F536" i="16"/>
  <c r="F553" i="16"/>
  <c r="F571" i="16"/>
  <c r="F585" i="16"/>
  <c r="F602" i="16"/>
  <c r="F618" i="16"/>
  <c r="F631" i="16"/>
  <c r="F540" i="16"/>
  <c r="F600" i="16"/>
  <c r="F616" i="16"/>
  <c r="F632" i="16"/>
  <c r="F657" i="16"/>
  <c r="F237" i="16"/>
  <c r="F251" i="16"/>
  <c r="F356" i="16"/>
  <c r="F478" i="16"/>
  <c r="F488" i="16"/>
  <c r="F492" i="16"/>
  <c r="F549" i="16"/>
  <c r="F564" i="16"/>
  <c r="F581" i="16"/>
  <c r="F596" i="16"/>
  <c r="F612" i="16"/>
  <c r="F628" i="16"/>
  <c r="F644" i="16"/>
  <c r="F660" i="16"/>
  <c r="F340" i="16"/>
  <c r="F363" i="16"/>
  <c r="F396" i="16"/>
  <c r="F401" i="16"/>
  <c r="F433" i="16"/>
  <c r="F455" i="16"/>
  <c r="F505" i="16"/>
  <c r="F513" i="16"/>
  <c r="F539" i="16"/>
  <c r="F546" i="16"/>
  <c r="F578" i="16"/>
  <c r="F634" i="16"/>
  <c r="F650" i="16"/>
  <c r="F516" i="16"/>
  <c r="F595" i="16"/>
  <c r="F643" i="16"/>
  <c r="F563" i="16"/>
  <c r="F502" i="16"/>
  <c r="F510" i="16"/>
  <c r="F534" i="16"/>
  <c r="F607" i="16"/>
  <c r="F639" i="16"/>
  <c r="F547" i="16"/>
  <c r="F587" i="16"/>
  <c r="F623" i="16"/>
  <c r="F655" i="16"/>
  <c r="F514" i="16"/>
  <c r="F555" i="16"/>
  <c r="F611" i="16"/>
  <c r="F545" i="16"/>
  <c r="F561" i="16"/>
  <c r="F577" i="16"/>
  <c r="F593" i="16"/>
  <c r="F627" i="16"/>
  <c r="F659" i="16"/>
  <c r="F71" i="16"/>
  <c r="F70" i="16"/>
  <c r="F72" i="16"/>
  <c r="F69" i="16"/>
  <c r="F109" i="16"/>
  <c r="F93" i="16"/>
  <c r="F134" i="16"/>
  <c r="F115" i="16"/>
  <c r="F138" i="16"/>
  <c r="F126" i="16"/>
  <c r="F158" i="16"/>
  <c r="F118" i="16"/>
  <c r="F106" i="16"/>
  <c r="F112" i="16"/>
  <c r="F99" i="16"/>
  <c r="F149" i="16"/>
  <c r="F103" i="16"/>
  <c r="F131" i="16"/>
  <c r="F125" i="16"/>
  <c r="F91" i="16"/>
  <c r="F130" i="16"/>
  <c r="F114" i="16"/>
  <c r="F110" i="16"/>
  <c r="F74" i="16"/>
  <c r="F122" i="16"/>
  <c r="F78" i="16"/>
  <c r="F102" i="16"/>
  <c r="F83" i="16"/>
  <c r="F111" i="16"/>
  <c r="F98" i="16"/>
  <c r="F141" i="16"/>
  <c r="F75" i="16"/>
  <c r="F101" i="16"/>
  <c r="F133" i="16"/>
  <c r="F82" i="16"/>
  <c r="F90" i="16"/>
  <c r="F85" i="16"/>
  <c r="F146" i="16"/>
  <c r="F157" i="16"/>
  <c r="F154" i="16"/>
  <c r="F86" i="16"/>
  <c r="F123" i="16"/>
  <c r="F88" i="16"/>
  <c r="F142" i="16"/>
  <c r="F147" i="16"/>
  <c r="F107" i="16"/>
  <c r="F117" i="16"/>
  <c r="F77" i="16"/>
  <c r="F94" i="16"/>
  <c r="F143" i="16"/>
  <c r="F135" i="16"/>
  <c r="F104" i="16"/>
  <c r="F128" i="16"/>
  <c r="F152" i="16"/>
  <c r="F136" i="16"/>
  <c r="F79" i="16"/>
  <c r="F87" i="16"/>
  <c r="F95" i="16"/>
  <c r="F119" i="16"/>
  <c r="F127" i="16"/>
  <c r="F151" i="16"/>
  <c r="F96" i="16"/>
  <c r="F120" i="16"/>
  <c r="F144" i="16"/>
  <c r="F80" i="16"/>
  <c r="F66" i="16"/>
  <c r="F64" i="16"/>
  <c r="F63" i="16"/>
  <c r="F62" i="16"/>
  <c r="F61" i="16"/>
  <c r="F67" i="16"/>
  <c r="F59" i="16"/>
  <c r="B35" i="29"/>
  <c r="E24" i="29" l="1"/>
  <c r="AR10" i="33"/>
  <c r="AR11" i="33" s="1"/>
  <c r="AS9" i="33"/>
  <c r="K21" i="33"/>
  <c r="K22" i="33" s="1"/>
  <c r="L20" i="33"/>
  <c r="BE9" i="33"/>
  <c r="BD10" i="33"/>
  <c r="BD11" i="33" s="1"/>
  <c r="AR20" i="33"/>
  <c r="AQ21" i="33"/>
  <c r="AQ22" i="33" s="1"/>
  <c r="AQ23" i="33" s="1"/>
  <c r="G26" i="33" s="1"/>
  <c r="U21" i="33"/>
  <c r="U22" i="33" s="1"/>
  <c r="V20" i="33"/>
  <c r="AG21" i="33"/>
  <c r="AG22" i="33" s="1"/>
  <c r="AH20" i="33"/>
  <c r="AE10" i="33"/>
  <c r="AE11" i="33" s="1"/>
  <c r="AE23" i="33" s="1"/>
  <c r="G25" i="33" s="1"/>
  <c r="BE20" i="33"/>
  <c r="BD21" i="33"/>
  <c r="BD22" i="33" s="1"/>
  <c r="BD23" i="33" s="1"/>
  <c r="H27" i="33" s="1"/>
  <c r="S10" i="33"/>
  <c r="S11" i="33" s="1"/>
  <c r="S23" i="33" s="1"/>
  <c r="G24" i="33" s="1"/>
  <c r="T9" i="33"/>
  <c r="G21" i="33"/>
  <c r="G22" i="33" s="1"/>
  <c r="G23" i="33" s="1"/>
  <c r="AG9" i="33"/>
  <c r="AF10" i="33"/>
  <c r="AF11" i="33" s="1"/>
  <c r="AF23" i="33" s="1"/>
  <c r="H25" i="33" s="1"/>
  <c r="H21" i="33"/>
  <c r="H22" i="33" s="1"/>
  <c r="H23" i="33" s="1"/>
  <c r="I10" i="33"/>
  <c r="I11" i="33" s="1"/>
  <c r="I23" i="33" s="1"/>
  <c r="J9" i="33"/>
  <c r="E24" i="33"/>
  <c r="AI20" i="32"/>
  <c r="AH21" i="32"/>
  <c r="AH22" i="32" s="1"/>
  <c r="AS20" i="32"/>
  <c r="AR21" i="32"/>
  <c r="AR22" i="32" s="1"/>
  <c r="BF9" i="32"/>
  <c r="BE10" i="32"/>
  <c r="BE11" i="32" s="1"/>
  <c r="AD23" i="32"/>
  <c r="F25" i="32" s="1"/>
  <c r="T10" i="32"/>
  <c r="T11" i="32" s="1"/>
  <c r="T23" i="32" s="1"/>
  <c r="H24" i="32" s="1"/>
  <c r="U9" i="32"/>
  <c r="F23" i="32"/>
  <c r="AH9" i="32"/>
  <c r="AG10" i="32"/>
  <c r="AG11" i="32" s="1"/>
  <c r="AG23" i="32" s="1"/>
  <c r="I25" i="32" s="1"/>
  <c r="E24" i="32"/>
  <c r="G21" i="32"/>
  <c r="G22" i="32" s="1"/>
  <c r="G23" i="32" s="1"/>
  <c r="H20" i="32"/>
  <c r="BC21" i="32"/>
  <c r="BC22" i="32" s="1"/>
  <c r="BC23" i="32" s="1"/>
  <c r="G27" i="32" s="1"/>
  <c r="BE20" i="32"/>
  <c r="BD21" i="32"/>
  <c r="BD22" i="32" s="1"/>
  <c r="BD23" i="32" s="1"/>
  <c r="H27" i="32" s="1"/>
  <c r="AE23" i="32"/>
  <c r="G25" i="32" s="1"/>
  <c r="U21" i="32"/>
  <c r="U22" i="32" s="1"/>
  <c r="V20" i="32"/>
  <c r="H10" i="32"/>
  <c r="H11" i="32" s="1"/>
  <c r="I9" i="32"/>
  <c r="AR9" i="32"/>
  <c r="AQ10" i="32"/>
  <c r="AQ11" i="32" s="1"/>
  <c r="AQ23" i="32" s="1"/>
  <c r="G26" i="32" s="1"/>
  <c r="AQ23" i="30"/>
  <c r="G26" i="30" s="1"/>
  <c r="T10" i="30"/>
  <c r="T11" i="30" s="1"/>
  <c r="V9" i="30"/>
  <c r="U10" i="30"/>
  <c r="U11" i="30" s="1"/>
  <c r="L21" i="30"/>
  <c r="L22" i="30" s="1"/>
  <c r="M20" i="30"/>
  <c r="AS20" i="30"/>
  <c r="AR21" i="30"/>
  <c r="AR22" i="30" s="1"/>
  <c r="AR23" i="30" s="1"/>
  <c r="H26" i="30" s="1"/>
  <c r="BC10" i="30"/>
  <c r="BC11" i="30" s="1"/>
  <c r="BC23" i="30" s="1"/>
  <c r="G27" i="30" s="1"/>
  <c r="BE20" i="30"/>
  <c r="BD21" i="30"/>
  <c r="BD22" i="30" s="1"/>
  <c r="BD23" i="30" s="1"/>
  <c r="H27" i="30" s="1"/>
  <c r="K10" i="30"/>
  <c r="K11" i="30" s="1"/>
  <c r="K23" i="30" s="1"/>
  <c r="L9" i="30"/>
  <c r="BD10" i="30"/>
  <c r="BD11" i="30" s="1"/>
  <c r="BE9" i="30"/>
  <c r="AS10" i="30"/>
  <c r="AS11" i="30" s="1"/>
  <c r="AT9" i="30"/>
  <c r="T23" i="30"/>
  <c r="H24" i="30" s="1"/>
  <c r="AI20" i="30"/>
  <c r="AH21" i="30"/>
  <c r="AH22" i="30" s="1"/>
  <c r="E24" i="30"/>
  <c r="U21" i="30"/>
  <c r="U22" i="30" s="1"/>
  <c r="U23" i="30" s="1"/>
  <c r="I24" i="30" s="1"/>
  <c r="V20" i="30"/>
  <c r="AH9" i="30"/>
  <c r="AG10" i="30"/>
  <c r="AG11" i="30" s="1"/>
  <c r="AG23" i="30" s="1"/>
  <c r="I25" i="30" s="1"/>
  <c r="AP23" i="29"/>
  <c r="F26" i="29" s="1"/>
  <c r="T10" i="29"/>
  <c r="T11" i="29" s="1"/>
  <c r="T21" i="29"/>
  <c r="T22" i="29" s="1"/>
  <c r="U20" i="29"/>
  <c r="U10" i="29"/>
  <c r="U11" i="29" s="1"/>
  <c r="V9" i="29"/>
  <c r="AR20" i="29"/>
  <c r="AQ21" i="29"/>
  <c r="AQ22" i="29" s="1"/>
  <c r="AQ23" i="29" s="1"/>
  <c r="G26" i="29" s="1"/>
  <c r="BD9" i="29"/>
  <c r="BC10" i="29"/>
  <c r="BC11" i="29" s="1"/>
  <c r="BC23" i="29" s="1"/>
  <c r="G27" i="29" s="1"/>
  <c r="H9" i="29"/>
  <c r="G10" i="29"/>
  <c r="G11" i="29" s="1"/>
  <c r="AQ10" i="29"/>
  <c r="AQ11" i="29" s="1"/>
  <c r="AR9" i="29"/>
  <c r="AF9" i="29"/>
  <c r="AE10" i="29"/>
  <c r="AE11" i="29" s="1"/>
  <c r="AE23" i="29" s="1"/>
  <c r="G25" i="29" s="1"/>
  <c r="G21" i="29"/>
  <c r="G22" i="29" s="1"/>
  <c r="G23" i="29" s="1"/>
  <c r="H20" i="29"/>
  <c r="BE20" i="29"/>
  <c r="BD21" i="29"/>
  <c r="BD22" i="29" s="1"/>
  <c r="S10" i="29"/>
  <c r="S11" i="29" s="1"/>
  <c r="S23" i="29" s="1"/>
  <c r="G24" i="29" s="1"/>
  <c r="AF21" i="29"/>
  <c r="AF22" i="29" s="1"/>
  <c r="AG20" i="29"/>
  <c r="L6" i="6"/>
  <c r="F2" i="5"/>
  <c r="F7" i="5"/>
  <c r="F309" i="16"/>
  <c r="F294" i="16"/>
  <c r="F661" i="16"/>
  <c r="F457" i="16"/>
  <c r="F434" i="16"/>
  <c r="F362" i="16"/>
  <c r="F305" i="16"/>
  <c r="F352" i="16"/>
  <c r="F201" i="16"/>
  <c r="F185" i="16"/>
  <c r="F369" i="16"/>
  <c r="F273" i="16"/>
  <c r="F377" i="16"/>
  <c r="F307" i="16"/>
  <c r="F317" i="16"/>
  <c r="F272" i="16"/>
  <c r="F188" i="16"/>
  <c r="F497" i="16"/>
  <c r="F217" i="16"/>
  <c r="F591" i="16"/>
  <c r="F349" i="16"/>
  <c r="F645" i="16"/>
  <c r="F635" i="16"/>
  <c r="F314" i="16"/>
  <c r="F269" i="16"/>
  <c r="F180" i="16"/>
  <c r="F653" i="16"/>
  <c r="F326" i="16"/>
  <c r="F629" i="16"/>
  <c r="F613" i="16"/>
  <c r="F425" i="16"/>
  <c r="F494" i="16"/>
  <c r="F418" i="16"/>
  <c r="F458" i="16"/>
  <c r="F353" i="16"/>
  <c r="F241" i="16"/>
  <c r="F474" i="16"/>
  <c r="F329" i="16"/>
  <c r="F323" i="16"/>
  <c r="F442" i="16"/>
  <c r="F346" i="16"/>
  <c r="F209" i="16"/>
  <c r="F368" i="16"/>
  <c r="F297" i="16"/>
  <c r="F193" i="16"/>
  <c r="F304" i="16"/>
  <c r="F169" i="16"/>
  <c r="F172" i="16"/>
  <c r="F637" i="16"/>
  <c r="F321" i="16"/>
  <c r="F333" i="16"/>
  <c r="F575" i="16"/>
  <c r="F559" i="16"/>
  <c r="F597" i="16"/>
  <c r="F619" i="16"/>
  <c r="F301" i="16"/>
  <c r="F164" i="16"/>
  <c r="F196" i="16"/>
  <c r="F621" i="16"/>
  <c r="F551" i="16"/>
  <c r="F409" i="16"/>
  <c r="F381" i="16"/>
  <c r="F402" i="16"/>
  <c r="F426" i="16"/>
  <c r="F330" i="16"/>
  <c r="F177" i="16"/>
  <c r="F384" i="16"/>
  <c r="F275" i="16"/>
  <c r="F313" i="16"/>
  <c r="F410" i="16"/>
  <c r="F337" i="16"/>
  <c r="F482" i="16"/>
  <c r="F345" i="16"/>
  <c r="F233" i="16"/>
  <c r="F298" i="16"/>
  <c r="F204" i="16"/>
  <c r="F605" i="16"/>
  <c r="F289" i="16"/>
  <c r="F281" i="16"/>
  <c r="F543" i="16"/>
  <c r="F526" i="16"/>
  <c r="F532" i="16"/>
  <c r="F583" i="16"/>
  <c r="F603" i="16"/>
  <c r="F310" i="16"/>
  <c r="F278" i="16"/>
  <c r="F288" i="16"/>
  <c r="F212" i="16"/>
  <c r="F617" i="16"/>
  <c r="F649" i="16"/>
  <c r="F529" i="16"/>
  <c r="F365" i="16"/>
  <c r="F450" i="16"/>
  <c r="F291" i="16"/>
  <c r="F385" i="16"/>
  <c r="F361" i="16"/>
  <c r="F265" i="16"/>
  <c r="F249" i="16"/>
  <c r="F378" i="16"/>
  <c r="F466" i="16"/>
  <c r="F336" i="16"/>
  <c r="F285" i="16"/>
  <c r="F161" i="16"/>
  <c r="F567" i="16"/>
  <c r="F225" i="16"/>
  <c r="F257" i="16"/>
  <c r="F601" i="16"/>
  <c r="F500" i="16"/>
  <c r="F633" i="16"/>
  <c r="F441" i="16"/>
  <c r="F651" i="16"/>
  <c r="F579" i="16"/>
  <c r="F277" i="16"/>
  <c r="F320" i="16"/>
  <c r="F282" i="16"/>
  <c r="F68" i="16"/>
  <c r="F73" i="16"/>
  <c r="F148" i="16"/>
  <c r="F145" i="16"/>
  <c r="F116" i="16"/>
  <c r="F121" i="16"/>
  <c r="F139" i="16"/>
  <c r="F108" i="16"/>
  <c r="F81" i="16"/>
  <c r="F137" i="16"/>
  <c r="F76" i="16"/>
  <c r="F156" i="16"/>
  <c r="F113" i="16"/>
  <c r="F84" i="16"/>
  <c r="F132" i="16"/>
  <c r="F105" i="16"/>
  <c r="F153" i="16"/>
  <c r="F140" i="16"/>
  <c r="F155" i="16"/>
  <c r="F100" i="16"/>
  <c r="F89" i="16"/>
  <c r="F150" i="16"/>
  <c r="F92" i="16"/>
  <c r="F97" i="16"/>
  <c r="F124" i="16"/>
  <c r="F129" i="16"/>
  <c r="F60" i="16"/>
  <c r="F65" i="16"/>
  <c r="BF9" i="33" l="1"/>
  <c r="BE10" i="33"/>
  <c r="BE11" i="33" s="1"/>
  <c r="U9" i="33"/>
  <c r="T10" i="33"/>
  <c r="T11" i="33" s="1"/>
  <c r="T23" i="33" s="1"/>
  <c r="H24" i="33" s="1"/>
  <c r="V21" i="33"/>
  <c r="V22" i="33" s="1"/>
  <c r="W20" i="33"/>
  <c r="L21" i="33"/>
  <c r="L22" i="33" s="1"/>
  <c r="M20" i="33"/>
  <c r="J10" i="33"/>
  <c r="J11" i="33" s="1"/>
  <c r="J23" i="33" s="1"/>
  <c r="K9" i="33"/>
  <c r="BF20" i="33"/>
  <c r="BE21" i="33"/>
  <c r="BE22" i="33" s="1"/>
  <c r="BE23" i="33" s="1"/>
  <c r="I27" i="33" s="1"/>
  <c r="AS20" i="33"/>
  <c r="AR21" i="33"/>
  <c r="AR22" i="33" s="1"/>
  <c r="AR23" i="33" s="1"/>
  <c r="H26" i="33" s="1"/>
  <c r="AS10" i="33"/>
  <c r="AS11" i="33" s="1"/>
  <c r="AT9" i="33"/>
  <c r="AG10" i="33"/>
  <c r="AG11" i="33" s="1"/>
  <c r="AG23" i="33" s="1"/>
  <c r="I25" i="33" s="1"/>
  <c r="AH9" i="33"/>
  <c r="AI20" i="33"/>
  <c r="AH21" i="33"/>
  <c r="AH22" i="33" s="1"/>
  <c r="V21" i="32"/>
  <c r="V22" i="32" s="1"/>
  <c r="W20" i="32"/>
  <c r="AI9" i="32"/>
  <c r="AH10" i="32"/>
  <c r="AH11" i="32" s="1"/>
  <c r="AH23" i="32" s="1"/>
  <c r="J25" i="32" s="1"/>
  <c r="BF10" i="32"/>
  <c r="BF11" i="32" s="1"/>
  <c r="BG9" i="32"/>
  <c r="AR23" i="32"/>
  <c r="H26" i="32" s="1"/>
  <c r="AS9" i="32"/>
  <c r="AR10" i="32"/>
  <c r="AR11" i="32" s="1"/>
  <c r="BF20" i="32"/>
  <c r="BE21" i="32"/>
  <c r="BE22" i="32" s="1"/>
  <c r="BE23" i="32" s="1"/>
  <c r="I27" i="32" s="1"/>
  <c r="AT20" i="32"/>
  <c r="AS21" i="32"/>
  <c r="AS22" i="32" s="1"/>
  <c r="U10" i="32"/>
  <c r="U11" i="32" s="1"/>
  <c r="U23" i="32" s="1"/>
  <c r="I24" i="32" s="1"/>
  <c r="V9" i="32"/>
  <c r="J9" i="32"/>
  <c r="I10" i="32"/>
  <c r="I11" i="32" s="1"/>
  <c r="I20" i="32"/>
  <c r="H21" i="32"/>
  <c r="H22" i="32" s="1"/>
  <c r="H23" i="32" s="1"/>
  <c r="AJ20" i="32"/>
  <c r="AI21" i="32"/>
  <c r="AI22" i="32" s="1"/>
  <c r="M9" i="30"/>
  <c r="L10" i="30"/>
  <c r="L11" i="30" s="1"/>
  <c r="L23" i="30" s="1"/>
  <c r="M21" i="30"/>
  <c r="M22" i="30" s="1"/>
  <c r="N20" i="30"/>
  <c r="BF20" i="30"/>
  <c r="BE21" i="30"/>
  <c r="BE22" i="30" s="1"/>
  <c r="AJ20" i="30"/>
  <c r="AI21" i="30"/>
  <c r="AI22" i="30" s="1"/>
  <c r="AT10" i="30"/>
  <c r="AT11" i="30" s="1"/>
  <c r="AU9" i="30"/>
  <c r="W9" i="30"/>
  <c r="V10" i="30"/>
  <c r="V11" i="30" s="1"/>
  <c r="AH10" i="30"/>
  <c r="AH11" i="30" s="1"/>
  <c r="AH23" i="30" s="1"/>
  <c r="J25" i="30" s="1"/>
  <c r="AI9" i="30"/>
  <c r="V21" i="30"/>
  <c r="V22" i="30" s="1"/>
  <c r="W20" i="30"/>
  <c r="BF9" i="30"/>
  <c r="BE10" i="30"/>
  <c r="BE11" i="30" s="1"/>
  <c r="AT20" i="30"/>
  <c r="AS21" i="30"/>
  <c r="AS22" i="30" s="1"/>
  <c r="AS23" i="30" s="1"/>
  <c r="I26" i="30" s="1"/>
  <c r="AS20" i="29"/>
  <c r="AR21" i="29"/>
  <c r="AR22" i="29" s="1"/>
  <c r="AR23" i="29" s="1"/>
  <c r="H26" i="29" s="1"/>
  <c r="AS9" i="29"/>
  <c r="AR10" i="29"/>
  <c r="AR11" i="29" s="1"/>
  <c r="T23" i="29"/>
  <c r="H24" i="29" s="1"/>
  <c r="BE9" i="29"/>
  <c r="BD10" i="29"/>
  <c r="BD11" i="29" s="1"/>
  <c r="BD23" i="29" s="1"/>
  <c r="H27" i="29" s="1"/>
  <c r="AF10" i="29"/>
  <c r="AF11" i="29" s="1"/>
  <c r="AF23" i="29" s="1"/>
  <c r="H25" i="29" s="1"/>
  <c r="AG9" i="29"/>
  <c r="W9" i="29"/>
  <c r="V10" i="29"/>
  <c r="V11" i="29" s="1"/>
  <c r="BF20" i="29"/>
  <c r="BE21" i="29"/>
  <c r="BE22" i="29" s="1"/>
  <c r="I20" i="29"/>
  <c r="H21" i="29"/>
  <c r="H22" i="29" s="1"/>
  <c r="H23" i="29" s="1"/>
  <c r="H10" i="29"/>
  <c r="H11" i="29" s="1"/>
  <c r="I9" i="29"/>
  <c r="U21" i="29"/>
  <c r="U22" i="29" s="1"/>
  <c r="U23" i="29" s="1"/>
  <c r="I24" i="29" s="1"/>
  <c r="V20" i="29"/>
  <c r="AG21" i="29"/>
  <c r="AG22" i="29" s="1"/>
  <c r="AH20" i="29"/>
  <c r="H36" i="8"/>
  <c r="G36" i="8"/>
  <c r="H35" i="8"/>
  <c r="G35" i="8"/>
  <c r="H33" i="8"/>
  <c r="B33" i="8"/>
  <c r="H32" i="8"/>
  <c r="B32" i="8"/>
  <c r="A32" i="8"/>
  <c r="H36" i="7"/>
  <c r="G36" i="7"/>
  <c r="H35" i="7"/>
  <c r="G35" i="7"/>
  <c r="H33" i="7"/>
  <c r="B33" i="7"/>
  <c r="H32" i="7"/>
  <c r="B32" i="7"/>
  <c r="A32" i="7"/>
  <c r="H36" i="3"/>
  <c r="G36" i="3"/>
  <c r="H35" i="3"/>
  <c r="G35" i="3"/>
  <c r="H33" i="3"/>
  <c r="B33" i="3"/>
  <c r="H32" i="3"/>
  <c r="B32" i="3"/>
  <c r="A32" i="3"/>
  <c r="H36" i="1"/>
  <c r="G36" i="1"/>
  <c r="H35" i="1"/>
  <c r="G35" i="1"/>
  <c r="H33" i="1"/>
  <c r="B33" i="1"/>
  <c r="H32" i="1"/>
  <c r="B32" i="1"/>
  <c r="A32" i="1"/>
  <c r="H36" i="24"/>
  <c r="G36" i="24"/>
  <c r="H35" i="24"/>
  <c r="G35" i="24"/>
  <c r="H33" i="24"/>
  <c r="B33" i="24"/>
  <c r="H32" i="24"/>
  <c r="B32" i="24"/>
  <c r="A32" i="24"/>
  <c r="H36" i="20"/>
  <c r="G36" i="20"/>
  <c r="H35" i="20"/>
  <c r="G35" i="20"/>
  <c r="H33" i="20"/>
  <c r="B33" i="20"/>
  <c r="B173" i="20" s="1"/>
  <c r="H32" i="20"/>
  <c r="B32" i="20"/>
  <c r="A32" i="20"/>
  <c r="H36" i="14"/>
  <c r="G36" i="14"/>
  <c r="H35" i="14"/>
  <c r="G35" i="14"/>
  <c r="H33" i="14"/>
  <c r="B33" i="14"/>
  <c r="H32" i="14"/>
  <c r="B32" i="14"/>
  <c r="A32" i="14"/>
  <c r="H36" i="13"/>
  <c r="G36" i="13"/>
  <c r="H35" i="13"/>
  <c r="G35" i="13"/>
  <c r="H33" i="13"/>
  <c r="B33" i="13"/>
  <c r="H32" i="13"/>
  <c r="B32" i="13"/>
  <c r="A32" i="13"/>
  <c r="H36" i="12"/>
  <c r="G36" i="12"/>
  <c r="H35" i="12"/>
  <c r="G35" i="12"/>
  <c r="H33" i="12"/>
  <c r="B33" i="12"/>
  <c r="H32" i="12"/>
  <c r="B32" i="12"/>
  <c r="A32" i="12"/>
  <c r="H36" i="11"/>
  <c r="G36" i="11"/>
  <c r="H35" i="11"/>
  <c r="G35" i="11"/>
  <c r="H33" i="11"/>
  <c r="B33" i="11"/>
  <c r="H32" i="11"/>
  <c r="B32" i="11"/>
  <c r="A32" i="11"/>
  <c r="H36" i="10"/>
  <c r="G36" i="10"/>
  <c r="H35" i="10"/>
  <c r="G35" i="10"/>
  <c r="H33" i="10"/>
  <c r="B33" i="10"/>
  <c r="H32" i="10"/>
  <c r="B32" i="10"/>
  <c r="A32" i="10"/>
  <c r="G36" i="9"/>
  <c r="F2" i="20"/>
  <c r="G2" i="20"/>
  <c r="H2" i="20" s="1"/>
  <c r="I2" i="20" s="1"/>
  <c r="J2" i="20" s="1"/>
  <c r="K2" i="20" s="1"/>
  <c r="L2" i="20" s="1"/>
  <c r="M2" i="20" s="1"/>
  <c r="N2" i="20" s="1"/>
  <c r="O2" i="20" s="1"/>
  <c r="F3" i="20"/>
  <c r="G3" i="20" s="1"/>
  <c r="H3" i="20" s="1"/>
  <c r="I3" i="20" s="1"/>
  <c r="J3" i="20" s="1"/>
  <c r="K3" i="20" s="1"/>
  <c r="L3" i="20" s="1"/>
  <c r="M3" i="20" s="1"/>
  <c r="N3" i="20" s="1"/>
  <c r="F4" i="20"/>
  <c r="G4" i="20"/>
  <c r="H4" i="20" s="1"/>
  <c r="I4" i="20" s="1"/>
  <c r="J4" i="20" s="1"/>
  <c r="K4" i="20" s="1"/>
  <c r="L4" i="20" s="1"/>
  <c r="M4" i="20" s="1"/>
  <c r="N4" i="20" s="1"/>
  <c r="O4" i="20" s="1"/>
  <c r="F5" i="20"/>
  <c r="G5" i="20" s="1"/>
  <c r="H5" i="20" s="1"/>
  <c r="I5" i="20" s="1"/>
  <c r="J5" i="20" s="1"/>
  <c r="K5" i="20" s="1"/>
  <c r="L5" i="20" s="1"/>
  <c r="M5" i="20" s="1"/>
  <c r="N5" i="20" s="1"/>
  <c r="O5" i="20" s="1"/>
  <c r="F6" i="20"/>
  <c r="G6" i="20" s="1"/>
  <c r="H6" i="20" s="1"/>
  <c r="I6" i="20" s="1"/>
  <c r="J6" i="20" s="1"/>
  <c r="K6" i="20" s="1"/>
  <c r="L6" i="20" s="1"/>
  <c r="M6" i="20" s="1"/>
  <c r="N6" i="20" s="1"/>
  <c r="O6" i="20" s="1"/>
  <c r="F7" i="20"/>
  <c r="G7" i="20"/>
  <c r="H7" i="20"/>
  <c r="I7" i="20" s="1"/>
  <c r="J7" i="20" s="1"/>
  <c r="K7" i="20" s="1"/>
  <c r="L7" i="20" s="1"/>
  <c r="M7" i="20" s="1"/>
  <c r="N7" i="20" s="1"/>
  <c r="F8" i="20"/>
  <c r="G8" i="20"/>
  <c r="H8" i="20" s="1"/>
  <c r="I8" i="20" s="1"/>
  <c r="J8" i="20" s="1"/>
  <c r="K8" i="20" s="1"/>
  <c r="L8" i="20" s="1"/>
  <c r="M8" i="20" s="1"/>
  <c r="N8" i="20" s="1"/>
  <c r="O8" i="20" s="1"/>
  <c r="F9" i="20"/>
  <c r="G9" i="20" s="1"/>
  <c r="F13" i="20"/>
  <c r="G13" i="20"/>
  <c r="H13" i="20" s="1"/>
  <c r="I13" i="20" s="1"/>
  <c r="J13" i="20" s="1"/>
  <c r="K13" i="20" s="1"/>
  <c r="L13" i="20" s="1"/>
  <c r="M13" i="20" s="1"/>
  <c r="N13" i="20" s="1"/>
  <c r="O13" i="20" s="1"/>
  <c r="F14" i="20"/>
  <c r="G14" i="20" s="1"/>
  <c r="H14" i="20" s="1"/>
  <c r="I14" i="20" s="1"/>
  <c r="J14" i="20" s="1"/>
  <c r="K14" i="20" s="1"/>
  <c r="L14" i="20" s="1"/>
  <c r="M14" i="20" s="1"/>
  <c r="N14" i="20" s="1"/>
  <c r="F15" i="20"/>
  <c r="G15" i="20" s="1"/>
  <c r="H15" i="20" s="1"/>
  <c r="I15" i="20" s="1"/>
  <c r="J15" i="20" s="1"/>
  <c r="K15" i="20" s="1"/>
  <c r="L15" i="20" s="1"/>
  <c r="M15" i="20" s="1"/>
  <c r="N15" i="20" s="1"/>
  <c r="O15" i="20" s="1"/>
  <c r="F16" i="20"/>
  <c r="G16" i="20" s="1"/>
  <c r="H16" i="20" s="1"/>
  <c r="I16" i="20" s="1"/>
  <c r="J16" i="20" s="1"/>
  <c r="K16" i="20" s="1"/>
  <c r="L16" i="20" s="1"/>
  <c r="M16" i="20" s="1"/>
  <c r="N16" i="20" s="1"/>
  <c r="O16" i="20" s="1"/>
  <c r="F17" i="20"/>
  <c r="G17" i="20"/>
  <c r="H17" i="20" s="1"/>
  <c r="I17" i="20" s="1"/>
  <c r="J17" i="20" s="1"/>
  <c r="K17" i="20" s="1"/>
  <c r="L17" i="20" s="1"/>
  <c r="M17" i="20" s="1"/>
  <c r="N17" i="20" s="1"/>
  <c r="O17" i="20" s="1"/>
  <c r="F18" i="20"/>
  <c r="G18" i="20" s="1"/>
  <c r="H18" i="20" s="1"/>
  <c r="I18" i="20" s="1"/>
  <c r="J18" i="20" s="1"/>
  <c r="K18" i="20" s="1"/>
  <c r="L18" i="20" s="1"/>
  <c r="M18" i="20" s="1"/>
  <c r="N18" i="20" s="1"/>
  <c r="O18" i="20" s="1"/>
  <c r="F19" i="20"/>
  <c r="G19" i="20"/>
  <c r="H19" i="20" s="1"/>
  <c r="I19" i="20" s="1"/>
  <c r="J19" i="20" s="1"/>
  <c r="K19" i="20" s="1"/>
  <c r="L19" i="20" s="1"/>
  <c r="M19" i="20" s="1"/>
  <c r="N19" i="20" s="1"/>
  <c r="O19" i="20" s="1"/>
  <c r="F20" i="20"/>
  <c r="G20" i="20" s="1"/>
  <c r="H20" i="20" s="1"/>
  <c r="I20" i="20" s="1"/>
  <c r="J20" i="20" s="1"/>
  <c r="K20" i="20" s="1"/>
  <c r="L20" i="20" s="1"/>
  <c r="M20" i="20" s="1"/>
  <c r="N20" i="20" s="1"/>
  <c r="E10" i="20"/>
  <c r="E11" i="20" s="1"/>
  <c r="R13" i="24"/>
  <c r="S13" i="24"/>
  <c r="T13" i="24" s="1"/>
  <c r="U13" i="24" s="1"/>
  <c r="V13" i="24" s="1"/>
  <c r="W13" i="24" s="1"/>
  <c r="X13" i="24" s="1"/>
  <c r="Y13" i="24" s="1"/>
  <c r="Z13" i="24" s="1"/>
  <c r="AA13" i="24" s="1"/>
  <c r="R14" i="24"/>
  <c r="S14" i="24" s="1"/>
  <c r="T14" i="24" s="1"/>
  <c r="U14" i="24" s="1"/>
  <c r="V14" i="24" s="1"/>
  <c r="W14" i="24" s="1"/>
  <c r="X14" i="24" s="1"/>
  <c r="Y14" i="24" s="1"/>
  <c r="Z14" i="24" s="1"/>
  <c r="AA14" i="24" s="1"/>
  <c r="R15" i="24"/>
  <c r="S15" i="24"/>
  <c r="T15" i="24" s="1"/>
  <c r="U15" i="24" s="1"/>
  <c r="V15" i="24" s="1"/>
  <c r="W15" i="24" s="1"/>
  <c r="X15" i="24" s="1"/>
  <c r="Y15" i="24" s="1"/>
  <c r="Z15" i="24" s="1"/>
  <c r="AA15" i="24" s="1"/>
  <c r="R16" i="24"/>
  <c r="S16" i="24"/>
  <c r="T16" i="24"/>
  <c r="U16" i="24" s="1"/>
  <c r="V16" i="24" s="1"/>
  <c r="W16" i="24" s="1"/>
  <c r="X16" i="24" s="1"/>
  <c r="Y16" i="24" s="1"/>
  <c r="Z16" i="24" s="1"/>
  <c r="AA16" i="24" s="1"/>
  <c r="R17" i="24"/>
  <c r="S17" i="24" s="1"/>
  <c r="T17" i="24" s="1"/>
  <c r="U17" i="24" s="1"/>
  <c r="V17" i="24" s="1"/>
  <c r="W17" i="24" s="1"/>
  <c r="X17" i="24" s="1"/>
  <c r="Y17" i="24" s="1"/>
  <c r="Z17" i="24" s="1"/>
  <c r="AA17" i="24" s="1"/>
  <c r="R18" i="24"/>
  <c r="S18" i="24"/>
  <c r="T18" i="24" s="1"/>
  <c r="U18" i="24" s="1"/>
  <c r="V18" i="24" s="1"/>
  <c r="W18" i="24" s="1"/>
  <c r="X18" i="24" s="1"/>
  <c r="Y18" i="24" s="1"/>
  <c r="Z18" i="24" s="1"/>
  <c r="AA18" i="24" s="1"/>
  <c r="R19" i="24"/>
  <c r="S19" i="24" s="1"/>
  <c r="T19" i="24" s="1"/>
  <c r="U19" i="24" s="1"/>
  <c r="V19" i="24" s="1"/>
  <c r="W19" i="24" s="1"/>
  <c r="X19" i="24" s="1"/>
  <c r="Y19" i="24" s="1"/>
  <c r="Z19" i="24" s="1"/>
  <c r="AA19" i="24" s="1"/>
  <c r="R20" i="24"/>
  <c r="S20" i="24" s="1"/>
  <c r="T20" i="24" s="1"/>
  <c r="U20" i="24" s="1"/>
  <c r="V20" i="24" s="1"/>
  <c r="W20" i="24" s="1"/>
  <c r="X20" i="24" s="1"/>
  <c r="G15" i="24"/>
  <c r="H15" i="24"/>
  <c r="I15" i="24"/>
  <c r="J15" i="24" s="1"/>
  <c r="K15" i="24" s="1"/>
  <c r="L15" i="24" s="1"/>
  <c r="M15" i="24" s="1"/>
  <c r="N15" i="24" s="1"/>
  <c r="O15" i="24" s="1"/>
  <c r="G16" i="24"/>
  <c r="H16" i="24"/>
  <c r="I16" i="24" s="1"/>
  <c r="J16" i="24" s="1"/>
  <c r="K16" i="24" s="1"/>
  <c r="L16" i="24" s="1"/>
  <c r="M16" i="24" s="1"/>
  <c r="N16" i="24" s="1"/>
  <c r="O16" i="24" s="1"/>
  <c r="H17" i="24"/>
  <c r="I17" i="24" s="1"/>
  <c r="J17" i="24" s="1"/>
  <c r="K17" i="24" s="1"/>
  <c r="L17" i="24" s="1"/>
  <c r="M17" i="24" s="1"/>
  <c r="N17" i="24" s="1"/>
  <c r="O17" i="24" s="1"/>
  <c r="H18" i="24"/>
  <c r="I18" i="24" s="1"/>
  <c r="J18" i="24" s="1"/>
  <c r="K18" i="24" s="1"/>
  <c r="L18" i="24" s="1"/>
  <c r="M18" i="24" s="1"/>
  <c r="N18" i="24" s="1"/>
  <c r="O18" i="24" s="1"/>
  <c r="G19" i="24"/>
  <c r="H19" i="24" s="1"/>
  <c r="I19" i="24" s="1"/>
  <c r="J19" i="24" s="1"/>
  <c r="K19" i="24" s="1"/>
  <c r="L19" i="24" s="1"/>
  <c r="M19" i="24" s="1"/>
  <c r="N19" i="24" s="1"/>
  <c r="O19" i="24" s="1"/>
  <c r="G13" i="24"/>
  <c r="H13" i="24" s="1"/>
  <c r="I13" i="24" s="1"/>
  <c r="J13" i="24" s="1"/>
  <c r="K13" i="24" s="1"/>
  <c r="L13" i="24" s="1"/>
  <c r="M13" i="24" s="1"/>
  <c r="N13" i="24" s="1"/>
  <c r="O13" i="24" s="1"/>
  <c r="B241" i="24"/>
  <c r="H239" i="24"/>
  <c r="H238" i="24"/>
  <c r="H237" i="24"/>
  <c r="H236" i="24"/>
  <c r="H235" i="24"/>
  <c r="B234" i="24"/>
  <c r="A234" i="24"/>
  <c r="H233" i="24"/>
  <c r="A233" i="24"/>
  <c r="H232" i="24"/>
  <c r="B232" i="24"/>
  <c r="A232" i="24"/>
  <c r="B221" i="24"/>
  <c r="H219" i="24"/>
  <c r="H218" i="24"/>
  <c r="H217" i="24"/>
  <c r="H216" i="24"/>
  <c r="H215" i="24"/>
  <c r="B214" i="24"/>
  <c r="A214" i="24"/>
  <c r="H213" i="24"/>
  <c r="A213" i="24"/>
  <c r="H212" i="24"/>
  <c r="B212" i="24"/>
  <c r="A212" i="24"/>
  <c r="B201" i="24"/>
  <c r="H199" i="24"/>
  <c r="H198" i="24"/>
  <c r="H197" i="24"/>
  <c r="H196" i="24"/>
  <c r="H195" i="24"/>
  <c r="B194" i="24"/>
  <c r="A194" i="24"/>
  <c r="H193" i="24"/>
  <c r="A193" i="24"/>
  <c r="H192" i="24"/>
  <c r="B192" i="24"/>
  <c r="A192" i="24"/>
  <c r="B181" i="24"/>
  <c r="H179" i="24"/>
  <c r="H178" i="24"/>
  <c r="H177" i="24"/>
  <c r="H176" i="24"/>
  <c r="H175" i="24"/>
  <c r="B174" i="24"/>
  <c r="A174" i="24"/>
  <c r="H173" i="24"/>
  <c r="A173" i="24"/>
  <c r="H172" i="24"/>
  <c r="B172" i="24"/>
  <c r="A172" i="24"/>
  <c r="B161" i="24"/>
  <c r="H159" i="24"/>
  <c r="H158" i="24"/>
  <c r="H157" i="24"/>
  <c r="H156" i="24"/>
  <c r="H155" i="24"/>
  <c r="B154" i="24"/>
  <c r="A154" i="24"/>
  <c r="H153" i="24"/>
  <c r="A153" i="24"/>
  <c r="H152" i="24"/>
  <c r="B152" i="24"/>
  <c r="A152" i="24"/>
  <c r="B141" i="24"/>
  <c r="H139" i="24"/>
  <c r="H138" i="24"/>
  <c r="H137" i="24"/>
  <c r="H136" i="24"/>
  <c r="H135" i="24"/>
  <c r="B134" i="24"/>
  <c r="A134" i="24"/>
  <c r="H133" i="24"/>
  <c r="A133" i="24"/>
  <c r="H132" i="24"/>
  <c r="B132" i="24"/>
  <c r="A132" i="24"/>
  <c r="B121" i="24"/>
  <c r="H119" i="24"/>
  <c r="H118" i="24"/>
  <c r="H117" i="24"/>
  <c r="H116" i="24"/>
  <c r="H115" i="24"/>
  <c r="B114" i="24"/>
  <c r="A114" i="24"/>
  <c r="H113" i="24"/>
  <c r="A113" i="24"/>
  <c r="H112" i="24"/>
  <c r="B112" i="24"/>
  <c r="A112" i="24"/>
  <c r="B101" i="24"/>
  <c r="H99" i="24"/>
  <c r="H98" i="24"/>
  <c r="H97" i="24"/>
  <c r="H96" i="24"/>
  <c r="H95" i="24"/>
  <c r="B94" i="24"/>
  <c r="A94" i="24"/>
  <c r="H93" i="24"/>
  <c r="A93" i="24"/>
  <c r="H92" i="24"/>
  <c r="B92" i="24"/>
  <c r="A92" i="24"/>
  <c r="B81" i="24"/>
  <c r="H79" i="24"/>
  <c r="H78" i="24"/>
  <c r="H77" i="24"/>
  <c r="H76" i="24"/>
  <c r="H75" i="24"/>
  <c r="B74" i="24"/>
  <c r="A74" i="24"/>
  <c r="H73" i="24"/>
  <c r="A73" i="24"/>
  <c r="H72" i="24"/>
  <c r="B72" i="24"/>
  <c r="A72" i="24"/>
  <c r="B61" i="24"/>
  <c r="A61" i="24"/>
  <c r="H59" i="24"/>
  <c r="H58" i="24"/>
  <c r="H57" i="24"/>
  <c r="H56" i="24"/>
  <c r="H55" i="24"/>
  <c r="B54" i="24"/>
  <c r="A54" i="24"/>
  <c r="H53" i="24"/>
  <c r="A53" i="24"/>
  <c r="H52" i="24"/>
  <c r="B52" i="24"/>
  <c r="A52" i="24"/>
  <c r="B193" i="24"/>
  <c r="BA22" i="24"/>
  <c r="BA21" i="24"/>
  <c r="AO21" i="24"/>
  <c r="AO22" i="24" s="1"/>
  <c r="AC21" i="24"/>
  <c r="AC22" i="24" s="1"/>
  <c r="Q21" i="24"/>
  <c r="Q22" i="24" s="1"/>
  <c r="E21" i="24"/>
  <c r="E22" i="24" s="1"/>
  <c r="BC20" i="24"/>
  <c r="BB20" i="24"/>
  <c r="BB21" i="24" s="1"/>
  <c r="BB22" i="24" s="1"/>
  <c r="AP20" i="24"/>
  <c r="AP21" i="24" s="1"/>
  <c r="AP22" i="24" s="1"/>
  <c r="AD20" i="24"/>
  <c r="AE20" i="24" s="1"/>
  <c r="I20" i="24"/>
  <c r="H20" i="24"/>
  <c r="BG19" i="24"/>
  <c r="BH19" i="24" s="1"/>
  <c r="BI19" i="24" s="1"/>
  <c r="BJ19" i="24" s="1"/>
  <c r="BK19" i="24" s="1"/>
  <c r="BE19" i="24"/>
  <c r="BF19" i="24" s="1"/>
  <c r="BC19" i="24"/>
  <c r="BD19" i="24" s="1"/>
  <c r="BB19" i="24"/>
  <c r="AP19" i="24"/>
  <c r="AQ19" i="24" s="1"/>
  <c r="AR19" i="24" s="1"/>
  <c r="AS19" i="24" s="1"/>
  <c r="AT19" i="24" s="1"/>
  <c r="AU19" i="24" s="1"/>
  <c r="AV19" i="24" s="1"/>
  <c r="AW19" i="24" s="1"/>
  <c r="AX19" i="24" s="1"/>
  <c r="AY19" i="24" s="1"/>
  <c r="AD19" i="24"/>
  <c r="AD21" i="24" s="1"/>
  <c r="AD22" i="24" s="1"/>
  <c r="BE18" i="24"/>
  <c r="BF18" i="24" s="1"/>
  <c r="BG18" i="24" s="1"/>
  <c r="BH18" i="24" s="1"/>
  <c r="BI18" i="24" s="1"/>
  <c r="BJ18" i="24" s="1"/>
  <c r="BK18" i="24" s="1"/>
  <c r="BC18" i="24"/>
  <c r="BD18" i="24" s="1"/>
  <c r="BB18" i="24"/>
  <c r="AW18" i="24"/>
  <c r="AX18" i="24" s="1"/>
  <c r="AY18" i="24" s="1"/>
  <c r="AP18" i="24"/>
  <c r="AQ18" i="24" s="1"/>
  <c r="AR18" i="24" s="1"/>
  <c r="AS18" i="24" s="1"/>
  <c r="AT18" i="24" s="1"/>
  <c r="AU18" i="24" s="1"/>
  <c r="AV18" i="24" s="1"/>
  <c r="AK18" i="24"/>
  <c r="AL18" i="24" s="1"/>
  <c r="AM18" i="24" s="1"/>
  <c r="AI18" i="24"/>
  <c r="AJ18" i="24" s="1"/>
  <c r="AE18" i="24"/>
  <c r="AF18" i="24" s="1"/>
  <c r="AG18" i="24" s="1"/>
  <c r="AH18" i="24" s="1"/>
  <c r="AD18" i="24"/>
  <c r="BC17" i="24"/>
  <c r="BD17" i="24" s="1"/>
  <c r="BE17" i="24" s="1"/>
  <c r="BF17" i="24" s="1"/>
  <c r="BG17" i="24" s="1"/>
  <c r="BH17" i="24" s="1"/>
  <c r="BI17" i="24" s="1"/>
  <c r="BJ17" i="24" s="1"/>
  <c r="BK17" i="24" s="1"/>
  <c r="BB17" i="24"/>
  <c r="AU17" i="24"/>
  <c r="AV17" i="24" s="1"/>
  <c r="AW17" i="24" s="1"/>
  <c r="AX17" i="24" s="1"/>
  <c r="AY17" i="24" s="1"/>
  <c r="AS17" i="24"/>
  <c r="AT17" i="24" s="1"/>
  <c r="AP17" i="24"/>
  <c r="AQ17" i="24" s="1"/>
  <c r="AR17" i="24" s="1"/>
  <c r="AI17" i="24"/>
  <c r="AJ17" i="24" s="1"/>
  <c r="AK17" i="24" s="1"/>
  <c r="AL17" i="24" s="1"/>
  <c r="AM17" i="24" s="1"/>
  <c r="AE17" i="24"/>
  <c r="AF17" i="24" s="1"/>
  <c r="AG17" i="24" s="1"/>
  <c r="AH17" i="24" s="1"/>
  <c r="AD17" i="24"/>
  <c r="BC16" i="24"/>
  <c r="BD16" i="24" s="1"/>
  <c r="BE16" i="24" s="1"/>
  <c r="BF16" i="24" s="1"/>
  <c r="BG16" i="24" s="1"/>
  <c r="BH16" i="24" s="1"/>
  <c r="BI16" i="24" s="1"/>
  <c r="BJ16" i="24" s="1"/>
  <c r="BK16" i="24" s="1"/>
  <c r="BB16" i="24"/>
  <c r="AS16" i="24"/>
  <c r="AT16" i="24" s="1"/>
  <c r="AU16" i="24" s="1"/>
  <c r="AV16" i="24" s="1"/>
  <c r="AW16" i="24" s="1"/>
  <c r="AX16" i="24" s="1"/>
  <c r="AY16" i="24" s="1"/>
  <c r="AP16" i="24"/>
  <c r="AQ16" i="24" s="1"/>
  <c r="AR16" i="24" s="1"/>
  <c r="AD16" i="24"/>
  <c r="AE16" i="24" s="1"/>
  <c r="AF16" i="24" s="1"/>
  <c r="AG16" i="24" s="1"/>
  <c r="AH16" i="24" s="1"/>
  <c r="AI16" i="24" s="1"/>
  <c r="AJ16" i="24" s="1"/>
  <c r="AK16" i="24" s="1"/>
  <c r="AL16" i="24" s="1"/>
  <c r="AM16" i="24" s="1"/>
  <c r="BC15" i="24"/>
  <c r="BD15" i="24" s="1"/>
  <c r="BE15" i="24" s="1"/>
  <c r="BF15" i="24" s="1"/>
  <c r="BG15" i="24" s="1"/>
  <c r="BH15" i="24" s="1"/>
  <c r="BI15" i="24" s="1"/>
  <c r="BJ15" i="24" s="1"/>
  <c r="BK15" i="24" s="1"/>
  <c r="BB15" i="24"/>
  <c r="AP15" i="24"/>
  <c r="AQ15" i="24" s="1"/>
  <c r="AR15" i="24" s="1"/>
  <c r="AS15" i="24" s="1"/>
  <c r="AT15" i="24" s="1"/>
  <c r="AU15" i="24" s="1"/>
  <c r="AV15" i="24" s="1"/>
  <c r="AW15" i="24" s="1"/>
  <c r="AX15" i="24" s="1"/>
  <c r="AY15" i="24" s="1"/>
  <c r="AE15" i="24"/>
  <c r="AF15" i="24" s="1"/>
  <c r="AG15" i="24" s="1"/>
  <c r="AH15" i="24" s="1"/>
  <c r="AI15" i="24" s="1"/>
  <c r="AJ15" i="24" s="1"/>
  <c r="AK15" i="24" s="1"/>
  <c r="AL15" i="24" s="1"/>
  <c r="AM15" i="24" s="1"/>
  <c r="AD15" i="24"/>
  <c r="BE14" i="24"/>
  <c r="BF14" i="24" s="1"/>
  <c r="BG14" i="24" s="1"/>
  <c r="BH14" i="24" s="1"/>
  <c r="BI14" i="24" s="1"/>
  <c r="BJ14" i="24" s="1"/>
  <c r="BK14" i="24" s="1"/>
  <c r="BC14" i="24"/>
  <c r="BD14" i="24" s="1"/>
  <c r="BB14" i="24"/>
  <c r="AU14" i="24"/>
  <c r="AV14" i="24" s="1"/>
  <c r="AW14" i="24" s="1"/>
  <c r="AX14" i="24" s="1"/>
  <c r="AY14" i="24" s="1"/>
  <c r="AS14" i="24"/>
  <c r="AT14" i="24" s="1"/>
  <c r="AQ14" i="24"/>
  <c r="AR14" i="24" s="1"/>
  <c r="AP14" i="24"/>
  <c r="AK14" i="24"/>
  <c r="AL14" i="24" s="1"/>
  <c r="AM14" i="24" s="1"/>
  <c r="AD14" i="24"/>
  <c r="AE14" i="24" s="1"/>
  <c r="AF14" i="24" s="1"/>
  <c r="AG14" i="24" s="1"/>
  <c r="AH14" i="24" s="1"/>
  <c r="AI14" i="24" s="1"/>
  <c r="AJ14" i="24" s="1"/>
  <c r="F14" i="24"/>
  <c r="BE13" i="24"/>
  <c r="BF13" i="24" s="1"/>
  <c r="BG13" i="24" s="1"/>
  <c r="BH13" i="24" s="1"/>
  <c r="BI13" i="24" s="1"/>
  <c r="BJ13" i="24" s="1"/>
  <c r="BK13" i="24" s="1"/>
  <c r="BC13" i="24"/>
  <c r="BD13" i="24" s="1"/>
  <c r="BB13" i="24"/>
  <c r="AU13" i="24"/>
  <c r="AV13" i="24" s="1"/>
  <c r="AW13" i="24" s="1"/>
  <c r="AX13" i="24" s="1"/>
  <c r="AY13" i="24" s="1"/>
  <c r="AS13" i="24"/>
  <c r="AT13" i="24" s="1"/>
  <c r="AP13" i="24"/>
  <c r="AQ13" i="24" s="1"/>
  <c r="AR13" i="24" s="1"/>
  <c r="AK13" i="24"/>
  <c r="AL13" i="24" s="1"/>
  <c r="AM13" i="24" s="1"/>
  <c r="AI13" i="24"/>
  <c r="AJ13" i="24" s="1"/>
  <c r="AE13" i="24"/>
  <c r="AF13" i="24" s="1"/>
  <c r="AG13" i="24" s="1"/>
  <c r="AH13" i="24" s="1"/>
  <c r="AD13" i="24"/>
  <c r="BB10" i="24"/>
  <c r="BB11" i="24" s="1"/>
  <c r="BA10" i="24"/>
  <c r="BA11" i="24" s="1"/>
  <c r="AO10" i="24"/>
  <c r="AO11" i="24" s="1"/>
  <c r="AC10" i="24"/>
  <c r="AC11" i="24" s="1"/>
  <c r="Q10" i="24"/>
  <c r="Q11" i="24" s="1"/>
  <c r="E10" i="24"/>
  <c r="E11" i="24" s="1"/>
  <c r="BE9" i="24"/>
  <c r="BF9" i="24" s="1"/>
  <c r="BD9" i="24"/>
  <c r="BC9" i="24"/>
  <c r="BB9" i="24"/>
  <c r="AQ9" i="24"/>
  <c r="AP9" i="24"/>
  <c r="AP10" i="24" s="1"/>
  <c r="AP11" i="24" s="1"/>
  <c r="AD9" i="24"/>
  <c r="AE9" i="24" s="1"/>
  <c r="S9" i="24"/>
  <c r="T9" i="24" s="1"/>
  <c r="R9" i="24"/>
  <c r="I9" i="24"/>
  <c r="H9" i="24"/>
  <c r="BI8" i="24"/>
  <c r="BJ8" i="24" s="1"/>
  <c r="BK8" i="24" s="1"/>
  <c r="BE8" i="24"/>
  <c r="BF8" i="24" s="1"/>
  <c r="BG8" i="24" s="1"/>
  <c r="BH8" i="24" s="1"/>
  <c r="BD8" i="24"/>
  <c r="BC8" i="24"/>
  <c r="BB8" i="24"/>
  <c r="AQ8" i="24"/>
  <c r="AR8" i="24" s="1"/>
  <c r="AS8" i="24" s="1"/>
  <c r="AT8" i="24" s="1"/>
  <c r="AU8" i="24" s="1"/>
  <c r="AV8" i="24" s="1"/>
  <c r="AW8" i="24" s="1"/>
  <c r="AX8" i="24" s="1"/>
  <c r="AY8" i="24" s="1"/>
  <c r="AP8" i="24"/>
  <c r="AG8" i="24"/>
  <c r="AH8" i="24" s="1"/>
  <c r="AI8" i="24" s="1"/>
  <c r="AJ8" i="24" s="1"/>
  <c r="AK8" i="24" s="1"/>
  <c r="AL8" i="24" s="1"/>
  <c r="AM8" i="24" s="1"/>
  <c r="AD8" i="24"/>
  <c r="AE8" i="24" s="1"/>
  <c r="AF8" i="24" s="1"/>
  <c r="S8" i="24"/>
  <c r="T8" i="24" s="1"/>
  <c r="U8" i="24" s="1"/>
  <c r="V8" i="24" s="1"/>
  <c r="W8" i="24" s="1"/>
  <c r="X8" i="24" s="1"/>
  <c r="Y8" i="24" s="1"/>
  <c r="Z8" i="24" s="1"/>
  <c r="AA8" i="24" s="1"/>
  <c r="R8" i="24"/>
  <c r="I8" i="24"/>
  <c r="J8" i="24" s="1"/>
  <c r="K8" i="24" s="1"/>
  <c r="L8" i="24" s="1"/>
  <c r="M8" i="24" s="1"/>
  <c r="N8" i="24" s="1"/>
  <c r="O8" i="24" s="1"/>
  <c r="H8" i="24"/>
  <c r="BI7" i="24"/>
  <c r="BJ7" i="24" s="1"/>
  <c r="BK7" i="24" s="1"/>
  <c r="BE7" i="24"/>
  <c r="BF7" i="24" s="1"/>
  <c r="BG7" i="24" s="1"/>
  <c r="BH7" i="24" s="1"/>
  <c r="BD7" i="24"/>
  <c r="BC7" i="24"/>
  <c r="BB7" i="24"/>
  <c r="AQ7" i="24"/>
  <c r="AR7" i="24" s="1"/>
  <c r="AS7" i="24" s="1"/>
  <c r="AT7" i="24" s="1"/>
  <c r="AU7" i="24" s="1"/>
  <c r="AV7" i="24" s="1"/>
  <c r="AW7" i="24" s="1"/>
  <c r="AX7" i="24" s="1"/>
  <c r="AY7" i="24" s="1"/>
  <c r="AP7" i="24"/>
  <c r="AD7" i="24"/>
  <c r="AE7" i="24" s="1"/>
  <c r="AF7" i="24" s="1"/>
  <c r="AG7" i="24" s="1"/>
  <c r="AH7" i="24" s="1"/>
  <c r="AI7" i="24" s="1"/>
  <c r="AJ7" i="24" s="1"/>
  <c r="AK7" i="24" s="1"/>
  <c r="AL7" i="24" s="1"/>
  <c r="AM7" i="24" s="1"/>
  <c r="S7" i="24"/>
  <c r="T7" i="24" s="1"/>
  <c r="U7" i="24" s="1"/>
  <c r="V7" i="24" s="1"/>
  <c r="W7" i="24" s="1"/>
  <c r="X7" i="24" s="1"/>
  <c r="Y7" i="24" s="1"/>
  <c r="Z7" i="24" s="1"/>
  <c r="AA7" i="24" s="1"/>
  <c r="R7" i="24"/>
  <c r="K7" i="24"/>
  <c r="L7" i="24" s="1"/>
  <c r="M7" i="24" s="1"/>
  <c r="N7" i="24" s="1"/>
  <c r="O7" i="24" s="1"/>
  <c r="BI6" i="24"/>
  <c r="BJ6" i="24" s="1"/>
  <c r="BK6" i="24" s="1"/>
  <c r="BE6" i="24"/>
  <c r="BF6" i="24" s="1"/>
  <c r="BG6" i="24" s="1"/>
  <c r="BH6" i="24" s="1"/>
  <c r="BD6" i="24"/>
  <c r="BC6" i="24"/>
  <c r="BB6" i="24"/>
  <c r="AQ6" i="24"/>
  <c r="AR6" i="24" s="1"/>
  <c r="AS6" i="24" s="1"/>
  <c r="AT6" i="24" s="1"/>
  <c r="AU6" i="24" s="1"/>
  <c r="AV6" i="24" s="1"/>
  <c r="AW6" i="24" s="1"/>
  <c r="AX6" i="24" s="1"/>
  <c r="AY6" i="24" s="1"/>
  <c r="AP6" i="24"/>
  <c r="AG6" i="24"/>
  <c r="AH6" i="24" s="1"/>
  <c r="AI6" i="24" s="1"/>
  <c r="AJ6" i="24" s="1"/>
  <c r="AK6" i="24" s="1"/>
  <c r="AL6" i="24" s="1"/>
  <c r="AM6" i="24" s="1"/>
  <c r="AD6" i="24"/>
  <c r="AE6" i="24" s="1"/>
  <c r="AF6" i="24" s="1"/>
  <c r="S6" i="24"/>
  <c r="T6" i="24" s="1"/>
  <c r="U6" i="24" s="1"/>
  <c r="V6" i="24" s="1"/>
  <c r="W6" i="24" s="1"/>
  <c r="X6" i="24" s="1"/>
  <c r="Y6" i="24" s="1"/>
  <c r="Z6" i="24" s="1"/>
  <c r="AA6" i="24" s="1"/>
  <c r="R6" i="24"/>
  <c r="I6" i="24"/>
  <c r="L6" i="24" s="1"/>
  <c r="M6" i="24" s="1"/>
  <c r="N6" i="24" s="1"/>
  <c r="O6" i="24" s="1"/>
  <c r="BI5" i="24"/>
  <c r="BJ5" i="24" s="1"/>
  <c r="BK5" i="24" s="1"/>
  <c r="BE5" i="24"/>
  <c r="BF5" i="24" s="1"/>
  <c r="BG5" i="24" s="1"/>
  <c r="BH5" i="24" s="1"/>
  <c r="BD5" i="24"/>
  <c r="BC5" i="24"/>
  <c r="BB5" i="24"/>
  <c r="AQ5" i="24"/>
  <c r="AR5" i="24" s="1"/>
  <c r="AS5" i="24" s="1"/>
  <c r="AT5" i="24" s="1"/>
  <c r="AU5" i="24" s="1"/>
  <c r="AV5" i="24" s="1"/>
  <c r="AW5" i="24" s="1"/>
  <c r="AX5" i="24" s="1"/>
  <c r="AY5" i="24" s="1"/>
  <c r="AP5" i="24"/>
  <c r="AD5" i="24"/>
  <c r="AE5" i="24" s="1"/>
  <c r="AF5" i="24" s="1"/>
  <c r="AG5" i="24" s="1"/>
  <c r="AH5" i="24" s="1"/>
  <c r="AI5" i="24" s="1"/>
  <c r="AJ5" i="24" s="1"/>
  <c r="AK5" i="24" s="1"/>
  <c r="AL5" i="24" s="1"/>
  <c r="AM5" i="24" s="1"/>
  <c r="R5" i="24"/>
  <c r="S5" i="24" s="1"/>
  <c r="T5" i="24" s="1"/>
  <c r="U5" i="24" s="1"/>
  <c r="V5" i="24" s="1"/>
  <c r="W5" i="24" s="1"/>
  <c r="X5" i="24" s="1"/>
  <c r="Y5" i="24" s="1"/>
  <c r="Z5" i="24" s="1"/>
  <c r="AA5" i="24" s="1"/>
  <c r="I5" i="24"/>
  <c r="J5" i="24" s="1"/>
  <c r="K5" i="24" s="1"/>
  <c r="L5" i="24" s="1"/>
  <c r="M5" i="24" s="1"/>
  <c r="N5" i="24" s="1"/>
  <c r="O5" i="24" s="1"/>
  <c r="H5" i="24"/>
  <c r="BI4" i="24"/>
  <c r="BJ4" i="24" s="1"/>
  <c r="BK4" i="24" s="1"/>
  <c r="BE4" i="24"/>
  <c r="BF4" i="24" s="1"/>
  <c r="BG4" i="24" s="1"/>
  <c r="BH4" i="24" s="1"/>
  <c r="BD4" i="24"/>
  <c r="BC4" i="24"/>
  <c r="BB4" i="24"/>
  <c r="AQ4" i="24"/>
  <c r="AR4" i="24" s="1"/>
  <c r="AS4" i="24" s="1"/>
  <c r="AT4" i="24" s="1"/>
  <c r="AU4" i="24" s="1"/>
  <c r="AV4" i="24" s="1"/>
  <c r="AW4" i="24" s="1"/>
  <c r="AX4" i="24" s="1"/>
  <c r="AY4" i="24" s="1"/>
  <c r="AP4" i="24"/>
  <c r="AD4" i="24"/>
  <c r="AE4" i="24" s="1"/>
  <c r="AF4" i="24" s="1"/>
  <c r="AG4" i="24" s="1"/>
  <c r="AH4" i="24" s="1"/>
  <c r="AI4" i="24" s="1"/>
  <c r="AJ4" i="24" s="1"/>
  <c r="AK4" i="24" s="1"/>
  <c r="AL4" i="24" s="1"/>
  <c r="AM4" i="24" s="1"/>
  <c r="R4" i="24"/>
  <c r="S4" i="24" s="1"/>
  <c r="I4" i="24"/>
  <c r="J4" i="24" s="1"/>
  <c r="K4" i="24" s="1"/>
  <c r="L4" i="24" s="1"/>
  <c r="M4" i="24" s="1"/>
  <c r="N4" i="24" s="1"/>
  <c r="O4" i="24" s="1"/>
  <c r="H4" i="24"/>
  <c r="BI3" i="24"/>
  <c r="BJ3" i="24" s="1"/>
  <c r="BK3" i="24" s="1"/>
  <c r="BE3" i="24"/>
  <c r="BF3" i="24" s="1"/>
  <c r="BG3" i="24" s="1"/>
  <c r="BH3" i="24" s="1"/>
  <c r="BD3" i="24"/>
  <c r="BC3" i="24"/>
  <c r="BB3" i="24"/>
  <c r="AQ3" i="24"/>
  <c r="AR3" i="24" s="1"/>
  <c r="AS3" i="24" s="1"/>
  <c r="AT3" i="24" s="1"/>
  <c r="AU3" i="24" s="1"/>
  <c r="AV3" i="24" s="1"/>
  <c r="AW3" i="24" s="1"/>
  <c r="AX3" i="24" s="1"/>
  <c r="AY3" i="24" s="1"/>
  <c r="AP3" i="24"/>
  <c r="AG3" i="24"/>
  <c r="AH3" i="24" s="1"/>
  <c r="AI3" i="24" s="1"/>
  <c r="AJ3" i="24" s="1"/>
  <c r="AK3" i="24" s="1"/>
  <c r="AL3" i="24" s="1"/>
  <c r="AM3" i="24" s="1"/>
  <c r="AD3" i="24"/>
  <c r="AE3" i="24" s="1"/>
  <c r="AF3" i="24" s="1"/>
  <c r="R3" i="24"/>
  <c r="S3" i="24" s="1"/>
  <c r="T3" i="24" s="1"/>
  <c r="U3" i="24" s="1"/>
  <c r="V3" i="24" s="1"/>
  <c r="W3" i="24" s="1"/>
  <c r="X3" i="24" s="1"/>
  <c r="Y3" i="24" s="1"/>
  <c r="Z3" i="24" s="1"/>
  <c r="AA3" i="24" s="1"/>
  <c r="BC2" i="24"/>
  <c r="BD2" i="24" s="1"/>
  <c r="BE2" i="24" s="1"/>
  <c r="BF2" i="24" s="1"/>
  <c r="BG2" i="24" s="1"/>
  <c r="BH2" i="24" s="1"/>
  <c r="BI2" i="24" s="1"/>
  <c r="BJ2" i="24" s="1"/>
  <c r="BK2" i="24" s="1"/>
  <c r="BB2" i="24"/>
  <c r="AP2" i="24"/>
  <c r="AQ2" i="24" s="1"/>
  <c r="AR2" i="24" s="1"/>
  <c r="AS2" i="24" s="1"/>
  <c r="AT2" i="24" s="1"/>
  <c r="AU2" i="24" s="1"/>
  <c r="AV2" i="24" s="1"/>
  <c r="AW2" i="24" s="1"/>
  <c r="AX2" i="24" s="1"/>
  <c r="AY2" i="24" s="1"/>
  <c r="AD2" i="24"/>
  <c r="AE2" i="24" s="1"/>
  <c r="AF2" i="24" s="1"/>
  <c r="AG2" i="24" s="1"/>
  <c r="AH2" i="24" s="1"/>
  <c r="AI2" i="24" s="1"/>
  <c r="AJ2" i="24" s="1"/>
  <c r="AK2" i="24" s="1"/>
  <c r="AL2" i="24" s="1"/>
  <c r="AM2" i="24" s="1"/>
  <c r="T2" i="24"/>
  <c r="U2" i="24" s="1"/>
  <c r="V2" i="24" s="1"/>
  <c r="W2" i="24" s="1"/>
  <c r="X2" i="24" s="1"/>
  <c r="Y2" i="24" s="1"/>
  <c r="Z2" i="24" s="1"/>
  <c r="AA2" i="24" s="1"/>
  <c r="S2" i="24"/>
  <c r="R2" i="24"/>
  <c r="I2" i="24"/>
  <c r="J2" i="24" s="1"/>
  <c r="K2" i="24" s="1"/>
  <c r="L2" i="24" s="1"/>
  <c r="M2" i="24" s="1"/>
  <c r="N2" i="24" s="1"/>
  <c r="O2" i="24" s="1"/>
  <c r="B241" i="20"/>
  <c r="H239" i="20"/>
  <c r="H238" i="20"/>
  <c r="H237" i="20"/>
  <c r="H236" i="20"/>
  <c r="H235" i="20"/>
  <c r="B234" i="20"/>
  <c r="A234" i="20"/>
  <c r="H233" i="20"/>
  <c r="A233" i="20"/>
  <c r="H232" i="20"/>
  <c r="B232" i="20"/>
  <c r="A232" i="20"/>
  <c r="B221" i="20"/>
  <c r="H219" i="20"/>
  <c r="H218" i="20"/>
  <c r="H217" i="20"/>
  <c r="H216" i="20"/>
  <c r="H215" i="20"/>
  <c r="B214" i="20"/>
  <c r="A214" i="20"/>
  <c r="H213" i="20"/>
  <c r="A213" i="20"/>
  <c r="H212" i="20"/>
  <c r="B212" i="20"/>
  <c r="A212" i="20"/>
  <c r="B201" i="20"/>
  <c r="H199" i="20"/>
  <c r="H198" i="20"/>
  <c r="H197" i="20"/>
  <c r="H196" i="20"/>
  <c r="H195" i="20"/>
  <c r="B194" i="20"/>
  <c r="A194" i="20"/>
  <c r="H193" i="20"/>
  <c r="A193" i="20"/>
  <c r="H192" i="20"/>
  <c r="B192" i="20"/>
  <c r="A192" i="20"/>
  <c r="B181" i="20"/>
  <c r="H179" i="20"/>
  <c r="H178" i="20"/>
  <c r="H177" i="20"/>
  <c r="H176" i="20"/>
  <c r="H175" i="20"/>
  <c r="B174" i="20"/>
  <c r="A174" i="20"/>
  <c r="H173" i="20"/>
  <c r="A173" i="20"/>
  <c r="H172" i="20"/>
  <c r="B172" i="20"/>
  <c r="A172" i="20"/>
  <c r="B161" i="20"/>
  <c r="H159" i="20"/>
  <c r="H158" i="20"/>
  <c r="H157" i="20"/>
  <c r="H156" i="20"/>
  <c r="H155" i="20"/>
  <c r="B154" i="20"/>
  <c r="A154" i="20"/>
  <c r="H153" i="20"/>
  <c r="A153" i="20"/>
  <c r="H152" i="20"/>
  <c r="B152" i="20"/>
  <c r="A152" i="20"/>
  <c r="B141" i="20"/>
  <c r="H139" i="20"/>
  <c r="H138" i="20"/>
  <c r="H137" i="20"/>
  <c r="H136" i="20"/>
  <c r="H135" i="20"/>
  <c r="B134" i="20"/>
  <c r="A134" i="20"/>
  <c r="H133" i="20"/>
  <c r="A133" i="20"/>
  <c r="H132" i="20"/>
  <c r="B132" i="20"/>
  <c r="A132" i="20"/>
  <c r="B121" i="20"/>
  <c r="H119" i="20"/>
  <c r="H118" i="20"/>
  <c r="H117" i="20"/>
  <c r="H116" i="20"/>
  <c r="H115" i="20"/>
  <c r="B114" i="20"/>
  <c r="A114" i="20"/>
  <c r="H113" i="20"/>
  <c r="A113" i="20"/>
  <c r="H112" i="20"/>
  <c r="B112" i="20"/>
  <c r="A112" i="20"/>
  <c r="B101" i="20"/>
  <c r="H99" i="20"/>
  <c r="H98" i="20"/>
  <c r="H97" i="20"/>
  <c r="H96" i="20"/>
  <c r="H95" i="20"/>
  <c r="B94" i="20"/>
  <c r="A94" i="20"/>
  <c r="H93" i="20"/>
  <c r="A93" i="20"/>
  <c r="H92" i="20"/>
  <c r="B92" i="20"/>
  <c r="A92" i="20"/>
  <c r="B81" i="20"/>
  <c r="H79" i="20"/>
  <c r="H78" i="20"/>
  <c r="H77" i="20"/>
  <c r="H76" i="20"/>
  <c r="H75" i="20"/>
  <c r="B74" i="20"/>
  <c r="A74" i="20"/>
  <c r="H73" i="20"/>
  <c r="A73" i="20"/>
  <c r="H72" i="20"/>
  <c r="B72" i="20"/>
  <c r="A72" i="20"/>
  <c r="B61" i="20"/>
  <c r="A61" i="20"/>
  <c r="H59" i="20"/>
  <c r="H58" i="20"/>
  <c r="H57" i="20"/>
  <c r="H56" i="20"/>
  <c r="H55" i="20"/>
  <c r="B54" i="20"/>
  <c r="A54" i="20"/>
  <c r="H53" i="20"/>
  <c r="A53" i="20"/>
  <c r="H52" i="20"/>
  <c r="B52" i="20"/>
  <c r="A52" i="20"/>
  <c r="BA21" i="20"/>
  <c r="BA22" i="20" s="1"/>
  <c r="AO21" i="20"/>
  <c r="AO22" i="20" s="1"/>
  <c r="AC21" i="20"/>
  <c r="AC22" i="20" s="1"/>
  <c r="Q21" i="20"/>
  <c r="Q22" i="20" s="1"/>
  <c r="E21" i="20"/>
  <c r="E22" i="20" s="1"/>
  <c r="BD20" i="20"/>
  <c r="BB20" i="20"/>
  <c r="BC20" i="20" s="1"/>
  <c r="AP20" i="20"/>
  <c r="AD20" i="20"/>
  <c r="AE20" i="20" s="1"/>
  <c r="AF20" i="20" s="1"/>
  <c r="R20" i="20"/>
  <c r="BD19" i="20"/>
  <c r="BE19" i="20" s="1"/>
  <c r="BF19" i="20" s="1"/>
  <c r="BG19" i="20" s="1"/>
  <c r="BH19" i="20" s="1"/>
  <c r="BI19" i="20" s="1"/>
  <c r="BJ19" i="20" s="1"/>
  <c r="BK19" i="20" s="1"/>
  <c r="BB19" i="20"/>
  <c r="BC19" i="20" s="1"/>
  <c r="AP19" i="20"/>
  <c r="AQ19" i="20" s="1"/>
  <c r="AR19" i="20" s="1"/>
  <c r="AS19" i="20" s="1"/>
  <c r="AT19" i="20" s="1"/>
  <c r="AU19" i="20" s="1"/>
  <c r="AV19" i="20" s="1"/>
  <c r="AW19" i="20" s="1"/>
  <c r="AX19" i="20" s="1"/>
  <c r="AY19" i="20" s="1"/>
  <c r="AD19" i="20"/>
  <c r="AE19" i="20" s="1"/>
  <c r="AF19" i="20" s="1"/>
  <c r="AG19" i="20" s="1"/>
  <c r="AH19" i="20" s="1"/>
  <c r="AI19" i="20" s="1"/>
  <c r="AJ19" i="20" s="1"/>
  <c r="AK19" i="20" s="1"/>
  <c r="AL19" i="20" s="1"/>
  <c r="AM19" i="20" s="1"/>
  <c r="R19" i="20"/>
  <c r="S19" i="20" s="1"/>
  <c r="T19" i="20" s="1"/>
  <c r="U19" i="20" s="1"/>
  <c r="V19" i="20" s="1"/>
  <c r="W19" i="20" s="1"/>
  <c r="X19" i="20" s="1"/>
  <c r="Y19" i="20" s="1"/>
  <c r="Z19" i="20" s="1"/>
  <c r="AA19" i="20" s="1"/>
  <c r="BD18" i="20"/>
  <c r="BE18" i="20" s="1"/>
  <c r="BF18" i="20" s="1"/>
  <c r="BG18" i="20" s="1"/>
  <c r="BH18" i="20" s="1"/>
  <c r="BI18" i="20" s="1"/>
  <c r="BJ18" i="20" s="1"/>
  <c r="BK18" i="20" s="1"/>
  <c r="BB18" i="20"/>
  <c r="BC18" i="20" s="1"/>
  <c r="AP18" i="20"/>
  <c r="AQ18" i="20" s="1"/>
  <c r="AR18" i="20" s="1"/>
  <c r="AS18" i="20" s="1"/>
  <c r="AT18" i="20" s="1"/>
  <c r="AU18" i="20" s="1"/>
  <c r="AV18" i="20" s="1"/>
  <c r="AW18" i="20" s="1"/>
  <c r="AX18" i="20" s="1"/>
  <c r="AY18" i="20" s="1"/>
  <c r="AE18" i="20"/>
  <c r="AF18" i="20" s="1"/>
  <c r="AG18" i="20" s="1"/>
  <c r="AH18" i="20" s="1"/>
  <c r="AI18" i="20" s="1"/>
  <c r="AJ18" i="20" s="1"/>
  <c r="AK18" i="20" s="1"/>
  <c r="AL18" i="20" s="1"/>
  <c r="AM18" i="20" s="1"/>
  <c r="AD18" i="20"/>
  <c r="R18" i="20"/>
  <c r="S18" i="20" s="1"/>
  <c r="T18" i="20" s="1"/>
  <c r="U18" i="20" s="1"/>
  <c r="V18" i="20" s="1"/>
  <c r="W18" i="20" s="1"/>
  <c r="X18" i="20" s="1"/>
  <c r="Y18" i="20" s="1"/>
  <c r="Z18" i="20" s="1"/>
  <c r="AA18" i="20" s="1"/>
  <c r="BD17" i="20"/>
  <c r="BE17" i="20" s="1"/>
  <c r="BF17" i="20" s="1"/>
  <c r="BG17" i="20" s="1"/>
  <c r="BH17" i="20" s="1"/>
  <c r="BI17" i="20" s="1"/>
  <c r="BJ17" i="20" s="1"/>
  <c r="BK17" i="20" s="1"/>
  <c r="BB17" i="20"/>
  <c r="BC17" i="20" s="1"/>
  <c r="AR17" i="20"/>
  <c r="AS17" i="20" s="1"/>
  <c r="AT17" i="20" s="1"/>
  <c r="AU17" i="20" s="1"/>
  <c r="AV17" i="20" s="1"/>
  <c r="AW17" i="20" s="1"/>
  <c r="AX17" i="20" s="1"/>
  <c r="AY17" i="20" s="1"/>
  <c r="AP17" i="20"/>
  <c r="AQ17" i="20" s="1"/>
  <c r="AE17" i="20"/>
  <c r="AF17" i="20" s="1"/>
  <c r="AG17" i="20" s="1"/>
  <c r="AH17" i="20" s="1"/>
  <c r="AI17" i="20" s="1"/>
  <c r="AJ17" i="20" s="1"/>
  <c r="AK17" i="20" s="1"/>
  <c r="AL17" i="20" s="1"/>
  <c r="AM17" i="20" s="1"/>
  <c r="AD17" i="20"/>
  <c r="R17" i="20"/>
  <c r="S17" i="20" s="1"/>
  <c r="T17" i="20" s="1"/>
  <c r="U17" i="20" s="1"/>
  <c r="V17" i="20" s="1"/>
  <c r="W17" i="20" s="1"/>
  <c r="X17" i="20" s="1"/>
  <c r="Y17" i="20" s="1"/>
  <c r="Z17" i="20" s="1"/>
  <c r="AA17" i="20" s="1"/>
  <c r="BB16" i="20"/>
  <c r="BC16" i="20" s="1"/>
  <c r="BD16" i="20" s="1"/>
  <c r="BE16" i="20" s="1"/>
  <c r="BF16" i="20" s="1"/>
  <c r="BG16" i="20" s="1"/>
  <c r="BH16" i="20" s="1"/>
  <c r="BI16" i="20" s="1"/>
  <c r="BJ16" i="20" s="1"/>
  <c r="BK16" i="20" s="1"/>
  <c r="AR16" i="20"/>
  <c r="AS16" i="20" s="1"/>
  <c r="AT16" i="20" s="1"/>
  <c r="AU16" i="20" s="1"/>
  <c r="AV16" i="20" s="1"/>
  <c r="AW16" i="20" s="1"/>
  <c r="AX16" i="20" s="1"/>
  <c r="AY16" i="20" s="1"/>
  <c r="AP16" i="20"/>
  <c r="AQ16" i="20" s="1"/>
  <c r="AE16" i="20"/>
  <c r="AF16" i="20" s="1"/>
  <c r="AG16" i="20" s="1"/>
  <c r="AH16" i="20" s="1"/>
  <c r="AI16" i="20" s="1"/>
  <c r="AJ16" i="20" s="1"/>
  <c r="AK16" i="20" s="1"/>
  <c r="AL16" i="20" s="1"/>
  <c r="AM16" i="20" s="1"/>
  <c r="AD16" i="20"/>
  <c r="S16" i="20"/>
  <c r="T16" i="20" s="1"/>
  <c r="U16" i="20" s="1"/>
  <c r="V16" i="20" s="1"/>
  <c r="W16" i="20" s="1"/>
  <c r="X16" i="20" s="1"/>
  <c r="Y16" i="20" s="1"/>
  <c r="Z16" i="20" s="1"/>
  <c r="AA16" i="20" s="1"/>
  <c r="R16" i="20"/>
  <c r="BB15" i="20"/>
  <c r="BC15" i="20" s="1"/>
  <c r="BD15" i="20" s="1"/>
  <c r="BE15" i="20" s="1"/>
  <c r="BF15" i="20" s="1"/>
  <c r="BG15" i="20" s="1"/>
  <c r="BH15" i="20" s="1"/>
  <c r="BI15" i="20" s="1"/>
  <c r="BJ15" i="20" s="1"/>
  <c r="BK15" i="20" s="1"/>
  <c r="AW15" i="20"/>
  <c r="AX15" i="20" s="1"/>
  <c r="AY15" i="20" s="1"/>
  <c r="AR15" i="20"/>
  <c r="AS15" i="20" s="1"/>
  <c r="AT15" i="20" s="1"/>
  <c r="AU15" i="20" s="1"/>
  <c r="AV15" i="20" s="1"/>
  <c r="AP15" i="20"/>
  <c r="AQ15" i="20" s="1"/>
  <c r="AK15" i="20"/>
  <c r="AL15" i="20" s="1"/>
  <c r="AM15" i="20" s="1"/>
  <c r="AE15" i="20"/>
  <c r="AF15" i="20" s="1"/>
  <c r="AG15" i="20" s="1"/>
  <c r="AH15" i="20" s="1"/>
  <c r="AI15" i="20" s="1"/>
  <c r="AJ15" i="20" s="1"/>
  <c r="AD15" i="20"/>
  <c r="R15" i="20"/>
  <c r="S15" i="20" s="1"/>
  <c r="T15" i="20" s="1"/>
  <c r="U15" i="20" s="1"/>
  <c r="V15" i="20" s="1"/>
  <c r="W15" i="20" s="1"/>
  <c r="X15" i="20" s="1"/>
  <c r="Y15" i="20" s="1"/>
  <c r="Z15" i="20" s="1"/>
  <c r="AA15" i="20" s="1"/>
  <c r="BC14" i="20"/>
  <c r="BD14" i="20" s="1"/>
  <c r="BE14" i="20" s="1"/>
  <c r="BF14" i="20" s="1"/>
  <c r="BG14" i="20" s="1"/>
  <c r="BH14" i="20" s="1"/>
  <c r="BI14" i="20" s="1"/>
  <c r="BJ14" i="20" s="1"/>
  <c r="BK14" i="20" s="1"/>
  <c r="BB14" i="20"/>
  <c r="AP14" i="20"/>
  <c r="AQ14" i="20" s="1"/>
  <c r="AR14" i="20" s="1"/>
  <c r="AS14" i="20" s="1"/>
  <c r="AT14" i="20" s="1"/>
  <c r="AU14" i="20" s="1"/>
  <c r="AV14" i="20" s="1"/>
  <c r="AW14" i="20" s="1"/>
  <c r="AX14" i="20" s="1"/>
  <c r="AY14" i="20" s="1"/>
  <c r="AF14" i="20"/>
  <c r="AG14" i="20" s="1"/>
  <c r="AH14" i="20" s="1"/>
  <c r="AI14" i="20" s="1"/>
  <c r="AJ14" i="20" s="1"/>
  <c r="AK14" i="20" s="1"/>
  <c r="AL14" i="20" s="1"/>
  <c r="AM14" i="20" s="1"/>
  <c r="AD14" i="20"/>
  <c r="AE14" i="20" s="1"/>
  <c r="S14" i="20"/>
  <c r="T14" i="20" s="1"/>
  <c r="U14" i="20" s="1"/>
  <c r="V14" i="20" s="1"/>
  <c r="W14" i="20" s="1"/>
  <c r="X14" i="20" s="1"/>
  <c r="Y14" i="20" s="1"/>
  <c r="Z14" i="20" s="1"/>
  <c r="AA14" i="20" s="1"/>
  <c r="R14" i="20"/>
  <c r="BH13" i="20"/>
  <c r="BI13" i="20" s="1"/>
  <c r="BJ13" i="20" s="1"/>
  <c r="BK13" i="20" s="1"/>
  <c r="BC13" i="20"/>
  <c r="BD13" i="20" s="1"/>
  <c r="BE13" i="20" s="1"/>
  <c r="BF13" i="20" s="1"/>
  <c r="BG13" i="20" s="1"/>
  <c r="BB13" i="20"/>
  <c r="AV13" i="20"/>
  <c r="AW13" i="20" s="1"/>
  <c r="AX13" i="20" s="1"/>
  <c r="AY13" i="20" s="1"/>
  <c r="AP13" i="20"/>
  <c r="AQ13" i="20" s="1"/>
  <c r="AR13" i="20" s="1"/>
  <c r="AS13" i="20" s="1"/>
  <c r="AT13" i="20" s="1"/>
  <c r="AU13" i="20" s="1"/>
  <c r="AE13" i="20"/>
  <c r="AF13" i="20" s="1"/>
  <c r="AG13" i="20" s="1"/>
  <c r="AH13" i="20" s="1"/>
  <c r="AI13" i="20" s="1"/>
  <c r="AJ13" i="20" s="1"/>
  <c r="AK13" i="20" s="1"/>
  <c r="AL13" i="20" s="1"/>
  <c r="AM13" i="20" s="1"/>
  <c r="AD13" i="20"/>
  <c r="R13" i="20"/>
  <c r="S13" i="20" s="1"/>
  <c r="T13" i="20" s="1"/>
  <c r="U13" i="20" s="1"/>
  <c r="V13" i="20" s="1"/>
  <c r="W13" i="20" s="1"/>
  <c r="X13" i="20" s="1"/>
  <c r="Y13" i="20" s="1"/>
  <c r="Z13" i="20" s="1"/>
  <c r="AA13" i="20" s="1"/>
  <c r="BA10" i="20"/>
  <c r="BA11" i="20" s="1"/>
  <c r="AO10" i="20"/>
  <c r="AO11" i="20" s="1"/>
  <c r="AD10" i="20"/>
  <c r="AD11" i="20" s="1"/>
  <c r="AC10" i="20"/>
  <c r="AC11" i="20" s="1"/>
  <c r="Q10" i="20"/>
  <c r="Q11" i="20" s="1"/>
  <c r="BE9" i="20"/>
  <c r="BD9" i="20"/>
  <c r="BC9" i="20"/>
  <c r="BB9" i="20"/>
  <c r="AP9" i="20"/>
  <c r="AE9" i="20"/>
  <c r="AD9" i="20"/>
  <c r="R9" i="20"/>
  <c r="BE8" i="20"/>
  <c r="BF8" i="20" s="1"/>
  <c r="BG8" i="20" s="1"/>
  <c r="BH8" i="20" s="1"/>
  <c r="BI8" i="20" s="1"/>
  <c r="BJ8" i="20" s="1"/>
  <c r="BK8" i="20" s="1"/>
  <c r="BD8" i="20"/>
  <c r="BC8" i="20"/>
  <c r="BB8" i="20"/>
  <c r="AS8" i="20"/>
  <c r="AT8" i="20" s="1"/>
  <c r="AU8" i="20" s="1"/>
  <c r="AV8" i="20" s="1"/>
  <c r="AW8" i="20" s="1"/>
  <c r="AX8" i="20" s="1"/>
  <c r="AY8" i="20" s="1"/>
  <c r="AP8" i="20"/>
  <c r="AQ8" i="20" s="1"/>
  <c r="AR8" i="20" s="1"/>
  <c r="AE8" i="20"/>
  <c r="AF8" i="20" s="1"/>
  <c r="AG8" i="20" s="1"/>
  <c r="AH8" i="20" s="1"/>
  <c r="AI8" i="20" s="1"/>
  <c r="AJ8" i="20" s="1"/>
  <c r="AK8" i="20" s="1"/>
  <c r="AL8" i="20" s="1"/>
  <c r="AM8" i="20" s="1"/>
  <c r="AD8" i="20"/>
  <c r="R8" i="20"/>
  <c r="S8" i="20" s="1"/>
  <c r="T8" i="20" s="1"/>
  <c r="U8" i="20" s="1"/>
  <c r="V8" i="20" s="1"/>
  <c r="W8" i="20" s="1"/>
  <c r="X8" i="20" s="1"/>
  <c r="Y8" i="20" s="1"/>
  <c r="Z8" i="20" s="1"/>
  <c r="AA8" i="20" s="1"/>
  <c r="BE7" i="20"/>
  <c r="BF7" i="20" s="1"/>
  <c r="BG7" i="20" s="1"/>
  <c r="BH7" i="20" s="1"/>
  <c r="BI7" i="20" s="1"/>
  <c r="BJ7" i="20" s="1"/>
  <c r="BK7" i="20" s="1"/>
  <c r="BD7" i="20"/>
  <c r="BC7" i="20"/>
  <c r="BB7" i="20"/>
  <c r="AS7" i="20"/>
  <c r="AT7" i="20" s="1"/>
  <c r="AU7" i="20" s="1"/>
  <c r="AV7" i="20" s="1"/>
  <c r="AW7" i="20" s="1"/>
  <c r="AX7" i="20" s="1"/>
  <c r="AY7" i="20" s="1"/>
  <c r="AP7" i="20"/>
  <c r="AQ7" i="20" s="1"/>
  <c r="AR7" i="20" s="1"/>
  <c r="AD7" i="20"/>
  <c r="AE7" i="20" s="1"/>
  <c r="AF7" i="20" s="1"/>
  <c r="AG7" i="20" s="1"/>
  <c r="AH7" i="20" s="1"/>
  <c r="AI7" i="20" s="1"/>
  <c r="AJ7" i="20" s="1"/>
  <c r="AK7" i="20" s="1"/>
  <c r="AL7" i="20" s="1"/>
  <c r="AM7" i="20" s="1"/>
  <c r="R7" i="20"/>
  <c r="S7" i="20" s="1"/>
  <c r="T7" i="20" s="1"/>
  <c r="U7" i="20" s="1"/>
  <c r="V7" i="20" s="1"/>
  <c r="W7" i="20" s="1"/>
  <c r="X7" i="20" s="1"/>
  <c r="Y7" i="20" s="1"/>
  <c r="Z7" i="20" s="1"/>
  <c r="AA7" i="20" s="1"/>
  <c r="BE6" i="20"/>
  <c r="BF6" i="20" s="1"/>
  <c r="BG6" i="20" s="1"/>
  <c r="BH6" i="20" s="1"/>
  <c r="BI6" i="20" s="1"/>
  <c r="BJ6" i="20" s="1"/>
  <c r="BK6" i="20" s="1"/>
  <c r="BD6" i="20"/>
  <c r="BC6" i="20"/>
  <c r="BB6" i="20"/>
  <c r="AS6" i="20"/>
  <c r="AT6" i="20" s="1"/>
  <c r="AU6" i="20" s="1"/>
  <c r="AV6" i="20" s="1"/>
  <c r="AW6" i="20" s="1"/>
  <c r="AX6" i="20" s="1"/>
  <c r="AY6" i="20" s="1"/>
  <c r="AP6" i="20"/>
  <c r="AQ6" i="20" s="1"/>
  <c r="AR6" i="20" s="1"/>
  <c r="AE6" i="20"/>
  <c r="AF6" i="20" s="1"/>
  <c r="AG6" i="20" s="1"/>
  <c r="AH6" i="20" s="1"/>
  <c r="AI6" i="20" s="1"/>
  <c r="AJ6" i="20" s="1"/>
  <c r="AK6" i="20" s="1"/>
  <c r="AL6" i="20" s="1"/>
  <c r="AM6" i="20" s="1"/>
  <c r="AD6" i="20"/>
  <c r="R6" i="20"/>
  <c r="S6" i="20" s="1"/>
  <c r="T6" i="20" s="1"/>
  <c r="U6" i="20" s="1"/>
  <c r="V6" i="20" s="1"/>
  <c r="W6" i="20" s="1"/>
  <c r="X6" i="20" s="1"/>
  <c r="Y6" i="20" s="1"/>
  <c r="Z6" i="20" s="1"/>
  <c r="AA6" i="20" s="1"/>
  <c r="BE5" i="20"/>
  <c r="BF5" i="20" s="1"/>
  <c r="BG5" i="20" s="1"/>
  <c r="BH5" i="20" s="1"/>
  <c r="BI5" i="20" s="1"/>
  <c r="BJ5" i="20" s="1"/>
  <c r="BK5" i="20" s="1"/>
  <c r="BD5" i="20"/>
  <c r="BC5" i="20"/>
  <c r="BB5" i="20"/>
  <c r="AS5" i="20"/>
  <c r="AT5" i="20" s="1"/>
  <c r="AU5" i="20" s="1"/>
  <c r="AV5" i="20" s="1"/>
  <c r="AW5" i="20" s="1"/>
  <c r="AX5" i="20" s="1"/>
  <c r="AY5" i="20" s="1"/>
  <c r="AP5" i="20"/>
  <c r="AQ5" i="20" s="1"/>
  <c r="AR5" i="20" s="1"/>
  <c r="AE5" i="20"/>
  <c r="AF5" i="20" s="1"/>
  <c r="AG5" i="20" s="1"/>
  <c r="AH5" i="20" s="1"/>
  <c r="AI5" i="20" s="1"/>
  <c r="AJ5" i="20" s="1"/>
  <c r="AK5" i="20" s="1"/>
  <c r="AL5" i="20" s="1"/>
  <c r="AM5" i="20" s="1"/>
  <c r="AD5" i="20"/>
  <c r="R5" i="20"/>
  <c r="S5" i="20" s="1"/>
  <c r="T5" i="20" s="1"/>
  <c r="U5" i="20" s="1"/>
  <c r="V5" i="20" s="1"/>
  <c r="W5" i="20" s="1"/>
  <c r="X5" i="20" s="1"/>
  <c r="Y5" i="20" s="1"/>
  <c r="Z5" i="20" s="1"/>
  <c r="AA5" i="20" s="1"/>
  <c r="BB4" i="20"/>
  <c r="BC4" i="20" s="1"/>
  <c r="BD4" i="20" s="1"/>
  <c r="BE4" i="20" s="1"/>
  <c r="BF4" i="20" s="1"/>
  <c r="BG4" i="20" s="1"/>
  <c r="BH4" i="20" s="1"/>
  <c r="BI4" i="20" s="1"/>
  <c r="BJ4" i="20" s="1"/>
  <c r="BK4" i="20" s="1"/>
  <c r="AP4" i="20"/>
  <c r="AQ4" i="20" s="1"/>
  <c r="AR4" i="20" s="1"/>
  <c r="AS4" i="20" s="1"/>
  <c r="AT4" i="20" s="1"/>
  <c r="AU4" i="20" s="1"/>
  <c r="AV4" i="20" s="1"/>
  <c r="AW4" i="20" s="1"/>
  <c r="AX4" i="20" s="1"/>
  <c r="AY4" i="20" s="1"/>
  <c r="AH4" i="20"/>
  <c r="AI4" i="20" s="1"/>
  <c r="AJ4" i="20" s="1"/>
  <c r="AK4" i="20" s="1"/>
  <c r="AL4" i="20" s="1"/>
  <c r="AM4" i="20" s="1"/>
  <c r="AF4" i="20"/>
  <c r="AG4" i="20" s="1"/>
  <c r="AE4" i="20"/>
  <c r="AD4" i="20"/>
  <c r="R4" i="20"/>
  <c r="S4" i="20" s="1"/>
  <c r="T4" i="20" s="1"/>
  <c r="U4" i="20" s="1"/>
  <c r="V4" i="20" s="1"/>
  <c r="W4" i="20" s="1"/>
  <c r="X4" i="20" s="1"/>
  <c r="Y4" i="20" s="1"/>
  <c r="Z4" i="20" s="1"/>
  <c r="AA4" i="20" s="1"/>
  <c r="BC3" i="20"/>
  <c r="BD3" i="20" s="1"/>
  <c r="BE3" i="20" s="1"/>
  <c r="BF3" i="20" s="1"/>
  <c r="BG3" i="20" s="1"/>
  <c r="BH3" i="20" s="1"/>
  <c r="BI3" i="20" s="1"/>
  <c r="BJ3" i="20" s="1"/>
  <c r="BK3" i="20" s="1"/>
  <c r="BB3" i="20"/>
  <c r="AP3" i="20"/>
  <c r="AQ3" i="20" s="1"/>
  <c r="AR3" i="20" s="1"/>
  <c r="AS3" i="20" s="1"/>
  <c r="AT3" i="20" s="1"/>
  <c r="AU3" i="20" s="1"/>
  <c r="AV3" i="20" s="1"/>
  <c r="AW3" i="20" s="1"/>
  <c r="AX3" i="20" s="1"/>
  <c r="AY3" i="20" s="1"/>
  <c r="AE3" i="20"/>
  <c r="AF3" i="20" s="1"/>
  <c r="AG3" i="20" s="1"/>
  <c r="AH3" i="20" s="1"/>
  <c r="AI3" i="20" s="1"/>
  <c r="AJ3" i="20" s="1"/>
  <c r="AK3" i="20" s="1"/>
  <c r="AL3" i="20" s="1"/>
  <c r="AM3" i="20" s="1"/>
  <c r="AD3" i="20"/>
  <c r="R3" i="20"/>
  <c r="S3" i="20" s="1"/>
  <c r="T3" i="20" s="1"/>
  <c r="U3" i="20" s="1"/>
  <c r="V3" i="20" s="1"/>
  <c r="W3" i="20" s="1"/>
  <c r="X3" i="20" s="1"/>
  <c r="Y3" i="20" s="1"/>
  <c r="Z3" i="20" s="1"/>
  <c r="AA3" i="20" s="1"/>
  <c r="BC2" i="20"/>
  <c r="BD2" i="20" s="1"/>
  <c r="BE2" i="20" s="1"/>
  <c r="BF2" i="20" s="1"/>
  <c r="BG2" i="20" s="1"/>
  <c r="BH2" i="20" s="1"/>
  <c r="BI2" i="20" s="1"/>
  <c r="BJ2" i="20" s="1"/>
  <c r="BK2" i="20" s="1"/>
  <c r="BB2" i="20"/>
  <c r="AP2" i="20"/>
  <c r="AQ2" i="20" s="1"/>
  <c r="AR2" i="20" s="1"/>
  <c r="AS2" i="20" s="1"/>
  <c r="AT2" i="20" s="1"/>
  <c r="AU2" i="20" s="1"/>
  <c r="AV2" i="20" s="1"/>
  <c r="AW2" i="20" s="1"/>
  <c r="AX2" i="20" s="1"/>
  <c r="AY2" i="20" s="1"/>
  <c r="AE2" i="20"/>
  <c r="AF2" i="20" s="1"/>
  <c r="AG2" i="20" s="1"/>
  <c r="AH2" i="20" s="1"/>
  <c r="AI2" i="20" s="1"/>
  <c r="AJ2" i="20" s="1"/>
  <c r="AK2" i="20" s="1"/>
  <c r="AL2" i="20" s="1"/>
  <c r="AM2" i="20" s="1"/>
  <c r="AD2" i="20"/>
  <c r="R2" i="20"/>
  <c r="S2" i="20" s="1"/>
  <c r="T2" i="20" s="1"/>
  <c r="U2" i="20" s="1"/>
  <c r="V2" i="20" s="1"/>
  <c r="W2" i="20" s="1"/>
  <c r="X2" i="20" s="1"/>
  <c r="Y2" i="20" s="1"/>
  <c r="Z2" i="20" s="1"/>
  <c r="AA2" i="20" s="1"/>
  <c r="AT20" i="33" l="1"/>
  <c r="AS21" i="33"/>
  <c r="AS22" i="33" s="1"/>
  <c r="AS23" i="33" s="1"/>
  <c r="I26" i="33" s="1"/>
  <c r="W21" i="33"/>
  <c r="W22" i="33" s="1"/>
  <c r="X20" i="33"/>
  <c r="AJ20" i="33"/>
  <c r="AI21" i="33"/>
  <c r="AI22" i="33" s="1"/>
  <c r="BF21" i="33"/>
  <c r="BF22" i="33" s="1"/>
  <c r="BG20" i="33"/>
  <c r="AH10" i="33"/>
  <c r="AH11" i="33" s="1"/>
  <c r="AH23" i="33" s="1"/>
  <c r="J25" i="33" s="1"/>
  <c r="AI9" i="33"/>
  <c r="L9" i="33"/>
  <c r="K10" i="33"/>
  <c r="K11" i="33" s="1"/>
  <c r="K23" i="33" s="1"/>
  <c r="V9" i="33"/>
  <c r="U10" i="33"/>
  <c r="U11" i="33" s="1"/>
  <c r="U23" i="33" s="1"/>
  <c r="I24" i="33" s="1"/>
  <c r="AU9" i="33"/>
  <c r="AT10" i="33"/>
  <c r="AT11" i="33" s="1"/>
  <c r="BG9" i="33"/>
  <c r="BF10" i="33"/>
  <c r="BF11" i="33" s="1"/>
  <c r="M21" i="33"/>
  <c r="M22" i="33" s="1"/>
  <c r="N20" i="33"/>
  <c r="BG10" i="32"/>
  <c r="BG11" i="32" s="1"/>
  <c r="BH9" i="32"/>
  <c r="W9" i="32"/>
  <c r="V10" i="32"/>
  <c r="V11" i="32" s="1"/>
  <c r="AK20" i="32"/>
  <c r="AJ21" i="32"/>
  <c r="AJ22" i="32" s="1"/>
  <c r="AS23" i="32"/>
  <c r="I26" i="32" s="1"/>
  <c r="AU20" i="32"/>
  <c r="AT21" i="32"/>
  <c r="AT22" i="32" s="1"/>
  <c r="J20" i="32"/>
  <c r="I21" i="32"/>
  <c r="I22" i="32" s="1"/>
  <c r="I23" i="32" s="1"/>
  <c r="AI10" i="32"/>
  <c r="AI11" i="32" s="1"/>
  <c r="AI23" i="32" s="1"/>
  <c r="K25" i="32" s="1"/>
  <c r="AJ9" i="32"/>
  <c r="BF21" i="32"/>
  <c r="BF22" i="32" s="1"/>
  <c r="BF23" i="32" s="1"/>
  <c r="J27" i="32" s="1"/>
  <c r="BG20" i="32"/>
  <c r="W21" i="32"/>
  <c r="W22" i="32" s="1"/>
  <c r="X20" i="32"/>
  <c r="J10" i="32"/>
  <c r="J11" i="32" s="1"/>
  <c r="K9" i="32"/>
  <c r="V23" i="32"/>
  <c r="J24" i="32" s="1"/>
  <c r="AS10" i="32"/>
  <c r="AS11" i="32" s="1"/>
  <c r="AT9" i="32"/>
  <c r="AI10" i="30"/>
  <c r="AI11" i="30" s="1"/>
  <c r="AJ9" i="30"/>
  <c r="BE23" i="30"/>
  <c r="I27" i="30" s="1"/>
  <c r="BF21" i="30"/>
  <c r="BF22" i="30" s="1"/>
  <c r="BG20" i="30"/>
  <c r="AU20" i="30"/>
  <c r="AT21" i="30"/>
  <c r="AT22" i="30" s="1"/>
  <c r="AT23" i="30" s="1"/>
  <c r="J26" i="30" s="1"/>
  <c r="X9" i="30"/>
  <c r="W10" i="30"/>
  <c r="W11" i="30" s="1"/>
  <c r="N21" i="30"/>
  <c r="N22" i="30" s="1"/>
  <c r="O20" i="30"/>
  <c r="O21" i="30" s="1"/>
  <c r="O22" i="30" s="1"/>
  <c r="AV9" i="30"/>
  <c r="AU10" i="30"/>
  <c r="AU11" i="30" s="1"/>
  <c r="BG9" i="30"/>
  <c r="BF10" i="30"/>
  <c r="BF11" i="30" s="1"/>
  <c r="W21" i="30"/>
  <c r="W22" i="30" s="1"/>
  <c r="W23" i="30" s="1"/>
  <c r="K24" i="30" s="1"/>
  <c r="X20" i="30"/>
  <c r="AI23" i="30"/>
  <c r="K25" i="30" s="1"/>
  <c r="V23" i="30"/>
  <c r="J24" i="30" s="1"/>
  <c r="AK20" i="30"/>
  <c r="AJ21" i="30"/>
  <c r="AJ22" i="30" s="1"/>
  <c r="N9" i="30"/>
  <c r="M10" i="30"/>
  <c r="M11" i="30" s="1"/>
  <c r="M23" i="30" s="1"/>
  <c r="J20" i="29"/>
  <c r="I21" i="29"/>
  <c r="I22" i="29" s="1"/>
  <c r="BE10" i="29"/>
  <c r="BE11" i="29" s="1"/>
  <c r="BE23" i="29" s="1"/>
  <c r="I27" i="29" s="1"/>
  <c r="BF9" i="29"/>
  <c r="AI20" i="29"/>
  <c r="AH21" i="29"/>
  <c r="AH22" i="29" s="1"/>
  <c r="BF21" i="29"/>
  <c r="BF22" i="29" s="1"/>
  <c r="BG20" i="29"/>
  <c r="V21" i="29"/>
  <c r="V22" i="29" s="1"/>
  <c r="V23" i="29" s="1"/>
  <c r="J24" i="29" s="1"/>
  <c r="W20" i="29"/>
  <c r="W10" i="29"/>
  <c r="W11" i="29" s="1"/>
  <c r="X9" i="29"/>
  <c r="AS10" i="29"/>
  <c r="AS11" i="29" s="1"/>
  <c r="AT9" i="29"/>
  <c r="I10" i="29"/>
  <c r="I11" i="29" s="1"/>
  <c r="J9" i="29"/>
  <c r="AH9" i="29"/>
  <c r="AG10" i="29"/>
  <c r="AG11" i="29" s="1"/>
  <c r="AG23" i="29" s="1"/>
  <c r="I25" i="29" s="1"/>
  <c r="AT20" i="29"/>
  <c r="AS21" i="29"/>
  <c r="AS22" i="29" s="1"/>
  <c r="AD21" i="20"/>
  <c r="AD22" i="20" s="1"/>
  <c r="AD23" i="20" s="1"/>
  <c r="F25" i="20" s="1"/>
  <c r="AE10" i="20"/>
  <c r="AE11" i="20" s="1"/>
  <c r="AC23" i="20"/>
  <c r="E25" i="20" s="1"/>
  <c r="H9" i="20"/>
  <c r="G10" i="20"/>
  <c r="G11" i="20" s="1"/>
  <c r="F10" i="20"/>
  <c r="F11" i="20" s="1"/>
  <c r="O7" i="20"/>
  <c r="G21" i="20"/>
  <c r="G22" i="20" s="1"/>
  <c r="O14" i="20"/>
  <c r="F21" i="20"/>
  <c r="F22" i="20" s="1"/>
  <c r="B113" i="20"/>
  <c r="AE19" i="24"/>
  <c r="AF19" i="24" s="1"/>
  <c r="AG19" i="24" s="1"/>
  <c r="AH19" i="24" s="1"/>
  <c r="AI19" i="24" s="1"/>
  <c r="AJ19" i="24" s="1"/>
  <c r="AK19" i="24" s="1"/>
  <c r="AL19" i="24" s="1"/>
  <c r="AM19" i="24" s="1"/>
  <c r="F21" i="24"/>
  <c r="F22" i="24" s="1"/>
  <c r="T4" i="24"/>
  <c r="U4" i="24" s="1"/>
  <c r="V4" i="24" s="1"/>
  <c r="W4" i="24" s="1"/>
  <c r="X4" i="24" s="1"/>
  <c r="Y4" i="24" s="1"/>
  <c r="Z4" i="24" s="1"/>
  <c r="AA4" i="24" s="1"/>
  <c r="S10" i="24"/>
  <c r="S11" i="24" s="1"/>
  <c r="R10" i="24"/>
  <c r="R11" i="24" s="1"/>
  <c r="Q23" i="24"/>
  <c r="G14" i="24"/>
  <c r="G21" i="24" s="1"/>
  <c r="G22" i="24" s="1"/>
  <c r="G10" i="24"/>
  <c r="G11" i="24" s="1"/>
  <c r="H3" i="24"/>
  <c r="I3" i="24" s="1"/>
  <c r="J3" i="24" s="1"/>
  <c r="K3" i="24" s="1"/>
  <c r="L3" i="24" s="1"/>
  <c r="M3" i="24" s="1"/>
  <c r="N3" i="24" s="1"/>
  <c r="O3" i="24" s="1"/>
  <c r="F10" i="24"/>
  <c r="F11" i="24" s="1"/>
  <c r="BB23" i="24"/>
  <c r="F27" i="24" s="1"/>
  <c r="U9" i="24"/>
  <c r="T10" i="24"/>
  <c r="T11" i="24" s="1"/>
  <c r="BD10" i="24"/>
  <c r="BD11" i="24" s="1"/>
  <c r="BD20" i="24"/>
  <c r="BC21" i="24"/>
  <c r="BC22" i="24" s="1"/>
  <c r="BC10" i="24"/>
  <c r="BC11" i="24" s="1"/>
  <c r="AF9" i="24"/>
  <c r="AE10" i="24"/>
  <c r="AE11" i="24" s="1"/>
  <c r="BG9" i="24"/>
  <c r="BF10" i="24"/>
  <c r="BF11" i="24" s="1"/>
  <c r="AQ10" i="24"/>
  <c r="AQ11" i="24" s="1"/>
  <c r="AR9" i="24"/>
  <c r="R21" i="24"/>
  <c r="R22" i="24" s="1"/>
  <c r="AD10" i="24"/>
  <c r="AD11" i="24" s="1"/>
  <c r="AD23" i="24" s="1"/>
  <c r="F25" i="24" s="1"/>
  <c r="S21" i="24"/>
  <c r="S22" i="24" s="1"/>
  <c r="BE10" i="24"/>
  <c r="BE11" i="24" s="1"/>
  <c r="AP23" i="24"/>
  <c r="F26" i="24" s="1"/>
  <c r="AC23" i="24"/>
  <c r="E25" i="24" s="1"/>
  <c r="BA23" i="24"/>
  <c r="E27" i="24" s="1"/>
  <c r="J9" i="24"/>
  <c r="J20" i="24"/>
  <c r="E23" i="24"/>
  <c r="AF20" i="24"/>
  <c r="AO23" i="24"/>
  <c r="E26" i="24" s="1"/>
  <c r="B53" i="24"/>
  <c r="B133" i="24"/>
  <c r="B213" i="24"/>
  <c r="AQ20" i="24"/>
  <c r="B73" i="24"/>
  <c r="B153" i="24"/>
  <c r="B233" i="24"/>
  <c r="B93" i="24"/>
  <c r="B173" i="24"/>
  <c r="B113" i="24"/>
  <c r="O3" i="20"/>
  <c r="H21" i="20"/>
  <c r="H22" i="20" s="1"/>
  <c r="R10" i="20"/>
  <c r="R11" i="20" s="1"/>
  <c r="B193" i="20"/>
  <c r="BD10" i="20"/>
  <c r="BD11" i="20" s="1"/>
  <c r="BF9" i="20"/>
  <c r="BE10" i="20"/>
  <c r="BE11" i="20" s="1"/>
  <c r="S9" i="20"/>
  <c r="AF9" i="20"/>
  <c r="S20" i="20"/>
  <c r="R21" i="20"/>
  <c r="R22" i="20" s="1"/>
  <c r="BC10" i="20"/>
  <c r="BC11" i="20" s="1"/>
  <c r="AG20" i="20"/>
  <c r="AF21" i="20"/>
  <c r="AF22" i="20" s="1"/>
  <c r="E23" i="20"/>
  <c r="BB10" i="20"/>
  <c r="BB11" i="20" s="1"/>
  <c r="AP10" i="20"/>
  <c r="AP11" i="20" s="1"/>
  <c r="AQ9" i="20"/>
  <c r="AP21" i="20"/>
  <c r="AP22" i="20" s="1"/>
  <c r="AQ20" i="20"/>
  <c r="Q23" i="20"/>
  <c r="BA23" i="20"/>
  <c r="E27" i="20" s="1"/>
  <c r="AE21" i="20"/>
  <c r="AE22" i="20" s="1"/>
  <c r="AE23" i="20" s="1"/>
  <c r="G25" i="20" s="1"/>
  <c r="F23" i="20"/>
  <c r="BC21" i="20"/>
  <c r="BC22" i="20" s="1"/>
  <c r="BC23" i="20" s="1"/>
  <c r="G27" i="20" s="1"/>
  <c r="BD21" i="20"/>
  <c r="BD22" i="20" s="1"/>
  <c r="BD23" i="20" s="1"/>
  <c r="H27" i="20" s="1"/>
  <c r="BE20" i="20"/>
  <c r="AO23" i="20"/>
  <c r="E26" i="20" s="1"/>
  <c r="B53" i="20"/>
  <c r="B133" i="20"/>
  <c r="B213" i="20"/>
  <c r="BB21" i="20"/>
  <c r="BB22" i="20" s="1"/>
  <c r="BB23" i="20" s="1"/>
  <c r="F27" i="20" s="1"/>
  <c r="B73" i="20"/>
  <c r="B153" i="20"/>
  <c r="B233" i="20"/>
  <c r="B93" i="20"/>
  <c r="W9" i="33" l="1"/>
  <c r="V10" i="33"/>
  <c r="V11" i="33" s="1"/>
  <c r="V23" i="33" s="1"/>
  <c r="J24" i="33" s="1"/>
  <c r="N21" i="33"/>
  <c r="N22" i="33" s="1"/>
  <c r="O20" i="33"/>
  <c r="O21" i="33" s="1"/>
  <c r="O22" i="33" s="1"/>
  <c r="AK20" i="33"/>
  <c r="AJ21" i="33"/>
  <c r="AJ22" i="33" s="1"/>
  <c r="M9" i="33"/>
  <c r="L10" i="33"/>
  <c r="L11" i="33" s="1"/>
  <c r="L23" i="33" s="1"/>
  <c r="X21" i="33"/>
  <c r="X22" i="33" s="1"/>
  <c r="Y20" i="33"/>
  <c r="AI10" i="33"/>
  <c r="AI11" i="33" s="1"/>
  <c r="AI23" i="33" s="1"/>
  <c r="K25" i="33" s="1"/>
  <c r="AJ9" i="33"/>
  <c r="BH9" i="33"/>
  <c r="BG10" i="33"/>
  <c r="BG11" i="33" s="1"/>
  <c r="AV9" i="33"/>
  <c r="AU10" i="33"/>
  <c r="AU11" i="33" s="1"/>
  <c r="BG21" i="33"/>
  <c r="BG22" i="33" s="1"/>
  <c r="BG23" i="33" s="1"/>
  <c r="K27" i="33" s="1"/>
  <c r="BH20" i="33"/>
  <c r="BF23" i="33"/>
  <c r="J27" i="33" s="1"/>
  <c r="AU20" i="33"/>
  <c r="AT21" i="33"/>
  <c r="AT22" i="33" s="1"/>
  <c r="AT23" i="33" s="1"/>
  <c r="J26" i="33" s="1"/>
  <c r="AT10" i="32"/>
  <c r="AT11" i="32" s="1"/>
  <c r="AU9" i="32"/>
  <c r="AJ10" i="32"/>
  <c r="AJ11" i="32" s="1"/>
  <c r="AJ23" i="32" s="1"/>
  <c r="L25" i="32" s="1"/>
  <c r="AK9" i="32"/>
  <c r="AL20" i="32"/>
  <c r="AK21" i="32"/>
  <c r="AK22" i="32" s="1"/>
  <c r="BG21" i="32"/>
  <c r="BG22" i="32" s="1"/>
  <c r="BG23" i="32" s="1"/>
  <c r="K27" i="32" s="1"/>
  <c r="BH20" i="32"/>
  <c r="K10" i="32"/>
  <c r="K11" i="32" s="1"/>
  <c r="L9" i="32"/>
  <c r="X9" i="32"/>
  <c r="W10" i="32"/>
  <c r="W11" i="32" s="1"/>
  <c r="K20" i="32"/>
  <c r="J21" i="32"/>
  <c r="J22" i="32" s="1"/>
  <c r="J23" i="32" s="1"/>
  <c r="BI9" i="32"/>
  <c r="BH10" i="32"/>
  <c r="BH11" i="32" s="1"/>
  <c r="X21" i="32"/>
  <c r="X22" i="32" s="1"/>
  <c r="Y20" i="32"/>
  <c r="AT23" i="32"/>
  <c r="J26" i="32" s="1"/>
  <c r="W23" i="32"/>
  <c r="K24" i="32" s="1"/>
  <c r="AV20" i="32"/>
  <c r="AU21" i="32"/>
  <c r="AU22" i="32" s="1"/>
  <c r="Y9" i="30"/>
  <c r="X10" i="30"/>
  <c r="X11" i="30" s="1"/>
  <c r="N10" i="30"/>
  <c r="N11" i="30" s="1"/>
  <c r="O9" i="30"/>
  <c r="O10" i="30" s="1"/>
  <c r="O11" i="30" s="1"/>
  <c r="BH9" i="30"/>
  <c r="BG10" i="30"/>
  <c r="BG11" i="30" s="1"/>
  <c r="AV20" i="30"/>
  <c r="AU21" i="30"/>
  <c r="AU22" i="30" s="1"/>
  <c r="AU23" i="30" s="1"/>
  <c r="K26" i="30" s="1"/>
  <c r="AL20" i="30"/>
  <c r="AK21" i="30"/>
  <c r="AK22" i="30" s="1"/>
  <c r="BG21" i="30"/>
  <c r="BG22" i="30" s="1"/>
  <c r="BG23" i="30" s="1"/>
  <c r="K27" i="30" s="1"/>
  <c r="BH20" i="30"/>
  <c r="AW9" i="30"/>
  <c r="AV10" i="30"/>
  <c r="AV11" i="30" s="1"/>
  <c r="BF23" i="30"/>
  <c r="J27" i="30" s="1"/>
  <c r="O23" i="30"/>
  <c r="X21" i="30"/>
  <c r="X22" i="30" s="1"/>
  <c r="X23" i="30" s="1"/>
  <c r="L24" i="30" s="1"/>
  <c r="Y20" i="30"/>
  <c r="N23" i="30"/>
  <c r="AJ10" i="30"/>
  <c r="AJ11" i="30" s="1"/>
  <c r="AJ23" i="30" s="1"/>
  <c r="L25" i="30" s="1"/>
  <c r="AK9" i="30"/>
  <c r="J21" i="29"/>
  <c r="J22" i="29" s="1"/>
  <c r="K20" i="29"/>
  <c r="AU9" i="29"/>
  <c r="AT10" i="29"/>
  <c r="AT11" i="29" s="1"/>
  <c r="AS23" i="29"/>
  <c r="I26" i="29" s="1"/>
  <c r="Y9" i="29"/>
  <c r="X10" i="29"/>
  <c r="X11" i="29" s="1"/>
  <c r="AU20" i="29"/>
  <c r="AT21" i="29"/>
  <c r="AT22" i="29" s="1"/>
  <c r="AT23" i="29" s="1"/>
  <c r="J26" i="29" s="1"/>
  <c r="AJ20" i="29"/>
  <c r="AI21" i="29"/>
  <c r="AI22" i="29" s="1"/>
  <c r="W21" i="29"/>
  <c r="W22" i="29" s="1"/>
  <c r="W23" i="29" s="1"/>
  <c r="K24" i="29" s="1"/>
  <c r="X20" i="29"/>
  <c r="BG9" i="29"/>
  <c r="BF10" i="29"/>
  <c r="BF11" i="29" s="1"/>
  <c r="BF23" i="29" s="1"/>
  <c r="J27" i="29" s="1"/>
  <c r="J10" i="29"/>
  <c r="J11" i="29" s="1"/>
  <c r="K9" i="29"/>
  <c r="BG21" i="29"/>
  <c r="BG22" i="29" s="1"/>
  <c r="BH20" i="29"/>
  <c r="I23" i="29"/>
  <c r="AH10" i="29"/>
  <c r="AH11" i="29" s="1"/>
  <c r="AH23" i="29" s="1"/>
  <c r="J25" i="29" s="1"/>
  <c r="AI9" i="29"/>
  <c r="I9" i="20"/>
  <c r="H10" i="20"/>
  <c r="H11" i="20" s="1"/>
  <c r="G23" i="20"/>
  <c r="AE21" i="24"/>
  <c r="AE22" i="24" s="1"/>
  <c r="AE23" i="24" s="1"/>
  <c r="G25" i="24" s="1"/>
  <c r="F23" i="24"/>
  <c r="R23" i="24"/>
  <c r="F24" i="24" s="1"/>
  <c r="S23" i="24"/>
  <c r="G24" i="24" s="1"/>
  <c r="E24" i="24"/>
  <c r="H14" i="24"/>
  <c r="I10" i="24"/>
  <c r="I11" i="24" s="1"/>
  <c r="G23" i="24"/>
  <c r="H10" i="24"/>
  <c r="H11" i="24" s="1"/>
  <c r="H21" i="24"/>
  <c r="H22" i="24" s="1"/>
  <c r="I14" i="24"/>
  <c r="BC23" i="24"/>
  <c r="G27" i="24" s="1"/>
  <c r="AF21" i="24"/>
  <c r="AF22" i="24" s="1"/>
  <c r="AG20" i="24"/>
  <c r="AR10" i="24"/>
  <c r="AR11" i="24" s="1"/>
  <c r="AS9" i="24"/>
  <c r="BD21" i="24"/>
  <c r="BD22" i="24" s="1"/>
  <c r="BD23" i="24" s="1"/>
  <c r="H27" i="24" s="1"/>
  <c r="BE20" i="24"/>
  <c r="AR20" i="24"/>
  <c r="AQ21" i="24"/>
  <c r="AQ22" i="24" s="1"/>
  <c r="AQ23" i="24" s="1"/>
  <c r="G26" i="24" s="1"/>
  <c r="K20" i="24"/>
  <c r="BH9" i="24"/>
  <c r="BG10" i="24"/>
  <c r="BG11" i="24" s="1"/>
  <c r="V9" i="24"/>
  <c r="U10" i="24"/>
  <c r="U11" i="24" s="1"/>
  <c r="K9" i="24"/>
  <c r="J10" i="24"/>
  <c r="J11" i="24" s="1"/>
  <c r="T21" i="24"/>
  <c r="T22" i="24" s="1"/>
  <c r="T23" i="24" s="1"/>
  <c r="H24" i="24" s="1"/>
  <c r="AF10" i="24"/>
  <c r="AF11" i="24" s="1"/>
  <c r="AG9" i="24"/>
  <c r="H23" i="20"/>
  <c r="R23" i="20"/>
  <c r="F24" i="20" s="1"/>
  <c r="T20" i="20"/>
  <c r="S21" i="20"/>
  <c r="S22" i="20" s="1"/>
  <c r="AG9" i="20"/>
  <c r="AF10" i="20"/>
  <c r="AF11" i="20" s="1"/>
  <c r="AF23" i="20" s="1"/>
  <c r="H25" i="20" s="1"/>
  <c r="I21" i="20"/>
  <c r="I22" i="20" s="1"/>
  <c r="T9" i="20"/>
  <c r="S10" i="20"/>
  <c r="S11" i="20" s="1"/>
  <c r="BF20" i="20"/>
  <c r="BE21" i="20"/>
  <c r="BE22" i="20" s="1"/>
  <c r="BE23" i="20" s="1"/>
  <c r="I27" i="20" s="1"/>
  <c r="E24" i="20"/>
  <c r="AG21" i="20"/>
  <c r="AG22" i="20" s="1"/>
  <c r="AH20" i="20"/>
  <c r="AR20" i="20"/>
  <c r="AQ21" i="20"/>
  <c r="AQ22" i="20" s="1"/>
  <c r="BG9" i="20"/>
  <c r="BF10" i="20"/>
  <c r="BF11" i="20" s="1"/>
  <c r="AP23" i="20"/>
  <c r="F26" i="20" s="1"/>
  <c r="AR9" i="20"/>
  <c r="AQ10" i="20"/>
  <c r="AQ11" i="20" s="1"/>
  <c r="A81" i="1"/>
  <c r="O27" i="14"/>
  <c r="N27" i="14"/>
  <c r="M27" i="14"/>
  <c r="L27" i="14"/>
  <c r="K27" i="14"/>
  <c r="J27" i="14"/>
  <c r="I27" i="14"/>
  <c r="H27" i="14"/>
  <c r="G27" i="14"/>
  <c r="F27" i="14"/>
  <c r="E27" i="14"/>
  <c r="O26" i="14"/>
  <c r="N26" i="14"/>
  <c r="M26" i="14"/>
  <c r="L26" i="14"/>
  <c r="K26" i="14"/>
  <c r="J26" i="14"/>
  <c r="I26" i="14"/>
  <c r="H26" i="14"/>
  <c r="G26" i="14"/>
  <c r="F26" i="14"/>
  <c r="E26" i="14"/>
  <c r="O25" i="14"/>
  <c r="N25" i="14"/>
  <c r="M25" i="14"/>
  <c r="L25" i="14"/>
  <c r="K25" i="14"/>
  <c r="J25" i="14"/>
  <c r="I25" i="14"/>
  <c r="H25" i="14"/>
  <c r="G25" i="14"/>
  <c r="F25" i="14"/>
  <c r="E25" i="14"/>
  <c r="O24" i="14"/>
  <c r="N24" i="14"/>
  <c r="M24" i="14"/>
  <c r="L24" i="14"/>
  <c r="K24" i="14"/>
  <c r="J24" i="14"/>
  <c r="I24" i="14"/>
  <c r="H24" i="14"/>
  <c r="G24" i="14"/>
  <c r="F24" i="14"/>
  <c r="E24" i="14"/>
  <c r="O23" i="14"/>
  <c r="N23" i="14"/>
  <c r="M23" i="14"/>
  <c r="L23" i="14"/>
  <c r="K23" i="14"/>
  <c r="J23" i="14"/>
  <c r="I23" i="14"/>
  <c r="H23" i="14"/>
  <c r="G23" i="14"/>
  <c r="F23" i="14"/>
  <c r="E23" i="14"/>
  <c r="O27" i="13"/>
  <c r="N27" i="13"/>
  <c r="M27" i="13"/>
  <c r="L27" i="13"/>
  <c r="K27" i="13"/>
  <c r="J27" i="13"/>
  <c r="I27" i="13"/>
  <c r="H27" i="13"/>
  <c r="G27" i="13"/>
  <c r="F27" i="13"/>
  <c r="E27" i="13"/>
  <c r="O26" i="13"/>
  <c r="N26" i="13"/>
  <c r="M26" i="13"/>
  <c r="L26" i="13"/>
  <c r="K26" i="13"/>
  <c r="J26" i="13"/>
  <c r="I26" i="13"/>
  <c r="H26" i="13"/>
  <c r="G26" i="13"/>
  <c r="F26" i="13"/>
  <c r="E26" i="13"/>
  <c r="O25" i="13"/>
  <c r="N25" i="13"/>
  <c r="M25" i="13"/>
  <c r="L25" i="13"/>
  <c r="K25" i="13"/>
  <c r="J25" i="13"/>
  <c r="I25" i="13"/>
  <c r="H25" i="13"/>
  <c r="G25" i="13"/>
  <c r="F25" i="13"/>
  <c r="E25" i="13"/>
  <c r="I23" i="13"/>
  <c r="H23" i="13"/>
  <c r="G23" i="13"/>
  <c r="F23" i="13"/>
  <c r="E23" i="13"/>
  <c r="O27" i="12"/>
  <c r="N27" i="12"/>
  <c r="M27" i="12"/>
  <c r="L27" i="12"/>
  <c r="K27" i="12"/>
  <c r="J27" i="12"/>
  <c r="I27" i="12"/>
  <c r="H27" i="12"/>
  <c r="G27" i="12"/>
  <c r="F27" i="12"/>
  <c r="E27" i="12"/>
  <c r="O26" i="12"/>
  <c r="N26" i="12"/>
  <c r="M26" i="12"/>
  <c r="L26" i="12"/>
  <c r="K26" i="12"/>
  <c r="J26" i="12"/>
  <c r="I26" i="12"/>
  <c r="H26" i="12"/>
  <c r="G26" i="12"/>
  <c r="F26" i="12"/>
  <c r="E26" i="12"/>
  <c r="O25" i="12"/>
  <c r="N25" i="12"/>
  <c r="M25" i="12"/>
  <c r="L25" i="12"/>
  <c r="K25" i="12"/>
  <c r="J25" i="12"/>
  <c r="I25" i="12"/>
  <c r="H25" i="12"/>
  <c r="G25" i="12"/>
  <c r="F25" i="12"/>
  <c r="E25" i="12"/>
  <c r="H23" i="12"/>
  <c r="G23" i="12"/>
  <c r="F23" i="12"/>
  <c r="E23" i="12"/>
  <c r="O27" i="11"/>
  <c r="N27" i="11"/>
  <c r="M27" i="11"/>
  <c r="L27" i="11"/>
  <c r="K27" i="11"/>
  <c r="J27" i="11"/>
  <c r="I27" i="11"/>
  <c r="H27" i="11"/>
  <c r="G27" i="11"/>
  <c r="F27" i="11"/>
  <c r="E27" i="11"/>
  <c r="O26" i="11"/>
  <c r="N26" i="11"/>
  <c r="M26" i="11"/>
  <c r="L26" i="11"/>
  <c r="K26" i="11"/>
  <c r="J26" i="11"/>
  <c r="I26" i="11"/>
  <c r="H26" i="11"/>
  <c r="G26" i="11"/>
  <c r="F26" i="11"/>
  <c r="E26" i="11"/>
  <c r="O25" i="11"/>
  <c r="N25" i="11"/>
  <c r="M25" i="11"/>
  <c r="L25" i="11"/>
  <c r="K25" i="11"/>
  <c r="J25" i="11"/>
  <c r="I25" i="11"/>
  <c r="H25" i="11"/>
  <c r="G25" i="11"/>
  <c r="F25" i="11"/>
  <c r="E25" i="11"/>
  <c r="H23" i="11"/>
  <c r="G23" i="11"/>
  <c r="F23" i="11"/>
  <c r="E23" i="11"/>
  <c r="O27" i="10"/>
  <c r="N27" i="10"/>
  <c r="M27" i="10"/>
  <c r="L27" i="10"/>
  <c r="K27" i="10"/>
  <c r="J27" i="10"/>
  <c r="I27" i="10"/>
  <c r="H27" i="10"/>
  <c r="G27" i="10"/>
  <c r="F27" i="10"/>
  <c r="E27" i="10"/>
  <c r="O26" i="10"/>
  <c r="N26" i="10"/>
  <c r="M26" i="10"/>
  <c r="L26" i="10"/>
  <c r="K26" i="10"/>
  <c r="J26" i="10"/>
  <c r="I26" i="10"/>
  <c r="H26" i="10"/>
  <c r="G26" i="10"/>
  <c r="F26" i="10"/>
  <c r="E26" i="10"/>
  <c r="O25" i="10"/>
  <c r="N25" i="10"/>
  <c r="M25" i="10"/>
  <c r="L25" i="10"/>
  <c r="K25" i="10"/>
  <c r="J25" i="10"/>
  <c r="I25" i="10"/>
  <c r="H25" i="10"/>
  <c r="G25" i="10"/>
  <c r="F25" i="10"/>
  <c r="E25" i="10"/>
  <c r="O24" i="10"/>
  <c r="N24" i="10"/>
  <c r="M24" i="10"/>
  <c r="L24" i="10"/>
  <c r="K24" i="10"/>
  <c r="J24" i="10"/>
  <c r="I24" i="10"/>
  <c r="H24" i="10"/>
  <c r="G24" i="10"/>
  <c r="F24" i="10"/>
  <c r="E24" i="10"/>
  <c r="O23" i="10"/>
  <c r="N23" i="10"/>
  <c r="M23" i="10"/>
  <c r="L23" i="10"/>
  <c r="K23" i="10"/>
  <c r="J23" i="10"/>
  <c r="I23" i="10"/>
  <c r="H23" i="10"/>
  <c r="G23" i="10"/>
  <c r="F23" i="10"/>
  <c r="E23" i="10"/>
  <c r="O27" i="9"/>
  <c r="N27" i="9"/>
  <c r="M27" i="9"/>
  <c r="L27" i="9"/>
  <c r="K27" i="9"/>
  <c r="J27" i="9"/>
  <c r="I27" i="9"/>
  <c r="H27" i="9"/>
  <c r="G27" i="9"/>
  <c r="F27" i="9"/>
  <c r="E27" i="9"/>
  <c r="O26" i="9"/>
  <c r="N26" i="9"/>
  <c r="M26" i="9"/>
  <c r="L26" i="9"/>
  <c r="K26" i="9"/>
  <c r="J26" i="9"/>
  <c r="I26" i="9"/>
  <c r="H26" i="9"/>
  <c r="G26" i="9"/>
  <c r="F26" i="9"/>
  <c r="E26" i="9"/>
  <c r="O25" i="9"/>
  <c r="N25" i="9"/>
  <c r="M25" i="9"/>
  <c r="L25" i="9"/>
  <c r="K25" i="9"/>
  <c r="J25" i="9"/>
  <c r="I25" i="9"/>
  <c r="H25" i="9"/>
  <c r="G25" i="9"/>
  <c r="F25" i="9"/>
  <c r="E25" i="9"/>
  <c r="O24" i="9"/>
  <c r="N24" i="9"/>
  <c r="M24" i="9"/>
  <c r="L24" i="9"/>
  <c r="K24" i="9"/>
  <c r="J24" i="9"/>
  <c r="I24" i="9"/>
  <c r="H24" i="9"/>
  <c r="G24" i="9"/>
  <c r="F24" i="9"/>
  <c r="E24" i="9"/>
  <c r="O23" i="9"/>
  <c r="N23" i="9"/>
  <c r="M23" i="9"/>
  <c r="L23" i="9"/>
  <c r="K23" i="9"/>
  <c r="J23" i="9"/>
  <c r="I23" i="9"/>
  <c r="H23" i="9"/>
  <c r="G23" i="9"/>
  <c r="F23" i="9"/>
  <c r="E23" i="9"/>
  <c r="O27" i="8"/>
  <c r="N27" i="8"/>
  <c r="M27" i="8"/>
  <c r="L27" i="8"/>
  <c r="K27" i="8"/>
  <c r="J27" i="8"/>
  <c r="I27" i="8"/>
  <c r="H27" i="8"/>
  <c r="G27" i="8"/>
  <c r="F27" i="8"/>
  <c r="E27" i="8"/>
  <c r="O26" i="8"/>
  <c r="N26" i="8"/>
  <c r="M26" i="8"/>
  <c r="L26" i="8"/>
  <c r="K26" i="8"/>
  <c r="J26" i="8"/>
  <c r="I26" i="8"/>
  <c r="H26" i="8"/>
  <c r="G26" i="8"/>
  <c r="F26" i="8"/>
  <c r="E26" i="8"/>
  <c r="O25" i="8"/>
  <c r="N25" i="8"/>
  <c r="M25" i="8"/>
  <c r="L25" i="8"/>
  <c r="K25" i="8"/>
  <c r="J25" i="8"/>
  <c r="I25" i="8"/>
  <c r="H25" i="8"/>
  <c r="G25" i="8"/>
  <c r="F25" i="8"/>
  <c r="E25" i="8"/>
  <c r="O23" i="8"/>
  <c r="N23" i="8"/>
  <c r="M23" i="8"/>
  <c r="L23" i="8"/>
  <c r="K23" i="8"/>
  <c r="J23" i="8"/>
  <c r="I23" i="8"/>
  <c r="H23" i="8"/>
  <c r="G23" i="8"/>
  <c r="F23" i="8"/>
  <c r="E23" i="8"/>
  <c r="O27" i="7"/>
  <c r="N27" i="7"/>
  <c r="M27" i="7"/>
  <c r="L27" i="7"/>
  <c r="K27" i="7"/>
  <c r="J27" i="7"/>
  <c r="I27" i="7"/>
  <c r="H27" i="7"/>
  <c r="G27" i="7"/>
  <c r="F27" i="7"/>
  <c r="E27" i="7"/>
  <c r="O26" i="7"/>
  <c r="N26" i="7"/>
  <c r="M26" i="7"/>
  <c r="L26" i="7"/>
  <c r="K26" i="7"/>
  <c r="J26" i="7"/>
  <c r="I26" i="7"/>
  <c r="H26" i="7"/>
  <c r="G26" i="7"/>
  <c r="F26" i="7"/>
  <c r="E26" i="7"/>
  <c r="O25" i="7"/>
  <c r="N25" i="7"/>
  <c r="M25" i="7"/>
  <c r="L25" i="7"/>
  <c r="K25" i="7"/>
  <c r="J25" i="7"/>
  <c r="I25" i="7"/>
  <c r="H25" i="7"/>
  <c r="G25" i="7"/>
  <c r="F25" i="7"/>
  <c r="E25" i="7"/>
  <c r="O24" i="7"/>
  <c r="N24" i="7"/>
  <c r="M24" i="7"/>
  <c r="L24" i="7"/>
  <c r="K24" i="7"/>
  <c r="J24" i="7"/>
  <c r="I24" i="7"/>
  <c r="H24" i="7"/>
  <c r="G24" i="7"/>
  <c r="F24" i="7"/>
  <c r="E24" i="7"/>
  <c r="O23" i="7"/>
  <c r="N23" i="7"/>
  <c r="M23" i="7"/>
  <c r="L23" i="7"/>
  <c r="K23" i="7"/>
  <c r="J23" i="7"/>
  <c r="I23" i="7"/>
  <c r="H23" i="7"/>
  <c r="G23" i="7"/>
  <c r="F23" i="7"/>
  <c r="E23" i="7"/>
  <c r="BA21" i="14"/>
  <c r="BA22" i="14" s="1"/>
  <c r="AO21" i="14"/>
  <c r="AO22" i="14" s="1"/>
  <c r="AO23" i="14" s="1"/>
  <c r="BD20" i="14"/>
  <c r="BC20" i="14"/>
  <c r="BB20" i="14"/>
  <c r="BB21" i="14" s="1"/>
  <c r="BB22" i="14" s="1"/>
  <c r="AQ20" i="14"/>
  <c r="AR20" i="14" s="1"/>
  <c r="AP20" i="14"/>
  <c r="AP21" i="14" s="1"/>
  <c r="AP22" i="14" s="1"/>
  <c r="AD20" i="14"/>
  <c r="AE20" i="14" s="1"/>
  <c r="BB19" i="14"/>
  <c r="BC19" i="14" s="1"/>
  <c r="BD19" i="14" s="1"/>
  <c r="BE19" i="14" s="1"/>
  <c r="BF19" i="14" s="1"/>
  <c r="BG19" i="14" s="1"/>
  <c r="BH19" i="14" s="1"/>
  <c r="BI19" i="14" s="1"/>
  <c r="BJ19" i="14" s="1"/>
  <c r="BK19" i="14" s="1"/>
  <c r="AR19" i="14"/>
  <c r="AS19" i="14" s="1"/>
  <c r="AT19" i="14" s="1"/>
  <c r="AU19" i="14" s="1"/>
  <c r="AV19" i="14" s="1"/>
  <c r="AW19" i="14" s="1"/>
  <c r="AX19" i="14" s="1"/>
  <c r="AY19" i="14" s="1"/>
  <c r="AQ19" i="14"/>
  <c r="AP19" i="14"/>
  <c r="AE19" i="14"/>
  <c r="AF19" i="14" s="1"/>
  <c r="AG19" i="14" s="1"/>
  <c r="AH19" i="14" s="1"/>
  <c r="AI19" i="14" s="1"/>
  <c r="AJ19" i="14" s="1"/>
  <c r="AK19" i="14" s="1"/>
  <c r="AL19" i="14" s="1"/>
  <c r="AM19" i="14" s="1"/>
  <c r="AD19" i="14"/>
  <c r="BB18" i="14"/>
  <c r="BC18" i="14" s="1"/>
  <c r="BD18" i="14" s="1"/>
  <c r="BE18" i="14" s="1"/>
  <c r="BF18" i="14" s="1"/>
  <c r="BG18" i="14" s="1"/>
  <c r="BH18" i="14" s="1"/>
  <c r="BI18" i="14" s="1"/>
  <c r="BJ18" i="14" s="1"/>
  <c r="BK18" i="14" s="1"/>
  <c r="AP18" i="14"/>
  <c r="AQ18" i="14" s="1"/>
  <c r="AR18" i="14" s="1"/>
  <c r="AS18" i="14" s="1"/>
  <c r="AT18" i="14" s="1"/>
  <c r="AU18" i="14" s="1"/>
  <c r="AV18" i="14" s="1"/>
  <c r="AW18" i="14" s="1"/>
  <c r="AX18" i="14" s="1"/>
  <c r="AY18" i="14" s="1"/>
  <c r="AF18" i="14"/>
  <c r="AG18" i="14" s="1"/>
  <c r="AH18" i="14" s="1"/>
  <c r="AI18" i="14" s="1"/>
  <c r="AJ18" i="14" s="1"/>
  <c r="AK18" i="14" s="1"/>
  <c r="AL18" i="14" s="1"/>
  <c r="AM18" i="14" s="1"/>
  <c r="AE18" i="14"/>
  <c r="AD18" i="14"/>
  <c r="BC17" i="14"/>
  <c r="BD17" i="14" s="1"/>
  <c r="BE17" i="14" s="1"/>
  <c r="BF17" i="14" s="1"/>
  <c r="BG17" i="14" s="1"/>
  <c r="BH17" i="14" s="1"/>
  <c r="BI17" i="14" s="1"/>
  <c r="BJ17" i="14" s="1"/>
  <c r="BK17" i="14" s="1"/>
  <c r="BB17" i="14"/>
  <c r="AP17" i="14"/>
  <c r="AQ17" i="14" s="1"/>
  <c r="AR17" i="14" s="1"/>
  <c r="AS17" i="14" s="1"/>
  <c r="AT17" i="14" s="1"/>
  <c r="AU17" i="14" s="1"/>
  <c r="AV17" i="14" s="1"/>
  <c r="AW17" i="14" s="1"/>
  <c r="AX17" i="14" s="1"/>
  <c r="AY17" i="14" s="1"/>
  <c r="AD17" i="14"/>
  <c r="AD21" i="14" s="1"/>
  <c r="AD22" i="14" s="1"/>
  <c r="BD16" i="14"/>
  <c r="BE16" i="14" s="1"/>
  <c r="BF16" i="14" s="1"/>
  <c r="BG16" i="14" s="1"/>
  <c r="BH16" i="14" s="1"/>
  <c r="BI16" i="14" s="1"/>
  <c r="BJ16" i="14" s="1"/>
  <c r="BK16" i="14" s="1"/>
  <c r="BC16" i="14"/>
  <c r="BB16" i="14"/>
  <c r="AQ16" i="14"/>
  <c r="AR16" i="14" s="1"/>
  <c r="AS16" i="14" s="1"/>
  <c r="AT16" i="14" s="1"/>
  <c r="AU16" i="14" s="1"/>
  <c r="AV16" i="14" s="1"/>
  <c r="AW16" i="14" s="1"/>
  <c r="AX16" i="14" s="1"/>
  <c r="AY16" i="14" s="1"/>
  <c r="AP16" i="14"/>
  <c r="AD16" i="14"/>
  <c r="AE16" i="14" s="1"/>
  <c r="AF16" i="14" s="1"/>
  <c r="AG16" i="14" s="1"/>
  <c r="AH16" i="14" s="1"/>
  <c r="AI16" i="14" s="1"/>
  <c r="AJ16" i="14" s="1"/>
  <c r="AK16" i="14" s="1"/>
  <c r="AL16" i="14" s="1"/>
  <c r="AM16" i="14" s="1"/>
  <c r="BB15" i="14"/>
  <c r="BC15" i="14" s="1"/>
  <c r="BD15" i="14" s="1"/>
  <c r="BE15" i="14" s="1"/>
  <c r="BF15" i="14" s="1"/>
  <c r="BG15" i="14" s="1"/>
  <c r="BH15" i="14" s="1"/>
  <c r="BI15" i="14" s="1"/>
  <c r="BJ15" i="14" s="1"/>
  <c r="BK15" i="14" s="1"/>
  <c r="AR15" i="14"/>
  <c r="AS15" i="14" s="1"/>
  <c r="AT15" i="14" s="1"/>
  <c r="AU15" i="14" s="1"/>
  <c r="AV15" i="14" s="1"/>
  <c r="AW15" i="14" s="1"/>
  <c r="AX15" i="14" s="1"/>
  <c r="AY15" i="14" s="1"/>
  <c r="AQ15" i="14"/>
  <c r="AP15" i="14"/>
  <c r="AE15" i="14"/>
  <c r="AF15" i="14" s="1"/>
  <c r="AG15" i="14" s="1"/>
  <c r="AH15" i="14" s="1"/>
  <c r="AI15" i="14" s="1"/>
  <c r="AJ15" i="14" s="1"/>
  <c r="AK15" i="14" s="1"/>
  <c r="AL15" i="14" s="1"/>
  <c r="AM15" i="14" s="1"/>
  <c r="AD15" i="14"/>
  <c r="BB14" i="14"/>
  <c r="BC14" i="14" s="1"/>
  <c r="BD14" i="14" s="1"/>
  <c r="BE14" i="14" s="1"/>
  <c r="BF14" i="14" s="1"/>
  <c r="BG14" i="14" s="1"/>
  <c r="BH14" i="14" s="1"/>
  <c r="BI14" i="14" s="1"/>
  <c r="BJ14" i="14" s="1"/>
  <c r="BK14" i="14" s="1"/>
  <c r="AP14" i="14"/>
  <c r="AQ14" i="14" s="1"/>
  <c r="AR14" i="14" s="1"/>
  <c r="AS14" i="14" s="1"/>
  <c r="AT14" i="14" s="1"/>
  <c r="AU14" i="14" s="1"/>
  <c r="AV14" i="14" s="1"/>
  <c r="AW14" i="14" s="1"/>
  <c r="AX14" i="14" s="1"/>
  <c r="AY14" i="14" s="1"/>
  <c r="AF14" i="14"/>
  <c r="AG14" i="14" s="1"/>
  <c r="AH14" i="14" s="1"/>
  <c r="AI14" i="14" s="1"/>
  <c r="AJ14" i="14" s="1"/>
  <c r="AK14" i="14" s="1"/>
  <c r="AL14" i="14" s="1"/>
  <c r="AM14" i="14" s="1"/>
  <c r="AE14" i="14"/>
  <c r="AD14" i="14"/>
  <c r="BC13" i="14"/>
  <c r="BD13" i="14" s="1"/>
  <c r="BE13" i="14" s="1"/>
  <c r="BF13" i="14" s="1"/>
  <c r="BG13" i="14" s="1"/>
  <c r="BH13" i="14" s="1"/>
  <c r="BI13" i="14" s="1"/>
  <c r="BJ13" i="14" s="1"/>
  <c r="BK13" i="14" s="1"/>
  <c r="BB13" i="14"/>
  <c r="AP13" i="14"/>
  <c r="AQ13" i="14" s="1"/>
  <c r="AR13" i="14" s="1"/>
  <c r="AS13" i="14" s="1"/>
  <c r="AT13" i="14" s="1"/>
  <c r="AU13" i="14" s="1"/>
  <c r="AV13" i="14" s="1"/>
  <c r="AW13" i="14" s="1"/>
  <c r="AX13" i="14" s="1"/>
  <c r="AY13" i="14" s="1"/>
  <c r="AD13" i="14"/>
  <c r="AE13" i="14" s="1"/>
  <c r="AF13" i="14" s="1"/>
  <c r="AG13" i="14" s="1"/>
  <c r="AH13" i="14" s="1"/>
  <c r="AI13" i="14" s="1"/>
  <c r="AJ13" i="14" s="1"/>
  <c r="AK13" i="14" s="1"/>
  <c r="AL13" i="14" s="1"/>
  <c r="AM13" i="14" s="1"/>
  <c r="BA10" i="14"/>
  <c r="BA11" i="14" s="1"/>
  <c r="AO10" i="14"/>
  <c r="AO11" i="14" s="1"/>
  <c r="BD9" i="14"/>
  <c r="BD10" i="14" s="1"/>
  <c r="BD11" i="14" s="1"/>
  <c r="BC9" i="14"/>
  <c r="BB9" i="14"/>
  <c r="BB10" i="14" s="1"/>
  <c r="BB11" i="14" s="1"/>
  <c r="AQ9" i="14"/>
  <c r="AR9" i="14" s="1"/>
  <c r="AP9" i="14"/>
  <c r="AD9" i="14"/>
  <c r="AE9" i="14" s="1"/>
  <c r="BB8" i="14"/>
  <c r="BC8" i="14" s="1"/>
  <c r="BD8" i="14" s="1"/>
  <c r="BE8" i="14" s="1"/>
  <c r="BF8" i="14" s="1"/>
  <c r="BG8" i="14" s="1"/>
  <c r="BH8" i="14" s="1"/>
  <c r="BI8" i="14" s="1"/>
  <c r="BJ8" i="14" s="1"/>
  <c r="BK8" i="14" s="1"/>
  <c r="AR8" i="14"/>
  <c r="AS8" i="14" s="1"/>
  <c r="AT8" i="14" s="1"/>
  <c r="AU8" i="14" s="1"/>
  <c r="AV8" i="14" s="1"/>
  <c r="AW8" i="14" s="1"/>
  <c r="AX8" i="14" s="1"/>
  <c r="AY8" i="14" s="1"/>
  <c r="AQ8" i="14"/>
  <c r="AP8" i="14"/>
  <c r="AH8" i="14"/>
  <c r="AI8" i="14" s="1"/>
  <c r="AJ8" i="14" s="1"/>
  <c r="AK8" i="14" s="1"/>
  <c r="AL8" i="14" s="1"/>
  <c r="AM8" i="14" s="1"/>
  <c r="AE8" i="14"/>
  <c r="AF8" i="14" s="1"/>
  <c r="AG8" i="14" s="1"/>
  <c r="AD8" i="14"/>
  <c r="BB7" i="14"/>
  <c r="BC7" i="14" s="1"/>
  <c r="BD7" i="14" s="1"/>
  <c r="BE7" i="14" s="1"/>
  <c r="BF7" i="14" s="1"/>
  <c r="BG7" i="14" s="1"/>
  <c r="BH7" i="14" s="1"/>
  <c r="BI7" i="14" s="1"/>
  <c r="BJ7" i="14" s="1"/>
  <c r="BK7" i="14" s="1"/>
  <c r="AP7" i="14"/>
  <c r="AQ7" i="14" s="1"/>
  <c r="AR7" i="14" s="1"/>
  <c r="AS7" i="14" s="1"/>
  <c r="AT7" i="14" s="1"/>
  <c r="AU7" i="14" s="1"/>
  <c r="AV7" i="14" s="1"/>
  <c r="AW7" i="14" s="1"/>
  <c r="AX7" i="14" s="1"/>
  <c r="AY7" i="14" s="1"/>
  <c r="AF7" i="14"/>
  <c r="AG7" i="14" s="1"/>
  <c r="AH7" i="14" s="1"/>
  <c r="AI7" i="14" s="1"/>
  <c r="AJ7" i="14" s="1"/>
  <c r="AK7" i="14" s="1"/>
  <c r="AL7" i="14" s="1"/>
  <c r="AM7" i="14" s="1"/>
  <c r="AE7" i="14"/>
  <c r="AD7" i="14"/>
  <c r="BC6" i="14"/>
  <c r="BD6" i="14" s="1"/>
  <c r="BE6" i="14" s="1"/>
  <c r="BF6" i="14" s="1"/>
  <c r="BG6" i="14" s="1"/>
  <c r="BH6" i="14" s="1"/>
  <c r="BI6" i="14" s="1"/>
  <c r="BJ6" i="14" s="1"/>
  <c r="BK6" i="14" s="1"/>
  <c r="BB6" i="14"/>
  <c r="AP6" i="14"/>
  <c r="AQ6" i="14" s="1"/>
  <c r="AR6" i="14" s="1"/>
  <c r="AS6" i="14" s="1"/>
  <c r="AT6" i="14" s="1"/>
  <c r="AU6" i="14" s="1"/>
  <c r="AV6" i="14" s="1"/>
  <c r="AW6" i="14" s="1"/>
  <c r="AX6" i="14" s="1"/>
  <c r="AY6" i="14" s="1"/>
  <c r="AD6" i="14"/>
  <c r="BD5" i="14"/>
  <c r="BE5" i="14" s="1"/>
  <c r="BF5" i="14" s="1"/>
  <c r="BG5" i="14" s="1"/>
  <c r="BH5" i="14" s="1"/>
  <c r="BI5" i="14" s="1"/>
  <c r="BJ5" i="14" s="1"/>
  <c r="BK5" i="14" s="1"/>
  <c r="BC5" i="14"/>
  <c r="BB5" i="14"/>
  <c r="AT5" i="14"/>
  <c r="AU5" i="14" s="1"/>
  <c r="AV5" i="14" s="1"/>
  <c r="AW5" i="14" s="1"/>
  <c r="AX5" i="14" s="1"/>
  <c r="AY5" i="14" s="1"/>
  <c r="AQ5" i="14"/>
  <c r="AR5" i="14" s="1"/>
  <c r="AS5" i="14" s="1"/>
  <c r="AP5" i="14"/>
  <c r="AD5" i="14"/>
  <c r="AE5" i="14" s="1"/>
  <c r="AF5" i="14" s="1"/>
  <c r="AG5" i="14" s="1"/>
  <c r="AH5" i="14" s="1"/>
  <c r="AI5" i="14" s="1"/>
  <c r="AJ5" i="14" s="1"/>
  <c r="AK5" i="14" s="1"/>
  <c r="AL5" i="14" s="1"/>
  <c r="AM5" i="14" s="1"/>
  <c r="BJ4" i="14"/>
  <c r="BK4" i="14" s="1"/>
  <c r="BB4" i="14"/>
  <c r="BC4" i="14" s="1"/>
  <c r="BD4" i="14" s="1"/>
  <c r="BE4" i="14" s="1"/>
  <c r="BF4" i="14" s="1"/>
  <c r="BG4" i="14" s="1"/>
  <c r="BH4" i="14" s="1"/>
  <c r="BI4" i="14" s="1"/>
  <c r="AR4" i="14"/>
  <c r="AS4" i="14" s="1"/>
  <c r="AT4" i="14" s="1"/>
  <c r="AU4" i="14" s="1"/>
  <c r="AV4" i="14" s="1"/>
  <c r="AW4" i="14" s="1"/>
  <c r="AX4" i="14" s="1"/>
  <c r="AY4" i="14" s="1"/>
  <c r="AQ4" i="14"/>
  <c r="AP4" i="14"/>
  <c r="AH4" i="14"/>
  <c r="AI4" i="14" s="1"/>
  <c r="AJ4" i="14" s="1"/>
  <c r="AK4" i="14" s="1"/>
  <c r="AL4" i="14" s="1"/>
  <c r="AM4" i="14" s="1"/>
  <c r="AE4" i="14"/>
  <c r="AF4" i="14" s="1"/>
  <c r="AG4" i="14" s="1"/>
  <c r="AD4" i="14"/>
  <c r="BH3" i="14"/>
  <c r="BI3" i="14" s="1"/>
  <c r="BJ3" i="14" s="1"/>
  <c r="BK3" i="14" s="1"/>
  <c r="BB3" i="14"/>
  <c r="BC3" i="14" s="1"/>
  <c r="BD3" i="14" s="1"/>
  <c r="BE3" i="14" s="1"/>
  <c r="BF3" i="14" s="1"/>
  <c r="BG3" i="14" s="1"/>
  <c r="AP3" i="14"/>
  <c r="AQ3" i="14" s="1"/>
  <c r="AR3" i="14" s="1"/>
  <c r="AS3" i="14" s="1"/>
  <c r="AT3" i="14" s="1"/>
  <c r="AU3" i="14" s="1"/>
  <c r="AV3" i="14" s="1"/>
  <c r="AW3" i="14" s="1"/>
  <c r="AX3" i="14" s="1"/>
  <c r="AY3" i="14" s="1"/>
  <c r="AF3" i="14"/>
  <c r="AG3" i="14" s="1"/>
  <c r="AH3" i="14" s="1"/>
  <c r="AI3" i="14" s="1"/>
  <c r="AJ3" i="14" s="1"/>
  <c r="AK3" i="14" s="1"/>
  <c r="AL3" i="14" s="1"/>
  <c r="AM3" i="14" s="1"/>
  <c r="AE3" i="14"/>
  <c r="AD3" i="14"/>
  <c r="BF2" i="14"/>
  <c r="BG2" i="14" s="1"/>
  <c r="BH2" i="14" s="1"/>
  <c r="BI2" i="14" s="1"/>
  <c r="BJ2" i="14" s="1"/>
  <c r="BK2" i="14" s="1"/>
  <c r="BC2" i="14"/>
  <c r="BD2" i="14" s="1"/>
  <c r="BE2" i="14" s="1"/>
  <c r="BB2" i="14"/>
  <c r="AP2" i="14"/>
  <c r="AQ2" i="14" s="1"/>
  <c r="AR2" i="14" s="1"/>
  <c r="AS2" i="14" s="1"/>
  <c r="AT2" i="14" s="1"/>
  <c r="AU2" i="14" s="1"/>
  <c r="AV2" i="14" s="1"/>
  <c r="AW2" i="14" s="1"/>
  <c r="AX2" i="14" s="1"/>
  <c r="AY2" i="14" s="1"/>
  <c r="AD2" i="14"/>
  <c r="AE2" i="14" s="1"/>
  <c r="AF2" i="14" s="1"/>
  <c r="AG2" i="14" s="1"/>
  <c r="AH2" i="14" s="1"/>
  <c r="AI2" i="14" s="1"/>
  <c r="AJ2" i="14" s="1"/>
  <c r="AK2" i="14" s="1"/>
  <c r="AL2" i="14" s="1"/>
  <c r="AM2" i="14" s="1"/>
  <c r="BA21" i="13"/>
  <c r="BA22" i="13" s="1"/>
  <c r="AO21" i="13"/>
  <c r="AO22" i="13" s="1"/>
  <c r="BD20" i="13"/>
  <c r="BE20" i="13" s="1"/>
  <c r="BC20" i="13"/>
  <c r="BB20" i="13"/>
  <c r="BB21" i="13" s="1"/>
  <c r="BB22" i="13" s="1"/>
  <c r="AQ20" i="13"/>
  <c r="AR20" i="13" s="1"/>
  <c r="AP20" i="13"/>
  <c r="AD20" i="13"/>
  <c r="AE20" i="13" s="1"/>
  <c r="BB19" i="13"/>
  <c r="BC19" i="13" s="1"/>
  <c r="BD19" i="13" s="1"/>
  <c r="BE19" i="13" s="1"/>
  <c r="BF19" i="13" s="1"/>
  <c r="BG19" i="13" s="1"/>
  <c r="BH19" i="13" s="1"/>
  <c r="BI19" i="13" s="1"/>
  <c r="BJ19" i="13" s="1"/>
  <c r="BK19" i="13" s="1"/>
  <c r="AR19" i="13"/>
  <c r="AS19" i="13" s="1"/>
  <c r="AT19" i="13" s="1"/>
  <c r="AU19" i="13" s="1"/>
  <c r="AV19" i="13" s="1"/>
  <c r="AW19" i="13" s="1"/>
  <c r="AX19" i="13" s="1"/>
  <c r="AY19" i="13" s="1"/>
  <c r="AQ19" i="13"/>
  <c r="AP19" i="13"/>
  <c r="AE19" i="13"/>
  <c r="AF19" i="13" s="1"/>
  <c r="AG19" i="13" s="1"/>
  <c r="AH19" i="13" s="1"/>
  <c r="AI19" i="13" s="1"/>
  <c r="AJ19" i="13" s="1"/>
  <c r="AK19" i="13" s="1"/>
  <c r="AL19" i="13" s="1"/>
  <c r="AM19" i="13" s="1"/>
  <c r="AD19" i="13"/>
  <c r="BB18" i="13"/>
  <c r="BC18" i="13" s="1"/>
  <c r="BD18" i="13" s="1"/>
  <c r="BE18" i="13" s="1"/>
  <c r="BF18" i="13" s="1"/>
  <c r="BG18" i="13" s="1"/>
  <c r="BH18" i="13" s="1"/>
  <c r="BI18" i="13" s="1"/>
  <c r="BJ18" i="13" s="1"/>
  <c r="BK18" i="13" s="1"/>
  <c r="AP18" i="13"/>
  <c r="AP21" i="13" s="1"/>
  <c r="AP22" i="13" s="1"/>
  <c r="AF18" i="13"/>
  <c r="AG18" i="13" s="1"/>
  <c r="AH18" i="13" s="1"/>
  <c r="AI18" i="13" s="1"/>
  <c r="AJ18" i="13" s="1"/>
  <c r="AK18" i="13" s="1"/>
  <c r="AL18" i="13" s="1"/>
  <c r="AM18" i="13" s="1"/>
  <c r="AE18" i="13"/>
  <c r="AD18" i="13"/>
  <c r="BC17" i="13"/>
  <c r="BD17" i="13" s="1"/>
  <c r="BE17" i="13" s="1"/>
  <c r="BF17" i="13" s="1"/>
  <c r="BG17" i="13" s="1"/>
  <c r="BH17" i="13" s="1"/>
  <c r="BI17" i="13" s="1"/>
  <c r="BJ17" i="13" s="1"/>
  <c r="BK17" i="13" s="1"/>
  <c r="BB17" i="13"/>
  <c r="AP17" i="13"/>
  <c r="AQ17" i="13" s="1"/>
  <c r="AR17" i="13" s="1"/>
  <c r="AS17" i="13" s="1"/>
  <c r="AT17" i="13" s="1"/>
  <c r="AU17" i="13" s="1"/>
  <c r="AV17" i="13" s="1"/>
  <c r="AW17" i="13" s="1"/>
  <c r="AX17" i="13" s="1"/>
  <c r="AY17" i="13" s="1"/>
  <c r="AD17" i="13"/>
  <c r="AE17" i="13" s="1"/>
  <c r="AF17" i="13" s="1"/>
  <c r="AG17" i="13" s="1"/>
  <c r="AH17" i="13" s="1"/>
  <c r="AI17" i="13" s="1"/>
  <c r="AJ17" i="13" s="1"/>
  <c r="AK17" i="13" s="1"/>
  <c r="AL17" i="13" s="1"/>
  <c r="AM17" i="13" s="1"/>
  <c r="BD16" i="13"/>
  <c r="BE16" i="13" s="1"/>
  <c r="BF16" i="13" s="1"/>
  <c r="BG16" i="13" s="1"/>
  <c r="BH16" i="13" s="1"/>
  <c r="BI16" i="13" s="1"/>
  <c r="BJ16" i="13" s="1"/>
  <c r="BK16" i="13" s="1"/>
  <c r="BC16" i="13"/>
  <c r="BB16" i="13"/>
  <c r="AQ16" i="13"/>
  <c r="AR16" i="13" s="1"/>
  <c r="AS16" i="13" s="1"/>
  <c r="AT16" i="13" s="1"/>
  <c r="AU16" i="13" s="1"/>
  <c r="AV16" i="13" s="1"/>
  <c r="AW16" i="13" s="1"/>
  <c r="AX16" i="13" s="1"/>
  <c r="AY16" i="13" s="1"/>
  <c r="AP16" i="13"/>
  <c r="AD16" i="13"/>
  <c r="AE16" i="13" s="1"/>
  <c r="AF16" i="13" s="1"/>
  <c r="AG16" i="13" s="1"/>
  <c r="AH16" i="13" s="1"/>
  <c r="AI16" i="13" s="1"/>
  <c r="AJ16" i="13" s="1"/>
  <c r="AK16" i="13" s="1"/>
  <c r="AL16" i="13" s="1"/>
  <c r="AM16" i="13" s="1"/>
  <c r="BB15" i="13"/>
  <c r="BC15" i="13" s="1"/>
  <c r="BD15" i="13" s="1"/>
  <c r="BE15" i="13" s="1"/>
  <c r="BF15" i="13" s="1"/>
  <c r="BG15" i="13" s="1"/>
  <c r="BH15" i="13" s="1"/>
  <c r="BI15" i="13" s="1"/>
  <c r="BJ15" i="13" s="1"/>
  <c r="BK15" i="13" s="1"/>
  <c r="AP15" i="13"/>
  <c r="AQ15" i="13" s="1"/>
  <c r="AR15" i="13" s="1"/>
  <c r="AS15" i="13" s="1"/>
  <c r="AT15" i="13" s="1"/>
  <c r="AU15" i="13" s="1"/>
  <c r="AV15" i="13" s="1"/>
  <c r="AW15" i="13" s="1"/>
  <c r="AX15" i="13" s="1"/>
  <c r="AY15" i="13" s="1"/>
  <c r="AF15" i="13"/>
  <c r="AG15" i="13" s="1"/>
  <c r="AH15" i="13" s="1"/>
  <c r="AI15" i="13" s="1"/>
  <c r="AJ15" i="13" s="1"/>
  <c r="AK15" i="13" s="1"/>
  <c r="AL15" i="13" s="1"/>
  <c r="AM15" i="13" s="1"/>
  <c r="AE15" i="13"/>
  <c r="AD15" i="13"/>
  <c r="BB14" i="13"/>
  <c r="BC14" i="13" s="1"/>
  <c r="BD14" i="13" s="1"/>
  <c r="BE14" i="13" s="1"/>
  <c r="BF14" i="13" s="1"/>
  <c r="BG14" i="13" s="1"/>
  <c r="BH14" i="13" s="1"/>
  <c r="BI14" i="13" s="1"/>
  <c r="BJ14" i="13" s="1"/>
  <c r="BK14" i="13" s="1"/>
  <c r="AP14" i="13"/>
  <c r="AQ14" i="13" s="1"/>
  <c r="AR14" i="13" s="1"/>
  <c r="AS14" i="13" s="1"/>
  <c r="AT14" i="13" s="1"/>
  <c r="AU14" i="13" s="1"/>
  <c r="AV14" i="13" s="1"/>
  <c r="AW14" i="13" s="1"/>
  <c r="AX14" i="13" s="1"/>
  <c r="AY14" i="13" s="1"/>
  <c r="AD14" i="13"/>
  <c r="AE14" i="13" s="1"/>
  <c r="AF14" i="13" s="1"/>
  <c r="AG14" i="13" s="1"/>
  <c r="AH14" i="13" s="1"/>
  <c r="AI14" i="13" s="1"/>
  <c r="AJ14" i="13" s="1"/>
  <c r="AK14" i="13" s="1"/>
  <c r="AL14" i="13" s="1"/>
  <c r="AM14" i="13" s="1"/>
  <c r="BD13" i="13"/>
  <c r="BE13" i="13" s="1"/>
  <c r="BF13" i="13" s="1"/>
  <c r="BG13" i="13" s="1"/>
  <c r="BH13" i="13" s="1"/>
  <c r="BI13" i="13" s="1"/>
  <c r="BJ13" i="13" s="1"/>
  <c r="BK13" i="13" s="1"/>
  <c r="BC13" i="13"/>
  <c r="BB13" i="13"/>
  <c r="AP13" i="13"/>
  <c r="AQ13" i="13" s="1"/>
  <c r="AR13" i="13" s="1"/>
  <c r="AS13" i="13" s="1"/>
  <c r="AT13" i="13" s="1"/>
  <c r="AU13" i="13" s="1"/>
  <c r="AV13" i="13" s="1"/>
  <c r="AW13" i="13" s="1"/>
  <c r="AX13" i="13" s="1"/>
  <c r="AY13" i="13" s="1"/>
  <c r="AD13" i="13"/>
  <c r="AE13" i="13" s="1"/>
  <c r="AF13" i="13" s="1"/>
  <c r="AG13" i="13" s="1"/>
  <c r="AH13" i="13" s="1"/>
  <c r="AI13" i="13" s="1"/>
  <c r="AJ13" i="13" s="1"/>
  <c r="AK13" i="13" s="1"/>
  <c r="AL13" i="13" s="1"/>
  <c r="AM13" i="13" s="1"/>
  <c r="BA10" i="13"/>
  <c r="BA11" i="13" s="1"/>
  <c r="AO10" i="13"/>
  <c r="AO11" i="13" s="1"/>
  <c r="BD9" i="13"/>
  <c r="BE9" i="13" s="1"/>
  <c r="BB9" i="13"/>
  <c r="BC9" i="13" s="1"/>
  <c r="AT9" i="13"/>
  <c r="AR9" i="13"/>
  <c r="AS9" i="13" s="1"/>
  <c r="AQ9" i="13"/>
  <c r="AP9" i="13"/>
  <c r="AD9" i="13"/>
  <c r="AE9" i="13" s="1"/>
  <c r="BJ8" i="13"/>
  <c r="BK8" i="13" s="1"/>
  <c r="BB8" i="13"/>
  <c r="BC8" i="13" s="1"/>
  <c r="BD8" i="13" s="1"/>
  <c r="BE8" i="13" s="1"/>
  <c r="BF8" i="13" s="1"/>
  <c r="BG8" i="13" s="1"/>
  <c r="BH8" i="13" s="1"/>
  <c r="BI8" i="13" s="1"/>
  <c r="AR8" i="13"/>
  <c r="AS8" i="13" s="1"/>
  <c r="AT8" i="13" s="1"/>
  <c r="AU8" i="13" s="1"/>
  <c r="AV8" i="13" s="1"/>
  <c r="AW8" i="13" s="1"/>
  <c r="AX8" i="13" s="1"/>
  <c r="AY8" i="13" s="1"/>
  <c r="AP8" i="13"/>
  <c r="AQ8" i="13" s="1"/>
  <c r="AD8" i="13"/>
  <c r="AE8" i="13" s="1"/>
  <c r="AF8" i="13" s="1"/>
  <c r="AG8" i="13" s="1"/>
  <c r="AH8" i="13" s="1"/>
  <c r="AI8" i="13" s="1"/>
  <c r="AJ8" i="13" s="1"/>
  <c r="AK8" i="13" s="1"/>
  <c r="AL8" i="13" s="1"/>
  <c r="AM8" i="13" s="1"/>
  <c r="BH7" i="13"/>
  <c r="BI7" i="13" s="1"/>
  <c r="BJ7" i="13" s="1"/>
  <c r="BK7" i="13" s="1"/>
  <c r="BB7" i="13"/>
  <c r="BC7" i="13" s="1"/>
  <c r="BD7" i="13" s="1"/>
  <c r="BE7" i="13" s="1"/>
  <c r="BF7" i="13" s="1"/>
  <c r="BG7" i="13" s="1"/>
  <c r="AX7" i="13"/>
  <c r="AY7" i="13" s="1"/>
  <c r="AP7" i="13"/>
  <c r="AQ7" i="13" s="1"/>
  <c r="AR7" i="13" s="1"/>
  <c r="AS7" i="13" s="1"/>
  <c r="AT7" i="13" s="1"/>
  <c r="AU7" i="13" s="1"/>
  <c r="AV7" i="13" s="1"/>
  <c r="AW7" i="13" s="1"/>
  <c r="AF7" i="13"/>
  <c r="AG7" i="13" s="1"/>
  <c r="AH7" i="13" s="1"/>
  <c r="AI7" i="13" s="1"/>
  <c r="AJ7" i="13" s="1"/>
  <c r="AK7" i="13" s="1"/>
  <c r="AL7" i="13" s="1"/>
  <c r="AM7" i="13" s="1"/>
  <c r="AD7" i="13"/>
  <c r="AE7" i="13" s="1"/>
  <c r="BB6" i="13"/>
  <c r="BC6" i="13" s="1"/>
  <c r="BD6" i="13" s="1"/>
  <c r="BE6" i="13" s="1"/>
  <c r="BF6" i="13" s="1"/>
  <c r="BG6" i="13" s="1"/>
  <c r="BH6" i="13" s="1"/>
  <c r="BI6" i="13" s="1"/>
  <c r="BJ6" i="13" s="1"/>
  <c r="BK6" i="13" s="1"/>
  <c r="AV6" i="13"/>
  <c r="AW6" i="13" s="1"/>
  <c r="AX6" i="13" s="1"/>
  <c r="AY6" i="13" s="1"/>
  <c r="AP6" i="13"/>
  <c r="AQ6" i="13" s="1"/>
  <c r="AR6" i="13" s="1"/>
  <c r="AS6" i="13" s="1"/>
  <c r="AT6" i="13" s="1"/>
  <c r="AU6" i="13" s="1"/>
  <c r="AL6" i="13"/>
  <c r="AM6" i="13" s="1"/>
  <c r="AD6" i="13"/>
  <c r="AE6" i="13" s="1"/>
  <c r="AF6" i="13" s="1"/>
  <c r="AG6" i="13" s="1"/>
  <c r="AH6" i="13" s="1"/>
  <c r="AI6" i="13" s="1"/>
  <c r="AJ6" i="13" s="1"/>
  <c r="AK6" i="13" s="1"/>
  <c r="BD5" i="13"/>
  <c r="BE5" i="13" s="1"/>
  <c r="BF5" i="13" s="1"/>
  <c r="BG5" i="13" s="1"/>
  <c r="BH5" i="13" s="1"/>
  <c r="BI5" i="13" s="1"/>
  <c r="BJ5" i="13" s="1"/>
  <c r="BK5" i="13" s="1"/>
  <c r="BB5" i="13"/>
  <c r="BC5" i="13" s="1"/>
  <c r="AP5" i="13"/>
  <c r="AQ5" i="13" s="1"/>
  <c r="AR5" i="13" s="1"/>
  <c r="AS5" i="13" s="1"/>
  <c r="AT5" i="13" s="1"/>
  <c r="AU5" i="13" s="1"/>
  <c r="AV5" i="13" s="1"/>
  <c r="AW5" i="13" s="1"/>
  <c r="AX5" i="13" s="1"/>
  <c r="AY5" i="13" s="1"/>
  <c r="AJ5" i="13"/>
  <c r="AK5" i="13" s="1"/>
  <c r="AL5" i="13" s="1"/>
  <c r="AM5" i="13" s="1"/>
  <c r="AD5" i="13"/>
  <c r="AE5" i="13" s="1"/>
  <c r="AF5" i="13" s="1"/>
  <c r="AG5" i="13" s="1"/>
  <c r="AH5" i="13" s="1"/>
  <c r="AI5" i="13" s="1"/>
  <c r="BJ4" i="13"/>
  <c r="BK4" i="13" s="1"/>
  <c r="BB4" i="13"/>
  <c r="BC4" i="13" s="1"/>
  <c r="BD4" i="13" s="1"/>
  <c r="BE4" i="13" s="1"/>
  <c r="BF4" i="13" s="1"/>
  <c r="BG4" i="13" s="1"/>
  <c r="BH4" i="13" s="1"/>
  <c r="BI4" i="13" s="1"/>
  <c r="AR4" i="13"/>
  <c r="AS4" i="13" s="1"/>
  <c r="AT4" i="13" s="1"/>
  <c r="AU4" i="13" s="1"/>
  <c r="AV4" i="13" s="1"/>
  <c r="AW4" i="13" s="1"/>
  <c r="AX4" i="13" s="1"/>
  <c r="AY4" i="13" s="1"/>
  <c r="AP4" i="13"/>
  <c r="AQ4" i="13" s="1"/>
  <c r="AD4" i="13"/>
  <c r="AE4" i="13" s="1"/>
  <c r="AF4" i="13" s="1"/>
  <c r="AG4" i="13" s="1"/>
  <c r="AH4" i="13" s="1"/>
  <c r="AI4" i="13" s="1"/>
  <c r="AJ4" i="13" s="1"/>
  <c r="AK4" i="13" s="1"/>
  <c r="AL4" i="13" s="1"/>
  <c r="AM4" i="13" s="1"/>
  <c r="BH3" i="13"/>
  <c r="BI3" i="13" s="1"/>
  <c r="BJ3" i="13" s="1"/>
  <c r="BK3" i="13" s="1"/>
  <c r="BB3" i="13"/>
  <c r="BC3" i="13" s="1"/>
  <c r="BD3" i="13" s="1"/>
  <c r="BE3" i="13" s="1"/>
  <c r="BF3" i="13" s="1"/>
  <c r="BG3" i="13" s="1"/>
  <c r="AX3" i="13"/>
  <c r="AY3" i="13" s="1"/>
  <c r="AP3" i="13"/>
  <c r="AQ3" i="13" s="1"/>
  <c r="AR3" i="13" s="1"/>
  <c r="AS3" i="13" s="1"/>
  <c r="AT3" i="13" s="1"/>
  <c r="AU3" i="13" s="1"/>
  <c r="AV3" i="13" s="1"/>
  <c r="AW3" i="13" s="1"/>
  <c r="AF3" i="13"/>
  <c r="AG3" i="13" s="1"/>
  <c r="AH3" i="13" s="1"/>
  <c r="AI3" i="13" s="1"/>
  <c r="AJ3" i="13" s="1"/>
  <c r="AK3" i="13" s="1"/>
  <c r="AL3" i="13" s="1"/>
  <c r="AM3" i="13" s="1"/>
  <c r="AD3" i="13"/>
  <c r="AE3" i="13" s="1"/>
  <c r="BB2" i="13"/>
  <c r="BC2" i="13" s="1"/>
  <c r="BD2" i="13" s="1"/>
  <c r="BE2" i="13" s="1"/>
  <c r="BF2" i="13" s="1"/>
  <c r="BG2" i="13" s="1"/>
  <c r="BH2" i="13" s="1"/>
  <c r="BI2" i="13" s="1"/>
  <c r="BJ2" i="13" s="1"/>
  <c r="BK2" i="13" s="1"/>
  <c r="AV2" i="13"/>
  <c r="AW2" i="13" s="1"/>
  <c r="AX2" i="13" s="1"/>
  <c r="AY2" i="13" s="1"/>
  <c r="AP2" i="13"/>
  <c r="AQ2" i="13" s="1"/>
  <c r="AR2" i="13" s="1"/>
  <c r="AS2" i="13" s="1"/>
  <c r="AT2" i="13" s="1"/>
  <c r="AU2" i="13" s="1"/>
  <c r="AL2" i="13"/>
  <c r="AM2" i="13" s="1"/>
  <c r="AD2" i="13"/>
  <c r="AE2" i="13" s="1"/>
  <c r="AF2" i="13" s="1"/>
  <c r="AG2" i="13" s="1"/>
  <c r="AH2" i="13" s="1"/>
  <c r="AI2" i="13" s="1"/>
  <c r="AJ2" i="13" s="1"/>
  <c r="AK2" i="13" s="1"/>
  <c r="BA21" i="12"/>
  <c r="BA22" i="12" s="1"/>
  <c r="BA23" i="12" s="1"/>
  <c r="AO21" i="12"/>
  <c r="AO22" i="12" s="1"/>
  <c r="AO23" i="12" s="1"/>
  <c r="BB20" i="12"/>
  <c r="BC20" i="12" s="1"/>
  <c r="AR20" i="12"/>
  <c r="AS20" i="12" s="1"/>
  <c r="AQ20" i="12"/>
  <c r="AP20" i="12"/>
  <c r="AD20" i="12"/>
  <c r="AE20" i="12" s="1"/>
  <c r="BB19" i="12"/>
  <c r="BC19" i="12" s="1"/>
  <c r="BD19" i="12" s="1"/>
  <c r="BE19" i="12" s="1"/>
  <c r="BF19" i="12" s="1"/>
  <c r="BG19" i="12" s="1"/>
  <c r="BH19" i="12" s="1"/>
  <c r="BI19" i="12" s="1"/>
  <c r="BJ19" i="12" s="1"/>
  <c r="BK19" i="12" s="1"/>
  <c r="AP19" i="12"/>
  <c r="AQ19" i="12" s="1"/>
  <c r="AR19" i="12" s="1"/>
  <c r="AS19" i="12" s="1"/>
  <c r="AT19" i="12" s="1"/>
  <c r="AU19" i="12" s="1"/>
  <c r="AV19" i="12" s="1"/>
  <c r="AW19" i="12" s="1"/>
  <c r="AX19" i="12" s="1"/>
  <c r="AY19" i="12" s="1"/>
  <c r="AF19" i="12"/>
  <c r="AG19" i="12" s="1"/>
  <c r="AH19" i="12" s="1"/>
  <c r="AI19" i="12" s="1"/>
  <c r="AJ19" i="12" s="1"/>
  <c r="AK19" i="12" s="1"/>
  <c r="AL19" i="12" s="1"/>
  <c r="AM19" i="12" s="1"/>
  <c r="AE19" i="12"/>
  <c r="AD19" i="12"/>
  <c r="BB18" i="12"/>
  <c r="BC18" i="12" s="1"/>
  <c r="BD18" i="12" s="1"/>
  <c r="BE18" i="12" s="1"/>
  <c r="BF18" i="12" s="1"/>
  <c r="BG18" i="12" s="1"/>
  <c r="BH18" i="12" s="1"/>
  <c r="BI18" i="12" s="1"/>
  <c r="BJ18" i="12" s="1"/>
  <c r="BK18" i="12" s="1"/>
  <c r="AP18" i="12"/>
  <c r="AQ18" i="12" s="1"/>
  <c r="AR18" i="12" s="1"/>
  <c r="AS18" i="12" s="1"/>
  <c r="AT18" i="12" s="1"/>
  <c r="AU18" i="12" s="1"/>
  <c r="AV18" i="12" s="1"/>
  <c r="AW18" i="12" s="1"/>
  <c r="AX18" i="12" s="1"/>
  <c r="AY18" i="12" s="1"/>
  <c r="AD18" i="12"/>
  <c r="AE18" i="12" s="1"/>
  <c r="AF18" i="12" s="1"/>
  <c r="AG18" i="12" s="1"/>
  <c r="AH18" i="12" s="1"/>
  <c r="AI18" i="12" s="1"/>
  <c r="AJ18" i="12" s="1"/>
  <c r="AK18" i="12" s="1"/>
  <c r="AL18" i="12" s="1"/>
  <c r="AM18" i="12" s="1"/>
  <c r="BF17" i="12"/>
  <c r="BG17" i="12" s="1"/>
  <c r="BH17" i="12" s="1"/>
  <c r="BI17" i="12" s="1"/>
  <c r="BJ17" i="12" s="1"/>
  <c r="BK17" i="12" s="1"/>
  <c r="BD17" i="12"/>
  <c r="BE17" i="12" s="1"/>
  <c r="BC17" i="12"/>
  <c r="BB17" i="12"/>
  <c r="AP17" i="12"/>
  <c r="AQ17" i="12" s="1"/>
  <c r="AR17" i="12" s="1"/>
  <c r="AS17" i="12" s="1"/>
  <c r="AT17" i="12" s="1"/>
  <c r="AU17" i="12" s="1"/>
  <c r="AV17" i="12" s="1"/>
  <c r="AW17" i="12" s="1"/>
  <c r="AX17" i="12" s="1"/>
  <c r="AY17" i="12" s="1"/>
  <c r="AD17" i="12"/>
  <c r="AE17" i="12" s="1"/>
  <c r="AF17" i="12" s="1"/>
  <c r="AG17" i="12" s="1"/>
  <c r="AH17" i="12" s="1"/>
  <c r="AI17" i="12" s="1"/>
  <c r="AJ17" i="12" s="1"/>
  <c r="AK17" i="12" s="1"/>
  <c r="AL17" i="12" s="1"/>
  <c r="AM17" i="12" s="1"/>
  <c r="BD16" i="12"/>
  <c r="BE16" i="12" s="1"/>
  <c r="BF16" i="12" s="1"/>
  <c r="BG16" i="12" s="1"/>
  <c r="BH16" i="12" s="1"/>
  <c r="BI16" i="12" s="1"/>
  <c r="BJ16" i="12" s="1"/>
  <c r="BK16" i="12" s="1"/>
  <c r="BB16" i="12"/>
  <c r="BC16" i="12" s="1"/>
  <c r="AR16" i="12"/>
  <c r="AS16" i="12" s="1"/>
  <c r="AT16" i="12" s="1"/>
  <c r="AU16" i="12" s="1"/>
  <c r="AV16" i="12" s="1"/>
  <c r="AW16" i="12" s="1"/>
  <c r="AX16" i="12" s="1"/>
  <c r="AY16" i="12" s="1"/>
  <c r="AQ16" i="12"/>
  <c r="AP16" i="12"/>
  <c r="AD16" i="12"/>
  <c r="AE16" i="12" s="1"/>
  <c r="AF16" i="12" s="1"/>
  <c r="AG16" i="12" s="1"/>
  <c r="AH16" i="12" s="1"/>
  <c r="AI16" i="12" s="1"/>
  <c r="AJ16" i="12" s="1"/>
  <c r="AK16" i="12" s="1"/>
  <c r="AL16" i="12" s="1"/>
  <c r="AM16" i="12" s="1"/>
  <c r="BJ15" i="12"/>
  <c r="BK15" i="12" s="1"/>
  <c r="BB15" i="12"/>
  <c r="BC15" i="12" s="1"/>
  <c r="BD15" i="12" s="1"/>
  <c r="BE15" i="12" s="1"/>
  <c r="BF15" i="12" s="1"/>
  <c r="BG15" i="12" s="1"/>
  <c r="BH15" i="12" s="1"/>
  <c r="BI15" i="12" s="1"/>
  <c r="AP15" i="12"/>
  <c r="AQ15" i="12" s="1"/>
  <c r="AR15" i="12" s="1"/>
  <c r="AS15" i="12" s="1"/>
  <c r="AT15" i="12" s="1"/>
  <c r="AU15" i="12" s="1"/>
  <c r="AV15" i="12" s="1"/>
  <c r="AW15" i="12" s="1"/>
  <c r="AX15" i="12" s="1"/>
  <c r="AY15" i="12" s="1"/>
  <c r="AF15" i="12"/>
  <c r="AG15" i="12" s="1"/>
  <c r="AH15" i="12" s="1"/>
  <c r="AI15" i="12" s="1"/>
  <c r="AJ15" i="12" s="1"/>
  <c r="AK15" i="12" s="1"/>
  <c r="AL15" i="12" s="1"/>
  <c r="AM15" i="12" s="1"/>
  <c r="AE15" i="12"/>
  <c r="AD15" i="12"/>
  <c r="BH14" i="12"/>
  <c r="BI14" i="12" s="1"/>
  <c r="BJ14" i="12" s="1"/>
  <c r="BK14" i="12" s="1"/>
  <c r="BB14" i="12"/>
  <c r="BC14" i="12" s="1"/>
  <c r="BD14" i="12" s="1"/>
  <c r="BE14" i="12" s="1"/>
  <c r="BF14" i="12" s="1"/>
  <c r="BG14" i="12" s="1"/>
  <c r="AP14" i="12"/>
  <c r="AQ14" i="12" s="1"/>
  <c r="AR14" i="12" s="1"/>
  <c r="AS14" i="12" s="1"/>
  <c r="AT14" i="12" s="1"/>
  <c r="AU14" i="12" s="1"/>
  <c r="AV14" i="12" s="1"/>
  <c r="AW14" i="12" s="1"/>
  <c r="AX14" i="12" s="1"/>
  <c r="AY14" i="12" s="1"/>
  <c r="AD14" i="12"/>
  <c r="AE14" i="12" s="1"/>
  <c r="AF14" i="12" s="1"/>
  <c r="AG14" i="12" s="1"/>
  <c r="AH14" i="12" s="1"/>
  <c r="AI14" i="12" s="1"/>
  <c r="AJ14" i="12" s="1"/>
  <c r="AK14" i="12" s="1"/>
  <c r="AL14" i="12" s="1"/>
  <c r="AM14" i="12" s="1"/>
  <c r="BD13" i="12"/>
  <c r="BE13" i="12" s="1"/>
  <c r="BF13" i="12" s="1"/>
  <c r="BG13" i="12" s="1"/>
  <c r="BH13" i="12" s="1"/>
  <c r="BI13" i="12" s="1"/>
  <c r="BJ13" i="12" s="1"/>
  <c r="BK13" i="12" s="1"/>
  <c r="BC13" i="12"/>
  <c r="BB13" i="12"/>
  <c r="AP13" i="12"/>
  <c r="AQ13" i="12" s="1"/>
  <c r="AR13" i="12" s="1"/>
  <c r="AS13" i="12" s="1"/>
  <c r="AT13" i="12" s="1"/>
  <c r="AU13" i="12" s="1"/>
  <c r="AV13" i="12" s="1"/>
  <c r="AW13" i="12" s="1"/>
  <c r="AX13" i="12" s="1"/>
  <c r="AY13" i="12" s="1"/>
  <c r="AD13" i="12"/>
  <c r="AE13" i="12" s="1"/>
  <c r="AF13" i="12" s="1"/>
  <c r="AG13" i="12" s="1"/>
  <c r="AH13" i="12" s="1"/>
  <c r="AI13" i="12" s="1"/>
  <c r="AJ13" i="12" s="1"/>
  <c r="AK13" i="12" s="1"/>
  <c r="AL13" i="12" s="1"/>
  <c r="AM13" i="12" s="1"/>
  <c r="BA10" i="12"/>
  <c r="BA11" i="12" s="1"/>
  <c r="AO10" i="12"/>
  <c r="AO11" i="12" s="1"/>
  <c r="AD10" i="12"/>
  <c r="AD11" i="12" s="1"/>
  <c r="BD9" i="12"/>
  <c r="BE9" i="12" s="1"/>
  <c r="BB9" i="12"/>
  <c r="BC9" i="12" s="1"/>
  <c r="AR9" i="12"/>
  <c r="AS9" i="12" s="1"/>
  <c r="AQ9" i="12"/>
  <c r="AP9" i="12"/>
  <c r="AD9" i="12"/>
  <c r="AE9" i="12" s="1"/>
  <c r="BJ8" i="12"/>
  <c r="BK8" i="12" s="1"/>
  <c r="BB8" i="12"/>
  <c r="BC8" i="12" s="1"/>
  <c r="BD8" i="12" s="1"/>
  <c r="BE8" i="12" s="1"/>
  <c r="BF8" i="12" s="1"/>
  <c r="BG8" i="12" s="1"/>
  <c r="BH8" i="12" s="1"/>
  <c r="BI8" i="12" s="1"/>
  <c r="AP8" i="12"/>
  <c r="AQ8" i="12" s="1"/>
  <c r="AR8" i="12" s="1"/>
  <c r="AS8" i="12" s="1"/>
  <c r="AT8" i="12" s="1"/>
  <c r="AU8" i="12" s="1"/>
  <c r="AV8" i="12" s="1"/>
  <c r="AW8" i="12" s="1"/>
  <c r="AX8" i="12" s="1"/>
  <c r="AY8" i="12" s="1"/>
  <c r="AF8" i="12"/>
  <c r="AG8" i="12" s="1"/>
  <c r="AH8" i="12" s="1"/>
  <c r="AI8" i="12" s="1"/>
  <c r="AJ8" i="12" s="1"/>
  <c r="AK8" i="12" s="1"/>
  <c r="AL8" i="12" s="1"/>
  <c r="AM8" i="12" s="1"/>
  <c r="AE8" i="12"/>
  <c r="AD8" i="12"/>
  <c r="BH7" i="12"/>
  <c r="BI7" i="12" s="1"/>
  <c r="BJ7" i="12" s="1"/>
  <c r="BK7" i="12" s="1"/>
  <c r="BB7" i="12"/>
  <c r="BC7" i="12" s="1"/>
  <c r="BD7" i="12" s="1"/>
  <c r="BE7" i="12" s="1"/>
  <c r="BF7" i="12" s="1"/>
  <c r="BG7" i="12" s="1"/>
  <c r="AP7" i="12"/>
  <c r="AQ7" i="12" s="1"/>
  <c r="AR7" i="12" s="1"/>
  <c r="AS7" i="12" s="1"/>
  <c r="AT7" i="12" s="1"/>
  <c r="AU7" i="12" s="1"/>
  <c r="AV7" i="12" s="1"/>
  <c r="AW7" i="12" s="1"/>
  <c r="AX7" i="12" s="1"/>
  <c r="AY7" i="12" s="1"/>
  <c r="AD7" i="12"/>
  <c r="AE7" i="12" s="1"/>
  <c r="AF7" i="12" s="1"/>
  <c r="AG7" i="12" s="1"/>
  <c r="AH7" i="12" s="1"/>
  <c r="AI7" i="12" s="1"/>
  <c r="AJ7" i="12" s="1"/>
  <c r="AK7" i="12" s="1"/>
  <c r="AL7" i="12" s="1"/>
  <c r="AM7" i="12" s="1"/>
  <c r="BD6" i="12"/>
  <c r="BE6" i="12" s="1"/>
  <c r="BF6" i="12" s="1"/>
  <c r="BG6" i="12" s="1"/>
  <c r="BH6" i="12" s="1"/>
  <c r="BI6" i="12" s="1"/>
  <c r="BJ6" i="12" s="1"/>
  <c r="BK6" i="12" s="1"/>
  <c r="BC6" i="12"/>
  <c r="BB6" i="12"/>
  <c r="AP6" i="12"/>
  <c r="AQ6" i="12" s="1"/>
  <c r="AR6" i="12" s="1"/>
  <c r="AS6" i="12" s="1"/>
  <c r="AT6" i="12" s="1"/>
  <c r="AU6" i="12" s="1"/>
  <c r="AV6" i="12" s="1"/>
  <c r="AW6" i="12" s="1"/>
  <c r="AX6" i="12" s="1"/>
  <c r="AY6" i="12" s="1"/>
  <c r="AD6" i="12"/>
  <c r="AE6" i="12" s="1"/>
  <c r="AF6" i="12" s="1"/>
  <c r="AG6" i="12" s="1"/>
  <c r="AH6" i="12" s="1"/>
  <c r="AI6" i="12" s="1"/>
  <c r="AJ6" i="12" s="1"/>
  <c r="AK6" i="12" s="1"/>
  <c r="AL6" i="12" s="1"/>
  <c r="AM6" i="12" s="1"/>
  <c r="BB5" i="12"/>
  <c r="BC5" i="12" s="1"/>
  <c r="BD5" i="12" s="1"/>
  <c r="BE5" i="12" s="1"/>
  <c r="BF5" i="12" s="1"/>
  <c r="BG5" i="12" s="1"/>
  <c r="BH5" i="12" s="1"/>
  <c r="BI5" i="12" s="1"/>
  <c r="BJ5" i="12" s="1"/>
  <c r="BK5" i="12" s="1"/>
  <c r="AT5" i="12"/>
  <c r="AU5" i="12" s="1"/>
  <c r="AV5" i="12" s="1"/>
  <c r="AW5" i="12" s="1"/>
  <c r="AX5" i="12" s="1"/>
  <c r="AY5" i="12" s="1"/>
  <c r="AR5" i="12"/>
  <c r="AS5" i="12" s="1"/>
  <c r="AQ5" i="12"/>
  <c r="AP5" i="12"/>
  <c r="AD5" i="12"/>
  <c r="AE5" i="12" s="1"/>
  <c r="AF5" i="12" s="1"/>
  <c r="AG5" i="12" s="1"/>
  <c r="AH5" i="12" s="1"/>
  <c r="AI5" i="12" s="1"/>
  <c r="AJ5" i="12" s="1"/>
  <c r="AK5" i="12" s="1"/>
  <c r="AL5" i="12" s="1"/>
  <c r="AM5" i="12" s="1"/>
  <c r="BB4" i="12"/>
  <c r="BC4" i="12" s="1"/>
  <c r="BD4" i="12" s="1"/>
  <c r="BE4" i="12" s="1"/>
  <c r="BF4" i="12" s="1"/>
  <c r="BG4" i="12" s="1"/>
  <c r="BH4" i="12" s="1"/>
  <c r="BI4" i="12" s="1"/>
  <c r="BJ4" i="12" s="1"/>
  <c r="BK4" i="12" s="1"/>
  <c r="AR4" i="12"/>
  <c r="AS4" i="12" s="1"/>
  <c r="AT4" i="12" s="1"/>
  <c r="AU4" i="12" s="1"/>
  <c r="AV4" i="12" s="1"/>
  <c r="AW4" i="12" s="1"/>
  <c r="AX4" i="12" s="1"/>
  <c r="AY4" i="12" s="1"/>
  <c r="AP4" i="12"/>
  <c r="AQ4" i="12" s="1"/>
  <c r="AF4" i="12"/>
  <c r="AG4" i="12" s="1"/>
  <c r="AH4" i="12" s="1"/>
  <c r="AI4" i="12" s="1"/>
  <c r="AJ4" i="12" s="1"/>
  <c r="AK4" i="12" s="1"/>
  <c r="AL4" i="12" s="1"/>
  <c r="AM4" i="12" s="1"/>
  <c r="AE4" i="12"/>
  <c r="AD4" i="12"/>
  <c r="BB3" i="12"/>
  <c r="BC3" i="12" s="1"/>
  <c r="BD3" i="12" s="1"/>
  <c r="BE3" i="12" s="1"/>
  <c r="BF3" i="12" s="1"/>
  <c r="BG3" i="12" s="1"/>
  <c r="BH3" i="12" s="1"/>
  <c r="BI3" i="12" s="1"/>
  <c r="BJ3" i="12" s="1"/>
  <c r="BK3" i="12" s="1"/>
  <c r="AX3" i="12"/>
  <c r="AY3" i="12" s="1"/>
  <c r="AP3" i="12"/>
  <c r="AQ3" i="12" s="1"/>
  <c r="AR3" i="12" s="1"/>
  <c r="AS3" i="12" s="1"/>
  <c r="AT3" i="12" s="1"/>
  <c r="AU3" i="12" s="1"/>
  <c r="AV3" i="12" s="1"/>
  <c r="AW3" i="12" s="1"/>
  <c r="AD3" i="12"/>
  <c r="AE3" i="12" s="1"/>
  <c r="AF3" i="12" s="1"/>
  <c r="AG3" i="12" s="1"/>
  <c r="AH3" i="12" s="1"/>
  <c r="AI3" i="12" s="1"/>
  <c r="AJ3" i="12" s="1"/>
  <c r="AK3" i="12" s="1"/>
  <c r="AL3" i="12" s="1"/>
  <c r="AM3" i="12" s="1"/>
  <c r="BD2" i="12"/>
  <c r="BE2" i="12" s="1"/>
  <c r="BF2" i="12" s="1"/>
  <c r="BG2" i="12" s="1"/>
  <c r="BH2" i="12" s="1"/>
  <c r="BI2" i="12" s="1"/>
  <c r="BJ2" i="12" s="1"/>
  <c r="BK2" i="12" s="1"/>
  <c r="BC2" i="12"/>
  <c r="BB2" i="12"/>
  <c r="AV2" i="12"/>
  <c r="AW2" i="12" s="1"/>
  <c r="AX2" i="12" s="1"/>
  <c r="AY2" i="12" s="1"/>
  <c r="AP2" i="12"/>
  <c r="AQ2" i="12" s="1"/>
  <c r="AR2" i="12" s="1"/>
  <c r="AS2" i="12" s="1"/>
  <c r="AT2" i="12" s="1"/>
  <c r="AU2" i="12" s="1"/>
  <c r="AD2" i="12"/>
  <c r="AE2" i="12" s="1"/>
  <c r="AF2" i="12" s="1"/>
  <c r="AG2" i="12" s="1"/>
  <c r="AH2" i="12" s="1"/>
  <c r="AI2" i="12" s="1"/>
  <c r="AJ2" i="12" s="1"/>
  <c r="AK2" i="12" s="1"/>
  <c r="AL2" i="12" s="1"/>
  <c r="AM2" i="12" s="1"/>
  <c r="BA21" i="11"/>
  <c r="BA22" i="11" s="1"/>
  <c r="AO21" i="11"/>
  <c r="AO22" i="11" s="1"/>
  <c r="AO23" i="11" s="1"/>
  <c r="BB20" i="11"/>
  <c r="BC20" i="11" s="1"/>
  <c r="AP20" i="11"/>
  <c r="AQ20" i="11" s="1"/>
  <c r="AD20" i="11"/>
  <c r="AE20" i="11" s="1"/>
  <c r="BB19" i="11"/>
  <c r="BC19" i="11" s="1"/>
  <c r="BD19" i="11" s="1"/>
  <c r="BE19" i="11" s="1"/>
  <c r="BF19" i="11" s="1"/>
  <c r="BG19" i="11" s="1"/>
  <c r="BH19" i="11" s="1"/>
  <c r="BI19" i="11" s="1"/>
  <c r="BJ19" i="11" s="1"/>
  <c r="BK19" i="11" s="1"/>
  <c r="AP19" i="11"/>
  <c r="AQ19" i="11" s="1"/>
  <c r="AR19" i="11" s="1"/>
  <c r="AS19" i="11" s="1"/>
  <c r="AT19" i="11" s="1"/>
  <c r="AU19" i="11" s="1"/>
  <c r="AV19" i="11" s="1"/>
  <c r="AW19" i="11" s="1"/>
  <c r="AX19" i="11" s="1"/>
  <c r="AY19" i="11" s="1"/>
  <c r="AD19" i="11"/>
  <c r="AE19" i="11" s="1"/>
  <c r="AF19" i="11" s="1"/>
  <c r="AG19" i="11" s="1"/>
  <c r="AH19" i="11" s="1"/>
  <c r="AI19" i="11" s="1"/>
  <c r="AJ19" i="11" s="1"/>
  <c r="AK19" i="11" s="1"/>
  <c r="AL19" i="11" s="1"/>
  <c r="AM19" i="11" s="1"/>
  <c r="BB18" i="11"/>
  <c r="BC18" i="11" s="1"/>
  <c r="BD18" i="11" s="1"/>
  <c r="BE18" i="11" s="1"/>
  <c r="BF18" i="11" s="1"/>
  <c r="BG18" i="11" s="1"/>
  <c r="BH18" i="11" s="1"/>
  <c r="BI18" i="11" s="1"/>
  <c r="BJ18" i="11" s="1"/>
  <c r="BK18" i="11" s="1"/>
  <c r="AP18" i="11"/>
  <c r="AQ18" i="11" s="1"/>
  <c r="AR18" i="11" s="1"/>
  <c r="AS18" i="11" s="1"/>
  <c r="AT18" i="11" s="1"/>
  <c r="AU18" i="11" s="1"/>
  <c r="AV18" i="11" s="1"/>
  <c r="AW18" i="11" s="1"/>
  <c r="AX18" i="11" s="1"/>
  <c r="AY18" i="11" s="1"/>
  <c r="AD18" i="11"/>
  <c r="AE18" i="11" s="1"/>
  <c r="AF18" i="11" s="1"/>
  <c r="AG18" i="11" s="1"/>
  <c r="AH18" i="11" s="1"/>
  <c r="AI18" i="11" s="1"/>
  <c r="AJ18" i="11" s="1"/>
  <c r="AK18" i="11" s="1"/>
  <c r="AL18" i="11" s="1"/>
  <c r="AM18" i="11" s="1"/>
  <c r="BB17" i="11"/>
  <c r="BC17" i="11" s="1"/>
  <c r="BD17" i="11" s="1"/>
  <c r="BE17" i="11" s="1"/>
  <c r="BF17" i="11" s="1"/>
  <c r="BG17" i="11" s="1"/>
  <c r="BH17" i="11" s="1"/>
  <c r="BI17" i="11" s="1"/>
  <c r="BJ17" i="11" s="1"/>
  <c r="BK17" i="11" s="1"/>
  <c r="AP17" i="11"/>
  <c r="AQ17" i="11" s="1"/>
  <c r="AR17" i="11" s="1"/>
  <c r="AS17" i="11" s="1"/>
  <c r="AT17" i="11" s="1"/>
  <c r="AU17" i="11" s="1"/>
  <c r="AV17" i="11" s="1"/>
  <c r="AW17" i="11" s="1"/>
  <c r="AX17" i="11" s="1"/>
  <c r="AY17" i="11" s="1"/>
  <c r="AD17" i="11"/>
  <c r="AD21" i="11" s="1"/>
  <c r="AD22" i="11" s="1"/>
  <c r="BB16" i="11"/>
  <c r="BC16" i="11" s="1"/>
  <c r="BD16" i="11" s="1"/>
  <c r="BE16" i="11" s="1"/>
  <c r="BF16" i="11" s="1"/>
  <c r="BG16" i="11" s="1"/>
  <c r="BH16" i="11" s="1"/>
  <c r="BI16" i="11" s="1"/>
  <c r="BJ16" i="11" s="1"/>
  <c r="BK16" i="11" s="1"/>
  <c r="AP16" i="11"/>
  <c r="AQ16" i="11" s="1"/>
  <c r="AR16" i="11" s="1"/>
  <c r="AS16" i="11" s="1"/>
  <c r="AT16" i="11" s="1"/>
  <c r="AU16" i="11" s="1"/>
  <c r="AV16" i="11" s="1"/>
  <c r="AW16" i="11" s="1"/>
  <c r="AX16" i="11" s="1"/>
  <c r="AY16" i="11" s="1"/>
  <c r="AD16" i="11"/>
  <c r="AE16" i="11" s="1"/>
  <c r="AF16" i="11" s="1"/>
  <c r="AG16" i="11" s="1"/>
  <c r="AH16" i="11" s="1"/>
  <c r="AI16" i="11" s="1"/>
  <c r="AJ16" i="11" s="1"/>
  <c r="AK16" i="11" s="1"/>
  <c r="AL16" i="11" s="1"/>
  <c r="AM16" i="11" s="1"/>
  <c r="BB15" i="11"/>
  <c r="BC15" i="11" s="1"/>
  <c r="BD15" i="11" s="1"/>
  <c r="BE15" i="11" s="1"/>
  <c r="BF15" i="11" s="1"/>
  <c r="BG15" i="11" s="1"/>
  <c r="BH15" i="11" s="1"/>
  <c r="BI15" i="11" s="1"/>
  <c r="BJ15" i="11" s="1"/>
  <c r="BK15" i="11" s="1"/>
  <c r="AP15" i="11"/>
  <c r="AQ15" i="11" s="1"/>
  <c r="AR15" i="11" s="1"/>
  <c r="AS15" i="11" s="1"/>
  <c r="AT15" i="11" s="1"/>
  <c r="AU15" i="11" s="1"/>
  <c r="AV15" i="11" s="1"/>
  <c r="AW15" i="11" s="1"/>
  <c r="AX15" i="11" s="1"/>
  <c r="AY15" i="11" s="1"/>
  <c r="AD15" i="11"/>
  <c r="AE15" i="11" s="1"/>
  <c r="AF15" i="11" s="1"/>
  <c r="AG15" i="11" s="1"/>
  <c r="AH15" i="11" s="1"/>
  <c r="AI15" i="11" s="1"/>
  <c r="AJ15" i="11" s="1"/>
  <c r="AK15" i="11" s="1"/>
  <c r="AL15" i="11" s="1"/>
  <c r="AM15" i="11" s="1"/>
  <c r="BB14" i="11"/>
  <c r="BC14" i="11" s="1"/>
  <c r="BD14" i="11" s="1"/>
  <c r="BE14" i="11" s="1"/>
  <c r="BF14" i="11" s="1"/>
  <c r="BG14" i="11" s="1"/>
  <c r="BH14" i="11" s="1"/>
  <c r="BI14" i="11" s="1"/>
  <c r="BJ14" i="11" s="1"/>
  <c r="BK14" i="11" s="1"/>
  <c r="AP14" i="11"/>
  <c r="AQ14" i="11" s="1"/>
  <c r="AR14" i="11" s="1"/>
  <c r="AS14" i="11" s="1"/>
  <c r="AT14" i="11" s="1"/>
  <c r="AU14" i="11" s="1"/>
  <c r="AV14" i="11" s="1"/>
  <c r="AW14" i="11" s="1"/>
  <c r="AX14" i="11" s="1"/>
  <c r="AY14" i="11" s="1"/>
  <c r="AD14" i="11"/>
  <c r="AE14" i="11" s="1"/>
  <c r="AF14" i="11" s="1"/>
  <c r="AG14" i="11" s="1"/>
  <c r="AH14" i="11" s="1"/>
  <c r="AI14" i="11" s="1"/>
  <c r="AJ14" i="11" s="1"/>
  <c r="AK14" i="11" s="1"/>
  <c r="AL14" i="11" s="1"/>
  <c r="AM14" i="11" s="1"/>
  <c r="BB13" i="11"/>
  <c r="BC13" i="11" s="1"/>
  <c r="BD13" i="11" s="1"/>
  <c r="BE13" i="11" s="1"/>
  <c r="BF13" i="11" s="1"/>
  <c r="BG13" i="11" s="1"/>
  <c r="BH13" i="11" s="1"/>
  <c r="BI13" i="11" s="1"/>
  <c r="BJ13" i="11" s="1"/>
  <c r="BK13" i="11" s="1"/>
  <c r="AP13" i="11"/>
  <c r="AQ13" i="11" s="1"/>
  <c r="AR13" i="11" s="1"/>
  <c r="AS13" i="11" s="1"/>
  <c r="AT13" i="11" s="1"/>
  <c r="AU13" i="11" s="1"/>
  <c r="AV13" i="11" s="1"/>
  <c r="AW13" i="11" s="1"/>
  <c r="AX13" i="11" s="1"/>
  <c r="AY13" i="11" s="1"/>
  <c r="AD13" i="11"/>
  <c r="AE13" i="11" s="1"/>
  <c r="AF13" i="11" s="1"/>
  <c r="AG13" i="11" s="1"/>
  <c r="AH13" i="11" s="1"/>
  <c r="AI13" i="11" s="1"/>
  <c r="AJ13" i="11" s="1"/>
  <c r="AK13" i="11" s="1"/>
  <c r="AL13" i="11" s="1"/>
  <c r="AM13" i="11" s="1"/>
  <c r="BA10" i="11"/>
  <c r="BA11" i="11" s="1"/>
  <c r="AO10" i="11"/>
  <c r="AO11" i="11" s="1"/>
  <c r="BD9" i="11"/>
  <c r="BE9" i="11" s="1"/>
  <c r="BB9" i="11"/>
  <c r="BC9" i="11" s="1"/>
  <c r="AP9" i="11"/>
  <c r="AQ9" i="11" s="1"/>
  <c r="AD9" i="11"/>
  <c r="AE9" i="11" s="1"/>
  <c r="BJ8" i="11"/>
  <c r="BK8" i="11" s="1"/>
  <c r="BB8" i="11"/>
  <c r="BC8" i="11" s="1"/>
  <c r="BD8" i="11" s="1"/>
  <c r="BE8" i="11" s="1"/>
  <c r="BF8" i="11" s="1"/>
  <c r="BG8" i="11" s="1"/>
  <c r="BH8" i="11" s="1"/>
  <c r="BI8" i="11" s="1"/>
  <c r="AR8" i="11"/>
  <c r="AS8" i="11" s="1"/>
  <c r="AT8" i="11" s="1"/>
  <c r="AU8" i="11" s="1"/>
  <c r="AV8" i="11" s="1"/>
  <c r="AW8" i="11" s="1"/>
  <c r="AX8" i="11" s="1"/>
  <c r="AY8" i="11" s="1"/>
  <c r="AP8" i="11"/>
  <c r="AQ8" i="11" s="1"/>
  <c r="AD8" i="11"/>
  <c r="AE8" i="11" s="1"/>
  <c r="AF8" i="11" s="1"/>
  <c r="AG8" i="11" s="1"/>
  <c r="AH8" i="11" s="1"/>
  <c r="AI8" i="11" s="1"/>
  <c r="AJ8" i="11" s="1"/>
  <c r="AK8" i="11" s="1"/>
  <c r="AL8" i="11" s="1"/>
  <c r="AM8" i="11" s="1"/>
  <c r="BH7" i="11"/>
  <c r="BI7" i="11" s="1"/>
  <c r="BJ7" i="11" s="1"/>
  <c r="BK7" i="11" s="1"/>
  <c r="BB7" i="11"/>
  <c r="BC7" i="11" s="1"/>
  <c r="BD7" i="11" s="1"/>
  <c r="BE7" i="11" s="1"/>
  <c r="BF7" i="11" s="1"/>
  <c r="BG7" i="11" s="1"/>
  <c r="AX7" i="11"/>
  <c r="AY7" i="11" s="1"/>
  <c r="AP7" i="11"/>
  <c r="AQ7" i="11" s="1"/>
  <c r="AR7" i="11" s="1"/>
  <c r="AS7" i="11" s="1"/>
  <c r="AT7" i="11" s="1"/>
  <c r="AU7" i="11" s="1"/>
  <c r="AV7" i="11" s="1"/>
  <c r="AW7" i="11" s="1"/>
  <c r="AF7" i="11"/>
  <c r="AG7" i="11" s="1"/>
  <c r="AH7" i="11" s="1"/>
  <c r="AI7" i="11" s="1"/>
  <c r="AJ7" i="11" s="1"/>
  <c r="AK7" i="11" s="1"/>
  <c r="AL7" i="11" s="1"/>
  <c r="AM7" i="11" s="1"/>
  <c r="AD7" i="11"/>
  <c r="AE7" i="11" s="1"/>
  <c r="BB6" i="11"/>
  <c r="BC6" i="11" s="1"/>
  <c r="BD6" i="11" s="1"/>
  <c r="BE6" i="11" s="1"/>
  <c r="BF6" i="11" s="1"/>
  <c r="BG6" i="11" s="1"/>
  <c r="BH6" i="11" s="1"/>
  <c r="BI6" i="11" s="1"/>
  <c r="BJ6" i="11" s="1"/>
  <c r="BK6" i="11" s="1"/>
  <c r="AV6" i="11"/>
  <c r="AW6" i="11" s="1"/>
  <c r="AX6" i="11" s="1"/>
  <c r="AY6" i="11" s="1"/>
  <c r="AP6" i="11"/>
  <c r="AQ6" i="11" s="1"/>
  <c r="AR6" i="11" s="1"/>
  <c r="AS6" i="11" s="1"/>
  <c r="AT6" i="11" s="1"/>
  <c r="AU6" i="11" s="1"/>
  <c r="AL6" i="11"/>
  <c r="AM6" i="11" s="1"/>
  <c r="AD6" i="11"/>
  <c r="AE6" i="11" s="1"/>
  <c r="AF6" i="11" s="1"/>
  <c r="AG6" i="11" s="1"/>
  <c r="AH6" i="11" s="1"/>
  <c r="AI6" i="11" s="1"/>
  <c r="AJ6" i="11" s="1"/>
  <c r="AK6" i="11" s="1"/>
  <c r="BD5" i="11"/>
  <c r="BE5" i="11" s="1"/>
  <c r="BF5" i="11" s="1"/>
  <c r="BG5" i="11" s="1"/>
  <c r="BH5" i="11" s="1"/>
  <c r="BI5" i="11" s="1"/>
  <c r="BJ5" i="11" s="1"/>
  <c r="BK5" i="11" s="1"/>
  <c r="BB5" i="11"/>
  <c r="BC5" i="11" s="1"/>
  <c r="AP5" i="11"/>
  <c r="AQ5" i="11" s="1"/>
  <c r="AR5" i="11" s="1"/>
  <c r="AS5" i="11" s="1"/>
  <c r="AT5" i="11" s="1"/>
  <c r="AU5" i="11" s="1"/>
  <c r="AV5" i="11" s="1"/>
  <c r="AW5" i="11" s="1"/>
  <c r="AX5" i="11" s="1"/>
  <c r="AY5" i="11" s="1"/>
  <c r="AJ5" i="11"/>
  <c r="AK5" i="11" s="1"/>
  <c r="AL5" i="11" s="1"/>
  <c r="AM5" i="11" s="1"/>
  <c r="AD5" i="11"/>
  <c r="AE5" i="11" s="1"/>
  <c r="AF5" i="11" s="1"/>
  <c r="AG5" i="11" s="1"/>
  <c r="AH5" i="11" s="1"/>
  <c r="AI5" i="11" s="1"/>
  <c r="BJ4" i="11"/>
  <c r="BK4" i="11" s="1"/>
  <c r="BB4" i="11"/>
  <c r="BC4" i="11" s="1"/>
  <c r="BD4" i="11" s="1"/>
  <c r="BE4" i="11" s="1"/>
  <c r="BF4" i="11" s="1"/>
  <c r="BG4" i="11" s="1"/>
  <c r="BH4" i="11" s="1"/>
  <c r="BI4" i="11" s="1"/>
  <c r="AR4" i="11"/>
  <c r="AS4" i="11" s="1"/>
  <c r="AT4" i="11" s="1"/>
  <c r="AU4" i="11" s="1"/>
  <c r="AV4" i="11" s="1"/>
  <c r="AW4" i="11" s="1"/>
  <c r="AX4" i="11" s="1"/>
  <c r="AY4" i="11" s="1"/>
  <c r="AP4" i="11"/>
  <c r="AQ4" i="11" s="1"/>
  <c r="AD4" i="11"/>
  <c r="AE4" i="11" s="1"/>
  <c r="AF4" i="11" s="1"/>
  <c r="AG4" i="11" s="1"/>
  <c r="AH4" i="11" s="1"/>
  <c r="AI4" i="11" s="1"/>
  <c r="AJ4" i="11" s="1"/>
  <c r="AK4" i="11" s="1"/>
  <c r="AL4" i="11" s="1"/>
  <c r="AM4" i="11" s="1"/>
  <c r="BH3" i="11"/>
  <c r="BI3" i="11" s="1"/>
  <c r="BJ3" i="11" s="1"/>
  <c r="BK3" i="11" s="1"/>
  <c r="BB3" i="11"/>
  <c r="BC3" i="11" s="1"/>
  <c r="BD3" i="11" s="1"/>
  <c r="BE3" i="11" s="1"/>
  <c r="BF3" i="11" s="1"/>
  <c r="BG3" i="11" s="1"/>
  <c r="AX3" i="11"/>
  <c r="AY3" i="11" s="1"/>
  <c r="AP3" i="11"/>
  <c r="AQ3" i="11" s="1"/>
  <c r="AR3" i="11" s="1"/>
  <c r="AS3" i="11" s="1"/>
  <c r="AT3" i="11" s="1"/>
  <c r="AU3" i="11" s="1"/>
  <c r="AV3" i="11" s="1"/>
  <c r="AW3" i="11" s="1"/>
  <c r="AF3" i="11"/>
  <c r="AG3" i="11" s="1"/>
  <c r="AH3" i="11" s="1"/>
  <c r="AI3" i="11" s="1"/>
  <c r="AJ3" i="11" s="1"/>
  <c r="AK3" i="11" s="1"/>
  <c r="AL3" i="11" s="1"/>
  <c r="AM3" i="11" s="1"/>
  <c r="AD3" i="11"/>
  <c r="AE3" i="11" s="1"/>
  <c r="BB2" i="11"/>
  <c r="BC2" i="11" s="1"/>
  <c r="BD2" i="11" s="1"/>
  <c r="BE2" i="11" s="1"/>
  <c r="BF2" i="11" s="1"/>
  <c r="BG2" i="11" s="1"/>
  <c r="BH2" i="11" s="1"/>
  <c r="BI2" i="11" s="1"/>
  <c r="BJ2" i="11" s="1"/>
  <c r="BK2" i="11" s="1"/>
  <c r="AV2" i="11"/>
  <c r="AW2" i="11" s="1"/>
  <c r="AX2" i="11" s="1"/>
  <c r="AY2" i="11" s="1"/>
  <c r="AP2" i="11"/>
  <c r="AQ2" i="11" s="1"/>
  <c r="AR2" i="11" s="1"/>
  <c r="AS2" i="11" s="1"/>
  <c r="AT2" i="11" s="1"/>
  <c r="AU2" i="11" s="1"/>
  <c r="AL2" i="11"/>
  <c r="AM2" i="11" s="1"/>
  <c r="AD2" i="11"/>
  <c r="AE2" i="11" s="1"/>
  <c r="AF2" i="11" s="1"/>
  <c r="AG2" i="11" s="1"/>
  <c r="AH2" i="11" s="1"/>
  <c r="AI2" i="11" s="1"/>
  <c r="AJ2" i="11" s="1"/>
  <c r="AK2" i="11" s="1"/>
  <c r="BA21" i="10"/>
  <c r="BA22" i="10" s="1"/>
  <c r="AO21" i="10"/>
  <c r="AO22" i="10" s="1"/>
  <c r="BB20" i="10"/>
  <c r="BC20" i="10" s="1"/>
  <c r="AR20" i="10"/>
  <c r="AS20" i="10" s="1"/>
  <c r="AQ20" i="10"/>
  <c r="AP20" i="10"/>
  <c r="AD20" i="10"/>
  <c r="AE20" i="10" s="1"/>
  <c r="BB19" i="10"/>
  <c r="BC19" i="10" s="1"/>
  <c r="BD19" i="10" s="1"/>
  <c r="BE19" i="10" s="1"/>
  <c r="BF19" i="10" s="1"/>
  <c r="BG19" i="10" s="1"/>
  <c r="BH19" i="10" s="1"/>
  <c r="BI19" i="10" s="1"/>
  <c r="BJ19" i="10" s="1"/>
  <c r="BK19" i="10" s="1"/>
  <c r="AP19" i="10"/>
  <c r="AQ19" i="10" s="1"/>
  <c r="AR19" i="10" s="1"/>
  <c r="AS19" i="10" s="1"/>
  <c r="AT19" i="10" s="1"/>
  <c r="AU19" i="10" s="1"/>
  <c r="AV19" i="10" s="1"/>
  <c r="AW19" i="10" s="1"/>
  <c r="AX19" i="10" s="1"/>
  <c r="AY19" i="10" s="1"/>
  <c r="AF19" i="10"/>
  <c r="AG19" i="10" s="1"/>
  <c r="AH19" i="10" s="1"/>
  <c r="AI19" i="10" s="1"/>
  <c r="AJ19" i="10" s="1"/>
  <c r="AK19" i="10" s="1"/>
  <c r="AL19" i="10" s="1"/>
  <c r="AM19" i="10" s="1"/>
  <c r="AE19" i="10"/>
  <c r="AD19" i="10"/>
  <c r="BB18" i="10"/>
  <c r="BC18" i="10" s="1"/>
  <c r="BD18" i="10" s="1"/>
  <c r="BE18" i="10" s="1"/>
  <c r="BF18" i="10" s="1"/>
  <c r="BG18" i="10" s="1"/>
  <c r="BH18" i="10" s="1"/>
  <c r="BI18" i="10" s="1"/>
  <c r="BJ18" i="10" s="1"/>
  <c r="BK18" i="10" s="1"/>
  <c r="AP18" i="10"/>
  <c r="AQ18" i="10" s="1"/>
  <c r="AR18" i="10" s="1"/>
  <c r="AS18" i="10" s="1"/>
  <c r="AT18" i="10" s="1"/>
  <c r="AU18" i="10" s="1"/>
  <c r="AV18" i="10" s="1"/>
  <c r="AW18" i="10" s="1"/>
  <c r="AX18" i="10" s="1"/>
  <c r="AY18" i="10" s="1"/>
  <c r="AD18" i="10"/>
  <c r="AE18" i="10" s="1"/>
  <c r="AF18" i="10" s="1"/>
  <c r="AG18" i="10" s="1"/>
  <c r="AH18" i="10" s="1"/>
  <c r="AI18" i="10" s="1"/>
  <c r="AJ18" i="10" s="1"/>
  <c r="AK18" i="10" s="1"/>
  <c r="AL18" i="10" s="1"/>
  <c r="AM18" i="10" s="1"/>
  <c r="BD17" i="10"/>
  <c r="BE17" i="10" s="1"/>
  <c r="BF17" i="10" s="1"/>
  <c r="BG17" i="10" s="1"/>
  <c r="BH17" i="10" s="1"/>
  <c r="BI17" i="10" s="1"/>
  <c r="BJ17" i="10" s="1"/>
  <c r="BK17" i="10" s="1"/>
  <c r="BC17" i="10"/>
  <c r="BB17" i="10"/>
  <c r="AP17" i="10"/>
  <c r="AQ17" i="10" s="1"/>
  <c r="AR17" i="10" s="1"/>
  <c r="AS17" i="10" s="1"/>
  <c r="AT17" i="10" s="1"/>
  <c r="AU17" i="10" s="1"/>
  <c r="AV17" i="10" s="1"/>
  <c r="AW17" i="10" s="1"/>
  <c r="AX17" i="10" s="1"/>
  <c r="AY17" i="10" s="1"/>
  <c r="AD17" i="10"/>
  <c r="BB16" i="10"/>
  <c r="BC16" i="10" s="1"/>
  <c r="BD16" i="10" s="1"/>
  <c r="BE16" i="10" s="1"/>
  <c r="BF16" i="10" s="1"/>
  <c r="BG16" i="10" s="1"/>
  <c r="BH16" i="10" s="1"/>
  <c r="BI16" i="10" s="1"/>
  <c r="BJ16" i="10" s="1"/>
  <c r="BK16" i="10" s="1"/>
  <c r="AR16" i="10"/>
  <c r="AS16" i="10" s="1"/>
  <c r="AT16" i="10" s="1"/>
  <c r="AU16" i="10" s="1"/>
  <c r="AV16" i="10" s="1"/>
  <c r="AW16" i="10" s="1"/>
  <c r="AX16" i="10" s="1"/>
  <c r="AY16" i="10" s="1"/>
  <c r="AQ16" i="10"/>
  <c r="AP16" i="10"/>
  <c r="AD16" i="10"/>
  <c r="AE16" i="10" s="1"/>
  <c r="AF16" i="10" s="1"/>
  <c r="AG16" i="10" s="1"/>
  <c r="AH16" i="10" s="1"/>
  <c r="AI16" i="10" s="1"/>
  <c r="AJ16" i="10" s="1"/>
  <c r="AK16" i="10" s="1"/>
  <c r="AL16" i="10" s="1"/>
  <c r="AM16" i="10" s="1"/>
  <c r="BJ15" i="10"/>
  <c r="BK15" i="10" s="1"/>
  <c r="BB15" i="10"/>
  <c r="BC15" i="10" s="1"/>
  <c r="BD15" i="10" s="1"/>
  <c r="BE15" i="10" s="1"/>
  <c r="BF15" i="10" s="1"/>
  <c r="BG15" i="10" s="1"/>
  <c r="BH15" i="10" s="1"/>
  <c r="BI15" i="10" s="1"/>
  <c r="AP15" i="10"/>
  <c r="AQ15" i="10" s="1"/>
  <c r="AR15" i="10" s="1"/>
  <c r="AS15" i="10" s="1"/>
  <c r="AT15" i="10" s="1"/>
  <c r="AU15" i="10" s="1"/>
  <c r="AV15" i="10" s="1"/>
  <c r="AW15" i="10" s="1"/>
  <c r="AX15" i="10" s="1"/>
  <c r="AY15" i="10" s="1"/>
  <c r="AF15" i="10"/>
  <c r="AG15" i="10" s="1"/>
  <c r="AH15" i="10" s="1"/>
  <c r="AI15" i="10" s="1"/>
  <c r="AJ15" i="10" s="1"/>
  <c r="AK15" i="10" s="1"/>
  <c r="AL15" i="10" s="1"/>
  <c r="AM15" i="10" s="1"/>
  <c r="AE15" i="10"/>
  <c r="AD15" i="10"/>
  <c r="BH14" i="10"/>
  <c r="BI14" i="10" s="1"/>
  <c r="BJ14" i="10" s="1"/>
  <c r="BK14" i="10" s="1"/>
  <c r="BB14" i="10"/>
  <c r="BC14" i="10" s="1"/>
  <c r="BD14" i="10" s="1"/>
  <c r="BE14" i="10" s="1"/>
  <c r="BF14" i="10" s="1"/>
  <c r="BG14" i="10" s="1"/>
  <c r="AP14" i="10"/>
  <c r="AQ14" i="10" s="1"/>
  <c r="AR14" i="10" s="1"/>
  <c r="AS14" i="10" s="1"/>
  <c r="AT14" i="10" s="1"/>
  <c r="AU14" i="10" s="1"/>
  <c r="AV14" i="10" s="1"/>
  <c r="AW14" i="10" s="1"/>
  <c r="AX14" i="10" s="1"/>
  <c r="AY14" i="10" s="1"/>
  <c r="AD14" i="10"/>
  <c r="AE14" i="10" s="1"/>
  <c r="AF14" i="10" s="1"/>
  <c r="AG14" i="10" s="1"/>
  <c r="AH14" i="10" s="1"/>
  <c r="AI14" i="10" s="1"/>
  <c r="AJ14" i="10" s="1"/>
  <c r="AK14" i="10" s="1"/>
  <c r="AL14" i="10" s="1"/>
  <c r="AM14" i="10" s="1"/>
  <c r="BF13" i="10"/>
  <c r="BG13" i="10" s="1"/>
  <c r="BH13" i="10" s="1"/>
  <c r="BI13" i="10" s="1"/>
  <c r="BJ13" i="10" s="1"/>
  <c r="BK13" i="10" s="1"/>
  <c r="BD13" i="10"/>
  <c r="BE13" i="10" s="1"/>
  <c r="BC13" i="10"/>
  <c r="BB13" i="10"/>
  <c r="AP13" i="10"/>
  <c r="AQ13" i="10" s="1"/>
  <c r="AR13" i="10" s="1"/>
  <c r="AS13" i="10" s="1"/>
  <c r="AT13" i="10" s="1"/>
  <c r="AU13" i="10" s="1"/>
  <c r="AV13" i="10" s="1"/>
  <c r="AW13" i="10" s="1"/>
  <c r="AX13" i="10" s="1"/>
  <c r="AY13" i="10" s="1"/>
  <c r="AD13" i="10"/>
  <c r="AE13" i="10" s="1"/>
  <c r="AF13" i="10" s="1"/>
  <c r="AG13" i="10" s="1"/>
  <c r="AH13" i="10" s="1"/>
  <c r="AI13" i="10" s="1"/>
  <c r="AJ13" i="10" s="1"/>
  <c r="AK13" i="10" s="1"/>
  <c r="AL13" i="10" s="1"/>
  <c r="AM13" i="10" s="1"/>
  <c r="BA10" i="10"/>
  <c r="BA11" i="10" s="1"/>
  <c r="AO10" i="10"/>
  <c r="AO11" i="10" s="1"/>
  <c r="BD9" i="10"/>
  <c r="BE9" i="10" s="1"/>
  <c r="BB9" i="10"/>
  <c r="BC9" i="10" s="1"/>
  <c r="AR9" i="10"/>
  <c r="AS9" i="10" s="1"/>
  <c r="AQ9" i="10"/>
  <c r="AP9" i="10"/>
  <c r="AD9" i="10"/>
  <c r="AE9" i="10" s="1"/>
  <c r="BJ8" i="10"/>
  <c r="BK8" i="10" s="1"/>
  <c r="BB8" i="10"/>
  <c r="BC8" i="10" s="1"/>
  <c r="BD8" i="10" s="1"/>
  <c r="BE8" i="10" s="1"/>
  <c r="BF8" i="10" s="1"/>
  <c r="BG8" i="10" s="1"/>
  <c r="BH8" i="10" s="1"/>
  <c r="BI8" i="10" s="1"/>
  <c r="AP8" i="10"/>
  <c r="AQ8" i="10" s="1"/>
  <c r="AR8" i="10" s="1"/>
  <c r="AS8" i="10" s="1"/>
  <c r="AT8" i="10" s="1"/>
  <c r="AU8" i="10" s="1"/>
  <c r="AV8" i="10" s="1"/>
  <c r="AW8" i="10" s="1"/>
  <c r="AX8" i="10" s="1"/>
  <c r="AY8" i="10" s="1"/>
  <c r="AF8" i="10"/>
  <c r="AG8" i="10" s="1"/>
  <c r="AH8" i="10" s="1"/>
  <c r="AI8" i="10" s="1"/>
  <c r="AJ8" i="10" s="1"/>
  <c r="AK8" i="10" s="1"/>
  <c r="AL8" i="10" s="1"/>
  <c r="AM8" i="10" s="1"/>
  <c r="AE8" i="10"/>
  <c r="AD8" i="10"/>
  <c r="BH7" i="10"/>
  <c r="BI7" i="10" s="1"/>
  <c r="BJ7" i="10" s="1"/>
  <c r="BK7" i="10" s="1"/>
  <c r="BB7" i="10"/>
  <c r="BC7" i="10" s="1"/>
  <c r="BD7" i="10" s="1"/>
  <c r="BE7" i="10" s="1"/>
  <c r="BF7" i="10" s="1"/>
  <c r="BG7" i="10" s="1"/>
  <c r="AP7" i="10"/>
  <c r="AQ7" i="10" s="1"/>
  <c r="AR7" i="10" s="1"/>
  <c r="AS7" i="10" s="1"/>
  <c r="AT7" i="10" s="1"/>
  <c r="AU7" i="10" s="1"/>
  <c r="AV7" i="10" s="1"/>
  <c r="AW7" i="10" s="1"/>
  <c r="AX7" i="10" s="1"/>
  <c r="AY7" i="10" s="1"/>
  <c r="AD7" i="10"/>
  <c r="AE7" i="10" s="1"/>
  <c r="AF7" i="10" s="1"/>
  <c r="AG7" i="10" s="1"/>
  <c r="AH7" i="10" s="1"/>
  <c r="AI7" i="10" s="1"/>
  <c r="AJ7" i="10" s="1"/>
  <c r="AK7" i="10" s="1"/>
  <c r="AL7" i="10" s="1"/>
  <c r="AM7" i="10" s="1"/>
  <c r="BF6" i="10"/>
  <c r="BG6" i="10" s="1"/>
  <c r="BH6" i="10" s="1"/>
  <c r="BI6" i="10" s="1"/>
  <c r="BJ6" i="10" s="1"/>
  <c r="BK6" i="10" s="1"/>
  <c r="BD6" i="10"/>
  <c r="BE6" i="10" s="1"/>
  <c r="BC6" i="10"/>
  <c r="BB6" i="10"/>
  <c r="AP6" i="10"/>
  <c r="AQ6" i="10" s="1"/>
  <c r="AR6" i="10" s="1"/>
  <c r="AS6" i="10" s="1"/>
  <c r="AT6" i="10" s="1"/>
  <c r="AU6" i="10" s="1"/>
  <c r="AV6" i="10" s="1"/>
  <c r="AW6" i="10" s="1"/>
  <c r="AX6" i="10" s="1"/>
  <c r="AY6" i="10" s="1"/>
  <c r="AD6" i="10"/>
  <c r="AE6" i="10" s="1"/>
  <c r="AF6" i="10" s="1"/>
  <c r="AG6" i="10" s="1"/>
  <c r="AH6" i="10" s="1"/>
  <c r="AI6" i="10" s="1"/>
  <c r="AJ6" i="10" s="1"/>
  <c r="AK6" i="10" s="1"/>
  <c r="AL6" i="10" s="1"/>
  <c r="AM6" i="10" s="1"/>
  <c r="BD5" i="10"/>
  <c r="BE5" i="10" s="1"/>
  <c r="BF5" i="10" s="1"/>
  <c r="BG5" i="10" s="1"/>
  <c r="BH5" i="10" s="1"/>
  <c r="BI5" i="10" s="1"/>
  <c r="BJ5" i="10" s="1"/>
  <c r="BK5" i="10" s="1"/>
  <c r="BB5" i="10"/>
  <c r="BC5" i="10" s="1"/>
  <c r="AT5" i="10"/>
  <c r="AU5" i="10" s="1"/>
  <c r="AV5" i="10" s="1"/>
  <c r="AW5" i="10" s="1"/>
  <c r="AX5" i="10" s="1"/>
  <c r="AY5" i="10" s="1"/>
  <c r="AR5" i="10"/>
  <c r="AS5" i="10" s="1"/>
  <c r="AQ5" i="10"/>
  <c r="AP5" i="10"/>
  <c r="AD5" i="10"/>
  <c r="AE5" i="10" s="1"/>
  <c r="AF5" i="10" s="1"/>
  <c r="AG5" i="10" s="1"/>
  <c r="AH5" i="10" s="1"/>
  <c r="AI5" i="10" s="1"/>
  <c r="AJ5" i="10" s="1"/>
  <c r="AK5" i="10" s="1"/>
  <c r="AL5" i="10" s="1"/>
  <c r="AM5" i="10" s="1"/>
  <c r="BJ4" i="10"/>
  <c r="BK4" i="10" s="1"/>
  <c r="BB4" i="10"/>
  <c r="BC4" i="10" s="1"/>
  <c r="BD4" i="10" s="1"/>
  <c r="BE4" i="10" s="1"/>
  <c r="BF4" i="10" s="1"/>
  <c r="BG4" i="10" s="1"/>
  <c r="BH4" i="10" s="1"/>
  <c r="BI4" i="10" s="1"/>
  <c r="AR4" i="10"/>
  <c r="AS4" i="10" s="1"/>
  <c r="AT4" i="10" s="1"/>
  <c r="AU4" i="10" s="1"/>
  <c r="AV4" i="10" s="1"/>
  <c r="AW4" i="10" s="1"/>
  <c r="AX4" i="10" s="1"/>
  <c r="AY4" i="10" s="1"/>
  <c r="AP4" i="10"/>
  <c r="AQ4" i="10" s="1"/>
  <c r="AF4" i="10"/>
  <c r="AG4" i="10" s="1"/>
  <c r="AH4" i="10" s="1"/>
  <c r="AI4" i="10" s="1"/>
  <c r="AJ4" i="10" s="1"/>
  <c r="AK4" i="10" s="1"/>
  <c r="AL4" i="10" s="1"/>
  <c r="AM4" i="10" s="1"/>
  <c r="AE4" i="10"/>
  <c r="AD4" i="10"/>
  <c r="BH3" i="10"/>
  <c r="BI3" i="10" s="1"/>
  <c r="BJ3" i="10" s="1"/>
  <c r="BK3" i="10" s="1"/>
  <c r="BB3" i="10"/>
  <c r="BC3" i="10" s="1"/>
  <c r="BD3" i="10" s="1"/>
  <c r="BE3" i="10" s="1"/>
  <c r="BF3" i="10" s="1"/>
  <c r="BG3" i="10" s="1"/>
  <c r="AX3" i="10"/>
  <c r="AY3" i="10" s="1"/>
  <c r="AP3" i="10"/>
  <c r="AQ3" i="10" s="1"/>
  <c r="AR3" i="10" s="1"/>
  <c r="AS3" i="10" s="1"/>
  <c r="AT3" i="10" s="1"/>
  <c r="AU3" i="10" s="1"/>
  <c r="AV3" i="10" s="1"/>
  <c r="AW3" i="10" s="1"/>
  <c r="AD3" i="10"/>
  <c r="AE3" i="10" s="1"/>
  <c r="AF3" i="10" s="1"/>
  <c r="AG3" i="10" s="1"/>
  <c r="AH3" i="10" s="1"/>
  <c r="AI3" i="10" s="1"/>
  <c r="AJ3" i="10" s="1"/>
  <c r="AK3" i="10" s="1"/>
  <c r="AL3" i="10" s="1"/>
  <c r="AM3" i="10" s="1"/>
  <c r="BD2" i="10"/>
  <c r="BE2" i="10" s="1"/>
  <c r="BF2" i="10" s="1"/>
  <c r="BG2" i="10" s="1"/>
  <c r="BH2" i="10" s="1"/>
  <c r="BI2" i="10" s="1"/>
  <c r="BJ2" i="10" s="1"/>
  <c r="BK2" i="10" s="1"/>
  <c r="BC2" i="10"/>
  <c r="BB2" i="10"/>
  <c r="AV2" i="10"/>
  <c r="AW2" i="10" s="1"/>
  <c r="AX2" i="10" s="1"/>
  <c r="AY2" i="10" s="1"/>
  <c r="AP2" i="10"/>
  <c r="AQ2" i="10" s="1"/>
  <c r="AR2" i="10" s="1"/>
  <c r="AS2" i="10" s="1"/>
  <c r="AT2" i="10" s="1"/>
  <c r="AU2" i="10" s="1"/>
  <c r="AD2" i="10"/>
  <c r="AE2" i="10" s="1"/>
  <c r="AF2" i="10" s="1"/>
  <c r="AG2" i="10" s="1"/>
  <c r="AH2" i="10" s="1"/>
  <c r="AI2" i="10" s="1"/>
  <c r="AJ2" i="10" s="1"/>
  <c r="AK2" i="10" s="1"/>
  <c r="AL2" i="10" s="1"/>
  <c r="AM2" i="10" s="1"/>
  <c r="BA21" i="9"/>
  <c r="BA22" i="9" s="1"/>
  <c r="AO21" i="9"/>
  <c r="AO22" i="9" s="1"/>
  <c r="BB20" i="9"/>
  <c r="BC20" i="9" s="1"/>
  <c r="AQ20" i="9"/>
  <c r="AR20" i="9" s="1"/>
  <c r="AP20" i="9"/>
  <c r="AD20" i="9"/>
  <c r="AE20" i="9" s="1"/>
  <c r="BB19" i="9"/>
  <c r="BC19" i="9" s="1"/>
  <c r="BD19" i="9" s="1"/>
  <c r="BE19" i="9" s="1"/>
  <c r="BF19" i="9" s="1"/>
  <c r="BG19" i="9" s="1"/>
  <c r="BH19" i="9" s="1"/>
  <c r="BI19" i="9" s="1"/>
  <c r="BJ19" i="9" s="1"/>
  <c r="BK19" i="9" s="1"/>
  <c r="AP19" i="9"/>
  <c r="AQ19" i="9" s="1"/>
  <c r="AR19" i="9" s="1"/>
  <c r="AS19" i="9" s="1"/>
  <c r="AT19" i="9" s="1"/>
  <c r="AU19" i="9" s="1"/>
  <c r="AV19" i="9" s="1"/>
  <c r="AW19" i="9" s="1"/>
  <c r="AX19" i="9" s="1"/>
  <c r="AY19" i="9" s="1"/>
  <c r="AE19" i="9"/>
  <c r="AF19" i="9" s="1"/>
  <c r="AG19" i="9" s="1"/>
  <c r="AH19" i="9" s="1"/>
  <c r="AI19" i="9" s="1"/>
  <c r="AJ19" i="9" s="1"/>
  <c r="AK19" i="9" s="1"/>
  <c r="AL19" i="9" s="1"/>
  <c r="AM19" i="9" s="1"/>
  <c r="AD19" i="9"/>
  <c r="BB18" i="9"/>
  <c r="BC18" i="9" s="1"/>
  <c r="BD18" i="9" s="1"/>
  <c r="BE18" i="9" s="1"/>
  <c r="BF18" i="9" s="1"/>
  <c r="BG18" i="9" s="1"/>
  <c r="BH18" i="9" s="1"/>
  <c r="BI18" i="9" s="1"/>
  <c r="BJ18" i="9" s="1"/>
  <c r="BK18" i="9" s="1"/>
  <c r="AP18" i="9"/>
  <c r="AD18" i="9"/>
  <c r="AE18" i="9" s="1"/>
  <c r="AF18" i="9" s="1"/>
  <c r="AG18" i="9" s="1"/>
  <c r="AH18" i="9" s="1"/>
  <c r="AI18" i="9" s="1"/>
  <c r="AJ18" i="9" s="1"/>
  <c r="AK18" i="9" s="1"/>
  <c r="AL18" i="9" s="1"/>
  <c r="AM18" i="9" s="1"/>
  <c r="BC17" i="9"/>
  <c r="BD17" i="9" s="1"/>
  <c r="BE17" i="9" s="1"/>
  <c r="BF17" i="9" s="1"/>
  <c r="BG17" i="9" s="1"/>
  <c r="BH17" i="9" s="1"/>
  <c r="BI17" i="9" s="1"/>
  <c r="BJ17" i="9" s="1"/>
  <c r="BK17" i="9" s="1"/>
  <c r="BB17" i="9"/>
  <c r="AP17" i="9"/>
  <c r="AQ17" i="9" s="1"/>
  <c r="AR17" i="9" s="1"/>
  <c r="AS17" i="9" s="1"/>
  <c r="AT17" i="9" s="1"/>
  <c r="AU17" i="9" s="1"/>
  <c r="AV17" i="9" s="1"/>
  <c r="AW17" i="9" s="1"/>
  <c r="AX17" i="9" s="1"/>
  <c r="AY17" i="9" s="1"/>
  <c r="AD17" i="9"/>
  <c r="AD21" i="9" s="1"/>
  <c r="AD22" i="9" s="1"/>
  <c r="BB16" i="9"/>
  <c r="BC16" i="9" s="1"/>
  <c r="BD16" i="9" s="1"/>
  <c r="BE16" i="9" s="1"/>
  <c r="BF16" i="9" s="1"/>
  <c r="BG16" i="9" s="1"/>
  <c r="BH16" i="9" s="1"/>
  <c r="BI16" i="9" s="1"/>
  <c r="BJ16" i="9" s="1"/>
  <c r="BK16" i="9" s="1"/>
  <c r="AQ16" i="9"/>
  <c r="AR16" i="9" s="1"/>
  <c r="AS16" i="9" s="1"/>
  <c r="AT16" i="9" s="1"/>
  <c r="AU16" i="9" s="1"/>
  <c r="AV16" i="9" s="1"/>
  <c r="AW16" i="9" s="1"/>
  <c r="AX16" i="9" s="1"/>
  <c r="AY16" i="9" s="1"/>
  <c r="AP16" i="9"/>
  <c r="AJ16" i="9"/>
  <c r="AK16" i="9" s="1"/>
  <c r="AL16" i="9" s="1"/>
  <c r="AM16" i="9" s="1"/>
  <c r="AD16" i="9"/>
  <c r="AE16" i="9" s="1"/>
  <c r="AF16" i="9" s="1"/>
  <c r="AG16" i="9" s="1"/>
  <c r="AH16" i="9" s="1"/>
  <c r="AI16" i="9" s="1"/>
  <c r="BB15" i="9"/>
  <c r="BC15" i="9" s="1"/>
  <c r="BD15" i="9" s="1"/>
  <c r="BE15" i="9" s="1"/>
  <c r="BF15" i="9" s="1"/>
  <c r="BG15" i="9" s="1"/>
  <c r="BH15" i="9" s="1"/>
  <c r="BI15" i="9" s="1"/>
  <c r="BJ15" i="9" s="1"/>
  <c r="BK15" i="9" s="1"/>
  <c r="AR15" i="9"/>
  <c r="AS15" i="9" s="1"/>
  <c r="AT15" i="9" s="1"/>
  <c r="AU15" i="9" s="1"/>
  <c r="AV15" i="9" s="1"/>
  <c r="AW15" i="9" s="1"/>
  <c r="AX15" i="9" s="1"/>
  <c r="AY15" i="9" s="1"/>
  <c r="AP15" i="9"/>
  <c r="AQ15" i="9" s="1"/>
  <c r="AE15" i="9"/>
  <c r="AF15" i="9" s="1"/>
  <c r="AG15" i="9" s="1"/>
  <c r="AH15" i="9" s="1"/>
  <c r="AI15" i="9" s="1"/>
  <c r="AJ15" i="9" s="1"/>
  <c r="AK15" i="9" s="1"/>
  <c r="AL15" i="9" s="1"/>
  <c r="AM15" i="9" s="1"/>
  <c r="AD15" i="9"/>
  <c r="BH14" i="9"/>
  <c r="BI14" i="9" s="1"/>
  <c r="BJ14" i="9" s="1"/>
  <c r="BK14" i="9" s="1"/>
  <c r="BB14" i="9"/>
  <c r="BC14" i="9" s="1"/>
  <c r="BD14" i="9" s="1"/>
  <c r="BE14" i="9" s="1"/>
  <c r="BF14" i="9" s="1"/>
  <c r="BG14" i="9" s="1"/>
  <c r="AP14" i="9"/>
  <c r="AQ14" i="9" s="1"/>
  <c r="AR14" i="9" s="1"/>
  <c r="AS14" i="9" s="1"/>
  <c r="AT14" i="9" s="1"/>
  <c r="AU14" i="9" s="1"/>
  <c r="AV14" i="9" s="1"/>
  <c r="AW14" i="9" s="1"/>
  <c r="AX14" i="9" s="1"/>
  <c r="AY14" i="9" s="1"/>
  <c r="AF14" i="9"/>
  <c r="AG14" i="9" s="1"/>
  <c r="AH14" i="9" s="1"/>
  <c r="AI14" i="9" s="1"/>
  <c r="AJ14" i="9" s="1"/>
  <c r="AK14" i="9" s="1"/>
  <c r="AL14" i="9" s="1"/>
  <c r="AM14" i="9" s="1"/>
  <c r="AD14" i="9"/>
  <c r="AE14" i="9" s="1"/>
  <c r="BF13" i="9"/>
  <c r="BG13" i="9" s="1"/>
  <c r="BH13" i="9" s="1"/>
  <c r="BI13" i="9" s="1"/>
  <c r="BJ13" i="9" s="1"/>
  <c r="BK13" i="9" s="1"/>
  <c r="BC13" i="9"/>
  <c r="BD13" i="9" s="1"/>
  <c r="BE13" i="9" s="1"/>
  <c r="BB13" i="9"/>
  <c r="AP13" i="9"/>
  <c r="AQ13" i="9" s="1"/>
  <c r="AR13" i="9" s="1"/>
  <c r="AS13" i="9" s="1"/>
  <c r="AT13" i="9" s="1"/>
  <c r="AU13" i="9" s="1"/>
  <c r="AV13" i="9" s="1"/>
  <c r="AW13" i="9" s="1"/>
  <c r="AX13" i="9" s="1"/>
  <c r="AY13" i="9" s="1"/>
  <c r="AL13" i="9"/>
  <c r="AM13" i="9" s="1"/>
  <c r="AD13" i="9"/>
  <c r="AE13" i="9" s="1"/>
  <c r="AF13" i="9" s="1"/>
  <c r="AG13" i="9" s="1"/>
  <c r="AH13" i="9" s="1"/>
  <c r="AI13" i="9" s="1"/>
  <c r="AJ13" i="9" s="1"/>
  <c r="AK13" i="9" s="1"/>
  <c r="BA10" i="9"/>
  <c r="BA11" i="9" s="1"/>
  <c r="AO10" i="9"/>
  <c r="AO11" i="9" s="1"/>
  <c r="BB9" i="9"/>
  <c r="BC9" i="9" s="1"/>
  <c r="AQ9" i="9"/>
  <c r="AR9" i="9" s="1"/>
  <c r="AP9" i="9"/>
  <c r="AD9" i="9"/>
  <c r="AE9" i="9" s="1"/>
  <c r="BJ8" i="9"/>
  <c r="BK8" i="9" s="1"/>
  <c r="BB8" i="9"/>
  <c r="BC8" i="9" s="1"/>
  <c r="BD8" i="9" s="1"/>
  <c r="BE8" i="9" s="1"/>
  <c r="BF8" i="9" s="1"/>
  <c r="BG8" i="9" s="1"/>
  <c r="BH8" i="9" s="1"/>
  <c r="BI8" i="9" s="1"/>
  <c r="AR8" i="9"/>
  <c r="AS8" i="9" s="1"/>
  <c r="AT8" i="9" s="1"/>
  <c r="AU8" i="9" s="1"/>
  <c r="AV8" i="9" s="1"/>
  <c r="AW8" i="9" s="1"/>
  <c r="AX8" i="9" s="1"/>
  <c r="AY8" i="9" s="1"/>
  <c r="AP8" i="9"/>
  <c r="AQ8" i="9" s="1"/>
  <c r="AE8" i="9"/>
  <c r="AF8" i="9" s="1"/>
  <c r="AG8" i="9" s="1"/>
  <c r="AH8" i="9" s="1"/>
  <c r="AI8" i="9" s="1"/>
  <c r="AJ8" i="9" s="1"/>
  <c r="AK8" i="9" s="1"/>
  <c r="AL8" i="9" s="1"/>
  <c r="AM8" i="9" s="1"/>
  <c r="AD8" i="9"/>
  <c r="BB7" i="9"/>
  <c r="BC7" i="9" s="1"/>
  <c r="BD7" i="9" s="1"/>
  <c r="BE7" i="9" s="1"/>
  <c r="BF7" i="9" s="1"/>
  <c r="BG7" i="9" s="1"/>
  <c r="BH7" i="9" s="1"/>
  <c r="BI7" i="9" s="1"/>
  <c r="BJ7" i="9" s="1"/>
  <c r="BK7" i="9" s="1"/>
  <c r="AP7" i="9"/>
  <c r="AQ7" i="9" s="1"/>
  <c r="AR7" i="9" s="1"/>
  <c r="AS7" i="9" s="1"/>
  <c r="AT7" i="9" s="1"/>
  <c r="AU7" i="9" s="1"/>
  <c r="AV7" i="9" s="1"/>
  <c r="AW7" i="9" s="1"/>
  <c r="AX7" i="9" s="1"/>
  <c r="AY7" i="9" s="1"/>
  <c r="AD7" i="9"/>
  <c r="AE7" i="9" s="1"/>
  <c r="AF7" i="9" s="1"/>
  <c r="AG7" i="9" s="1"/>
  <c r="AH7" i="9" s="1"/>
  <c r="AI7" i="9" s="1"/>
  <c r="AJ7" i="9" s="1"/>
  <c r="AK7" i="9" s="1"/>
  <c r="AL7" i="9" s="1"/>
  <c r="AM7" i="9" s="1"/>
  <c r="BF6" i="9"/>
  <c r="BG6" i="9" s="1"/>
  <c r="BH6" i="9" s="1"/>
  <c r="BI6" i="9" s="1"/>
  <c r="BJ6" i="9" s="1"/>
  <c r="BK6" i="9" s="1"/>
  <c r="BC6" i="9"/>
  <c r="BD6" i="9" s="1"/>
  <c r="BE6" i="9" s="1"/>
  <c r="BB6" i="9"/>
  <c r="AV6" i="9"/>
  <c r="AW6" i="9" s="1"/>
  <c r="AX6" i="9" s="1"/>
  <c r="AY6" i="9" s="1"/>
  <c r="AP6" i="9"/>
  <c r="AQ6" i="9" s="1"/>
  <c r="AR6" i="9" s="1"/>
  <c r="AS6" i="9" s="1"/>
  <c r="AT6" i="9" s="1"/>
  <c r="AU6" i="9" s="1"/>
  <c r="AL6" i="9"/>
  <c r="AM6" i="9" s="1"/>
  <c r="AD6" i="9"/>
  <c r="AE6" i="9" s="1"/>
  <c r="AF6" i="9" s="1"/>
  <c r="AG6" i="9" s="1"/>
  <c r="AH6" i="9" s="1"/>
  <c r="AI6" i="9" s="1"/>
  <c r="AJ6" i="9" s="1"/>
  <c r="AK6" i="9" s="1"/>
  <c r="BB5" i="9"/>
  <c r="BC5" i="9" s="1"/>
  <c r="BD5" i="9" s="1"/>
  <c r="BE5" i="9" s="1"/>
  <c r="BF5" i="9" s="1"/>
  <c r="BG5" i="9" s="1"/>
  <c r="BH5" i="9" s="1"/>
  <c r="BI5" i="9" s="1"/>
  <c r="BJ5" i="9" s="1"/>
  <c r="BK5" i="9" s="1"/>
  <c r="AT5" i="9"/>
  <c r="AU5" i="9" s="1"/>
  <c r="AV5" i="9" s="1"/>
  <c r="AW5" i="9" s="1"/>
  <c r="AX5" i="9" s="1"/>
  <c r="AY5" i="9" s="1"/>
  <c r="AQ5" i="9"/>
  <c r="AR5" i="9" s="1"/>
  <c r="AS5" i="9" s="1"/>
  <c r="AP5" i="9"/>
  <c r="AD5" i="9"/>
  <c r="AE5" i="9" s="1"/>
  <c r="AF5" i="9" s="1"/>
  <c r="AG5" i="9" s="1"/>
  <c r="AH5" i="9" s="1"/>
  <c r="AI5" i="9" s="1"/>
  <c r="AJ5" i="9" s="1"/>
  <c r="AK5" i="9" s="1"/>
  <c r="AL5" i="9" s="1"/>
  <c r="AM5" i="9" s="1"/>
  <c r="BB4" i="9"/>
  <c r="BC4" i="9" s="1"/>
  <c r="BD4" i="9" s="1"/>
  <c r="BE4" i="9" s="1"/>
  <c r="BF4" i="9" s="1"/>
  <c r="BG4" i="9" s="1"/>
  <c r="BH4" i="9" s="1"/>
  <c r="BI4" i="9" s="1"/>
  <c r="BJ4" i="9" s="1"/>
  <c r="BK4" i="9" s="1"/>
  <c r="AR4" i="9"/>
  <c r="AS4" i="9" s="1"/>
  <c r="AT4" i="9" s="1"/>
  <c r="AU4" i="9" s="1"/>
  <c r="AV4" i="9" s="1"/>
  <c r="AW4" i="9" s="1"/>
  <c r="AX4" i="9" s="1"/>
  <c r="AY4" i="9" s="1"/>
  <c r="AP4" i="9"/>
  <c r="AQ4" i="9" s="1"/>
  <c r="AE4" i="9"/>
  <c r="AF4" i="9" s="1"/>
  <c r="AG4" i="9" s="1"/>
  <c r="AH4" i="9" s="1"/>
  <c r="AI4" i="9" s="1"/>
  <c r="AJ4" i="9" s="1"/>
  <c r="AK4" i="9" s="1"/>
  <c r="AL4" i="9" s="1"/>
  <c r="AM4" i="9" s="1"/>
  <c r="AD4" i="9"/>
  <c r="BH3" i="9"/>
  <c r="BI3" i="9" s="1"/>
  <c r="BJ3" i="9" s="1"/>
  <c r="BK3" i="9" s="1"/>
  <c r="BB3" i="9"/>
  <c r="BC3" i="9" s="1"/>
  <c r="BD3" i="9" s="1"/>
  <c r="BE3" i="9" s="1"/>
  <c r="BF3" i="9" s="1"/>
  <c r="BG3" i="9" s="1"/>
  <c r="AP3" i="9"/>
  <c r="AQ3" i="9" s="1"/>
  <c r="AR3" i="9" s="1"/>
  <c r="AS3" i="9" s="1"/>
  <c r="AT3" i="9" s="1"/>
  <c r="AU3" i="9" s="1"/>
  <c r="AV3" i="9" s="1"/>
  <c r="AW3" i="9" s="1"/>
  <c r="AX3" i="9" s="1"/>
  <c r="AY3" i="9" s="1"/>
  <c r="AF3" i="9"/>
  <c r="AG3" i="9" s="1"/>
  <c r="AH3" i="9" s="1"/>
  <c r="AI3" i="9" s="1"/>
  <c r="AJ3" i="9" s="1"/>
  <c r="AK3" i="9" s="1"/>
  <c r="AL3" i="9" s="1"/>
  <c r="AM3" i="9" s="1"/>
  <c r="AD3" i="9"/>
  <c r="AE3" i="9" s="1"/>
  <c r="BF2" i="9"/>
  <c r="BG2" i="9" s="1"/>
  <c r="BH2" i="9" s="1"/>
  <c r="BI2" i="9" s="1"/>
  <c r="BJ2" i="9" s="1"/>
  <c r="BK2" i="9" s="1"/>
  <c r="BC2" i="9"/>
  <c r="BD2" i="9" s="1"/>
  <c r="BE2" i="9" s="1"/>
  <c r="BB2" i="9"/>
  <c r="AP2" i="9"/>
  <c r="AQ2" i="9" s="1"/>
  <c r="AR2" i="9" s="1"/>
  <c r="AS2" i="9" s="1"/>
  <c r="AT2" i="9" s="1"/>
  <c r="AU2" i="9" s="1"/>
  <c r="AV2" i="9" s="1"/>
  <c r="AW2" i="9" s="1"/>
  <c r="AX2" i="9" s="1"/>
  <c r="AY2" i="9" s="1"/>
  <c r="AL2" i="9"/>
  <c r="AM2" i="9" s="1"/>
  <c r="AD2" i="9"/>
  <c r="AE2" i="9" s="1"/>
  <c r="AF2" i="9" s="1"/>
  <c r="AG2" i="9" s="1"/>
  <c r="AH2" i="9" s="1"/>
  <c r="AI2" i="9" s="1"/>
  <c r="AJ2" i="9" s="1"/>
  <c r="AK2" i="9" s="1"/>
  <c r="BA21" i="8"/>
  <c r="BA22" i="8" s="1"/>
  <c r="AO21" i="8"/>
  <c r="AO22" i="8" s="1"/>
  <c r="BB20" i="8"/>
  <c r="BC20" i="8" s="1"/>
  <c r="AQ20" i="8"/>
  <c r="AR20" i="8" s="1"/>
  <c r="AP20" i="8"/>
  <c r="AP21" i="8" s="1"/>
  <c r="AP22" i="8" s="1"/>
  <c r="AD20" i="8"/>
  <c r="AE20" i="8" s="1"/>
  <c r="BC19" i="8"/>
  <c r="BD19" i="8" s="1"/>
  <c r="BE19" i="8" s="1"/>
  <c r="BF19" i="8" s="1"/>
  <c r="BG19" i="8" s="1"/>
  <c r="BH19" i="8" s="1"/>
  <c r="BI19" i="8" s="1"/>
  <c r="BJ19" i="8" s="1"/>
  <c r="BK19" i="8" s="1"/>
  <c r="BB19" i="8"/>
  <c r="AP19" i="8"/>
  <c r="AQ19" i="8" s="1"/>
  <c r="AR19" i="8" s="1"/>
  <c r="AS19" i="8" s="1"/>
  <c r="AT19" i="8" s="1"/>
  <c r="AU19" i="8" s="1"/>
  <c r="AV19" i="8" s="1"/>
  <c r="AW19" i="8" s="1"/>
  <c r="AX19" i="8" s="1"/>
  <c r="AY19" i="8" s="1"/>
  <c r="AE19" i="8"/>
  <c r="AF19" i="8" s="1"/>
  <c r="AG19" i="8" s="1"/>
  <c r="AH19" i="8" s="1"/>
  <c r="AI19" i="8" s="1"/>
  <c r="AJ19" i="8" s="1"/>
  <c r="AK19" i="8" s="1"/>
  <c r="AL19" i="8" s="1"/>
  <c r="AM19" i="8" s="1"/>
  <c r="AD19" i="8"/>
  <c r="BB18" i="8"/>
  <c r="BC18" i="8" s="1"/>
  <c r="BD18" i="8" s="1"/>
  <c r="BE18" i="8" s="1"/>
  <c r="BF18" i="8" s="1"/>
  <c r="BG18" i="8" s="1"/>
  <c r="BH18" i="8" s="1"/>
  <c r="BI18" i="8" s="1"/>
  <c r="BJ18" i="8" s="1"/>
  <c r="BK18" i="8" s="1"/>
  <c r="AQ18" i="8"/>
  <c r="AR18" i="8" s="1"/>
  <c r="AS18" i="8" s="1"/>
  <c r="AT18" i="8" s="1"/>
  <c r="AU18" i="8" s="1"/>
  <c r="AV18" i="8" s="1"/>
  <c r="AW18" i="8" s="1"/>
  <c r="AX18" i="8" s="1"/>
  <c r="AY18" i="8" s="1"/>
  <c r="AP18" i="8"/>
  <c r="AD18" i="8"/>
  <c r="AE18" i="8" s="1"/>
  <c r="AF18" i="8" s="1"/>
  <c r="AG18" i="8" s="1"/>
  <c r="AH18" i="8" s="1"/>
  <c r="AI18" i="8" s="1"/>
  <c r="AJ18" i="8" s="1"/>
  <c r="AK18" i="8" s="1"/>
  <c r="AL18" i="8" s="1"/>
  <c r="AM18" i="8" s="1"/>
  <c r="BC17" i="8"/>
  <c r="BD17" i="8" s="1"/>
  <c r="BE17" i="8" s="1"/>
  <c r="BF17" i="8" s="1"/>
  <c r="BG17" i="8" s="1"/>
  <c r="BH17" i="8" s="1"/>
  <c r="BI17" i="8" s="1"/>
  <c r="BJ17" i="8" s="1"/>
  <c r="BK17" i="8" s="1"/>
  <c r="BB17" i="8"/>
  <c r="AP17" i="8"/>
  <c r="AQ17" i="8" s="1"/>
  <c r="AR17" i="8" s="1"/>
  <c r="AS17" i="8" s="1"/>
  <c r="AT17" i="8" s="1"/>
  <c r="AU17" i="8" s="1"/>
  <c r="AV17" i="8" s="1"/>
  <c r="AW17" i="8" s="1"/>
  <c r="AX17" i="8" s="1"/>
  <c r="AY17" i="8" s="1"/>
  <c r="AE17" i="8"/>
  <c r="AF17" i="8" s="1"/>
  <c r="AG17" i="8" s="1"/>
  <c r="AH17" i="8" s="1"/>
  <c r="AI17" i="8" s="1"/>
  <c r="AJ17" i="8" s="1"/>
  <c r="AK17" i="8" s="1"/>
  <c r="AL17" i="8" s="1"/>
  <c r="AM17" i="8" s="1"/>
  <c r="AD17" i="8"/>
  <c r="AD21" i="8" s="1"/>
  <c r="AD22" i="8" s="1"/>
  <c r="BB16" i="8"/>
  <c r="BC16" i="8" s="1"/>
  <c r="BD16" i="8" s="1"/>
  <c r="BE16" i="8" s="1"/>
  <c r="BF16" i="8" s="1"/>
  <c r="BG16" i="8" s="1"/>
  <c r="BH16" i="8" s="1"/>
  <c r="BI16" i="8" s="1"/>
  <c r="BJ16" i="8" s="1"/>
  <c r="BK16" i="8" s="1"/>
  <c r="AQ16" i="8"/>
  <c r="AR16" i="8" s="1"/>
  <c r="AS16" i="8" s="1"/>
  <c r="AT16" i="8" s="1"/>
  <c r="AU16" i="8" s="1"/>
  <c r="AV16" i="8" s="1"/>
  <c r="AW16" i="8" s="1"/>
  <c r="AX16" i="8" s="1"/>
  <c r="AY16" i="8" s="1"/>
  <c r="AP16" i="8"/>
  <c r="AD16" i="8"/>
  <c r="AE16" i="8" s="1"/>
  <c r="AF16" i="8" s="1"/>
  <c r="AG16" i="8" s="1"/>
  <c r="AH16" i="8" s="1"/>
  <c r="AI16" i="8" s="1"/>
  <c r="AJ16" i="8" s="1"/>
  <c r="AK16" i="8" s="1"/>
  <c r="AL16" i="8" s="1"/>
  <c r="AM16" i="8" s="1"/>
  <c r="BC15" i="8"/>
  <c r="BD15" i="8" s="1"/>
  <c r="BE15" i="8" s="1"/>
  <c r="BF15" i="8" s="1"/>
  <c r="BG15" i="8" s="1"/>
  <c r="BH15" i="8" s="1"/>
  <c r="BI15" i="8" s="1"/>
  <c r="BJ15" i="8" s="1"/>
  <c r="BK15" i="8" s="1"/>
  <c r="BB15" i="8"/>
  <c r="AP15" i="8"/>
  <c r="AQ15" i="8" s="1"/>
  <c r="AR15" i="8" s="1"/>
  <c r="AS15" i="8" s="1"/>
  <c r="AT15" i="8" s="1"/>
  <c r="AU15" i="8" s="1"/>
  <c r="AV15" i="8" s="1"/>
  <c r="AW15" i="8" s="1"/>
  <c r="AX15" i="8" s="1"/>
  <c r="AY15" i="8" s="1"/>
  <c r="AE15" i="8"/>
  <c r="AF15" i="8" s="1"/>
  <c r="AG15" i="8" s="1"/>
  <c r="AH15" i="8" s="1"/>
  <c r="AI15" i="8" s="1"/>
  <c r="AJ15" i="8" s="1"/>
  <c r="AK15" i="8" s="1"/>
  <c r="AL15" i="8" s="1"/>
  <c r="AM15" i="8" s="1"/>
  <c r="AD15" i="8"/>
  <c r="BB14" i="8"/>
  <c r="BC14" i="8" s="1"/>
  <c r="BD14" i="8" s="1"/>
  <c r="BE14" i="8" s="1"/>
  <c r="BF14" i="8" s="1"/>
  <c r="BG14" i="8" s="1"/>
  <c r="BH14" i="8" s="1"/>
  <c r="BI14" i="8" s="1"/>
  <c r="BJ14" i="8" s="1"/>
  <c r="BK14" i="8" s="1"/>
  <c r="AQ14" i="8"/>
  <c r="AR14" i="8" s="1"/>
  <c r="AS14" i="8" s="1"/>
  <c r="AT14" i="8" s="1"/>
  <c r="AU14" i="8" s="1"/>
  <c r="AV14" i="8" s="1"/>
  <c r="AW14" i="8" s="1"/>
  <c r="AX14" i="8" s="1"/>
  <c r="AY14" i="8" s="1"/>
  <c r="AP14" i="8"/>
  <c r="AD14" i="8"/>
  <c r="AE14" i="8" s="1"/>
  <c r="AF14" i="8" s="1"/>
  <c r="AG14" i="8" s="1"/>
  <c r="AH14" i="8" s="1"/>
  <c r="AI14" i="8" s="1"/>
  <c r="AJ14" i="8" s="1"/>
  <c r="AK14" i="8" s="1"/>
  <c r="AL14" i="8" s="1"/>
  <c r="AM14" i="8" s="1"/>
  <c r="BC13" i="8"/>
  <c r="BD13" i="8" s="1"/>
  <c r="BE13" i="8" s="1"/>
  <c r="BF13" i="8" s="1"/>
  <c r="BG13" i="8" s="1"/>
  <c r="BH13" i="8" s="1"/>
  <c r="BI13" i="8" s="1"/>
  <c r="BJ13" i="8" s="1"/>
  <c r="BK13" i="8" s="1"/>
  <c r="BB13" i="8"/>
  <c r="AP13" i="8"/>
  <c r="AQ13" i="8" s="1"/>
  <c r="AR13" i="8" s="1"/>
  <c r="AS13" i="8" s="1"/>
  <c r="AT13" i="8" s="1"/>
  <c r="AU13" i="8" s="1"/>
  <c r="AV13" i="8" s="1"/>
  <c r="AW13" i="8" s="1"/>
  <c r="AX13" i="8" s="1"/>
  <c r="AY13" i="8" s="1"/>
  <c r="AE13" i="8"/>
  <c r="AF13" i="8" s="1"/>
  <c r="AG13" i="8" s="1"/>
  <c r="AH13" i="8" s="1"/>
  <c r="AI13" i="8" s="1"/>
  <c r="AJ13" i="8" s="1"/>
  <c r="AK13" i="8" s="1"/>
  <c r="AL13" i="8" s="1"/>
  <c r="AM13" i="8" s="1"/>
  <c r="AD13" i="8"/>
  <c r="BA10" i="8"/>
  <c r="BA11" i="8" s="1"/>
  <c r="AO10" i="8"/>
  <c r="AO11" i="8" s="1"/>
  <c r="BB9" i="8"/>
  <c r="BC9" i="8" s="1"/>
  <c r="AQ9" i="8"/>
  <c r="AR9" i="8" s="1"/>
  <c r="AP9" i="8"/>
  <c r="AD9" i="8"/>
  <c r="AE9" i="8" s="1"/>
  <c r="AF9" i="8" s="1"/>
  <c r="BC8" i="8"/>
  <c r="BD8" i="8" s="1"/>
  <c r="BE8" i="8" s="1"/>
  <c r="BF8" i="8" s="1"/>
  <c r="BG8" i="8" s="1"/>
  <c r="BH8" i="8" s="1"/>
  <c r="BI8" i="8" s="1"/>
  <c r="BJ8" i="8" s="1"/>
  <c r="BK8" i="8" s="1"/>
  <c r="BB8" i="8"/>
  <c r="AS8" i="8"/>
  <c r="AT8" i="8" s="1"/>
  <c r="AU8" i="8" s="1"/>
  <c r="AV8" i="8" s="1"/>
  <c r="AW8" i="8" s="1"/>
  <c r="AX8" i="8" s="1"/>
  <c r="AY8" i="8" s="1"/>
  <c r="AP8" i="8"/>
  <c r="AQ8" i="8" s="1"/>
  <c r="AR8" i="8" s="1"/>
  <c r="AE8" i="8"/>
  <c r="AF8" i="8" s="1"/>
  <c r="AG8" i="8" s="1"/>
  <c r="AH8" i="8" s="1"/>
  <c r="AI8" i="8" s="1"/>
  <c r="AJ8" i="8" s="1"/>
  <c r="AK8" i="8" s="1"/>
  <c r="AL8" i="8" s="1"/>
  <c r="AM8" i="8" s="1"/>
  <c r="AD8" i="8"/>
  <c r="BB7" i="8"/>
  <c r="BC7" i="8" s="1"/>
  <c r="BD7" i="8" s="1"/>
  <c r="BE7" i="8" s="1"/>
  <c r="BF7" i="8" s="1"/>
  <c r="BG7" i="8" s="1"/>
  <c r="BH7" i="8" s="1"/>
  <c r="BI7" i="8" s="1"/>
  <c r="BJ7" i="8" s="1"/>
  <c r="BK7" i="8" s="1"/>
  <c r="AQ7" i="8"/>
  <c r="AR7" i="8" s="1"/>
  <c r="AS7" i="8" s="1"/>
  <c r="AT7" i="8" s="1"/>
  <c r="AU7" i="8" s="1"/>
  <c r="AV7" i="8" s="1"/>
  <c r="AW7" i="8" s="1"/>
  <c r="AX7" i="8" s="1"/>
  <c r="AY7" i="8" s="1"/>
  <c r="AP7" i="8"/>
  <c r="AP10" i="8" s="1"/>
  <c r="AP11" i="8" s="1"/>
  <c r="AD7" i="8"/>
  <c r="AE7" i="8" s="1"/>
  <c r="AF7" i="8" s="1"/>
  <c r="AG7" i="8" s="1"/>
  <c r="AH7" i="8" s="1"/>
  <c r="AI7" i="8" s="1"/>
  <c r="AJ7" i="8" s="1"/>
  <c r="AK7" i="8" s="1"/>
  <c r="AL7" i="8" s="1"/>
  <c r="AM7" i="8" s="1"/>
  <c r="BC6" i="8"/>
  <c r="BD6" i="8" s="1"/>
  <c r="BE6" i="8" s="1"/>
  <c r="BF6" i="8" s="1"/>
  <c r="BG6" i="8" s="1"/>
  <c r="BH6" i="8" s="1"/>
  <c r="BI6" i="8" s="1"/>
  <c r="BJ6" i="8" s="1"/>
  <c r="BK6" i="8" s="1"/>
  <c r="BB6" i="8"/>
  <c r="AP6" i="8"/>
  <c r="AQ6" i="8" s="1"/>
  <c r="AR6" i="8" s="1"/>
  <c r="AS6" i="8" s="1"/>
  <c r="AT6" i="8" s="1"/>
  <c r="AU6" i="8" s="1"/>
  <c r="AV6" i="8" s="1"/>
  <c r="AW6" i="8" s="1"/>
  <c r="AX6" i="8" s="1"/>
  <c r="AY6" i="8" s="1"/>
  <c r="AM6" i="8"/>
  <c r="AE6" i="8"/>
  <c r="AF6" i="8" s="1"/>
  <c r="AG6" i="8" s="1"/>
  <c r="AH6" i="8" s="1"/>
  <c r="AI6" i="8" s="1"/>
  <c r="AJ6" i="8" s="1"/>
  <c r="AK6" i="8" s="1"/>
  <c r="AL6" i="8" s="1"/>
  <c r="AD6" i="8"/>
  <c r="AD10" i="8" s="1"/>
  <c r="AD11" i="8" s="1"/>
  <c r="BB5" i="8"/>
  <c r="BC5" i="8" s="1"/>
  <c r="BD5" i="8" s="1"/>
  <c r="BE5" i="8" s="1"/>
  <c r="BF5" i="8" s="1"/>
  <c r="BG5" i="8" s="1"/>
  <c r="BH5" i="8" s="1"/>
  <c r="BI5" i="8" s="1"/>
  <c r="BJ5" i="8" s="1"/>
  <c r="BK5" i="8" s="1"/>
  <c r="AU5" i="8"/>
  <c r="AV5" i="8" s="1"/>
  <c r="AW5" i="8" s="1"/>
  <c r="AX5" i="8" s="1"/>
  <c r="AY5" i="8" s="1"/>
  <c r="AQ5" i="8"/>
  <c r="AR5" i="8" s="1"/>
  <c r="AS5" i="8" s="1"/>
  <c r="AT5" i="8" s="1"/>
  <c r="AP5" i="8"/>
  <c r="AK5" i="8"/>
  <c r="AL5" i="8" s="1"/>
  <c r="AM5" i="8" s="1"/>
  <c r="AD5" i="8"/>
  <c r="AE5" i="8" s="1"/>
  <c r="AF5" i="8" s="1"/>
  <c r="AG5" i="8" s="1"/>
  <c r="AH5" i="8" s="1"/>
  <c r="AI5" i="8" s="1"/>
  <c r="AJ5" i="8" s="1"/>
  <c r="BK4" i="8"/>
  <c r="BC4" i="8"/>
  <c r="BD4" i="8" s="1"/>
  <c r="BE4" i="8" s="1"/>
  <c r="BF4" i="8" s="1"/>
  <c r="BG4" i="8" s="1"/>
  <c r="BH4" i="8" s="1"/>
  <c r="BI4" i="8" s="1"/>
  <c r="BJ4" i="8" s="1"/>
  <c r="BB4" i="8"/>
  <c r="AS4" i="8"/>
  <c r="AT4" i="8" s="1"/>
  <c r="AU4" i="8" s="1"/>
  <c r="AV4" i="8" s="1"/>
  <c r="AW4" i="8" s="1"/>
  <c r="AX4" i="8" s="1"/>
  <c r="AY4" i="8" s="1"/>
  <c r="AP4" i="8"/>
  <c r="AQ4" i="8" s="1"/>
  <c r="AR4" i="8" s="1"/>
  <c r="AI4" i="8"/>
  <c r="AJ4" i="8" s="1"/>
  <c r="AK4" i="8" s="1"/>
  <c r="AL4" i="8" s="1"/>
  <c r="AM4" i="8" s="1"/>
  <c r="AE4" i="8"/>
  <c r="AF4" i="8" s="1"/>
  <c r="AG4" i="8" s="1"/>
  <c r="AH4" i="8" s="1"/>
  <c r="AD4" i="8"/>
  <c r="BI3" i="8"/>
  <c r="BJ3" i="8" s="1"/>
  <c r="BK3" i="8" s="1"/>
  <c r="BB3" i="8"/>
  <c r="BC3" i="8" s="1"/>
  <c r="BD3" i="8" s="1"/>
  <c r="BE3" i="8" s="1"/>
  <c r="BF3" i="8" s="1"/>
  <c r="BG3" i="8" s="1"/>
  <c r="BH3" i="8" s="1"/>
  <c r="AQ3" i="8"/>
  <c r="AR3" i="8" s="1"/>
  <c r="AS3" i="8" s="1"/>
  <c r="AT3" i="8" s="1"/>
  <c r="AU3" i="8" s="1"/>
  <c r="AV3" i="8" s="1"/>
  <c r="AW3" i="8" s="1"/>
  <c r="AX3" i="8" s="1"/>
  <c r="AY3" i="8" s="1"/>
  <c r="AP3" i="8"/>
  <c r="AG3" i="8"/>
  <c r="AH3" i="8" s="1"/>
  <c r="AI3" i="8" s="1"/>
  <c r="AJ3" i="8" s="1"/>
  <c r="AK3" i="8" s="1"/>
  <c r="AL3" i="8" s="1"/>
  <c r="AM3" i="8" s="1"/>
  <c r="AD3" i="8"/>
  <c r="AE3" i="8" s="1"/>
  <c r="AF3" i="8" s="1"/>
  <c r="BC2" i="8"/>
  <c r="BD2" i="8" s="1"/>
  <c r="BE2" i="8" s="1"/>
  <c r="BF2" i="8" s="1"/>
  <c r="BG2" i="8" s="1"/>
  <c r="BH2" i="8" s="1"/>
  <c r="BI2" i="8" s="1"/>
  <c r="BJ2" i="8" s="1"/>
  <c r="BK2" i="8" s="1"/>
  <c r="BB2" i="8"/>
  <c r="AP2" i="8"/>
  <c r="AQ2" i="8" s="1"/>
  <c r="AR2" i="8" s="1"/>
  <c r="AS2" i="8" s="1"/>
  <c r="AT2" i="8" s="1"/>
  <c r="AU2" i="8" s="1"/>
  <c r="AV2" i="8" s="1"/>
  <c r="AW2" i="8" s="1"/>
  <c r="AX2" i="8" s="1"/>
  <c r="AY2" i="8" s="1"/>
  <c r="AE2" i="8"/>
  <c r="AF2" i="8" s="1"/>
  <c r="AG2" i="8" s="1"/>
  <c r="AH2" i="8" s="1"/>
  <c r="AI2" i="8" s="1"/>
  <c r="AJ2" i="8" s="1"/>
  <c r="AK2" i="8" s="1"/>
  <c r="AL2" i="8" s="1"/>
  <c r="AM2" i="8" s="1"/>
  <c r="AD2" i="8"/>
  <c r="BA21" i="7"/>
  <c r="BA22" i="7" s="1"/>
  <c r="AO21" i="7"/>
  <c r="AO22" i="7" s="1"/>
  <c r="BB20" i="7"/>
  <c r="BC20" i="7" s="1"/>
  <c r="AQ20" i="7"/>
  <c r="AR20" i="7" s="1"/>
  <c r="AP20" i="7"/>
  <c r="AD20" i="7"/>
  <c r="AE20" i="7" s="1"/>
  <c r="BC19" i="7"/>
  <c r="BD19" i="7" s="1"/>
  <c r="BE19" i="7" s="1"/>
  <c r="BF19" i="7" s="1"/>
  <c r="BG19" i="7" s="1"/>
  <c r="BH19" i="7" s="1"/>
  <c r="BI19" i="7" s="1"/>
  <c r="BJ19" i="7" s="1"/>
  <c r="BK19" i="7" s="1"/>
  <c r="BB19" i="7"/>
  <c r="AP19" i="7"/>
  <c r="AQ19" i="7" s="1"/>
  <c r="AR19" i="7" s="1"/>
  <c r="AS19" i="7" s="1"/>
  <c r="AT19" i="7" s="1"/>
  <c r="AU19" i="7" s="1"/>
  <c r="AV19" i="7" s="1"/>
  <c r="AW19" i="7" s="1"/>
  <c r="AX19" i="7" s="1"/>
  <c r="AY19" i="7" s="1"/>
  <c r="AE19" i="7"/>
  <c r="AF19" i="7" s="1"/>
  <c r="AG19" i="7" s="1"/>
  <c r="AH19" i="7" s="1"/>
  <c r="AI19" i="7" s="1"/>
  <c r="AJ19" i="7" s="1"/>
  <c r="AK19" i="7" s="1"/>
  <c r="AL19" i="7" s="1"/>
  <c r="AM19" i="7" s="1"/>
  <c r="AD19" i="7"/>
  <c r="BB18" i="7"/>
  <c r="BC18" i="7" s="1"/>
  <c r="BD18" i="7" s="1"/>
  <c r="BE18" i="7" s="1"/>
  <c r="BF18" i="7" s="1"/>
  <c r="BG18" i="7" s="1"/>
  <c r="BH18" i="7" s="1"/>
  <c r="BI18" i="7" s="1"/>
  <c r="BJ18" i="7" s="1"/>
  <c r="BK18" i="7" s="1"/>
  <c r="AQ18" i="7"/>
  <c r="AR18" i="7" s="1"/>
  <c r="AS18" i="7" s="1"/>
  <c r="AT18" i="7" s="1"/>
  <c r="AU18" i="7" s="1"/>
  <c r="AV18" i="7" s="1"/>
  <c r="AW18" i="7" s="1"/>
  <c r="AX18" i="7" s="1"/>
  <c r="AY18" i="7" s="1"/>
  <c r="AP18" i="7"/>
  <c r="AD18" i="7"/>
  <c r="AE18" i="7" s="1"/>
  <c r="AF18" i="7" s="1"/>
  <c r="AG18" i="7" s="1"/>
  <c r="AH18" i="7" s="1"/>
  <c r="AI18" i="7" s="1"/>
  <c r="AJ18" i="7" s="1"/>
  <c r="AK18" i="7" s="1"/>
  <c r="AL18" i="7" s="1"/>
  <c r="AM18" i="7" s="1"/>
  <c r="BC17" i="7"/>
  <c r="BD17" i="7" s="1"/>
  <c r="BE17" i="7" s="1"/>
  <c r="BF17" i="7" s="1"/>
  <c r="BG17" i="7" s="1"/>
  <c r="BH17" i="7" s="1"/>
  <c r="BI17" i="7" s="1"/>
  <c r="BJ17" i="7" s="1"/>
  <c r="BK17" i="7" s="1"/>
  <c r="BB17" i="7"/>
  <c r="AP17" i="7"/>
  <c r="AQ17" i="7" s="1"/>
  <c r="AR17" i="7" s="1"/>
  <c r="AS17" i="7" s="1"/>
  <c r="AT17" i="7" s="1"/>
  <c r="AU17" i="7" s="1"/>
  <c r="AV17" i="7" s="1"/>
  <c r="AW17" i="7" s="1"/>
  <c r="AX17" i="7" s="1"/>
  <c r="AY17" i="7" s="1"/>
  <c r="AE17" i="7"/>
  <c r="AF17" i="7" s="1"/>
  <c r="AG17" i="7" s="1"/>
  <c r="AH17" i="7" s="1"/>
  <c r="AI17" i="7" s="1"/>
  <c r="AJ17" i="7" s="1"/>
  <c r="AK17" i="7" s="1"/>
  <c r="AL17" i="7" s="1"/>
  <c r="AM17" i="7" s="1"/>
  <c r="AD17" i="7"/>
  <c r="AD21" i="7" s="1"/>
  <c r="AD22" i="7" s="1"/>
  <c r="BB16" i="7"/>
  <c r="BC16" i="7" s="1"/>
  <c r="BD16" i="7" s="1"/>
  <c r="BE16" i="7" s="1"/>
  <c r="BF16" i="7" s="1"/>
  <c r="BG16" i="7" s="1"/>
  <c r="BH16" i="7" s="1"/>
  <c r="BI16" i="7" s="1"/>
  <c r="BJ16" i="7" s="1"/>
  <c r="BK16" i="7" s="1"/>
  <c r="AQ16" i="7"/>
  <c r="AR16" i="7" s="1"/>
  <c r="AS16" i="7" s="1"/>
  <c r="AT16" i="7" s="1"/>
  <c r="AU16" i="7" s="1"/>
  <c r="AV16" i="7" s="1"/>
  <c r="AW16" i="7" s="1"/>
  <c r="AX16" i="7" s="1"/>
  <c r="AY16" i="7" s="1"/>
  <c r="AP16" i="7"/>
  <c r="AD16" i="7"/>
  <c r="AE16" i="7" s="1"/>
  <c r="AF16" i="7" s="1"/>
  <c r="AG16" i="7" s="1"/>
  <c r="AH16" i="7" s="1"/>
  <c r="AI16" i="7" s="1"/>
  <c r="AJ16" i="7" s="1"/>
  <c r="AK16" i="7" s="1"/>
  <c r="AL16" i="7" s="1"/>
  <c r="AM16" i="7" s="1"/>
  <c r="BC15" i="7"/>
  <c r="BD15" i="7" s="1"/>
  <c r="BE15" i="7" s="1"/>
  <c r="BF15" i="7" s="1"/>
  <c r="BG15" i="7" s="1"/>
  <c r="BH15" i="7" s="1"/>
  <c r="BI15" i="7" s="1"/>
  <c r="BJ15" i="7" s="1"/>
  <c r="BK15" i="7" s="1"/>
  <c r="BB15" i="7"/>
  <c r="AP15" i="7"/>
  <c r="AQ15" i="7" s="1"/>
  <c r="AR15" i="7" s="1"/>
  <c r="AS15" i="7" s="1"/>
  <c r="AT15" i="7" s="1"/>
  <c r="AU15" i="7" s="1"/>
  <c r="AV15" i="7" s="1"/>
  <c r="AW15" i="7" s="1"/>
  <c r="AX15" i="7" s="1"/>
  <c r="AY15" i="7" s="1"/>
  <c r="AE15" i="7"/>
  <c r="AF15" i="7" s="1"/>
  <c r="AG15" i="7" s="1"/>
  <c r="AH15" i="7" s="1"/>
  <c r="AI15" i="7" s="1"/>
  <c r="AJ15" i="7" s="1"/>
  <c r="AK15" i="7" s="1"/>
  <c r="AL15" i="7" s="1"/>
  <c r="AM15" i="7" s="1"/>
  <c r="AD15" i="7"/>
  <c r="BB14" i="7"/>
  <c r="BC14" i="7" s="1"/>
  <c r="BD14" i="7" s="1"/>
  <c r="BE14" i="7" s="1"/>
  <c r="BF14" i="7" s="1"/>
  <c r="BG14" i="7" s="1"/>
  <c r="BH14" i="7" s="1"/>
  <c r="BI14" i="7" s="1"/>
  <c r="BJ14" i="7" s="1"/>
  <c r="BK14" i="7" s="1"/>
  <c r="AQ14" i="7"/>
  <c r="AR14" i="7" s="1"/>
  <c r="AS14" i="7" s="1"/>
  <c r="AT14" i="7" s="1"/>
  <c r="AU14" i="7" s="1"/>
  <c r="AV14" i="7" s="1"/>
  <c r="AW14" i="7" s="1"/>
  <c r="AX14" i="7" s="1"/>
  <c r="AY14" i="7" s="1"/>
  <c r="AP14" i="7"/>
  <c r="AD14" i="7"/>
  <c r="AE14" i="7" s="1"/>
  <c r="AF14" i="7" s="1"/>
  <c r="AG14" i="7" s="1"/>
  <c r="AH14" i="7" s="1"/>
  <c r="AI14" i="7" s="1"/>
  <c r="AJ14" i="7" s="1"/>
  <c r="AK14" i="7" s="1"/>
  <c r="AL14" i="7" s="1"/>
  <c r="AM14" i="7" s="1"/>
  <c r="BC13" i="7"/>
  <c r="BD13" i="7" s="1"/>
  <c r="BE13" i="7" s="1"/>
  <c r="BF13" i="7" s="1"/>
  <c r="BG13" i="7" s="1"/>
  <c r="BH13" i="7" s="1"/>
  <c r="BI13" i="7" s="1"/>
  <c r="BJ13" i="7" s="1"/>
  <c r="BK13" i="7" s="1"/>
  <c r="BB13" i="7"/>
  <c r="AP13" i="7"/>
  <c r="AQ13" i="7" s="1"/>
  <c r="AR13" i="7" s="1"/>
  <c r="AS13" i="7" s="1"/>
  <c r="AT13" i="7" s="1"/>
  <c r="AU13" i="7" s="1"/>
  <c r="AV13" i="7" s="1"/>
  <c r="AW13" i="7" s="1"/>
  <c r="AX13" i="7" s="1"/>
  <c r="AY13" i="7" s="1"/>
  <c r="AE13" i="7"/>
  <c r="AF13" i="7" s="1"/>
  <c r="AG13" i="7" s="1"/>
  <c r="AH13" i="7" s="1"/>
  <c r="AI13" i="7" s="1"/>
  <c r="AJ13" i="7" s="1"/>
  <c r="AK13" i="7" s="1"/>
  <c r="AL13" i="7" s="1"/>
  <c r="AM13" i="7" s="1"/>
  <c r="AD13" i="7"/>
  <c r="BA10" i="7"/>
  <c r="BA11" i="7" s="1"/>
  <c r="AO10" i="7"/>
  <c r="AO11" i="7" s="1"/>
  <c r="BB9" i="7"/>
  <c r="BC9" i="7" s="1"/>
  <c r="AQ9" i="7"/>
  <c r="AR9" i="7" s="1"/>
  <c r="AP9" i="7"/>
  <c r="AP10" i="7" s="1"/>
  <c r="AP11" i="7" s="1"/>
  <c r="AD9" i="7"/>
  <c r="AE9" i="7" s="1"/>
  <c r="BC8" i="7"/>
  <c r="BD8" i="7" s="1"/>
  <c r="BE8" i="7" s="1"/>
  <c r="BF8" i="7" s="1"/>
  <c r="BG8" i="7" s="1"/>
  <c r="BH8" i="7" s="1"/>
  <c r="BI8" i="7" s="1"/>
  <c r="BJ8" i="7" s="1"/>
  <c r="BK8" i="7" s="1"/>
  <c r="BB8" i="7"/>
  <c r="AP8" i="7"/>
  <c r="AQ8" i="7" s="1"/>
  <c r="AR8" i="7" s="1"/>
  <c r="AS8" i="7" s="1"/>
  <c r="AT8" i="7" s="1"/>
  <c r="AU8" i="7" s="1"/>
  <c r="AV8" i="7" s="1"/>
  <c r="AW8" i="7" s="1"/>
  <c r="AX8" i="7" s="1"/>
  <c r="AY8" i="7" s="1"/>
  <c r="AE8" i="7"/>
  <c r="AF8" i="7" s="1"/>
  <c r="AG8" i="7" s="1"/>
  <c r="AH8" i="7" s="1"/>
  <c r="AI8" i="7" s="1"/>
  <c r="AJ8" i="7" s="1"/>
  <c r="AK8" i="7" s="1"/>
  <c r="AL8" i="7" s="1"/>
  <c r="AM8" i="7" s="1"/>
  <c r="AD8" i="7"/>
  <c r="BB7" i="7"/>
  <c r="BC7" i="7" s="1"/>
  <c r="BD7" i="7" s="1"/>
  <c r="BE7" i="7" s="1"/>
  <c r="BF7" i="7" s="1"/>
  <c r="BG7" i="7" s="1"/>
  <c r="BH7" i="7" s="1"/>
  <c r="BI7" i="7" s="1"/>
  <c r="BJ7" i="7" s="1"/>
  <c r="BK7" i="7" s="1"/>
  <c r="AQ7" i="7"/>
  <c r="AR7" i="7" s="1"/>
  <c r="AS7" i="7" s="1"/>
  <c r="AT7" i="7" s="1"/>
  <c r="AU7" i="7" s="1"/>
  <c r="AV7" i="7" s="1"/>
  <c r="AW7" i="7" s="1"/>
  <c r="AX7" i="7" s="1"/>
  <c r="AY7" i="7" s="1"/>
  <c r="AP7" i="7"/>
  <c r="AD7" i="7"/>
  <c r="AE7" i="7" s="1"/>
  <c r="AF7" i="7" s="1"/>
  <c r="AG7" i="7" s="1"/>
  <c r="AH7" i="7" s="1"/>
  <c r="AI7" i="7" s="1"/>
  <c r="AJ7" i="7" s="1"/>
  <c r="AK7" i="7" s="1"/>
  <c r="AL7" i="7" s="1"/>
  <c r="AM7" i="7" s="1"/>
  <c r="BC6" i="7"/>
  <c r="BD6" i="7" s="1"/>
  <c r="BE6" i="7" s="1"/>
  <c r="BF6" i="7" s="1"/>
  <c r="BG6" i="7" s="1"/>
  <c r="BH6" i="7" s="1"/>
  <c r="BI6" i="7" s="1"/>
  <c r="BJ6" i="7" s="1"/>
  <c r="BK6" i="7" s="1"/>
  <c r="BB6" i="7"/>
  <c r="AP6" i="7"/>
  <c r="AQ6" i="7" s="1"/>
  <c r="AR6" i="7" s="1"/>
  <c r="AS6" i="7" s="1"/>
  <c r="AT6" i="7" s="1"/>
  <c r="AU6" i="7" s="1"/>
  <c r="AV6" i="7" s="1"/>
  <c r="AW6" i="7" s="1"/>
  <c r="AX6" i="7" s="1"/>
  <c r="AY6" i="7" s="1"/>
  <c r="AE6" i="7"/>
  <c r="AF6" i="7" s="1"/>
  <c r="AG6" i="7" s="1"/>
  <c r="AH6" i="7" s="1"/>
  <c r="AI6" i="7" s="1"/>
  <c r="AJ6" i="7" s="1"/>
  <c r="AK6" i="7" s="1"/>
  <c r="AL6" i="7" s="1"/>
  <c r="AM6" i="7" s="1"/>
  <c r="AD6" i="7"/>
  <c r="AD10" i="7" s="1"/>
  <c r="AD11" i="7" s="1"/>
  <c r="BB5" i="7"/>
  <c r="BC5" i="7" s="1"/>
  <c r="BD5" i="7" s="1"/>
  <c r="BE5" i="7" s="1"/>
  <c r="BF5" i="7" s="1"/>
  <c r="BG5" i="7" s="1"/>
  <c r="BH5" i="7" s="1"/>
  <c r="BI5" i="7" s="1"/>
  <c r="BJ5" i="7" s="1"/>
  <c r="BK5" i="7" s="1"/>
  <c r="AQ5" i="7"/>
  <c r="AR5" i="7" s="1"/>
  <c r="AS5" i="7" s="1"/>
  <c r="AT5" i="7" s="1"/>
  <c r="AU5" i="7" s="1"/>
  <c r="AV5" i="7" s="1"/>
  <c r="AW5" i="7" s="1"/>
  <c r="AX5" i="7" s="1"/>
  <c r="AY5" i="7" s="1"/>
  <c r="AP5" i="7"/>
  <c r="AD5" i="7"/>
  <c r="AE5" i="7" s="1"/>
  <c r="AF5" i="7" s="1"/>
  <c r="AG5" i="7" s="1"/>
  <c r="AH5" i="7" s="1"/>
  <c r="AI5" i="7" s="1"/>
  <c r="AJ5" i="7" s="1"/>
  <c r="AK5" i="7" s="1"/>
  <c r="AL5" i="7" s="1"/>
  <c r="AM5" i="7" s="1"/>
  <c r="BC4" i="7"/>
  <c r="BD4" i="7" s="1"/>
  <c r="BE4" i="7" s="1"/>
  <c r="BF4" i="7" s="1"/>
  <c r="BG4" i="7" s="1"/>
  <c r="BH4" i="7" s="1"/>
  <c r="BI4" i="7" s="1"/>
  <c r="BJ4" i="7" s="1"/>
  <c r="BK4" i="7" s="1"/>
  <c r="BB4" i="7"/>
  <c r="AP4" i="7"/>
  <c r="AQ4" i="7" s="1"/>
  <c r="AR4" i="7" s="1"/>
  <c r="AS4" i="7" s="1"/>
  <c r="AT4" i="7" s="1"/>
  <c r="AU4" i="7" s="1"/>
  <c r="AV4" i="7" s="1"/>
  <c r="AW4" i="7" s="1"/>
  <c r="AX4" i="7" s="1"/>
  <c r="AY4" i="7" s="1"/>
  <c r="AE4" i="7"/>
  <c r="AF4" i="7" s="1"/>
  <c r="AG4" i="7" s="1"/>
  <c r="AH4" i="7" s="1"/>
  <c r="AI4" i="7" s="1"/>
  <c r="AJ4" i="7" s="1"/>
  <c r="AK4" i="7" s="1"/>
  <c r="AL4" i="7" s="1"/>
  <c r="AM4" i="7" s="1"/>
  <c r="AD4" i="7"/>
  <c r="BB3" i="7"/>
  <c r="BC3" i="7" s="1"/>
  <c r="BD3" i="7" s="1"/>
  <c r="BE3" i="7" s="1"/>
  <c r="BF3" i="7" s="1"/>
  <c r="BG3" i="7" s="1"/>
  <c r="BH3" i="7" s="1"/>
  <c r="BI3" i="7" s="1"/>
  <c r="BJ3" i="7" s="1"/>
  <c r="BK3" i="7" s="1"/>
  <c r="AQ3" i="7"/>
  <c r="AR3" i="7" s="1"/>
  <c r="AS3" i="7" s="1"/>
  <c r="AT3" i="7" s="1"/>
  <c r="AU3" i="7" s="1"/>
  <c r="AV3" i="7" s="1"/>
  <c r="AW3" i="7" s="1"/>
  <c r="AX3" i="7" s="1"/>
  <c r="AY3" i="7" s="1"/>
  <c r="AP3" i="7"/>
  <c r="AD3" i="7"/>
  <c r="AE3" i="7" s="1"/>
  <c r="AF3" i="7" s="1"/>
  <c r="AG3" i="7" s="1"/>
  <c r="AH3" i="7" s="1"/>
  <c r="AI3" i="7" s="1"/>
  <c r="AJ3" i="7" s="1"/>
  <c r="AK3" i="7" s="1"/>
  <c r="AL3" i="7" s="1"/>
  <c r="AM3" i="7" s="1"/>
  <c r="BC2" i="7"/>
  <c r="BD2" i="7" s="1"/>
  <c r="BE2" i="7" s="1"/>
  <c r="BF2" i="7" s="1"/>
  <c r="BG2" i="7" s="1"/>
  <c r="BH2" i="7" s="1"/>
  <c r="BI2" i="7" s="1"/>
  <c r="BJ2" i="7" s="1"/>
  <c r="BK2" i="7" s="1"/>
  <c r="BB2" i="7"/>
  <c r="AP2" i="7"/>
  <c r="AQ2" i="7" s="1"/>
  <c r="AR2" i="7" s="1"/>
  <c r="AS2" i="7" s="1"/>
  <c r="AT2" i="7" s="1"/>
  <c r="AU2" i="7" s="1"/>
  <c r="AV2" i="7" s="1"/>
  <c r="AW2" i="7" s="1"/>
  <c r="AX2" i="7" s="1"/>
  <c r="AY2" i="7" s="1"/>
  <c r="AE2" i="7"/>
  <c r="AF2" i="7" s="1"/>
  <c r="AG2" i="7" s="1"/>
  <c r="AH2" i="7" s="1"/>
  <c r="AI2" i="7" s="1"/>
  <c r="AJ2" i="7" s="1"/>
  <c r="AK2" i="7" s="1"/>
  <c r="AL2" i="7" s="1"/>
  <c r="AM2" i="7" s="1"/>
  <c r="AD2" i="7"/>
  <c r="BA21" i="3"/>
  <c r="BA22" i="3" s="1"/>
  <c r="AO21" i="3"/>
  <c r="AO22" i="3" s="1"/>
  <c r="BB20" i="3"/>
  <c r="BC20" i="3" s="1"/>
  <c r="AT20" i="3"/>
  <c r="AR20" i="3"/>
  <c r="AS20" i="3" s="1"/>
  <c r="AQ20" i="3"/>
  <c r="AP20" i="3"/>
  <c r="AD20" i="3"/>
  <c r="AE20" i="3" s="1"/>
  <c r="BD19" i="3"/>
  <c r="BE19" i="3" s="1"/>
  <c r="BF19" i="3" s="1"/>
  <c r="BG19" i="3" s="1"/>
  <c r="BH19" i="3" s="1"/>
  <c r="BI19" i="3" s="1"/>
  <c r="BJ19" i="3" s="1"/>
  <c r="BK19" i="3" s="1"/>
  <c r="BB19" i="3"/>
  <c r="BC19" i="3" s="1"/>
  <c r="AP19" i="3"/>
  <c r="AQ19" i="3" s="1"/>
  <c r="AR19" i="3" s="1"/>
  <c r="AS19" i="3" s="1"/>
  <c r="AT19" i="3" s="1"/>
  <c r="AU19" i="3" s="1"/>
  <c r="AV19" i="3" s="1"/>
  <c r="AW19" i="3" s="1"/>
  <c r="AX19" i="3" s="1"/>
  <c r="AY19" i="3" s="1"/>
  <c r="AF19" i="3"/>
  <c r="AG19" i="3" s="1"/>
  <c r="AH19" i="3" s="1"/>
  <c r="AI19" i="3" s="1"/>
  <c r="AJ19" i="3" s="1"/>
  <c r="AK19" i="3" s="1"/>
  <c r="AL19" i="3" s="1"/>
  <c r="AM19" i="3" s="1"/>
  <c r="AE19" i="3"/>
  <c r="AD19" i="3"/>
  <c r="BB18" i="3"/>
  <c r="BC18" i="3" s="1"/>
  <c r="BD18" i="3" s="1"/>
  <c r="BE18" i="3" s="1"/>
  <c r="BF18" i="3" s="1"/>
  <c r="BG18" i="3" s="1"/>
  <c r="BH18" i="3" s="1"/>
  <c r="BI18" i="3" s="1"/>
  <c r="BJ18" i="3" s="1"/>
  <c r="BK18" i="3" s="1"/>
  <c r="AP18" i="3"/>
  <c r="AQ18" i="3" s="1"/>
  <c r="AR18" i="3" s="1"/>
  <c r="AS18" i="3" s="1"/>
  <c r="AT18" i="3" s="1"/>
  <c r="AU18" i="3" s="1"/>
  <c r="AV18" i="3" s="1"/>
  <c r="AW18" i="3" s="1"/>
  <c r="AX18" i="3" s="1"/>
  <c r="AY18" i="3" s="1"/>
  <c r="AD18" i="3"/>
  <c r="AE18" i="3" s="1"/>
  <c r="AF18" i="3" s="1"/>
  <c r="AG18" i="3" s="1"/>
  <c r="AH18" i="3" s="1"/>
  <c r="AI18" i="3" s="1"/>
  <c r="AJ18" i="3" s="1"/>
  <c r="AK18" i="3" s="1"/>
  <c r="AL18" i="3" s="1"/>
  <c r="AM18" i="3" s="1"/>
  <c r="BD17" i="3"/>
  <c r="BE17" i="3" s="1"/>
  <c r="BF17" i="3" s="1"/>
  <c r="BG17" i="3" s="1"/>
  <c r="BH17" i="3" s="1"/>
  <c r="BI17" i="3" s="1"/>
  <c r="BJ17" i="3" s="1"/>
  <c r="BK17" i="3" s="1"/>
  <c r="BC17" i="3"/>
  <c r="BB17" i="3"/>
  <c r="AT17" i="3"/>
  <c r="AU17" i="3" s="1"/>
  <c r="AV17" i="3" s="1"/>
  <c r="AW17" i="3" s="1"/>
  <c r="AX17" i="3" s="1"/>
  <c r="AY17" i="3" s="1"/>
  <c r="AP17" i="3"/>
  <c r="AQ17" i="3" s="1"/>
  <c r="AR17" i="3" s="1"/>
  <c r="AS17" i="3" s="1"/>
  <c r="AF17" i="3"/>
  <c r="AG17" i="3" s="1"/>
  <c r="AH17" i="3" s="1"/>
  <c r="AI17" i="3" s="1"/>
  <c r="AJ17" i="3" s="1"/>
  <c r="AK17" i="3" s="1"/>
  <c r="AL17" i="3" s="1"/>
  <c r="AM17" i="3" s="1"/>
  <c r="AD17" i="3"/>
  <c r="AE17" i="3" s="1"/>
  <c r="BD16" i="3"/>
  <c r="BE16" i="3" s="1"/>
  <c r="BF16" i="3" s="1"/>
  <c r="BG16" i="3" s="1"/>
  <c r="BH16" i="3" s="1"/>
  <c r="BI16" i="3" s="1"/>
  <c r="BJ16" i="3" s="1"/>
  <c r="BK16" i="3" s="1"/>
  <c r="BB16" i="3"/>
  <c r="BC16" i="3" s="1"/>
  <c r="AR16" i="3"/>
  <c r="AS16" i="3" s="1"/>
  <c r="AT16" i="3" s="1"/>
  <c r="AU16" i="3" s="1"/>
  <c r="AV16" i="3" s="1"/>
  <c r="AW16" i="3" s="1"/>
  <c r="AX16" i="3" s="1"/>
  <c r="AY16" i="3" s="1"/>
  <c r="AQ16" i="3"/>
  <c r="AP16" i="3"/>
  <c r="AD16" i="3"/>
  <c r="AE16" i="3" s="1"/>
  <c r="AF16" i="3" s="1"/>
  <c r="AG16" i="3" s="1"/>
  <c r="AH16" i="3" s="1"/>
  <c r="AI16" i="3" s="1"/>
  <c r="AJ16" i="3" s="1"/>
  <c r="AK16" i="3" s="1"/>
  <c r="AL16" i="3" s="1"/>
  <c r="AM16" i="3" s="1"/>
  <c r="BB15" i="3"/>
  <c r="BC15" i="3" s="1"/>
  <c r="BD15" i="3" s="1"/>
  <c r="BE15" i="3" s="1"/>
  <c r="BF15" i="3" s="1"/>
  <c r="BG15" i="3" s="1"/>
  <c r="BH15" i="3" s="1"/>
  <c r="BI15" i="3" s="1"/>
  <c r="BJ15" i="3" s="1"/>
  <c r="BK15" i="3" s="1"/>
  <c r="AP15" i="3"/>
  <c r="AQ15" i="3" s="1"/>
  <c r="AR15" i="3" s="1"/>
  <c r="AS15" i="3" s="1"/>
  <c r="AT15" i="3" s="1"/>
  <c r="AU15" i="3" s="1"/>
  <c r="AV15" i="3" s="1"/>
  <c r="AW15" i="3" s="1"/>
  <c r="AX15" i="3" s="1"/>
  <c r="AY15" i="3" s="1"/>
  <c r="AH15" i="3"/>
  <c r="AI15" i="3" s="1"/>
  <c r="AJ15" i="3" s="1"/>
  <c r="AK15" i="3" s="1"/>
  <c r="AL15" i="3" s="1"/>
  <c r="AM15" i="3" s="1"/>
  <c r="AF15" i="3"/>
  <c r="AG15" i="3" s="1"/>
  <c r="AE15" i="3"/>
  <c r="AD15" i="3"/>
  <c r="BB14" i="3"/>
  <c r="BC14" i="3" s="1"/>
  <c r="BD14" i="3" s="1"/>
  <c r="BE14" i="3" s="1"/>
  <c r="BF14" i="3" s="1"/>
  <c r="BG14" i="3" s="1"/>
  <c r="BH14" i="3" s="1"/>
  <c r="BI14" i="3" s="1"/>
  <c r="BJ14" i="3" s="1"/>
  <c r="BK14" i="3" s="1"/>
  <c r="AP14" i="3"/>
  <c r="AQ14" i="3" s="1"/>
  <c r="AR14" i="3" s="1"/>
  <c r="AS14" i="3" s="1"/>
  <c r="AT14" i="3" s="1"/>
  <c r="AU14" i="3" s="1"/>
  <c r="AV14" i="3" s="1"/>
  <c r="AW14" i="3" s="1"/>
  <c r="AX14" i="3" s="1"/>
  <c r="AY14" i="3" s="1"/>
  <c r="AD14" i="3"/>
  <c r="AE14" i="3" s="1"/>
  <c r="AF14" i="3" s="1"/>
  <c r="AG14" i="3" s="1"/>
  <c r="AH14" i="3" s="1"/>
  <c r="AI14" i="3" s="1"/>
  <c r="AJ14" i="3" s="1"/>
  <c r="AK14" i="3" s="1"/>
  <c r="AL14" i="3" s="1"/>
  <c r="AM14" i="3" s="1"/>
  <c r="BD13" i="3"/>
  <c r="BE13" i="3" s="1"/>
  <c r="BF13" i="3" s="1"/>
  <c r="BG13" i="3" s="1"/>
  <c r="BH13" i="3" s="1"/>
  <c r="BI13" i="3" s="1"/>
  <c r="BJ13" i="3" s="1"/>
  <c r="BK13" i="3" s="1"/>
  <c r="BC13" i="3"/>
  <c r="BB13" i="3"/>
  <c r="AP13" i="3"/>
  <c r="AQ13" i="3" s="1"/>
  <c r="AR13" i="3" s="1"/>
  <c r="AS13" i="3" s="1"/>
  <c r="AT13" i="3" s="1"/>
  <c r="AU13" i="3" s="1"/>
  <c r="AV13" i="3" s="1"/>
  <c r="AW13" i="3" s="1"/>
  <c r="AX13" i="3" s="1"/>
  <c r="AY13" i="3" s="1"/>
  <c r="AD13" i="3"/>
  <c r="AE13" i="3" s="1"/>
  <c r="AF13" i="3" s="1"/>
  <c r="AG13" i="3" s="1"/>
  <c r="AH13" i="3" s="1"/>
  <c r="AI13" i="3" s="1"/>
  <c r="AJ13" i="3" s="1"/>
  <c r="AK13" i="3" s="1"/>
  <c r="AL13" i="3" s="1"/>
  <c r="AM13" i="3" s="1"/>
  <c r="AO11" i="3"/>
  <c r="BA10" i="3"/>
  <c r="BA11" i="3" s="1"/>
  <c r="AO10" i="3"/>
  <c r="BD9" i="3"/>
  <c r="BE9" i="3" s="1"/>
  <c r="BB9" i="3"/>
  <c r="BC9" i="3" s="1"/>
  <c r="AR9" i="3"/>
  <c r="AQ9" i="3"/>
  <c r="AP9" i="3"/>
  <c r="AD9" i="3"/>
  <c r="AE9" i="3" s="1"/>
  <c r="BB8" i="3"/>
  <c r="BC8" i="3" s="1"/>
  <c r="BD8" i="3" s="1"/>
  <c r="AP8" i="3"/>
  <c r="AH8" i="3"/>
  <c r="AI8" i="3" s="1"/>
  <c r="AJ8" i="3" s="1"/>
  <c r="AK8" i="3" s="1"/>
  <c r="AL8" i="3" s="1"/>
  <c r="AM8" i="3" s="1"/>
  <c r="AF8" i="3"/>
  <c r="AG8" i="3" s="1"/>
  <c r="AE8" i="3"/>
  <c r="AD8" i="3"/>
  <c r="BB7" i="3"/>
  <c r="BC7" i="3" s="1"/>
  <c r="BD7" i="3" s="1"/>
  <c r="BE7" i="3" s="1"/>
  <c r="BF7" i="3" s="1"/>
  <c r="BG7" i="3" s="1"/>
  <c r="BH7" i="3" s="1"/>
  <c r="BI7" i="3" s="1"/>
  <c r="BJ7" i="3" s="1"/>
  <c r="BK7" i="3" s="1"/>
  <c r="AP7" i="3"/>
  <c r="AQ7" i="3" s="1"/>
  <c r="AR7" i="3" s="1"/>
  <c r="AS7" i="3" s="1"/>
  <c r="AT7" i="3" s="1"/>
  <c r="AU7" i="3" s="1"/>
  <c r="AV7" i="3" s="1"/>
  <c r="AW7" i="3" s="1"/>
  <c r="AX7" i="3" s="1"/>
  <c r="AY7" i="3" s="1"/>
  <c r="AD7" i="3"/>
  <c r="AE7" i="3" s="1"/>
  <c r="AF7" i="3" s="1"/>
  <c r="AG7" i="3" s="1"/>
  <c r="AH7" i="3" s="1"/>
  <c r="AI7" i="3" s="1"/>
  <c r="AJ7" i="3" s="1"/>
  <c r="AK7" i="3" s="1"/>
  <c r="AL7" i="3" s="1"/>
  <c r="AM7" i="3" s="1"/>
  <c r="BD6" i="3"/>
  <c r="BE6" i="3" s="1"/>
  <c r="BF6" i="3" s="1"/>
  <c r="BG6" i="3" s="1"/>
  <c r="BH6" i="3" s="1"/>
  <c r="BI6" i="3" s="1"/>
  <c r="BJ6" i="3" s="1"/>
  <c r="BK6" i="3" s="1"/>
  <c r="BC6" i="3"/>
  <c r="BB6" i="3"/>
  <c r="AP6" i="3"/>
  <c r="AQ6" i="3" s="1"/>
  <c r="AR6" i="3" s="1"/>
  <c r="AS6" i="3" s="1"/>
  <c r="AT6" i="3" s="1"/>
  <c r="AU6" i="3" s="1"/>
  <c r="AV6" i="3" s="1"/>
  <c r="AW6" i="3" s="1"/>
  <c r="AX6" i="3" s="1"/>
  <c r="AY6" i="3" s="1"/>
  <c r="AD6" i="3"/>
  <c r="AE6" i="3" s="1"/>
  <c r="AF6" i="3" s="1"/>
  <c r="AG6" i="3" s="1"/>
  <c r="AH6" i="3" s="1"/>
  <c r="AI6" i="3" s="1"/>
  <c r="AJ6" i="3" s="1"/>
  <c r="AK6" i="3" s="1"/>
  <c r="AL6" i="3" s="1"/>
  <c r="AM6" i="3" s="1"/>
  <c r="BB5" i="3"/>
  <c r="BC5" i="3" s="1"/>
  <c r="BD5" i="3" s="1"/>
  <c r="BE5" i="3" s="1"/>
  <c r="BF5" i="3" s="1"/>
  <c r="BG5" i="3" s="1"/>
  <c r="BH5" i="3" s="1"/>
  <c r="BI5" i="3" s="1"/>
  <c r="BJ5" i="3" s="1"/>
  <c r="BK5" i="3" s="1"/>
  <c r="AR5" i="3"/>
  <c r="AS5" i="3" s="1"/>
  <c r="AT5" i="3" s="1"/>
  <c r="AU5" i="3" s="1"/>
  <c r="AV5" i="3" s="1"/>
  <c r="AW5" i="3" s="1"/>
  <c r="AX5" i="3" s="1"/>
  <c r="AY5" i="3" s="1"/>
  <c r="AQ5" i="3"/>
  <c r="AP5" i="3"/>
  <c r="AH5" i="3"/>
  <c r="AI5" i="3" s="1"/>
  <c r="AJ5" i="3" s="1"/>
  <c r="AK5" i="3" s="1"/>
  <c r="AL5" i="3" s="1"/>
  <c r="AM5" i="3" s="1"/>
  <c r="AD5" i="3"/>
  <c r="AE5" i="3" s="1"/>
  <c r="AF5" i="3" s="1"/>
  <c r="AG5" i="3" s="1"/>
  <c r="BD4" i="3"/>
  <c r="BE4" i="3" s="1"/>
  <c r="BF4" i="3" s="1"/>
  <c r="BG4" i="3" s="1"/>
  <c r="BH4" i="3" s="1"/>
  <c r="BI4" i="3" s="1"/>
  <c r="BJ4" i="3" s="1"/>
  <c r="BK4" i="3" s="1"/>
  <c r="BB4" i="3"/>
  <c r="BC4" i="3" s="1"/>
  <c r="AR4" i="3"/>
  <c r="AS4" i="3" s="1"/>
  <c r="AT4" i="3" s="1"/>
  <c r="AU4" i="3" s="1"/>
  <c r="AV4" i="3" s="1"/>
  <c r="AW4" i="3" s="1"/>
  <c r="AX4" i="3" s="1"/>
  <c r="AY4" i="3" s="1"/>
  <c r="AP4" i="3"/>
  <c r="AQ4" i="3" s="1"/>
  <c r="AF4" i="3"/>
  <c r="AG4" i="3" s="1"/>
  <c r="AH4" i="3" s="1"/>
  <c r="AI4" i="3" s="1"/>
  <c r="AJ4" i="3" s="1"/>
  <c r="AK4" i="3" s="1"/>
  <c r="AL4" i="3" s="1"/>
  <c r="AM4" i="3" s="1"/>
  <c r="AE4" i="3"/>
  <c r="AD4" i="3"/>
  <c r="BB3" i="3"/>
  <c r="BC3" i="3" s="1"/>
  <c r="BD3" i="3" s="1"/>
  <c r="BE3" i="3" s="1"/>
  <c r="BF3" i="3" s="1"/>
  <c r="BG3" i="3" s="1"/>
  <c r="BH3" i="3" s="1"/>
  <c r="BI3" i="3" s="1"/>
  <c r="BJ3" i="3" s="1"/>
  <c r="BK3" i="3" s="1"/>
  <c r="AP3" i="3"/>
  <c r="AQ3" i="3" s="1"/>
  <c r="AR3" i="3" s="1"/>
  <c r="AS3" i="3" s="1"/>
  <c r="AT3" i="3" s="1"/>
  <c r="AU3" i="3" s="1"/>
  <c r="AV3" i="3" s="1"/>
  <c r="AW3" i="3" s="1"/>
  <c r="AX3" i="3" s="1"/>
  <c r="AY3" i="3" s="1"/>
  <c r="AD3" i="3"/>
  <c r="AE3" i="3" s="1"/>
  <c r="AF3" i="3" s="1"/>
  <c r="AG3" i="3" s="1"/>
  <c r="AH3" i="3" s="1"/>
  <c r="AI3" i="3" s="1"/>
  <c r="AJ3" i="3" s="1"/>
  <c r="AK3" i="3" s="1"/>
  <c r="AL3" i="3" s="1"/>
  <c r="AM3" i="3" s="1"/>
  <c r="BF2" i="3"/>
  <c r="BG2" i="3" s="1"/>
  <c r="BH2" i="3" s="1"/>
  <c r="BI2" i="3" s="1"/>
  <c r="BJ2" i="3" s="1"/>
  <c r="BK2" i="3" s="1"/>
  <c r="BD2" i="3"/>
  <c r="BE2" i="3" s="1"/>
  <c r="BC2" i="3"/>
  <c r="BB2" i="3"/>
  <c r="AP2" i="3"/>
  <c r="AQ2" i="3" s="1"/>
  <c r="AR2" i="3" s="1"/>
  <c r="AS2" i="3" s="1"/>
  <c r="AT2" i="3" s="1"/>
  <c r="AU2" i="3" s="1"/>
  <c r="AV2" i="3" s="1"/>
  <c r="AW2" i="3" s="1"/>
  <c r="AX2" i="3" s="1"/>
  <c r="AY2" i="3" s="1"/>
  <c r="AD2" i="3"/>
  <c r="AE2" i="3" s="1"/>
  <c r="AF2" i="3" s="1"/>
  <c r="AG2" i="3" s="1"/>
  <c r="AH2" i="3" s="1"/>
  <c r="AI2" i="3" s="1"/>
  <c r="AJ2" i="3" s="1"/>
  <c r="AK2" i="3" s="1"/>
  <c r="AL2" i="3" s="1"/>
  <c r="AM2" i="3" s="1"/>
  <c r="R20" i="8"/>
  <c r="T19" i="8"/>
  <c r="U19" i="8" s="1"/>
  <c r="V19" i="8" s="1"/>
  <c r="W19" i="8" s="1"/>
  <c r="X19" i="8" s="1"/>
  <c r="Y19" i="8" s="1"/>
  <c r="Z19" i="8" s="1"/>
  <c r="AA19" i="8" s="1"/>
  <c r="R19" i="8"/>
  <c r="R18" i="8"/>
  <c r="S18" i="8" s="1"/>
  <c r="T18" i="8" s="1"/>
  <c r="U18" i="8" s="1"/>
  <c r="V18" i="8" s="1"/>
  <c r="W18" i="8" s="1"/>
  <c r="X18" i="8" s="1"/>
  <c r="Y18" i="8" s="1"/>
  <c r="Z18" i="8" s="1"/>
  <c r="AA18" i="8" s="1"/>
  <c r="S17" i="8"/>
  <c r="T17" i="8" s="1"/>
  <c r="U17" i="8" s="1"/>
  <c r="V17" i="8" s="1"/>
  <c r="W17" i="8" s="1"/>
  <c r="X17" i="8" s="1"/>
  <c r="Y17" i="8" s="1"/>
  <c r="Z17" i="8" s="1"/>
  <c r="AA17" i="8" s="1"/>
  <c r="R17" i="8"/>
  <c r="R16" i="8"/>
  <c r="S16" i="8" s="1"/>
  <c r="T16" i="8" s="1"/>
  <c r="U16" i="8" s="1"/>
  <c r="V16" i="8" s="1"/>
  <c r="W16" i="8" s="1"/>
  <c r="X16" i="8" s="1"/>
  <c r="Y16" i="8" s="1"/>
  <c r="Z16" i="8" s="1"/>
  <c r="AA16" i="8" s="1"/>
  <c r="T15" i="8"/>
  <c r="U15" i="8" s="1"/>
  <c r="V15" i="8" s="1"/>
  <c r="W15" i="8" s="1"/>
  <c r="X15" i="8" s="1"/>
  <c r="Y15" i="8" s="1"/>
  <c r="Z15" i="8" s="1"/>
  <c r="AA15" i="8" s="1"/>
  <c r="S15" i="8"/>
  <c r="R15" i="8"/>
  <c r="R14" i="8"/>
  <c r="T14" i="8" s="1"/>
  <c r="U14" i="8" s="1"/>
  <c r="V14" i="8" s="1"/>
  <c r="W14" i="8" s="1"/>
  <c r="X14" i="8" s="1"/>
  <c r="Y14" i="8" s="1"/>
  <c r="Z14" i="8" s="1"/>
  <c r="AA14" i="8" s="1"/>
  <c r="S13" i="8"/>
  <c r="T13" i="8" s="1"/>
  <c r="U13" i="8" s="1"/>
  <c r="V13" i="8" s="1"/>
  <c r="W13" i="8" s="1"/>
  <c r="X13" i="8" s="1"/>
  <c r="Y13" i="8" s="1"/>
  <c r="Z13" i="8" s="1"/>
  <c r="AA13" i="8" s="1"/>
  <c r="R13" i="8"/>
  <c r="R9" i="8"/>
  <c r="T8" i="8"/>
  <c r="U8" i="8" s="1"/>
  <c r="V8" i="8" s="1"/>
  <c r="W8" i="8" s="1"/>
  <c r="X8" i="8" s="1"/>
  <c r="Y8" i="8" s="1"/>
  <c r="Z8" i="8" s="1"/>
  <c r="AA8" i="8" s="1"/>
  <c r="R8" i="8"/>
  <c r="R7" i="8"/>
  <c r="S7" i="8" s="1"/>
  <c r="T7" i="8" s="1"/>
  <c r="U7" i="8" s="1"/>
  <c r="V7" i="8" s="1"/>
  <c r="W7" i="8" s="1"/>
  <c r="X7" i="8" s="1"/>
  <c r="Y7" i="8" s="1"/>
  <c r="Z7" i="8" s="1"/>
  <c r="AA7" i="8" s="1"/>
  <c r="T6" i="8"/>
  <c r="U6" i="8" s="1"/>
  <c r="V6" i="8" s="1"/>
  <c r="W6" i="8" s="1"/>
  <c r="X6" i="8" s="1"/>
  <c r="Y6" i="8" s="1"/>
  <c r="Z6" i="8" s="1"/>
  <c r="AA6" i="8" s="1"/>
  <c r="S6" i="8"/>
  <c r="R6" i="8"/>
  <c r="R5" i="8"/>
  <c r="S5" i="8" s="1"/>
  <c r="T5" i="8" s="1"/>
  <c r="U5" i="8" s="1"/>
  <c r="V5" i="8" s="1"/>
  <c r="W5" i="8" s="1"/>
  <c r="X5" i="8" s="1"/>
  <c r="Y5" i="8" s="1"/>
  <c r="Z5" i="8" s="1"/>
  <c r="AA5" i="8" s="1"/>
  <c r="S4" i="8"/>
  <c r="T4" i="8" s="1"/>
  <c r="U4" i="8" s="1"/>
  <c r="V4" i="8" s="1"/>
  <c r="W4" i="8" s="1"/>
  <c r="X4" i="8" s="1"/>
  <c r="Y4" i="8" s="1"/>
  <c r="Z4" i="8" s="1"/>
  <c r="AA4" i="8" s="1"/>
  <c r="R4" i="8"/>
  <c r="R3" i="8"/>
  <c r="T3" i="8" s="1"/>
  <c r="U3" i="8" s="1"/>
  <c r="V3" i="8" s="1"/>
  <c r="W3" i="8" s="1"/>
  <c r="X3" i="8" s="1"/>
  <c r="Y3" i="8" s="1"/>
  <c r="Z3" i="8" s="1"/>
  <c r="AA3" i="8" s="1"/>
  <c r="T2" i="8"/>
  <c r="U2" i="8" s="1"/>
  <c r="V2" i="8" s="1"/>
  <c r="W2" i="8" s="1"/>
  <c r="X2" i="8" s="1"/>
  <c r="Y2" i="8" s="1"/>
  <c r="Z2" i="8" s="1"/>
  <c r="AA2" i="8" s="1"/>
  <c r="S2" i="8"/>
  <c r="R2" i="8"/>
  <c r="R20" i="14"/>
  <c r="R21" i="14" s="1"/>
  <c r="R22" i="14" s="1"/>
  <c r="R19" i="14"/>
  <c r="S19" i="14" s="1"/>
  <c r="T19" i="14" s="1"/>
  <c r="U19" i="14" s="1"/>
  <c r="V19" i="14" s="1"/>
  <c r="W19" i="14" s="1"/>
  <c r="X19" i="14" s="1"/>
  <c r="Y19" i="14" s="1"/>
  <c r="Z19" i="14" s="1"/>
  <c r="AA19" i="14" s="1"/>
  <c r="R18" i="14"/>
  <c r="S18" i="14" s="1"/>
  <c r="T18" i="14" s="1"/>
  <c r="U18" i="14" s="1"/>
  <c r="V18" i="14" s="1"/>
  <c r="W18" i="14" s="1"/>
  <c r="X18" i="14" s="1"/>
  <c r="Y18" i="14" s="1"/>
  <c r="Z18" i="14" s="1"/>
  <c r="AA18" i="14" s="1"/>
  <c r="R17" i="14"/>
  <c r="S17" i="14" s="1"/>
  <c r="T17" i="14" s="1"/>
  <c r="U17" i="14" s="1"/>
  <c r="V17" i="14" s="1"/>
  <c r="W17" i="14" s="1"/>
  <c r="X17" i="14" s="1"/>
  <c r="Y17" i="14" s="1"/>
  <c r="Z17" i="14" s="1"/>
  <c r="AA17" i="14" s="1"/>
  <c r="R16" i="14"/>
  <c r="S16" i="14" s="1"/>
  <c r="T16" i="14" s="1"/>
  <c r="U16" i="14" s="1"/>
  <c r="V16" i="14" s="1"/>
  <c r="W16" i="14" s="1"/>
  <c r="X16" i="14" s="1"/>
  <c r="Y16" i="14" s="1"/>
  <c r="Z16" i="14" s="1"/>
  <c r="AA16" i="14" s="1"/>
  <c r="R15" i="14"/>
  <c r="S15" i="14" s="1"/>
  <c r="T15" i="14" s="1"/>
  <c r="U15" i="14" s="1"/>
  <c r="V15" i="14" s="1"/>
  <c r="W15" i="14" s="1"/>
  <c r="X15" i="14" s="1"/>
  <c r="Y15" i="14" s="1"/>
  <c r="Z15" i="14" s="1"/>
  <c r="AA15" i="14" s="1"/>
  <c r="R14" i="14"/>
  <c r="S14" i="14" s="1"/>
  <c r="T14" i="14" s="1"/>
  <c r="U14" i="14" s="1"/>
  <c r="V14" i="14" s="1"/>
  <c r="W14" i="14" s="1"/>
  <c r="X14" i="14" s="1"/>
  <c r="Y14" i="14" s="1"/>
  <c r="Z14" i="14" s="1"/>
  <c r="AA14" i="14" s="1"/>
  <c r="R13" i="14"/>
  <c r="S13" i="14" s="1"/>
  <c r="T13" i="14" s="1"/>
  <c r="U13" i="14" s="1"/>
  <c r="V13" i="14" s="1"/>
  <c r="W13" i="14" s="1"/>
  <c r="X13" i="14" s="1"/>
  <c r="Y13" i="14" s="1"/>
  <c r="Z13" i="14" s="1"/>
  <c r="AA13" i="14" s="1"/>
  <c r="R9" i="14"/>
  <c r="R10" i="14" s="1"/>
  <c r="R11" i="14" s="1"/>
  <c r="R8" i="14"/>
  <c r="S8" i="14" s="1"/>
  <c r="T8" i="14" s="1"/>
  <c r="U8" i="14" s="1"/>
  <c r="V8" i="14" s="1"/>
  <c r="W8" i="14" s="1"/>
  <c r="X8" i="14" s="1"/>
  <c r="Y8" i="14" s="1"/>
  <c r="Z8" i="14" s="1"/>
  <c r="AA8" i="14" s="1"/>
  <c r="R7" i="14"/>
  <c r="S7" i="14" s="1"/>
  <c r="T7" i="14" s="1"/>
  <c r="U7" i="14" s="1"/>
  <c r="V7" i="14" s="1"/>
  <c r="W7" i="14" s="1"/>
  <c r="X7" i="14" s="1"/>
  <c r="Y7" i="14" s="1"/>
  <c r="Z7" i="14" s="1"/>
  <c r="AA7" i="14" s="1"/>
  <c r="R6" i="14"/>
  <c r="S6" i="14" s="1"/>
  <c r="T6" i="14" s="1"/>
  <c r="U6" i="14" s="1"/>
  <c r="V6" i="14" s="1"/>
  <c r="W6" i="14" s="1"/>
  <c r="X6" i="14" s="1"/>
  <c r="Y6" i="14" s="1"/>
  <c r="Z6" i="14" s="1"/>
  <c r="AA6" i="14" s="1"/>
  <c r="R5" i="14"/>
  <c r="S5" i="14" s="1"/>
  <c r="T5" i="14" s="1"/>
  <c r="U5" i="14" s="1"/>
  <c r="V5" i="14" s="1"/>
  <c r="W5" i="14" s="1"/>
  <c r="X5" i="14" s="1"/>
  <c r="Y5" i="14" s="1"/>
  <c r="Z5" i="14" s="1"/>
  <c r="AA5" i="14" s="1"/>
  <c r="R4" i="14"/>
  <c r="S4" i="14" s="1"/>
  <c r="T4" i="14" s="1"/>
  <c r="U4" i="14" s="1"/>
  <c r="V4" i="14" s="1"/>
  <c r="W4" i="14" s="1"/>
  <c r="X4" i="14" s="1"/>
  <c r="Y4" i="14" s="1"/>
  <c r="Z4" i="14" s="1"/>
  <c r="AA4" i="14" s="1"/>
  <c r="R3" i="14"/>
  <c r="S3" i="14" s="1"/>
  <c r="T3" i="14" s="1"/>
  <c r="U3" i="14" s="1"/>
  <c r="V3" i="14" s="1"/>
  <c r="W3" i="14" s="1"/>
  <c r="X3" i="14" s="1"/>
  <c r="Y3" i="14" s="1"/>
  <c r="Z3" i="14" s="1"/>
  <c r="AA3" i="14" s="1"/>
  <c r="R2" i="14"/>
  <c r="S2" i="14" s="1"/>
  <c r="T2" i="14" s="1"/>
  <c r="U2" i="14" s="1"/>
  <c r="V2" i="14" s="1"/>
  <c r="W2" i="14" s="1"/>
  <c r="X2" i="14" s="1"/>
  <c r="Y2" i="14" s="1"/>
  <c r="Z2" i="14" s="1"/>
  <c r="AA2" i="14" s="1"/>
  <c r="R20" i="13"/>
  <c r="S20" i="13" s="1"/>
  <c r="T20" i="13" s="1"/>
  <c r="R19" i="13"/>
  <c r="S19" i="13" s="1"/>
  <c r="T19" i="13" s="1"/>
  <c r="U19" i="13" s="1"/>
  <c r="V19" i="13" s="1"/>
  <c r="W19" i="13" s="1"/>
  <c r="X19" i="13" s="1"/>
  <c r="Y19" i="13" s="1"/>
  <c r="Z19" i="13" s="1"/>
  <c r="AA19" i="13" s="1"/>
  <c r="R18" i="13"/>
  <c r="S18" i="13" s="1"/>
  <c r="T18" i="13" s="1"/>
  <c r="U18" i="13" s="1"/>
  <c r="V18" i="13" s="1"/>
  <c r="W18" i="13" s="1"/>
  <c r="X18" i="13" s="1"/>
  <c r="Y18" i="13" s="1"/>
  <c r="Z18" i="13" s="1"/>
  <c r="AA18" i="13" s="1"/>
  <c r="R17" i="13"/>
  <c r="S17" i="13" s="1"/>
  <c r="T17" i="13" s="1"/>
  <c r="U17" i="13" s="1"/>
  <c r="V17" i="13" s="1"/>
  <c r="W17" i="13" s="1"/>
  <c r="X17" i="13" s="1"/>
  <c r="Y17" i="13" s="1"/>
  <c r="Z17" i="13" s="1"/>
  <c r="AA17" i="13" s="1"/>
  <c r="R16" i="13"/>
  <c r="S16" i="13" s="1"/>
  <c r="T16" i="13" s="1"/>
  <c r="U16" i="13" s="1"/>
  <c r="V16" i="13" s="1"/>
  <c r="W16" i="13" s="1"/>
  <c r="X16" i="13" s="1"/>
  <c r="Y16" i="13" s="1"/>
  <c r="Z16" i="13" s="1"/>
  <c r="AA16" i="13" s="1"/>
  <c r="R15" i="13"/>
  <c r="S15" i="13" s="1"/>
  <c r="T15" i="13" s="1"/>
  <c r="U15" i="13" s="1"/>
  <c r="V15" i="13" s="1"/>
  <c r="W15" i="13" s="1"/>
  <c r="X15" i="13" s="1"/>
  <c r="Y15" i="13" s="1"/>
  <c r="Z15" i="13" s="1"/>
  <c r="AA15" i="13" s="1"/>
  <c r="R14" i="13"/>
  <c r="S14" i="13" s="1"/>
  <c r="T14" i="13" s="1"/>
  <c r="U14" i="13" s="1"/>
  <c r="V14" i="13" s="1"/>
  <c r="W14" i="13" s="1"/>
  <c r="X14" i="13" s="1"/>
  <c r="Y14" i="13" s="1"/>
  <c r="Z14" i="13" s="1"/>
  <c r="AA14" i="13" s="1"/>
  <c r="R13" i="13"/>
  <c r="S13" i="13" s="1"/>
  <c r="T13" i="13" s="1"/>
  <c r="U13" i="13" s="1"/>
  <c r="V13" i="13" s="1"/>
  <c r="W13" i="13" s="1"/>
  <c r="X13" i="13" s="1"/>
  <c r="Y13" i="13" s="1"/>
  <c r="Z13" i="13" s="1"/>
  <c r="AA13" i="13" s="1"/>
  <c r="R9" i="13"/>
  <c r="S9" i="13" s="1"/>
  <c r="R8" i="13"/>
  <c r="R7" i="13"/>
  <c r="S7" i="13" s="1"/>
  <c r="T7" i="13" s="1"/>
  <c r="U7" i="13" s="1"/>
  <c r="V7" i="13" s="1"/>
  <c r="W7" i="13" s="1"/>
  <c r="X7" i="13" s="1"/>
  <c r="Y7" i="13" s="1"/>
  <c r="Z7" i="13" s="1"/>
  <c r="AA7" i="13" s="1"/>
  <c r="R6" i="13"/>
  <c r="S6" i="13" s="1"/>
  <c r="T6" i="13" s="1"/>
  <c r="U6" i="13" s="1"/>
  <c r="V6" i="13" s="1"/>
  <c r="W6" i="13" s="1"/>
  <c r="X6" i="13" s="1"/>
  <c r="Y6" i="13" s="1"/>
  <c r="Z6" i="13" s="1"/>
  <c r="AA6" i="13" s="1"/>
  <c r="R5" i="13"/>
  <c r="S5" i="13" s="1"/>
  <c r="T5" i="13" s="1"/>
  <c r="U5" i="13" s="1"/>
  <c r="V5" i="13" s="1"/>
  <c r="W5" i="13" s="1"/>
  <c r="X5" i="13" s="1"/>
  <c r="Y5" i="13" s="1"/>
  <c r="Z5" i="13" s="1"/>
  <c r="AA5" i="13" s="1"/>
  <c r="R4" i="13"/>
  <c r="S4" i="13" s="1"/>
  <c r="T4" i="13" s="1"/>
  <c r="U4" i="13" s="1"/>
  <c r="V4" i="13" s="1"/>
  <c r="W4" i="13" s="1"/>
  <c r="X4" i="13" s="1"/>
  <c r="Y4" i="13" s="1"/>
  <c r="Z4" i="13" s="1"/>
  <c r="AA4" i="13" s="1"/>
  <c r="S3" i="13"/>
  <c r="T3" i="13" s="1"/>
  <c r="U3" i="13" s="1"/>
  <c r="V3" i="13" s="1"/>
  <c r="W3" i="13" s="1"/>
  <c r="X3" i="13" s="1"/>
  <c r="Y3" i="13" s="1"/>
  <c r="Z3" i="13" s="1"/>
  <c r="AA3" i="13" s="1"/>
  <c r="R3" i="13"/>
  <c r="R2" i="13"/>
  <c r="S2" i="13" s="1"/>
  <c r="T2" i="13" s="1"/>
  <c r="U2" i="13" s="1"/>
  <c r="V2" i="13" s="1"/>
  <c r="W2" i="13" s="1"/>
  <c r="X2" i="13" s="1"/>
  <c r="Y2" i="13" s="1"/>
  <c r="Z2" i="13" s="1"/>
  <c r="AA2" i="13" s="1"/>
  <c r="R20" i="12"/>
  <c r="R19" i="12"/>
  <c r="S19" i="12" s="1"/>
  <c r="T19" i="12" s="1"/>
  <c r="U19" i="12" s="1"/>
  <c r="V19" i="12" s="1"/>
  <c r="W19" i="12" s="1"/>
  <c r="X19" i="12" s="1"/>
  <c r="Y19" i="12" s="1"/>
  <c r="Z19" i="12" s="1"/>
  <c r="AA19" i="12" s="1"/>
  <c r="R18" i="12"/>
  <c r="S18" i="12" s="1"/>
  <c r="T18" i="12" s="1"/>
  <c r="U18" i="12" s="1"/>
  <c r="V18" i="12" s="1"/>
  <c r="W18" i="12" s="1"/>
  <c r="X18" i="12" s="1"/>
  <c r="Y18" i="12" s="1"/>
  <c r="Z18" i="12" s="1"/>
  <c r="AA18" i="12" s="1"/>
  <c r="R17" i="12"/>
  <c r="S17" i="12" s="1"/>
  <c r="T17" i="12" s="1"/>
  <c r="U17" i="12" s="1"/>
  <c r="V17" i="12" s="1"/>
  <c r="W17" i="12" s="1"/>
  <c r="X17" i="12" s="1"/>
  <c r="Y17" i="12" s="1"/>
  <c r="Z17" i="12" s="1"/>
  <c r="AA17" i="12" s="1"/>
  <c r="R16" i="12"/>
  <c r="S16" i="12" s="1"/>
  <c r="T16" i="12" s="1"/>
  <c r="U16" i="12" s="1"/>
  <c r="V16" i="12" s="1"/>
  <c r="W16" i="12" s="1"/>
  <c r="X16" i="12" s="1"/>
  <c r="Y16" i="12" s="1"/>
  <c r="Z16" i="12" s="1"/>
  <c r="AA16" i="12" s="1"/>
  <c r="S15" i="12"/>
  <c r="T15" i="12" s="1"/>
  <c r="U15" i="12" s="1"/>
  <c r="V15" i="12" s="1"/>
  <c r="W15" i="12" s="1"/>
  <c r="X15" i="12" s="1"/>
  <c r="Y15" i="12" s="1"/>
  <c r="Z15" i="12" s="1"/>
  <c r="AA15" i="12" s="1"/>
  <c r="R15" i="12"/>
  <c r="R14" i="12"/>
  <c r="S14" i="12" s="1"/>
  <c r="T14" i="12" s="1"/>
  <c r="U14" i="12" s="1"/>
  <c r="V14" i="12" s="1"/>
  <c r="W14" i="12" s="1"/>
  <c r="X14" i="12" s="1"/>
  <c r="Y14" i="12" s="1"/>
  <c r="Z14" i="12" s="1"/>
  <c r="AA14" i="12" s="1"/>
  <c r="R13" i="12"/>
  <c r="S13" i="12" s="1"/>
  <c r="T13" i="12" s="1"/>
  <c r="U13" i="12" s="1"/>
  <c r="V13" i="12" s="1"/>
  <c r="W13" i="12" s="1"/>
  <c r="X13" i="12" s="1"/>
  <c r="Y13" i="12" s="1"/>
  <c r="Z13" i="12" s="1"/>
  <c r="AA13" i="12" s="1"/>
  <c r="R9" i="12"/>
  <c r="R10" i="12" s="1"/>
  <c r="R11" i="12" s="1"/>
  <c r="R8" i="12"/>
  <c r="S8" i="12" s="1"/>
  <c r="T8" i="12" s="1"/>
  <c r="U8" i="12" s="1"/>
  <c r="V8" i="12" s="1"/>
  <c r="W8" i="12" s="1"/>
  <c r="X8" i="12" s="1"/>
  <c r="Y8" i="12" s="1"/>
  <c r="Z8" i="12" s="1"/>
  <c r="AA8" i="12" s="1"/>
  <c r="R7" i="12"/>
  <c r="S7" i="12" s="1"/>
  <c r="T7" i="12" s="1"/>
  <c r="U7" i="12" s="1"/>
  <c r="V7" i="12" s="1"/>
  <c r="W7" i="12" s="1"/>
  <c r="X7" i="12" s="1"/>
  <c r="Y7" i="12" s="1"/>
  <c r="Z7" i="12" s="1"/>
  <c r="AA7" i="12" s="1"/>
  <c r="S6" i="12"/>
  <c r="T6" i="12" s="1"/>
  <c r="U6" i="12" s="1"/>
  <c r="V6" i="12" s="1"/>
  <c r="W6" i="12" s="1"/>
  <c r="X6" i="12" s="1"/>
  <c r="Y6" i="12" s="1"/>
  <c r="Z6" i="12" s="1"/>
  <c r="AA6" i="12" s="1"/>
  <c r="R6" i="12"/>
  <c r="R5" i="12"/>
  <c r="S5" i="12" s="1"/>
  <c r="T5" i="12" s="1"/>
  <c r="U5" i="12" s="1"/>
  <c r="V5" i="12" s="1"/>
  <c r="W5" i="12" s="1"/>
  <c r="X5" i="12" s="1"/>
  <c r="Y5" i="12" s="1"/>
  <c r="Z5" i="12" s="1"/>
  <c r="AA5" i="12" s="1"/>
  <c r="R4" i="12"/>
  <c r="S4" i="12" s="1"/>
  <c r="T4" i="12" s="1"/>
  <c r="U4" i="12" s="1"/>
  <c r="V4" i="12" s="1"/>
  <c r="W4" i="12" s="1"/>
  <c r="X4" i="12" s="1"/>
  <c r="Y4" i="12" s="1"/>
  <c r="Z4" i="12" s="1"/>
  <c r="AA4" i="12" s="1"/>
  <c r="R3" i="12"/>
  <c r="S3" i="12" s="1"/>
  <c r="T3" i="12" s="1"/>
  <c r="U3" i="12" s="1"/>
  <c r="V3" i="12" s="1"/>
  <c r="W3" i="12" s="1"/>
  <c r="X3" i="12" s="1"/>
  <c r="Y3" i="12" s="1"/>
  <c r="Z3" i="12" s="1"/>
  <c r="AA3" i="12" s="1"/>
  <c r="S2" i="12"/>
  <c r="T2" i="12" s="1"/>
  <c r="U2" i="12" s="1"/>
  <c r="V2" i="12" s="1"/>
  <c r="W2" i="12" s="1"/>
  <c r="X2" i="12" s="1"/>
  <c r="Y2" i="12" s="1"/>
  <c r="Z2" i="12" s="1"/>
  <c r="AA2" i="12" s="1"/>
  <c r="R2" i="12"/>
  <c r="R20" i="11"/>
  <c r="R19" i="11"/>
  <c r="S19" i="11" s="1"/>
  <c r="T19" i="11" s="1"/>
  <c r="U19" i="11" s="1"/>
  <c r="V19" i="11" s="1"/>
  <c r="W19" i="11" s="1"/>
  <c r="X19" i="11" s="1"/>
  <c r="Y19" i="11" s="1"/>
  <c r="Z19" i="11" s="1"/>
  <c r="AA19" i="11" s="1"/>
  <c r="R18" i="11"/>
  <c r="S18" i="11" s="1"/>
  <c r="T18" i="11" s="1"/>
  <c r="U18" i="11" s="1"/>
  <c r="V18" i="11" s="1"/>
  <c r="W18" i="11" s="1"/>
  <c r="X18" i="11" s="1"/>
  <c r="Y18" i="11" s="1"/>
  <c r="Z18" i="11" s="1"/>
  <c r="AA18" i="11" s="1"/>
  <c r="S17" i="11"/>
  <c r="T17" i="11" s="1"/>
  <c r="U17" i="11" s="1"/>
  <c r="V17" i="11" s="1"/>
  <c r="W17" i="11" s="1"/>
  <c r="X17" i="11" s="1"/>
  <c r="Y17" i="11" s="1"/>
  <c r="Z17" i="11" s="1"/>
  <c r="AA17" i="11" s="1"/>
  <c r="R17" i="11"/>
  <c r="R16" i="11"/>
  <c r="S16" i="11" s="1"/>
  <c r="T16" i="11" s="1"/>
  <c r="U16" i="11" s="1"/>
  <c r="V16" i="11" s="1"/>
  <c r="W16" i="11" s="1"/>
  <c r="X16" i="11" s="1"/>
  <c r="Y16" i="11" s="1"/>
  <c r="Z16" i="11" s="1"/>
  <c r="AA16" i="11" s="1"/>
  <c r="R15" i="11"/>
  <c r="S15" i="11" s="1"/>
  <c r="T15" i="11" s="1"/>
  <c r="U15" i="11" s="1"/>
  <c r="V15" i="11" s="1"/>
  <c r="W15" i="11" s="1"/>
  <c r="X15" i="11" s="1"/>
  <c r="Y15" i="11" s="1"/>
  <c r="Z15" i="11" s="1"/>
  <c r="AA15" i="11" s="1"/>
  <c r="S14" i="11"/>
  <c r="T14" i="11" s="1"/>
  <c r="U14" i="11" s="1"/>
  <c r="V14" i="11" s="1"/>
  <c r="W14" i="11" s="1"/>
  <c r="X14" i="11" s="1"/>
  <c r="Y14" i="11" s="1"/>
  <c r="Z14" i="11" s="1"/>
  <c r="AA14" i="11" s="1"/>
  <c r="R14" i="11"/>
  <c r="R13" i="11"/>
  <c r="S13" i="11" s="1"/>
  <c r="T13" i="11" s="1"/>
  <c r="U13" i="11" s="1"/>
  <c r="V13" i="11" s="1"/>
  <c r="W13" i="11" s="1"/>
  <c r="X13" i="11" s="1"/>
  <c r="Y13" i="11" s="1"/>
  <c r="Z13" i="11" s="1"/>
  <c r="AA13" i="11" s="1"/>
  <c r="R9" i="11"/>
  <c r="S8" i="11"/>
  <c r="T8" i="11" s="1"/>
  <c r="U8" i="11" s="1"/>
  <c r="V8" i="11" s="1"/>
  <c r="W8" i="11" s="1"/>
  <c r="X8" i="11" s="1"/>
  <c r="Y8" i="11" s="1"/>
  <c r="Z8" i="11" s="1"/>
  <c r="AA8" i="11" s="1"/>
  <c r="R8" i="11"/>
  <c r="R7" i="11"/>
  <c r="S7" i="11" s="1"/>
  <c r="T7" i="11" s="1"/>
  <c r="U7" i="11" s="1"/>
  <c r="V7" i="11" s="1"/>
  <c r="W7" i="11" s="1"/>
  <c r="X7" i="11" s="1"/>
  <c r="Y7" i="11" s="1"/>
  <c r="Z7" i="11" s="1"/>
  <c r="AA7" i="11" s="1"/>
  <c r="R6" i="11"/>
  <c r="S6" i="11" s="1"/>
  <c r="T6" i="11" s="1"/>
  <c r="U6" i="11" s="1"/>
  <c r="V6" i="11" s="1"/>
  <c r="W6" i="11" s="1"/>
  <c r="X6" i="11" s="1"/>
  <c r="Y6" i="11" s="1"/>
  <c r="Z6" i="11" s="1"/>
  <c r="AA6" i="11" s="1"/>
  <c r="R5" i="11"/>
  <c r="S5" i="11" s="1"/>
  <c r="T5" i="11" s="1"/>
  <c r="U5" i="11" s="1"/>
  <c r="V5" i="11" s="1"/>
  <c r="W5" i="11" s="1"/>
  <c r="X5" i="11" s="1"/>
  <c r="Y5" i="11" s="1"/>
  <c r="Z5" i="11" s="1"/>
  <c r="AA5" i="11" s="1"/>
  <c r="S4" i="11"/>
  <c r="T4" i="11" s="1"/>
  <c r="U4" i="11" s="1"/>
  <c r="V4" i="11" s="1"/>
  <c r="W4" i="11" s="1"/>
  <c r="X4" i="11" s="1"/>
  <c r="Y4" i="11" s="1"/>
  <c r="Z4" i="11" s="1"/>
  <c r="AA4" i="11" s="1"/>
  <c r="R4" i="11"/>
  <c r="R3" i="11"/>
  <c r="S3" i="11" s="1"/>
  <c r="T3" i="11" s="1"/>
  <c r="U3" i="11" s="1"/>
  <c r="V3" i="11" s="1"/>
  <c r="W3" i="11" s="1"/>
  <c r="X3" i="11" s="1"/>
  <c r="Y3" i="11" s="1"/>
  <c r="Z3" i="11" s="1"/>
  <c r="AA3" i="11" s="1"/>
  <c r="R2" i="11"/>
  <c r="S2" i="11" s="1"/>
  <c r="T2" i="11" s="1"/>
  <c r="U2" i="11" s="1"/>
  <c r="V2" i="11" s="1"/>
  <c r="W2" i="11" s="1"/>
  <c r="X2" i="11" s="1"/>
  <c r="Y2" i="11" s="1"/>
  <c r="Z2" i="11" s="1"/>
  <c r="AA2" i="11" s="1"/>
  <c r="S20" i="10"/>
  <c r="R20" i="10"/>
  <c r="R21" i="10" s="1"/>
  <c r="R22" i="10" s="1"/>
  <c r="R23" i="10" s="1"/>
  <c r="R19" i="10"/>
  <c r="S19" i="10" s="1"/>
  <c r="T19" i="10" s="1"/>
  <c r="U19" i="10" s="1"/>
  <c r="V19" i="10" s="1"/>
  <c r="W19" i="10" s="1"/>
  <c r="X19" i="10" s="1"/>
  <c r="Y19" i="10" s="1"/>
  <c r="Z19" i="10" s="1"/>
  <c r="AA19" i="10" s="1"/>
  <c r="R18" i="10"/>
  <c r="S18" i="10" s="1"/>
  <c r="T18" i="10" s="1"/>
  <c r="U18" i="10" s="1"/>
  <c r="V18" i="10" s="1"/>
  <c r="W18" i="10" s="1"/>
  <c r="X18" i="10" s="1"/>
  <c r="Y18" i="10" s="1"/>
  <c r="Z18" i="10" s="1"/>
  <c r="AA18" i="10" s="1"/>
  <c r="R17" i="10"/>
  <c r="S17" i="10" s="1"/>
  <c r="T17" i="10" s="1"/>
  <c r="U17" i="10" s="1"/>
  <c r="V17" i="10" s="1"/>
  <c r="W17" i="10" s="1"/>
  <c r="X17" i="10" s="1"/>
  <c r="Y17" i="10" s="1"/>
  <c r="Z17" i="10" s="1"/>
  <c r="AA17" i="10" s="1"/>
  <c r="S16" i="10"/>
  <c r="T16" i="10" s="1"/>
  <c r="U16" i="10" s="1"/>
  <c r="V16" i="10" s="1"/>
  <c r="W16" i="10" s="1"/>
  <c r="X16" i="10" s="1"/>
  <c r="Y16" i="10" s="1"/>
  <c r="Z16" i="10" s="1"/>
  <c r="AA16" i="10" s="1"/>
  <c r="R16" i="10"/>
  <c r="R15" i="10"/>
  <c r="S15" i="10" s="1"/>
  <c r="T15" i="10" s="1"/>
  <c r="U15" i="10" s="1"/>
  <c r="V15" i="10" s="1"/>
  <c r="W15" i="10" s="1"/>
  <c r="X15" i="10" s="1"/>
  <c r="Y15" i="10" s="1"/>
  <c r="Z15" i="10" s="1"/>
  <c r="AA15" i="10" s="1"/>
  <c r="R14" i="10"/>
  <c r="S14" i="10" s="1"/>
  <c r="T14" i="10" s="1"/>
  <c r="U14" i="10" s="1"/>
  <c r="V14" i="10" s="1"/>
  <c r="W14" i="10" s="1"/>
  <c r="X14" i="10" s="1"/>
  <c r="Y14" i="10" s="1"/>
  <c r="Z14" i="10" s="1"/>
  <c r="AA14" i="10" s="1"/>
  <c r="R13" i="10"/>
  <c r="S13" i="10" s="1"/>
  <c r="T13" i="10" s="1"/>
  <c r="U13" i="10" s="1"/>
  <c r="V13" i="10" s="1"/>
  <c r="W13" i="10" s="1"/>
  <c r="X13" i="10" s="1"/>
  <c r="Y13" i="10" s="1"/>
  <c r="Z13" i="10" s="1"/>
  <c r="AA13" i="10" s="1"/>
  <c r="R9" i="10"/>
  <c r="R10" i="10" s="1"/>
  <c r="R11" i="10" s="1"/>
  <c r="R8" i="10"/>
  <c r="S8" i="10" s="1"/>
  <c r="T8" i="10" s="1"/>
  <c r="U8" i="10" s="1"/>
  <c r="V8" i="10" s="1"/>
  <c r="W8" i="10" s="1"/>
  <c r="X8" i="10" s="1"/>
  <c r="Y8" i="10" s="1"/>
  <c r="Z8" i="10" s="1"/>
  <c r="AA8" i="10" s="1"/>
  <c r="S7" i="10"/>
  <c r="T7" i="10" s="1"/>
  <c r="U7" i="10" s="1"/>
  <c r="V7" i="10" s="1"/>
  <c r="W7" i="10" s="1"/>
  <c r="X7" i="10" s="1"/>
  <c r="Y7" i="10" s="1"/>
  <c r="Z7" i="10" s="1"/>
  <c r="AA7" i="10" s="1"/>
  <c r="R7" i="10"/>
  <c r="R6" i="10"/>
  <c r="S6" i="10" s="1"/>
  <c r="T6" i="10" s="1"/>
  <c r="U6" i="10" s="1"/>
  <c r="V6" i="10" s="1"/>
  <c r="W6" i="10" s="1"/>
  <c r="X6" i="10" s="1"/>
  <c r="Y6" i="10" s="1"/>
  <c r="Z6" i="10" s="1"/>
  <c r="AA6" i="10" s="1"/>
  <c r="R5" i="10"/>
  <c r="S5" i="10" s="1"/>
  <c r="T5" i="10" s="1"/>
  <c r="U5" i="10" s="1"/>
  <c r="V5" i="10" s="1"/>
  <c r="W5" i="10" s="1"/>
  <c r="X5" i="10" s="1"/>
  <c r="Y5" i="10" s="1"/>
  <c r="Z5" i="10" s="1"/>
  <c r="AA5" i="10" s="1"/>
  <c r="R4" i="10"/>
  <c r="S4" i="10" s="1"/>
  <c r="T4" i="10" s="1"/>
  <c r="U4" i="10" s="1"/>
  <c r="V4" i="10" s="1"/>
  <c r="W4" i="10" s="1"/>
  <c r="X4" i="10" s="1"/>
  <c r="Y4" i="10" s="1"/>
  <c r="Z4" i="10" s="1"/>
  <c r="AA4" i="10" s="1"/>
  <c r="S3" i="10"/>
  <c r="T3" i="10" s="1"/>
  <c r="U3" i="10" s="1"/>
  <c r="V3" i="10" s="1"/>
  <c r="W3" i="10" s="1"/>
  <c r="X3" i="10" s="1"/>
  <c r="Y3" i="10" s="1"/>
  <c r="Z3" i="10" s="1"/>
  <c r="AA3" i="10" s="1"/>
  <c r="R3" i="10"/>
  <c r="R2" i="10"/>
  <c r="S2" i="10" s="1"/>
  <c r="T2" i="10" s="1"/>
  <c r="U2" i="10" s="1"/>
  <c r="V2" i="10" s="1"/>
  <c r="W2" i="10" s="1"/>
  <c r="X2" i="10" s="1"/>
  <c r="Y2" i="10" s="1"/>
  <c r="Z2" i="10" s="1"/>
  <c r="AA2" i="10" s="1"/>
  <c r="R20" i="9"/>
  <c r="R21" i="9" s="1"/>
  <c r="R22" i="9" s="1"/>
  <c r="R19" i="9"/>
  <c r="S19" i="9" s="1"/>
  <c r="T19" i="9" s="1"/>
  <c r="U19" i="9" s="1"/>
  <c r="V19" i="9" s="1"/>
  <c r="W19" i="9" s="1"/>
  <c r="X19" i="9" s="1"/>
  <c r="Y19" i="9" s="1"/>
  <c r="Z19" i="9" s="1"/>
  <c r="AA19" i="9" s="1"/>
  <c r="S18" i="9"/>
  <c r="T18" i="9" s="1"/>
  <c r="U18" i="9" s="1"/>
  <c r="V18" i="9" s="1"/>
  <c r="W18" i="9" s="1"/>
  <c r="X18" i="9" s="1"/>
  <c r="Y18" i="9" s="1"/>
  <c r="Z18" i="9" s="1"/>
  <c r="AA18" i="9" s="1"/>
  <c r="R18" i="9"/>
  <c r="S17" i="9"/>
  <c r="T17" i="9" s="1"/>
  <c r="U17" i="9" s="1"/>
  <c r="V17" i="9" s="1"/>
  <c r="W17" i="9" s="1"/>
  <c r="X17" i="9" s="1"/>
  <c r="Y17" i="9" s="1"/>
  <c r="Z17" i="9" s="1"/>
  <c r="AA17" i="9" s="1"/>
  <c r="R17" i="9"/>
  <c r="R16" i="9"/>
  <c r="S16" i="9" s="1"/>
  <c r="T16" i="9" s="1"/>
  <c r="U16" i="9" s="1"/>
  <c r="V16" i="9" s="1"/>
  <c r="W16" i="9" s="1"/>
  <c r="X16" i="9" s="1"/>
  <c r="Y16" i="9" s="1"/>
  <c r="Z16" i="9" s="1"/>
  <c r="AA16" i="9" s="1"/>
  <c r="R15" i="9"/>
  <c r="S15" i="9" s="1"/>
  <c r="T15" i="9" s="1"/>
  <c r="U15" i="9" s="1"/>
  <c r="V15" i="9" s="1"/>
  <c r="W15" i="9" s="1"/>
  <c r="X15" i="9" s="1"/>
  <c r="Y15" i="9" s="1"/>
  <c r="Z15" i="9" s="1"/>
  <c r="AA15" i="9" s="1"/>
  <c r="R14" i="9"/>
  <c r="S14" i="9" s="1"/>
  <c r="T14" i="9" s="1"/>
  <c r="U14" i="9" s="1"/>
  <c r="V14" i="9" s="1"/>
  <c r="W14" i="9" s="1"/>
  <c r="X14" i="9" s="1"/>
  <c r="Y14" i="9" s="1"/>
  <c r="Z14" i="9" s="1"/>
  <c r="AA14" i="9" s="1"/>
  <c r="S13" i="9"/>
  <c r="T13" i="9" s="1"/>
  <c r="U13" i="9" s="1"/>
  <c r="V13" i="9" s="1"/>
  <c r="W13" i="9" s="1"/>
  <c r="X13" i="9" s="1"/>
  <c r="Y13" i="9" s="1"/>
  <c r="Z13" i="9" s="1"/>
  <c r="AA13" i="9" s="1"/>
  <c r="R13" i="9"/>
  <c r="R9" i="9"/>
  <c r="R10" i="9" s="1"/>
  <c r="R11" i="9" s="1"/>
  <c r="S8" i="9"/>
  <c r="T8" i="9" s="1"/>
  <c r="U8" i="9" s="1"/>
  <c r="V8" i="9" s="1"/>
  <c r="W8" i="9" s="1"/>
  <c r="X8" i="9" s="1"/>
  <c r="Y8" i="9" s="1"/>
  <c r="Z8" i="9" s="1"/>
  <c r="AA8" i="9" s="1"/>
  <c r="R8" i="9"/>
  <c r="R7" i="9"/>
  <c r="S7" i="9" s="1"/>
  <c r="T7" i="9" s="1"/>
  <c r="U7" i="9" s="1"/>
  <c r="V7" i="9" s="1"/>
  <c r="W7" i="9" s="1"/>
  <c r="X7" i="9" s="1"/>
  <c r="Y7" i="9" s="1"/>
  <c r="Z7" i="9" s="1"/>
  <c r="AA7" i="9" s="1"/>
  <c r="R6" i="9"/>
  <c r="S6" i="9" s="1"/>
  <c r="T6" i="9" s="1"/>
  <c r="U6" i="9" s="1"/>
  <c r="V6" i="9" s="1"/>
  <c r="W6" i="9" s="1"/>
  <c r="X6" i="9" s="1"/>
  <c r="Y6" i="9" s="1"/>
  <c r="Z6" i="9" s="1"/>
  <c r="AA6" i="9" s="1"/>
  <c r="R5" i="9"/>
  <c r="S5" i="9" s="1"/>
  <c r="T5" i="9" s="1"/>
  <c r="U5" i="9" s="1"/>
  <c r="V5" i="9" s="1"/>
  <c r="W5" i="9" s="1"/>
  <c r="X5" i="9" s="1"/>
  <c r="Y5" i="9" s="1"/>
  <c r="Z5" i="9" s="1"/>
  <c r="AA5" i="9" s="1"/>
  <c r="S4" i="9"/>
  <c r="T4" i="9" s="1"/>
  <c r="U4" i="9" s="1"/>
  <c r="V4" i="9" s="1"/>
  <c r="W4" i="9" s="1"/>
  <c r="X4" i="9" s="1"/>
  <c r="Y4" i="9" s="1"/>
  <c r="Z4" i="9" s="1"/>
  <c r="AA4" i="9" s="1"/>
  <c r="R4" i="9"/>
  <c r="R3" i="9"/>
  <c r="S3" i="9" s="1"/>
  <c r="T3" i="9" s="1"/>
  <c r="U3" i="9" s="1"/>
  <c r="V3" i="9" s="1"/>
  <c r="W3" i="9" s="1"/>
  <c r="X3" i="9" s="1"/>
  <c r="Y3" i="9" s="1"/>
  <c r="Z3" i="9" s="1"/>
  <c r="AA3" i="9" s="1"/>
  <c r="R2" i="9"/>
  <c r="S2" i="9" s="1"/>
  <c r="T2" i="9" s="1"/>
  <c r="U2" i="9" s="1"/>
  <c r="V2" i="9" s="1"/>
  <c r="W2" i="9" s="1"/>
  <c r="X2" i="9" s="1"/>
  <c r="Y2" i="9" s="1"/>
  <c r="Z2" i="9" s="1"/>
  <c r="AA2" i="9" s="1"/>
  <c r="AC21" i="12"/>
  <c r="AC22" i="12" s="1"/>
  <c r="AC10" i="12"/>
  <c r="AC11" i="12" s="1"/>
  <c r="S20" i="7"/>
  <c r="T20" i="7" s="1"/>
  <c r="R20" i="7"/>
  <c r="R21" i="7" s="1"/>
  <c r="R22" i="7" s="1"/>
  <c r="R19" i="7"/>
  <c r="S19" i="7" s="1"/>
  <c r="T19" i="7" s="1"/>
  <c r="U19" i="7" s="1"/>
  <c r="V19" i="7" s="1"/>
  <c r="W19" i="7" s="1"/>
  <c r="X19" i="7" s="1"/>
  <c r="Y19" i="7" s="1"/>
  <c r="Z19" i="7" s="1"/>
  <c r="AA19" i="7" s="1"/>
  <c r="R18" i="7"/>
  <c r="S18" i="7" s="1"/>
  <c r="T18" i="7" s="1"/>
  <c r="U18" i="7" s="1"/>
  <c r="V18" i="7" s="1"/>
  <c r="W18" i="7" s="1"/>
  <c r="X18" i="7" s="1"/>
  <c r="Y18" i="7" s="1"/>
  <c r="Z18" i="7" s="1"/>
  <c r="AA18" i="7" s="1"/>
  <c r="R17" i="7"/>
  <c r="S17" i="7" s="1"/>
  <c r="T17" i="7" s="1"/>
  <c r="U17" i="7" s="1"/>
  <c r="V17" i="7" s="1"/>
  <c r="W17" i="7" s="1"/>
  <c r="X17" i="7" s="1"/>
  <c r="Y17" i="7" s="1"/>
  <c r="Z17" i="7" s="1"/>
  <c r="AA17" i="7" s="1"/>
  <c r="S16" i="7"/>
  <c r="T16" i="7" s="1"/>
  <c r="U16" i="7" s="1"/>
  <c r="V16" i="7" s="1"/>
  <c r="W16" i="7" s="1"/>
  <c r="X16" i="7" s="1"/>
  <c r="Y16" i="7" s="1"/>
  <c r="Z16" i="7" s="1"/>
  <c r="AA16" i="7" s="1"/>
  <c r="R16" i="7"/>
  <c r="R15" i="7"/>
  <c r="S15" i="7" s="1"/>
  <c r="T15" i="7" s="1"/>
  <c r="U15" i="7" s="1"/>
  <c r="V15" i="7" s="1"/>
  <c r="W15" i="7" s="1"/>
  <c r="X15" i="7" s="1"/>
  <c r="Y15" i="7" s="1"/>
  <c r="Z15" i="7" s="1"/>
  <c r="AA15" i="7" s="1"/>
  <c r="R14" i="7"/>
  <c r="S14" i="7" s="1"/>
  <c r="T14" i="7" s="1"/>
  <c r="U14" i="7" s="1"/>
  <c r="V14" i="7" s="1"/>
  <c r="W14" i="7" s="1"/>
  <c r="X14" i="7" s="1"/>
  <c r="Y14" i="7" s="1"/>
  <c r="Z14" i="7" s="1"/>
  <c r="AA14" i="7" s="1"/>
  <c r="R13" i="7"/>
  <c r="S13" i="7" s="1"/>
  <c r="T13" i="7" s="1"/>
  <c r="U13" i="7" s="1"/>
  <c r="V13" i="7" s="1"/>
  <c r="W13" i="7" s="1"/>
  <c r="X13" i="7" s="1"/>
  <c r="Y13" i="7" s="1"/>
  <c r="Z13" i="7" s="1"/>
  <c r="AA13" i="7" s="1"/>
  <c r="R9" i="7"/>
  <c r="R10" i="7" s="1"/>
  <c r="R11" i="7" s="1"/>
  <c r="R8" i="7"/>
  <c r="S8" i="7" s="1"/>
  <c r="T8" i="7" s="1"/>
  <c r="U8" i="7" s="1"/>
  <c r="V8" i="7" s="1"/>
  <c r="W8" i="7" s="1"/>
  <c r="X8" i="7" s="1"/>
  <c r="Y8" i="7" s="1"/>
  <c r="Z8" i="7" s="1"/>
  <c r="AA8" i="7" s="1"/>
  <c r="R7" i="7"/>
  <c r="S7" i="7" s="1"/>
  <c r="T7" i="7" s="1"/>
  <c r="U7" i="7" s="1"/>
  <c r="V7" i="7" s="1"/>
  <c r="W7" i="7" s="1"/>
  <c r="X7" i="7" s="1"/>
  <c r="Y7" i="7" s="1"/>
  <c r="Z7" i="7" s="1"/>
  <c r="AA7" i="7" s="1"/>
  <c r="R6" i="7"/>
  <c r="S6" i="7" s="1"/>
  <c r="T6" i="7" s="1"/>
  <c r="U6" i="7" s="1"/>
  <c r="V6" i="7" s="1"/>
  <c r="W6" i="7" s="1"/>
  <c r="X6" i="7" s="1"/>
  <c r="Y6" i="7" s="1"/>
  <c r="Z6" i="7" s="1"/>
  <c r="AA6" i="7" s="1"/>
  <c r="R5" i="7"/>
  <c r="S5" i="7" s="1"/>
  <c r="T5" i="7" s="1"/>
  <c r="U5" i="7" s="1"/>
  <c r="V5" i="7" s="1"/>
  <c r="W5" i="7" s="1"/>
  <c r="X5" i="7" s="1"/>
  <c r="Y5" i="7" s="1"/>
  <c r="Z5" i="7" s="1"/>
  <c r="AA5" i="7" s="1"/>
  <c r="R4" i="7"/>
  <c r="S4" i="7" s="1"/>
  <c r="T4" i="7" s="1"/>
  <c r="U4" i="7" s="1"/>
  <c r="V4" i="7" s="1"/>
  <c r="W4" i="7" s="1"/>
  <c r="X4" i="7" s="1"/>
  <c r="Y4" i="7" s="1"/>
  <c r="Z4" i="7" s="1"/>
  <c r="AA4" i="7" s="1"/>
  <c r="R3" i="7"/>
  <c r="S3" i="7" s="1"/>
  <c r="T3" i="7" s="1"/>
  <c r="U3" i="7" s="1"/>
  <c r="V3" i="7" s="1"/>
  <c r="W3" i="7" s="1"/>
  <c r="X3" i="7" s="1"/>
  <c r="Y3" i="7" s="1"/>
  <c r="Z3" i="7" s="1"/>
  <c r="AA3" i="7" s="1"/>
  <c r="R2" i="7"/>
  <c r="S2" i="7" s="1"/>
  <c r="T2" i="7" s="1"/>
  <c r="U2" i="7" s="1"/>
  <c r="V2" i="7" s="1"/>
  <c r="W2" i="7" s="1"/>
  <c r="X2" i="7" s="1"/>
  <c r="Y2" i="7" s="1"/>
  <c r="Z2" i="7" s="1"/>
  <c r="AA2" i="7" s="1"/>
  <c r="M988" i="2"/>
  <c r="N988" i="2"/>
  <c r="M1008" i="2"/>
  <c r="M948" i="2"/>
  <c r="M1028" i="2"/>
  <c r="N948" i="2"/>
  <c r="N1028" i="2"/>
  <c r="N968" i="2"/>
  <c r="N1008" i="2"/>
  <c r="M968" i="2"/>
  <c r="R21" i="8" l="1"/>
  <c r="R22" i="8" s="1"/>
  <c r="R10" i="8"/>
  <c r="R11" i="8" s="1"/>
  <c r="AV20" i="33"/>
  <c r="AU21" i="33"/>
  <c r="AU22" i="33" s="1"/>
  <c r="AU23" i="33" s="1"/>
  <c r="K26" i="33" s="1"/>
  <c r="BH10" i="33"/>
  <c r="BH11" i="33" s="1"/>
  <c r="BI9" i="33"/>
  <c r="AJ10" i="33"/>
  <c r="AJ11" i="33" s="1"/>
  <c r="AJ23" i="33" s="1"/>
  <c r="L25" i="33" s="1"/>
  <c r="AK9" i="33"/>
  <c r="AL20" i="33"/>
  <c r="AK21" i="33"/>
  <c r="AK22" i="33" s="1"/>
  <c r="BI20" i="33"/>
  <c r="BH21" i="33"/>
  <c r="BH22" i="33" s="1"/>
  <c r="BH23" i="33" s="1"/>
  <c r="L27" i="33" s="1"/>
  <c r="Z20" i="33"/>
  <c r="Y21" i="33"/>
  <c r="Y22" i="33" s="1"/>
  <c r="AW9" i="33"/>
  <c r="AV10" i="33"/>
  <c r="AV11" i="33" s="1"/>
  <c r="M10" i="33"/>
  <c r="M11" i="33" s="1"/>
  <c r="M23" i="33" s="1"/>
  <c r="N9" i="33"/>
  <c r="W10" i="33"/>
  <c r="W11" i="33" s="1"/>
  <c r="W23" i="33" s="1"/>
  <c r="K24" i="33" s="1"/>
  <c r="X9" i="33"/>
  <c r="BJ9" i="32"/>
  <c r="BI10" i="32"/>
  <c r="BI11" i="32" s="1"/>
  <c r="AV21" i="32"/>
  <c r="AV22" i="32" s="1"/>
  <c r="AW20" i="32"/>
  <c r="K21" i="32"/>
  <c r="K22" i="32" s="1"/>
  <c r="K23" i="32" s="1"/>
  <c r="L20" i="32"/>
  <c r="AL21" i="32"/>
  <c r="AL22" i="32" s="1"/>
  <c r="AM20" i="32"/>
  <c r="AM21" i="32" s="1"/>
  <c r="AM22" i="32" s="1"/>
  <c r="AK10" i="32"/>
  <c r="AK11" i="32" s="1"/>
  <c r="AK23" i="32" s="1"/>
  <c r="M25" i="32" s="1"/>
  <c r="AL9" i="32"/>
  <c r="Y9" i="32"/>
  <c r="X10" i="32"/>
  <c r="X11" i="32" s="1"/>
  <c r="Z20" i="32"/>
  <c r="Y21" i="32"/>
  <c r="Y22" i="32" s="1"/>
  <c r="L10" i="32"/>
  <c r="L11" i="32" s="1"/>
  <c r="M9" i="32"/>
  <c r="X23" i="32"/>
  <c r="L24" i="32" s="1"/>
  <c r="AU10" i="32"/>
  <c r="AU11" i="32" s="1"/>
  <c r="AU23" i="32" s="1"/>
  <c r="K26" i="32" s="1"/>
  <c r="AV9" i="32"/>
  <c r="BH21" i="32"/>
  <c r="BH22" i="32" s="1"/>
  <c r="BH23" i="32" s="1"/>
  <c r="L27" i="32" s="1"/>
  <c r="BI20" i="32"/>
  <c r="AV21" i="30"/>
  <c r="AV22" i="30" s="1"/>
  <c r="AV23" i="30" s="1"/>
  <c r="L26" i="30" s="1"/>
  <c r="AW20" i="30"/>
  <c r="AK10" i="30"/>
  <c r="AK11" i="30" s="1"/>
  <c r="AK23" i="30" s="1"/>
  <c r="M25" i="30" s="1"/>
  <c r="AL9" i="30"/>
  <c r="AX9" i="30"/>
  <c r="AW10" i="30"/>
  <c r="AW11" i="30" s="1"/>
  <c r="BH21" i="30"/>
  <c r="BH22" i="30" s="1"/>
  <c r="BH23" i="30" s="1"/>
  <c r="L27" i="30" s="1"/>
  <c r="BI20" i="30"/>
  <c r="BI9" i="30"/>
  <c r="BH10" i="30"/>
  <c r="BH11" i="30" s="1"/>
  <c r="Z20" i="30"/>
  <c r="Y21" i="30"/>
  <c r="Y22" i="30" s="1"/>
  <c r="AL21" i="30"/>
  <c r="AL22" i="30" s="1"/>
  <c r="AM20" i="30"/>
  <c r="AM21" i="30" s="1"/>
  <c r="AM22" i="30" s="1"/>
  <c r="Y10" i="30"/>
  <c r="Y11" i="30" s="1"/>
  <c r="Z9" i="30"/>
  <c r="X21" i="29"/>
  <c r="X22" i="29" s="1"/>
  <c r="X23" i="29" s="1"/>
  <c r="L24" i="29" s="1"/>
  <c r="Y20" i="29"/>
  <c r="Y10" i="29"/>
  <c r="Y11" i="29" s="1"/>
  <c r="Z9" i="29"/>
  <c r="BG10" i="29"/>
  <c r="BG11" i="29" s="1"/>
  <c r="BG23" i="29" s="1"/>
  <c r="K27" i="29" s="1"/>
  <c r="BH9" i="29"/>
  <c r="AJ9" i="29"/>
  <c r="AI10" i="29"/>
  <c r="AI11" i="29" s="1"/>
  <c r="AI23" i="29" s="1"/>
  <c r="K25" i="29" s="1"/>
  <c r="BI20" i="29"/>
  <c r="BH21" i="29"/>
  <c r="BH22" i="29" s="1"/>
  <c r="AK20" i="29"/>
  <c r="AJ21" i="29"/>
  <c r="AJ22" i="29" s="1"/>
  <c r="AU10" i="29"/>
  <c r="AU11" i="29" s="1"/>
  <c r="AV9" i="29"/>
  <c r="K10" i="29"/>
  <c r="K11" i="29" s="1"/>
  <c r="L9" i="29"/>
  <c r="K21" i="29"/>
  <c r="K22" i="29" s="1"/>
  <c r="L20" i="29"/>
  <c r="AV20" i="29"/>
  <c r="AU21" i="29"/>
  <c r="AU22" i="29" s="1"/>
  <c r="AU23" i="29" s="1"/>
  <c r="K26" i="29" s="1"/>
  <c r="J23" i="29"/>
  <c r="R21" i="11"/>
  <c r="R22" i="11" s="1"/>
  <c r="R21" i="12"/>
  <c r="R22" i="12" s="1"/>
  <c r="R23" i="12" s="1"/>
  <c r="F24" i="12" s="1"/>
  <c r="R10" i="11"/>
  <c r="R11" i="11" s="1"/>
  <c r="J9" i="20"/>
  <c r="I10" i="20"/>
  <c r="I11" i="20" s="1"/>
  <c r="H23" i="24"/>
  <c r="AG10" i="24"/>
  <c r="AG11" i="24" s="1"/>
  <c r="AH9" i="24"/>
  <c r="AT9" i="24"/>
  <c r="AS10" i="24"/>
  <c r="AS11" i="24" s="1"/>
  <c r="V10" i="24"/>
  <c r="V11" i="24" s="1"/>
  <c r="W9" i="24"/>
  <c r="BH10" i="24"/>
  <c r="BH11" i="24" s="1"/>
  <c r="BI9" i="24"/>
  <c r="U21" i="24"/>
  <c r="U22" i="24" s="1"/>
  <c r="U23" i="24" s="1"/>
  <c r="I24" i="24" s="1"/>
  <c r="L20" i="24"/>
  <c r="AG21" i="24"/>
  <c r="AG22" i="24" s="1"/>
  <c r="AH20" i="24"/>
  <c r="AF23" i="24"/>
  <c r="H25" i="24" s="1"/>
  <c r="L9" i="24"/>
  <c r="K10" i="24"/>
  <c r="K11" i="24" s="1"/>
  <c r="AR21" i="24"/>
  <c r="AR22" i="24" s="1"/>
  <c r="AR23" i="24" s="1"/>
  <c r="H26" i="24" s="1"/>
  <c r="AS20" i="24"/>
  <c r="J14" i="24"/>
  <c r="I21" i="24"/>
  <c r="I22" i="24" s="1"/>
  <c r="I23" i="24" s="1"/>
  <c r="BF20" i="24"/>
  <c r="BE21" i="24"/>
  <c r="BE22" i="24" s="1"/>
  <c r="BE23" i="24" s="1"/>
  <c r="I27" i="24" s="1"/>
  <c r="S23" i="20"/>
  <c r="G24" i="20" s="1"/>
  <c r="AS20" i="20"/>
  <c r="AR21" i="20"/>
  <c r="AR22" i="20" s="1"/>
  <c r="AR23" i="20" s="1"/>
  <c r="H26" i="20" s="1"/>
  <c r="AR10" i="20"/>
  <c r="AR11" i="20" s="1"/>
  <c r="AS9" i="20"/>
  <c r="AI20" i="20"/>
  <c r="AH21" i="20"/>
  <c r="AH22" i="20" s="1"/>
  <c r="I23" i="20"/>
  <c r="J21" i="20"/>
  <c r="J22" i="20" s="1"/>
  <c r="T10" i="20"/>
  <c r="T11" i="20" s="1"/>
  <c r="U9" i="20"/>
  <c r="AG10" i="20"/>
  <c r="AG11" i="20" s="1"/>
  <c r="AG23" i="20" s="1"/>
  <c r="I25" i="20" s="1"/>
  <c r="AH9" i="20"/>
  <c r="AQ23" i="20"/>
  <c r="G26" i="20" s="1"/>
  <c r="BF21" i="20"/>
  <c r="BF22" i="20" s="1"/>
  <c r="BF23" i="20" s="1"/>
  <c r="J27" i="20" s="1"/>
  <c r="BG20" i="20"/>
  <c r="BG10" i="20"/>
  <c r="BG11" i="20" s="1"/>
  <c r="BH9" i="20"/>
  <c r="T21" i="20"/>
  <c r="T22" i="20" s="1"/>
  <c r="U20" i="20"/>
  <c r="BC10" i="14"/>
  <c r="BC11" i="14" s="1"/>
  <c r="AF20" i="14"/>
  <c r="AE21" i="14"/>
  <c r="AE22" i="14" s="1"/>
  <c r="AS20" i="14"/>
  <c r="AR21" i="14"/>
  <c r="AR22" i="14" s="1"/>
  <c r="BB23" i="14"/>
  <c r="AP10" i="14"/>
  <c r="AP11" i="14" s="1"/>
  <c r="AP23" i="14" s="1"/>
  <c r="BC21" i="14"/>
  <c r="BC22" i="14" s="1"/>
  <c r="BC23" i="14" s="1"/>
  <c r="AF9" i="14"/>
  <c r="AS9" i="14"/>
  <c r="AR10" i="14"/>
  <c r="AR11" i="14" s="1"/>
  <c r="BD21" i="14"/>
  <c r="BD22" i="14" s="1"/>
  <c r="BD23" i="14" s="1"/>
  <c r="AD10" i="14"/>
  <c r="AD11" i="14" s="1"/>
  <c r="AD23" i="14" s="1"/>
  <c r="AE6" i="14"/>
  <c r="AF6" i="14" s="1"/>
  <c r="AG6" i="14" s="1"/>
  <c r="AH6" i="14" s="1"/>
  <c r="AI6" i="14" s="1"/>
  <c r="AJ6" i="14" s="1"/>
  <c r="AK6" i="14" s="1"/>
  <c r="AL6" i="14" s="1"/>
  <c r="AM6" i="14" s="1"/>
  <c r="BA23" i="14"/>
  <c r="BE9" i="14"/>
  <c r="AE17" i="14"/>
  <c r="AF17" i="14" s="1"/>
  <c r="AG17" i="14" s="1"/>
  <c r="AH17" i="14" s="1"/>
  <c r="AI17" i="14" s="1"/>
  <c r="AJ17" i="14" s="1"/>
  <c r="AK17" i="14" s="1"/>
  <c r="AL17" i="14" s="1"/>
  <c r="AM17" i="14" s="1"/>
  <c r="BE20" i="14"/>
  <c r="AQ10" i="14"/>
  <c r="AQ11" i="14" s="1"/>
  <c r="AQ21" i="14"/>
  <c r="AQ22" i="14" s="1"/>
  <c r="AQ23" i="14" s="1"/>
  <c r="BF9" i="13"/>
  <c r="BE10" i="13"/>
  <c r="BE11" i="13" s="1"/>
  <c r="BC10" i="13"/>
  <c r="BC11" i="13" s="1"/>
  <c r="AF20" i="13"/>
  <c r="AE21" i="13"/>
  <c r="AE22" i="13" s="1"/>
  <c r="AF9" i="13"/>
  <c r="AE10" i="13"/>
  <c r="AE11" i="13" s="1"/>
  <c r="AD10" i="13"/>
  <c r="AD11" i="13" s="1"/>
  <c r="AS20" i="13"/>
  <c r="BC21" i="13"/>
  <c r="BC22" i="13" s="1"/>
  <c r="BC23" i="13" s="1"/>
  <c r="AQ10" i="13"/>
  <c r="AQ11" i="13" s="1"/>
  <c r="BF20" i="13"/>
  <c r="BE21" i="13"/>
  <c r="BE22" i="13" s="1"/>
  <c r="BE23" i="13" s="1"/>
  <c r="AS10" i="13"/>
  <c r="AS11" i="13" s="1"/>
  <c r="AO23" i="13"/>
  <c r="AT10" i="13"/>
  <c r="AT11" i="13" s="1"/>
  <c r="AU9" i="13"/>
  <c r="BD10" i="13"/>
  <c r="BD11" i="13" s="1"/>
  <c r="BA23" i="13"/>
  <c r="AD21" i="13"/>
  <c r="AD22" i="13" s="1"/>
  <c r="AD23" i="13" s="1"/>
  <c r="BD21" i="13"/>
  <c r="BD22" i="13" s="1"/>
  <c r="BD23" i="13" s="1"/>
  <c r="AQ18" i="13"/>
  <c r="AR18" i="13" s="1"/>
  <c r="AS18" i="13" s="1"/>
  <c r="AT18" i="13" s="1"/>
  <c r="AU18" i="13" s="1"/>
  <c r="AV18" i="13" s="1"/>
  <c r="AW18" i="13" s="1"/>
  <c r="AX18" i="13" s="1"/>
  <c r="AY18" i="13" s="1"/>
  <c r="AP10" i="13"/>
  <c r="AP11" i="13" s="1"/>
  <c r="AP23" i="13" s="1"/>
  <c r="AQ21" i="13"/>
  <c r="AQ22" i="13" s="1"/>
  <c r="AQ23" i="13" s="1"/>
  <c r="AR10" i="13"/>
  <c r="AR11" i="13" s="1"/>
  <c r="BB10" i="13"/>
  <c r="BB11" i="13" s="1"/>
  <c r="BB23" i="13" s="1"/>
  <c r="BF9" i="12"/>
  <c r="BE10" i="12"/>
  <c r="BE11" i="12" s="1"/>
  <c r="AF9" i="12"/>
  <c r="AE10" i="12"/>
  <c r="AE11" i="12" s="1"/>
  <c r="AQ21" i="12"/>
  <c r="AQ22" i="12" s="1"/>
  <c r="AQ23" i="12" s="1"/>
  <c r="AS21" i="12"/>
  <c r="AS22" i="12" s="1"/>
  <c r="AQ10" i="12"/>
  <c r="AQ11" i="12" s="1"/>
  <c r="AT20" i="12"/>
  <c r="AS10" i="12"/>
  <c r="AS11" i="12" s="1"/>
  <c r="BC21" i="12"/>
  <c r="BC22" i="12" s="1"/>
  <c r="BC23" i="12" s="1"/>
  <c r="AT9" i="12"/>
  <c r="BD10" i="12"/>
  <c r="BD11" i="12" s="1"/>
  <c r="BD20" i="12"/>
  <c r="BC10" i="12"/>
  <c r="BC11" i="12" s="1"/>
  <c r="AF20" i="12"/>
  <c r="AE21" i="12"/>
  <c r="AE22" i="12" s="1"/>
  <c r="AE23" i="12" s="1"/>
  <c r="AD21" i="12"/>
  <c r="AD22" i="12" s="1"/>
  <c r="AD23" i="12" s="1"/>
  <c r="AP10" i="12"/>
  <c r="AP11" i="12" s="1"/>
  <c r="AP21" i="12"/>
  <c r="AP22" i="12" s="1"/>
  <c r="AR10" i="12"/>
  <c r="AR11" i="12" s="1"/>
  <c r="AR21" i="12"/>
  <c r="AR22" i="12" s="1"/>
  <c r="AR23" i="12" s="1"/>
  <c r="BB10" i="12"/>
  <c r="BB11" i="12" s="1"/>
  <c r="BB21" i="12"/>
  <c r="BB22" i="12" s="1"/>
  <c r="BD10" i="11"/>
  <c r="BD11" i="11" s="1"/>
  <c r="BC10" i="11"/>
  <c r="BC11" i="11" s="1"/>
  <c r="BF9" i="11"/>
  <c r="BE10" i="11"/>
  <c r="BE11" i="11" s="1"/>
  <c r="AD10" i="11"/>
  <c r="AD11" i="11" s="1"/>
  <c r="AD23" i="11" s="1"/>
  <c r="AF20" i="11"/>
  <c r="AE21" i="11"/>
  <c r="AE22" i="11" s="1"/>
  <c r="AE23" i="11" s="1"/>
  <c r="AR20" i="11"/>
  <c r="AQ21" i="11"/>
  <c r="AQ22" i="11" s="1"/>
  <c r="AF9" i="11"/>
  <c r="AE10" i="11"/>
  <c r="AE11" i="11" s="1"/>
  <c r="BC21" i="11"/>
  <c r="BC22" i="11" s="1"/>
  <c r="BD20" i="11"/>
  <c r="AR9" i="11"/>
  <c r="AQ10" i="11"/>
  <c r="AQ11" i="11" s="1"/>
  <c r="BA23" i="11"/>
  <c r="AE17" i="11"/>
  <c r="AF17" i="11" s="1"/>
  <c r="AG17" i="11" s="1"/>
  <c r="AH17" i="11" s="1"/>
  <c r="AI17" i="11" s="1"/>
  <c r="AJ17" i="11" s="1"/>
  <c r="AK17" i="11" s="1"/>
  <c r="AL17" i="11" s="1"/>
  <c r="AM17" i="11" s="1"/>
  <c r="AP10" i="11"/>
  <c r="AP11" i="11" s="1"/>
  <c r="AP21" i="11"/>
  <c r="AP22" i="11" s="1"/>
  <c r="AP23" i="11" s="1"/>
  <c r="BB10" i="11"/>
  <c r="BB11" i="11" s="1"/>
  <c r="BB21" i="11"/>
  <c r="BB22" i="11" s="1"/>
  <c r="BB23" i="11" s="1"/>
  <c r="AF20" i="10"/>
  <c r="AE21" i="10"/>
  <c r="AE22" i="10" s="1"/>
  <c r="AQ10" i="10"/>
  <c r="AQ11" i="10" s="1"/>
  <c r="AS10" i="10"/>
  <c r="AS11" i="10" s="1"/>
  <c r="AQ21" i="10"/>
  <c r="AQ22" i="10" s="1"/>
  <c r="AT9" i="10"/>
  <c r="BD10" i="10"/>
  <c r="BD11" i="10" s="1"/>
  <c r="AD21" i="10"/>
  <c r="AD22" i="10" s="1"/>
  <c r="AS21" i="10"/>
  <c r="AS22" i="10" s="1"/>
  <c r="AT20" i="10"/>
  <c r="BC10" i="10"/>
  <c r="BC11" i="10" s="1"/>
  <c r="BC21" i="10"/>
  <c r="BC22" i="10" s="1"/>
  <c r="BD20" i="10"/>
  <c r="BF9" i="10"/>
  <c r="BE10" i="10"/>
  <c r="BE11" i="10" s="1"/>
  <c r="AO23" i="10"/>
  <c r="AF9" i="10"/>
  <c r="AE10" i="10"/>
  <c r="AE11" i="10" s="1"/>
  <c r="AD10" i="10"/>
  <c r="AD11" i="10" s="1"/>
  <c r="BA23" i="10"/>
  <c r="AE17" i="10"/>
  <c r="AF17" i="10" s="1"/>
  <c r="AG17" i="10" s="1"/>
  <c r="AH17" i="10" s="1"/>
  <c r="AI17" i="10" s="1"/>
  <c r="AJ17" i="10" s="1"/>
  <c r="AK17" i="10" s="1"/>
  <c r="AL17" i="10" s="1"/>
  <c r="AM17" i="10" s="1"/>
  <c r="AP10" i="10"/>
  <c r="AP11" i="10" s="1"/>
  <c r="AP21" i="10"/>
  <c r="AP22" i="10" s="1"/>
  <c r="AP23" i="10" s="1"/>
  <c r="AR10" i="10"/>
  <c r="AR11" i="10" s="1"/>
  <c r="AR21" i="10"/>
  <c r="AR22" i="10" s="1"/>
  <c r="BB10" i="10"/>
  <c r="BB11" i="10" s="1"/>
  <c r="BB21" i="10"/>
  <c r="BB22" i="10" s="1"/>
  <c r="BB23" i="10" s="1"/>
  <c r="AS9" i="9"/>
  <c r="AR10" i="9"/>
  <c r="AR11" i="9" s="1"/>
  <c r="BC10" i="9"/>
  <c r="BC11" i="9" s="1"/>
  <c r="AF20" i="9"/>
  <c r="AP10" i="9"/>
  <c r="AP11" i="9" s="1"/>
  <c r="BD9" i="9"/>
  <c r="AD10" i="9"/>
  <c r="AD11" i="9" s="1"/>
  <c r="AD23" i="9" s="1"/>
  <c r="AP21" i="9"/>
  <c r="AP22" i="9" s="1"/>
  <c r="AS20" i="9"/>
  <c r="AR21" i="9"/>
  <c r="AR22" i="9" s="1"/>
  <c r="AR23" i="9" s="1"/>
  <c r="AF9" i="9"/>
  <c r="AE10" i="9"/>
  <c r="AE11" i="9" s="1"/>
  <c r="BC21" i="9"/>
  <c r="BC22" i="9" s="1"/>
  <c r="BC23" i="9" s="1"/>
  <c r="BD20" i="9"/>
  <c r="AO23" i="9"/>
  <c r="BA23" i="9"/>
  <c r="AE17" i="9"/>
  <c r="AF17" i="9" s="1"/>
  <c r="AG17" i="9" s="1"/>
  <c r="AH17" i="9" s="1"/>
  <c r="AI17" i="9" s="1"/>
  <c r="AJ17" i="9" s="1"/>
  <c r="AK17" i="9" s="1"/>
  <c r="AL17" i="9" s="1"/>
  <c r="AM17" i="9" s="1"/>
  <c r="AQ18" i="9"/>
  <c r="AR18" i="9" s="1"/>
  <c r="AS18" i="9" s="1"/>
  <c r="AT18" i="9" s="1"/>
  <c r="AU18" i="9" s="1"/>
  <c r="AV18" i="9" s="1"/>
  <c r="AW18" i="9" s="1"/>
  <c r="AX18" i="9" s="1"/>
  <c r="AY18" i="9" s="1"/>
  <c r="AQ10" i="9"/>
  <c r="AQ11" i="9" s="1"/>
  <c r="AQ21" i="9"/>
  <c r="AQ22" i="9" s="1"/>
  <c r="AQ23" i="9" s="1"/>
  <c r="BB10" i="9"/>
  <c r="BB11" i="9" s="1"/>
  <c r="BB21" i="9"/>
  <c r="BB22" i="9" s="1"/>
  <c r="BB23" i="9" s="1"/>
  <c r="AS9" i="8"/>
  <c r="AR10" i="8"/>
  <c r="AR11" i="8" s="1"/>
  <c r="BC10" i="8"/>
  <c r="BC11" i="8" s="1"/>
  <c r="BD9" i="8"/>
  <c r="AE21" i="8"/>
  <c r="AE22" i="8" s="1"/>
  <c r="AF20" i="8"/>
  <c r="AP23" i="8"/>
  <c r="AD23" i="8"/>
  <c r="AS20" i="8"/>
  <c r="AR21" i="8"/>
  <c r="AR22" i="8" s="1"/>
  <c r="AR23" i="8" s="1"/>
  <c r="AE10" i="8"/>
  <c r="AE11" i="8" s="1"/>
  <c r="AG9" i="8"/>
  <c r="AF10" i="8"/>
  <c r="AF11" i="8" s="1"/>
  <c r="BC21" i="8"/>
  <c r="BC22" i="8" s="1"/>
  <c r="BC23" i="8" s="1"/>
  <c r="BD20" i="8"/>
  <c r="AO23" i="8"/>
  <c r="BA23" i="8"/>
  <c r="AQ10" i="8"/>
  <c r="AQ11" i="8" s="1"/>
  <c r="AQ21" i="8"/>
  <c r="AQ22" i="8" s="1"/>
  <c r="AQ23" i="8" s="1"/>
  <c r="BB10" i="8"/>
  <c r="BB11" i="8" s="1"/>
  <c r="BB21" i="8"/>
  <c r="BB22" i="8" s="1"/>
  <c r="BB23" i="8" s="1"/>
  <c r="AF20" i="7"/>
  <c r="AE21" i="7"/>
  <c r="AE22" i="7" s="1"/>
  <c r="AE23" i="7" s="1"/>
  <c r="AE10" i="7"/>
  <c r="AE11" i="7" s="1"/>
  <c r="AF9" i="7"/>
  <c r="AD23" i="7"/>
  <c r="AS20" i="7"/>
  <c r="AR21" i="7"/>
  <c r="AR22" i="7" s="1"/>
  <c r="BC21" i="7"/>
  <c r="BC22" i="7" s="1"/>
  <c r="BC23" i="7" s="1"/>
  <c r="BD20" i="7"/>
  <c r="AS9" i="7"/>
  <c r="AR10" i="7"/>
  <c r="AR11" i="7" s="1"/>
  <c r="AO23" i="7"/>
  <c r="BC10" i="7"/>
  <c r="BC11" i="7" s="1"/>
  <c r="BD9" i="7"/>
  <c r="BA23" i="7"/>
  <c r="AP21" i="7"/>
  <c r="AP22" i="7" s="1"/>
  <c r="AP23" i="7" s="1"/>
  <c r="AQ10" i="7"/>
  <c r="AQ11" i="7" s="1"/>
  <c r="AQ21" i="7"/>
  <c r="AQ22" i="7" s="1"/>
  <c r="AQ23" i="7" s="1"/>
  <c r="BB10" i="7"/>
  <c r="BB11" i="7" s="1"/>
  <c r="BB21" i="7"/>
  <c r="BB22" i="7" s="1"/>
  <c r="BE8" i="3"/>
  <c r="BF8" i="3" s="1"/>
  <c r="BG8" i="3" s="1"/>
  <c r="BH8" i="3" s="1"/>
  <c r="BI8" i="3" s="1"/>
  <c r="BJ8" i="3" s="1"/>
  <c r="BK8" i="3" s="1"/>
  <c r="BD10" i="3"/>
  <c r="BD11" i="3" s="1"/>
  <c r="AD21" i="3"/>
  <c r="AD22" i="3" s="1"/>
  <c r="AF9" i="3"/>
  <c r="AE10" i="3"/>
  <c r="AE11" i="3" s="1"/>
  <c r="AQ21" i="3"/>
  <c r="AQ22" i="3" s="1"/>
  <c r="BC10" i="3"/>
  <c r="BC11" i="3" s="1"/>
  <c r="AS21" i="3"/>
  <c r="AS22" i="3" s="1"/>
  <c r="BB10" i="3"/>
  <c r="BB11" i="3" s="1"/>
  <c r="AT21" i="3"/>
  <c r="AT22" i="3" s="1"/>
  <c r="AU20" i="3"/>
  <c r="BF9" i="3"/>
  <c r="AF20" i="3"/>
  <c r="AE21" i="3"/>
  <c r="AE22" i="3" s="1"/>
  <c r="BC21" i="3"/>
  <c r="BC22" i="3" s="1"/>
  <c r="BC23" i="3" s="1"/>
  <c r="G27" i="3" s="1"/>
  <c r="BA23" i="3"/>
  <c r="E27" i="3" s="1"/>
  <c r="AS9" i="3"/>
  <c r="AO23" i="3"/>
  <c r="AD10" i="3"/>
  <c r="AD11" i="3" s="1"/>
  <c r="BD20" i="3"/>
  <c r="AQ8" i="3"/>
  <c r="AR8" i="3" s="1"/>
  <c r="AS8" i="3" s="1"/>
  <c r="AT8" i="3" s="1"/>
  <c r="AU8" i="3" s="1"/>
  <c r="AV8" i="3" s="1"/>
  <c r="AW8" i="3" s="1"/>
  <c r="AX8" i="3" s="1"/>
  <c r="AY8" i="3" s="1"/>
  <c r="AP10" i="3"/>
  <c r="AP11" i="3" s="1"/>
  <c r="AP21" i="3"/>
  <c r="AP22" i="3" s="1"/>
  <c r="AR21" i="3"/>
  <c r="AR22" i="3" s="1"/>
  <c r="BB21" i="3"/>
  <c r="BB22" i="3" s="1"/>
  <c r="R10" i="13"/>
  <c r="R11" i="13" s="1"/>
  <c r="S20" i="8"/>
  <c r="S9" i="8"/>
  <c r="R23" i="14"/>
  <c r="S20" i="14"/>
  <c r="S9" i="14"/>
  <c r="T21" i="13"/>
  <c r="T22" i="13" s="1"/>
  <c r="U20" i="13"/>
  <c r="R21" i="13"/>
  <c r="R22" i="13" s="1"/>
  <c r="R23" i="13" s="1"/>
  <c r="F24" i="13" s="1"/>
  <c r="S8" i="13"/>
  <c r="T8" i="13" s="1"/>
  <c r="U8" i="13" s="1"/>
  <c r="V8" i="13" s="1"/>
  <c r="W8" i="13" s="1"/>
  <c r="X8" i="13" s="1"/>
  <c r="Y8" i="13" s="1"/>
  <c r="Z8" i="13" s="1"/>
  <c r="AA8" i="13" s="1"/>
  <c r="S21" i="13"/>
  <c r="S22" i="13" s="1"/>
  <c r="T9" i="13"/>
  <c r="S9" i="12"/>
  <c r="S20" i="12"/>
  <c r="S20" i="11"/>
  <c r="S9" i="11"/>
  <c r="S21" i="10"/>
  <c r="S22" i="10" s="1"/>
  <c r="T20" i="10"/>
  <c r="S9" i="10"/>
  <c r="R23" i="9"/>
  <c r="S20" i="9"/>
  <c r="S9" i="9"/>
  <c r="AC23" i="12"/>
  <c r="R23" i="7"/>
  <c r="T21" i="7"/>
  <c r="T22" i="7" s="1"/>
  <c r="U20" i="7"/>
  <c r="S21" i="7"/>
  <c r="S22" i="7" s="1"/>
  <c r="S9" i="7"/>
  <c r="B241" i="14"/>
  <c r="H239" i="14"/>
  <c r="H238" i="14"/>
  <c r="H237" i="14"/>
  <c r="H236" i="14"/>
  <c r="H235" i="14"/>
  <c r="B234" i="14"/>
  <c r="A234" i="14"/>
  <c r="H233" i="14"/>
  <c r="B233" i="14"/>
  <c r="A233" i="14"/>
  <c r="H232" i="14"/>
  <c r="B232" i="14"/>
  <c r="A232" i="14"/>
  <c r="B221" i="14"/>
  <c r="H219" i="14"/>
  <c r="H218" i="14"/>
  <c r="H217" i="14"/>
  <c r="H216" i="14"/>
  <c r="H215" i="14"/>
  <c r="B214" i="14"/>
  <c r="A214" i="14"/>
  <c r="H213" i="14"/>
  <c r="B213" i="14"/>
  <c r="A213" i="14"/>
  <c r="H212" i="14"/>
  <c r="B212" i="14"/>
  <c r="A212" i="14"/>
  <c r="B201" i="14"/>
  <c r="H199" i="14"/>
  <c r="H198" i="14"/>
  <c r="H197" i="14"/>
  <c r="H196" i="14"/>
  <c r="H195" i="14"/>
  <c r="B194" i="14"/>
  <c r="A194" i="14"/>
  <c r="H193" i="14"/>
  <c r="B193" i="14"/>
  <c r="A193" i="14"/>
  <c r="H192" i="14"/>
  <c r="B192" i="14"/>
  <c r="A192" i="14"/>
  <c r="B181" i="14"/>
  <c r="H179" i="14"/>
  <c r="H178" i="14"/>
  <c r="H177" i="14"/>
  <c r="H176" i="14"/>
  <c r="H175" i="14"/>
  <c r="B174" i="14"/>
  <c r="A174" i="14"/>
  <c r="H173" i="14"/>
  <c r="B173" i="14"/>
  <c r="A173" i="14"/>
  <c r="H172" i="14"/>
  <c r="B172" i="14"/>
  <c r="A172" i="14"/>
  <c r="B161" i="14"/>
  <c r="H159" i="14"/>
  <c r="H158" i="14"/>
  <c r="H157" i="14"/>
  <c r="H156" i="14"/>
  <c r="H155" i="14"/>
  <c r="B154" i="14"/>
  <c r="A154" i="14"/>
  <c r="H153" i="14"/>
  <c r="B153" i="14"/>
  <c r="A153" i="14"/>
  <c r="H152" i="14"/>
  <c r="B152" i="14"/>
  <c r="A152" i="14"/>
  <c r="B141" i="14"/>
  <c r="H139" i="14"/>
  <c r="H138" i="14"/>
  <c r="H137" i="14"/>
  <c r="H136" i="14"/>
  <c r="H135" i="14"/>
  <c r="B134" i="14"/>
  <c r="A134" i="14"/>
  <c r="H133" i="14"/>
  <c r="B133" i="14"/>
  <c r="A133" i="14"/>
  <c r="H132" i="14"/>
  <c r="B132" i="14"/>
  <c r="A132" i="14"/>
  <c r="B121" i="14"/>
  <c r="H119" i="14"/>
  <c r="H118" i="14"/>
  <c r="H117" i="14"/>
  <c r="H116" i="14"/>
  <c r="H115" i="14"/>
  <c r="B114" i="14"/>
  <c r="A114" i="14"/>
  <c r="H113" i="14"/>
  <c r="B113" i="14"/>
  <c r="A113" i="14"/>
  <c r="H112" i="14"/>
  <c r="B112" i="14"/>
  <c r="A112" i="14"/>
  <c r="B101" i="14"/>
  <c r="H99" i="14"/>
  <c r="H98" i="14"/>
  <c r="H97" i="14"/>
  <c r="H96" i="14"/>
  <c r="H95" i="14"/>
  <c r="B94" i="14"/>
  <c r="A94" i="14"/>
  <c r="H93" i="14"/>
  <c r="B93" i="14"/>
  <c r="A93" i="14"/>
  <c r="H92" i="14"/>
  <c r="B92" i="14"/>
  <c r="A92" i="14"/>
  <c r="B81" i="14"/>
  <c r="H79" i="14"/>
  <c r="H78" i="14"/>
  <c r="H77" i="14"/>
  <c r="H76" i="14"/>
  <c r="H75" i="14"/>
  <c r="B74" i="14"/>
  <c r="A74" i="14"/>
  <c r="H73" i="14"/>
  <c r="B73" i="14"/>
  <c r="A73" i="14"/>
  <c r="H72" i="14"/>
  <c r="B72" i="14"/>
  <c r="A72" i="14"/>
  <c r="B61" i="14"/>
  <c r="A61" i="14"/>
  <c r="H59" i="14"/>
  <c r="H58" i="14"/>
  <c r="H57" i="14"/>
  <c r="H56" i="14"/>
  <c r="H55" i="14"/>
  <c r="B54" i="14"/>
  <c r="A54" i="14"/>
  <c r="H53" i="14"/>
  <c r="B53" i="14"/>
  <c r="A53" i="14"/>
  <c r="H52" i="14"/>
  <c r="B52" i="14"/>
  <c r="A52" i="14"/>
  <c r="B241" i="13"/>
  <c r="H239" i="13"/>
  <c r="H238" i="13"/>
  <c r="H237" i="13"/>
  <c r="H236" i="13"/>
  <c r="H235" i="13"/>
  <c r="B234" i="13"/>
  <c r="A234" i="13"/>
  <c r="H233" i="13"/>
  <c r="A233" i="13"/>
  <c r="H232" i="13"/>
  <c r="B232" i="13"/>
  <c r="A232" i="13"/>
  <c r="B221" i="13"/>
  <c r="H219" i="13"/>
  <c r="H218" i="13"/>
  <c r="H217" i="13"/>
  <c r="H216" i="13"/>
  <c r="H215" i="13"/>
  <c r="B214" i="13"/>
  <c r="A214" i="13"/>
  <c r="H213" i="13"/>
  <c r="A213" i="13"/>
  <c r="H212" i="13"/>
  <c r="B212" i="13"/>
  <c r="A212" i="13"/>
  <c r="B201" i="13"/>
  <c r="H199" i="13"/>
  <c r="H198" i="13"/>
  <c r="H197" i="13"/>
  <c r="H196" i="13"/>
  <c r="H195" i="13"/>
  <c r="B194" i="13"/>
  <c r="A194" i="13"/>
  <c r="H193" i="13"/>
  <c r="A193" i="13"/>
  <c r="H192" i="13"/>
  <c r="B192" i="13"/>
  <c r="A192" i="13"/>
  <c r="B181" i="13"/>
  <c r="H179" i="13"/>
  <c r="H178" i="13"/>
  <c r="H177" i="13"/>
  <c r="H176" i="13"/>
  <c r="H175" i="13"/>
  <c r="B174" i="13"/>
  <c r="A174" i="13"/>
  <c r="H173" i="13"/>
  <c r="A173" i="13"/>
  <c r="H172" i="13"/>
  <c r="B172" i="13"/>
  <c r="A172" i="13"/>
  <c r="B161" i="13"/>
  <c r="H159" i="13"/>
  <c r="H158" i="13"/>
  <c r="H157" i="13"/>
  <c r="H156" i="13"/>
  <c r="H155" i="13"/>
  <c r="B154" i="13"/>
  <c r="A154" i="13"/>
  <c r="H153" i="13"/>
  <c r="A153" i="13"/>
  <c r="H152" i="13"/>
  <c r="B152" i="13"/>
  <c r="A152" i="13"/>
  <c r="B141" i="13"/>
  <c r="H139" i="13"/>
  <c r="H138" i="13"/>
  <c r="H137" i="13"/>
  <c r="H136" i="13"/>
  <c r="H135" i="13"/>
  <c r="B134" i="13"/>
  <c r="A134" i="13"/>
  <c r="H133" i="13"/>
  <c r="A133" i="13"/>
  <c r="H132" i="13"/>
  <c r="B132" i="13"/>
  <c r="A132" i="13"/>
  <c r="B121" i="13"/>
  <c r="H119" i="13"/>
  <c r="H118" i="13"/>
  <c r="H117" i="13"/>
  <c r="H116" i="13"/>
  <c r="H115" i="13"/>
  <c r="B114" i="13"/>
  <c r="A114" i="13"/>
  <c r="H113" i="13"/>
  <c r="A113" i="13"/>
  <c r="H112" i="13"/>
  <c r="B112" i="13"/>
  <c r="A112" i="13"/>
  <c r="B101" i="13"/>
  <c r="H99" i="13"/>
  <c r="H98" i="13"/>
  <c r="H97" i="13"/>
  <c r="H96" i="13"/>
  <c r="H95" i="13"/>
  <c r="B94" i="13"/>
  <c r="A94" i="13"/>
  <c r="H93" i="13"/>
  <c r="A93" i="13"/>
  <c r="H92" i="13"/>
  <c r="B92" i="13"/>
  <c r="A92" i="13"/>
  <c r="B81" i="13"/>
  <c r="H79" i="13"/>
  <c r="H78" i="13"/>
  <c r="H77" i="13"/>
  <c r="H76" i="13"/>
  <c r="H75" i="13"/>
  <c r="B74" i="13"/>
  <c r="A74" i="13"/>
  <c r="H73" i="13"/>
  <c r="A73" i="13"/>
  <c r="H72" i="13"/>
  <c r="B72" i="13"/>
  <c r="A72" i="13"/>
  <c r="B61" i="13"/>
  <c r="A61" i="13"/>
  <c r="H59" i="13"/>
  <c r="H58" i="13"/>
  <c r="H57" i="13"/>
  <c r="H56" i="13"/>
  <c r="H55" i="13"/>
  <c r="B54" i="13"/>
  <c r="A54" i="13"/>
  <c r="H53" i="13"/>
  <c r="A53" i="13"/>
  <c r="H52" i="13"/>
  <c r="B52" i="13"/>
  <c r="A52" i="13"/>
  <c r="B241" i="12"/>
  <c r="H239" i="12"/>
  <c r="H238" i="12"/>
  <c r="H237" i="12"/>
  <c r="H236" i="12"/>
  <c r="H235" i="12"/>
  <c r="B234" i="12"/>
  <c r="A234" i="12"/>
  <c r="H233" i="12"/>
  <c r="A233" i="12"/>
  <c r="H232" i="12"/>
  <c r="B232" i="12"/>
  <c r="A232" i="12"/>
  <c r="B221" i="12"/>
  <c r="H219" i="12"/>
  <c r="H218" i="12"/>
  <c r="H217" i="12"/>
  <c r="H216" i="12"/>
  <c r="H215" i="12"/>
  <c r="B214" i="12"/>
  <c r="A214" i="12"/>
  <c r="H213" i="12"/>
  <c r="A213" i="12"/>
  <c r="H212" i="12"/>
  <c r="B212" i="12"/>
  <c r="A212" i="12"/>
  <c r="B201" i="12"/>
  <c r="H199" i="12"/>
  <c r="H198" i="12"/>
  <c r="H197" i="12"/>
  <c r="H196" i="12"/>
  <c r="H195" i="12"/>
  <c r="B194" i="12"/>
  <c r="A194" i="12"/>
  <c r="H193" i="12"/>
  <c r="A193" i="12"/>
  <c r="H192" i="12"/>
  <c r="B192" i="12"/>
  <c r="A192" i="12"/>
  <c r="B181" i="12"/>
  <c r="H179" i="12"/>
  <c r="H178" i="12"/>
  <c r="H177" i="12"/>
  <c r="H176" i="12"/>
  <c r="H175" i="12"/>
  <c r="B174" i="12"/>
  <c r="A174" i="12"/>
  <c r="H173" i="12"/>
  <c r="A173" i="12"/>
  <c r="H172" i="12"/>
  <c r="B172" i="12"/>
  <c r="A172" i="12"/>
  <c r="B161" i="12"/>
  <c r="H159" i="12"/>
  <c r="H158" i="12"/>
  <c r="H157" i="12"/>
  <c r="H156" i="12"/>
  <c r="H155" i="12"/>
  <c r="B154" i="12"/>
  <c r="A154" i="12"/>
  <c r="H153" i="12"/>
  <c r="A153" i="12"/>
  <c r="H152" i="12"/>
  <c r="B152" i="12"/>
  <c r="A152" i="12"/>
  <c r="B141" i="12"/>
  <c r="H139" i="12"/>
  <c r="H138" i="12"/>
  <c r="H137" i="12"/>
  <c r="H136" i="12"/>
  <c r="H135" i="12"/>
  <c r="B134" i="12"/>
  <c r="A134" i="12"/>
  <c r="H133" i="12"/>
  <c r="A133" i="12"/>
  <c r="H132" i="12"/>
  <c r="B132" i="12"/>
  <c r="A132" i="12"/>
  <c r="B121" i="12"/>
  <c r="H119" i="12"/>
  <c r="H118" i="12"/>
  <c r="H117" i="12"/>
  <c r="H116" i="12"/>
  <c r="H115" i="12"/>
  <c r="B114" i="12"/>
  <c r="A114" i="12"/>
  <c r="H113" i="12"/>
  <c r="A113" i="12"/>
  <c r="H112" i="12"/>
  <c r="B112" i="12"/>
  <c r="A112" i="12"/>
  <c r="B101" i="12"/>
  <c r="H99" i="12"/>
  <c r="H98" i="12"/>
  <c r="H97" i="12"/>
  <c r="H96" i="12"/>
  <c r="H95" i="12"/>
  <c r="B94" i="12"/>
  <c r="A94" i="12"/>
  <c r="H93" i="12"/>
  <c r="A93" i="12"/>
  <c r="H92" i="12"/>
  <c r="B92" i="12"/>
  <c r="A92" i="12"/>
  <c r="B81" i="12"/>
  <c r="H79" i="12"/>
  <c r="H78" i="12"/>
  <c r="H77" i="12"/>
  <c r="H76" i="12"/>
  <c r="H75" i="12"/>
  <c r="B74" i="12"/>
  <c r="A74" i="12"/>
  <c r="H73" i="12"/>
  <c r="A73" i="12"/>
  <c r="H72" i="12"/>
  <c r="B72" i="12"/>
  <c r="A72" i="12"/>
  <c r="B61" i="12"/>
  <c r="A61" i="12"/>
  <c r="H59" i="12"/>
  <c r="H58" i="12"/>
  <c r="H57" i="12"/>
  <c r="H56" i="12"/>
  <c r="H55" i="12"/>
  <c r="B54" i="12"/>
  <c r="A54" i="12"/>
  <c r="H53" i="12"/>
  <c r="A53" i="12"/>
  <c r="H52" i="12"/>
  <c r="B52" i="12"/>
  <c r="A52" i="12"/>
  <c r="B241" i="11"/>
  <c r="H239" i="11"/>
  <c r="H238" i="11"/>
  <c r="H237" i="11"/>
  <c r="H236" i="11"/>
  <c r="H235" i="11"/>
  <c r="B234" i="11"/>
  <c r="A234" i="11"/>
  <c r="H233" i="11"/>
  <c r="A233" i="11"/>
  <c r="H232" i="11"/>
  <c r="B232" i="11"/>
  <c r="A232" i="11"/>
  <c r="B221" i="11"/>
  <c r="H219" i="11"/>
  <c r="H218" i="11"/>
  <c r="H217" i="11"/>
  <c r="H216" i="11"/>
  <c r="H215" i="11"/>
  <c r="B214" i="11"/>
  <c r="A214" i="11"/>
  <c r="H213" i="11"/>
  <c r="A213" i="11"/>
  <c r="H212" i="11"/>
  <c r="B212" i="11"/>
  <c r="A212" i="11"/>
  <c r="B201" i="11"/>
  <c r="H199" i="11"/>
  <c r="H198" i="11"/>
  <c r="H197" i="11"/>
  <c r="H196" i="11"/>
  <c r="H195" i="11"/>
  <c r="B194" i="11"/>
  <c r="A194" i="11"/>
  <c r="H193" i="11"/>
  <c r="A193" i="11"/>
  <c r="H192" i="11"/>
  <c r="B192" i="11"/>
  <c r="A192" i="11"/>
  <c r="B181" i="11"/>
  <c r="H179" i="11"/>
  <c r="H178" i="11"/>
  <c r="H177" i="11"/>
  <c r="H176" i="11"/>
  <c r="H175" i="11"/>
  <c r="B174" i="11"/>
  <c r="A174" i="11"/>
  <c r="H173" i="11"/>
  <c r="A173" i="11"/>
  <c r="H172" i="11"/>
  <c r="B172" i="11"/>
  <c r="A172" i="11"/>
  <c r="B161" i="11"/>
  <c r="H159" i="11"/>
  <c r="H158" i="11"/>
  <c r="H157" i="11"/>
  <c r="H156" i="11"/>
  <c r="H155" i="11"/>
  <c r="B154" i="11"/>
  <c r="A154" i="11"/>
  <c r="H153" i="11"/>
  <c r="A153" i="11"/>
  <c r="H152" i="11"/>
  <c r="B152" i="11"/>
  <c r="A152" i="11"/>
  <c r="B141" i="11"/>
  <c r="H139" i="11"/>
  <c r="H138" i="11"/>
  <c r="H137" i="11"/>
  <c r="H136" i="11"/>
  <c r="H135" i="11"/>
  <c r="B134" i="11"/>
  <c r="A134" i="11"/>
  <c r="H133" i="11"/>
  <c r="A133" i="11"/>
  <c r="H132" i="11"/>
  <c r="B132" i="11"/>
  <c r="A132" i="11"/>
  <c r="B121" i="11"/>
  <c r="H119" i="11"/>
  <c r="H118" i="11"/>
  <c r="H117" i="11"/>
  <c r="H116" i="11"/>
  <c r="H115" i="11"/>
  <c r="B114" i="11"/>
  <c r="A114" i="11"/>
  <c r="H113" i="11"/>
  <c r="A113" i="11"/>
  <c r="H112" i="11"/>
  <c r="B112" i="11"/>
  <c r="A112" i="11"/>
  <c r="B101" i="11"/>
  <c r="H99" i="11"/>
  <c r="H98" i="11"/>
  <c r="H97" i="11"/>
  <c r="H96" i="11"/>
  <c r="H95" i="11"/>
  <c r="B94" i="11"/>
  <c r="A94" i="11"/>
  <c r="H93" i="11"/>
  <c r="A93" i="11"/>
  <c r="H92" i="11"/>
  <c r="B92" i="11"/>
  <c r="A92" i="11"/>
  <c r="B81" i="11"/>
  <c r="H79" i="11"/>
  <c r="H78" i="11"/>
  <c r="H77" i="11"/>
  <c r="H76" i="11"/>
  <c r="H75" i="11"/>
  <c r="B74" i="11"/>
  <c r="A74" i="11"/>
  <c r="H73" i="11"/>
  <c r="A73" i="11"/>
  <c r="H72" i="11"/>
  <c r="B72" i="11"/>
  <c r="A72" i="11"/>
  <c r="B61" i="11"/>
  <c r="A61" i="11"/>
  <c r="H59" i="11"/>
  <c r="H58" i="11"/>
  <c r="H57" i="11"/>
  <c r="H56" i="11"/>
  <c r="H55" i="11"/>
  <c r="B54" i="11"/>
  <c r="A54" i="11"/>
  <c r="H53" i="11"/>
  <c r="A53" i="11"/>
  <c r="H52" i="11"/>
  <c r="B52" i="11"/>
  <c r="A52" i="11"/>
  <c r="B241" i="10"/>
  <c r="H239" i="10"/>
  <c r="H238" i="10"/>
  <c r="H237" i="10"/>
  <c r="H236" i="10"/>
  <c r="H235" i="10"/>
  <c r="B234" i="10"/>
  <c r="A234" i="10"/>
  <c r="H233" i="10"/>
  <c r="A233" i="10"/>
  <c r="H232" i="10"/>
  <c r="B232" i="10"/>
  <c r="A232" i="10"/>
  <c r="B221" i="10"/>
  <c r="H219" i="10"/>
  <c r="H218" i="10"/>
  <c r="H217" i="10"/>
  <c r="H216" i="10"/>
  <c r="H215" i="10"/>
  <c r="B214" i="10"/>
  <c r="A214" i="10"/>
  <c r="H213" i="10"/>
  <c r="A213" i="10"/>
  <c r="H212" i="10"/>
  <c r="B212" i="10"/>
  <c r="A212" i="10"/>
  <c r="B201" i="10"/>
  <c r="H199" i="10"/>
  <c r="H198" i="10"/>
  <c r="H197" i="10"/>
  <c r="H196" i="10"/>
  <c r="H195" i="10"/>
  <c r="B194" i="10"/>
  <c r="A194" i="10"/>
  <c r="H193" i="10"/>
  <c r="A193" i="10"/>
  <c r="H192" i="10"/>
  <c r="B192" i="10"/>
  <c r="A192" i="10"/>
  <c r="B181" i="10"/>
  <c r="H179" i="10"/>
  <c r="H178" i="10"/>
  <c r="H177" i="10"/>
  <c r="H176" i="10"/>
  <c r="H175" i="10"/>
  <c r="B174" i="10"/>
  <c r="A174" i="10"/>
  <c r="H173" i="10"/>
  <c r="A173" i="10"/>
  <c r="H172" i="10"/>
  <c r="B172" i="10"/>
  <c r="A172" i="10"/>
  <c r="B161" i="10"/>
  <c r="H159" i="10"/>
  <c r="H158" i="10"/>
  <c r="H157" i="10"/>
  <c r="H156" i="10"/>
  <c r="H155" i="10"/>
  <c r="B154" i="10"/>
  <c r="A154" i="10"/>
  <c r="H153" i="10"/>
  <c r="A153" i="10"/>
  <c r="H152" i="10"/>
  <c r="B152" i="10"/>
  <c r="A152" i="10"/>
  <c r="B141" i="10"/>
  <c r="H139" i="10"/>
  <c r="H138" i="10"/>
  <c r="H137" i="10"/>
  <c r="H136" i="10"/>
  <c r="H135" i="10"/>
  <c r="B134" i="10"/>
  <c r="A134" i="10"/>
  <c r="H133" i="10"/>
  <c r="A133" i="10"/>
  <c r="H132" i="10"/>
  <c r="B132" i="10"/>
  <c r="A132" i="10"/>
  <c r="B121" i="10"/>
  <c r="H119" i="10"/>
  <c r="H118" i="10"/>
  <c r="H117" i="10"/>
  <c r="H116" i="10"/>
  <c r="H115" i="10"/>
  <c r="B114" i="10"/>
  <c r="A114" i="10"/>
  <c r="H113" i="10"/>
  <c r="A113" i="10"/>
  <c r="H112" i="10"/>
  <c r="B112" i="10"/>
  <c r="A112" i="10"/>
  <c r="B101" i="10"/>
  <c r="H99" i="10"/>
  <c r="H98" i="10"/>
  <c r="H97" i="10"/>
  <c r="H96" i="10"/>
  <c r="H95" i="10"/>
  <c r="B94" i="10"/>
  <c r="A94" i="10"/>
  <c r="H93" i="10"/>
  <c r="A93" i="10"/>
  <c r="H92" i="10"/>
  <c r="B92" i="10"/>
  <c r="A92" i="10"/>
  <c r="B81" i="10"/>
  <c r="H79" i="10"/>
  <c r="H78" i="10"/>
  <c r="H77" i="10"/>
  <c r="H76" i="10"/>
  <c r="H75" i="10"/>
  <c r="B74" i="10"/>
  <c r="A74" i="10"/>
  <c r="H73" i="10"/>
  <c r="A73" i="10"/>
  <c r="H72" i="10"/>
  <c r="B72" i="10"/>
  <c r="A72" i="10"/>
  <c r="B61" i="10"/>
  <c r="A61" i="10"/>
  <c r="H59" i="10"/>
  <c r="H58" i="10"/>
  <c r="H57" i="10"/>
  <c r="H56" i="10"/>
  <c r="H55" i="10"/>
  <c r="B54" i="10"/>
  <c r="A54" i="10"/>
  <c r="H53" i="10"/>
  <c r="A53" i="10"/>
  <c r="H52" i="10"/>
  <c r="B52" i="10"/>
  <c r="A52" i="10"/>
  <c r="B241" i="9"/>
  <c r="H239" i="9"/>
  <c r="H238" i="9"/>
  <c r="H237" i="9"/>
  <c r="H236" i="9"/>
  <c r="H235" i="9"/>
  <c r="B234" i="9"/>
  <c r="A234" i="9"/>
  <c r="H233" i="9"/>
  <c r="A233" i="9"/>
  <c r="H232" i="9"/>
  <c r="B232" i="9"/>
  <c r="A232" i="9"/>
  <c r="B221" i="9"/>
  <c r="H219" i="9"/>
  <c r="H218" i="9"/>
  <c r="H217" i="9"/>
  <c r="H216" i="9"/>
  <c r="H215" i="9"/>
  <c r="B214" i="9"/>
  <c r="A214" i="9"/>
  <c r="H213" i="9"/>
  <c r="A213" i="9"/>
  <c r="H212" i="9"/>
  <c r="B212" i="9"/>
  <c r="A212" i="9"/>
  <c r="B201" i="9"/>
  <c r="H199" i="9"/>
  <c r="H198" i="9"/>
  <c r="H197" i="9"/>
  <c r="H196" i="9"/>
  <c r="H195" i="9"/>
  <c r="B194" i="9"/>
  <c r="A194" i="9"/>
  <c r="H193" i="9"/>
  <c r="A193" i="9"/>
  <c r="H192" i="9"/>
  <c r="B192" i="9"/>
  <c r="A192" i="9"/>
  <c r="B181" i="9"/>
  <c r="H179" i="9"/>
  <c r="H178" i="9"/>
  <c r="H177" i="9"/>
  <c r="H176" i="9"/>
  <c r="H175" i="9"/>
  <c r="B174" i="9"/>
  <c r="A174" i="9"/>
  <c r="H173" i="9"/>
  <c r="A173" i="9"/>
  <c r="H172" i="9"/>
  <c r="B172" i="9"/>
  <c r="A172" i="9"/>
  <c r="B161" i="9"/>
  <c r="H159" i="9"/>
  <c r="H158" i="9"/>
  <c r="H157" i="9"/>
  <c r="H156" i="9"/>
  <c r="H155" i="9"/>
  <c r="B154" i="9"/>
  <c r="A154" i="9"/>
  <c r="H153" i="9"/>
  <c r="A153" i="9"/>
  <c r="H152" i="9"/>
  <c r="B152" i="9"/>
  <c r="A152" i="9"/>
  <c r="B141" i="9"/>
  <c r="H139" i="9"/>
  <c r="H138" i="9"/>
  <c r="H137" i="9"/>
  <c r="H136" i="9"/>
  <c r="H135" i="9"/>
  <c r="B134" i="9"/>
  <c r="A134" i="9"/>
  <c r="H133" i="9"/>
  <c r="A133" i="9"/>
  <c r="H132" i="9"/>
  <c r="B132" i="9"/>
  <c r="A132" i="9"/>
  <c r="B121" i="9"/>
  <c r="H119" i="9"/>
  <c r="H118" i="9"/>
  <c r="H117" i="9"/>
  <c r="H116" i="9"/>
  <c r="H115" i="9"/>
  <c r="B114" i="9"/>
  <c r="A114" i="9"/>
  <c r="H113" i="9"/>
  <c r="A113" i="9"/>
  <c r="H112" i="9"/>
  <c r="B112" i="9"/>
  <c r="A112" i="9"/>
  <c r="B101" i="9"/>
  <c r="H99" i="9"/>
  <c r="H98" i="9"/>
  <c r="H97" i="9"/>
  <c r="H96" i="9"/>
  <c r="H95" i="9"/>
  <c r="B94" i="9"/>
  <c r="A94" i="9"/>
  <c r="H93" i="9"/>
  <c r="A93" i="9"/>
  <c r="H92" i="9"/>
  <c r="B92" i="9"/>
  <c r="A92" i="9"/>
  <c r="B81" i="9"/>
  <c r="H79" i="9"/>
  <c r="H78" i="9"/>
  <c r="H77" i="9"/>
  <c r="H76" i="9"/>
  <c r="H75" i="9"/>
  <c r="B74" i="9"/>
  <c r="A74" i="9"/>
  <c r="H73" i="9"/>
  <c r="A73" i="9"/>
  <c r="H72" i="9"/>
  <c r="B72" i="9"/>
  <c r="A72" i="9"/>
  <c r="B61" i="9"/>
  <c r="A61" i="9"/>
  <c r="H59" i="9"/>
  <c r="H58" i="9"/>
  <c r="H57" i="9"/>
  <c r="H56" i="9"/>
  <c r="H55" i="9"/>
  <c r="B54" i="9"/>
  <c r="A54" i="9"/>
  <c r="H53" i="9"/>
  <c r="A53" i="9"/>
  <c r="H52" i="9"/>
  <c r="B52" i="9"/>
  <c r="A52" i="9"/>
  <c r="B241" i="8"/>
  <c r="H239" i="8"/>
  <c r="H238" i="8"/>
  <c r="H237" i="8"/>
  <c r="H236" i="8"/>
  <c r="H235" i="8"/>
  <c r="B234" i="8"/>
  <c r="A234" i="8"/>
  <c r="H233" i="8"/>
  <c r="A233" i="8"/>
  <c r="H232" i="8"/>
  <c r="B232" i="8"/>
  <c r="A232" i="8"/>
  <c r="B221" i="8"/>
  <c r="H219" i="8"/>
  <c r="H218" i="8"/>
  <c r="H217" i="8"/>
  <c r="H216" i="8"/>
  <c r="H215" i="8"/>
  <c r="B214" i="8"/>
  <c r="A214" i="8"/>
  <c r="H213" i="8"/>
  <c r="A213" i="8"/>
  <c r="H212" i="8"/>
  <c r="B212" i="8"/>
  <c r="A212" i="8"/>
  <c r="B201" i="8"/>
  <c r="H199" i="8"/>
  <c r="H198" i="8"/>
  <c r="H197" i="8"/>
  <c r="H196" i="8"/>
  <c r="H195" i="8"/>
  <c r="B194" i="8"/>
  <c r="A194" i="8"/>
  <c r="H193" i="8"/>
  <c r="A193" i="8"/>
  <c r="H192" i="8"/>
  <c r="B192" i="8"/>
  <c r="A192" i="8"/>
  <c r="B181" i="8"/>
  <c r="H179" i="8"/>
  <c r="H178" i="8"/>
  <c r="H177" i="8"/>
  <c r="H176" i="8"/>
  <c r="H175" i="8"/>
  <c r="B174" i="8"/>
  <c r="A174" i="8"/>
  <c r="H173" i="8"/>
  <c r="A173" i="8"/>
  <c r="H172" i="8"/>
  <c r="B172" i="8"/>
  <c r="A172" i="8"/>
  <c r="B161" i="8"/>
  <c r="H159" i="8"/>
  <c r="H158" i="8"/>
  <c r="H157" i="8"/>
  <c r="H156" i="8"/>
  <c r="H155" i="8"/>
  <c r="B154" i="8"/>
  <c r="A154" i="8"/>
  <c r="H153" i="8"/>
  <c r="A153" i="8"/>
  <c r="H152" i="8"/>
  <c r="B152" i="8"/>
  <c r="A152" i="8"/>
  <c r="B141" i="8"/>
  <c r="H139" i="8"/>
  <c r="H138" i="8"/>
  <c r="H137" i="8"/>
  <c r="H136" i="8"/>
  <c r="H135" i="8"/>
  <c r="B134" i="8"/>
  <c r="A134" i="8"/>
  <c r="H133" i="8"/>
  <c r="A133" i="8"/>
  <c r="H132" i="8"/>
  <c r="B132" i="8"/>
  <c r="A132" i="8"/>
  <c r="B121" i="8"/>
  <c r="H119" i="8"/>
  <c r="H118" i="8"/>
  <c r="H117" i="8"/>
  <c r="H116" i="8"/>
  <c r="H115" i="8"/>
  <c r="B114" i="8"/>
  <c r="A114" i="8"/>
  <c r="H113" i="8"/>
  <c r="A113" i="8"/>
  <c r="H112" i="8"/>
  <c r="B112" i="8"/>
  <c r="A112" i="8"/>
  <c r="B101" i="8"/>
  <c r="H99" i="8"/>
  <c r="H98" i="8"/>
  <c r="H97" i="8"/>
  <c r="H96" i="8"/>
  <c r="H95" i="8"/>
  <c r="B94" i="8"/>
  <c r="A94" i="8"/>
  <c r="H93" i="8"/>
  <c r="A93" i="8"/>
  <c r="H92" i="8"/>
  <c r="B92" i="8"/>
  <c r="A92" i="8"/>
  <c r="B81" i="8"/>
  <c r="H79" i="8"/>
  <c r="H78" i="8"/>
  <c r="H77" i="8"/>
  <c r="H76" i="8"/>
  <c r="H75" i="8"/>
  <c r="B74" i="8"/>
  <c r="A74" i="8"/>
  <c r="H73" i="8"/>
  <c r="A73" i="8"/>
  <c r="H72" i="8"/>
  <c r="B72" i="8"/>
  <c r="A72" i="8"/>
  <c r="B61" i="8"/>
  <c r="A61" i="8"/>
  <c r="H59" i="8"/>
  <c r="H58" i="8"/>
  <c r="H57" i="8"/>
  <c r="H56" i="8"/>
  <c r="H55" i="8"/>
  <c r="B54" i="8"/>
  <c r="A54" i="8"/>
  <c r="H53" i="8"/>
  <c r="A53" i="8"/>
  <c r="H52" i="8"/>
  <c r="B52" i="8"/>
  <c r="A52" i="8"/>
  <c r="B241" i="7"/>
  <c r="H239" i="7"/>
  <c r="H238" i="7"/>
  <c r="H237" i="7"/>
  <c r="H236" i="7"/>
  <c r="H235" i="7"/>
  <c r="B234" i="7"/>
  <c r="A234" i="7"/>
  <c r="H233" i="7"/>
  <c r="B233" i="7"/>
  <c r="A233" i="7"/>
  <c r="H232" i="7"/>
  <c r="B232" i="7"/>
  <c r="A232" i="7"/>
  <c r="B221" i="7"/>
  <c r="H219" i="7"/>
  <c r="H218" i="7"/>
  <c r="H217" i="7"/>
  <c r="H216" i="7"/>
  <c r="H215" i="7"/>
  <c r="B214" i="7"/>
  <c r="A214" i="7"/>
  <c r="H213" i="7"/>
  <c r="B213" i="7"/>
  <c r="A213" i="7"/>
  <c r="H212" i="7"/>
  <c r="B212" i="7"/>
  <c r="A212" i="7"/>
  <c r="B201" i="7"/>
  <c r="H199" i="7"/>
  <c r="H198" i="7"/>
  <c r="H197" i="7"/>
  <c r="H196" i="7"/>
  <c r="H195" i="7"/>
  <c r="B194" i="7"/>
  <c r="A194" i="7"/>
  <c r="H193" i="7"/>
  <c r="B193" i="7"/>
  <c r="A193" i="7"/>
  <c r="H192" i="7"/>
  <c r="B192" i="7"/>
  <c r="A192" i="7"/>
  <c r="B181" i="7"/>
  <c r="H179" i="7"/>
  <c r="H178" i="7"/>
  <c r="H177" i="7"/>
  <c r="H176" i="7"/>
  <c r="H175" i="7"/>
  <c r="B174" i="7"/>
  <c r="A174" i="7"/>
  <c r="H173" i="7"/>
  <c r="B173" i="7"/>
  <c r="A173" i="7"/>
  <c r="H172" i="7"/>
  <c r="B172" i="7"/>
  <c r="A172" i="7"/>
  <c r="B161" i="7"/>
  <c r="H159" i="7"/>
  <c r="H158" i="7"/>
  <c r="H157" i="7"/>
  <c r="H156" i="7"/>
  <c r="H155" i="7"/>
  <c r="B154" i="7"/>
  <c r="A154" i="7"/>
  <c r="H153" i="7"/>
  <c r="B153" i="7"/>
  <c r="A153" i="7"/>
  <c r="H152" i="7"/>
  <c r="B152" i="7"/>
  <c r="A152" i="7"/>
  <c r="B141" i="7"/>
  <c r="H139" i="7"/>
  <c r="H138" i="7"/>
  <c r="H137" i="7"/>
  <c r="H136" i="7"/>
  <c r="H135" i="7"/>
  <c r="B134" i="7"/>
  <c r="A134" i="7"/>
  <c r="H133" i="7"/>
  <c r="B133" i="7"/>
  <c r="A133" i="7"/>
  <c r="H132" i="7"/>
  <c r="B132" i="7"/>
  <c r="A132" i="7"/>
  <c r="B121" i="7"/>
  <c r="H119" i="7"/>
  <c r="H118" i="7"/>
  <c r="H117" i="7"/>
  <c r="H116" i="7"/>
  <c r="H115" i="7"/>
  <c r="B114" i="7"/>
  <c r="A114" i="7"/>
  <c r="H113" i="7"/>
  <c r="B113" i="7"/>
  <c r="A113" i="7"/>
  <c r="H112" i="7"/>
  <c r="B112" i="7"/>
  <c r="A112" i="7"/>
  <c r="B101" i="7"/>
  <c r="H99" i="7"/>
  <c r="H98" i="7"/>
  <c r="H97" i="7"/>
  <c r="H96" i="7"/>
  <c r="H95" i="7"/>
  <c r="B94" i="7"/>
  <c r="A94" i="7"/>
  <c r="H93" i="7"/>
  <c r="B93" i="7"/>
  <c r="A93" i="7"/>
  <c r="H92" i="7"/>
  <c r="B92" i="7"/>
  <c r="A92" i="7"/>
  <c r="B81" i="7"/>
  <c r="H79" i="7"/>
  <c r="H78" i="7"/>
  <c r="H77" i="7"/>
  <c r="H76" i="7"/>
  <c r="H75" i="7"/>
  <c r="B74" i="7"/>
  <c r="A74" i="7"/>
  <c r="H73" i="7"/>
  <c r="B73" i="7"/>
  <c r="A73" i="7"/>
  <c r="H72" i="7"/>
  <c r="B72" i="7"/>
  <c r="A72" i="7"/>
  <c r="B61" i="7"/>
  <c r="A61" i="7"/>
  <c r="H59" i="7"/>
  <c r="H58" i="7"/>
  <c r="H57" i="7"/>
  <c r="H56" i="7"/>
  <c r="H55" i="7"/>
  <c r="B54" i="7"/>
  <c r="A54" i="7"/>
  <c r="H53" i="7"/>
  <c r="B53" i="7"/>
  <c r="A53" i="7"/>
  <c r="H52" i="7"/>
  <c r="B52" i="7"/>
  <c r="A52" i="7"/>
  <c r="B241" i="3"/>
  <c r="H239" i="3"/>
  <c r="H238" i="3"/>
  <c r="H237" i="3"/>
  <c r="H236" i="3"/>
  <c r="H235" i="3"/>
  <c r="B234" i="3"/>
  <c r="A234" i="3"/>
  <c r="H233" i="3"/>
  <c r="B233" i="3"/>
  <c r="A233" i="3"/>
  <c r="H232" i="3"/>
  <c r="B232" i="3"/>
  <c r="A232" i="3"/>
  <c r="B221" i="3"/>
  <c r="H219" i="3"/>
  <c r="H218" i="3"/>
  <c r="H217" i="3"/>
  <c r="H216" i="3"/>
  <c r="H215" i="3"/>
  <c r="B214" i="3"/>
  <c r="A214" i="3"/>
  <c r="H213" i="3"/>
  <c r="B213" i="3"/>
  <c r="A213" i="3"/>
  <c r="H212" i="3"/>
  <c r="B212" i="3"/>
  <c r="A212" i="3"/>
  <c r="B201" i="3"/>
  <c r="H199" i="3"/>
  <c r="H198" i="3"/>
  <c r="H197" i="3"/>
  <c r="H196" i="3"/>
  <c r="H195" i="3"/>
  <c r="B194" i="3"/>
  <c r="A194" i="3"/>
  <c r="H193" i="3"/>
  <c r="B193" i="3"/>
  <c r="A193" i="3"/>
  <c r="H192" i="3"/>
  <c r="B192" i="3"/>
  <c r="A192" i="3"/>
  <c r="B181" i="3"/>
  <c r="H179" i="3"/>
  <c r="H178" i="3"/>
  <c r="H177" i="3"/>
  <c r="H176" i="3"/>
  <c r="H175" i="3"/>
  <c r="B174" i="3"/>
  <c r="A174" i="3"/>
  <c r="H173" i="3"/>
  <c r="B173" i="3"/>
  <c r="A173" i="3"/>
  <c r="H172" i="3"/>
  <c r="B172" i="3"/>
  <c r="A172" i="3"/>
  <c r="B161" i="3"/>
  <c r="H159" i="3"/>
  <c r="H158" i="3"/>
  <c r="H157" i="3"/>
  <c r="H156" i="3"/>
  <c r="H155" i="3"/>
  <c r="B154" i="3"/>
  <c r="A154" i="3"/>
  <c r="H153" i="3"/>
  <c r="B153" i="3"/>
  <c r="A153" i="3"/>
  <c r="H152" i="3"/>
  <c r="B152" i="3"/>
  <c r="A152" i="3"/>
  <c r="B141" i="3"/>
  <c r="H139" i="3"/>
  <c r="H138" i="3"/>
  <c r="H137" i="3"/>
  <c r="H136" i="3"/>
  <c r="H135" i="3"/>
  <c r="B134" i="3"/>
  <c r="A134" i="3"/>
  <c r="H133" i="3"/>
  <c r="B133" i="3"/>
  <c r="A133" i="3"/>
  <c r="H132" i="3"/>
  <c r="B132" i="3"/>
  <c r="A132" i="3"/>
  <c r="B121" i="3"/>
  <c r="H119" i="3"/>
  <c r="H118" i="3"/>
  <c r="H117" i="3"/>
  <c r="H116" i="3"/>
  <c r="H115" i="3"/>
  <c r="B114" i="3"/>
  <c r="A114" i="3"/>
  <c r="H113" i="3"/>
  <c r="B113" i="3"/>
  <c r="A113" i="3"/>
  <c r="H112" i="3"/>
  <c r="B112" i="3"/>
  <c r="A112" i="3"/>
  <c r="B101" i="3"/>
  <c r="H99" i="3"/>
  <c r="H98" i="3"/>
  <c r="H97" i="3"/>
  <c r="H96" i="3"/>
  <c r="H95" i="3"/>
  <c r="B94" i="3"/>
  <c r="A94" i="3"/>
  <c r="H93" i="3"/>
  <c r="B93" i="3"/>
  <c r="A93" i="3"/>
  <c r="H92" i="3"/>
  <c r="B92" i="3"/>
  <c r="A92" i="3"/>
  <c r="B81" i="3"/>
  <c r="H79" i="3"/>
  <c r="H78" i="3"/>
  <c r="H77" i="3"/>
  <c r="H76" i="3"/>
  <c r="H75" i="3"/>
  <c r="B74" i="3"/>
  <c r="A74" i="3"/>
  <c r="H73" i="3"/>
  <c r="B73" i="3"/>
  <c r="A73" i="3"/>
  <c r="H72" i="3"/>
  <c r="B72" i="3"/>
  <c r="A72" i="3"/>
  <c r="B61" i="3"/>
  <c r="A61" i="3"/>
  <c r="H59" i="3"/>
  <c r="H58" i="3"/>
  <c r="H57" i="3"/>
  <c r="H56" i="3"/>
  <c r="H55" i="3"/>
  <c r="B54" i="3"/>
  <c r="A54" i="3"/>
  <c r="H53" i="3"/>
  <c r="B53" i="3"/>
  <c r="A53" i="3"/>
  <c r="H52" i="3"/>
  <c r="B52" i="3"/>
  <c r="A52" i="3"/>
  <c r="E26" i="3"/>
  <c r="E25" i="3"/>
  <c r="O24" i="3"/>
  <c r="N24" i="3"/>
  <c r="M24" i="3"/>
  <c r="L24" i="3"/>
  <c r="K24" i="3"/>
  <c r="J24" i="3"/>
  <c r="I24" i="3"/>
  <c r="H24" i="3"/>
  <c r="G24" i="3"/>
  <c r="F24" i="3"/>
  <c r="E24" i="3"/>
  <c r="G23" i="3"/>
  <c r="F23" i="3"/>
  <c r="E23" i="3"/>
  <c r="R20" i="3"/>
  <c r="R21" i="3" s="1"/>
  <c r="R22" i="3" s="1"/>
  <c r="R19" i="3"/>
  <c r="S19" i="3" s="1"/>
  <c r="T19" i="3" s="1"/>
  <c r="U19" i="3" s="1"/>
  <c r="V19" i="3" s="1"/>
  <c r="W19" i="3" s="1"/>
  <c r="X19" i="3" s="1"/>
  <c r="Y19" i="3" s="1"/>
  <c r="Z19" i="3" s="1"/>
  <c r="AA19" i="3" s="1"/>
  <c r="R18" i="3"/>
  <c r="S18" i="3" s="1"/>
  <c r="T18" i="3" s="1"/>
  <c r="U18" i="3" s="1"/>
  <c r="V18" i="3" s="1"/>
  <c r="W18" i="3" s="1"/>
  <c r="X18" i="3" s="1"/>
  <c r="Y18" i="3" s="1"/>
  <c r="Z18" i="3" s="1"/>
  <c r="AA18" i="3" s="1"/>
  <c r="R17" i="3"/>
  <c r="S17" i="3" s="1"/>
  <c r="T17" i="3" s="1"/>
  <c r="U17" i="3" s="1"/>
  <c r="V17" i="3" s="1"/>
  <c r="W17" i="3" s="1"/>
  <c r="X17" i="3" s="1"/>
  <c r="Y17" i="3" s="1"/>
  <c r="Z17" i="3" s="1"/>
  <c r="AA17" i="3" s="1"/>
  <c r="R16" i="3"/>
  <c r="S16" i="3" s="1"/>
  <c r="T16" i="3" s="1"/>
  <c r="U16" i="3" s="1"/>
  <c r="V16" i="3" s="1"/>
  <c r="W16" i="3" s="1"/>
  <c r="X16" i="3" s="1"/>
  <c r="Y16" i="3" s="1"/>
  <c r="Z16" i="3" s="1"/>
  <c r="AA16" i="3" s="1"/>
  <c r="R15" i="3"/>
  <c r="S15" i="3" s="1"/>
  <c r="T15" i="3" s="1"/>
  <c r="U15" i="3" s="1"/>
  <c r="V15" i="3" s="1"/>
  <c r="W15" i="3" s="1"/>
  <c r="X15" i="3" s="1"/>
  <c r="Y15" i="3" s="1"/>
  <c r="Z15" i="3" s="1"/>
  <c r="AA15" i="3" s="1"/>
  <c r="R14" i="3"/>
  <c r="S14" i="3" s="1"/>
  <c r="T14" i="3" s="1"/>
  <c r="U14" i="3" s="1"/>
  <c r="V14" i="3" s="1"/>
  <c r="W14" i="3" s="1"/>
  <c r="X14" i="3" s="1"/>
  <c r="Y14" i="3" s="1"/>
  <c r="Z14" i="3" s="1"/>
  <c r="AA14" i="3" s="1"/>
  <c r="R13" i="3"/>
  <c r="S13" i="3" s="1"/>
  <c r="T13" i="3" s="1"/>
  <c r="U13" i="3" s="1"/>
  <c r="V13" i="3" s="1"/>
  <c r="W13" i="3" s="1"/>
  <c r="X13" i="3" s="1"/>
  <c r="Y13" i="3" s="1"/>
  <c r="Z13" i="3" s="1"/>
  <c r="AA13" i="3" s="1"/>
  <c r="R9" i="3"/>
  <c r="R10" i="3" s="1"/>
  <c r="R11" i="3" s="1"/>
  <c r="R8" i="3"/>
  <c r="S8" i="3" s="1"/>
  <c r="T8" i="3" s="1"/>
  <c r="U8" i="3" s="1"/>
  <c r="V8" i="3" s="1"/>
  <c r="W8" i="3" s="1"/>
  <c r="X8" i="3" s="1"/>
  <c r="Y8" i="3" s="1"/>
  <c r="Z8" i="3" s="1"/>
  <c r="AA8" i="3" s="1"/>
  <c r="R7" i="3"/>
  <c r="S7" i="3" s="1"/>
  <c r="T7" i="3" s="1"/>
  <c r="U7" i="3" s="1"/>
  <c r="V7" i="3" s="1"/>
  <c r="W7" i="3" s="1"/>
  <c r="X7" i="3" s="1"/>
  <c r="Y7" i="3" s="1"/>
  <c r="Z7" i="3" s="1"/>
  <c r="AA7" i="3" s="1"/>
  <c r="R6" i="3"/>
  <c r="S6" i="3" s="1"/>
  <c r="T6" i="3" s="1"/>
  <c r="U6" i="3" s="1"/>
  <c r="V6" i="3" s="1"/>
  <c r="W6" i="3" s="1"/>
  <c r="X6" i="3" s="1"/>
  <c r="Y6" i="3" s="1"/>
  <c r="Z6" i="3" s="1"/>
  <c r="AA6" i="3" s="1"/>
  <c r="R5" i="3"/>
  <c r="S5" i="3" s="1"/>
  <c r="T5" i="3" s="1"/>
  <c r="U5" i="3" s="1"/>
  <c r="V5" i="3" s="1"/>
  <c r="W5" i="3" s="1"/>
  <c r="X5" i="3" s="1"/>
  <c r="Y5" i="3" s="1"/>
  <c r="Z5" i="3" s="1"/>
  <c r="AA5" i="3" s="1"/>
  <c r="R4" i="3"/>
  <c r="S4" i="3" s="1"/>
  <c r="T4" i="3" s="1"/>
  <c r="U4" i="3" s="1"/>
  <c r="V4" i="3" s="1"/>
  <c r="W4" i="3" s="1"/>
  <c r="X4" i="3" s="1"/>
  <c r="Y4" i="3" s="1"/>
  <c r="Z4" i="3" s="1"/>
  <c r="AA4" i="3" s="1"/>
  <c r="R3" i="3"/>
  <c r="S3" i="3" s="1"/>
  <c r="T3" i="3" s="1"/>
  <c r="U3" i="3" s="1"/>
  <c r="V3" i="3" s="1"/>
  <c r="W3" i="3" s="1"/>
  <c r="X3" i="3" s="1"/>
  <c r="Y3" i="3" s="1"/>
  <c r="Z3" i="3" s="1"/>
  <c r="AA3" i="3" s="1"/>
  <c r="R2" i="3"/>
  <c r="S2" i="3" s="1"/>
  <c r="T2" i="3" s="1"/>
  <c r="U2" i="3" s="1"/>
  <c r="V2" i="3" s="1"/>
  <c r="W2" i="3" s="1"/>
  <c r="X2" i="3" s="1"/>
  <c r="Y2" i="3" s="1"/>
  <c r="Z2" i="3" s="1"/>
  <c r="AA2" i="3" s="1"/>
  <c r="B241" i="1"/>
  <c r="H239" i="1"/>
  <c r="H238" i="1"/>
  <c r="H237" i="1"/>
  <c r="H236" i="1"/>
  <c r="H235" i="1"/>
  <c r="B234" i="1"/>
  <c r="A234" i="1"/>
  <c r="H233" i="1"/>
  <c r="B233" i="1"/>
  <c r="A233" i="1"/>
  <c r="H232" i="1"/>
  <c r="B232" i="1"/>
  <c r="A232" i="1"/>
  <c r="B221" i="1"/>
  <c r="H219" i="1"/>
  <c r="H218" i="1"/>
  <c r="H217" i="1"/>
  <c r="H216" i="1"/>
  <c r="H215" i="1"/>
  <c r="B214" i="1"/>
  <c r="A214" i="1"/>
  <c r="H213" i="1"/>
  <c r="B213" i="1"/>
  <c r="A213" i="1"/>
  <c r="H212" i="1"/>
  <c r="B212" i="1"/>
  <c r="A212" i="1"/>
  <c r="B201" i="1"/>
  <c r="H199" i="1"/>
  <c r="H198" i="1"/>
  <c r="H197" i="1"/>
  <c r="H196" i="1"/>
  <c r="H195" i="1"/>
  <c r="B194" i="1"/>
  <c r="A194" i="1"/>
  <c r="H193" i="1"/>
  <c r="B193" i="1"/>
  <c r="A193" i="1"/>
  <c r="H192" i="1"/>
  <c r="B192" i="1"/>
  <c r="A192" i="1"/>
  <c r="B181" i="1"/>
  <c r="H179" i="1"/>
  <c r="H178" i="1"/>
  <c r="H177" i="1"/>
  <c r="H176" i="1"/>
  <c r="H175" i="1"/>
  <c r="B174" i="1"/>
  <c r="A174" i="1"/>
  <c r="H173" i="1"/>
  <c r="B173" i="1"/>
  <c r="A173" i="1"/>
  <c r="H172" i="1"/>
  <c r="B172" i="1"/>
  <c r="A172" i="1"/>
  <c r="B161" i="1"/>
  <c r="H159" i="1"/>
  <c r="H158" i="1"/>
  <c r="H157" i="1"/>
  <c r="H156" i="1"/>
  <c r="H155" i="1"/>
  <c r="B154" i="1"/>
  <c r="A154" i="1"/>
  <c r="H153" i="1"/>
  <c r="B153" i="1"/>
  <c r="A153" i="1"/>
  <c r="H152" i="1"/>
  <c r="B152" i="1"/>
  <c r="A152" i="1"/>
  <c r="B141" i="1"/>
  <c r="H139" i="1"/>
  <c r="H138" i="1"/>
  <c r="H137" i="1"/>
  <c r="H136" i="1"/>
  <c r="H135" i="1"/>
  <c r="B134" i="1"/>
  <c r="A134" i="1"/>
  <c r="H133" i="1"/>
  <c r="B133" i="1"/>
  <c r="A133" i="1"/>
  <c r="H132" i="1"/>
  <c r="B132" i="1"/>
  <c r="A132" i="1"/>
  <c r="B121" i="1"/>
  <c r="H119" i="1"/>
  <c r="H118" i="1"/>
  <c r="H117" i="1"/>
  <c r="H116" i="1"/>
  <c r="H115" i="1"/>
  <c r="B114" i="1"/>
  <c r="A114" i="1"/>
  <c r="H113" i="1"/>
  <c r="B113" i="1"/>
  <c r="A113" i="1"/>
  <c r="H112" i="1"/>
  <c r="B112" i="1"/>
  <c r="A112" i="1"/>
  <c r="B101" i="1"/>
  <c r="H99" i="1"/>
  <c r="H98" i="1"/>
  <c r="H97" i="1"/>
  <c r="H96" i="1"/>
  <c r="H95" i="1"/>
  <c r="B94" i="1"/>
  <c r="A94" i="1"/>
  <c r="H93" i="1"/>
  <c r="B93" i="1"/>
  <c r="A93" i="1"/>
  <c r="H92" i="1"/>
  <c r="B92" i="1"/>
  <c r="A92" i="1"/>
  <c r="B81" i="1"/>
  <c r="H79" i="1"/>
  <c r="H78" i="1"/>
  <c r="H77" i="1"/>
  <c r="H76" i="1"/>
  <c r="H75" i="1"/>
  <c r="B74" i="1"/>
  <c r="A74" i="1"/>
  <c r="H73" i="1"/>
  <c r="B73" i="1"/>
  <c r="A73" i="1"/>
  <c r="H72" i="1"/>
  <c r="B72" i="1"/>
  <c r="A72" i="1"/>
  <c r="G26" i="1"/>
  <c r="R23" i="8" l="1"/>
  <c r="F24" i="8" s="1"/>
  <c r="AL9" i="33"/>
  <c r="AK10" i="33"/>
  <c r="AK11" i="33" s="1"/>
  <c r="X10" i="33"/>
  <c r="X11" i="33" s="1"/>
  <c r="X23" i="33" s="1"/>
  <c r="L24" i="33" s="1"/>
  <c r="Y9" i="33"/>
  <c r="AA20" i="33"/>
  <c r="AA21" i="33" s="1"/>
  <c r="AA22" i="33" s="1"/>
  <c r="Z21" i="33"/>
  <c r="Z22" i="33" s="1"/>
  <c r="BI10" i="33"/>
  <c r="BI11" i="33" s="1"/>
  <c r="BJ9" i="33"/>
  <c r="AL21" i="33"/>
  <c r="AL22" i="33" s="1"/>
  <c r="AM20" i="33"/>
  <c r="AM21" i="33" s="1"/>
  <c r="AM22" i="33" s="1"/>
  <c r="N10" i="33"/>
  <c r="N11" i="33" s="1"/>
  <c r="N23" i="33" s="1"/>
  <c r="O9" i="33"/>
  <c r="O10" i="33" s="1"/>
  <c r="O11" i="33" s="1"/>
  <c r="O23" i="33" s="1"/>
  <c r="BJ20" i="33"/>
  <c r="BI21" i="33"/>
  <c r="BI22" i="33" s="1"/>
  <c r="BI23" i="33" s="1"/>
  <c r="M27" i="33" s="1"/>
  <c r="AX9" i="33"/>
  <c r="AW10" i="33"/>
  <c r="AW11" i="33" s="1"/>
  <c r="AK23" i="33"/>
  <c r="M25" i="33" s="1"/>
  <c r="AV21" i="33"/>
  <c r="AV22" i="33" s="1"/>
  <c r="AV23" i="33" s="1"/>
  <c r="L26" i="33" s="1"/>
  <c r="AW20" i="33"/>
  <c r="AW21" i="32"/>
  <c r="AW22" i="32" s="1"/>
  <c r="AX20" i="32"/>
  <c r="AA20" i="32"/>
  <c r="AA21" i="32" s="1"/>
  <c r="AA22" i="32" s="1"/>
  <c r="Z21" i="32"/>
  <c r="Z22" i="32" s="1"/>
  <c r="AW9" i="32"/>
  <c r="AV10" i="32"/>
  <c r="AV11" i="32" s="1"/>
  <c r="Y10" i="32"/>
  <c r="Y11" i="32" s="1"/>
  <c r="Z9" i="32"/>
  <c r="AV23" i="32"/>
  <c r="L26" i="32" s="1"/>
  <c r="L21" i="32"/>
  <c r="L22" i="32" s="1"/>
  <c r="L23" i="32" s="1"/>
  <c r="M20" i="32"/>
  <c r="AL10" i="32"/>
  <c r="AL11" i="32" s="1"/>
  <c r="AM9" i="32"/>
  <c r="AM10" i="32" s="1"/>
  <c r="AM11" i="32" s="1"/>
  <c r="BJ20" i="32"/>
  <c r="BI21" i="32"/>
  <c r="BI22" i="32" s="1"/>
  <c r="BI23" i="32" s="1"/>
  <c r="M27" i="32" s="1"/>
  <c r="N9" i="32"/>
  <c r="M10" i="32"/>
  <c r="M11" i="32" s="1"/>
  <c r="AM23" i="32"/>
  <c r="O25" i="32" s="1"/>
  <c r="Y23" i="32"/>
  <c r="M24" i="32" s="1"/>
  <c r="AL23" i="32"/>
  <c r="N25" i="32" s="1"/>
  <c r="BK9" i="32"/>
  <c r="BK10" i="32" s="1"/>
  <c r="BK11" i="32" s="1"/>
  <c r="BJ10" i="32"/>
  <c r="BJ11" i="32" s="1"/>
  <c r="AY9" i="30"/>
  <c r="AY10" i="30" s="1"/>
  <c r="AY11" i="30" s="1"/>
  <c r="AX10" i="30"/>
  <c r="AX11" i="30" s="1"/>
  <c r="Y23" i="30"/>
  <c r="M24" i="30" s="1"/>
  <c r="AM9" i="30"/>
  <c r="AM10" i="30" s="1"/>
  <c r="AM11" i="30" s="1"/>
  <c r="AM23" i="30" s="1"/>
  <c r="O25" i="30" s="1"/>
  <c r="AL10" i="30"/>
  <c r="AL11" i="30" s="1"/>
  <c r="AL23" i="30" s="1"/>
  <c r="N25" i="30" s="1"/>
  <c r="AA20" i="30"/>
  <c r="AA21" i="30" s="1"/>
  <c r="AA22" i="30" s="1"/>
  <c r="Z21" i="30"/>
  <c r="Z22" i="30" s="1"/>
  <c r="AW21" i="30"/>
  <c r="AW22" i="30" s="1"/>
  <c r="AW23" i="30" s="1"/>
  <c r="M26" i="30" s="1"/>
  <c r="AX20" i="30"/>
  <c r="BJ20" i="30"/>
  <c r="BI21" i="30"/>
  <c r="BI22" i="30" s="1"/>
  <c r="Z10" i="30"/>
  <c r="Z11" i="30" s="1"/>
  <c r="AA9" i="30"/>
  <c r="AA10" i="30" s="1"/>
  <c r="AA11" i="30" s="1"/>
  <c r="BJ9" i="30"/>
  <c r="BI10" i="30"/>
  <c r="BI11" i="30" s="1"/>
  <c r="AW9" i="29"/>
  <c r="AV10" i="29"/>
  <c r="AV11" i="29" s="1"/>
  <c r="AK9" i="29"/>
  <c r="AJ10" i="29"/>
  <c r="AJ11" i="29" s="1"/>
  <c r="AJ23" i="29" s="1"/>
  <c r="L25" i="29" s="1"/>
  <c r="BH10" i="29"/>
  <c r="BH11" i="29" s="1"/>
  <c r="BI9" i="29"/>
  <c r="AV21" i="29"/>
  <c r="AV22" i="29" s="1"/>
  <c r="AV23" i="29" s="1"/>
  <c r="L26" i="29" s="1"/>
  <c r="AW20" i="29"/>
  <c r="AL20" i="29"/>
  <c r="AK21" i="29"/>
  <c r="AK22" i="29" s="1"/>
  <c r="L21" i="29"/>
  <c r="L22" i="29" s="1"/>
  <c r="L23" i="29" s="1"/>
  <c r="M20" i="29"/>
  <c r="AA9" i="29"/>
  <c r="AA10" i="29" s="1"/>
  <c r="AA11" i="29" s="1"/>
  <c r="Z10" i="29"/>
  <c r="Z11" i="29" s="1"/>
  <c r="K23" i="29"/>
  <c r="L10" i="29"/>
  <c r="L11" i="29" s="1"/>
  <c r="M9" i="29"/>
  <c r="BH23" i="29"/>
  <c r="L27" i="29" s="1"/>
  <c r="Z20" i="29"/>
  <c r="Y21" i="29"/>
  <c r="Y22" i="29" s="1"/>
  <c r="Y23" i="29" s="1"/>
  <c r="M24" i="29" s="1"/>
  <c r="BJ20" i="29"/>
  <c r="BI21" i="29"/>
  <c r="BI22" i="29" s="1"/>
  <c r="R23" i="11"/>
  <c r="F24" i="11" s="1"/>
  <c r="K9" i="20"/>
  <c r="J10" i="20"/>
  <c r="J11" i="20" s="1"/>
  <c r="AG23" i="24"/>
  <c r="I25" i="24" s="1"/>
  <c r="BI10" i="24"/>
  <c r="BI11" i="24" s="1"/>
  <c r="BJ9" i="24"/>
  <c r="L10" i="24"/>
  <c r="L11" i="24" s="1"/>
  <c r="M9" i="24"/>
  <c r="BF21" i="24"/>
  <c r="BF22" i="24" s="1"/>
  <c r="BF23" i="24" s="1"/>
  <c r="J27" i="24" s="1"/>
  <c r="BG20" i="24"/>
  <c r="AH21" i="24"/>
  <c r="AH22" i="24" s="1"/>
  <c r="AI20" i="24"/>
  <c r="W10" i="24"/>
  <c r="W11" i="24" s="1"/>
  <c r="X9" i="24"/>
  <c r="K14" i="24"/>
  <c r="J21" i="24"/>
  <c r="J22" i="24" s="1"/>
  <c r="J23" i="24" s="1"/>
  <c r="M20" i="24"/>
  <c r="AT20" i="24"/>
  <c r="AS21" i="24"/>
  <c r="AS22" i="24" s="1"/>
  <c r="AS23" i="24" s="1"/>
  <c r="I26" i="24" s="1"/>
  <c r="AU9" i="24"/>
  <c r="AT10" i="24"/>
  <c r="AT11" i="24" s="1"/>
  <c r="AH10" i="24"/>
  <c r="AH11" i="24" s="1"/>
  <c r="AI9" i="24"/>
  <c r="V21" i="24"/>
  <c r="V22" i="24" s="1"/>
  <c r="V23" i="24" s="1"/>
  <c r="J24" i="24" s="1"/>
  <c r="T23" i="20"/>
  <c r="H24" i="20" s="1"/>
  <c r="U21" i="20"/>
  <c r="U22" i="20" s="1"/>
  <c r="V20" i="20"/>
  <c r="AH10" i="20"/>
  <c r="AH11" i="20" s="1"/>
  <c r="AH23" i="20" s="1"/>
  <c r="J25" i="20" s="1"/>
  <c r="AI9" i="20"/>
  <c r="BI9" i="20"/>
  <c r="BH10" i="20"/>
  <c r="BH11" i="20" s="1"/>
  <c r="AI21" i="20"/>
  <c r="AI22" i="20" s="1"/>
  <c r="AJ20" i="20"/>
  <c r="U10" i="20"/>
  <c r="U11" i="20" s="1"/>
  <c r="V9" i="20"/>
  <c r="AS10" i="20"/>
  <c r="AS11" i="20" s="1"/>
  <c r="AT9" i="20"/>
  <c r="BG21" i="20"/>
  <c r="BG22" i="20" s="1"/>
  <c r="BG23" i="20" s="1"/>
  <c r="K27" i="20" s="1"/>
  <c r="BH20" i="20"/>
  <c r="K21" i="20"/>
  <c r="K22" i="20" s="1"/>
  <c r="J23" i="20"/>
  <c r="AS21" i="20"/>
  <c r="AS22" i="20" s="1"/>
  <c r="AT20" i="20"/>
  <c r="AR23" i="14"/>
  <c r="BF20" i="14"/>
  <c r="BE21" i="14"/>
  <c r="BE22" i="14" s="1"/>
  <c r="AS10" i="14"/>
  <c r="AS11" i="14" s="1"/>
  <c r="AT9" i="14"/>
  <c r="AS21" i="14"/>
  <c r="AS22" i="14" s="1"/>
  <c r="AT20" i="14"/>
  <c r="AE10" i="14"/>
  <c r="AE11" i="14" s="1"/>
  <c r="AE23" i="14" s="1"/>
  <c r="BF9" i="14"/>
  <c r="BE10" i="14"/>
  <c r="BE11" i="14" s="1"/>
  <c r="AG9" i="14"/>
  <c r="AF10" i="14"/>
  <c r="AF11" i="14" s="1"/>
  <c r="AG20" i="14"/>
  <c r="AF21" i="14"/>
  <c r="AF22" i="14" s="1"/>
  <c r="AF23" i="14" s="1"/>
  <c r="AG9" i="13"/>
  <c r="AF10" i="13"/>
  <c r="AF11" i="13" s="1"/>
  <c r="AE23" i="13"/>
  <c r="BG20" i="13"/>
  <c r="BF21" i="13"/>
  <c r="BF22" i="13" s="1"/>
  <c r="AG20" i="13"/>
  <c r="AF21" i="13"/>
  <c r="AF22" i="13" s="1"/>
  <c r="AF23" i="13" s="1"/>
  <c r="AV9" i="13"/>
  <c r="AU10" i="13"/>
  <c r="AU11" i="13" s="1"/>
  <c r="AR21" i="13"/>
  <c r="AR22" i="13" s="1"/>
  <c r="AR23" i="13" s="1"/>
  <c r="AS21" i="13"/>
  <c r="AS22" i="13" s="1"/>
  <c r="AS23" i="13" s="1"/>
  <c r="AT20" i="13"/>
  <c r="BG9" i="13"/>
  <c r="BF10" i="13"/>
  <c r="BF11" i="13" s="1"/>
  <c r="AT21" i="12"/>
  <c r="AT22" i="12" s="1"/>
  <c r="AU20" i="12"/>
  <c r="BB23" i="12"/>
  <c r="AG20" i="12"/>
  <c r="AF21" i="12"/>
  <c r="AF22" i="12" s="1"/>
  <c r="AS23" i="12"/>
  <c r="BE20" i="12"/>
  <c r="BD21" i="12"/>
  <c r="BD22" i="12" s="1"/>
  <c r="BD23" i="12" s="1"/>
  <c r="AP23" i="12"/>
  <c r="AT10" i="12"/>
  <c r="AT11" i="12" s="1"/>
  <c r="AU9" i="12"/>
  <c r="AG9" i="12"/>
  <c r="AF10" i="12"/>
  <c r="AF11" i="12" s="1"/>
  <c r="BG9" i="12"/>
  <c r="BF10" i="12"/>
  <c r="BF11" i="12" s="1"/>
  <c r="AS9" i="11"/>
  <c r="AR10" i="11"/>
  <c r="AR11" i="11" s="1"/>
  <c r="AG20" i="11"/>
  <c r="AF21" i="11"/>
  <c r="AF22" i="11" s="1"/>
  <c r="BD21" i="11"/>
  <c r="BD22" i="11" s="1"/>
  <c r="BD23" i="11" s="1"/>
  <c r="BE20" i="11"/>
  <c r="BC23" i="11"/>
  <c r="AG9" i="11"/>
  <c r="AF10" i="11"/>
  <c r="AF11" i="11" s="1"/>
  <c r="BG9" i="11"/>
  <c r="BF10" i="11"/>
  <c r="BF11" i="11" s="1"/>
  <c r="AQ23" i="11"/>
  <c r="AS20" i="11"/>
  <c r="AR21" i="11"/>
  <c r="AR22" i="11" s="1"/>
  <c r="AD23" i="10"/>
  <c r="BG9" i="10"/>
  <c r="BF10" i="10"/>
  <c r="BF11" i="10" s="1"/>
  <c r="AT10" i="10"/>
  <c r="AT11" i="10" s="1"/>
  <c r="AU9" i="10"/>
  <c r="BD21" i="10"/>
  <c r="BD22" i="10" s="1"/>
  <c r="BD23" i="10" s="1"/>
  <c r="BE20" i="10"/>
  <c r="AQ23" i="10"/>
  <c r="BC23" i="10"/>
  <c r="AE23" i="10"/>
  <c r="AT21" i="10"/>
  <c r="AT22" i="10" s="1"/>
  <c r="AT23" i="10" s="1"/>
  <c r="AU20" i="10"/>
  <c r="AR23" i="10"/>
  <c r="AG9" i="10"/>
  <c r="AF10" i="10"/>
  <c r="AF11" i="10" s="1"/>
  <c r="AS23" i="10"/>
  <c r="AG20" i="10"/>
  <c r="AF21" i="10"/>
  <c r="AF22" i="10" s="1"/>
  <c r="BE20" i="9"/>
  <c r="BD21" i="9"/>
  <c r="BD22" i="9" s="1"/>
  <c r="BD23" i="9" s="1"/>
  <c r="BE9" i="9"/>
  <c r="BD10" i="9"/>
  <c r="BD11" i="9" s="1"/>
  <c r="AE21" i="9"/>
  <c r="AE22" i="9" s="1"/>
  <c r="AE23" i="9" s="1"/>
  <c r="AG9" i="9"/>
  <c r="AF10" i="9"/>
  <c r="AF11" i="9" s="1"/>
  <c r="AG20" i="9"/>
  <c r="AF21" i="9"/>
  <c r="AF22" i="9" s="1"/>
  <c r="AS21" i="9"/>
  <c r="AS22" i="9" s="1"/>
  <c r="AT20" i="9"/>
  <c r="AP23" i="9"/>
  <c r="AS10" i="9"/>
  <c r="AS11" i="9" s="1"/>
  <c r="AT9" i="9"/>
  <c r="AG20" i="8"/>
  <c r="AF21" i="8"/>
  <c r="AF22" i="8" s="1"/>
  <c r="AF23" i="8" s="1"/>
  <c r="BE20" i="8"/>
  <c r="BD21" i="8"/>
  <c r="BD22" i="8" s="1"/>
  <c r="AE23" i="8"/>
  <c r="AH9" i="8"/>
  <c r="AG10" i="8"/>
  <c r="AG11" i="8" s="1"/>
  <c r="BD10" i="8"/>
  <c r="BD11" i="8" s="1"/>
  <c r="BE9" i="8"/>
  <c r="AS21" i="8"/>
  <c r="AS22" i="8" s="1"/>
  <c r="AT20" i="8"/>
  <c r="AS10" i="8"/>
  <c r="AS11" i="8" s="1"/>
  <c r="AT9" i="8"/>
  <c r="AR23" i="7"/>
  <c r="BE9" i="7"/>
  <c r="BD10" i="7"/>
  <c r="BD11" i="7" s="1"/>
  <c r="AS21" i="7"/>
  <c r="AS22" i="7" s="1"/>
  <c r="AS23" i="7" s="1"/>
  <c r="AT20" i="7"/>
  <c r="BB23" i="7"/>
  <c r="AG9" i="7"/>
  <c r="AF10" i="7"/>
  <c r="AF11" i="7" s="1"/>
  <c r="AS10" i="7"/>
  <c r="AS11" i="7" s="1"/>
  <c r="AT9" i="7"/>
  <c r="BE20" i="7"/>
  <c r="BD21" i="7"/>
  <c r="BD22" i="7" s="1"/>
  <c r="BD23" i="7" s="1"/>
  <c r="AG20" i="7"/>
  <c r="AF21" i="7"/>
  <c r="AF22" i="7" s="1"/>
  <c r="BE20" i="3"/>
  <c r="BD21" i="3"/>
  <c r="BD22" i="3" s="1"/>
  <c r="BD23" i="3" s="1"/>
  <c r="H27" i="3" s="1"/>
  <c r="AE23" i="3"/>
  <c r="G25" i="3" s="1"/>
  <c r="AG20" i="3"/>
  <c r="AF21" i="3"/>
  <c r="AF22" i="3" s="1"/>
  <c r="AF23" i="3" s="1"/>
  <c r="H25" i="3" s="1"/>
  <c r="AQ10" i="3"/>
  <c r="AQ11" i="3" s="1"/>
  <c r="AQ23" i="3" s="1"/>
  <c r="G26" i="3" s="1"/>
  <c r="BG9" i="3"/>
  <c r="BF10" i="3"/>
  <c r="BF11" i="3" s="1"/>
  <c r="BB23" i="3"/>
  <c r="F27" i="3" s="1"/>
  <c r="AU21" i="3"/>
  <c r="AU22" i="3" s="1"/>
  <c r="AV20" i="3"/>
  <c r="AG9" i="3"/>
  <c r="AF10" i="3"/>
  <c r="AF11" i="3" s="1"/>
  <c r="AR10" i="3"/>
  <c r="AR11" i="3" s="1"/>
  <c r="AR23" i="3" s="1"/>
  <c r="H26" i="3" s="1"/>
  <c r="AD23" i="3"/>
  <c r="F25" i="3" s="1"/>
  <c r="AP23" i="3"/>
  <c r="F26" i="3" s="1"/>
  <c r="AS10" i="3"/>
  <c r="AS11" i="3" s="1"/>
  <c r="AS23" i="3" s="1"/>
  <c r="I26" i="3" s="1"/>
  <c r="AT9" i="3"/>
  <c r="BE10" i="3"/>
  <c r="BE11" i="3" s="1"/>
  <c r="S10" i="8"/>
  <c r="S11" i="8" s="1"/>
  <c r="T9" i="8"/>
  <c r="S21" i="8"/>
  <c r="S22" i="8" s="1"/>
  <c r="T20" i="8"/>
  <c r="S10" i="14"/>
  <c r="S11" i="14" s="1"/>
  <c r="T9" i="14"/>
  <c r="S21" i="14"/>
  <c r="S22" i="14" s="1"/>
  <c r="S23" i="14" s="1"/>
  <c r="T20" i="14"/>
  <c r="U9" i="13"/>
  <c r="T10" i="13"/>
  <c r="T11" i="13" s="1"/>
  <c r="T23" i="13" s="1"/>
  <c r="H24" i="13" s="1"/>
  <c r="U21" i="13"/>
  <c r="U22" i="13" s="1"/>
  <c r="V20" i="13"/>
  <c r="S10" i="13"/>
  <c r="S11" i="13" s="1"/>
  <c r="S23" i="13" s="1"/>
  <c r="G24" i="13" s="1"/>
  <c r="S21" i="12"/>
  <c r="S22" i="12" s="1"/>
  <c r="S23" i="12" s="1"/>
  <c r="G24" i="12" s="1"/>
  <c r="T20" i="12"/>
  <c r="T9" i="12"/>
  <c r="S10" i="12"/>
  <c r="S11" i="12" s="1"/>
  <c r="S10" i="11"/>
  <c r="S11" i="11" s="1"/>
  <c r="T9" i="11"/>
  <c r="S21" i="11"/>
  <c r="S22" i="11" s="1"/>
  <c r="T20" i="11"/>
  <c r="S10" i="10"/>
  <c r="S11" i="10" s="1"/>
  <c r="S23" i="10" s="1"/>
  <c r="T9" i="10"/>
  <c r="T21" i="10"/>
  <c r="T22" i="10" s="1"/>
  <c r="U20" i="10"/>
  <c r="S10" i="9"/>
  <c r="S11" i="9" s="1"/>
  <c r="T9" i="9"/>
  <c r="S21" i="9"/>
  <c r="S22" i="9" s="1"/>
  <c r="S23" i="9" s="1"/>
  <c r="T20" i="9"/>
  <c r="S10" i="7"/>
  <c r="S11" i="7" s="1"/>
  <c r="S23" i="7" s="1"/>
  <c r="T9" i="7"/>
  <c r="U21" i="7"/>
  <c r="U22" i="7" s="1"/>
  <c r="V20" i="7"/>
  <c r="R23" i="3"/>
  <c r="S20" i="3"/>
  <c r="S9" i="3"/>
  <c r="F25" i="1"/>
  <c r="F26" i="1"/>
  <c r="F27" i="1"/>
  <c r="H59" i="1"/>
  <c r="H58" i="1"/>
  <c r="G27" i="1"/>
  <c r="H27" i="1"/>
  <c r="I27" i="1"/>
  <c r="J27" i="1"/>
  <c r="K27" i="1"/>
  <c r="L27" i="1"/>
  <c r="M27" i="1"/>
  <c r="N27" i="1"/>
  <c r="O27" i="1"/>
  <c r="H26" i="1"/>
  <c r="I26" i="1"/>
  <c r="J26" i="1"/>
  <c r="K26" i="1"/>
  <c r="L26" i="1"/>
  <c r="M26" i="1"/>
  <c r="N26" i="1"/>
  <c r="O26" i="1"/>
  <c r="BB23" i="1"/>
  <c r="BC23" i="1"/>
  <c r="BD23" i="1"/>
  <c r="BE23" i="1"/>
  <c r="BF23" i="1"/>
  <c r="BG23" i="1"/>
  <c r="BH23" i="1"/>
  <c r="BI23" i="1"/>
  <c r="BJ23" i="1"/>
  <c r="BK23" i="1"/>
  <c r="BA21" i="1"/>
  <c r="BA22" i="1" s="1"/>
  <c r="BB20" i="1"/>
  <c r="BB21" i="1" s="1"/>
  <c r="BB22" i="1" s="1"/>
  <c r="BB19" i="1"/>
  <c r="BC19" i="1" s="1"/>
  <c r="BD19" i="1" s="1"/>
  <c r="BE19" i="1" s="1"/>
  <c r="BF19" i="1" s="1"/>
  <c r="BG19" i="1" s="1"/>
  <c r="BH19" i="1" s="1"/>
  <c r="BI19" i="1" s="1"/>
  <c r="BJ19" i="1" s="1"/>
  <c r="BK19" i="1" s="1"/>
  <c r="BB18" i="1"/>
  <c r="BC18" i="1" s="1"/>
  <c r="BD18" i="1" s="1"/>
  <c r="BE18" i="1" s="1"/>
  <c r="BF18" i="1" s="1"/>
  <c r="BG18" i="1" s="1"/>
  <c r="BH18" i="1" s="1"/>
  <c r="BI18" i="1" s="1"/>
  <c r="BJ18" i="1" s="1"/>
  <c r="BK18" i="1" s="1"/>
  <c r="BB17" i="1"/>
  <c r="BC17" i="1" s="1"/>
  <c r="BD17" i="1" s="1"/>
  <c r="BE17" i="1" s="1"/>
  <c r="BF17" i="1" s="1"/>
  <c r="BG17" i="1" s="1"/>
  <c r="BH17" i="1" s="1"/>
  <c r="BI17" i="1" s="1"/>
  <c r="BJ17" i="1" s="1"/>
  <c r="BK17" i="1" s="1"/>
  <c r="BB16" i="1"/>
  <c r="BC16" i="1" s="1"/>
  <c r="BD16" i="1" s="1"/>
  <c r="BE16" i="1" s="1"/>
  <c r="BF16" i="1" s="1"/>
  <c r="BG16" i="1" s="1"/>
  <c r="BH16" i="1" s="1"/>
  <c r="BI16" i="1" s="1"/>
  <c r="BJ16" i="1" s="1"/>
  <c r="BK16" i="1" s="1"/>
  <c r="BB15" i="1"/>
  <c r="BC15" i="1" s="1"/>
  <c r="BD15" i="1" s="1"/>
  <c r="BE15" i="1" s="1"/>
  <c r="BF15" i="1" s="1"/>
  <c r="BG15" i="1" s="1"/>
  <c r="BH15" i="1" s="1"/>
  <c r="BI15" i="1" s="1"/>
  <c r="BJ15" i="1" s="1"/>
  <c r="BK15" i="1" s="1"/>
  <c r="BB14" i="1"/>
  <c r="BC14" i="1" s="1"/>
  <c r="BD14" i="1" s="1"/>
  <c r="BE14" i="1" s="1"/>
  <c r="BF14" i="1" s="1"/>
  <c r="BG14" i="1" s="1"/>
  <c r="BH14" i="1" s="1"/>
  <c r="BI14" i="1" s="1"/>
  <c r="BJ14" i="1" s="1"/>
  <c r="BK14" i="1" s="1"/>
  <c r="BB13" i="1"/>
  <c r="BC13" i="1" s="1"/>
  <c r="BD13" i="1" s="1"/>
  <c r="BE13" i="1" s="1"/>
  <c r="BF13" i="1" s="1"/>
  <c r="BG13" i="1" s="1"/>
  <c r="BH13" i="1" s="1"/>
  <c r="BI13" i="1" s="1"/>
  <c r="BJ13" i="1" s="1"/>
  <c r="BK13" i="1" s="1"/>
  <c r="BA10" i="1"/>
  <c r="BA11" i="1" s="1"/>
  <c r="BB9" i="1"/>
  <c r="BC9" i="1" s="1"/>
  <c r="BC8" i="1"/>
  <c r="BD8" i="1" s="1"/>
  <c r="BE8" i="1" s="1"/>
  <c r="BF8" i="1" s="1"/>
  <c r="BG8" i="1" s="1"/>
  <c r="BH8" i="1" s="1"/>
  <c r="BI8" i="1" s="1"/>
  <c r="BJ8" i="1" s="1"/>
  <c r="BK8" i="1" s="1"/>
  <c r="BB8" i="1"/>
  <c r="BB7" i="1"/>
  <c r="BC7" i="1" s="1"/>
  <c r="BD7" i="1" s="1"/>
  <c r="BE7" i="1" s="1"/>
  <c r="BF7" i="1" s="1"/>
  <c r="BG7" i="1" s="1"/>
  <c r="BH7" i="1" s="1"/>
  <c r="BI7" i="1" s="1"/>
  <c r="BJ7" i="1" s="1"/>
  <c r="BK7" i="1" s="1"/>
  <c r="BB6" i="1"/>
  <c r="BB10" i="1" s="1"/>
  <c r="BB11" i="1" s="1"/>
  <c r="BB5" i="1"/>
  <c r="BC5" i="1" s="1"/>
  <c r="BD5" i="1" s="1"/>
  <c r="BE5" i="1" s="1"/>
  <c r="BF5" i="1" s="1"/>
  <c r="BG5" i="1" s="1"/>
  <c r="BH5" i="1" s="1"/>
  <c r="BI5" i="1" s="1"/>
  <c r="BJ5" i="1" s="1"/>
  <c r="BK5" i="1" s="1"/>
  <c r="BC4" i="1"/>
  <c r="BD4" i="1" s="1"/>
  <c r="BE4" i="1" s="1"/>
  <c r="BF4" i="1" s="1"/>
  <c r="BG4" i="1" s="1"/>
  <c r="BH4" i="1" s="1"/>
  <c r="BI4" i="1" s="1"/>
  <c r="BJ4" i="1" s="1"/>
  <c r="BK4" i="1" s="1"/>
  <c r="BB4" i="1"/>
  <c r="BB3" i="1"/>
  <c r="BC3" i="1" s="1"/>
  <c r="BD3" i="1" s="1"/>
  <c r="BE3" i="1" s="1"/>
  <c r="BF3" i="1" s="1"/>
  <c r="BG3" i="1" s="1"/>
  <c r="BH3" i="1" s="1"/>
  <c r="BI3" i="1" s="1"/>
  <c r="BJ3" i="1" s="1"/>
  <c r="BK3" i="1" s="1"/>
  <c r="BB2" i="1"/>
  <c r="BC2" i="1" s="1"/>
  <c r="BD2" i="1" s="1"/>
  <c r="BE2" i="1" s="1"/>
  <c r="BF2" i="1" s="1"/>
  <c r="BG2" i="1" s="1"/>
  <c r="BH2" i="1" s="1"/>
  <c r="BI2" i="1" s="1"/>
  <c r="BJ2" i="1" s="1"/>
  <c r="BK2" i="1" s="1"/>
  <c r="AP23" i="1"/>
  <c r="AQ23" i="1"/>
  <c r="AR23" i="1"/>
  <c r="AS23" i="1"/>
  <c r="AT23" i="1"/>
  <c r="AU23" i="1"/>
  <c r="AV23" i="1"/>
  <c r="AW23" i="1"/>
  <c r="AX23" i="1"/>
  <c r="AY23" i="1"/>
  <c r="AO21" i="1"/>
  <c r="AO22" i="1" s="1"/>
  <c r="AP20" i="1"/>
  <c r="AQ20" i="1" s="1"/>
  <c r="AP19" i="1"/>
  <c r="AQ19" i="1" s="1"/>
  <c r="AR19" i="1" s="1"/>
  <c r="AS19" i="1" s="1"/>
  <c r="AT19" i="1" s="1"/>
  <c r="AU19" i="1" s="1"/>
  <c r="AV19" i="1" s="1"/>
  <c r="AW19" i="1" s="1"/>
  <c r="AX19" i="1" s="1"/>
  <c r="AY19" i="1" s="1"/>
  <c r="AP18" i="1"/>
  <c r="AQ18" i="1" s="1"/>
  <c r="AR18" i="1" s="1"/>
  <c r="AS18" i="1" s="1"/>
  <c r="AT18" i="1" s="1"/>
  <c r="AU18" i="1" s="1"/>
  <c r="AV18" i="1" s="1"/>
  <c r="AW18" i="1" s="1"/>
  <c r="AX18" i="1" s="1"/>
  <c r="AY18" i="1" s="1"/>
  <c r="AP17" i="1"/>
  <c r="AQ17" i="1" s="1"/>
  <c r="AR17" i="1" s="1"/>
  <c r="AS17" i="1" s="1"/>
  <c r="AT17" i="1" s="1"/>
  <c r="AU17" i="1" s="1"/>
  <c r="AV17" i="1" s="1"/>
  <c r="AW17" i="1" s="1"/>
  <c r="AX17" i="1" s="1"/>
  <c r="AY17" i="1" s="1"/>
  <c r="AP16" i="1"/>
  <c r="AQ16" i="1" s="1"/>
  <c r="AR16" i="1" s="1"/>
  <c r="AS16" i="1" s="1"/>
  <c r="AT16" i="1" s="1"/>
  <c r="AU16" i="1" s="1"/>
  <c r="AV16" i="1" s="1"/>
  <c r="AW16" i="1" s="1"/>
  <c r="AX16" i="1" s="1"/>
  <c r="AY16" i="1" s="1"/>
  <c r="AP15" i="1"/>
  <c r="AQ15" i="1" s="1"/>
  <c r="AR15" i="1" s="1"/>
  <c r="AS15" i="1" s="1"/>
  <c r="AT15" i="1" s="1"/>
  <c r="AU15" i="1" s="1"/>
  <c r="AV15" i="1" s="1"/>
  <c r="AW15" i="1" s="1"/>
  <c r="AX15" i="1" s="1"/>
  <c r="AY15" i="1" s="1"/>
  <c r="AP14" i="1"/>
  <c r="AQ14" i="1" s="1"/>
  <c r="AR14" i="1" s="1"/>
  <c r="AS14" i="1" s="1"/>
  <c r="AT14" i="1" s="1"/>
  <c r="AU14" i="1" s="1"/>
  <c r="AV14" i="1" s="1"/>
  <c r="AW14" i="1" s="1"/>
  <c r="AX14" i="1" s="1"/>
  <c r="AY14" i="1" s="1"/>
  <c r="AP13" i="1"/>
  <c r="AQ13" i="1" s="1"/>
  <c r="AR13" i="1" s="1"/>
  <c r="AS13" i="1" s="1"/>
  <c r="AT13" i="1" s="1"/>
  <c r="AU13" i="1" s="1"/>
  <c r="AV13" i="1" s="1"/>
  <c r="AW13" i="1" s="1"/>
  <c r="AX13" i="1" s="1"/>
  <c r="AY13" i="1" s="1"/>
  <c r="AP10" i="1"/>
  <c r="AQ10" i="1"/>
  <c r="AQ11" i="1" s="1"/>
  <c r="AR10" i="1"/>
  <c r="AS10" i="1"/>
  <c r="AT10" i="1"/>
  <c r="AT11" i="1" s="1"/>
  <c r="AU10" i="1"/>
  <c r="AV10" i="1"/>
  <c r="AW10" i="1"/>
  <c r="AW11" i="1" s="1"/>
  <c r="AX10" i="1"/>
  <c r="AY10" i="1"/>
  <c r="AY11" i="1" s="1"/>
  <c r="AP11" i="1"/>
  <c r="AR11" i="1"/>
  <c r="AS11" i="1"/>
  <c r="AU11" i="1"/>
  <c r="AV11" i="1"/>
  <c r="AX11" i="1"/>
  <c r="AP3" i="1"/>
  <c r="AQ3" i="1" s="1"/>
  <c r="AR3" i="1" s="1"/>
  <c r="AS3" i="1" s="1"/>
  <c r="AT3" i="1" s="1"/>
  <c r="AU3" i="1" s="1"/>
  <c r="AV3" i="1" s="1"/>
  <c r="AW3" i="1" s="1"/>
  <c r="AX3" i="1" s="1"/>
  <c r="AY3" i="1" s="1"/>
  <c r="AP4" i="1"/>
  <c r="AQ4" i="1"/>
  <c r="AR4" i="1"/>
  <c r="AS4" i="1" s="1"/>
  <c r="AT4" i="1" s="1"/>
  <c r="AU4" i="1" s="1"/>
  <c r="AV4" i="1" s="1"/>
  <c r="AW4" i="1" s="1"/>
  <c r="AX4" i="1" s="1"/>
  <c r="AY4" i="1" s="1"/>
  <c r="AP5" i="1"/>
  <c r="AQ5" i="1" s="1"/>
  <c r="AR5" i="1" s="1"/>
  <c r="AS5" i="1" s="1"/>
  <c r="AT5" i="1" s="1"/>
  <c r="AU5" i="1" s="1"/>
  <c r="AV5" i="1" s="1"/>
  <c r="AW5" i="1" s="1"/>
  <c r="AX5" i="1" s="1"/>
  <c r="AY5" i="1" s="1"/>
  <c r="AP6" i="1"/>
  <c r="AQ6" i="1"/>
  <c r="AR6" i="1"/>
  <c r="AS6" i="1" s="1"/>
  <c r="AT6" i="1" s="1"/>
  <c r="AU6" i="1" s="1"/>
  <c r="AV6" i="1" s="1"/>
  <c r="AW6" i="1" s="1"/>
  <c r="AX6" i="1" s="1"/>
  <c r="AY6" i="1" s="1"/>
  <c r="AP7" i="1"/>
  <c r="AQ7" i="1" s="1"/>
  <c r="AR7" i="1" s="1"/>
  <c r="AS7" i="1" s="1"/>
  <c r="AT7" i="1" s="1"/>
  <c r="AU7" i="1" s="1"/>
  <c r="AV7" i="1" s="1"/>
  <c r="AW7" i="1" s="1"/>
  <c r="AX7" i="1" s="1"/>
  <c r="AY7" i="1" s="1"/>
  <c r="AP8" i="1"/>
  <c r="AQ8" i="1"/>
  <c r="AR8" i="1"/>
  <c r="AS8" i="1" s="1"/>
  <c r="AT8" i="1" s="1"/>
  <c r="AU8" i="1" s="1"/>
  <c r="AV8" i="1" s="1"/>
  <c r="AW8" i="1" s="1"/>
  <c r="AX8" i="1" s="1"/>
  <c r="AY8" i="1" s="1"/>
  <c r="AP9" i="1"/>
  <c r="AQ9" i="1" s="1"/>
  <c r="AR9" i="1" s="1"/>
  <c r="AS9" i="1" s="1"/>
  <c r="AT9" i="1" s="1"/>
  <c r="AU9" i="1" s="1"/>
  <c r="AV9" i="1" s="1"/>
  <c r="AW9" i="1" s="1"/>
  <c r="AX9" i="1" s="1"/>
  <c r="AY9" i="1" s="1"/>
  <c r="AQ2" i="1"/>
  <c r="AR2" i="1"/>
  <c r="AS2" i="1" s="1"/>
  <c r="AT2" i="1" s="1"/>
  <c r="AU2" i="1" s="1"/>
  <c r="AV2" i="1" s="1"/>
  <c r="AW2" i="1" s="1"/>
  <c r="AX2" i="1" s="1"/>
  <c r="AY2" i="1" s="1"/>
  <c r="AP2" i="1"/>
  <c r="H57" i="1"/>
  <c r="H55" i="1"/>
  <c r="AD20" i="1"/>
  <c r="AE20" i="1" s="1"/>
  <c r="AD19" i="1"/>
  <c r="AE19" i="1" s="1"/>
  <c r="AF19" i="1" s="1"/>
  <c r="AG19" i="1" s="1"/>
  <c r="AH19" i="1" s="1"/>
  <c r="AI19" i="1" s="1"/>
  <c r="AJ19" i="1" s="1"/>
  <c r="AK19" i="1" s="1"/>
  <c r="AL19" i="1" s="1"/>
  <c r="AM19" i="1" s="1"/>
  <c r="AD18" i="1"/>
  <c r="AD17" i="1"/>
  <c r="AE17" i="1" s="1"/>
  <c r="AF17" i="1" s="1"/>
  <c r="AG17" i="1" s="1"/>
  <c r="AH17" i="1" s="1"/>
  <c r="AI17" i="1" s="1"/>
  <c r="AJ17" i="1" s="1"/>
  <c r="AK17" i="1" s="1"/>
  <c r="AL17" i="1" s="1"/>
  <c r="AM17" i="1" s="1"/>
  <c r="AE16" i="1"/>
  <c r="AF16" i="1" s="1"/>
  <c r="AG16" i="1" s="1"/>
  <c r="AH16" i="1" s="1"/>
  <c r="AI16" i="1" s="1"/>
  <c r="AJ16" i="1" s="1"/>
  <c r="AK16" i="1" s="1"/>
  <c r="AL16" i="1" s="1"/>
  <c r="AM16" i="1" s="1"/>
  <c r="AD16" i="1"/>
  <c r="AD15" i="1"/>
  <c r="AE15" i="1" s="1"/>
  <c r="AF15" i="1" s="1"/>
  <c r="AG15" i="1" s="1"/>
  <c r="AH15" i="1" s="1"/>
  <c r="AI15" i="1" s="1"/>
  <c r="AJ15" i="1" s="1"/>
  <c r="AK15" i="1" s="1"/>
  <c r="AL15" i="1" s="1"/>
  <c r="AM15" i="1" s="1"/>
  <c r="AD14" i="1"/>
  <c r="AE14" i="1" s="1"/>
  <c r="AF14" i="1" s="1"/>
  <c r="AG14" i="1" s="1"/>
  <c r="AH14" i="1" s="1"/>
  <c r="AI14" i="1" s="1"/>
  <c r="AJ14" i="1" s="1"/>
  <c r="AK14" i="1" s="1"/>
  <c r="AL14" i="1" s="1"/>
  <c r="AM14" i="1" s="1"/>
  <c r="AD13" i="1"/>
  <c r="AE13" i="1" s="1"/>
  <c r="AF13" i="1" s="1"/>
  <c r="AG13" i="1" s="1"/>
  <c r="AH13" i="1" s="1"/>
  <c r="AI13" i="1" s="1"/>
  <c r="AJ13" i="1" s="1"/>
  <c r="AK13" i="1" s="1"/>
  <c r="AL13" i="1" s="1"/>
  <c r="AM13" i="1" s="1"/>
  <c r="AD3" i="1"/>
  <c r="AE3" i="1"/>
  <c r="AF3" i="1" s="1"/>
  <c r="AG3" i="1" s="1"/>
  <c r="AH3" i="1" s="1"/>
  <c r="AI3" i="1" s="1"/>
  <c r="AJ3" i="1" s="1"/>
  <c r="AK3" i="1" s="1"/>
  <c r="AL3" i="1" s="1"/>
  <c r="AM3" i="1" s="1"/>
  <c r="AD4" i="1"/>
  <c r="AE4" i="1"/>
  <c r="AF4" i="1" s="1"/>
  <c r="AG4" i="1" s="1"/>
  <c r="AH4" i="1" s="1"/>
  <c r="AI4" i="1" s="1"/>
  <c r="AJ4" i="1" s="1"/>
  <c r="AK4" i="1" s="1"/>
  <c r="AL4" i="1" s="1"/>
  <c r="AM4" i="1" s="1"/>
  <c r="AD5" i="1"/>
  <c r="AE5" i="1" s="1"/>
  <c r="AF5" i="1" s="1"/>
  <c r="AG5" i="1" s="1"/>
  <c r="AH5" i="1" s="1"/>
  <c r="AI5" i="1" s="1"/>
  <c r="AJ5" i="1" s="1"/>
  <c r="AK5" i="1" s="1"/>
  <c r="AL5" i="1" s="1"/>
  <c r="AM5" i="1" s="1"/>
  <c r="AD6" i="1"/>
  <c r="AE6" i="1" s="1"/>
  <c r="AF6" i="1" s="1"/>
  <c r="AG6" i="1" s="1"/>
  <c r="AH6" i="1" s="1"/>
  <c r="AI6" i="1" s="1"/>
  <c r="AJ6" i="1" s="1"/>
  <c r="AK6" i="1" s="1"/>
  <c r="AL6" i="1" s="1"/>
  <c r="AM6" i="1" s="1"/>
  <c r="AD7" i="1"/>
  <c r="AE7" i="1" s="1"/>
  <c r="AF7" i="1" s="1"/>
  <c r="AG7" i="1" s="1"/>
  <c r="AH7" i="1" s="1"/>
  <c r="AI7" i="1" s="1"/>
  <c r="AJ7" i="1" s="1"/>
  <c r="AK7" i="1" s="1"/>
  <c r="AL7" i="1" s="1"/>
  <c r="AM7" i="1" s="1"/>
  <c r="AD8" i="1"/>
  <c r="AE8" i="1" s="1"/>
  <c r="AF8" i="1" s="1"/>
  <c r="AG8" i="1" s="1"/>
  <c r="AH8" i="1" s="1"/>
  <c r="AI8" i="1" s="1"/>
  <c r="AJ8" i="1" s="1"/>
  <c r="AK8" i="1" s="1"/>
  <c r="AL8" i="1" s="1"/>
  <c r="AM8" i="1" s="1"/>
  <c r="AD9" i="1"/>
  <c r="AD10" i="1" s="1"/>
  <c r="AD11" i="1" s="1"/>
  <c r="AE9" i="1"/>
  <c r="AF9" i="1" s="1"/>
  <c r="AD2" i="1"/>
  <c r="AE2" i="1" s="1"/>
  <c r="AF2" i="1" s="1"/>
  <c r="AG2" i="1" s="1"/>
  <c r="AH2" i="1" s="1"/>
  <c r="AI2" i="1" s="1"/>
  <c r="AJ2" i="1" s="1"/>
  <c r="AK2" i="1" s="1"/>
  <c r="AL2" i="1" s="1"/>
  <c r="AM2" i="1" s="1"/>
  <c r="R20" i="1"/>
  <c r="S20" i="1" s="1"/>
  <c r="R19" i="1"/>
  <c r="S19" i="1" s="1"/>
  <c r="T19" i="1" s="1"/>
  <c r="U19" i="1" s="1"/>
  <c r="V19" i="1" s="1"/>
  <c r="W19" i="1" s="1"/>
  <c r="X19" i="1" s="1"/>
  <c r="Y19" i="1" s="1"/>
  <c r="Z19" i="1" s="1"/>
  <c r="AA19" i="1" s="1"/>
  <c r="R18" i="1"/>
  <c r="R17" i="1"/>
  <c r="S17" i="1" s="1"/>
  <c r="T17" i="1" s="1"/>
  <c r="U17" i="1" s="1"/>
  <c r="V17" i="1" s="1"/>
  <c r="W17" i="1" s="1"/>
  <c r="X17" i="1" s="1"/>
  <c r="Y17" i="1" s="1"/>
  <c r="Z17" i="1" s="1"/>
  <c r="AA17" i="1" s="1"/>
  <c r="R16" i="1"/>
  <c r="S16" i="1" s="1"/>
  <c r="T16" i="1" s="1"/>
  <c r="U16" i="1" s="1"/>
  <c r="V16" i="1" s="1"/>
  <c r="W16" i="1" s="1"/>
  <c r="X16" i="1" s="1"/>
  <c r="R15" i="1"/>
  <c r="S15" i="1" s="1"/>
  <c r="T15" i="1" s="1"/>
  <c r="U15" i="1" s="1"/>
  <c r="V15" i="1" s="1"/>
  <c r="W15" i="1" s="1"/>
  <c r="X15" i="1" s="1"/>
  <c r="Y15" i="1" s="1"/>
  <c r="Z15" i="1" s="1"/>
  <c r="AA15" i="1" s="1"/>
  <c r="R14" i="1"/>
  <c r="S14" i="1" s="1"/>
  <c r="T14" i="1" s="1"/>
  <c r="U14" i="1" s="1"/>
  <c r="V14" i="1" s="1"/>
  <c r="W14" i="1" s="1"/>
  <c r="X14" i="1" s="1"/>
  <c r="Y14" i="1" s="1"/>
  <c r="Z14" i="1" s="1"/>
  <c r="AA14" i="1" s="1"/>
  <c r="R13" i="1"/>
  <c r="S13" i="1" s="1"/>
  <c r="T13" i="1" s="1"/>
  <c r="U13" i="1" s="1"/>
  <c r="V13" i="1" s="1"/>
  <c r="W13" i="1" s="1"/>
  <c r="X13" i="1" s="1"/>
  <c r="Y13" i="1" s="1"/>
  <c r="Z13" i="1" s="1"/>
  <c r="AA13" i="1" s="1"/>
  <c r="R3" i="1"/>
  <c r="S3" i="1" s="1"/>
  <c r="T3" i="1" s="1"/>
  <c r="U3" i="1" s="1"/>
  <c r="V3" i="1" s="1"/>
  <c r="W3" i="1" s="1"/>
  <c r="X3" i="1" s="1"/>
  <c r="Y3" i="1" s="1"/>
  <c r="Z3" i="1" s="1"/>
  <c r="AA3" i="1" s="1"/>
  <c r="R4" i="1"/>
  <c r="S4" i="1" s="1"/>
  <c r="T4" i="1" s="1"/>
  <c r="U4" i="1" s="1"/>
  <c r="V4" i="1" s="1"/>
  <c r="W4" i="1" s="1"/>
  <c r="X4" i="1" s="1"/>
  <c r="Y4" i="1" s="1"/>
  <c r="Z4" i="1" s="1"/>
  <c r="AA4" i="1" s="1"/>
  <c r="R5" i="1"/>
  <c r="S5" i="1"/>
  <c r="T5" i="1" s="1"/>
  <c r="U5" i="1" s="1"/>
  <c r="V5" i="1" s="1"/>
  <c r="W5" i="1" s="1"/>
  <c r="X5" i="1" s="1"/>
  <c r="Y5" i="1" s="1"/>
  <c r="Z5" i="1" s="1"/>
  <c r="AA5" i="1" s="1"/>
  <c r="R6" i="1"/>
  <c r="R10" i="1" s="1"/>
  <c r="R11" i="1" s="1"/>
  <c r="R7" i="1"/>
  <c r="S7" i="1" s="1"/>
  <c r="T7" i="1" s="1"/>
  <c r="U7" i="1" s="1"/>
  <c r="V7" i="1" s="1"/>
  <c r="W7" i="1" s="1"/>
  <c r="X7" i="1" s="1"/>
  <c r="Y7" i="1" s="1"/>
  <c r="Z7" i="1" s="1"/>
  <c r="AA7" i="1" s="1"/>
  <c r="R8" i="1"/>
  <c r="S8" i="1"/>
  <c r="T8" i="1"/>
  <c r="U8" i="1" s="1"/>
  <c r="V8" i="1" s="1"/>
  <c r="W8" i="1" s="1"/>
  <c r="X8" i="1" s="1"/>
  <c r="Y8" i="1" s="1"/>
  <c r="Z8" i="1" s="1"/>
  <c r="AA8" i="1" s="1"/>
  <c r="R9" i="1"/>
  <c r="S9" i="1"/>
  <c r="S2" i="1"/>
  <c r="T2" i="1" s="1"/>
  <c r="U2" i="1" s="1"/>
  <c r="V2" i="1" s="1"/>
  <c r="W2" i="1" s="1"/>
  <c r="X2" i="1" s="1"/>
  <c r="Y2" i="1" s="1"/>
  <c r="Z2" i="1" s="1"/>
  <c r="AA2" i="1" s="1"/>
  <c r="R2" i="1"/>
  <c r="BJ10" i="33" l="1"/>
  <c r="BJ11" i="33" s="1"/>
  <c r="BK9" i="33"/>
  <c r="BK10" i="33" s="1"/>
  <c r="BK11" i="33" s="1"/>
  <c r="AY9" i="33"/>
  <c r="AY10" i="33" s="1"/>
  <c r="AY11" i="33" s="1"/>
  <c r="AX10" i="33"/>
  <c r="AX11" i="33" s="1"/>
  <c r="AM9" i="33"/>
  <c r="AM10" i="33" s="1"/>
  <c r="AM11" i="33" s="1"/>
  <c r="AM23" i="33" s="1"/>
  <c r="O25" i="33" s="1"/>
  <c r="AL10" i="33"/>
  <c r="AL11" i="33" s="1"/>
  <c r="BK20" i="33"/>
  <c r="BK21" i="33" s="1"/>
  <c r="BK22" i="33" s="1"/>
  <c r="BK23" i="33" s="1"/>
  <c r="O27" i="33" s="1"/>
  <c r="BJ21" i="33"/>
  <c r="BJ22" i="33" s="1"/>
  <c r="BJ23" i="33" s="1"/>
  <c r="N27" i="33" s="1"/>
  <c r="AW21" i="33"/>
  <c r="AW22" i="33" s="1"/>
  <c r="AW23" i="33" s="1"/>
  <c r="M26" i="33" s="1"/>
  <c r="AX20" i="33"/>
  <c r="Y10" i="33"/>
  <c r="Y11" i="33" s="1"/>
  <c r="Y23" i="33" s="1"/>
  <c r="M24" i="33" s="1"/>
  <c r="Z9" i="33"/>
  <c r="AL23" i="33"/>
  <c r="N25" i="33" s="1"/>
  <c r="O9" i="32"/>
  <c r="O10" i="32" s="1"/>
  <c r="O11" i="32" s="1"/>
  <c r="N10" i="32"/>
  <c r="N11" i="32" s="1"/>
  <c r="AA9" i="32"/>
  <c r="AA10" i="32" s="1"/>
  <c r="AA11" i="32" s="1"/>
  <c r="Z10" i="32"/>
  <c r="Z11" i="32" s="1"/>
  <c r="BK20" i="32"/>
  <c r="BK21" i="32" s="1"/>
  <c r="BK22" i="32" s="1"/>
  <c r="BK23" i="32" s="1"/>
  <c r="O27" i="32" s="1"/>
  <c r="BJ21" i="32"/>
  <c r="BJ22" i="32" s="1"/>
  <c r="BJ23" i="32" s="1"/>
  <c r="N27" i="32" s="1"/>
  <c r="AW10" i="32"/>
  <c r="AW11" i="32" s="1"/>
  <c r="AX9" i="32"/>
  <c r="Z23" i="32"/>
  <c r="N24" i="32" s="1"/>
  <c r="M21" i="32"/>
  <c r="M22" i="32" s="1"/>
  <c r="M23" i="32" s="1"/>
  <c r="N20" i="32"/>
  <c r="AA23" i="32"/>
  <c r="O24" i="32" s="1"/>
  <c r="AX21" i="32"/>
  <c r="AX22" i="32" s="1"/>
  <c r="AY20" i="32"/>
  <c r="AY21" i="32" s="1"/>
  <c r="AY22" i="32" s="1"/>
  <c r="AW23" i="32"/>
  <c r="M26" i="32" s="1"/>
  <c r="BJ10" i="30"/>
  <c r="BJ11" i="30" s="1"/>
  <c r="BK9" i="30"/>
  <c r="BK10" i="30" s="1"/>
  <c r="BK11" i="30" s="1"/>
  <c r="AA23" i="30"/>
  <c r="O24" i="30" s="1"/>
  <c r="BI23" i="30"/>
  <c r="M27" i="30" s="1"/>
  <c r="BK20" i="30"/>
  <c r="BK21" i="30" s="1"/>
  <c r="BK22" i="30" s="1"/>
  <c r="BK23" i="30" s="1"/>
  <c r="O27" i="30" s="1"/>
  <c r="BJ21" i="30"/>
  <c r="BJ22" i="30" s="1"/>
  <c r="BJ23" i="30" s="1"/>
  <c r="N27" i="30" s="1"/>
  <c r="AX21" i="30"/>
  <c r="AX22" i="30" s="1"/>
  <c r="AX23" i="30" s="1"/>
  <c r="N26" i="30" s="1"/>
  <c r="AY20" i="30"/>
  <c r="AY21" i="30" s="1"/>
  <c r="AY22" i="30" s="1"/>
  <c r="AY23" i="30" s="1"/>
  <c r="O26" i="30" s="1"/>
  <c r="Z23" i="30"/>
  <c r="N24" i="30" s="1"/>
  <c r="BI10" i="29"/>
  <c r="BI11" i="29" s="1"/>
  <c r="BI23" i="29" s="1"/>
  <c r="M27" i="29" s="1"/>
  <c r="BJ9" i="29"/>
  <c r="BK20" i="29"/>
  <c r="BK21" i="29" s="1"/>
  <c r="BK22" i="29" s="1"/>
  <c r="BJ21" i="29"/>
  <c r="BJ22" i="29" s="1"/>
  <c r="M21" i="29"/>
  <c r="M22" i="29" s="1"/>
  <c r="N20" i="29"/>
  <c r="AA20" i="29"/>
  <c r="AA21" i="29" s="1"/>
  <c r="AA22" i="29" s="1"/>
  <c r="AA23" i="29" s="1"/>
  <c r="O24" i="29" s="1"/>
  <c r="Z21" i="29"/>
  <c r="Z22" i="29" s="1"/>
  <c r="Z23" i="29" s="1"/>
  <c r="N24" i="29" s="1"/>
  <c r="AL9" i="29"/>
  <c r="AK10" i="29"/>
  <c r="AK11" i="29" s="1"/>
  <c r="AK23" i="29" s="1"/>
  <c r="M25" i="29" s="1"/>
  <c r="M10" i="29"/>
  <c r="M11" i="29" s="1"/>
  <c r="N9" i="29"/>
  <c r="AL21" i="29"/>
  <c r="AL22" i="29" s="1"/>
  <c r="AM20" i="29"/>
  <c r="AM21" i="29" s="1"/>
  <c r="AM22" i="29" s="1"/>
  <c r="AW21" i="29"/>
  <c r="AW22" i="29" s="1"/>
  <c r="AW23" i="29" s="1"/>
  <c r="M26" i="29" s="1"/>
  <c r="AX20" i="29"/>
  <c r="AW10" i="29"/>
  <c r="AW11" i="29" s="1"/>
  <c r="AX9" i="29"/>
  <c r="L9" i="20"/>
  <c r="K10" i="20"/>
  <c r="K11" i="20" s="1"/>
  <c r="AJ20" i="24"/>
  <c r="AI21" i="24"/>
  <c r="AI22" i="24" s="1"/>
  <c r="AT21" i="24"/>
  <c r="AT22" i="24" s="1"/>
  <c r="AT23" i="24" s="1"/>
  <c r="J26" i="24" s="1"/>
  <c r="AU20" i="24"/>
  <c r="AH23" i="24"/>
  <c r="J25" i="24" s="1"/>
  <c r="W21" i="24"/>
  <c r="W22" i="24" s="1"/>
  <c r="W23" i="24" s="1"/>
  <c r="K24" i="24" s="1"/>
  <c r="BG21" i="24"/>
  <c r="BG22" i="24" s="1"/>
  <c r="BG23" i="24" s="1"/>
  <c r="K27" i="24" s="1"/>
  <c r="BH20" i="24"/>
  <c r="N20" i="24"/>
  <c r="AI10" i="24"/>
  <c r="AI11" i="24" s="1"/>
  <c r="AJ9" i="24"/>
  <c r="M10" i="24"/>
  <c r="M11" i="24" s="1"/>
  <c r="N9" i="24"/>
  <c r="L14" i="24"/>
  <c r="K21" i="24"/>
  <c r="K22" i="24" s="1"/>
  <c r="K23" i="24" s="1"/>
  <c r="X10" i="24"/>
  <c r="X11" i="24" s="1"/>
  <c r="Y9" i="24"/>
  <c r="BK9" i="24"/>
  <c r="BK10" i="24" s="1"/>
  <c r="BK11" i="24" s="1"/>
  <c r="BJ10" i="24"/>
  <c r="BJ11" i="24" s="1"/>
  <c r="AV9" i="24"/>
  <c r="AU10" i="24"/>
  <c r="AU11" i="24" s="1"/>
  <c r="K23" i="20"/>
  <c r="AT10" i="20"/>
  <c r="AT11" i="20" s="1"/>
  <c r="AU9" i="20"/>
  <c r="AT21" i="20"/>
  <c r="AT22" i="20" s="1"/>
  <c r="AT23" i="20" s="1"/>
  <c r="J26" i="20" s="1"/>
  <c r="AU20" i="20"/>
  <c r="AI10" i="20"/>
  <c r="AI11" i="20" s="1"/>
  <c r="AI23" i="20" s="1"/>
  <c r="K25" i="20" s="1"/>
  <c r="AJ9" i="20"/>
  <c r="AS23" i="20"/>
  <c r="I26" i="20" s="1"/>
  <c r="W9" i="20"/>
  <c r="V10" i="20"/>
  <c r="V11" i="20" s="1"/>
  <c r="L21" i="20"/>
  <c r="L22" i="20" s="1"/>
  <c r="AJ21" i="20"/>
  <c r="AJ22" i="20" s="1"/>
  <c r="AK20" i="20"/>
  <c r="BI10" i="20"/>
  <c r="BI11" i="20" s="1"/>
  <c r="BJ9" i="20"/>
  <c r="V21" i="20"/>
  <c r="V22" i="20" s="1"/>
  <c r="W20" i="20"/>
  <c r="BI20" i="20"/>
  <c r="BH21" i="20"/>
  <c r="BH22" i="20" s="1"/>
  <c r="BH23" i="20" s="1"/>
  <c r="L27" i="20" s="1"/>
  <c r="U23" i="20"/>
  <c r="I24" i="20" s="1"/>
  <c r="S23" i="8"/>
  <c r="G24" i="8" s="1"/>
  <c r="BG9" i="14"/>
  <c r="BF10" i="14"/>
  <c r="BF11" i="14" s="1"/>
  <c r="AT21" i="14"/>
  <c r="AT22" i="14" s="1"/>
  <c r="AU20" i="14"/>
  <c r="AH20" i="14"/>
  <c r="AG21" i="14"/>
  <c r="AG22" i="14" s="1"/>
  <c r="AS23" i="14"/>
  <c r="AT10" i="14"/>
  <c r="AT11" i="14" s="1"/>
  <c r="AU9" i="14"/>
  <c r="AH9" i="14"/>
  <c r="AG10" i="14"/>
  <c r="AG11" i="14" s="1"/>
  <c r="BE23" i="14"/>
  <c r="BG20" i="14"/>
  <c r="BF21" i="14"/>
  <c r="BF22" i="14" s="1"/>
  <c r="BF23" i="14" s="1"/>
  <c r="AH20" i="13"/>
  <c r="AG21" i="13"/>
  <c r="AG22" i="13" s="1"/>
  <c r="AG23" i="13" s="1"/>
  <c r="BH9" i="13"/>
  <c r="BG10" i="13"/>
  <c r="BG11" i="13" s="1"/>
  <c r="BF23" i="13"/>
  <c r="AW9" i="13"/>
  <c r="AV10" i="13"/>
  <c r="AV11" i="13" s="1"/>
  <c r="AT21" i="13"/>
  <c r="AT22" i="13" s="1"/>
  <c r="AT23" i="13" s="1"/>
  <c r="AU20" i="13"/>
  <c r="BH20" i="13"/>
  <c r="BG21" i="13"/>
  <c r="BG22" i="13" s="1"/>
  <c r="AH9" i="13"/>
  <c r="AG10" i="13"/>
  <c r="AG11" i="13" s="1"/>
  <c r="BH9" i="12"/>
  <c r="BG10" i="12"/>
  <c r="BG11" i="12" s="1"/>
  <c r="AF23" i="12"/>
  <c r="BF20" i="12"/>
  <c r="BE21" i="12"/>
  <c r="BE22" i="12" s="1"/>
  <c r="BE23" i="12" s="1"/>
  <c r="AH9" i="12"/>
  <c r="AG10" i="12"/>
  <c r="AG11" i="12" s="1"/>
  <c r="AH20" i="12"/>
  <c r="AG21" i="12"/>
  <c r="AG22" i="12" s="1"/>
  <c r="AG23" i="12" s="1"/>
  <c r="AV9" i="12"/>
  <c r="AU10" i="12"/>
  <c r="AU11" i="12" s="1"/>
  <c r="AV20" i="12"/>
  <c r="AU21" i="12"/>
  <c r="AU22" i="12" s="1"/>
  <c r="AU23" i="12" s="1"/>
  <c r="AT23" i="12"/>
  <c r="AS10" i="11"/>
  <c r="AS11" i="11" s="1"/>
  <c r="AT9" i="11"/>
  <c r="AH9" i="11"/>
  <c r="AG10" i="11"/>
  <c r="AG11" i="11" s="1"/>
  <c r="AR23" i="11"/>
  <c r="BF20" i="11"/>
  <c r="BE21" i="11"/>
  <c r="BE22" i="11" s="1"/>
  <c r="BE23" i="11" s="1"/>
  <c r="AS21" i="11"/>
  <c r="AS22" i="11" s="1"/>
  <c r="AS23" i="11" s="1"/>
  <c r="AT20" i="11"/>
  <c r="AH20" i="11"/>
  <c r="AG21" i="11"/>
  <c r="AG22" i="11" s="1"/>
  <c r="BH9" i="11"/>
  <c r="BG10" i="11"/>
  <c r="BG11" i="11" s="1"/>
  <c r="AF23" i="11"/>
  <c r="BF20" i="10"/>
  <c r="BE21" i="10"/>
  <c r="BE22" i="10" s="1"/>
  <c r="BE23" i="10" s="1"/>
  <c r="AH9" i="10"/>
  <c r="AG10" i="10"/>
  <c r="AG11" i="10" s="1"/>
  <c r="AH20" i="10"/>
  <c r="AG21" i="10"/>
  <c r="AG22" i="10" s="1"/>
  <c r="AG23" i="10" s="1"/>
  <c r="AV9" i="10"/>
  <c r="AU10" i="10"/>
  <c r="AU11" i="10" s="1"/>
  <c r="AU21" i="10"/>
  <c r="AU22" i="10" s="1"/>
  <c r="AV20" i="10"/>
  <c r="AF23" i="10"/>
  <c r="BH9" i="10"/>
  <c r="BG10" i="10"/>
  <c r="BG11" i="10" s="1"/>
  <c r="AH20" i="9"/>
  <c r="AG21" i="9"/>
  <c r="AG22" i="9" s="1"/>
  <c r="AG23" i="9" s="1"/>
  <c r="AT10" i="9"/>
  <c r="AT11" i="9" s="1"/>
  <c r="AU9" i="9"/>
  <c r="AH9" i="9"/>
  <c r="AG10" i="9"/>
  <c r="AG11" i="9" s="1"/>
  <c r="AT21" i="9"/>
  <c r="AT22" i="9" s="1"/>
  <c r="AT23" i="9" s="1"/>
  <c r="AU20" i="9"/>
  <c r="BF9" i="9"/>
  <c r="BE10" i="9"/>
  <c r="BE11" i="9" s="1"/>
  <c r="AS23" i="9"/>
  <c r="AF23" i="9"/>
  <c r="BF20" i="9"/>
  <c r="BE21" i="9"/>
  <c r="BE22" i="9" s="1"/>
  <c r="AI9" i="8"/>
  <c r="AH10" i="8"/>
  <c r="AH11" i="8" s="1"/>
  <c r="AT10" i="8"/>
  <c r="AT11" i="8" s="1"/>
  <c r="AU9" i="8"/>
  <c r="BD23" i="8"/>
  <c r="AT21" i="8"/>
  <c r="AT22" i="8" s="1"/>
  <c r="AT23" i="8" s="1"/>
  <c r="AU20" i="8"/>
  <c r="BE21" i="8"/>
  <c r="BE22" i="8" s="1"/>
  <c r="BE23" i="8" s="1"/>
  <c r="BF20" i="8"/>
  <c r="AS23" i="8"/>
  <c r="BF9" i="8"/>
  <c r="BE10" i="8"/>
  <c r="BE11" i="8" s="1"/>
  <c r="AH20" i="8"/>
  <c r="AG21" i="8"/>
  <c r="AG22" i="8" s="1"/>
  <c r="AG23" i="8" s="1"/>
  <c r="AH9" i="7"/>
  <c r="AG10" i="7"/>
  <c r="AG11" i="7" s="1"/>
  <c r="AF23" i="7"/>
  <c r="AH20" i="7"/>
  <c r="AG21" i="7"/>
  <c r="AG22" i="7" s="1"/>
  <c r="AT21" i="7"/>
  <c r="AT22" i="7" s="1"/>
  <c r="AU20" i="7"/>
  <c r="BF20" i="7"/>
  <c r="BE21" i="7"/>
  <c r="BE22" i="7" s="1"/>
  <c r="AT10" i="7"/>
  <c r="AT11" i="7" s="1"/>
  <c r="AU9" i="7"/>
  <c r="BF9" i="7"/>
  <c r="BE10" i="7"/>
  <c r="BE11" i="7" s="1"/>
  <c r="AT10" i="3"/>
  <c r="AT11" i="3" s="1"/>
  <c r="AT23" i="3" s="1"/>
  <c r="J26" i="3" s="1"/>
  <c r="AU9" i="3"/>
  <c r="AG10" i="3"/>
  <c r="AG11" i="3" s="1"/>
  <c r="AH9" i="3"/>
  <c r="AW20" i="3"/>
  <c r="AV21" i="3"/>
  <c r="AV22" i="3" s="1"/>
  <c r="AH20" i="3"/>
  <c r="AG21" i="3"/>
  <c r="AG22" i="3" s="1"/>
  <c r="AG23" i="3" s="1"/>
  <c r="I25" i="3" s="1"/>
  <c r="BE21" i="3"/>
  <c r="BE22" i="3" s="1"/>
  <c r="BE23" i="3" s="1"/>
  <c r="I27" i="3" s="1"/>
  <c r="BF20" i="3"/>
  <c r="BH9" i="3"/>
  <c r="BG10" i="3"/>
  <c r="BG11" i="3" s="1"/>
  <c r="T21" i="8"/>
  <c r="T22" i="8" s="1"/>
  <c r="U20" i="8"/>
  <c r="U9" i="8"/>
  <c r="T10" i="8"/>
  <c r="T11" i="8" s="1"/>
  <c r="T21" i="14"/>
  <c r="T22" i="14" s="1"/>
  <c r="U20" i="14"/>
  <c r="U9" i="14"/>
  <c r="T10" i="14"/>
  <c r="T11" i="14" s="1"/>
  <c r="V21" i="13"/>
  <c r="V22" i="13" s="1"/>
  <c r="W20" i="13"/>
  <c r="V9" i="13"/>
  <c r="U10" i="13"/>
  <c r="U11" i="13" s="1"/>
  <c r="U23" i="13" s="1"/>
  <c r="I24" i="13" s="1"/>
  <c r="U20" i="12"/>
  <c r="T21" i="12"/>
  <c r="T22" i="12" s="1"/>
  <c r="T23" i="12" s="1"/>
  <c r="H24" i="12" s="1"/>
  <c r="U9" i="12"/>
  <c r="T10" i="12"/>
  <c r="T11" i="12" s="1"/>
  <c r="S23" i="11"/>
  <c r="G24" i="11" s="1"/>
  <c r="U20" i="11"/>
  <c r="T21" i="11"/>
  <c r="T22" i="11" s="1"/>
  <c r="U9" i="11"/>
  <c r="T10" i="11"/>
  <c r="T11" i="11" s="1"/>
  <c r="U9" i="10"/>
  <c r="T10" i="10"/>
  <c r="T11" i="10" s="1"/>
  <c r="T23" i="10" s="1"/>
  <c r="U21" i="10"/>
  <c r="U22" i="10" s="1"/>
  <c r="V20" i="10"/>
  <c r="U20" i="9"/>
  <c r="T21" i="9"/>
  <c r="T22" i="9" s="1"/>
  <c r="U9" i="9"/>
  <c r="T10" i="9"/>
  <c r="T11" i="9" s="1"/>
  <c r="V21" i="7"/>
  <c r="V22" i="7" s="1"/>
  <c r="W20" i="7"/>
  <c r="U9" i="7"/>
  <c r="T10" i="7"/>
  <c r="T11" i="7" s="1"/>
  <c r="T23" i="7" s="1"/>
  <c r="S21" i="3"/>
  <c r="S22" i="3" s="1"/>
  <c r="T20" i="3"/>
  <c r="S10" i="3"/>
  <c r="S11" i="3" s="1"/>
  <c r="T9" i="3"/>
  <c r="BC20" i="1"/>
  <c r="BD9" i="1"/>
  <c r="BC10" i="1"/>
  <c r="BC11" i="1" s="1"/>
  <c r="BC6" i="1"/>
  <c r="BD6" i="1" s="1"/>
  <c r="BE6" i="1" s="1"/>
  <c r="BF6" i="1" s="1"/>
  <c r="BG6" i="1" s="1"/>
  <c r="BH6" i="1" s="1"/>
  <c r="BI6" i="1" s="1"/>
  <c r="BJ6" i="1" s="1"/>
  <c r="BK6" i="1" s="1"/>
  <c r="AR20" i="1"/>
  <c r="AQ21" i="1"/>
  <c r="AQ22" i="1" s="1"/>
  <c r="AP21" i="1"/>
  <c r="AP22" i="1" s="1"/>
  <c r="S10" i="1"/>
  <c r="S11" i="1" s="1"/>
  <c r="AG9" i="1"/>
  <c r="AF10" i="1"/>
  <c r="AF11" i="1" s="1"/>
  <c r="T9" i="1"/>
  <c r="AE10" i="1"/>
  <c r="AE11" i="1" s="1"/>
  <c r="S6" i="1"/>
  <c r="T6" i="1" s="1"/>
  <c r="U6" i="1" s="1"/>
  <c r="V6" i="1" s="1"/>
  <c r="W6" i="1" s="1"/>
  <c r="X6" i="1" s="1"/>
  <c r="Y6" i="1" s="1"/>
  <c r="Z6" i="1" s="1"/>
  <c r="AA6" i="1" s="1"/>
  <c r="R21" i="1"/>
  <c r="R22" i="1" s="1"/>
  <c r="R23" i="1" s="1"/>
  <c r="F24" i="1" s="1"/>
  <c r="AD21" i="1"/>
  <c r="AD22" i="1" s="1"/>
  <c r="AD23" i="1" s="1"/>
  <c r="AE18" i="1"/>
  <c r="AF18" i="1" s="1"/>
  <c r="AG18" i="1" s="1"/>
  <c r="AH18" i="1" s="1"/>
  <c r="AI18" i="1" s="1"/>
  <c r="AJ18" i="1" s="1"/>
  <c r="AK18" i="1" s="1"/>
  <c r="AL18" i="1" s="1"/>
  <c r="AM18" i="1" s="1"/>
  <c r="AF20" i="1"/>
  <c r="Y16" i="1"/>
  <c r="Z16" i="1" s="1"/>
  <c r="AA16" i="1" s="1"/>
  <c r="S18" i="1"/>
  <c r="T18" i="1" s="1"/>
  <c r="U18" i="1" s="1"/>
  <c r="V18" i="1" s="1"/>
  <c r="W18" i="1" s="1"/>
  <c r="X18" i="1" s="1"/>
  <c r="Y18" i="1" s="1"/>
  <c r="Z18" i="1" s="1"/>
  <c r="AA18" i="1" s="1"/>
  <c r="T20" i="1"/>
  <c r="F9" i="13"/>
  <c r="G9" i="13" s="1"/>
  <c r="F20" i="9"/>
  <c r="G20" i="9" s="1"/>
  <c r="H20" i="9" s="1"/>
  <c r="I20" i="9" s="1"/>
  <c r="J20" i="9" s="1"/>
  <c r="K20" i="9" s="1"/>
  <c r="L20" i="9" s="1"/>
  <c r="M20" i="9" s="1"/>
  <c r="N20" i="9" s="1"/>
  <c r="O20" i="9" s="1"/>
  <c r="F19" i="9"/>
  <c r="G19" i="9" s="1"/>
  <c r="H19" i="9" s="1"/>
  <c r="I19" i="9" s="1"/>
  <c r="J19" i="9" s="1"/>
  <c r="K19" i="9" s="1"/>
  <c r="L19" i="9" s="1"/>
  <c r="M19" i="9" s="1"/>
  <c r="N19" i="9" s="1"/>
  <c r="O19" i="9" s="1"/>
  <c r="F18" i="9"/>
  <c r="G18" i="9" s="1"/>
  <c r="H18" i="9" s="1"/>
  <c r="I18" i="9" s="1"/>
  <c r="J18" i="9" s="1"/>
  <c r="K18" i="9" s="1"/>
  <c r="L18" i="9" s="1"/>
  <c r="M18" i="9" s="1"/>
  <c r="N18" i="9" s="1"/>
  <c r="O18" i="9" s="1"/>
  <c r="F17" i="9"/>
  <c r="G17" i="9" s="1"/>
  <c r="H17" i="9" s="1"/>
  <c r="I17" i="9" s="1"/>
  <c r="J17" i="9" s="1"/>
  <c r="K17" i="9" s="1"/>
  <c r="L17" i="9" s="1"/>
  <c r="M17" i="9" s="1"/>
  <c r="N17" i="9" s="1"/>
  <c r="O17" i="9" s="1"/>
  <c r="F16" i="9"/>
  <c r="G16" i="9" s="1"/>
  <c r="H16" i="9" s="1"/>
  <c r="I16" i="9" s="1"/>
  <c r="J16" i="9" s="1"/>
  <c r="K16" i="9" s="1"/>
  <c r="L16" i="9" s="1"/>
  <c r="M16" i="9" s="1"/>
  <c r="N16" i="9" s="1"/>
  <c r="O16" i="9" s="1"/>
  <c r="F15" i="9"/>
  <c r="G15" i="9" s="1"/>
  <c r="H15" i="9" s="1"/>
  <c r="I15" i="9" s="1"/>
  <c r="J15" i="9" s="1"/>
  <c r="K15" i="9" s="1"/>
  <c r="L15" i="9" s="1"/>
  <c r="M15" i="9" s="1"/>
  <c r="N15" i="9" s="1"/>
  <c r="O15" i="9" s="1"/>
  <c r="F14" i="9"/>
  <c r="G14" i="9" s="1"/>
  <c r="H14" i="9" s="1"/>
  <c r="I14" i="9" s="1"/>
  <c r="J14" i="9" s="1"/>
  <c r="K14" i="9" s="1"/>
  <c r="L14" i="9" s="1"/>
  <c r="M14" i="9" s="1"/>
  <c r="N14" i="9" s="1"/>
  <c r="O14" i="9" s="1"/>
  <c r="F13" i="9"/>
  <c r="G13" i="9" s="1"/>
  <c r="H13" i="9" s="1"/>
  <c r="I13" i="9" s="1"/>
  <c r="J13" i="9" s="1"/>
  <c r="K13" i="9" s="1"/>
  <c r="L13" i="9" s="1"/>
  <c r="M13" i="9" s="1"/>
  <c r="N13" i="9" s="1"/>
  <c r="O13" i="9" s="1"/>
  <c r="F3" i="9"/>
  <c r="G3" i="9" s="1"/>
  <c r="H3" i="9" s="1"/>
  <c r="I3" i="9" s="1"/>
  <c r="J3" i="9" s="1"/>
  <c r="K3" i="9" s="1"/>
  <c r="L3" i="9" s="1"/>
  <c r="M3" i="9" s="1"/>
  <c r="N3" i="9" s="1"/>
  <c r="O3" i="9" s="1"/>
  <c r="F4" i="9"/>
  <c r="H4" i="9" s="1"/>
  <c r="I4" i="9" s="1"/>
  <c r="J4" i="9" s="1"/>
  <c r="K4" i="9" s="1"/>
  <c r="L4" i="9" s="1"/>
  <c r="M4" i="9" s="1"/>
  <c r="N4" i="9" s="1"/>
  <c r="O4" i="9" s="1"/>
  <c r="F5" i="9"/>
  <c r="G5" i="9" s="1"/>
  <c r="H5" i="9" s="1"/>
  <c r="I5" i="9" s="1"/>
  <c r="J5" i="9" s="1"/>
  <c r="K5" i="9" s="1"/>
  <c r="L5" i="9" s="1"/>
  <c r="M5" i="9" s="1"/>
  <c r="N5" i="9" s="1"/>
  <c r="O5" i="9" s="1"/>
  <c r="F6" i="9"/>
  <c r="G6" i="9" s="1"/>
  <c r="H6" i="9" s="1"/>
  <c r="I6" i="9" s="1"/>
  <c r="J6" i="9" s="1"/>
  <c r="K6" i="9" s="1"/>
  <c r="L6" i="9" s="1"/>
  <c r="M6" i="9" s="1"/>
  <c r="N6" i="9" s="1"/>
  <c r="O6" i="9" s="1"/>
  <c r="F7" i="9"/>
  <c r="G7" i="9" s="1"/>
  <c r="H7" i="9" s="1"/>
  <c r="I7" i="9" s="1"/>
  <c r="J7" i="9" s="1"/>
  <c r="K7" i="9" s="1"/>
  <c r="L7" i="9" s="1"/>
  <c r="M7" i="9" s="1"/>
  <c r="N7" i="9" s="1"/>
  <c r="O7" i="9" s="1"/>
  <c r="F8" i="9"/>
  <c r="G8" i="9"/>
  <c r="H8" i="9"/>
  <c r="I8" i="9" s="1"/>
  <c r="J8" i="9" s="1"/>
  <c r="K8" i="9" s="1"/>
  <c r="L8" i="9" s="1"/>
  <c r="M8" i="9" s="1"/>
  <c r="N8" i="9" s="1"/>
  <c r="O8" i="9" s="1"/>
  <c r="F9" i="9"/>
  <c r="G9" i="9" s="1"/>
  <c r="H9" i="9" s="1"/>
  <c r="I9" i="9" s="1"/>
  <c r="J9" i="9" s="1"/>
  <c r="K9" i="9" s="1"/>
  <c r="L9" i="9" s="1"/>
  <c r="M9" i="9" s="1"/>
  <c r="N9" i="9" s="1"/>
  <c r="O9" i="9" s="1"/>
  <c r="F2" i="9"/>
  <c r="G2" i="9" s="1"/>
  <c r="H2" i="9" s="1"/>
  <c r="D467" i="16"/>
  <c r="G2948" i="2"/>
  <c r="I1788" i="2"/>
  <c r="D590" i="16"/>
  <c r="I2208" i="2"/>
  <c r="D133" i="16"/>
  <c r="D186" i="16"/>
  <c r="G5868" i="2"/>
  <c r="I3208" i="2"/>
  <c r="G4368" i="2"/>
  <c r="D199" i="16"/>
  <c r="I2048" i="2"/>
  <c r="D286" i="16"/>
  <c r="D448" i="16"/>
  <c r="I1088" i="2"/>
  <c r="I5508" i="2"/>
  <c r="D453" i="16"/>
  <c r="I3168" i="2"/>
  <c r="D225" i="16"/>
  <c r="I2708" i="2"/>
  <c r="D517" i="16"/>
  <c r="I2108" i="2"/>
  <c r="D413" i="16"/>
  <c r="G3228" i="2"/>
  <c r="D338" i="16"/>
  <c r="I1388" i="2"/>
  <c r="B96" i="30"/>
  <c r="G5688" i="2"/>
  <c r="D462" i="16"/>
  <c r="D311" i="16"/>
  <c r="D440" i="16"/>
  <c r="B98" i="29"/>
  <c r="G2608" i="2"/>
  <c r="I1468" i="2"/>
  <c r="D129" i="16"/>
  <c r="G4448" i="2"/>
  <c r="D535" i="16"/>
  <c r="G4048" i="2"/>
  <c r="D229" i="16"/>
  <c r="D255" i="16"/>
  <c r="G1568" i="2"/>
  <c r="D323" i="16"/>
  <c r="D479" i="16"/>
  <c r="B79" i="32"/>
  <c r="B96" i="33"/>
  <c r="D578" i="16"/>
  <c r="D485" i="16"/>
  <c r="G1688" i="2"/>
  <c r="D418" i="16"/>
  <c r="D209" i="16"/>
  <c r="D343" i="16"/>
  <c r="D165" i="16"/>
  <c r="D438" i="16"/>
  <c r="D613" i="16"/>
  <c r="D419" i="16"/>
  <c r="D658" i="16"/>
  <c r="G1528" i="2"/>
  <c r="D351" i="16"/>
  <c r="G1708" i="2"/>
  <c r="D124" i="16"/>
  <c r="G2128" i="2"/>
  <c r="G2028" i="2"/>
  <c r="B99" i="30"/>
  <c r="D272" i="16"/>
  <c r="G5928" i="2"/>
  <c r="D405" i="16"/>
  <c r="D237" i="16"/>
  <c r="I3788" i="2"/>
  <c r="G3568" i="2"/>
  <c r="D158" i="16"/>
  <c r="D463" i="16"/>
  <c r="D358" i="16"/>
  <c r="B136" i="30"/>
  <c r="G3988" i="2"/>
  <c r="D125" i="16"/>
  <c r="I2488" i="2"/>
  <c r="I4568" i="2"/>
  <c r="I3448" i="2"/>
  <c r="I5288" i="2"/>
  <c r="D250" i="16"/>
  <c r="B57" i="30"/>
  <c r="B77" i="32"/>
  <c r="D449" i="16"/>
  <c r="G5128" i="2"/>
  <c r="D637" i="16"/>
  <c r="G4308" i="2"/>
  <c r="G1508" i="2"/>
  <c r="I3928" i="2"/>
  <c r="D171" i="16"/>
  <c r="G2668" i="2"/>
  <c r="G2548" i="2"/>
  <c r="D201" i="16"/>
  <c r="I1708" i="2"/>
  <c r="I3348" i="2"/>
  <c r="D106" i="16"/>
  <c r="G4248" i="2"/>
  <c r="D494" i="16"/>
  <c r="D510" i="16"/>
  <c r="D478" i="16"/>
  <c r="I1348" i="2"/>
  <c r="I5988" i="2"/>
  <c r="D548" i="16"/>
  <c r="D238" i="16"/>
  <c r="I3388" i="2"/>
  <c r="D435" i="16"/>
  <c r="D529" i="16"/>
  <c r="I1188" i="2"/>
  <c r="D477" i="16"/>
  <c r="D130" i="16"/>
  <c r="G1308" i="2"/>
  <c r="G5088" i="2"/>
  <c r="I5648" i="2"/>
  <c r="D371" i="16"/>
  <c r="B97" i="30"/>
  <c r="I3988" i="2"/>
  <c r="B95" i="30"/>
  <c r="D266" i="16"/>
  <c r="G4068" i="2"/>
  <c r="D188" i="16"/>
  <c r="D537" i="16"/>
  <c r="D219" i="16"/>
  <c r="G2468" i="2"/>
  <c r="B35" i="33"/>
  <c r="D140" i="16"/>
  <c r="D538" i="16"/>
  <c r="I5268" i="2"/>
  <c r="G2308" i="2"/>
  <c r="I4548" i="2"/>
  <c r="I5568" i="2"/>
  <c r="G4628" i="2"/>
  <c r="I3328" i="2"/>
  <c r="I4488" i="2"/>
  <c r="G4528" i="2"/>
  <c r="G2588" i="2"/>
  <c r="D166" i="16"/>
  <c r="D378" i="16"/>
  <c r="I3748" i="2"/>
  <c r="B176" i="30"/>
  <c r="I2628" i="2"/>
  <c r="D346" i="16"/>
  <c r="D277" i="16"/>
  <c r="D442" i="16"/>
  <c r="B79" i="30"/>
  <c r="I2648" i="2"/>
  <c r="D297" i="16"/>
  <c r="G1848" i="2"/>
  <c r="D369" i="16"/>
  <c r="I4768" i="2"/>
  <c r="I5068" i="2"/>
  <c r="I5488" i="2"/>
  <c r="D230" i="16"/>
  <c r="G1228" i="2"/>
  <c r="D539" i="16"/>
  <c r="G2708" i="2"/>
  <c r="I2148" i="2"/>
  <c r="D178" i="16"/>
  <c r="D584" i="16"/>
  <c r="G1588" i="2"/>
  <c r="G3328" i="2"/>
  <c r="D224" i="16"/>
  <c r="G3808" i="2"/>
  <c r="D616" i="16"/>
  <c r="I3868" i="2"/>
  <c r="D350" i="16"/>
  <c r="D633" i="16"/>
  <c r="G5488" i="2"/>
  <c r="I5408" i="2"/>
  <c r="I3768" i="2"/>
  <c r="G2928" i="2"/>
  <c r="I5128" i="2"/>
  <c r="D536" i="16"/>
  <c r="I5108" i="2"/>
  <c r="D128" i="16"/>
  <c r="D557" i="16"/>
  <c r="D591" i="16"/>
  <c r="D384" i="16"/>
  <c r="G3088" i="2"/>
  <c r="D542" i="16"/>
  <c r="D624" i="16"/>
  <c r="D290" i="16"/>
  <c r="D534" i="16"/>
  <c r="D641" i="16"/>
  <c r="I3088" i="2"/>
  <c r="D564" i="16"/>
  <c r="G5608" i="2"/>
  <c r="I3888" i="2"/>
  <c r="D434" i="16"/>
  <c r="D270" i="16"/>
  <c r="D466" i="16"/>
  <c r="G2988" i="2"/>
  <c r="D164" i="16"/>
  <c r="I4388" i="2"/>
  <c r="B117" i="30"/>
  <c r="I4788" i="2"/>
  <c r="I3068" i="2"/>
  <c r="D488" i="16"/>
  <c r="D541" i="16"/>
  <c r="G4288" i="2"/>
  <c r="B99" i="29"/>
  <c r="D299" i="16"/>
  <c r="D243" i="16"/>
  <c r="I3028" i="2"/>
  <c r="D416" i="16"/>
  <c r="G2508" i="2"/>
  <c r="G4648" i="2"/>
  <c r="G3748" i="2"/>
  <c r="D268" i="16"/>
  <c r="I5948" i="2"/>
  <c r="D640" i="16"/>
  <c r="D562" i="16"/>
  <c r="I4008" i="2"/>
  <c r="I2268" i="2"/>
  <c r="I1408" i="2"/>
  <c r="G3308" i="2"/>
  <c r="I5308" i="2"/>
  <c r="D200" i="16"/>
  <c r="D589" i="16"/>
  <c r="G4268" i="2"/>
  <c r="I2448" i="2"/>
  <c r="I1248" i="2"/>
  <c r="D615" i="16"/>
  <c r="I1208" i="2"/>
  <c r="D262" i="16"/>
  <c r="D382" i="16"/>
  <c r="G2328" i="2"/>
  <c r="G4208" i="2"/>
  <c r="D452" i="16"/>
  <c r="D516" i="16"/>
  <c r="D292" i="16"/>
  <c r="D445" i="16"/>
  <c r="D210" i="16"/>
  <c r="G4928" i="2"/>
  <c r="B95" i="33"/>
  <c r="D118" i="16"/>
  <c r="D652" i="16"/>
  <c r="D654" i="16"/>
  <c r="I5348" i="2"/>
  <c r="D261" i="16"/>
  <c r="D580" i="16"/>
  <c r="D568" i="16"/>
  <c r="D347" i="16"/>
  <c r="B98" i="33"/>
  <c r="B57" i="33"/>
  <c r="D144" i="16"/>
  <c r="D344" i="16"/>
  <c r="D235" i="16"/>
  <c r="D307" i="16"/>
  <c r="D198" i="16"/>
  <c r="G3868" i="2"/>
  <c r="D287" i="16"/>
  <c r="D253" i="16"/>
  <c r="D197" i="16"/>
  <c r="I3568" i="2"/>
  <c r="D324" i="16"/>
  <c r="I1488" i="2"/>
  <c r="I3128" i="2"/>
  <c r="D267" i="16"/>
  <c r="D335" i="16"/>
  <c r="D135" i="16"/>
  <c r="I4268" i="2"/>
  <c r="I2748" i="2"/>
  <c r="I1928" i="2"/>
  <c r="I5448" i="2"/>
  <c r="I1648" i="2"/>
  <c r="I5888" i="2"/>
  <c r="D555" i="16"/>
  <c r="D491" i="16"/>
  <c r="D245" i="16"/>
  <c r="D391" i="16"/>
  <c r="D446" i="16"/>
  <c r="G1448" i="2"/>
  <c r="G1628" i="2"/>
  <c r="D159" i="16"/>
  <c r="D550" i="16"/>
  <c r="D325" i="16"/>
  <c r="D482" i="16"/>
  <c r="D576" i="16"/>
  <c r="G1148" i="2"/>
  <c r="B99" i="32"/>
  <c r="I4048" i="2"/>
  <c r="D547" i="16"/>
  <c r="D222" i="16"/>
  <c r="G3668" i="2"/>
  <c r="D552" i="16"/>
  <c r="B117" i="32"/>
  <c r="D244" i="16"/>
  <c r="D136" i="16"/>
  <c r="I2888" i="2"/>
  <c r="D240" i="16"/>
  <c r="D207" i="16"/>
  <c r="I3268" i="2"/>
  <c r="D339" i="16"/>
  <c r="D142" i="16"/>
  <c r="G1268" i="2"/>
  <c r="B118" i="30"/>
  <c r="D436" i="16"/>
  <c r="B119" i="32"/>
  <c r="G1188" i="2"/>
  <c r="I3408" i="2"/>
  <c r="G5188" i="2"/>
  <c r="G4768" i="2"/>
  <c r="D426" i="16"/>
  <c r="D636" i="16"/>
  <c r="I3468" i="2"/>
  <c r="D500" i="16"/>
  <c r="G3268" i="2"/>
  <c r="G5468" i="2"/>
  <c r="I5148" i="2"/>
  <c r="D300" i="16"/>
  <c r="D141" i="16"/>
  <c r="G1968" i="2"/>
  <c r="D411" i="16"/>
  <c r="I1748" i="2"/>
  <c r="I4868" i="2"/>
  <c r="D220" i="16"/>
  <c r="I4808" i="2"/>
  <c r="D437" i="16"/>
  <c r="D304" i="16"/>
  <c r="D460" i="16"/>
  <c r="I5828" i="2"/>
  <c r="D410" i="16"/>
  <c r="I2688" i="2"/>
  <c r="D367" i="16"/>
  <c r="I4748" i="2"/>
  <c r="D628" i="16"/>
  <c r="G2828" i="2"/>
  <c r="D226" i="16"/>
  <c r="I3828" i="2"/>
  <c r="D388" i="16"/>
  <c r="G4968" i="2"/>
  <c r="G4088" i="2"/>
  <c r="D194" i="16"/>
  <c r="I1668" i="2"/>
  <c r="D509" i="16"/>
  <c r="B56" i="32"/>
  <c r="D617" i="16"/>
  <c r="D315" i="16"/>
  <c r="I3508" i="2"/>
  <c r="G5228" i="2"/>
  <c r="G5648" i="2"/>
  <c r="D123" i="16"/>
  <c r="D512" i="16"/>
  <c r="G5968" i="2"/>
  <c r="I3228" i="2"/>
  <c r="D400" i="16"/>
  <c r="D474" i="16"/>
  <c r="D399" i="16"/>
  <c r="D656" i="16"/>
  <c r="D549" i="16"/>
  <c r="G5788" i="2"/>
  <c r="D155" i="16"/>
  <c r="D422" i="16"/>
  <c r="D490" i="16"/>
  <c r="D366" i="16"/>
  <c r="I2248" i="2"/>
  <c r="D626" i="16"/>
  <c r="D483" i="16"/>
  <c r="D614" i="16"/>
  <c r="D148" i="16"/>
  <c r="D383" i="16"/>
  <c r="D414" i="16"/>
  <c r="D122" i="16"/>
  <c r="D420" i="16"/>
  <c r="D502" i="16"/>
  <c r="D156" i="16"/>
  <c r="G4788" i="2"/>
  <c r="D546" i="16"/>
  <c r="I1508" i="2"/>
  <c r="D644" i="16"/>
  <c r="G2268" i="2"/>
  <c r="I2188" i="2"/>
  <c r="G4128" i="2"/>
  <c r="D372" i="16"/>
  <c r="D493" i="16"/>
  <c r="D160" i="16"/>
  <c r="I4448" i="2"/>
  <c r="I2408" i="2"/>
  <c r="I4708" i="2"/>
  <c r="I2988" i="2"/>
  <c r="D563" i="16"/>
  <c r="I5968" i="2"/>
  <c r="G4948" i="2"/>
  <c r="I3688" i="2"/>
  <c r="D609" i="16"/>
  <c r="G3608" i="2"/>
  <c r="I5088" i="2"/>
  <c r="D161" i="16"/>
  <c r="D205" i="16"/>
  <c r="D236" i="16"/>
  <c r="D116" i="16"/>
  <c r="I5668" i="2"/>
  <c r="D107" i="16"/>
  <c r="D247" i="16"/>
  <c r="D177" i="16"/>
  <c r="D308" i="16"/>
  <c r="I5328" i="2"/>
  <c r="D394" i="16"/>
  <c r="G4808" i="2"/>
  <c r="D575" i="16"/>
  <c r="D565" i="16"/>
  <c r="I5368" i="2"/>
  <c r="D330" i="16"/>
  <c r="D594" i="16"/>
  <c r="D455" i="16"/>
  <c r="D352" i="16"/>
  <c r="B96" i="32"/>
  <c r="D204" i="16"/>
  <c r="G4708" i="2"/>
  <c r="G4688" i="2"/>
  <c r="D620" i="16"/>
  <c r="D582" i="16"/>
  <c r="G2568" i="2"/>
  <c r="I1148" i="2"/>
  <c r="G2368" i="2"/>
  <c r="D430" i="16"/>
  <c r="I2528" i="2"/>
  <c r="G1428" i="2"/>
  <c r="D332" i="16"/>
  <c r="D291" i="16"/>
  <c r="I5388" i="2"/>
  <c r="D605" i="16"/>
  <c r="D648" i="16"/>
  <c r="D175" i="16"/>
  <c r="G3168" i="2"/>
  <c r="D279" i="16"/>
  <c r="G5108" i="2"/>
  <c r="D120" i="16"/>
  <c r="B59" i="29"/>
  <c r="B75" i="29"/>
  <c r="D373" i="16"/>
  <c r="D260" i="16"/>
  <c r="D251" i="16"/>
  <c r="D216" i="16"/>
  <c r="G3628" i="2"/>
  <c r="I1968" i="2"/>
  <c r="D233" i="16"/>
  <c r="G2448" i="2"/>
  <c r="G3968" i="2"/>
  <c r="G1868" i="2"/>
  <c r="I5688" i="2"/>
  <c r="I5248" i="2"/>
  <c r="D597" i="16"/>
  <c r="B137" i="30"/>
  <c r="D593" i="16"/>
  <c r="B78" i="30"/>
  <c r="G5368" i="2"/>
  <c r="I4968" i="2"/>
  <c r="D228" i="16"/>
  <c r="D489" i="16"/>
  <c r="D309" i="16"/>
  <c r="D508" i="16"/>
  <c r="D651" i="16"/>
  <c r="G2108" i="2"/>
  <c r="D599" i="16"/>
  <c r="D622" i="16"/>
  <c r="D282" i="16"/>
  <c r="D567" i="16"/>
  <c r="D514" i="16"/>
  <c r="G3368" i="2"/>
  <c r="D660" i="16"/>
  <c r="I2968" i="2"/>
  <c r="D380" i="16"/>
  <c r="D661" i="16"/>
  <c r="B59" i="33"/>
  <c r="G3208" i="2"/>
  <c r="I2848" i="2"/>
  <c r="D182" i="16"/>
  <c r="D407" i="16"/>
  <c r="D276" i="16"/>
  <c r="D524" i="16"/>
  <c r="I2728" i="2"/>
  <c r="I3608" i="2"/>
  <c r="D258" i="16"/>
  <c r="I2828" i="2"/>
  <c r="G4568" i="2"/>
  <c r="G5028" i="2"/>
  <c r="D375" i="16"/>
  <c r="I2348" i="2"/>
  <c r="D376" i="16"/>
  <c r="D450" i="16"/>
  <c r="I4088" i="2"/>
  <c r="D645" i="16"/>
  <c r="D349" i="16"/>
  <c r="G5068" i="2"/>
  <c r="D588" i="16"/>
  <c r="D522" i="16"/>
  <c r="D195" i="16"/>
  <c r="G3708" i="2"/>
  <c r="D214" i="16"/>
  <c r="D469" i="16"/>
  <c r="B57" i="32"/>
  <c r="G5168" i="2"/>
  <c r="I1128" i="2"/>
  <c r="D169" i="16"/>
  <c r="D601" i="16"/>
  <c r="G3248" i="2"/>
  <c r="D596" i="16"/>
  <c r="G5348" i="2"/>
  <c r="G4108" i="2"/>
  <c r="D415" i="16"/>
  <c r="G3408" i="2"/>
  <c r="D336" i="16"/>
  <c r="D269" i="16"/>
  <c r="D183" i="16"/>
  <c r="I5748" i="2"/>
  <c r="D545" i="16"/>
  <c r="B59" i="30"/>
  <c r="I5588" i="2"/>
  <c r="D451" i="16"/>
  <c r="D503" i="16"/>
  <c r="G3548" i="2"/>
  <c r="D395" i="16"/>
  <c r="D566" i="16"/>
  <c r="I1948" i="2"/>
  <c r="D523" i="16"/>
  <c r="D427" i="16"/>
  <c r="D139" i="16"/>
  <c r="G3188" i="2"/>
  <c r="B116" i="33"/>
  <c r="I2428" i="2"/>
  <c r="B77" i="29"/>
  <c r="I3728" i="2"/>
  <c r="I4988" i="2"/>
  <c r="G5888" i="2"/>
  <c r="I2168" i="2"/>
  <c r="D611" i="16"/>
  <c r="B115" i="30"/>
  <c r="D610" i="16"/>
  <c r="D650" i="16"/>
  <c r="G4148" i="2"/>
  <c r="B76" i="32"/>
  <c r="D662" i="16"/>
  <c r="G4468" i="2"/>
  <c r="D532" i="16"/>
  <c r="D579" i="16"/>
  <c r="D507" i="16"/>
  <c r="I4528" i="2"/>
  <c r="I2388" i="2"/>
  <c r="I1688" i="2"/>
  <c r="I3248" i="2"/>
  <c r="I1448" i="2"/>
  <c r="D398" i="16"/>
  <c r="D108" i="16"/>
  <c r="D174" i="16"/>
  <c r="G4888" i="2"/>
  <c r="D217" i="16"/>
  <c r="D486" i="16"/>
  <c r="B36" i="33"/>
  <c r="G2768" i="2"/>
  <c r="G2208" i="2"/>
  <c r="D655" i="16"/>
  <c r="D505" i="16"/>
  <c r="D326" i="16"/>
  <c r="D429" i="16"/>
  <c r="I4308" i="2"/>
  <c r="B79" i="33"/>
  <c r="B116" i="30"/>
  <c r="G4188" i="2"/>
  <c r="D574" i="16"/>
  <c r="G5708" i="2"/>
  <c r="D504" i="16"/>
  <c r="D473" i="16"/>
  <c r="D313" i="16"/>
  <c r="G5728" i="2"/>
  <c r="D404" i="16"/>
  <c r="G2488" i="2"/>
  <c r="G1548" i="2"/>
  <c r="G3148" i="2"/>
  <c r="D337" i="16"/>
  <c r="G4228" i="2"/>
  <c r="B77" i="33"/>
  <c r="D586" i="16"/>
  <c r="G3108" i="2"/>
  <c r="G2408" i="2"/>
  <c r="D518" i="16"/>
  <c r="D560" i="16"/>
  <c r="B55" i="33"/>
  <c r="D320" i="16"/>
  <c r="I4248" i="2"/>
  <c r="I1168" i="2"/>
  <c r="B55" i="30"/>
  <c r="D221" i="16"/>
  <c r="G1888" i="2"/>
  <c r="D259" i="16"/>
  <c r="G3128" i="2"/>
  <c r="I3588" i="2"/>
  <c r="D113" i="16"/>
  <c r="D402" i="16"/>
  <c r="G1928" i="2"/>
  <c r="G1248" i="2"/>
  <c r="D374" i="16"/>
  <c r="B77" i="30"/>
  <c r="G2908" i="2"/>
  <c r="I3308" i="2"/>
  <c r="I1108" i="2"/>
  <c r="D513" i="16"/>
  <c r="D484" i="16"/>
  <c r="G2428" i="2"/>
  <c r="G4388" i="2"/>
  <c r="D294" i="16"/>
  <c r="G2748" i="2"/>
  <c r="D173" i="16"/>
  <c r="I5548" i="2"/>
  <c r="D457" i="16"/>
  <c r="D364" i="16"/>
  <c r="D433" i="16"/>
  <c r="I5768" i="2"/>
  <c r="G2628" i="2"/>
  <c r="G4028" i="2"/>
  <c r="I4328" i="2"/>
  <c r="I3668" i="2"/>
  <c r="D284" i="16"/>
  <c r="D499" i="16"/>
  <c r="D150" i="16"/>
  <c r="D145" i="16"/>
  <c r="B78" i="33"/>
  <c r="B115" i="32"/>
  <c r="D329" i="16"/>
  <c r="D573" i="16"/>
  <c r="I4928" i="2"/>
  <c r="G5148" i="2"/>
  <c r="D134" i="16"/>
  <c r="G5048" i="2"/>
  <c r="B99" i="33"/>
  <c r="G5908" i="2"/>
  <c r="I3548" i="2"/>
  <c r="D530" i="16"/>
  <c r="B58" i="30"/>
  <c r="D212" i="16"/>
  <c r="I1808" i="2"/>
  <c r="D397" i="16"/>
  <c r="G1208" i="2"/>
  <c r="D634" i="16"/>
  <c r="D149" i="16"/>
  <c r="D602" i="16"/>
  <c r="D280" i="16"/>
  <c r="G2728" i="2"/>
  <c r="I2468" i="2"/>
  <c r="D571" i="16"/>
  <c r="I4228" i="2"/>
  <c r="G1768" i="2"/>
  <c r="G1828" i="2"/>
  <c r="D298" i="16"/>
  <c r="D559" i="16"/>
  <c r="G5268" i="2"/>
  <c r="D623" i="16"/>
  <c r="D305" i="16"/>
  <c r="D354" i="16"/>
  <c r="D631" i="16"/>
  <c r="D432" i="16"/>
  <c r="B117" i="33"/>
  <c r="I1828" i="2"/>
  <c r="D132" i="16"/>
  <c r="D302" i="16"/>
  <c r="D357" i="16"/>
  <c r="D621" i="16"/>
  <c r="I3428" i="2"/>
  <c r="D627" i="16"/>
  <c r="D392" i="16"/>
  <c r="D356" i="16"/>
  <c r="D421" i="16"/>
  <c r="D495" i="16"/>
  <c r="I4128" i="2"/>
  <c r="D211" i="16"/>
  <c r="B98" i="30"/>
  <c r="G3768" i="2"/>
  <c r="D381" i="16"/>
  <c r="I2588" i="2"/>
  <c r="G5768" i="2"/>
  <c r="I2948" i="2"/>
  <c r="D73" i="16"/>
  <c r="I5528" i="2"/>
  <c r="I5788" i="2"/>
  <c r="B58" i="29"/>
  <c r="D181" i="16"/>
  <c r="I5228" i="2"/>
  <c r="I4368" i="2"/>
  <c r="B35" i="30"/>
  <c r="G2288" i="2"/>
  <c r="G5308" i="2"/>
  <c r="D170" i="16"/>
  <c r="D203" i="16"/>
  <c r="G5448" i="2"/>
  <c r="G4588" i="2"/>
  <c r="I4208" i="2"/>
  <c r="D501" i="16"/>
  <c r="I4888" i="2"/>
  <c r="D561" i="16"/>
  <c r="G3648" i="2"/>
  <c r="G5208" i="2"/>
  <c r="B75" i="33"/>
  <c r="D368" i="16"/>
  <c r="D643" i="16"/>
  <c r="I1888" i="2"/>
  <c r="G3588" i="2"/>
  <c r="I1728" i="2"/>
  <c r="D456" i="16"/>
  <c r="B57" i="29"/>
  <c r="D289" i="16"/>
  <c r="I4508" i="2"/>
  <c r="D218" i="16"/>
  <c r="D646" i="16"/>
  <c r="G5668" i="2"/>
  <c r="D353" i="16"/>
  <c r="I1288" i="2"/>
  <c r="D306" i="16"/>
  <c r="I4168" i="2"/>
  <c r="D428" i="16"/>
  <c r="G5528" i="2"/>
  <c r="I5168" i="2"/>
  <c r="D168" i="16"/>
  <c r="D606" i="16"/>
  <c r="G4548" i="2"/>
  <c r="D301" i="16"/>
  <c r="B95" i="29"/>
  <c r="G4668" i="2"/>
  <c r="G1668" i="2"/>
  <c r="G3688" i="2"/>
  <c r="G3388" i="2"/>
  <c r="I2368" i="2"/>
  <c r="D632" i="16"/>
  <c r="I2668" i="2"/>
  <c r="D558" i="16"/>
  <c r="D408" i="16"/>
  <c r="D162" i="16"/>
  <c r="B76" i="29"/>
  <c r="D464" i="16"/>
  <c r="D556" i="16"/>
  <c r="I2308" i="2"/>
  <c r="G2388" i="2"/>
  <c r="G5388" i="2"/>
  <c r="D629" i="16"/>
  <c r="D600" i="16"/>
  <c r="I5868" i="2"/>
  <c r="B56" i="30"/>
  <c r="I3148" i="2"/>
  <c r="D476" i="16"/>
  <c r="D403" i="16"/>
  <c r="D331" i="16"/>
  <c r="G5588" i="2"/>
  <c r="I1988" i="2"/>
  <c r="I2028" i="2"/>
  <c r="D424" i="16"/>
  <c r="D551" i="16"/>
  <c r="G1608" i="2"/>
  <c r="B96" i="29"/>
  <c r="D167" i="16"/>
  <c r="D360" i="16"/>
  <c r="D333" i="16"/>
  <c r="I1268" i="2"/>
  <c r="D285" i="16"/>
  <c r="I1048" i="2"/>
  <c r="D447" i="16"/>
  <c r="I4428" i="2"/>
  <c r="I2568" i="2"/>
  <c r="D187" i="16"/>
  <c r="I4608" i="2"/>
  <c r="D459" i="16"/>
  <c r="D520" i="16"/>
  <c r="D293" i="16"/>
  <c r="D365" i="16"/>
  <c r="D191" i="16"/>
  <c r="G4408" i="2"/>
  <c r="I1568" i="2"/>
  <c r="G1788" i="2"/>
  <c r="G5748" i="2"/>
  <c r="G1808" i="2"/>
  <c r="G4988" i="2"/>
  <c r="D570" i="16"/>
  <c r="D362" i="16"/>
  <c r="B59" i="32"/>
  <c r="G2888" i="2"/>
  <c r="D540" i="16"/>
  <c r="G2008" i="2"/>
  <c r="D406" i="16"/>
  <c r="D638" i="16"/>
  <c r="I4668" i="2"/>
  <c r="I4028" i="2"/>
  <c r="G1328" i="2"/>
  <c r="I4108" i="2"/>
  <c r="G1348" i="2"/>
  <c r="I4848" i="2"/>
  <c r="B136" i="33"/>
  <c r="G2148" i="2"/>
  <c r="D583" i="16"/>
  <c r="D179" i="16"/>
  <c r="I1368" i="2"/>
  <c r="D151" i="16"/>
  <c r="G1488" i="2"/>
  <c r="D303" i="16"/>
  <c r="D322" i="16"/>
  <c r="G2228" i="2"/>
  <c r="D278" i="16"/>
  <c r="G4168" i="2"/>
  <c r="D498" i="16"/>
  <c r="I1548" i="2"/>
  <c r="I1328" i="2"/>
  <c r="D618" i="16"/>
  <c r="I5908" i="2"/>
  <c r="D256" i="16"/>
  <c r="D553" i="16"/>
  <c r="D608" i="16"/>
  <c r="D480" i="16"/>
  <c r="G2248" i="2"/>
  <c r="I2228" i="2"/>
  <c r="D379" i="16"/>
  <c r="D317" i="16"/>
  <c r="D185" i="16"/>
  <c r="D296" i="16"/>
  <c r="D215" i="16"/>
  <c r="D310" i="16"/>
  <c r="I5008" i="2"/>
  <c r="I4348" i="2"/>
  <c r="I2068" i="2"/>
  <c r="G3348" i="2"/>
  <c r="G4828" i="2"/>
  <c r="G2848" i="2"/>
  <c r="D281" i="16"/>
  <c r="D152" i="16"/>
  <c r="D657" i="16"/>
  <c r="D393" i="16"/>
  <c r="D359" i="16"/>
  <c r="D639" i="16"/>
  <c r="G2188" i="2"/>
  <c r="D619" i="16"/>
  <c r="D115" i="16"/>
  <c r="D444" i="16"/>
  <c r="D249" i="16"/>
  <c r="G3288" i="2"/>
  <c r="D283" i="16"/>
  <c r="D468" i="16"/>
  <c r="G2688" i="2"/>
  <c r="D515" i="16"/>
  <c r="D581" i="16"/>
  <c r="G4728" i="2"/>
  <c r="D492" i="16"/>
  <c r="D208" i="16"/>
  <c r="G3028" i="2"/>
  <c r="G5508" i="2"/>
  <c r="D355" i="16"/>
  <c r="D544" i="16"/>
  <c r="G5948" i="2"/>
  <c r="D390" i="16"/>
  <c r="I2928" i="2"/>
  <c r="B55" i="32"/>
  <c r="B97" i="32"/>
  <c r="I1068" i="2"/>
  <c r="I3708" i="2"/>
  <c r="D273" i="16"/>
  <c r="G3488" i="2"/>
  <c r="D248" i="16"/>
  <c r="D598" i="16"/>
  <c r="I2128" i="2"/>
  <c r="B95" i="32"/>
  <c r="D321" i="16"/>
  <c r="D528" i="16"/>
  <c r="D511" i="16"/>
  <c r="I5468" i="2"/>
  <c r="D172" i="16"/>
  <c r="D193" i="16"/>
  <c r="D569" i="16"/>
  <c r="D263" i="16"/>
  <c r="G2168" i="2"/>
  <c r="I5188" i="2"/>
  <c r="D659" i="16"/>
  <c r="G4608" i="2"/>
  <c r="G3048" i="2"/>
  <c r="I3948" i="2"/>
  <c r="D147" i="16"/>
  <c r="D314" i="16"/>
  <c r="I4628" i="2"/>
  <c r="G5288" i="2"/>
  <c r="I5028" i="2"/>
  <c r="D189" i="16"/>
  <c r="I1528" i="2"/>
  <c r="G3448" i="2"/>
  <c r="D533" i="16"/>
  <c r="D465" i="16"/>
  <c r="D131" i="16"/>
  <c r="D111" i="16"/>
  <c r="B76" i="33"/>
  <c r="I3048" i="2"/>
  <c r="I3528" i="2"/>
  <c r="D401" i="16"/>
  <c r="G2648" i="2"/>
  <c r="G4328" i="2"/>
  <c r="D231" i="16"/>
  <c r="D190" i="16"/>
  <c r="D264" i="16"/>
  <c r="I1628" i="2"/>
  <c r="G1168" i="2"/>
  <c r="I2608" i="2"/>
  <c r="G3888" i="2"/>
  <c r="D521" i="16"/>
  <c r="D274" i="16"/>
  <c r="D252" i="16"/>
  <c r="D635" i="16"/>
  <c r="D439" i="16"/>
  <c r="D312" i="16"/>
  <c r="D481" i="16"/>
  <c r="I2328" i="2"/>
  <c r="G1908" i="2"/>
  <c r="G1728" i="2"/>
  <c r="I5808" i="2"/>
  <c r="I4288" i="2"/>
  <c r="D361" i="16"/>
  <c r="D630" i="16"/>
  <c r="G5408" i="2"/>
  <c r="D345" i="16"/>
  <c r="I2868" i="2"/>
  <c r="I2008" i="2"/>
  <c r="I5208" i="2"/>
  <c r="G3848" i="2"/>
  <c r="G2348" i="2"/>
  <c r="D577" i="16"/>
  <c r="D319" i="16"/>
  <c r="D316" i="16"/>
  <c r="I4728" i="2"/>
  <c r="D112" i="16"/>
  <c r="G5808" i="2"/>
  <c r="I5608" i="2"/>
  <c r="D649" i="16"/>
  <c r="D443" i="16"/>
  <c r="I3368" i="2"/>
  <c r="D288" i="16"/>
  <c r="I1308" i="2"/>
  <c r="D176" i="16"/>
  <c r="I3908" i="2"/>
  <c r="D184" i="16"/>
  <c r="D592" i="16"/>
  <c r="I4408" i="2"/>
  <c r="D114" i="16"/>
  <c r="I4908" i="2"/>
  <c r="D604" i="16"/>
  <c r="D153" i="16"/>
  <c r="G1748" i="2"/>
  <c r="D328" i="16"/>
  <c r="I1848" i="2"/>
  <c r="D213" i="16"/>
  <c r="D543" i="16"/>
  <c r="I1768" i="2"/>
  <c r="D412" i="16"/>
  <c r="D232" i="16"/>
  <c r="D206" i="16"/>
  <c r="I3848" i="2"/>
  <c r="G5828" i="2"/>
  <c r="G1468" i="2"/>
  <c r="G3788" i="2"/>
  <c r="G2868" i="2"/>
  <c r="D227" i="16"/>
  <c r="B115" i="29"/>
  <c r="D612" i="16"/>
  <c r="D454" i="16"/>
  <c r="G3828" i="2"/>
  <c r="I4188" i="2"/>
  <c r="D341" i="16"/>
  <c r="D202" i="16"/>
  <c r="I2808" i="2"/>
  <c r="I3108" i="2"/>
  <c r="G2088" i="2"/>
  <c r="G3008" i="2"/>
  <c r="I1608" i="2"/>
  <c r="I3488" i="2"/>
  <c r="G4868" i="2"/>
  <c r="I4828" i="2"/>
  <c r="I4068" i="2"/>
  <c r="G2068" i="2"/>
  <c r="D363" i="16"/>
  <c r="D275" i="16"/>
  <c r="D117" i="16"/>
  <c r="I5428" i="2"/>
  <c r="D470" i="16"/>
  <c r="D254" i="16"/>
  <c r="D163" i="16"/>
  <c r="G4848" i="2"/>
  <c r="D223" i="16"/>
  <c r="I4688" i="2"/>
  <c r="I2788" i="2"/>
  <c r="I4148" i="2"/>
  <c r="D431" i="16"/>
  <c r="D234" i="16"/>
  <c r="I1588" i="2"/>
  <c r="G5248" i="2"/>
  <c r="D487" i="16"/>
  <c r="I2088" i="2"/>
  <c r="G3428" i="2"/>
  <c r="D527" i="16"/>
  <c r="B55" i="29"/>
  <c r="G3728" i="2"/>
  <c r="D585" i="16"/>
  <c r="D318" i="16"/>
  <c r="I3968" i="2"/>
  <c r="D475" i="16"/>
  <c r="G3508" i="2"/>
  <c r="D603" i="16"/>
  <c r="D295" i="16"/>
  <c r="G5848" i="2"/>
  <c r="I2908" i="2"/>
  <c r="D342" i="16"/>
  <c r="G5548" i="2"/>
  <c r="D653" i="16"/>
  <c r="B56" i="33"/>
  <c r="D417" i="16"/>
  <c r="G3908" i="2"/>
  <c r="G3068" i="2"/>
  <c r="G5328" i="2"/>
  <c r="D180" i="16"/>
  <c r="D472" i="16"/>
  <c r="G5988" i="2"/>
  <c r="G3948" i="2"/>
  <c r="D370" i="16"/>
  <c r="D461" i="16"/>
  <c r="D471" i="16"/>
  <c r="G2048" i="2"/>
  <c r="D496" i="16"/>
  <c r="G5428" i="2"/>
  <c r="D327" i="16"/>
  <c r="B76" i="30"/>
  <c r="G3528" i="2"/>
  <c r="D387" i="16"/>
  <c r="D531" i="16"/>
  <c r="B156" i="30"/>
  <c r="I3188" i="2"/>
  <c r="D506" i="16"/>
  <c r="D423" i="16"/>
  <c r="I5628" i="2"/>
  <c r="D377" i="16"/>
  <c r="D458" i="16"/>
  <c r="I3628" i="2"/>
  <c r="D348" i="16"/>
  <c r="D595" i="16"/>
  <c r="B97" i="29"/>
  <c r="I2548" i="2"/>
  <c r="I4588" i="2"/>
  <c r="D409" i="16"/>
  <c r="D425" i="16"/>
  <c r="G1368" i="2"/>
  <c r="I4648" i="2"/>
  <c r="D119" i="16"/>
  <c r="G5008" i="2"/>
  <c r="I5928" i="2"/>
  <c r="I5728" i="2"/>
  <c r="G1288" i="2"/>
  <c r="D192" i="16"/>
  <c r="G4428" i="2"/>
  <c r="G3928" i="2"/>
  <c r="D239" i="16"/>
  <c r="D647" i="16"/>
  <c r="B75" i="32"/>
  <c r="G5628" i="2"/>
  <c r="I3288" i="2"/>
  <c r="D386" i="16"/>
  <c r="B97" i="33"/>
  <c r="I2288" i="2"/>
  <c r="D385" i="16"/>
  <c r="B98" i="32"/>
  <c r="I3648" i="2"/>
  <c r="I1228" i="2"/>
  <c r="D241" i="16"/>
  <c r="D157" i="16"/>
  <c r="D497" i="16"/>
  <c r="G4908" i="2"/>
  <c r="B75" i="30"/>
  <c r="I2508" i="2"/>
  <c r="I1428" i="2"/>
  <c r="I1868" i="2"/>
  <c r="D642" i="16"/>
  <c r="D257" i="16"/>
  <c r="G3468" i="2"/>
  <c r="B78" i="29"/>
  <c r="B56" i="29"/>
  <c r="D441" i="16"/>
  <c r="D525" i="16"/>
  <c r="I5708" i="2"/>
  <c r="I2768" i="2"/>
  <c r="D526" i="16"/>
  <c r="D265" i="16"/>
  <c r="D572" i="16"/>
  <c r="D242" i="16"/>
  <c r="D271" i="16"/>
  <c r="B137" i="32"/>
  <c r="B78" i="32"/>
  <c r="G4488" i="2"/>
  <c r="D246" i="16"/>
  <c r="I3008" i="2"/>
  <c r="I4948" i="2"/>
  <c r="D607" i="16"/>
  <c r="D340" i="16"/>
  <c r="B58" i="33"/>
  <c r="I1908" i="2"/>
  <c r="G4008" i="2"/>
  <c r="G4508" i="2"/>
  <c r="B119" i="33"/>
  <c r="G1408" i="2"/>
  <c r="I5048" i="2"/>
  <c r="G2788" i="2"/>
  <c r="B58" i="32"/>
  <c r="I3808" i="2"/>
  <c r="D587" i="16"/>
  <c r="G2528" i="2"/>
  <c r="G1648" i="2"/>
  <c r="G4748" i="2"/>
  <c r="G1988" i="2"/>
  <c r="D625" i="16"/>
  <c r="G1388" i="2"/>
  <c r="G1948" i="2"/>
  <c r="I4468" i="2"/>
  <c r="D334" i="16"/>
  <c r="B79" i="29"/>
  <c r="D554" i="16"/>
  <c r="D146" i="16"/>
  <c r="D196" i="16"/>
  <c r="D389" i="16"/>
  <c r="G2808" i="2"/>
  <c r="G4348" i="2"/>
  <c r="D519" i="16"/>
  <c r="I5848" i="2"/>
  <c r="G2968" i="2"/>
  <c r="D396" i="16"/>
  <c r="B36" i="30"/>
  <c r="G5568" i="2"/>
  <c r="G5569" i="2" l="1"/>
  <c r="G5570" i="2" s="1"/>
  <c r="G5571" i="2" s="1"/>
  <c r="G5572" i="2" s="1"/>
  <c r="G5573" i="2" s="1"/>
  <c r="G5574" i="2" s="1"/>
  <c r="G2969" i="2"/>
  <c r="G2970" i="2" s="1"/>
  <c r="G2971" i="2" s="1"/>
  <c r="G2972" i="2" s="1"/>
  <c r="G2973" i="2" s="1"/>
  <c r="G2974" i="2" s="1"/>
  <c r="I5849" i="2"/>
  <c r="I5850" i="2" s="1"/>
  <c r="I5851" i="2" s="1"/>
  <c r="I5852" i="2" s="1"/>
  <c r="I5853" i="2" s="1"/>
  <c r="I5854" i="2" s="1"/>
  <c r="I5855" i="2" s="1"/>
  <c r="I5856" i="2" s="1"/>
  <c r="I5857" i="2" s="1"/>
  <c r="I5858" i="2" s="1"/>
  <c r="I5859" i="2" s="1"/>
  <c r="I5860" i="2" s="1"/>
  <c r="I5861" i="2" s="1"/>
  <c r="I5862" i="2" s="1"/>
  <c r="I5863" i="2" s="1"/>
  <c r="I5864" i="2" s="1"/>
  <c r="I5865" i="2" s="1"/>
  <c r="I5866" i="2" s="1"/>
  <c r="I5867" i="2" s="1"/>
  <c r="G4349" i="2"/>
  <c r="G4350" i="2" s="1"/>
  <c r="G4351" i="2" s="1"/>
  <c r="G4352" i="2" s="1"/>
  <c r="G4353" i="2" s="1"/>
  <c r="G4354" i="2" s="1"/>
  <c r="G2809" i="2"/>
  <c r="G2810" i="2" s="1"/>
  <c r="G2811" i="2" s="1"/>
  <c r="G2812" i="2" s="1"/>
  <c r="G2813" i="2" s="1"/>
  <c r="G2814" i="2" s="1"/>
  <c r="I4469" i="2"/>
  <c r="I4470" i="2" s="1"/>
  <c r="I4471" i="2" s="1"/>
  <c r="I4472" i="2" s="1"/>
  <c r="I4473" i="2" s="1"/>
  <c r="I4474" i="2" s="1"/>
  <c r="I4475" i="2" s="1"/>
  <c r="I4476" i="2" s="1"/>
  <c r="I4477" i="2" s="1"/>
  <c r="I4478" i="2" s="1"/>
  <c r="I4479" i="2" s="1"/>
  <c r="I4480" i="2" s="1"/>
  <c r="I4481" i="2" s="1"/>
  <c r="I4482" i="2" s="1"/>
  <c r="I4483" i="2" s="1"/>
  <c r="I4484" i="2" s="1"/>
  <c r="I4485" i="2" s="1"/>
  <c r="I4486" i="2" s="1"/>
  <c r="I4487" i="2" s="1"/>
  <c r="G1949" i="2"/>
  <c r="G1950" i="2" s="1"/>
  <c r="G1951" i="2" s="1"/>
  <c r="G1952" i="2" s="1"/>
  <c r="G1953" i="2" s="1"/>
  <c r="G1954" i="2" s="1"/>
  <c r="G1389" i="2"/>
  <c r="G1390" i="2" s="1"/>
  <c r="G1391" i="2" s="1"/>
  <c r="G1392" i="2" s="1"/>
  <c r="G1393" i="2" s="1"/>
  <c r="G1394" i="2" s="1"/>
  <c r="G1395" i="2" s="1"/>
  <c r="G1989" i="2"/>
  <c r="G1990" i="2" s="1"/>
  <c r="G1991" i="2" s="1"/>
  <c r="G1992" i="2" s="1"/>
  <c r="G1993" i="2" s="1"/>
  <c r="G1994" i="2" s="1"/>
  <c r="G4749" i="2"/>
  <c r="G4750" i="2" s="1"/>
  <c r="G4751" i="2" s="1"/>
  <c r="G4752" i="2" s="1"/>
  <c r="G4753" i="2" s="1"/>
  <c r="G4754" i="2" s="1"/>
  <c r="G1649" i="2"/>
  <c r="G1650" i="2" s="1"/>
  <c r="G1651" i="2" s="1"/>
  <c r="G1652" i="2" s="1"/>
  <c r="G1653" i="2" s="1"/>
  <c r="G1654" i="2" s="1"/>
  <c r="G2529" i="2"/>
  <c r="G2530" i="2" s="1"/>
  <c r="G2531" i="2" s="1"/>
  <c r="G2532" i="2" s="1"/>
  <c r="G2533" i="2" s="1"/>
  <c r="G2534" i="2" s="1"/>
  <c r="I3809" i="2"/>
  <c r="I3810" i="2" s="1"/>
  <c r="I3811" i="2" s="1"/>
  <c r="I3812" i="2" s="1"/>
  <c r="I3813" i="2" s="1"/>
  <c r="I3814" i="2" s="1"/>
  <c r="I3815" i="2" s="1"/>
  <c r="I3816" i="2" s="1"/>
  <c r="I3817" i="2" s="1"/>
  <c r="I3818" i="2" s="1"/>
  <c r="I3819" i="2" s="1"/>
  <c r="I3820" i="2" s="1"/>
  <c r="I3821" i="2" s="1"/>
  <c r="I3822" i="2" s="1"/>
  <c r="I3823" i="2" s="1"/>
  <c r="I3824" i="2" s="1"/>
  <c r="I3825" i="2" s="1"/>
  <c r="I3826" i="2" s="1"/>
  <c r="I3827" i="2" s="1"/>
  <c r="G2789" i="2"/>
  <c r="G2790" i="2" s="1"/>
  <c r="G2791" i="2" s="1"/>
  <c r="G2792" i="2" s="1"/>
  <c r="G2793" i="2" s="1"/>
  <c r="G2794" i="2" s="1"/>
  <c r="I5049" i="2"/>
  <c r="I5050" i="2" s="1"/>
  <c r="I5051" i="2" s="1"/>
  <c r="I5052" i="2" s="1"/>
  <c r="I5053" i="2" s="1"/>
  <c r="I5054" i="2" s="1"/>
  <c r="I5055" i="2" s="1"/>
  <c r="I5056" i="2" s="1"/>
  <c r="I5057" i="2" s="1"/>
  <c r="I5058" i="2" s="1"/>
  <c r="I5059" i="2" s="1"/>
  <c r="I5060" i="2" s="1"/>
  <c r="I5061" i="2" s="1"/>
  <c r="I5062" i="2" s="1"/>
  <c r="I5063" i="2" s="1"/>
  <c r="I5064" i="2" s="1"/>
  <c r="I5065" i="2" s="1"/>
  <c r="I5066" i="2" s="1"/>
  <c r="I5067" i="2" s="1"/>
  <c r="G1409" i="2"/>
  <c r="G1410" i="2" s="1"/>
  <c r="G1411" i="2" s="1"/>
  <c r="G1412" i="2" s="1"/>
  <c r="G1413" i="2" s="1"/>
  <c r="G1414" i="2" s="1"/>
  <c r="G4509" i="2"/>
  <c r="G4510" i="2" s="1"/>
  <c r="G4511" i="2" s="1"/>
  <c r="G4512" i="2" s="1"/>
  <c r="G4513" i="2" s="1"/>
  <c r="G4514" i="2" s="1"/>
  <c r="G4009" i="2"/>
  <c r="G4010" i="2" s="1"/>
  <c r="G4011" i="2" s="1"/>
  <c r="G4012" i="2" s="1"/>
  <c r="G4013" i="2" s="1"/>
  <c r="G4014" i="2" s="1"/>
  <c r="I1909" i="2"/>
  <c r="I1910" i="2" s="1"/>
  <c r="I1911" i="2" s="1"/>
  <c r="I1912" i="2" s="1"/>
  <c r="I1913" i="2" s="1"/>
  <c r="I1914" i="2" s="1"/>
  <c r="I1915" i="2" s="1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4949" i="2"/>
  <c r="I4950" i="2" s="1"/>
  <c r="I4951" i="2" s="1"/>
  <c r="I4952" i="2" s="1"/>
  <c r="I4953" i="2" s="1"/>
  <c r="I4954" i="2" s="1"/>
  <c r="I4955" i="2" s="1"/>
  <c r="I4956" i="2" s="1"/>
  <c r="I4957" i="2" s="1"/>
  <c r="I4958" i="2" s="1"/>
  <c r="I4959" i="2" s="1"/>
  <c r="I4960" i="2" s="1"/>
  <c r="I4961" i="2" s="1"/>
  <c r="I4962" i="2" s="1"/>
  <c r="I4963" i="2" s="1"/>
  <c r="I4964" i="2" s="1"/>
  <c r="I4965" i="2" s="1"/>
  <c r="I4966" i="2" s="1"/>
  <c r="I4967" i="2" s="1"/>
  <c r="I3009" i="2"/>
  <c r="I3010" i="2" s="1"/>
  <c r="I3011" i="2" s="1"/>
  <c r="I3012" i="2" s="1"/>
  <c r="I3013" i="2" s="1"/>
  <c r="I3014" i="2" s="1"/>
  <c r="I3015" i="2" s="1"/>
  <c r="I3016" i="2" s="1"/>
  <c r="I3017" i="2" s="1"/>
  <c r="I3018" i="2" s="1"/>
  <c r="I3019" i="2" s="1"/>
  <c r="I3020" i="2" s="1"/>
  <c r="I3021" i="2" s="1"/>
  <c r="I3022" i="2" s="1"/>
  <c r="I3023" i="2" s="1"/>
  <c r="I3024" i="2" s="1"/>
  <c r="I3025" i="2" s="1"/>
  <c r="I3026" i="2" s="1"/>
  <c r="I3027" i="2" s="1"/>
  <c r="G4489" i="2"/>
  <c r="G4490" i="2" s="1"/>
  <c r="G4491" i="2" s="1"/>
  <c r="G4492" i="2" s="1"/>
  <c r="G4493" i="2" s="1"/>
  <c r="G4494" i="2" s="1"/>
  <c r="I2769" i="2"/>
  <c r="I2770" i="2" s="1"/>
  <c r="I2771" i="2" s="1"/>
  <c r="I2772" i="2" s="1"/>
  <c r="I2773" i="2" s="1"/>
  <c r="I2774" i="2" s="1"/>
  <c r="I2775" i="2" s="1"/>
  <c r="I2776" i="2" s="1"/>
  <c r="I2777" i="2" s="1"/>
  <c r="I2778" i="2" s="1"/>
  <c r="I2779" i="2" s="1"/>
  <c r="I2780" i="2" s="1"/>
  <c r="I2781" i="2" s="1"/>
  <c r="I2782" i="2" s="1"/>
  <c r="I2783" i="2" s="1"/>
  <c r="I2784" i="2" s="1"/>
  <c r="I2785" i="2" s="1"/>
  <c r="I2786" i="2" s="1"/>
  <c r="I2787" i="2" s="1"/>
  <c r="I5709" i="2"/>
  <c r="I5710" i="2" s="1"/>
  <c r="I5711" i="2" s="1"/>
  <c r="I5712" i="2" s="1"/>
  <c r="I5713" i="2" s="1"/>
  <c r="I5714" i="2" s="1"/>
  <c r="I5715" i="2" s="1"/>
  <c r="I5716" i="2" s="1"/>
  <c r="I5717" i="2" s="1"/>
  <c r="I5718" i="2" s="1"/>
  <c r="I5719" i="2" s="1"/>
  <c r="I5720" i="2" s="1"/>
  <c r="I5721" i="2" s="1"/>
  <c r="I5722" i="2" s="1"/>
  <c r="I5723" i="2" s="1"/>
  <c r="I5724" i="2" s="1"/>
  <c r="I5725" i="2" s="1"/>
  <c r="I5726" i="2" s="1"/>
  <c r="I5727" i="2" s="1"/>
  <c r="G3469" i="2"/>
  <c r="G3470" i="2" s="1"/>
  <c r="G3471" i="2" s="1"/>
  <c r="G3472" i="2" s="1"/>
  <c r="G3473" i="2" s="1"/>
  <c r="G3474" i="2" s="1"/>
  <c r="I1869" i="2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429" i="2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2509" i="2"/>
  <c r="I2510" i="2" s="1"/>
  <c r="I2511" i="2" s="1"/>
  <c r="I2512" i="2" s="1"/>
  <c r="I2513" i="2" s="1"/>
  <c r="I2514" i="2" s="1"/>
  <c r="I2515" i="2" s="1"/>
  <c r="I2516" i="2" s="1"/>
  <c r="I2517" i="2" s="1"/>
  <c r="I2518" i="2" s="1"/>
  <c r="I2519" i="2" s="1"/>
  <c r="I2520" i="2" s="1"/>
  <c r="I2521" i="2" s="1"/>
  <c r="I2522" i="2" s="1"/>
  <c r="I2523" i="2" s="1"/>
  <c r="I2524" i="2" s="1"/>
  <c r="I2525" i="2" s="1"/>
  <c r="I2526" i="2" s="1"/>
  <c r="I2527" i="2" s="1"/>
  <c r="G4909" i="2"/>
  <c r="G4910" i="2" s="1"/>
  <c r="G4911" i="2" s="1"/>
  <c r="G4912" i="2" s="1"/>
  <c r="G4913" i="2" s="1"/>
  <c r="G4914" i="2" s="1"/>
  <c r="I1229" i="2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3649" i="2"/>
  <c r="I3650" i="2" s="1"/>
  <c r="I3651" i="2" s="1"/>
  <c r="I3652" i="2" s="1"/>
  <c r="I3653" i="2" s="1"/>
  <c r="I3654" i="2" s="1"/>
  <c r="I3655" i="2" s="1"/>
  <c r="I3656" i="2" s="1"/>
  <c r="I3657" i="2" s="1"/>
  <c r="I3658" i="2" s="1"/>
  <c r="I3659" i="2" s="1"/>
  <c r="I3660" i="2" s="1"/>
  <c r="I3661" i="2" s="1"/>
  <c r="I3662" i="2" s="1"/>
  <c r="I3663" i="2" s="1"/>
  <c r="I3664" i="2" s="1"/>
  <c r="I3665" i="2" s="1"/>
  <c r="I3666" i="2" s="1"/>
  <c r="I3667" i="2" s="1"/>
  <c r="I2289" i="2"/>
  <c r="I2290" i="2" s="1"/>
  <c r="I2291" i="2" s="1"/>
  <c r="I2292" i="2" s="1"/>
  <c r="I2293" i="2" s="1"/>
  <c r="I2294" i="2" s="1"/>
  <c r="I2295" i="2" s="1"/>
  <c r="I2296" i="2" s="1"/>
  <c r="I2297" i="2" s="1"/>
  <c r="I2298" i="2" s="1"/>
  <c r="I2299" i="2" s="1"/>
  <c r="I2300" i="2" s="1"/>
  <c r="I2301" i="2" s="1"/>
  <c r="I2302" i="2" s="1"/>
  <c r="I2303" i="2" s="1"/>
  <c r="I2304" i="2" s="1"/>
  <c r="I2305" i="2" s="1"/>
  <c r="I2306" i="2" s="1"/>
  <c r="I2307" i="2" s="1"/>
  <c r="I3289" i="2"/>
  <c r="I3290" i="2" s="1"/>
  <c r="I3291" i="2" s="1"/>
  <c r="I3292" i="2" s="1"/>
  <c r="I3293" i="2" s="1"/>
  <c r="I3294" i="2" s="1"/>
  <c r="I3295" i="2" s="1"/>
  <c r="I3296" i="2" s="1"/>
  <c r="I3297" i="2" s="1"/>
  <c r="I3298" i="2" s="1"/>
  <c r="I3299" i="2" s="1"/>
  <c r="I3300" i="2" s="1"/>
  <c r="I3301" i="2" s="1"/>
  <c r="I3302" i="2" s="1"/>
  <c r="I3303" i="2" s="1"/>
  <c r="I3304" i="2" s="1"/>
  <c r="I3305" i="2" s="1"/>
  <c r="I3306" i="2" s="1"/>
  <c r="I3307" i="2" s="1"/>
  <c r="G5629" i="2"/>
  <c r="G5630" i="2" s="1"/>
  <c r="G5631" i="2" s="1"/>
  <c r="G5632" i="2" s="1"/>
  <c r="G5633" i="2" s="1"/>
  <c r="G5634" i="2" s="1"/>
  <c r="G3929" i="2"/>
  <c r="G3930" i="2" s="1"/>
  <c r="G3931" i="2" s="1"/>
  <c r="G3932" i="2" s="1"/>
  <c r="G3933" i="2" s="1"/>
  <c r="G3934" i="2" s="1"/>
  <c r="G4429" i="2"/>
  <c r="G4430" i="2" s="1"/>
  <c r="G4431" i="2" s="1"/>
  <c r="G4432" i="2" s="1"/>
  <c r="G4433" i="2" s="1"/>
  <c r="G4434" i="2" s="1"/>
  <c r="G1289" i="2"/>
  <c r="G1290" i="2" s="1"/>
  <c r="G1291" i="2" s="1"/>
  <c r="G1292" i="2" s="1"/>
  <c r="G1293" i="2" s="1"/>
  <c r="G1294" i="2" s="1"/>
  <c r="I5729" i="2"/>
  <c r="I5730" i="2" s="1"/>
  <c r="I5731" i="2" s="1"/>
  <c r="I5732" i="2" s="1"/>
  <c r="I5733" i="2" s="1"/>
  <c r="I5734" i="2" s="1"/>
  <c r="I5735" i="2" s="1"/>
  <c r="I5736" i="2" s="1"/>
  <c r="I5737" i="2" s="1"/>
  <c r="I5738" i="2" s="1"/>
  <c r="I5739" i="2" s="1"/>
  <c r="I5740" i="2" s="1"/>
  <c r="I5741" i="2" s="1"/>
  <c r="I5742" i="2" s="1"/>
  <c r="I5743" i="2" s="1"/>
  <c r="I5744" i="2" s="1"/>
  <c r="I5745" i="2" s="1"/>
  <c r="I5746" i="2" s="1"/>
  <c r="I5747" i="2" s="1"/>
  <c r="I5929" i="2"/>
  <c r="I5930" i="2" s="1"/>
  <c r="I5931" i="2" s="1"/>
  <c r="I5932" i="2" s="1"/>
  <c r="I5933" i="2" s="1"/>
  <c r="I5934" i="2" s="1"/>
  <c r="I5935" i="2" s="1"/>
  <c r="I5936" i="2" s="1"/>
  <c r="I5937" i="2" s="1"/>
  <c r="I5938" i="2" s="1"/>
  <c r="I5939" i="2" s="1"/>
  <c r="I5940" i="2" s="1"/>
  <c r="I5941" i="2" s="1"/>
  <c r="I5942" i="2" s="1"/>
  <c r="I5943" i="2" s="1"/>
  <c r="I5944" i="2" s="1"/>
  <c r="I5945" i="2" s="1"/>
  <c r="I5946" i="2" s="1"/>
  <c r="I5947" i="2" s="1"/>
  <c r="G5009" i="2"/>
  <c r="G5010" i="2" s="1"/>
  <c r="G5011" i="2" s="1"/>
  <c r="G5012" i="2" s="1"/>
  <c r="G5013" i="2" s="1"/>
  <c r="G5014" i="2" s="1"/>
  <c r="G5015" i="2" s="1"/>
  <c r="I4649" i="2"/>
  <c r="I4650" i="2" s="1"/>
  <c r="I4651" i="2" s="1"/>
  <c r="I4652" i="2" s="1"/>
  <c r="I4653" i="2" s="1"/>
  <c r="I4654" i="2" s="1"/>
  <c r="I4655" i="2" s="1"/>
  <c r="I4656" i="2" s="1"/>
  <c r="I4657" i="2" s="1"/>
  <c r="I4658" i="2" s="1"/>
  <c r="I4659" i="2" s="1"/>
  <c r="I4660" i="2" s="1"/>
  <c r="I4661" i="2" s="1"/>
  <c r="I4662" i="2" s="1"/>
  <c r="I4663" i="2" s="1"/>
  <c r="I4664" i="2" s="1"/>
  <c r="I4665" i="2" s="1"/>
  <c r="I4666" i="2" s="1"/>
  <c r="I4667" i="2" s="1"/>
  <c r="G1369" i="2"/>
  <c r="G1370" i="2" s="1"/>
  <c r="G1371" i="2" s="1"/>
  <c r="G1372" i="2" s="1"/>
  <c r="G1373" i="2" s="1"/>
  <c r="G1374" i="2" s="1"/>
  <c r="I4589" i="2"/>
  <c r="I4590" i="2" s="1"/>
  <c r="I4591" i="2" s="1"/>
  <c r="I4592" i="2" s="1"/>
  <c r="I4593" i="2" s="1"/>
  <c r="I4594" i="2" s="1"/>
  <c r="I4595" i="2" s="1"/>
  <c r="I4596" i="2" s="1"/>
  <c r="I4597" i="2" s="1"/>
  <c r="I4598" i="2" s="1"/>
  <c r="I4599" i="2" s="1"/>
  <c r="I4600" i="2" s="1"/>
  <c r="I4601" i="2" s="1"/>
  <c r="I4602" i="2" s="1"/>
  <c r="I4603" i="2" s="1"/>
  <c r="I4604" i="2" s="1"/>
  <c r="I4605" i="2" s="1"/>
  <c r="I4606" i="2" s="1"/>
  <c r="I4607" i="2" s="1"/>
  <c r="I2549" i="2"/>
  <c r="I2550" i="2" s="1"/>
  <c r="I2551" i="2" s="1"/>
  <c r="I2552" i="2" s="1"/>
  <c r="I2553" i="2" s="1"/>
  <c r="I2554" i="2" s="1"/>
  <c r="I2555" i="2" s="1"/>
  <c r="I2556" i="2" s="1"/>
  <c r="I2557" i="2" s="1"/>
  <c r="I2558" i="2" s="1"/>
  <c r="I2559" i="2" s="1"/>
  <c r="I2560" i="2" s="1"/>
  <c r="I2561" i="2" s="1"/>
  <c r="I2562" i="2" s="1"/>
  <c r="I2563" i="2" s="1"/>
  <c r="I2564" i="2" s="1"/>
  <c r="I2565" i="2" s="1"/>
  <c r="I2566" i="2" s="1"/>
  <c r="I2567" i="2" s="1"/>
  <c r="I3629" i="2"/>
  <c r="I3630" i="2" s="1"/>
  <c r="I3631" i="2" s="1"/>
  <c r="I3632" i="2" s="1"/>
  <c r="I3633" i="2" s="1"/>
  <c r="I3634" i="2" s="1"/>
  <c r="I3635" i="2" s="1"/>
  <c r="I3636" i="2" s="1"/>
  <c r="I3637" i="2" s="1"/>
  <c r="I3638" i="2" s="1"/>
  <c r="I3639" i="2" s="1"/>
  <c r="I3640" i="2" s="1"/>
  <c r="I3641" i="2" s="1"/>
  <c r="I3642" i="2" s="1"/>
  <c r="I3643" i="2" s="1"/>
  <c r="I3644" i="2" s="1"/>
  <c r="I3645" i="2" s="1"/>
  <c r="I3646" i="2" s="1"/>
  <c r="I3647" i="2" s="1"/>
  <c r="I5629" i="2"/>
  <c r="I5630" i="2" s="1"/>
  <c r="I5631" i="2" s="1"/>
  <c r="I5632" i="2" s="1"/>
  <c r="I5633" i="2" s="1"/>
  <c r="I5634" i="2" s="1"/>
  <c r="I5635" i="2" s="1"/>
  <c r="I5636" i="2" s="1"/>
  <c r="I5637" i="2" s="1"/>
  <c r="I5638" i="2" s="1"/>
  <c r="I5639" i="2" s="1"/>
  <c r="I5640" i="2" s="1"/>
  <c r="I5641" i="2" s="1"/>
  <c r="I5642" i="2" s="1"/>
  <c r="I5643" i="2" s="1"/>
  <c r="I5644" i="2" s="1"/>
  <c r="I5645" i="2" s="1"/>
  <c r="I5646" i="2" s="1"/>
  <c r="I5647" i="2" s="1"/>
  <c r="I3189" i="2"/>
  <c r="I3190" i="2" s="1"/>
  <c r="I3191" i="2" s="1"/>
  <c r="I3192" i="2" s="1"/>
  <c r="I3193" i="2" s="1"/>
  <c r="I3194" i="2" s="1"/>
  <c r="I3195" i="2" s="1"/>
  <c r="I3196" i="2" s="1"/>
  <c r="I3197" i="2" s="1"/>
  <c r="I3198" i="2" s="1"/>
  <c r="I3199" i="2" s="1"/>
  <c r="I3200" i="2" s="1"/>
  <c r="I3201" i="2" s="1"/>
  <c r="I3202" i="2" s="1"/>
  <c r="I3203" i="2" s="1"/>
  <c r="I3204" i="2" s="1"/>
  <c r="I3205" i="2" s="1"/>
  <c r="I3206" i="2" s="1"/>
  <c r="I3207" i="2" s="1"/>
  <c r="G3529" i="2"/>
  <c r="G3530" i="2" s="1"/>
  <c r="G3531" i="2" s="1"/>
  <c r="G3532" i="2" s="1"/>
  <c r="G3533" i="2" s="1"/>
  <c r="G3534" i="2" s="1"/>
  <c r="G3535" i="2" s="1"/>
  <c r="G5429" i="2"/>
  <c r="G5430" i="2" s="1"/>
  <c r="G5431" i="2" s="1"/>
  <c r="G5432" i="2" s="1"/>
  <c r="G5433" i="2" s="1"/>
  <c r="G5434" i="2" s="1"/>
  <c r="G2049" i="2"/>
  <c r="G2050" i="2" s="1"/>
  <c r="G2051" i="2" s="1"/>
  <c r="G2052" i="2" s="1"/>
  <c r="G2053" i="2" s="1"/>
  <c r="G2054" i="2" s="1"/>
  <c r="G3949" i="2"/>
  <c r="G3950" i="2" s="1"/>
  <c r="G3951" i="2" s="1"/>
  <c r="G3952" i="2" s="1"/>
  <c r="G3953" i="2" s="1"/>
  <c r="G3954" i="2" s="1"/>
  <c r="G5989" i="2"/>
  <c r="G5990" i="2" s="1"/>
  <c r="G5991" i="2" s="1"/>
  <c r="G5992" i="2" s="1"/>
  <c r="G5993" i="2" s="1"/>
  <c r="G5994" i="2" s="1"/>
  <c r="G5329" i="2"/>
  <c r="G5330" i="2" s="1"/>
  <c r="G5331" i="2" s="1"/>
  <c r="G5332" i="2" s="1"/>
  <c r="G5333" i="2" s="1"/>
  <c r="G5334" i="2" s="1"/>
  <c r="G3069" i="2"/>
  <c r="G3070" i="2" s="1"/>
  <c r="G3071" i="2" s="1"/>
  <c r="G3072" i="2" s="1"/>
  <c r="G3073" i="2" s="1"/>
  <c r="G3074" i="2" s="1"/>
  <c r="G3909" i="2"/>
  <c r="G3910" i="2" s="1"/>
  <c r="G3911" i="2" s="1"/>
  <c r="G3912" i="2" s="1"/>
  <c r="G3913" i="2" s="1"/>
  <c r="G3914" i="2" s="1"/>
  <c r="G5549" i="2"/>
  <c r="G5550" i="2" s="1"/>
  <c r="G5551" i="2" s="1"/>
  <c r="G5552" i="2" s="1"/>
  <c r="G5553" i="2" s="1"/>
  <c r="G5554" i="2" s="1"/>
  <c r="G5555" i="2" s="1"/>
  <c r="I2909" i="2"/>
  <c r="I2910" i="2" s="1"/>
  <c r="I2911" i="2" s="1"/>
  <c r="I2912" i="2" s="1"/>
  <c r="I2913" i="2" s="1"/>
  <c r="I2914" i="2" s="1"/>
  <c r="I2915" i="2" s="1"/>
  <c r="I2916" i="2" s="1"/>
  <c r="I2917" i="2" s="1"/>
  <c r="I2918" i="2" s="1"/>
  <c r="I2919" i="2" s="1"/>
  <c r="I2920" i="2" s="1"/>
  <c r="I2921" i="2" s="1"/>
  <c r="I2922" i="2" s="1"/>
  <c r="I2923" i="2" s="1"/>
  <c r="I2924" i="2" s="1"/>
  <c r="I2925" i="2" s="1"/>
  <c r="I2926" i="2" s="1"/>
  <c r="I2927" i="2" s="1"/>
  <c r="G5849" i="2"/>
  <c r="G5850" i="2" s="1"/>
  <c r="G5851" i="2" s="1"/>
  <c r="G5852" i="2" s="1"/>
  <c r="G5853" i="2" s="1"/>
  <c r="G5854" i="2" s="1"/>
  <c r="G3509" i="2"/>
  <c r="G3510" i="2" s="1"/>
  <c r="G3511" i="2" s="1"/>
  <c r="G3512" i="2" s="1"/>
  <c r="G3513" i="2" s="1"/>
  <c r="G3514" i="2" s="1"/>
  <c r="I3969" i="2"/>
  <c r="I3970" i="2" s="1"/>
  <c r="I3971" i="2" s="1"/>
  <c r="I3972" i="2" s="1"/>
  <c r="I3973" i="2" s="1"/>
  <c r="I3974" i="2" s="1"/>
  <c r="I3975" i="2" s="1"/>
  <c r="I3976" i="2" s="1"/>
  <c r="I3977" i="2" s="1"/>
  <c r="I3978" i="2" s="1"/>
  <c r="I3979" i="2" s="1"/>
  <c r="I3980" i="2" s="1"/>
  <c r="I3981" i="2" s="1"/>
  <c r="I3982" i="2" s="1"/>
  <c r="I3983" i="2" s="1"/>
  <c r="I3984" i="2" s="1"/>
  <c r="I3985" i="2" s="1"/>
  <c r="I3986" i="2" s="1"/>
  <c r="I3987" i="2" s="1"/>
  <c r="G3729" i="2"/>
  <c r="G3730" i="2" s="1"/>
  <c r="G3731" i="2" s="1"/>
  <c r="G3732" i="2" s="1"/>
  <c r="G3733" i="2" s="1"/>
  <c r="G3734" i="2" s="1"/>
  <c r="G3429" i="2"/>
  <c r="G3430" i="2" s="1"/>
  <c r="G3431" i="2" s="1"/>
  <c r="G3432" i="2" s="1"/>
  <c r="G3433" i="2" s="1"/>
  <c r="G3434" i="2" s="1"/>
  <c r="I2089" i="2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G5249" i="2"/>
  <c r="G5250" i="2" s="1"/>
  <c r="G5251" i="2" s="1"/>
  <c r="G5252" i="2" s="1"/>
  <c r="G5253" i="2" s="1"/>
  <c r="G5254" i="2" s="1"/>
  <c r="G5255" i="2" s="1"/>
  <c r="I1589" i="2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4149" i="2"/>
  <c r="I4150" i="2" s="1"/>
  <c r="I4151" i="2" s="1"/>
  <c r="I4152" i="2" s="1"/>
  <c r="I4153" i="2" s="1"/>
  <c r="I4154" i="2" s="1"/>
  <c r="I4155" i="2" s="1"/>
  <c r="I4156" i="2" s="1"/>
  <c r="I4157" i="2" s="1"/>
  <c r="I4158" i="2" s="1"/>
  <c r="I4159" i="2" s="1"/>
  <c r="I4160" i="2" s="1"/>
  <c r="I4161" i="2" s="1"/>
  <c r="I4162" i="2" s="1"/>
  <c r="I4163" i="2" s="1"/>
  <c r="I4164" i="2" s="1"/>
  <c r="I4165" i="2" s="1"/>
  <c r="I4166" i="2" s="1"/>
  <c r="I4167" i="2" s="1"/>
  <c r="I2789" i="2"/>
  <c r="I2790" i="2" s="1"/>
  <c r="I2791" i="2" s="1"/>
  <c r="I2792" i="2" s="1"/>
  <c r="I2793" i="2" s="1"/>
  <c r="I2794" i="2" s="1"/>
  <c r="I2795" i="2" s="1"/>
  <c r="I2796" i="2" s="1"/>
  <c r="I2797" i="2" s="1"/>
  <c r="I2798" i="2" s="1"/>
  <c r="I2799" i="2" s="1"/>
  <c r="I2800" i="2" s="1"/>
  <c r="I2801" i="2" s="1"/>
  <c r="I2802" i="2" s="1"/>
  <c r="I2803" i="2" s="1"/>
  <c r="I2804" i="2" s="1"/>
  <c r="I2805" i="2" s="1"/>
  <c r="I2806" i="2" s="1"/>
  <c r="I2807" i="2" s="1"/>
  <c r="I4689" i="2"/>
  <c r="I4690" i="2" s="1"/>
  <c r="I4691" i="2" s="1"/>
  <c r="I4692" i="2" s="1"/>
  <c r="I4693" i="2" s="1"/>
  <c r="I4694" i="2" s="1"/>
  <c r="I4695" i="2" s="1"/>
  <c r="I4696" i="2" s="1"/>
  <c r="I4697" i="2" s="1"/>
  <c r="I4698" i="2" s="1"/>
  <c r="I4699" i="2" s="1"/>
  <c r="I4700" i="2" s="1"/>
  <c r="I4701" i="2" s="1"/>
  <c r="I4702" i="2" s="1"/>
  <c r="I4703" i="2" s="1"/>
  <c r="I4704" i="2" s="1"/>
  <c r="I4705" i="2" s="1"/>
  <c r="I4706" i="2" s="1"/>
  <c r="I4707" i="2" s="1"/>
  <c r="G4849" i="2"/>
  <c r="G4850" i="2" s="1"/>
  <c r="G4851" i="2" s="1"/>
  <c r="G4852" i="2" s="1"/>
  <c r="G4853" i="2" s="1"/>
  <c r="G4854" i="2" s="1"/>
  <c r="I5429" i="2"/>
  <c r="I5430" i="2" s="1"/>
  <c r="I5431" i="2" s="1"/>
  <c r="I5432" i="2" s="1"/>
  <c r="I5433" i="2" s="1"/>
  <c r="I5434" i="2" s="1"/>
  <c r="I5435" i="2" s="1"/>
  <c r="I5436" i="2" s="1"/>
  <c r="I5437" i="2" s="1"/>
  <c r="I5438" i="2" s="1"/>
  <c r="I5439" i="2" s="1"/>
  <c r="I5440" i="2" s="1"/>
  <c r="I5441" i="2" s="1"/>
  <c r="I5442" i="2" s="1"/>
  <c r="I5443" i="2" s="1"/>
  <c r="I5444" i="2" s="1"/>
  <c r="I5445" i="2" s="1"/>
  <c r="I5446" i="2" s="1"/>
  <c r="I5447" i="2" s="1"/>
  <c r="G2069" i="2"/>
  <c r="G2070" i="2" s="1"/>
  <c r="G2071" i="2" s="1"/>
  <c r="G2072" i="2" s="1"/>
  <c r="G2073" i="2" s="1"/>
  <c r="G2074" i="2" s="1"/>
  <c r="I4069" i="2"/>
  <c r="I4070" i="2" s="1"/>
  <c r="I4071" i="2" s="1"/>
  <c r="I4072" i="2" s="1"/>
  <c r="I4073" i="2" s="1"/>
  <c r="I4074" i="2" s="1"/>
  <c r="I4075" i="2" s="1"/>
  <c r="I4076" i="2" s="1"/>
  <c r="I4077" i="2" s="1"/>
  <c r="I4078" i="2" s="1"/>
  <c r="I4079" i="2" s="1"/>
  <c r="I4080" i="2" s="1"/>
  <c r="I4081" i="2" s="1"/>
  <c r="I4082" i="2" s="1"/>
  <c r="I4083" i="2" s="1"/>
  <c r="I4084" i="2" s="1"/>
  <c r="I4085" i="2" s="1"/>
  <c r="I4086" i="2" s="1"/>
  <c r="I4087" i="2" s="1"/>
  <c r="I4829" i="2"/>
  <c r="I4830" i="2" s="1"/>
  <c r="I4831" i="2" s="1"/>
  <c r="I4832" i="2" s="1"/>
  <c r="I4833" i="2" s="1"/>
  <c r="I4834" i="2" s="1"/>
  <c r="I4835" i="2" s="1"/>
  <c r="I4836" i="2" s="1"/>
  <c r="I4837" i="2" s="1"/>
  <c r="I4838" i="2" s="1"/>
  <c r="I4839" i="2" s="1"/>
  <c r="I4840" i="2" s="1"/>
  <c r="I4841" i="2" s="1"/>
  <c r="I4842" i="2" s="1"/>
  <c r="I4843" i="2" s="1"/>
  <c r="I4844" i="2" s="1"/>
  <c r="I4845" i="2" s="1"/>
  <c r="I4846" i="2" s="1"/>
  <c r="I4847" i="2" s="1"/>
  <c r="G4869" i="2"/>
  <c r="G4870" i="2" s="1"/>
  <c r="G4871" i="2" s="1"/>
  <c r="G4872" i="2" s="1"/>
  <c r="G4873" i="2" s="1"/>
  <c r="G4874" i="2" s="1"/>
  <c r="I3489" i="2"/>
  <c r="I3490" i="2" s="1"/>
  <c r="I3491" i="2" s="1"/>
  <c r="I3492" i="2" s="1"/>
  <c r="I3493" i="2" s="1"/>
  <c r="I3494" i="2" s="1"/>
  <c r="I3495" i="2" s="1"/>
  <c r="I3496" i="2" s="1"/>
  <c r="I3497" i="2" s="1"/>
  <c r="I3498" i="2" s="1"/>
  <c r="I3499" i="2" s="1"/>
  <c r="I3500" i="2" s="1"/>
  <c r="I3501" i="2" s="1"/>
  <c r="I3502" i="2" s="1"/>
  <c r="I3503" i="2" s="1"/>
  <c r="I3504" i="2" s="1"/>
  <c r="I3505" i="2" s="1"/>
  <c r="I3506" i="2" s="1"/>
  <c r="I3507" i="2" s="1"/>
  <c r="I1609" i="2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G3009" i="2"/>
  <c r="G3010" i="2" s="1"/>
  <c r="G3011" i="2" s="1"/>
  <c r="G3012" i="2" s="1"/>
  <c r="G3013" i="2" s="1"/>
  <c r="G3014" i="2" s="1"/>
  <c r="G2089" i="2"/>
  <c r="G2090" i="2" s="1"/>
  <c r="G2091" i="2" s="1"/>
  <c r="G2092" i="2" s="1"/>
  <c r="G2093" i="2" s="1"/>
  <c r="G2094" i="2" s="1"/>
  <c r="I3109" i="2"/>
  <c r="I3110" i="2" s="1"/>
  <c r="I3111" i="2" s="1"/>
  <c r="I3112" i="2" s="1"/>
  <c r="I3113" i="2" s="1"/>
  <c r="I3114" i="2" s="1"/>
  <c r="I3115" i="2" s="1"/>
  <c r="I3116" i="2" s="1"/>
  <c r="I3117" i="2" s="1"/>
  <c r="I3118" i="2" s="1"/>
  <c r="I3119" i="2" s="1"/>
  <c r="I3120" i="2" s="1"/>
  <c r="I3121" i="2" s="1"/>
  <c r="I3122" i="2" s="1"/>
  <c r="I3123" i="2" s="1"/>
  <c r="I3124" i="2" s="1"/>
  <c r="I3125" i="2" s="1"/>
  <c r="I3126" i="2" s="1"/>
  <c r="I3127" i="2" s="1"/>
  <c r="I2809" i="2"/>
  <c r="I2810" i="2" s="1"/>
  <c r="I2811" i="2" s="1"/>
  <c r="I2812" i="2" s="1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I2826" i="2" s="1"/>
  <c r="I2827" i="2" s="1"/>
  <c r="I4189" i="2"/>
  <c r="I4190" i="2" s="1"/>
  <c r="I4191" i="2" s="1"/>
  <c r="I4192" i="2" s="1"/>
  <c r="I4193" i="2" s="1"/>
  <c r="I4194" i="2" s="1"/>
  <c r="I4195" i="2" s="1"/>
  <c r="I4196" i="2" s="1"/>
  <c r="I4197" i="2" s="1"/>
  <c r="I4198" i="2" s="1"/>
  <c r="I4199" i="2" s="1"/>
  <c r="I4200" i="2" s="1"/>
  <c r="I4201" i="2" s="1"/>
  <c r="I4202" i="2" s="1"/>
  <c r="I4203" i="2" s="1"/>
  <c r="I4204" i="2" s="1"/>
  <c r="I4205" i="2" s="1"/>
  <c r="I4206" i="2" s="1"/>
  <c r="I4207" i="2" s="1"/>
  <c r="G3829" i="2"/>
  <c r="G3830" i="2" s="1"/>
  <c r="G3831" i="2" s="1"/>
  <c r="G3832" i="2" s="1"/>
  <c r="G3833" i="2" s="1"/>
  <c r="G3834" i="2" s="1"/>
  <c r="G2869" i="2"/>
  <c r="G2870" i="2" s="1"/>
  <c r="G2871" i="2" s="1"/>
  <c r="G2872" i="2" s="1"/>
  <c r="G2873" i="2" s="1"/>
  <c r="G2874" i="2" s="1"/>
  <c r="G3789" i="2"/>
  <c r="G3790" i="2" s="1"/>
  <c r="G3791" i="2" s="1"/>
  <c r="G3792" i="2" s="1"/>
  <c r="G3793" i="2" s="1"/>
  <c r="G3794" i="2" s="1"/>
  <c r="G1469" i="2"/>
  <c r="G1470" i="2" s="1"/>
  <c r="G1471" i="2" s="1"/>
  <c r="G1472" i="2" s="1"/>
  <c r="G1473" i="2" s="1"/>
  <c r="G1474" i="2" s="1"/>
  <c r="G5829" i="2"/>
  <c r="G5830" i="2" s="1"/>
  <c r="G5831" i="2" s="1"/>
  <c r="G5832" i="2" s="1"/>
  <c r="G5833" i="2" s="1"/>
  <c r="G5834" i="2" s="1"/>
  <c r="I3849" i="2"/>
  <c r="I3850" i="2" s="1"/>
  <c r="I3851" i="2" s="1"/>
  <c r="I3852" i="2" s="1"/>
  <c r="I3853" i="2" s="1"/>
  <c r="I3854" i="2" s="1"/>
  <c r="I3855" i="2" s="1"/>
  <c r="I3856" i="2" s="1"/>
  <c r="I3857" i="2" s="1"/>
  <c r="I3858" i="2" s="1"/>
  <c r="I3859" i="2" s="1"/>
  <c r="I3860" i="2" s="1"/>
  <c r="I3861" i="2" s="1"/>
  <c r="I3862" i="2" s="1"/>
  <c r="I3863" i="2" s="1"/>
  <c r="I3864" i="2" s="1"/>
  <c r="I3865" i="2" s="1"/>
  <c r="I3866" i="2" s="1"/>
  <c r="I3867" i="2" s="1"/>
  <c r="I1769" i="2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I1783" i="2" s="1"/>
  <c r="I1784" i="2" s="1"/>
  <c r="I1785" i="2" s="1"/>
  <c r="I1786" i="2" s="1"/>
  <c r="I1787" i="2" s="1"/>
  <c r="I1849" i="2"/>
  <c r="I1850" i="2" s="1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G1749" i="2"/>
  <c r="G1750" i="2" s="1"/>
  <c r="G1751" i="2" s="1"/>
  <c r="G1752" i="2" s="1"/>
  <c r="G1753" i="2" s="1"/>
  <c r="G1754" i="2" s="1"/>
  <c r="I4909" i="2"/>
  <c r="I4910" i="2" s="1"/>
  <c r="I4911" i="2" s="1"/>
  <c r="I4912" i="2" s="1"/>
  <c r="I4913" i="2" s="1"/>
  <c r="I4914" i="2" s="1"/>
  <c r="I4915" i="2" s="1"/>
  <c r="I4916" i="2" s="1"/>
  <c r="I4917" i="2" s="1"/>
  <c r="I4918" i="2" s="1"/>
  <c r="I4919" i="2" s="1"/>
  <c r="I4920" i="2" s="1"/>
  <c r="I4921" i="2" s="1"/>
  <c r="I4922" i="2" s="1"/>
  <c r="I4923" i="2" s="1"/>
  <c r="I4924" i="2" s="1"/>
  <c r="I4925" i="2" s="1"/>
  <c r="I4926" i="2" s="1"/>
  <c r="I4927" i="2" s="1"/>
  <c r="I4409" i="2"/>
  <c r="I4410" i="2" s="1"/>
  <c r="I4411" i="2" s="1"/>
  <c r="I4412" i="2" s="1"/>
  <c r="I4413" i="2" s="1"/>
  <c r="I4414" i="2" s="1"/>
  <c r="I4415" i="2" s="1"/>
  <c r="I4416" i="2" s="1"/>
  <c r="I4417" i="2" s="1"/>
  <c r="I4418" i="2" s="1"/>
  <c r="I4419" i="2" s="1"/>
  <c r="I4420" i="2" s="1"/>
  <c r="I4421" i="2" s="1"/>
  <c r="I4422" i="2" s="1"/>
  <c r="I4423" i="2" s="1"/>
  <c r="I4424" i="2" s="1"/>
  <c r="I4425" i="2" s="1"/>
  <c r="I4426" i="2" s="1"/>
  <c r="I4427" i="2" s="1"/>
  <c r="I3909" i="2"/>
  <c r="I3910" i="2" s="1"/>
  <c r="I3911" i="2" s="1"/>
  <c r="I3912" i="2" s="1"/>
  <c r="I3913" i="2" s="1"/>
  <c r="I3914" i="2" s="1"/>
  <c r="I3915" i="2" s="1"/>
  <c r="I3916" i="2" s="1"/>
  <c r="I3917" i="2" s="1"/>
  <c r="I3918" i="2" s="1"/>
  <c r="I3919" i="2" s="1"/>
  <c r="I3920" i="2" s="1"/>
  <c r="I3921" i="2" s="1"/>
  <c r="I3922" i="2" s="1"/>
  <c r="I3923" i="2" s="1"/>
  <c r="I3924" i="2" s="1"/>
  <c r="I3925" i="2" s="1"/>
  <c r="I3926" i="2" s="1"/>
  <c r="I3927" i="2" s="1"/>
  <c r="I1309" i="2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321" i="2" s="1"/>
  <c r="I1322" i="2" s="1"/>
  <c r="I1323" i="2" s="1"/>
  <c r="I1324" i="2" s="1"/>
  <c r="I1325" i="2" s="1"/>
  <c r="I1326" i="2" s="1"/>
  <c r="I1327" i="2" s="1"/>
  <c r="I3369" i="2"/>
  <c r="I3370" i="2" s="1"/>
  <c r="I3371" i="2" s="1"/>
  <c r="I3372" i="2" s="1"/>
  <c r="I3373" i="2" s="1"/>
  <c r="I3374" i="2" s="1"/>
  <c r="I3375" i="2" s="1"/>
  <c r="I3376" i="2" s="1"/>
  <c r="I3377" i="2" s="1"/>
  <c r="I3378" i="2" s="1"/>
  <c r="I3379" i="2" s="1"/>
  <c r="I3380" i="2" s="1"/>
  <c r="I3381" i="2" s="1"/>
  <c r="I3382" i="2" s="1"/>
  <c r="I3383" i="2" s="1"/>
  <c r="I3384" i="2" s="1"/>
  <c r="I3385" i="2" s="1"/>
  <c r="I3386" i="2" s="1"/>
  <c r="I3387" i="2" s="1"/>
  <c r="I5609" i="2"/>
  <c r="I5610" i="2" s="1"/>
  <c r="I5611" i="2" s="1"/>
  <c r="I5612" i="2" s="1"/>
  <c r="I5613" i="2" s="1"/>
  <c r="I5614" i="2" s="1"/>
  <c r="I5615" i="2" s="1"/>
  <c r="I5616" i="2" s="1"/>
  <c r="I5617" i="2" s="1"/>
  <c r="I5618" i="2" s="1"/>
  <c r="I5619" i="2" s="1"/>
  <c r="I5620" i="2" s="1"/>
  <c r="I5621" i="2" s="1"/>
  <c r="I5622" i="2" s="1"/>
  <c r="I5623" i="2" s="1"/>
  <c r="I5624" i="2" s="1"/>
  <c r="I5625" i="2" s="1"/>
  <c r="I5626" i="2" s="1"/>
  <c r="I5627" i="2" s="1"/>
  <c r="G5809" i="2"/>
  <c r="G5810" i="2" s="1"/>
  <c r="G5811" i="2" s="1"/>
  <c r="G5812" i="2" s="1"/>
  <c r="G5813" i="2" s="1"/>
  <c r="G5814" i="2" s="1"/>
  <c r="I4729" i="2"/>
  <c r="I4730" i="2" s="1"/>
  <c r="I4731" i="2" s="1"/>
  <c r="I4732" i="2" s="1"/>
  <c r="I4733" i="2" s="1"/>
  <c r="I4734" i="2" s="1"/>
  <c r="I4735" i="2" s="1"/>
  <c r="I4736" i="2" s="1"/>
  <c r="I4737" i="2" s="1"/>
  <c r="I4738" i="2" s="1"/>
  <c r="I4739" i="2" s="1"/>
  <c r="I4740" i="2" s="1"/>
  <c r="I4741" i="2" s="1"/>
  <c r="I4742" i="2" s="1"/>
  <c r="I4743" i="2" s="1"/>
  <c r="I4744" i="2" s="1"/>
  <c r="I4745" i="2" s="1"/>
  <c r="I4746" i="2" s="1"/>
  <c r="I4747" i="2" s="1"/>
  <c r="G2349" i="2"/>
  <c r="G2350" i="2" s="1"/>
  <c r="G2351" i="2" s="1"/>
  <c r="G2352" i="2" s="1"/>
  <c r="G2353" i="2" s="1"/>
  <c r="G2354" i="2" s="1"/>
  <c r="G3849" i="2"/>
  <c r="G3850" i="2" s="1"/>
  <c r="G3851" i="2" s="1"/>
  <c r="G3852" i="2" s="1"/>
  <c r="G3853" i="2" s="1"/>
  <c r="G3854" i="2" s="1"/>
  <c r="I5209" i="2"/>
  <c r="I5210" i="2" s="1"/>
  <c r="I5211" i="2" s="1"/>
  <c r="I5212" i="2" s="1"/>
  <c r="I5213" i="2" s="1"/>
  <c r="I5214" i="2" s="1"/>
  <c r="I5215" i="2" s="1"/>
  <c r="I5216" i="2" s="1"/>
  <c r="I5217" i="2" s="1"/>
  <c r="I5218" i="2" s="1"/>
  <c r="I5219" i="2" s="1"/>
  <c r="I5220" i="2" s="1"/>
  <c r="I5221" i="2" s="1"/>
  <c r="I5222" i="2" s="1"/>
  <c r="I5223" i="2" s="1"/>
  <c r="I5224" i="2" s="1"/>
  <c r="I5225" i="2" s="1"/>
  <c r="I5226" i="2" s="1"/>
  <c r="I5227" i="2" s="1"/>
  <c r="I2009" i="2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869" i="2"/>
  <c r="I2870" i="2" s="1"/>
  <c r="I2871" i="2" s="1"/>
  <c r="I2872" i="2" s="1"/>
  <c r="I2873" i="2" s="1"/>
  <c r="I2874" i="2" s="1"/>
  <c r="I2875" i="2" s="1"/>
  <c r="I2876" i="2" s="1"/>
  <c r="I2877" i="2" s="1"/>
  <c r="I2878" i="2" s="1"/>
  <c r="I2879" i="2" s="1"/>
  <c r="I2880" i="2" s="1"/>
  <c r="I2881" i="2" s="1"/>
  <c r="I2882" i="2" s="1"/>
  <c r="I2883" i="2" s="1"/>
  <c r="I2884" i="2" s="1"/>
  <c r="I2885" i="2" s="1"/>
  <c r="I2886" i="2" s="1"/>
  <c r="I2887" i="2" s="1"/>
  <c r="G5409" i="2"/>
  <c r="G5410" i="2" s="1"/>
  <c r="G5411" i="2" s="1"/>
  <c r="G5412" i="2" s="1"/>
  <c r="G5413" i="2" s="1"/>
  <c r="G5414" i="2" s="1"/>
  <c r="G5415" i="2" s="1"/>
  <c r="I4289" i="2"/>
  <c r="I4290" i="2" s="1"/>
  <c r="I4291" i="2" s="1"/>
  <c r="I4292" i="2" s="1"/>
  <c r="I4293" i="2" s="1"/>
  <c r="I4294" i="2" s="1"/>
  <c r="I4295" i="2" s="1"/>
  <c r="I4296" i="2" s="1"/>
  <c r="I4297" i="2" s="1"/>
  <c r="I4298" i="2" s="1"/>
  <c r="I4299" i="2" s="1"/>
  <c r="I4300" i="2" s="1"/>
  <c r="I4301" i="2" s="1"/>
  <c r="I4302" i="2" s="1"/>
  <c r="I4303" i="2" s="1"/>
  <c r="I4304" i="2" s="1"/>
  <c r="I4305" i="2" s="1"/>
  <c r="I4306" i="2" s="1"/>
  <c r="I4307" i="2" s="1"/>
  <c r="I5809" i="2"/>
  <c r="I5810" i="2" s="1"/>
  <c r="I5811" i="2" s="1"/>
  <c r="I5812" i="2" s="1"/>
  <c r="I5813" i="2" s="1"/>
  <c r="I5814" i="2" s="1"/>
  <c r="I5815" i="2" s="1"/>
  <c r="I5816" i="2" s="1"/>
  <c r="I5817" i="2" s="1"/>
  <c r="I5818" i="2" s="1"/>
  <c r="I5819" i="2" s="1"/>
  <c r="I5820" i="2" s="1"/>
  <c r="I5821" i="2" s="1"/>
  <c r="I5822" i="2" s="1"/>
  <c r="I5823" i="2" s="1"/>
  <c r="I5824" i="2" s="1"/>
  <c r="I5825" i="2" s="1"/>
  <c r="I5826" i="2" s="1"/>
  <c r="I5827" i="2" s="1"/>
  <c r="G1729" i="2"/>
  <c r="G1730" i="2" s="1"/>
  <c r="G1731" i="2" s="1"/>
  <c r="G1732" i="2" s="1"/>
  <c r="G1733" i="2" s="1"/>
  <c r="G1734" i="2" s="1"/>
  <c r="G1909" i="2"/>
  <c r="G1910" i="2" s="1"/>
  <c r="G1911" i="2" s="1"/>
  <c r="G1912" i="2" s="1"/>
  <c r="G1913" i="2" s="1"/>
  <c r="G1914" i="2" s="1"/>
  <c r="I2329" i="2"/>
  <c r="I2330" i="2" s="1"/>
  <c r="I2331" i="2" s="1"/>
  <c r="I2332" i="2" s="1"/>
  <c r="I2333" i="2" s="1"/>
  <c r="I2334" i="2" s="1"/>
  <c r="I2335" i="2" s="1"/>
  <c r="I2336" i="2" s="1"/>
  <c r="I2337" i="2" s="1"/>
  <c r="I2338" i="2" s="1"/>
  <c r="I2339" i="2" s="1"/>
  <c r="I2340" i="2" s="1"/>
  <c r="I2341" i="2" s="1"/>
  <c r="I2342" i="2" s="1"/>
  <c r="I2343" i="2" s="1"/>
  <c r="I2344" i="2" s="1"/>
  <c r="I2345" i="2" s="1"/>
  <c r="I2346" i="2" s="1"/>
  <c r="I2347" i="2" s="1"/>
  <c r="G3889" i="2"/>
  <c r="G3890" i="2" s="1"/>
  <c r="G3891" i="2" s="1"/>
  <c r="G3892" i="2" s="1"/>
  <c r="G3893" i="2" s="1"/>
  <c r="G3894" i="2" s="1"/>
  <c r="I2609" i="2"/>
  <c r="I2610" i="2" s="1"/>
  <c r="I2611" i="2" s="1"/>
  <c r="I2612" i="2" s="1"/>
  <c r="I2613" i="2" s="1"/>
  <c r="I2614" i="2" s="1"/>
  <c r="I2615" i="2" s="1"/>
  <c r="I2616" i="2" s="1"/>
  <c r="I2617" i="2" s="1"/>
  <c r="I2618" i="2" s="1"/>
  <c r="I2619" i="2" s="1"/>
  <c r="I2620" i="2" s="1"/>
  <c r="I2621" i="2" s="1"/>
  <c r="I2622" i="2" s="1"/>
  <c r="I2623" i="2" s="1"/>
  <c r="I2624" i="2" s="1"/>
  <c r="I2625" i="2" s="1"/>
  <c r="I2626" i="2" s="1"/>
  <c r="I2627" i="2" s="1"/>
  <c r="G1169" i="2"/>
  <c r="G1170" i="2" s="1"/>
  <c r="G1171" i="2" s="1"/>
  <c r="G1172" i="2" s="1"/>
  <c r="G1173" i="2" s="1"/>
  <c r="G1174" i="2" s="1"/>
  <c r="G1175" i="2" s="1"/>
  <c r="I1629" i="2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G4329" i="2"/>
  <c r="G4330" i="2" s="1"/>
  <c r="G4331" i="2" s="1"/>
  <c r="G4332" i="2" s="1"/>
  <c r="G4333" i="2" s="1"/>
  <c r="G4334" i="2" s="1"/>
  <c r="G2649" i="2"/>
  <c r="G2650" i="2" s="1"/>
  <c r="G2651" i="2" s="1"/>
  <c r="G2652" i="2" s="1"/>
  <c r="G2653" i="2" s="1"/>
  <c r="G2654" i="2" s="1"/>
  <c r="I3529" i="2"/>
  <c r="I3530" i="2" s="1"/>
  <c r="I3531" i="2" s="1"/>
  <c r="I3532" i="2" s="1"/>
  <c r="I3533" i="2" s="1"/>
  <c r="I3534" i="2" s="1"/>
  <c r="I3535" i="2" s="1"/>
  <c r="I3536" i="2" s="1"/>
  <c r="I3537" i="2" s="1"/>
  <c r="I3538" i="2" s="1"/>
  <c r="I3539" i="2" s="1"/>
  <c r="I3540" i="2" s="1"/>
  <c r="I3541" i="2" s="1"/>
  <c r="I3542" i="2" s="1"/>
  <c r="I3543" i="2" s="1"/>
  <c r="I3544" i="2" s="1"/>
  <c r="I3545" i="2" s="1"/>
  <c r="I3546" i="2" s="1"/>
  <c r="I3547" i="2" s="1"/>
  <c r="I3049" i="2"/>
  <c r="I3050" i="2" s="1"/>
  <c r="I3051" i="2" s="1"/>
  <c r="I3052" i="2" s="1"/>
  <c r="I3053" i="2" s="1"/>
  <c r="I3054" i="2" s="1"/>
  <c r="I3055" i="2" s="1"/>
  <c r="I3056" i="2" s="1"/>
  <c r="I3057" i="2" s="1"/>
  <c r="I3058" i="2" s="1"/>
  <c r="I3059" i="2" s="1"/>
  <c r="I3060" i="2" s="1"/>
  <c r="I3061" i="2" s="1"/>
  <c r="I3062" i="2" s="1"/>
  <c r="I3063" i="2" s="1"/>
  <c r="I3064" i="2" s="1"/>
  <c r="I3065" i="2" s="1"/>
  <c r="I3066" i="2" s="1"/>
  <c r="I3067" i="2" s="1"/>
  <c r="G3449" i="2"/>
  <c r="G3450" i="2" s="1"/>
  <c r="G3451" i="2" s="1"/>
  <c r="G3452" i="2" s="1"/>
  <c r="G3453" i="2" s="1"/>
  <c r="G3454" i="2" s="1"/>
  <c r="I1529" i="2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5029" i="2"/>
  <c r="I5030" i="2" s="1"/>
  <c r="I5031" i="2" s="1"/>
  <c r="I5032" i="2" s="1"/>
  <c r="I5033" i="2" s="1"/>
  <c r="I5034" i="2" s="1"/>
  <c r="I5035" i="2" s="1"/>
  <c r="I5036" i="2" s="1"/>
  <c r="I5037" i="2" s="1"/>
  <c r="I5038" i="2" s="1"/>
  <c r="I5039" i="2" s="1"/>
  <c r="I5040" i="2" s="1"/>
  <c r="I5041" i="2" s="1"/>
  <c r="I5042" i="2" s="1"/>
  <c r="I5043" i="2" s="1"/>
  <c r="I5044" i="2" s="1"/>
  <c r="I5045" i="2" s="1"/>
  <c r="I5046" i="2" s="1"/>
  <c r="I5047" i="2" s="1"/>
  <c r="G5289" i="2"/>
  <c r="G5290" i="2" s="1"/>
  <c r="G5291" i="2" s="1"/>
  <c r="G5292" i="2" s="1"/>
  <c r="G5293" i="2" s="1"/>
  <c r="G5294" i="2" s="1"/>
  <c r="I4629" i="2"/>
  <c r="I4630" i="2" s="1"/>
  <c r="I4631" i="2" s="1"/>
  <c r="I4632" i="2" s="1"/>
  <c r="I4633" i="2" s="1"/>
  <c r="I4634" i="2" s="1"/>
  <c r="I4635" i="2" s="1"/>
  <c r="I4636" i="2" s="1"/>
  <c r="I4637" i="2" s="1"/>
  <c r="I4638" i="2" s="1"/>
  <c r="I4639" i="2" s="1"/>
  <c r="I4640" i="2" s="1"/>
  <c r="I4641" i="2" s="1"/>
  <c r="I4642" i="2" s="1"/>
  <c r="I4643" i="2" s="1"/>
  <c r="I4644" i="2" s="1"/>
  <c r="I4645" i="2" s="1"/>
  <c r="I4646" i="2" s="1"/>
  <c r="I4647" i="2" s="1"/>
  <c r="I3949" i="2"/>
  <c r="I3950" i="2" s="1"/>
  <c r="I3951" i="2" s="1"/>
  <c r="I3952" i="2" s="1"/>
  <c r="I3953" i="2" s="1"/>
  <c r="I3954" i="2" s="1"/>
  <c r="I3955" i="2" s="1"/>
  <c r="I3956" i="2" s="1"/>
  <c r="I3957" i="2" s="1"/>
  <c r="I3958" i="2" s="1"/>
  <c r="I3959" i="2" s="1"/>
  <c r="I3960" i="2" s="1"/>
  <c r="I3961" i="2" s="1"/>
  <c r="I3962" i="2" s="1"/>
  <c r="I3963" i="2" s="1"/>
  <c r="I3964" i="2" s="1"/>
  <c r="I3965" i="2" s="1"/>
  <c r="I3966" i="2" s="1"/>
  <c r="I3967" i="2" s="1"/>
  <c r="G3049" i="2"/>
  <c r="G3050" i="2" s="1"/>
  <c r="G3051" i="2" s="1"/>
  <c r="G3052" i="2" s="1"/>
  <c r="G3053" i="2" s="1"/>
  <c r="G3054" i="2" s="1"/>
  <c r="G4609" i="2"/>
  <c r="G4610" i="2" s="1"/>
  <c r="G4611" i="2" s="1"/>
  <c r="G4612" i="2" s="1"/>
  <c r="G4613" i="2" s="1"/>
  <c r="G4614" i="2" s="1"/>
  <c r="I5189" i="2"/>
  <c r="I5190" i="2" s="1"/>
  <c r="I5191" i="2" s="1"/>
  <c r="I5192" i="2" s="1"/>
  <c r="I5193" i="2" s="1"/>
  <c r="I5194" i="2" s="1"/>
  <c r="I5195" i="2" s="1"/>
  <c r="I5196" i="2" s="1"/>
  <c r="I5197" i="2" s="1"/>
  <c r="I5198" i="2" s="1"/>
  <c r="I5199" i="2" s="1"/>
  <c r="I5200" i="2" s="1"/>
  <c r="I5201" i="2" s="1"/>
  <c r="I5202" i="2" s="1"/>
  <c r="I5203" i="2" s="1"/>
  <c r="I5204" i="2" s="1"/>
  <c r="I5205" i="2" s="1"/>
  <c r="I5206" i="2" s="1"/>
  <c r="I5207" i="2" s="1"/>
  <c r="G2169" i="2"/>
  <c r="G2170" i="2" s="1"/>
  <c r="G2171" i="2" s="1"/>
  <c r="G2172" i="2" s="1"/>
  <c r="G2173" i="2" s="1"/>
  <c r="G2174" i="2" s="1"/>
  <c r="I5469" i="2"/>
  <c r="I5470" i="2" s="1"/>
  <c r="I5471" i="2" s="1"/>
  <c r="I5472" i="2" s="1"/>
  <c r="I5473" i="2" s="1"/>
  <c r="I5474" i="2" s="1"/>
  <c r="I5475" i="2" s="1"/>
  <c r="I5476" i="2" s="1"/>
  <c r="I5477" i="2" s="1"/>
  <c r="I5478" i="2" s="1"/>
  <c r="I5479" i="2" s="1"/>
  <c r="I5480" i="2" s="1"/>
  <c r="I5481" i="2" s="1"/>
  <c r="I5482" i="2" s="1"/>
  <c r="I5483" i="2" s="1"/>
  <c r="I5484" i="2" s="1"/>
  <c r="I5485" i="2" s="1"/>
  <c r="I5486" i="2" s="1"/>
  <c r="I5487" i="2" s="1"/>
  <c r="I2129" i="2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I2146" i="2" s="1"/>
  <c r="I2147" i="2" s="1"/>
  <c r="G3489" i="2"/>
  <c r="G3490" i="2" s="1"/>
  <c r="G3491" i="2" s="1"/>
  <c r="G3492" i="2" s="1"/>
  <c r="G3493" i="2" s="1"/>
  <c r="G3494" i="2" s="1"/>
  <c r="I3709" i="2"/>
  <c r="I3710" i="2" s="1"/>
  <c r="I3711" i="2" s="1"/>
  <c r="I3712" i="2" s="1"/>
  <c r="I3713" i="2" s="1"/>
  <c r="I3714" i="2" s="1"/>
  <c r="I3715" i="2" s="1"/>
  <c r="I3716" i="2" s="1"/>
  <c r="I3717" i="2" s="1"/>
  <c r="I3718" i="2" s="1"/>
  <c r="I3719" i="2" s="1"/>
  <c r="I3720" i="2" s="1"/>
  <c r="I3721" i="2" s="1"/>
  <c r="I3722" i="2" s="1"/>
  <c r="I3723" i="2" s="1"/>
  <c r="I3724" i="2" s="1"/>
  <c r="I3725" i="2" s="1"/>
  <c r="I3726" i="2" s="1"/>
  <c r="I3727" i="2" s="1"/>
  <c r="I1069" i="2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2929" i="2"/>
  <c r="I2930" i="2" s="1"/>
  <c r="I2931" i="2" s="1"/>
  <c r="I2932" i="2" s="1"/>
  <c r="I2933" i="2" s="1"/>
  <c r="I2934" i="2" s="1"/>
  <c r="I2935" i="2" s="1"/>
  <c r="I2936" i="2" s="1"/>
  <c r="I2937" i="2" s="1"/>
  <c r="I2938" i="2" s="1"/>
  <c r="I2939" i="2" s="1"/>
  <c r="I2940" i="2" s="1"/>
  <c r="I2941" i="2" s="1"/>
  <c r="I2942" i="2" s="1"/>
  <c r="I2943" i="2" s="1"/>
  <c r="I2944" i="2" s="1"/>
  <c r="I2945" i="2" s="1"/>
  <c r="I2946" i="2" s="1"/>
  <c r="I2947" i="2" s="1"/>
  <c r="G5949" i="2"/>
  <c r="G5950" i="2" s="1"/>
  <c r="G5951" i="2" s="1"/>
  <c r="G5952" i="2" s="1"/>
  <c r="G5953" i="2" s="1"/>
  <c r="G5954" i="2" s="1"/>
  <c r="G5509" i="2"/>
  <c r="G5510" i="2" s="1"/>
  <c r="G5511" i="2" s="1"/>
  <c r="G5512" i="2" s="1"/>
  <c r="G5513" i="2" s="1"/>
  <c r="G5514" i="2" s="1"/>
  <c r="G3029" i="2"/>
  <c r="G3030" i="2" s="1"/>
  <c r="G3031" i="2" s="1"/>
  <c r="G3032" i="2" s="1"/>
  <c r="G3033" i="2" s="1"/>
  <c r="G3034" i="2" s="1"/>
  <c r="G3035" i="2" s="1"/>
  <c r="G4729" i="2"/>
  <c r="G4730" i="2" s="1"/>
  <c r="G4731" i="2" s="1"/>
  <c r="G4732" i="2" s="1"/>
  <c r="G4733" i="2" s="1"/>
  <c r="G4734" i="2" s="1"/>
  <c r="G2689" i="2"/>
  <c r="G2690" i="2" s="1"/>
  <c r="G2691" i="2" s="1"/>
  <c r="G2692" i="2" s="1"/>
  <c r="G2693" i="2" s="1"/>
  <c r="G2694" i="2" s="1"/>
  <c r="G3289" i="2"/>
  <c r="G3290" i="2" s="1"/>
  <c r="G3291" i="2" s="1"/>
  <c r="G3292" i="2" s="1"/>
  <c r="G3293" i="2" s="1"/>
  <c r="G3294" i="2" s="1"/>
  <c r="G2189" i="2"/>
  <c r="G2190" i="2" s="1"/>
  <c r="G2191" i="2" s="1"/>
  <c r="G2192" i="2" s="1"/>
  <c r="G2193" i="2" s="1"/>
  <c r="G2194" i="2" s="1"/>
  <c r="G2849" i="2"/>
  <c r="G2850" i="2" s="1"/>
  <c r="G2851" i="2" s="1"/>
  <c r="G2852" i="2" s="1"/>
  <c r="G2853" i="2" s="1"/>
  <c r="G2854" i="2" s="1"/>
  <c r="G4829" i="2"/>
  <c r="G4830" i="2" s="1"/>
  <c r="G4831" i="2" s="1"/>
  <c r="G4832" i="2" s="1"/>
  <c r="G4833" i="2" s="1"/>
  <c r="G4834" i="2" s="1"/>
  <c r="G3349" i="2"/>
  <c r="G3350" i="2" s="1"/>
  <c r="G3351" i="2" s="1"/>
  <c r="G3352" i="2" s="1"/>
  <c r="G3353" i="2" s="1"/>
  <c r="G3354" i="2" s="1"/>
  <c r="I2069" i="2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4349" i="2"/>
  <c r="I4350" i="2" s="1"/>
  <c r="I4351" i="2" s="1"/>
  <c r="I4352" i="2" s="1"/>
  <c r="I4353" i="2" s="1"/>
  <c r="I4354" i="2" s="1"/>
  <c r="I4355" i="2" s="1"/>
  <c r="I4356" i="2" s="1"/>
  <c r="I4357" i="2" s="1"/>
  <c r="I4358" i="2" s="1"/>
  <c r="I4359" i="2" s="1"/>
  <c r="I4360" i="2" s="1"/>
  <c r="I4361" i="2" s="1"/>
  <c r="I4362" i="2" s="1"/>
  <c r="I4363" i="2" s="1"/>
  <c r="I4364" i="2" s="1"/>
  <c r="I4365" i="2" s="1"/>
  <c r="I4366" i="2" s="1"/>
  <c r="I4367" i="2" s="1"/>
  <c r="I5009" i="2"/>
  <c r="I5010" i="2" s="1"/>
  <c r="I5011" i="2" s="1"/>
  <c r="I5012" i="2" s="1"/>
  <c r="I5013" i="2" s="1"/>
  <c r="I5014" i="2" s="1"/>
  <c r="I5015" i="2" s="1"/>
  <c r="I5016" i="2" s="1"/>
  <c r="I5017" i="2" s="1"/>
  <c r="I5018" i="2" s="1"/>
  <c r="I5019" i="2" s="1"/>
  <c r="I5020" i="2" s="1"/>
  <c r="I5021" i="2" s="1"/>
  <c r="I5022" i="2" s="1"/>
  <c r="I5023" i="2" s="1"/>
  <c r="I5024" i="2" s="1"/>
  <c r="I5025" i="2" s="1"/>
  <c r="I5026" i="2" s="1"/>
  <c r="I5027" i="2" s="1"/>
  <c r="I2229" i="2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I2245" i="2" s="1"/>
  <c r="I2246" i="2" s="1"/>
  <c r="I2247" i="2" s="1"/>
  <c r="G2249" i="2"/>
  <c r="G2250" i="2" s="1"/>
  <c r="G2251" i="2" s="1"/>
  <c r="G2252" i="2" s="1"/>
  <c r="G2253" i="2" s="1"/>
  <c r="G2254" i="2" s="1"/>
  <c r="I5909" i="2"/>
  <c r="I5910" i="2" s="1"/>
  <c r="I5911" i="2" s="1"/>
  <c r="I5912" i="2" s="1"/>
  <c r="I5913" i="2" s="1"/>
  <c r="I5914" i="2" s="1"/>
  <c r="I5915" i="2" s="1"/>
  <c r="I5916" i="2" s="1"/>
  <c r="I5917" i="2" s="1"/>
  <c r="I5918" i="2" s="1"/>
  <c r="I5919" i="2" s="1"/>
  <c r="I5920" i="2" s="1"/>
  <c r="I5921" i="2" s="1"/>
  <c r="I5922" i="2" s="1"/>
  <c r="I5923" i="2" s="1"/>
  <c r="I5924" i="2" s="1"/>
  <c r="I5925" i="2" s="1"/>
  <c r="I5926" i="2" s="1"/>
  <c r="I5927" i="2" s="1"/>
  <c r="I1329" i="2"/>
  <c r="I1330" i="2" s="1"/>
  <c r="I1331" i="2" s="1"/>
  <c r="I1332" i="2" s="1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549" i="2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G4169" i="2"/>
  <c r="G4170" i="2" s="1"/>
  <c r="G4171" i="2" s="1"/>
  <c r="G4172" i="2" s="1"/>
  <c r="G4173" i="2" s="1"/>
  <c r="G4174" i="2" s="1"/>
  <c r="G4175" i="2" s="1"/>
  <c r="G2229" i="2"/>
  <c r="G2230" i="2" s="1"/>
  <c r="G2231" i="2" s="1"/>
  <c r="G2232" i="2" s="1"/>
  <c r="G2233" i="2" s="1"/>
  <c r="G2234" i="2" s="1"/>
  <c r="G1489" i="2"/>
  <c r="G1490" i="2" s="1"/>
  <c r="G1491" i="2" s="1"/>
  <c r="G1492" i="2" s="1"/>
  <c r="G1493" i="2" s="1"/>
  <c r="G1494" i="2" s="1"/>
  <c r="I1369" i="2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I1387" i="2" s="1"/>
  <c r="G2149" i="2"/>
  <c r="G2150" i="2" s="1"/>
  <c r="G2151" i="2" s="1"/>
  <c r="G2152" i="2" s="1"/>
  <c r="G2153" i="2" s="1"/>
  <c r="G2154" i="2" s="1"/>
  <c r="I4849" i="2"/>
  <c r="I4850" i="2" s="1"/>
  <c r="I4851" i="2" s="1"/>
  <c r="I4852" i="2" s="1"/>
  <c r="I4853" i="2" s="1"/>
  <c r="I4854" i="2" s="1"/>
  <c r="I4855" i="2" s="1"/>
  <c r="I4856" i="2" s="1"/>
  <c r="I4857" i="2" s="1"/>
  <c r="I4858" i="2" s="1"/>
  <c r="I4859" i="2" s="1"/>
  <c r="I4860" i="2" s="1"/>
  <c r="I4861" i="2" s="1"/>
  <c r="I4862" i="2" s="1"/>
  <c r="I4863" i="2" s="1"/>
  <c r="I4864" i="2" s="1"/>
  <c r="I4865" i="2" s="1"/>
  <c r="I4866" i="2" s="1"/>
  <c r="I4867" i="2" s="1"/>
  <c r="G1349" i="2"/>
  <c r="G1350" i="2" s="1"/>
  <c r="G1351" i="2" s="1"/>
  <c r="G1352" i="2" s="1"/>
  <c r="G1353" i="2" s="1"/>
  <c r="G1354" i="2" s="1"/>
  <c r="I4109" i="2"/>
  <c r="I4110" i="2" s="1"/>
  <c r="I4111" i="2" s="1"/>
  <c r="I4112" i="2" s="1"/>
  <c r="I4113" i="2" s="1"/>
  <c r="I4114" i="2" s="1"/>
  <c r="I4115" i="2" s="1"/>
  <c r="I4116" i="2" s="1"/>
  <c r="I4117" i="2" s="1"/>
  <c r="I4118" i="2" s="1"/>
  <c r="I4119" i="2" s="1"/>
  <c r="I4120" i="2" s="1"/>
  <c r="I4121" i="2" s="1"/>
  <c r="I4122" i="2" s="1"/>
  <c r="I4123" i="2" s="1"/>
  <c r="I4124" i="2" s="1"/>
  <c r="I4125" i="2" s="1"/>
  <c r="I4126" i="2" s="1"/>
  <c r="I4127" i="2" s="1"/>
  <c r="G1329" i="2"/>
  <c r="G1330" i="2" s="1"/>
  <c r="G1331" i="2" s="1"/>
  <c r="G1332" i="2" s="1"/>
  <c r="G1333" i="2" s="1"/>
  <c r="G1334" i="2" s="1"/>
  <c r="G1335" i="2" s="1"/>
  <c r="I4029" i="2"/>
  <c r="I4030" i="2" s="1"/>
  <c r="I4031" i="2" s="1"/>
  <c r="I4032" i="2" s="1"/>
  <c r="I4033" i="2" s="1"/>
  <c r="I4034" i="2" s="1"/>
  <c r="I4035" i="2" s="1"/>
  <c r="I4036" i="2" s="1"/>
  <c r="I4037" i="2" s="1"/>
  <c r="I4038" i="2" s="1"/>
  <c r="I4039" i="2" s="1"/>
  <c r="I4040" i="2" s="1"/>
  <c r="I4041" i="2" s="1"/>
  <c r="I4042" i="2" s="1"/>
  <c r="I4043" i="2" s="1"/>
  <c r="I4044" i="2" s="1"/>
  <c r="I4045" i="2" s="1"/>
  <c r="I4046" i="2" s="1"/>
  <c r="I4047" i="2" s="1"/>
  <c r="I4669" i="2"/>
  <c r="I4670" i="2" s="1"/>
  <c r="I4671" i="2" s="1"/>
  <c r="I4672" i="2" s="1"/>
  <c r="I4673" i="2" s="1"/>
  <c r="I4674" i="2" s="1"/>
  <c r="I4675" i="2" s="1"/>
  <c r="I4676" i="2" s="1"/>
  <c r="I4677" i="2" s="1"/>
  <c r="I4678" i="2" s="1"/>
  <c r="I4679" i="2" s="1"/>
  <c r="I4680" i="2" s="1"/>
  <c r="I4681" i="2" s="1"/>
  <c r="I4682" i="2" s="1"/>
  <c r="I4683" i="2" s="1"/>
  <c r="I4684" i="2" s="1"/>
  <c r="I4685" i="2" s="1"/>
  <c r="I4686" i="2" s="1"/>
  <c r="I4687" i="2" s="1"/>
  <c r="G2009" i="2"/>
  <c r="G2010" i="2" s="1"/>
  <c r="G2011" i="2" s="1"/>
  <c r="G2012" i="2" s="1"/>
  <c r="G2013" i="2" s="1"/>
  <c r="G2014" i="2" s="1"/>
  <c r="G2889" i="2"/>
  <c r="G2890" i="2" s="1"/>
  <c r="G2891" i="2" s="1"/>
  <c r="G2892" i="2" s="1"/>
  <c r="G2893" i="2" s="1"/>
  <c r="G2894" i="2" s="1"/>
  <c r="G4989" i="2"/>
  <c r="G4990" i="2" s="1"/>
  <c r="G4991" i="2" s="1"/>
  <c r="G4992" i="2" s="1"/>
  <c r="G4993" i="2" s="1"/>
  <c r="G4994" i="2" s="1"/>
  <c r="G1809" i="2"/>
  <c r="G1810" i="2" s="1"/>
  <c r="G1811" i="2" s="1"/>
  <c r="G1812" i="2" s="1"/>
  <c r="G1813" i="2" s="1"/>
  <c r="G1814" i="2" s="1"/>
  <c r="G5749" i="2"/>
  <c r="G5750" i="2" s="1"/>
  <c r="G5751" i="2" s="1"/>
  <c r="G5752" i="2" s="1"/>
  <c r="G5753" i="2" s="1"/>
  <c r="G5754" i="2" s="1"/>
  <c r="G1789" i="2"/>
  <c r="G1790" i="2" s="1"/>
  <c r="G1791" i="2" s="1"/>
  <c r="G1792" i="2" s="1"/>
  <c r="G1793" i="2" s="1"/>
  <c r="G1794" i="2" s="1"/>
  <c r="G1795" i="2" s="1"/>
  <c r="I1569" i="2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G4409" i="2"/>
  <c r="G4410" i="2" s="1"/>
  <c r="G4411" i="2" s="1"/>
  <c r="G4412" i="2" s="1"/>
  <c r="G4413" i="2" s="1"/>
  <c r="G4414" i="2" s="1"/>
  <c r="I4609" i="2"/>
  <c r="I4610" i="2" s="1"/>
  <c r="I4611" i="2" s="1"/>
  <c r="I4612" i="2" s="1"/>
  <c r="I4613" i="2" s="1"/>
  <c r="I4614" i="2" s="1"/>
  <c r="I4615" i="2" s="1"/>
  <c r="I4616" i="2" s="1"/>
  <c r="I4617" i="2" s="1"/>
  <c r="I4618" i="2" s="1"/>
  <c r="I4619" i="2" s="1"/>
  <c r="I4620" i="2" s="1"/>
  <c r="I4621" i="2" s="1"/>
  <c r="I4622" i="2" s="1"/>
  <c r="I4623" i="2" s="1"/>
  <c r="I4624" i="2" s="1"/>
  <c r="I4625" i="2" s="1"/>
  <c r="I4626" i="2" s="1"/>
  <c r="I4627" i="2" s="1"/>
  <c r="I2569" i="2"/>
  <c r="I2570" i="2" s="1"/>
  <c r="I2571" i="2" s="1"/>
  <c r="I2572" i="2" s="1"/>
  <c r="I2573" i="2" s="1"/>
  <c r="I2574" i="2" s="1"/>
  <c r="I2575" i="2" s="1"/>
  <c r="I2576" i="2" s="1"/>
  <c r="I2577" i="2" s="1"/>
  <c r="I2578" i="2" s="1"/>
  <c r="I2579" i="2" s="1"/>
  <c r="I2580" i="2" s="1"/>
  <c r="I2581" i="2" s="1"/>
  <c r="I2582" i="2" s="1"/>
  <c r="I2583" i="2" s="1"/>
  <c r="I2584" i="2" s="1"/>
  <c r="I2585" i="2" s="1"/>
  <c r="I2586" i="2" s="1"/>
  <c r="I2587" i="2" s="1"/>
  <c r="I4429" i="2"/>
  <c r="I4430" i="2" s="1"/>
  <c r="I4431" i="2" s="1"/>
  <c r="I4432" i="2" s="1"/>
  <c r="I4433" i="2" s="1"/>
  <c r="I4434" i="2" s="1"/>
  <c r="I4435" i="2" s="1"/>
  <c r="I4436" i="2" s="1"/>
  <c r="I4437" i="2" s="1"/>
  <c r="I4438" i="2" s="1"/>
  <c r="I4439" i="2" s="1"/>
  <c r="I4440" i="2" s="1"/>
  <c r="I4441" i="2" s="1"/>
  <c r="I4442" i="2" s="1"/>
  <c r="I4443" i="2" s="1"/>
  <c r="I4444" i="2" s="1"/>
  <c r="I4445" i="2" s="1"/>
  <c r="I4446" i="2" s="1"/>
  <c r="I4447" i="2" s="1"/>
  <c r="I1049" i="2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269" i="2"/>
  <c r="I1270" i="2" s="1"/>
  <c r="I1271" i="2" s="1"/>
  <c r="I1272" i="2" s="1"/>
  <c r="I1273" i="2" s="1"/>
  <c r="I1274" i="2" s="1"/>
  <c r="I1275" i="2" s="1"/>
  <c r="I1276" i="2" s="1"/>
  <c r="I1277" i="2" s="1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G1609" i="2"/>
  <c r="G1610" i="2" s="1"/>
  <c r="G1611" i="2" s="1"/>
  <c r="G1612" i="2" s="1"/>
  <c r="G1613" i="2" s="1"/>
  <c r="G1614" i="2" s="1"/>
  <c r="G1615" i="2" s="1"/>
  <c r="I2029" i="2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1989" i="2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G5589" i="2"/>
  <c r="G5590" i="2" s="1"/>
  <c r="G5591" i="2" s="1"/>
  <c r="G5592" i="2" s="1"/>
  <c r="G5593" i="2" s="1"/>
  <c r="G5594" i="2" s="1"/>
  <c r="I3149" i="2"/>
  <c r="I3150" i="2" s="1"/>
  <c r="I3151" i="2" s="1"/>
  <c r="I3152" i="2" s="1"/>
  <c r="I3153" i="2" s="1"/>
  <c r="I3154" i="2" s="1"/>
  <c r="I3155" i="2" s="1"/>
  <c r="I3156" i="2" s="1"/>
  <c r="I3157" i="2" s="1"/>
  <c r="I3158" i="2" s="1"/>
  <c r="I3159" i="2" s="1"/>
  <c r="I3160" i="2" s="1"/>
  <c r="I3161" i="2" s="1"/>
  <c r="I3162" i="2" s="1"/>
  <c r="I3163" i="2" s="1"/>
  <c r="I3164" i="2" s="1"/>
  <c r="I3165" i="2" s="1"/>
  <c r="I3166" i="2" s="1"/>
  <c r="I3167" i="2" s="1"/>
  <c r="I5869" i="2"/>
  <c r="I5870" i="2" s="1"/>
  <c r="I5871" i="2" s="1"/>
  <c r="I5872" i="2" s="1"/>
  <c r="I5873" i="2" s="1"/>
  <c r="I5874" i="2" s="1"/>
  <c r="I5875" i="2" s="1"/>
  <c r="I5876" i="2" s="1"/>
  <c r="I5877" i="2" s="1"/>
  <c r="I5878" i="2" s="1"/>
  <c r="I5879" i="2" s="1"/>
  <c r="I5880" i="2" s="1"/>
  <c r="I5881" i="2" s="1"/>
  <c r="I5882" i="2" s="1"/>
  <c r="I5883" i="2" s="1"/>
  <c r="I5884" i="2" s="1"/>
  <c r="I5885" i="2" s="1"/>
  <c r="I5886" i="2" s="1"/>
  <c r="I5887" i="2" s="1"/>
  <c r="G5389" i="2"/>
  <c r="G5390" i="2" s="1"/>
  <c r="G5391" i="2" s="1"/>
  <c r="G5392" i="2" s="1"/>
  <c r="G5393" i="2" s="1"/>
  <c r="G5394" i="2" s="1"/>
  <c r="G2389" i="2"/>
  <c r="G2390" i="2" s="1"/>
  <c r="G2391" i="2" s="1"/>
  <c r="G2392" i="2" s="1"/>
  <c r="G2393" i="2" s="1"/>
  <c r="G2394" i="2" s="1"/>
  <c r="I2309" i="2"/>
  <c r="I2310" i="2" s="1"/>
  <c r="I2311" i="2" s="1"/>
  <c r="I2312" i="2" s="1"/>
  <c r="I2313" i="2" s="1"/>
  <c r="I2314" i="2" s="1"/>
  <c r="I2315" i="2" s="1"/>
  <c r="I2316" i="2" s="1"/>
  <c r="I2317" i="2" s="1"/>
  <c r="I2318" i="2" s="1"/>
  <c r="I2319" i="2" s="1"/>
  <c r="I2320" i="2" s="1"/>
  <c r="I2321" i="2" s="1"/>
  <c r="I2322" i="2" s="1"/>
  <c r="I2323" i="2" s="1"/>
  <c r="I2324" i="2" s="1"/>
  <c r="I2325" i="2" s="1"/>
  <c r="I2326" i="2" s="1"/>
  <c r="I2327" i="2" s="1"/>
  <c r="I2669" i="2"/>
  <c r="I2670" i="2" s="1"/>
  <c r="I2671" i="2" s="1"/>
  <c r="I2672" i="2" s="1"/>
  <c r="I2673" i="2" s="1"/>
  <c r="I2674" i="2" s="1"/>
  <c r="I2675" i="2" s="1"/>
  <c r="I2676" i="2" s="1"/>
  <c r="I2677" i="2" s="1"/>
  <c r="I2678" i="2" s="1"/>
  <c r="I2679" i="2" s="1"/>
  <c r="I2680" i="2" s="1"/>
  <c r="I2681" i="2" s="1"/>
  <c r="I2682" i="2" s="1"/>
  <c r="I2683" i="2" s="1"/>
  <c r="I2684" i="2" s="1"/>
  <c r="I2685" i="2" s="1"/>
  <c r="I2686" i="2" s="1"/>
  <c r="I2687" i="2" s="1"/>
  <c r="I2369" i="2"/>
  <c r="I2370" i="2" s="1"/>
  <c r="I2371" i="2" s="1"/>
  <c r="I2372" i="2" s="1"/>
  <c r="I2373" i="2" s="1"/>
  <c r="I2374" i="2" s="1"/>
  <c r="I2375" i="2" s="1"/>
  <c r="I2376" i="2" s="1"/>
  <c r="I2377" i="2" s="1"/>
  <c r="I2378" i="2" s="1"/>
  <c r="I2379" i="2" s="1"/>
  <c r="I2380" i="2" s="1"/>
  <c r="I2381" i="2" s="1"/>
  <c r="I2382" i="2" s="1"/>
  <c r="I2383" i="2" s="1"/>
  <c r="I2384" i="2" s="1"/>
  <c r="I2385" i="2" s="1"/>
  <c r="I2386" i="2" s="1"/>
  <c r="I2387" i="2" s="1"/>
  <c r="G3389" i="2"/>
  <c r="G3390" i="2" s="1"/>
  <c r="G3391" i="2" s="1"/>
  <c r="G3392" i="2" s="1"/>
  <c r="G3393" i="2" s="1"/>
  <c r="G3394" i="2" s="1"/>
  <c r="G3689" i="2"/>
  <c r="G3690" i="2" s="1"/>
  <c r="G3691" i="2" s="1"/>
  <c r="G3692" i="2" s="1"/>
  <c r="G3693" i="2" s="1"/>
  <c r="G3694" i="2" s="1"/>
  <c r="G1669" i="2"/>
  <c r="G1670" i="2" s="1"/>
  <c r="G1671" i="2" s="1"/>
  <c r="G1672" i="2" s="1"/>
  <c r="G1673" i="2" s="1"/>
  <c r="G1674" i="2" s="1"/>
  <c r="G4669" i="2"/>
  <c r="G4670" i="2" s="1"/>
  <c r="G4671" i="2" s="1"/>
  <c r="G4672" i="2" s="1"/>
  <c r="G4673" i="2" s="1"/>
  <c r="G4674" i="2" s="1"/>
  <c r="G4549" i="2"/>
  <c r="G4550" i="2" s="1"/>
  <c r="G4551" i="2" s="1"/>
  <c r="G4552" i="2" s="1"/>
  <c r="G4553" i="2" s="1"/>
  <c r="G4554" i="2" s="1"/>
  <c r="I5169" i="2"/>
  <c r="I5170" i="2" s="1"/>
  <c r="I5171" i="2" s="1"/>
  <c r="I5172" i="2" s="1"/>
  <c r="I5173" i="2" s="1"/>
  <c r="I5174" i="2" s="1"/>
  <c r="I5175" i="2" s="1"/>
  <c r="I5176" i="2" s="1"/>
  <c r="I5177" i="2" s="1"/>
  <c r="I5178" i="2" s="1"/>
  <c r="I5179" i="2" s="1"/>
  <c r="I5180" i="2" s="1"/>
  <c r="I5181" i="2" s="1"/>
  <c r="I5182" i="2" s="1"/>
  <c r="I5183" i="2" s="1"/>
  <c r="I5184" i="2" s="1"/>
  <c r="I5185" i="2" s="1"/>
  <c r="I5186" i="2" s="1"/>
  <c r="I5187" i="2" s="1"/>
  <c r="G5529" i="2"/>
  <c r="G5530" i="2" s="1"/>
  <c r="G5531" i="2" s="1"/>
  <c r="G5532" i="2" s="1"/>
  <c r="G5533" i="2" s="1"/>
  <c r="G5534" i="2" s="1"/>
  <c r="I4169" i="2"/>
  <c r="I4170" i="2" s="1"/>
  <c r="I4171" i="2" s="1"/>
  <c r="I4172" i="2" s="1"/>
  <c r="I4173" i="2" s="1"/>
  <c r="I4174" i="2" s="1"/>
  <c r="I4175" i="2" s="1"/>
  <c r="I4176" i="2" s="1"/>
  <c r="I4177" i="2" s="1"/>
  <c r="I4178" i="2" s="1"/>
  <c r="I4179" i="2" s="1"/>
  <c r="I4180" i="2" s="1"/>
  <c r="I4181" i="2" s="1"/>
  <c r="I4182" i="2" s="1"/>
  <c r="I4183" i="2" s="1"/>
  <c r="I4184" i="2" s="1"/>
  <c r="I4185" i="2" s="1"/>
  <c r="I4186" i="2" s="1"/>
  <c r="I4187" i="2" s="1"/>
  <c r="I1289" i="2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G5669" i="2"/>
  <c r="G5670" i="2" s="1"/>
  <c r="G5671" i="2" s="1"/>
  <c r="G5672" i="2" s="1"/>
  <c r="G5673" i="2" s="1"/>
  <c r="G5674" i="2" s="1"/>
  <c r="I4509" i="2"/>
  <c r="I4510" i="2" s="1"/>
  <c r="I4511" i="2" s="1"/>
  <c r="I4512" i="2" s="1"/>
  <c r="I4513" i="2" s="1"/>
  <c r="I4514" i="2" s="1"/>
  <c r="I4515" i="2" s="1"/>
  <c r="I4516" i="2" s="1"/>
  <c r="I4517" i="2" s="1"/>
  <c r="I4518" i="2" s="1"/>
  <c r="I4519" i="2" s="1"/>
  <c r="I4520" i="2" s="1"/>
  <c r="I4521" i="2" s="1"/>
  <c r="I4522" i="2" s="1"/>
  <c r="I4523" i="2" s="1"/>
  <c r="I4524" i="2" s="1"/>
  <c r="I4525" i="2" s="1"/>
  <c r="I4526" i="2" s="1"/>
  <c r="I4527" i="2" s="1"/>
  <c r="I1729" i="2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G3589" i="2"/>
  <c r="G3590" i="2" s="1"/>
  <c r="G3591" i="2" s="1"/>
  <c r="G3592" i="2" s="1"/>
  <c r="G3593" i="2" s="1"/>
  <c r="G3594" i="2" s="1"/>
  <c r="I1889" i="2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G5209" i="2"/>
  <c r="G5210" i="2" s="1"/>
  <c r="G5211" i="2" s="1"/>
  <c r="G5212" i="2" s="1"/>
  <c r="G5213" i="2" s="1"/>
  <c r="G5214" i="2" s="1"/>
  <c r="G3649" i="2"/>
  <c r="G3650" i="2" s="1"/>
  <c r="G3651" i="2" s="1"/>
  <c r="G3652" i="2" s="1"/>
  <c r="G3653" i="2" s="1"/>
  <c r="G3654" i="2" s="1"/>
  <c r="I4889" i="2"/>
  <c r="I4890" i="2" s="1"/>
  <c r="I4891" i="2" s="1"/>
  <c r="I4892" i="2" s="1"/>
  <c r="I4893" i="2" s="1"/>
  <c r="I4894" i="2" s="1"/>
  <c r="I4895" i="2" s="1"/>
  <c r="I4896" i="2" s="1"/>
  <c r="I4897" i="2" s="1"/>
  <c r="I4898" i="2" s="1"/>
  <c r="I4899" i="2" s="1"/>
  <c r="I4900" i="2" s="1"/>
  <c r="I4901" i="2" s="1"/>
  <c r="I4902" i="2" s="1"/>
  <c r="I4903" i="2" s="1"/>
  <c r="I4904" i="2" s="1"/>
  <c r="I4905" i="2" s="1"/>
  <c r="I4906" i="2" s="1"/>
  <c r="I4907" i="2" s="1"/>
  <c r="I4209" i="2"/>
  <c r="I4210" i="2" s="1"/>
  <c r="I4211" i="2" s="1"/>
  <c r="I4212" i="2" s="1"/>
  <c r="I4213" i="2" s="1"/>
  <c r="I4214" i="2" s="1"/>
  <c r="I4215" i="2" s="1"/>
  <c r="I4216" i="2" s="1"/>
  <c r="I4217" i="2" s="1"/>
  <c r="I4218" i="2" s="1"/>
  <c r="I4219" i="2" s="1"/>
  <c r="I4220" i="2" s="1"/>
  <c r="I4221" i="2" s="1"/>
  <c r="I4222" i="2" s="1"/>
  <c r="I4223" i="2" s="1"/>
  <c r="I4224" i="2" s="1"/>
  <c r="I4225" i="2" s="1"/>
  <c r="I4226" i="2" s="1"/>
  <c r="I4227" i="2" s="1"/>
  <c r="G4589" i="2"/>
  <c r="G4590" i="2" s="1"/>
  <c r="G4591" i="2" s="1"/>
  <c r="G4592" i="2" s="1"/>
  <c r="G4593" i="2" s="1"/>
  <c r="G4594" i="2" s="1"/>
  <c r="G5449" i="2"/>
  <c r="G5450" i="2" s="1"/>
  <c r="G5451" i="2" s="1"/>
  <c r="G5452" i="2" s="1"/>
  <c r="G5453" i="2" s="1"/>
  <c r="G5454" i="2" s="1"/>
  <c r="G5309" i="2"/>
  <c r="G5310" i="2" s="1"/>
  <c r="G5311" i="2" s="1"/>
  <c r="G5312" i="2" s="1"/>
  <c r="G5313" i="2" s="1"/>
  <c r="G5314" i="2" s="1"/>
  <c r="G2289" i="2"/>
  <c r="G2290" i="2" s="1"/>
  <c r="G2291" i="2" s="1"/>
  <c r="G2292" i="2" s="1"/>
  <c r="G2293" i="2" s="1"/>
  <c r="G2294" i="2" s="1"/>
  <c r="G2295" i="2" s="1"/>
  <c r="I4369" i="2"/>
  <c r="I4370" i="2" s="1"/>
  <c r="I4371" i="2" s="1"/>
  <c r="I4372" i="2" s="1"/>
  <c r="I4373" i="2" s="1"/>
  <c r="I4374" i="2" s="1"/>
  <c r="I4375" i="2" s="1"/>
  <c r="I4376" i="2" s="1"/>
  <c r="I4377" i="2" s="1"/>
  <c r="I4378" i="2" s="1"/>
  <c r="I4379" i="2" s="1"/>
  <c r="I4380" i="2" s="1"/>
  <c r="I4381" i="2" s="1"/>
  <c r="I4382" i="2" s="1"/>
  <c r="I4383" i="2" s="1"/>
  <c r="I4384" i="2" s="1"/>
  <c r="I4385" i="2" s="1"/>
  <c r="I4386" i="2" s="1"/>
  <c r="I4387" i="2" s="1"/>
  <c r="I5229" i="2"/>
  <c r="I5230" i="2" s="1"/>
  <c r="I5231" i="2" s="1"/>
  <c r="I5232" i="2" s="1"/>
  <c r="I5233" i="2" s="1"/>
  <c r="I5234" i="2" s="1"/>
  <c r="I5235" i="2" s="1"/>
  <c r="I5236" i="2" s="1"/>
  <c r="I5237" i="2" s="1"/>
  <c r="I5238" i="2" s="1"/>
  <c r="I5239" i="2" s="1"/>
  <c r="I5240" i="2" s="1"/>
  <c r="I5241" i="2" s="1"/>
  <c r="I5242" i="2" s="1"/>
  <c r="I5243" i="2" s="1"/>
  <c r="I5244" i="2" s="1"/>
  <c r="I5245" i="2" s="1"/>
  <c r="I5246" i="2" s="1"/>
  <c r="I5247" i="2" s="1"/>
  <c r="I5789" i="2"/>
  <c r="I5790" i="2" s="1"/>
  <c r="I5791" i="2" s="1"/>
  <c r="I5792" i="2" s="1"/>
  <c r="I5793" i="2" s="1"/>
  <c r="I5794" i="2" s="1"/>
  <c r="I5795" i="2" s="1"/>
  <c r="I5796" i="2" s="1"/>
  <c r="I5797" i="2" s="1"/>
  <c r="I5798" i="2" s="1"/>
  <c r="I5799" i="2" s="1"/>
  <c r="I5800" i="2" s="1"/>
  <c r="I5801" i="2" s="1"/>
  <c r="I5802" i="2" s="1"/>
  <c r="I5803" i="2" s="1"/>
  <c r="I5804" i="2" s="1"/>
  <c r="I5805" i="2" s="1"/>
  <c r="I5806" i="2" s="1"/>
  <c r="I5807" i="2" s="1"/>
  <c r="I5529" i="2"/>
  <c r="I5530" i="2" s="1"/>
  <c r="I5531" i="2" s="1"/>
  <c r="I5532" i="2" s="1"/>
  <c r="I5533" i="2" s="1"/>
  <c r="I5534" i="2" s="1"/>
  <c r="I5535" i="2" s="1"/>
  <c r="I5536" i="2" s="1"/>
  <c r="I5537" i="2" s="1"/>
  <c r="I5538" i="2" s="1"/>
  <c r="I5539" i="2" s="1"/>
  <c r="I5540" i="2" s="1"/>
  <c r="I5541" i="2" s="1"/>
  <c r="I5542" i="2" s="1"/>
  <c r="I5543" i="2" s="1"/>
  <c r="I5544" i="2" s="1"/>
  <c r="I5545" i="2" s="1"/>
  <c r="I5546" i="2" s="1"/>
  <c r="I5547" i="2" s="1"/>
  <c r="I2949" i="2"/>
  <c r="I2950" i="2" s="1"/>
  <c r="I2951" i="2" s="1"/>
  <c r="I2952" i="2" s="1"/>
  <c r="I2953" i="2" s="1"/>
  <c r="I2954" i="2" s="1"/>
  <c r="I2955" i="2" s="1"/>
  <c r="I2956" i="2" s="1"/>
  <c r="I2957" i="2" s="1"/>
  <c r="I2958" i="2" s="1"/>
  <c r="I2959" i="2" s="1"/>
  <c r="I2960" i="2" s="1"/>
  <c r="I2961" i="2" s="1"/>
  <c r="I2962" i="2" s="1"/>
  <c r="I2963" i="2" s="1"/>
  <c r="I2964" i="2" s="1"/>
  <c r="I2965" i="2" s="1"/>
  <c r="I2966" i="2" s="1"/>
  <c r="I2967" i="2" s="1"/>
  <c r="G5769" i="2"/>
  <c r="G5770" i="2" s="1"/>
  <c r="G5771" i="2" s="1"/>
  <c r="G5772" i="2" s="1"/>
  <c r="G5773" i="2" s="1"/>
  <c r="G5774" i="2" s="1"/>
  <c r="I2589" i="2"/>
  <c r="I2590" i="2" s="1"/>
  <c r="I2591" i="2" s="1"/>
  <c r="I2592" i="2" s="1"/>
  <c r="I2593" i="2" s="1"/>
  <c r="I2594" i="2" s="1"/>
  <c r="I2595" i="2" s="1"/>
  <c r="I2596" i="2" s="1"/>
  <c r="I2597" i="2" s="1"/>
  <c r="I2598" i="2" s="1"/>
  <c r="I2599" i="2" s="1"/>
  <c r="I2600" i="2" s="1"/>
  <c r="I2601" i="2" s="1"/>
  <c r="I2602" i="2" s="1"/>
  <c r="I2603" i="2" s="1"/>
  <c r="I2604" i="2" s="1"/>
  <c r="I2605" i="2" s="1"/>
  <c r="I2606" i="2" s="1"/>
  <c r="I2607" i="2" s="1"/>
  <c r="G3769" i="2"/>
  <c r="G3770" i="2" s="1"/>
  <c r="G3771" i="2" s="1"/>
  <c r="G3772" i="2" s="1"/>
  <c r="G3773" i="2" s="1"/>
  <c r="G3774" i="2" s="1"/>
  <c r="I4129" i="2"/>
  <c r="I4130" i="2" s="1"/>
  <c r="I4131" i="2" s="1"/>
  <c r="I4132" i="2" s="1"/>
  <c r="I4133" i="2" s="1"/>
  <c r="I4134" i="2" s="1"/>
  <c r="I4135" i="2" s="1"/>
  <c r="I4136" i="2" s="1"/>
  <c r="I4137" i="2" s="1"/>
  <c r="I4138" i="2" s="1"/>
  <c r="I4139" i="2" s="1"/>
  <c r="I4140" i="2" s="1"/>
  <c r="I4141" i="2" s="1"/>
  <c r="I4142" i="2" s="1"/>
  <c r="I4143" i="2" s="1"/>
  <c r="I4144" i="2" s="1"/>
  <c r="I4145" i="2" s="1"/>
  <c r="I4146" i="2" s="1"/>
  <c r="I4147" i="2" s="1"/>
  <c r="I3429" i="2"/>
  <c r="I3430" i="2" s="1"/>
  <c r="I3431" i="2" s="1"/>
  <c r="I3432" i="2" s="1"/>
  <c r="I3433" i="2" s="1"/>
  <c r="I3434" i="2" s="1"/>
  <c r="I3435" i="2" s="1"/>
  <c r="I3436" i="2" s="1"/>
  <c r="I3437" i="2" s="1"/>
  <c r="I3438" i="2" s="1"/>
  <c r="I3439" i="2" s="1"/>
  <c r="I3440" i="2" s="1"/>
  <c r="I3441" i="2" s="1"/>
  <c r="I3442" i="2" s="1"/>
  <c r="I3443" i="2" s="1"/>
  <c r="I3444" i="2" s="1"/>
  <c r="I3445" i="2" s="1"/>
  <c r="I3446" i="2" s="1"/>
  <c r="I3447" i="2" s="1"/>
  <c r="I1829" i="2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G5269" i="2"/>
  <c r="G5270" i="2" s="1"/>
  <c r="G5271" i="2" s="1"/>
  <c r="G5272" i="2" s="1"/>
  <c r="G5273" i="2" s="1"/>
  <c r="G5274" i="2" s="1"/>
  <c r="G1829" i="2"/>
  <c r="G1830" i="2" s="1"/>
  <c r="G1831" i="2" s="1"/>
  <c r="G1832" i="2" s="1"/>
  <c r="G1833" i="2" s="1"/>
  <c r="G1834" i="2" s="1"/>
  <c r="G1769" i="2"/>
  <c r="G1770" i="2" s="1"/>
  <c r="G1771" i="2" s="1"/>
  <c r="G1772" i="2" s="1"/>
  <c r="G1773" i="2" s="1"/>
  <c r="G1774" i="2" s="1"/>
  <c r="I4229" i="2"/>
  <c r="I4230" i="2" s="1"/>
  <c r="I4231" i="2" s="1"/>
  <c r="I4232" i="2" s="1"/>
  <c r="I4233" i="2" s="1"/>
  <c r="I4234" i="2" s="1"/>
  <c r="I4235" i="2" s="1"/>
  <c r="I4236" i="2" s="1"/>
  <c r="I4237" i="2" s="1"/>
  <c r="I4238" i="2" s="1"/>
  <c r="I4239" i="2" s="1"/>
  <c r="I4240" i="2" s="1"/>
  <c r="I4241" i="2" s="1"/>
  <c r="I4242" i="2" s="1"/>
  <c r="I4243" i="2" s="1"/>
  <c r="I4244" i="2" s="1"/>
  <c r="I4245" i="2" s="1"/>
  <c r="I4246" i="2" s="1"/>
  <c r="I4247" i="2" s="1"/>
  <c r="I2469" i="2"/>
  <c r="I2470" i="2" s="1"/>
  <c r="I2471" i="2" s="1"/>
  <c r="I2472" i="2" s="1"/>
  <c r="I2473" i="2" s="1"/>
  <c r="I2474" i="2" s="1"/>
  <c r="I2475" i="2" s="1"/>
  <c r="I2476" i="2" s="1"/>
  <c r="I2477" i="2" s="1"/>
  <c r="I2478" i="2" s="1"/>
  <c r="I2479" i="2" s="1"/>
  <c r="I2480" i="2" s="1"/>
  <c r="I2481" i="2" s="1"/>
  <c r="I2482" i="2" s="1"/>
  <c r="I2483" i="2" s="1"/>
  <c r="I2484" i="2" s="1"/>
  <c r="I2485" i="2" s="1"/>
  <c r="I2486" i="2" s="1"/>
  <c r="I2487" i="2" s="1"/>
  <c r="G2729" i="2"/>
  <c r="G2730" i="2" s="1"/>
  <c r="G2731" i="2" s="1"/>
  <c r="G2732" i="2" s="1"/>
  <c r="G2733" i="2" s="1"/>
  <c r="G2734" i="2" s="1"/>
  <c r="G1209" i="2"/>
  <c r="G1210" i="2" s="1"/>
  <c r="G1211" i="2" s="1"/>
  <c r="G1212" i="2" s="1"/>
  <c r="G1213" i="2" s="1"/>
  <c r="G1214" i="2" s="1"/>
  <c r="I1809" i="2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3549" i="2"/>
  <c r="I3550" i="2" s="1"/>
  <c r="I3551" i="2" s="1"/>
  <c r="I3552" i="2" s="1"/>
  <c r="I3553" i="2" s="1"/>
  <c r="I3554" i="2" s="1"/>
  <c r="I3555" i="2" s="1"/>
  <c r="I3556" i="2" s="1"/>
  <c r="I3557" i="2" s="1"/>
  <c r="I3558" i="2" s="1"/>
  <c r="I3559" i="2" s="1"/>
  <c r="I3560" i="2" s="1"/>
  <c r="I3561" i="2" s="1"/>
  <c r="I3562" i="2" s="1"/>
  <c r="I3563" i="2" s="1"/>
  <c r="I3564" i="2" s="1"/>
  <c r="I3565" i="2" s="1"/>
  <c r="I3566" i="2" s="1"/>
  <c r="I3567" i="2" s="1"/>
  <c r="G5909" i="2"/>
  <c r="G5910" i="2" s="1"/>
  <c r="G5911" i="2" s="1"/>
  <c r="G5912" i="2" s="1"/>
  <c r="G5913" i="2" s="1"/>
  <c r="G5914" i="2" s="1"/>
  <c r="G5049" i="2"/>
  <c r="G5050" i="2" s="1"/>
  <c r="G5051" i="2" s="1"/>
  <c r="G5052" i="2" s="1"/>
  <c r="G5053" i="2" s="1"/>
  <c r="G5054" i="2" s="1"/>
  <c r="G5149" i="2"/>
  <c r="G5150" i="2" s="1"/>
  <c r="G5151" i="2" s="1"/>
  <c r="G5152" i="2" s="1"/>
  <c r="G5153" i="2" s="1"/>
  <c r="G5154" i="2" s="1"/>
  <c r="I4929" i="2"/>
  <c r="I4930" i="2" s="1"/>
  <c r="I4931" i="2" s="1"/>
  <c r="I4932" i="2" s="1"/>
  <c r="I4933" i="2" s="1"/>
  <c r="I4934" i="2" s="1"/>
  <c r="I4935" i="2" s="1"/>
  <c r="I4936" i="2" s="1"/>
  <c r="I4937" i="2" s="1"/>
  <c r="I4938" i="2" s="1"/>
  <c r="I4939" i="2" s="1"/>
  <c r="I4940" i="2" s="1"/>
  <c r="I4941" i="2" s="1"/>
  <c r="I4942" i="2" s="1"/>
  <c r="I4943" i="2" s="1"/>
  <c r="I4944" i="2" s="1"/>
  <c r="I4945" i="2" s="1"/>
  <c r="I4946" i="2" s="1"/>
  <c r="I4947" i="2" s="1"/>
  <c r="I3669" i="2"/>
  <c r="I3670" i="2" s="1"/>
  <c r="I3671" i="2" s="1"/>
  <c r="I3672" i="2" s="1"/>
  <c r="I3673" i="2" s="1"/>
  <c r="I3674" i="2" s="1"/>
  <c r="I3675" i="2" s="1"/>
  <c r="I3676" i="2" s="1"/>
  <c r="I3677" i="2" s="1"/>
  <c r="I3678" i="2" s="1"/>
  <c r="I3679" i="2" s="1"/>
  <c r="I3680" i="2" s="1"/>
  <c r="I3681" i="2" s="1"/>
  <c r="I3682" i="2" s="1"/>
  <c r="I3683" i="2" s="1"/>
  <c r="I3684" i="2" s="1"/>
  <c r="I3685" i="2" s="1"/>
  <c r="I3686" i="2" s="1"/>
  <c r="I3687" i="2" s="1"/>
  <c r="I4329" i="2"/>
  <c r="I4330" i="2" s="1"/>
  <c r="I4331" i="2" s="1"/>
  <c r="I4332" i="2" s="1"/>
  <c r="I4333" i="2" s="1"/>
  <c r="I4334" i="2" s="1"/>
  <c r="I4335" i="2" s="1"/>
  <c r="I4336" i="2" s="1"/>
  <c r="I4337" i="2" s="1"/>
  <c r="I4338" i="2" s="1"/>
  <c r="I4339" i="2" s="1"/>
  <c r="I4340" i="2" s="1"/>
  <c r="I4341" i="2" s="1"/>
  <c r="I4342" i="2" s="1"/>
  <c r="I4343" i="2" s="1"/>
  <c r="I4344" i="2" s="1"/>
  <c r="I4345" i="2" s="1"/>
  <c r="I4346" i="2" s="1"/>
  <c r="I4347" i="2" s="1"/>
  <c r="G4029" i="2"/>
  <c r="G4030" i="2" s="1"/>
  <c r="G4031" i="2" s="1"/>
  <c r="G4032" i="2" s="1"/>
  <c r="G4033" i="2" s="1"/>
  <c r="G4034" i="2" s="1"/>
  <c r="G2629" i="2"/>
  <c r="G2630" i="2" s="1"/>
  <c r="G2631" i="2" s="1"/>
  <c r="G2632" i="2" s="1"/>
  <c r="G2633" i="2" s="1"/>
  <c r="G2634" i="2" s="1"/>
  <c r="I5769" i="2"/>
  <c r="I5770" i="2" s="1"/>
  <c r="I5771" i="2" s="1"/>
  <c r="I5772" i="2" s="1"/>
  <c r="I5773" i="2" s="1"/>
  <c r="I5774" i="2" s="1"/>
  <c r="I5775" i="2" s="1"/>
  <c r="I5776" i="2" s="1"/>
  <c r="I5777" i="2" s="1"/>
  <c r="I5778" i="2" s="1"/>
  <c r="I5779" i="2" s="1"/>
  <c r="I5780" i="2" s="1"/>
  <c r="I5781" i="2" s="1"/>
  <c r="I5782" i="2" s="1"/>
  <c r="I5783" i="2" s="1"/>
  <c r="I5784" i="2" s="1"/>
  <c r="I5785" i="2" s="1"/>
  <c r="I5786" i="2" s="1"/>
  <c r="I5787" i="2" s="1"/>
  <c r="I5549" i="2"/>
  <c r="I5550" i="2" s="1"/>
  <c r="I5551" i="2" s="1"/>
  <c r="I5552" i="2" s="1"/>
  <c r="I5553" i="2" s="1"/>
  <c r="I5554" i="2" s="1"/>
  <c r="I5555" i="2" s="1"/>
  <c r="I5556" i="2" s="1"/>
  <c r="I5557" i="2" s="1"/>
  <c r="I5558" i="2" s="1"/>
  <c r="I5559" i="2" s="1"/>
  <c r="I5560" i="2" s="1"/>
  <c r="I5561" i="2" s="1"/>
  <c r="I5562" i="2" s="1"/>
  <c r="I5563" i="2" s="1"/>
  <c r="I5564" i="2" s="1"/>
  <c r="I5565" i="2" s="1"/>
  <c r="I5566" i="2" s="1"/>
  <c r="I5567" i="2" s="1"/>
  <c r="G2749" i="2"/>
  <c r="G2750" i="2" s="1"/>
  <c r="G2751" i="2" s="1"/>
  <c r="G2752" i="2" s="1"/>
  <c r="G2753" i="2" s="1"/>
  <c r="G2754" i="2" s="1"/>
  <c r="G4389" i="2"/>
  <c r="G4390" i="2" s="1"/>
  <c r="G4391" i="2" s="1"/>
  <c r="G4392" i="2" s="1"/>
  <c r="G4393" i="2" s="1"/>
  <c r="G4394" i="2" s="1"/>
  <c r="G2429" i="2"/>
  <c r="G2430" i="2" s="1"/>
  <c r="G2431" i="2" s="1"/>
  <c r="G2432" i="2" s="1"/>
  <c r="G2433" i="2" s="1"/>
  <c r="G2434" i="2" s="1"/>
  <c r="I1109" i="2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3309" i="2"/>
  <c r="I3310" i="2" s="1"/>
  <c r="I3311" i="2" s="1"/>
  <c r="I3312" i="2" s="1"/>
  <c r="I3313" i="2" s="1"/>
  <c r="I3314" i="2" s="1"/>
  <c r="I3315" i="2" s="1"/>
  <c r="I3316" i="2" s="1"/>
  <c r="I3317" i="2" s="1"/>
  <c r="I3318" i="2" s="1"/>
  <c r="I3319" i="2" s="1"/>
  <c r="I3320" i="2" s="1"/>
  <c r="I3321" i="2" s="1"/>
  <c r="I3322" i="2" s="1"/>
  <c r="I3323" i="2" s="1"/>
  <c r="I3324" i="2" s="1"/>
  <c r="I3325" i="2" s="1"/>
  <c r="I3326" i="2" s="1"/>
  <c r="I3327" i="2" s="1"/>
  <c r="G2909" i="2"/>
  <c r="G2910" i="2" s="1"/>
  <c r="G2911" i="2" s="1"/>
  <c r="G2912" i="2" s="1"/>
  <c r="G2913" i="2" s="1"/>
  <c r="G2914" i="2" s="1"/>
  <c r="G1249" i="2"/>
  <c r="G1250" i="2" s="1"/>
  <c r="G1251" i="2" s="1"/>
  <c r="G1252" i="2" s="1"/>
  <c r="G1253" i="2" s="1"/>
  <c r="G1254" i="2" s="1"/>
  <c r="G1929" i="2"/>
  <c r="G1930" i="2" s="1"/>
  <c r="G1931" i="2" s="1"/>
  <c r="G1932" i="2" s="1"/>
  <c r="G1933" i="2" s="1"/>
  <c r="G1934" i="2" s="1"/>
  <c r="I3589" i="2"/>
  <c r="I3590" i="2" s="1"/>
  <c r="I3591" i="2" s="1"/>
  <c r="I3592" i="2" s="1"/>
  <c r="I3593" i="2" s="1"/>
  <c r="I3594" i="2" s="1"/>
  <c r="I3595" i="2" s="1"/>
  <c r="I3596" i="2" s="1"/>
  <c r="I3597" i="2" s="1"/>
  <c r="I3598" i="2" s="1"/>
  <c r="I3599" i="2" s="1"/>
  <c r="I3600" i="2" s="1"/>
  <c r="I3601" i="2" s="1"/>
  <c r="I3602" i="2" s="1"/>
  <c r="I3603" i="2" s="1"/>
  <c r="I3604" i="2" s="1"/>
  <c r="I3605" i="2" s="1"/>
  <c r="I3606" i="2" s="1"/>
  <c r="I3607" i="2" s="1"/>
  <c r="G3129" i="2"/>
  <c r="G3130" i="2" s="1"/>
  <c r="G3131" i="2" s="1"/>
  <c r="G3132" i="2" s="1"/>
  <c r="G3133" i="2" s="1"/>
  <c r="G3134" i="2" s="1"/>
  <c r="G3135" i="2" s="1"/>
  <c r="G1889" i="2"/>
  <c r="G1890" i="2" s="1"/>
  <c r="G1891" i="2" s="1"/>
  <c r="G1892" i="2" s="1"/>
  <c r="G1893" i="2" s="1"/>
  <c r="G1894" i="2" s="1"/>
  <c r="I1169" i="2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4249" i="2"/>
  <c r="I4250" i="2" s="1"/>
  <c r="I4251" i="2" s="1"/>
  <c r="I4252" i="2" s="1"/>
  <c r="I4253" i="2" s="1"/>
  <c r="I4254" i="2" s="1"/>
  <c r="I4255" i="2" s="1"/>
  <c r="I4256" i="2" s="1"/>
  <c r="I4257" i="2" s="1"/>
  <c r="I4258" i="2" s="1"/>
  <c r="I4259" i="2" s="1"/>
  <c r="I4260" i="2" s="1"/>
  <c r="I4261" i="2" s="1"/>
  <c r="I4262" i="2" s="1"/>
  <c r="I4263" i="2" s="1"/>
  <c r="I4264" i="2" s="1"/>
  <c r="I4265" i="2" s="1"/>
  <c r="I4266" i="2" s="1"/>
  <c r="I4267" i="2" s="1"/>
  <c r="G2409" i="2"/>
  <c r="G2410" i="2" s="1"/>
  <c r="G2411" i="2" s="1"/>
  <c r="G2412" i="2" s="1"/>
  <c r="G2413" i="2" s="1"/>
  <c r="G2414" i="2" s="1"/>
  <c r="G3109" i="2"/>
  <c r="G3110" i="2" s="1"/>
  <c r="G3111" i="2" s="1"/>
  <c r="G3112" i="2" s="1"/>
  <c r="G3113" i="2" s="1"/>
  <c r="G3114" i="2" s="1"/>
  <c r="G4229" i="2"/>
  <c r="G4230" i="2" s="1"/>
  <c r="G4231" i="2" s="1"/>
  <c r="G4232" i="2" s="1"/>
  <c r="G4233" i="2" s="1"/>
  <c r="G4234" i="2" s="1"/>
  <c r="G3149" i="2"/>
  <c r="G3150" i="2" s="1"/>
  <c r="G3151" i="2" s="1"/>
  <c r="G3152" i="2" s="1"/>
  <c r="G3153" i="2" s="1"/>
  <c r="G3154" i="2" s="1"/>
  <c r="G1549" i="2"/>
  <c r="G1550" i="2" s="1"/>
  <c r="G1551" i="2" s="1"/>
  <c r="G1552" i="2" s="1"/>
  <c r="G1553" i="2" s="1"/>
  <c r="G1554" i="2" s="1"/>
  <c r="G1555" i="2" s="1"/>
  <c r="G2489" i="2"/>
  <c r="G2490" i="2" s="1"/>
  <c r="G2491" i="2" s="1"/>
  <c r="G2492" i="2" s="1"/>
  <c r="G2493" i="2" s="1"/>
  <c r="G2494" i="2" s="1"/>
  <c r="G5729" i="2"/>
  <c r="G5730" i="2" s="1"/>
  <c r="G5731" i="2" s="1"/>
  <c r="G5732" i="2" s="1"/>
  <c r="G5733" i="2" s="1"/>
  <c r="G5734" i="2" s="1"/>
  <c r="G5709" i="2"/>
  <c r="G5710" i="2" s="1"/>
  <c r="G5711" i="2" s="1"/>
  <c r="G5712" i="2" s="1"/>
  <c r="G5713" i="2" s="1"/>
  <c r="G5714" i="2" s="1"/>
  <c r="G4189" i="2"/>
  <c r="G4190" i="2" s="1"/>
  <c r="G4191" i="2" s="1"/>
  <c r="G4192" i="2" s="1"/>
  <c r="G4193" i="2" s="1"/>
  <c r="G4194" i="2" s="1"/>
  <c r="G4195" i="2" s="1"/>
  <c r="I4309" i="2"/>
  <c r="I4310" i="2" s="1"/>
  <c r="I4311" i="2" s="1"/>
  <c r="I4312" i="2" s="1"/>
  <c r="I4313" i="2" s="1"/>
  <c r="I4314" i="2" s="1"/>
  <c r="I4315" i="2" s="1"/>
  <c r="I4316" i="2" s="1"/>
  <c r="I4317" i="2" s="1"/>
  <c r="I4318" i="2" s="1"/>
  <c r="I4319" i="2" s="1"/>
  <c r="I4320" i="2" s="1"/>
  <c r="I4321" i="2" s="1"/>
  <c r="I4322" i="2" s="1"/>
  <c r="I4323" i="2" s="1"/>
  <c r="I4324" i="2" s="1"/>
  <c r="I4325" i="2" s="1"/>
  <c r="I4326" i="2" s="1"/>
  <c r="I4327" i="2" s="1"/>
  <c r="G2209" i="2"/>
  <c r="G2210" i="2" s="1"/>
  <c r="G2211" i="2" s="1"/>
  <c r="G2212" i="2" s="1"/>
  <c r="G2213" i="2" s="1"/>
  <c r="G2214" i="2" s="1"/>
  <c r="G2769" i="2"/>
  <c r="G2770" i="2" s="1"/>
  <c r="G2771" i="2" s="1"/>
  <c r="G2772" i="2" s="1"/>
  <c r="G2773" i="2" s="1"/>
  <c r="G2774" i="2" s="1"/>
  <c r="G4889" i="2"/>
  <c r="G4890" i="2" s="1"/>
  <c r="G4891" i="2" s="1"/>
  <c r="G4892" i="2" s="1"/>
  <c r="G4893" i="2" s="1"/>
  <c r="G4894" i="2" s="1"/>
  <c r="G4895" i="2" s="1"/>
  <c r="I1449" i="2"/>
  <c r="I1450" i="2" s="1"/>
  <c r="I1451" i="2" s="1"/>
  <c r="I1452" i="2" s="1"/>
  <c r="I1453" i="2" s="1"/>
  <c r="I1454" i="2" s="1"/>
  <c r="I1455" i="2" s="1"/>
  <c r="I1456" i="2" s="1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3249" i="2"/>
  <c r="I3250" i="2" s="1"/>
  <c r="I3251" i="2" s="1"/>
  <c r="I3252" i="2" s="1"/>
  <c r="I3253" i="2" s="1"/>
  <c r="I3254" i="2" s="1"/>
  <c r="I3255" i="2" s="1"/>
  <c r="I3256" i="2" s="1"/>
  <c r="I3257" i="2" s="1"/>
  <c r="I3258" i="2" s="1"/>
  <c r="I3259" i="2" s="1"/>
  <c r="I3260" i="2" s="1"/>
  <c r="I3261" i="2" s="1"/>
  <c r="I3262" i="2" s="1"/>
  <c r="I3263" i="2" s="1"/>
  <c r="I3264" i="2" s="1"/>
  <c r="I3265" i="2" s="1"/>
  <c r="I3266" i="2" s="1"/>
  <c r="I3267" i="2" s="1"/>
  <c r="I1689" i="2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2389" i="2"/>
  <c r="I2390" i="2" s="1"/>
  <c r="I2391" i="2" s="1"/>
  <c r="I2392" i="2" s="1"/>
  <c r="I2393" i="2" s="1"/>
  <c r="I2394" i="2" s="1"/>
  <c r="I2395" i="2" s="1"/>
  <c r="I2396" i="2" s="1"/>
  <c r="I2397" i="2" s="1"/>
  <c r="I2398" i="2" s="1"/>
  <c r="I2399" i="2" s="1"/>
  <c r="I2400" i="2" s="1"/>
  <c r="I2401" i="2" s="1"/>
  <c r="I2402" i="2" s="1"/>
  <c r="I2403" i="2" s="1"/>
  <c r="I2404" i="2" s="1"/>
  <c r="I2405" i="2" s="1"/>
  <c r="I2406" i="2" s="1"/>
  <c r="I2407" i="2" s="1"/>
  <c r="I4529" i="2"/>
  <c r="I4530" i="2" s="1"/>
  <c r="I4531" i="2" s="1"/>
  <c r="I4532" i="2" s="1"/>
  <c r="I4533" i="2" s="1"/>
  <c r="I4534" i="2" s="1"/>
  <c r="I4535" i="2" s="1"/>
  <c r="I4536" i="2" s="1"/>
  <c r="I4537" i="2" s="1"/>
  <c r="I4538" i="2" s="1"/>
  <c r="I4539" i="2" s="1"/>
  <c r="I4540" i="2" s="1"/>
  <c r="I4541" i="2" s="1"/>
  <c r="I4542" i="2" s="1"/>
  <c r="I4543" i="2" s="1"/>
  <c r="I4544" i="2" s="1"/>
  <c r="I4545" i="2" s="1"/>
  <c r="I4546" i="2" s="1"/>
  <c r="I4547" i="2" s="1"/>
  <c r="G4469" i="2"/>
  <c r="G4470" i="2" s="1"/>
  <c r="G4471" i="2" s="1"/>
  <c r="G4472" i="2" s="1"/>
  <c r="G4473" i="2" s="1"/>
  <c r="G4474" i="2" s="1"/>
  <c r="G4149" i="2"/>
  <c r="G4150" i="2" s="1"/>
  <c r="G4151" i="2" s="1"/>
  <c r="G4152" i="2" s="1"/>
  <c r="G4153" i="2" s="1"/>
  <c r="G4154" i="2" s="1"/>
  <c r="I2169" i="2"/>
  <c r="I2170" i="2" s="1"/>
  <c r="I2171" i="2" s="1"/>
  <c r="I2172" i="2" s="1"/>
  <c r="I2173" i="2" s="1"/>
  <c r="I2174" i="2" s="1"/>
  <c r="I2175" i="2" s="1"/>
  <c r="I2176" i="2" s="1"/>
  <c r="I2177" i="2" s="1"/>
  <c r="I2178" i="2" s="1"/>
  <c r="I2179" i="2" s="1"/>
  <c r="I2180" i="2" s="1"/>
  <c r="I2181" i="2" s="1"/>
  <c r="I2182" i="2" s="1"/>
  <c r="I2183" i="2" s="1"/>
  <c r="I2184" i="2" s="1"/>
  <c r="I2185" i="2" s="1"/>
  <c r="I2186" i="2" s="1"/>
  <c r="I2187" i="2" s="1"/>
  <c r="G5889" i="2"/>
  <c r="G5890" i="2" s="1"/>
  <c r="G5891" i="2" s="1"/>
  <c r="G5892" i="2" s="1"/>
  <c r="G5893" i="2" s="1"/>
  <c r="G5894" i="2" s="1"/>
  <c r="I4989" i="2"/>
  <c r="I4990" i="2" s="1"/>
  <c r="I4991" i="2" s="1"/>
  <c r="I4992" i="2" s="1"/>
  <c r="I4993" i="2" s="1"/>
  <c r="I4994" i="2" s="1"/>
  <c r="I4995" i="2" s="1"/>
  <c r="I4996" i="2" s="1"/>
  <c r="I4997" i="2" s="1"/>
  <c r="I4998" i="2" s="1"/>
  <c r="I4999" i="2" s="1"/>
  <c r="I5000" i="2" s="1"/>
  <c r="I5001" i="2" s="1"/>
  <c r="I5002" i="2" s="1"/>
  <c r="I5003" i="2" s="1"/>
  <c r="I5004" i="2" s="1"/>
  <c r="I5005" i="2" s="1"/>
  <c r="I5006" i="2" s="1"/>
  <c r="I5007" i="2" s="1"/>
  <c r="I3729" i="2"/>
  <c r="I3730" i="2" s="1"/>
  <c r="I3731" i="2" s="1"/>
  <c r="I3732" i="2" s="1"/>
  <c r="I3733" i="2" s="1"/>
  <c r="I3734" i="2" s="1"/>
  <c r="I3735" i="2" s="1"/>
  <c r="I3736" i="2" s="1"/>
  <c r="I3737" i="2" s="1"/>
  <c r="I3738" i="2" s="1"/>
  <c r="I3739" i="2" s="1"/>
  <c r="I3740" i="2" s="1"/>
  <c r="I3741" i="2" s="1"/>
  <c r="I3742" i="2" s="1"/>
  <c r="I3743" i="2" s="1"/>
  <c r="I3744" i="2" s="1"/>
  <c r="I3745" i="2" s="1"/>
  <c r="I3746" i="2" s="1"/>
  <c r="I3747" i="2" s="1"/>
  <c r="I2429" i="2"/>
  <c r="I2430" i="2" s="1"/>
  <c r="I2431" i="2" s="1"/>
  <c r="I2432" i="2" s="1"/>
  <c r="I2433" i="2" s="1"/>
  <c r="I2434" i="2" s="1"/>
  <c r="I2435" i="2" s="1"/>
  <c r="I2436" i="2" s="1"/>
  <c r="I2437" i="2" s="1"/>
  <c r="I2438" i="2" s="1"/>
  <c r="I2439" i="2" s="1"/>
  <c r="I2440" i="2" s="1"/>
  <c r="I2441" i="2" s="1"/>
  <c r="I2442" i="2" s="1"/>
  <c r="I2443" i="2" s="1"/>
  <c r="I2444" i="2" s="1"/>
  <c r="I2445" i="2" s="1"/>
  <c r="I2446" i="2" s="1"/>
  <c r="I2447" i="2" s="1"/>
  <c r="G3189" i="2"/>
  <c r="G3190" i="2" s="1"/>
  <c r="G3191" i="2" s="1"/>
  <c r="G3192" i="2" s="1"/>
  <c r="G3193" i="2" s="1"/>
  <c r="G3194" i="2" s="1"/>
  <c r="I1949" i="2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G3549" i="2"/>
  <c r="G3550" i="2" s="1"/>
  <c r="G3551" i="2" s="1"/>
  <c r="G3552" i="2" s="1"/>
  <c r="G3553" i="2" s="1"/>
  <c r="G3554" i="2" s="1"/>
  <c r="I5589" i="2"/>
  <c r="I5590" i="2" s="1"/>
  <c r="I5591" i="2" s="1"/>
  <c r="I5592" i="2" s="1"/>
  <c r="I5593" i="2" s="1"/>
  <c r="I5594" i="2" s="1"/>
  <c r="I5595" i="2" s="1"/>
  <c r="I5596" i="2" s="1"/>
  <c r="I5597" i="2" s="1"/>
  <c r="I5598" i="2" s="1"/>
  <c r="I5599" i="2" s="1"/>
  <c r="I5600" i="2" s="1"/>
  <c r="I5601" i="2" s="1"/>
  <c r="I5602" i="2" s="1"/>
  <c r="I5603" i="2" s="1"/>
  <c r="I5604" i="2" s="1"/>
  <c r="I5605" i="2" s="1"/>
  <c r="I5606" i="2" s="1"/>
  <c r="I5607" i="2" s="1"/>
  <c r="I5749" i="2"/>
  <c r="I5750" i="2" s="1"/>
  <c r="I5751" i="2" s="1"/>
  <c r="I5752" i="2" s="1"/>
  <c r="I5753" i="2" s="1"/>
  <c r="I5754" i="2" s="1"/>
  <c r="I5755" i="2" s="1"/>
  <c r="I5756" i="2" s="1"/>
  <c r="I5757" i="2" s="1"/>
  <c r="I5758" i="2" s="1"/>
  <c r="I5759" i="2" s="1"/>
  <c r="I5760" i="2" s="1"/>
  <c r="I5761" i="2" s="1"/>
  <c r="I5762" i="2" s="1"/>
  <c r="I5763" i="2" s="1"/>
  <c r="I5764" i="2" s="1"/>
  <c r="I5765" i="2" s="1"/>
  <c r="I5766" i="2" s="1"/>
  <c r="I5767" i="2" s="1"/>
  <c r="G3409" i="2"/>
  <c r="G3410" i="2" s="1"/>
  <c r="G3411" i="2" s="1"/>
  <c r="G3412" i="2" s="1"/>
  <c r="G3413" i="2" s="1"/>
  <c r="G3414" i="2" s="1"/>
  <c r="G4109" i="2"/>
  <c r="G4110" i="2" s="1"/>
  <c r="G4111" i="2" s="1"/>
  <c r="G4112" i="2" s="1"/>
  <c r="G4113" i="2" s="1"/>
  <c r="G4114" i="2" s="1"/>
  <c r="G5349" i="2"/>
  <c r="G5350" i="2" s="1"/>
  <c r="G5351" i="2" s="1"/>
  <c r="G5352" i="2" s="1"/>
  <c r="G5353" i="2" s="1"/>
  <c r="G5354" i="2" s="1"/>
  <c r="G5355" i="2" s="1"/>
  <c r="G3249" i="2"/>
  <c r="G3250" i="2" s="1"/>
  <c r="G3251" i="2" s="1"/>
  <c r="G3252" i="2" s="1"/>
  <c r="G3253" i="2" s="1"/>
  <c r="G3254" i="2" s="1"/>
  <c r="I1129" i="2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G5169" i="2"/>
  <c r="G5170" i="2" s="1"/>
  <c r="G5171" i="2" s="1"/>
  <c r="G5172" i="2" s="1"/>
  <c r="G5173" i="2" s="1"/>
  <c r="G5174" i="2" s="1"/>
  <c r="G3709" i="2"/>
  <c r="G3710" i="2" s="1"/>
  <c r="G3711" i="2" s="1"/>
  <c r="G3712" i="2" s="1"/>
  <c r="G3713" i="2" s="1"/>
  <c r="G3714" i="2" s="1"/>
  <c r="G3715" i="2" s="1"/>
  <c r="G5069" i="2"/>
  <c r="G5070" i="2" s="1"/>
  <c r="G5071" i="2" s="1"/>
  <c r="G5072" i="2" s="1"/>
  <c r="G5073" i="2" s="1"/>
  <c r="G5074" i="2" s="1"/>
  <c r="I4089" i="2"/>
  <c r="I4090" i="2" s="1"/>
  <c r="I4091" i="2" s="1"/>
  <c r="I4092" i="2" s="1"/>
  <c r="I4093" i="2" s="1"/>
  <c r="I4094" i="2" s="1"/>
  <c r="I4095" i="2" s="1"/>
  <c r="I4096" i="2" s="1"/>
  <c r="I4097" i="2" s="1"/>
  <c r="I4098" i="2" s="1"/>
  <c r="I4099" i="2" s="1"/>
  <c r="I4100" i="2" s="1"/>
  <c r="I4101" i="2" s="1"/>
  <c r="I4102" i="2" s="1"/>
  <c r="I4103" i="2" s="1"/>
  <c r="I4104" i="2" s="1"/>
  <c r="I4105" i="2" s="1"/>
  <c r="I4106" i="2" s="1"/>
  <c r="I4107" i="2" s="1"/>
  <c r="I2349" i="2"/>
  <c r="I2350" i="2" s="1"/>
  <c r="I2351" i="2" s="1"/>
  <c r="I2352" i="2" s="1"/>
  <c r="I2353" i="2" s="1"/>
  <c r="I2354" i="2" s="1"/>
  <c r="I2355" i="2" s="1"/>
  <c r="I2356" i="2" s="1"/>
  <c r="I2357" i="2" s="1"/>
  <c r="I2358" i="2" s="1"/>
  <c r="I2359" i="2" s="1"/>
  <c r="I2360" i="2" s="1"/>
  <c r="I2361" i="2" s="1"/>
  <c r="I2362" i="2" s="1"/>
  <c r="I2363" i="2" s="1"/>
  <c r="I2364" i="2" s="1"/>
  <c r="I2365" i="2" s="1"/>
  <c r="I2366" i="2" s="1"/>
  <c r="I2367" i="2" s="1"/>
  <c r="G5029" i="2"/>
  <c r="G5030" i="2" s="1"/>
  <c r="G5031" i="2" s="1"/>
  <c r="G5032" i="2" s="1"/>
  <c r="G5033" i="2" s="1"/>
  <c r="G5034" i="2" s="1"/>
  <c r="G4569" i="2"/>
  <c r="G4570" i="2" s="1"/>
  <c r="G4571" i="2" s="1"/>
  <c r="G4572" i="2" s="1"/>
  <c r="G4573" i="2" s="1"/>
  <c r="G4574" i="2" s="1"/>
  <c r="I2829" i="2"/>
  <c r="I2830" i="2" s="1"/>
  <c r="I2831" i="2" s="1"/>
  <c r="I2832" i="2" s="1"/>
  <c r="I2833" i="2" s="1"/>
  <c r="I2834" i="2" s="1"/>
  <c r="I2835" i="2" s="1"/>
  <c r="I2836" i="2" s="1"/>
  <c r="I2837" i="2" s="1"/>
  <c r="I2838" i="2" s="1"/>
  <c r="I2839" i="2" s="1"/>
  <c r="I2840" i="2" s="1"/>
  <c r="I2841" i="2" s="1"/>
  <c r="I2842" i="2" s="1"/>
  <c r="I2843" i="2" s="1"/>
  <c r="I2844" i="2" s="1"/>
  <c r="I2845" i="2" s="1"/>
  <c r="I2846" i="2" s="1"/>
  <c r="I2847" i="2" s="1"/>
  <c r="I3609" i="2"/>
  <c r="I3610" i="2" s="1"/>
  <c r="I3611" i="2" s="1"/>
  <c r="I3612" i="2" s="1"/>
  <c r="I3613" i="2" s="1"/>
  <c r="I3614" i="2" s="1"/>
  <c r="I3615" i="2" s="1"/>
  <c r="I3616" i="2" s="1"/>
  <c r="I3617" i="2" s="1"/>
  <c r="I3618" i="2" s="1"/>
  <c r="I3619" i="2" s="1"/>
  <c r="I3620" i="2" s="1"/>
  <c r="I3621" i="2" s="1"/>
  <c r="I3622" i="2" s="1"/>
  <c r="I3623" i="2" s="1"/>
  <c r="I3624" i="2" s="1"/>
  <c r="I3625" i="2" s="1"/>
  <c r="I3626" i="2" s="1"/>
  <c r="I3627" i="2" s="1"/>
  <c r="I2729" i="2"/>
  <c r="I2730" i="2" s="1"/>
  <c r="I2731" i="2" s="1"/>
  <c r="I2732" i="2" s="1"/>
  <c r="I2733" i="2" s="1"/>
  <c r="I2734" i="2" s="1"/>
  <c r="I2735" i="2" s="1"/>
  <c r="I2736" i="2" s="1"/>
  <c r="I2737" i="2" s="1"/>
  <c r="I2738" i="2" s="1"/>
  <c r="I2739" i="2" s="1"/>
  <c r="I2740" i="2" s="1"/>
  <c r="I2741" i="2" s="1"/>
  <c r="I2742" i="2" s="1"/>
  <c r="I2743" i="2" s="1"/>
  <c r="I2744" i="2" s="1"/>
  <c r="I2745" i="2" s="1"/>
  <c r="I2746" i="2" s="1"/>
  <c r="I2747" i="2" s="1"/>
  <c r="I2849" i="2"/>
  <c r="I2850" i="2" s="1"/>
  <c r="I2851" i="2" s="1"/>
  <c r="I2852" i="2" s="1"/>
  <c r="I2853" i="2" s="1"/>
  <c r="I2854" i="2" s="1"/>
  <c r="I2855" i="2" s="1"/>
  <c r="I2856" i="2" s="1"/>
  <c r="I2857" i="2" s="1"/>
  <c r="I2858" i="2" s="1"/>
  <c r="I2859" i="2" s="1"/>
  <c r="I2860" i="2" s="1"/>
  <c r="I2861" i="2" s="1"/>
  <c r="I2862" i="2" s="1"/>
  <c r="I2863" i="2" s="1"/>
  <c r="I2864" i="2" s="1"/>
  <c r="I2865" i="2" s="1"/>
  <c r="I2866" i="2" s="1"/>
  <c r="I2867" i="2" s="1"/>
  <c r="G3209" i="2"/>
  <c r="G3210" i="2" s="1"/>
  <c r="G3211" i="2" s="1"/>
  <c r="G3212" i="2" s="1"/>
  <c r="G3213" i="2" s="1"/>
  <c r="G3214" i="2" s="1"/>
  <c r="I2969" i="2"/>
  <c r="I2970" i="2" s="1"/>
  <c r="I2971" i="2" s="1"/>
  <c r="I2972" i="2" s="1"/>
  <c r="I2973" i="2" s="1"/>
  <c r="I2974" i="2" s="1"/>
  <c r="I2975" i="2" s="1"/>
  <c r="I2976" i="2" s="1"/>
  <c r="I2977" i="2" s="1"/>
  <c r="I2978" i="2" s="1"/>
  <c r="I2979" i="2" s="1"/>
  <c r="I2980" i="2" s="1"/>
  <c r="I2981" i="2" s="1"/>
  <c r="I2982" i="2" s="1"/>
  <c r="I2983" i="2" s="1"/>
  <c r="I2984" i="2" s="1"/>
  <c r="I2985" i="2" s="1"/>
  <c r="I2986" i="2" s="1"/>
  <c r="I2987" i="2" s="1"/>
  <c r="G3369" i="2"/>
  <c r="G3370" i="2" s="1"/>
  <c r="G3371" i="2" s="1"/>
  <c r="G3372" i="2" s="1"/>
  <c r="G3373" i="2" s="1"/>
  <c r="G3374" i="2" s="1"/>
  <c r="G3375" i="2" s="1"/>
  <c r="G2109" i="2"/>
  <c r="G2110" i="2" s="1"/>
  <c r="G2111" i="2" s="1"/>
  <c r="G2112" i="2" s="1"/>
  <c r="G2113" i="2" s="1"/>
  <c r="G2114" i="2" s="1"/>
  <c r="I4969" i="2"/>
  <c r="I4970" i="2" s="1"/>
  <c r="I4971" i="2" s="1"/>
  <c r="I4972" i="2" s="1"/>
  <c r="I4973" i="2" s="1"/>
  <c r="I4974" i="2" s="1"/>
  <c r="I4975" i="2" s="1"/>
  <c r="I4976" i="2" s="1"/>
  <c r="I4977" i="2" s="1"/>
  <c r="I4978" i="2" s="1"/>
  <c r="I4979" i="2" s="1"/>
  <c r="I4980" i="2" s="1"/>
  <c r="I4981" i="2" s="1"/>
  <c r="I4982" i="2" s="1"/>
  <c r="I4983" i="2" s="1"/>
  <c r="I4984" i="2" s="1"/>
  <c r="I4985" i="2" s="1"/>
  <c r="I4986" i="2" s="1"/>
  <c r="I4987" i="2" s="1"/>
  <c r="G5369" i="2"/>
  <c r="G5370" i="2" s="1"/>
  <c r="G5371" i="2" s="1"/>
  <c r="G5372" i="2" s="1"/>
  <c r="G5373" i="2" s="1"/>
  <c r="G5374" i="2" s="1"/>
  <c r="I5249" i="2"/>
  <c r="I5250" i="2" s="1"/>
  <c r="I5251" i="2" s="1"/>
  <c r="I5252" i="2" s="1"/>
  <c r="I5253" i="2" s="1"/>
  <c r="I5254" i="2" s="1"/>
  <c r="I5255" i="2" s="1"/>
  <c r="I5256" i="2" s="1"/>
  <c r="I5257" i="2" s="1"/>
  <c r="I5258" i="2" s="1"/>
  <c r="I5259" i="2" s="1"/>
  <c r="I5260" i="2" s="1"/>
  <c r="I5261" i="2" s="1"/>
  <c r="I5262" i="2" s="1"/>
  <c r="I5263" i="2" s="1"/>
  <c r="I5264" i="2" s="1"/>
  <c r="I5265" i="2" s="1"/>
  <c r="I5266" i="2" s="1"/>
  <c r="I5267" i="2" s="1"/>
  <c r="I5689" i="2"/>
  <c r="I5690" i="2" s="1"/>
  <c r="I5691" i="2" s="1"/>
  <c r="I5692" i="2" s="1"/>
  <c r="I5693" i="2" s="1"/>
  <c r="I5694" i="2" s="1"/>
  <c r="I5695" i="2" s="1"/>
  <c r="I5696" i="2" s="1"/>
  <c r="I5697" i="2" s="1"/>
  <c r="I5698" i="2" s="1"/>
  <c r="I5699" i="2" s="1"/>
  <c r="I5700" i="2" s="1"/>
  <c r="I5701" i="2" s="1"/>
  <c r="I5702" i="2" s="1"/>
  <c r="I5703" i="2" s="1"/>
  <c r="I5704" i="2" s="1"/>
  <c r="I5705" i="2" s="1"/>
  <c r="I5706" i="2" s="1"/>
  <c r="I5707" i="2" s="1"/>
  <c r="G1869" i="2"/>
  <c r="G1870" i="2" s="1"/>
  <c r="G1871" i="2" s="1"/>
  <c r="G1872" i="2" s="1"/>
  <c r="G1873" i="2" s="1"/>
  <c r="G1874" i="2" s="1"/>
  <c r="G3969" i="2"/>
  <c r="G3970" i="2" s="1"/>
  <c r="G3971" i="2" s="1"/>
  <c r="G3972" i="2" s="1"/>
  <c r="G3973" i="2" s="1"/>
  <c r="G3974" i="2" s="1"/>
  <c r="G3975" i="2" s="1"/>
  <c r="G2449" i="2"/>
  <c r="G2450" i="2" s="1"/>
  <c r="G2451" i="2" s="1"/>
  <c r="G2452" i="2" s="1"/>
  <c r="G2453" i="2" s="1"/>
  <c r="G2454" i="2" s="1"/>
  <c r="G2455" i="2" s="1"/>
  <c r="I1969" i="2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G3629" i="2"/>
  <c r="G3630" i="2" s="1"/>
  <c r="G3631" i="2" s="1"/>
  <c r="G3632" i="2" s="1"/>
  <c r="G3633" i="2" s="1"/>
  <c r="G3634" i="2" s="1"/>
  <c r="G5109" i="2"/>
  <c r="G5110" i="2" s="1"/>
  <c r="G5111" i="2" s="1"/>
  <c r="G5112" i="2" s="1"/>
  <c r="G5113" i="2" s="1"/>
  <c r="G5114" i="2" s="1"/>
  <c r="G3169" i="2"/>
  <c r="G3170" i="2" s="1"/>
  <c r="G3171" i="2" s="1"/>
  <c r="G3172" i="2" s="1"/>
  <c r="G3173" i="2" s="1"/>
  <c r="G3174" i="2" s="1"/>
  <c r="G3175" i="2" s="1"/>
  <c r="I5389" i="2"/>
  <c r="I5390" i="2" s="1"/>
  <c r="I5391" i="2" s="1"/>
  <c r="I5392" i="2" s="1"/>
  <c r="I5393" i="2" s="1"/>
  <c r="I5394" i="2" s="1"/>
  <c r="I5395" i="2" s="1"/>
  <c r="I5396" i="2" s="1"/>
  <c r="I5397" i="2" s="1"/>
  <c r="I5398" i="2" s="1"/>
  <c r="I5399" i="2" s="1"/>
  <c r="I5400" i="2" s="1"/>
  <c r="I5401" i="2" s="1"/>
  <c r="I5402" i="2" s="1"/>
  <c r="I5403" i="2" s="1"/>
  <c r="I5404" i="2" s="1"/>
  <c r="I5405" i="2" s="1"/>
  <c r="I5406" i="2" s="1"/>
  <c r="I5407" i="2" s="1"/>
  <c r="G1429" i="2"/>
  <c r="G1430" i="2" s="1"/>
  <c r="G1431" i="2" s="1"/>
  <c r="G1432" i="2" s="1"/>
  <c r="G1433" i="2" s="1"/>
  <c r="G1434" i="2" s="1"/>
  <c r="I2529" i="2"/>
  <c r="I2530" i="2" s="1"/>
  <c r="I2531" i="2" s="1"/>
  <c r="I2532" i="2" s="1"/>
  <c r="I2533" i="2" s="1"/>
  <c r="I2534" i="2" s="1"/>
  <c r="I2535" i="2" s="1"/>
  <c r="I2536" i="2" s="1"/>
  <c r="I2537" i="2" s="1"/>
  <c r="I2538" i="2" s="1"/>
  <c r="I2539" i="2" s="1"/>
  <c r="I2540" i="2" s="1"/>
  <c r="I2541" i="2" s="1"/>
  <c r="I2542" i="2" s="1"/>
  <c r="I2543" i="2" s="1"/>
  <c r="I2544" i="2" s="1"/>
  <c r="I2545" i="2" s="1"/>
  <c r="I2546" i="2" s="1"/>
  <c r="I2547" i="2" s="1"/>
  <c r="G2369" i="2"/>
  <c r="G2370" i="2" s="1"/>
  <c r="G2371" i="2" s="1"/>
  <c r="G2372" i="2" s="1"/>
  <c r="G2373" i="2" s="1"/>
  <c r="G2374" i="2" s="1"/>
  <c r="I1149" i="2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G2569" i="2"/>
  <c r="G2570" i="2" s="1"/>
  <c r="G2571" i="2" s="1"/>
  <c r="G2572" i="2" s="1"/>
  <c r="G2573" i="2" s="1"/>
  <c r="G2574" i="2" s="1"/>
  <c r="G4689" i="2"/>
  <c r="G4690" i="2" s="1"/>
  <c r="G4691" i="2" s="1"/>
  <c r="G4692" i="2" s="1"/>
  <c r="G4693" i="2" s="1"/>
  <c r="G4694" i="2" s="1"/>
  <c r="G4709" i="2"/>
  <c r="G4710" i="2" s="1"/>
  <c r="G4711" i="2" s="1"/>
  <c r="G4712" i="2" s="1"/>
  <c r="G4713" i="2" s="1"/>
  <c r="G4714" i="2" s="1"/>
  <c r="G4715" i="2" s="1"/>
  <c r="I5369" i="2"/>
  <c r="I5370" i="2" s="1"/>
  <c r="I5371" i="2" s="1"/>
  <c r="I5372" i="2" s="1"/>
  <c r="I5373" i="2" s="1"/>
  <c r="I5374" i="2" s="1"/>
  <c r="I5375" i="2" s="1"/>
  <c r="I5376" i="2" s="1"/>
  <c r="I5377" i="2" s="1"/>
  <c r="I5378" i="2" s="1"/>
  <c r="I5379" i="2" s="1"/>
  <c r="I5380" i="2" s="1"/>
  <c r="I5381" i="2" s="1"/>
  <c r="I5382" i="2" s="1"/>
  <c r="I5383" i="2" s="1"/>
  <c r="I5384" i="2" s="1"/>
  <c r="I5385" i="2" s="1"/>
  <c r="I5386" i="2" s="1"/>
  <c r="I5387" i="2" s="1"/>
  <c r="G4809" i="2"/>
  <c r="G4810" i="2" s="1"/>
  <c r="G4811" i="2" s="1"/>
  <c r="G4812" i="2" s="1"/>
  <c r="G4813" i="2" s="1"/>
  <c r="G4814" i="2" s="1"/>
  <c r="I5329" i="2"/>
  <c r="I5330" i="2" s="1"/>
  <c r="I5331" i="2" s="1"/>
  <c r="I5332" i="2" s="1"/>
  <c r="I5333" i="2" s="1"/>
  <c r="I5334" i="2" s="1"/>
  <c r="I5335" i="2" s="1"/>
  <c r="I5336" i="2" s="1"/>
  <c r="I5337" i="2" s="1"/>
  <c r="I5338" i="2" s="1"/>
  <c r="I5339" i="2" s="1"/>
  <c r="I5340" i="2" s="1"/>
  <c r="I5341" i="2" s="1"/>
  <c r="I5342" i="2" s="1"/>
  <c r="I5343" i="2" s="1"/>
  <c r="I5344" i="2" s="1"/>
  <c r="I5345" i="2" s="1"/>
  <c r="I5346" i="2" s="1"/>
  <c r="I5347" i="2" s="1"/>
  <c r="I5669" i="2"/>
  <c r="I5670" i="2" s="1"/>
  <c r="I5671" i="2" s="1"/>
  <c r="I5672" i="2" s="1"/>
  <c r="I5673" i="2" s="1"/>
  <c r="I5674" i="2" s="1"/>
  <c r="I5675" i="2" s="1"/>
  <c r="I5676" i="2" s="1"/>
  <c r="I5677" i="2" s="1"/>
  <c r="I5678" i="2" s="1"/>
  <c r="I5679" i="2" s="1"/>
  <c r="I5680" i="2" s="1"/>
  <c r="I5681" i="2" s="1"/>
  <c r="I5682" i="2" s="1"/>
  <c r="I5683" i="2" s="1"/>
  <c r="I5684" i="2" s="1"/>
  <c r="I5685" i="2" s="1"/>
  <c r="I5686" i="2" s="1"/>
  <c r="I5687" i="2" s="1"/>
  <c r="I5089" i="2"/>
  <c r="I5090" i="2" s="1"/>
  <c r="I5091" i="2" s="1"/>
  <c r="I5092" i="2" s="1"/>
  <c r="I5093" i="2" s="1"/>
  <c r="I5094" i="2" s="1"/>
  <c r="I5095" i="2" s="1"/>
  <c r="I5096" i="2" s="1"/>
  <c r="I5097" i="2" s="1"/>
  <c r="I5098" i="2" s="1"/>
  <c r="I5099" i="2" s="1"/>
  <c r="I5100" i="2" s="1"/>
  <c r="I5101" i="2" s="1"/>
  <c r="I5102" i="2" s="1"/>
  <c r="I5103" i="2" s="1"/>
  <c r="I5104" i="2" s="1"/>
  <c r="I5105" i="2" s="1"/>
  <c r="I5106" i="2" s="1"/>
  <c r="I5107" i="2" s="1"/>
  <c r="G3609" i="2"/>
  <c r="G3610" i="2" s="1"/>
  <c r="G3611" i="2" s="1"/>
  <c r="G3612" i="2" s="1"/>
  <c r="G3613" i="2" s="1"/>
  <c r="G3614" i="2" s="1"/>
  <c r="I3689" i="2"/>
  <c r="I3690" i="2" s="1"/>
  <c r="I3691" i="2" s="1"/>
  <c r="I3692" i="2" s="1"/>
  <c r="I3693" i="2" s="1"/>
  <c r="I3694" i="2" s="1"/>
  <c r="I3695" i="2" s="1"/>
  <c r="I3696" i="2" s="1"/>
  <c r="I3697" i="2" s="1"/>
  <c r="I3698" i="2" s="1"/>
  <c r="I3699" i="2" s="1"/>
  <c r="I3700" i="2" s="1"/>
  <c r="I3701" i="2" s="1"/>
  <c r="I3702" i="2" s="1"/>
  <c r="I3703" i="2" s="1"/>
  <c r="I3704" i="2" s="1"/>
  <c r="I3705" i="2" s="1"/>
  <c r="I3706" i="2" s="1"/>
  <c r="I3707" i="2" s="1"/>
  <c r="G4949" i="2"/>
  <c r="G4950" i="2" s="1"/>
  <c r="G4951" i="2" s="1"/>
  <c r="G4952" i="2" s="1"/>
  <c r="G4953" i="2" s="1"/>
  <c r="G4954" i="2" s="1"/>
  <c r="G4955" i="2" s="1"/>
  <c r="I5969" i="2"/>
  <c r="I5970" i="2" s="1"/>
  <c r="I5971" i="2" s="1"/>
  <c r="I5972" i="2" s="1"/>
  <c r="I5973" i="2" s="1"/>
  <c r="I5974" i="2" s="1"/>
  <c r="I5975" i="2" s="1"/>
  <c r="I5976" i="2" s="1"/>
  <c r="I5977" i="2" s="1"/>
  <c r="I5978" i="2" s="1"/>
  <c r="I5979" i="2" s="1"/>
  <c r="I5980" i="2" s="1"/>
  <c r="I5981" i="2" s="1"/>
  <c r="I5982" i="2" s="1"/>
  <c r="I5983" i="2" s="1"/>
  <c r="I5984" i="2" s="1"/>
  <c r="I5985" i="2" s="1"/>
  <c r="I5986" i="2" s="1"/>
  <c r="I5987" i="2" s="1"/>
  <c r="I2989" i="2"/>
  <c r="I2990" i="2" s="1"/>
  <c r="I2991" i="2" s="1"/>
  <c r="I2992" i="2" s="1"/>
  <c r="I2993" i="2" s="1"/>
  <c r="I2994" i="2" s="1"/>
  <c r="I2995" i="2" s="1"/>
  <c r="I2996" i="2" s="1"/>
  <c r="I2997" i="2" s="1"/>
  <c r="I2998" i="2" s="1"/>
  <c r="I2999" i="2" s="1"/>
  <c r="I3000" i="2" s="1"/>
  <c r="I3001" i="2" s="1"/>
  <c r="I3002" i="2" s="1"/>
  <c r="I3003" i="2" s="1"/>
  <c r="I3004" i="2" s="1"/>
  <c r="I3005" i="2" s="1"/>
  <c r="I3006" i="2" s="1"/>
  <c r="I3007" i="2" s="1"/>
  <c r="I4709" i="2"/>
  <c r="I4710" i="2" s="1"/>
  <c r="I4711" i="2" s="1"/>
  <c r="I4712" i="2" s="1"/>
  <c r="I4713" i="2" s="1"/>
  <c r="I4714" i="2" s="1"/>
  <c r="I4715" i="2" s="1"/>
  <c r="I4716" i="2" s="1"/>
  <c r="I4717" i="2" s="1"/>
  <c r="I4718" i="2" s="1"/>
  <c r="I4719" i="2" s="1"/>
  <c r="I4720" i="2" s="1"/>
  <c r="I4721" i="2" s="1"/>
  <c r="I4722" i="2" s="1"/>
  <c r="I4723" i="2" s="1"/>
  <c r="I4724" i="2" s="1"/>
  <c r="I4725" i="2" s="1"/>
  <c r="I4726" i="2" s="1"/>
  <c r="I4727" i="2" s="1"/>
  <c r="I2409" i="2"/>
  <c r="I2410" i="2" s="1"/>
  <c r="I2411" i="2" s="1"/>
  <c r="I2412" i="2" s="1"/>
  <c r="I2413" i="2" s="1"/>
  <c r="I2414" i="2" s="1"/>
  <c r="I2415" i="2" s="1"/>
  <c r="I2416" i="2" s="1"/>
  <c r="I2417" i="2" s="1"/>
  <c r="I2418" i="2" s="1"/>
  <c r="I2419" i="2" s="1"/>
  <c r="I2420" i="2" s="1"/>
  <c r="I2421" i="2" s="1"/>
  <c r="I2422" i="2" s="1"/>
  <c r="I2423" i="2" s="1"/>
  <c r="I2424" i="2" s="1"/>
  <c r="I2425" i="2" s="1"/>
  <c r="I2426" i="2" s="1"/>
  <c r="I2427" i="2" s="1"/>
  <c r="I4449" i="2"/>
  <c r="I4450" i="2" s="1"/>
  <c r="I4451" i="2" s="1"/>
  <c r="I4452" i="2" s="1"/>
  <c r="I4453" i="2" s="1"/>
  <c r="I4454" i="2" s="1"/>
  <c r="I4455" i="2" s="1"/>
  <c r="I4456" i="2" s="1"/>
  <c r="I4457" i="2" s="1"/>
  <c r="I4458" i="2" s="1"/>
  <c r="I4459" i="2" s="1"/>
  <c r="I4460" i="2" s="1"/>
  <c r="I4461" i="2" s="1"/>
  <c r="I4462" i="2" s="1"/>
  <c r="I4463" i="2" s="1"/>
  <c r="I4464" i="2" s="1"/>
  <c r="I4465" i="2" s="1"/>
  <c r="I4466" i="2" s="1"/>
  <c r="I4467" i="2" s="1"/>
  <c r="G4129" i="2"/>
  <c r="G4130" i="2" s="1"/>
  <c r="G4131" i="2" s="1"/>
  <c r="G4132" i="2" s="1"/>
  <c r="G4133" i="2" s="1"/>
  <c r="G4134" i="2" s="1"/>
  <c r="I2189" i="2"/>
  <c r="I2190" i="2" s="1"/>
  <c r="I2191" i="2" s="1"/>
  <c r="I2192" i="2" s="1"/>
  <c r="I2193" i="2" s="1"/>
  <c r="I2194" i="2" s="1"/>
  <c r="I2195" i="2" s="1"/>
  <c r="I2196" i="2" s="1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G2269" i="2"/>
  <c r="G2270" i="2" s="1"/>
  <c r="G2271" i="2" s="1"/>
  <c r="G2272" i="2" s="1"/>
  <c r="G2273" i="2" s="1"/>
  <c r="G2274" i="2" s="1"/>
  <c r="I1509" i="2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G4789" i="2"/>
  <c r="G4790" i="2" s="1"/>
  <c r="G4791" i="2" s="1"/>
  <c r="G4792" i="2" s="1"/>
  <c r="G4793" i="2" s="1"/>
  <c r="G4794" i="2" s="1"/>
  <c r="G4795" i="2" s="1"/>
  <c r="I2249" i="2"/>
  <c r="I2250" i="2" s="1"/>
  <c r="I2251" i="2" s="1"/>
  <c r="I2252" i="2" s="1"/>
  <c r="I2253" i="2" s="1"/>
  <c r="I2254" i="2" s="1"/>
  <c r="I2255" i="2" s="1"/>
  <c r="I2256" i="2" s="1"/>
  <c r="I2257" i="2" s="1"/>
  <c r="I2258" i="2" s="1"/>
  <c r="I2259" i="2" s="1"/>
  <c r="I2260" i="2" s="1"/>
  <c r="I2261" i="2" s="1"/>
  <c r="I2262" i="2" s="1"/>
  <c r="I2263" i="2" s="1"/>
  <c r="I2264" i="2" s="1"/>
  <c r="I2265" i="2" s="1"/>
  <c r="I2266" i="2" s="1"/>
  <c r="I2267" i="2" s="1"/>
  <c r="G5789" i="2"/>
  <c r="G5790" i="2" s="1"/>
  <c r="G5791" i="2" s="1"/>
  <c r="G5792" i="2" s="1"/>
  <c r="G5793" i="2" s="1"/>
  <c r="G5794" i="2" s="1"/>
  <c r="I3229" i="2"/>
  <c r="I3230" i="2" s="1"/>
  <c r="I3231" i="2" s="1"/>
  <c r="I3232" i="2" s="1"/>
  <c r="I3233" i="2" s="1"/>
  <c r="I3234" i="2" s="1"/>
  <c r="I3235" i="2" s="1"/>
  <c r="I3236" i="2" s="1"/>
  <c r="I3237" i="2" s="1"/>
  <c r="I3238" i="2" s="1"/>
  <c r="I3239" i="2" s="1"/>
  <c r="I3240" i="2" s="1"/>
  <c r="I3241" i="2" s="1"/>
  <c r="I3242" i="2" s="1"/>
  <c r="I3243" i="2" s="1"/>
  <c r="I3244" i="2" s="1"/>
  <c r="I3245" i="2" s="1"/>
  <c r="I3246" i="2" s="1"/>
  <c r="I3247" i="2" s="1"/>
  <c r="G5969" i="2"/>
  <c r="G5970" i="2" s="1"/>
  <c r="G5971" i="2" s="1"/>
  <c r="G5972" i="2" s="1"/>
  <c r="G5973" i="2" s="1"/>
  <c r="G5974" i="2" s="1"/>
  <c r="G5649" i="2"/>
  <c r="G5650" i="2" s="1"/>
  <c r="G5651" i="2" s="1"/>
  <c r="G5652" i="2" s="1"/>
  <c r="G5653" i="2" s="1"/>
  <c r="G5654" i="2" s="1"/>
  <c r="G5229" i="2"/>
  <c r="G5230" i="2" s="1"/>
  <c r="G5231" i="2" s="1"/>
  <c r="G5232" i="2" s="1"/>
  <c r="G5233" i="2" s="1"/>
  <c r="G5234" i="2" s="1"/>
  <c r="G5235" i="2" s="1"/>
  <c r="I3509" i="2"/>
  <c r="I3510" i="2" s="1"/>
  <c r="I3511" i="2" s="1"/>
  <c r="I3512" i="2" s="1"/>
  <c r="I3513" i="2" s="1"/>
  <c r="I3514" i="2" s="1"/>
  <c r="I3515" i="2" s="1"/>
  <c r="I3516" i="2" s="1"/>
  <c r="I3517" i="2" s="1"/>
  <c r="I3518" i="2" s="1"/>
  <c r="I3519" i="2" s="1"/>
  <c r="I3520" i="2" s="1"/>
  <c r="I3521" i="2" s="1"/>
  <c r="I3522" i="2" s="1"/>
  <c r="I3523" i="2" s="1"/>
  <c r="I3524" i="2" s="1"/>
  <c r="I3525" i="2" s="1"/>
  <c r="I3526" i="2" s="1"/>
  <c r="I3527" i="2" s="1"/>
  <c r="I1669" i="2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G4089" i="2"/>
  <c r="G4090" i="2" s="1"/>
  <c r="G4091" i="2" s="1"/>
  <c r="G4092" i="2" s="1"/>
  <c r="G4093" i="2" s="1"/>
  <c r="G4094" i="2" s="1"/>
  <c r="G4095" i="2" s="1"/>
  <c r="G4969" i="2"/>
  <c r="G4970" i="2" s="1"/>
  <c r="G4971" i="2" s="1"/>
  <c r="G4972" i="2" s="1"/>
  <c r="G4973" i="2" s="1"/>
  <c r="G4974" i="2" s="1"/>
  <c r="I3829" i="2"/>
  <c r="I3830" i="2" s="1"/>
  <c r="I3831" i="2" s="1"/>
  <c r="I3832" i="2" s="1"/>
  <c r="I3833" i="2" s="1"/>
  <c r="I3834" i="2" s="1"/>
  <c r="I3835" i="2" s="1"/>
  <c r="I3836" i="2" s="1"/>
  <c r="I3837" i="2" s="1"/>
  <c r="I3838" i="2" s="1"/>
  <c r="I3839" i="2" s="1"/>
  <c r="I3840" i="2" s="1"/>
  <c r="I3841" i="2" s="1"/>
  <c r="I3842" i="2" s="1"/>
  <c r="I3843" i="2" s="1"/>
  <c r="I3844" i="2" s="1"/>
  <c r="I3845" i="2" s="1"/>
  <c r="I3846" i="2" s="1"/>
  <c r="I3847" i="2" s="1"/>
  <c r="G2829" i="2"/>
  <c r="G2830" i="2" s="1"/>
  <c r="G2831" i="2" s="1"/>
  <c r="G2832" i="2" s="1"/>
  <c r="G2833" i="2" s="1"/>
  <c r="G2834" i="2" s="1"/>
  <c r="I4749" i="2"/>
  <c r="I4750" i="2" s="1"/>
  <c r="I4751" i="2" s="1"/>
  <c r="I4752" i="2" s="1"/>
  <c r="I4753" i="2" s="1"/>
  <c r="I4754" i="2" s="1"/>
  <c r="I4755" i="2" s="1"/>
  <c r="I4756" i="2" s="1"/>
  <c r="I4757" i="2" s="1"/>
  <c r="I4758" i="2" s="1"/>
  <c r="I4759" i="2" s="1"/>
  <c r="I4760" i="2" s="1"/>
  <c r="I4761" i="2" s="1"/>
  <c r="I4762" i="2" s="1"/>
  <c r="I4763" i="2" s="1"/>
  <c r="I4764" i="2" s="1"/>
  <c r="I4765" i="2" s="1"/>
  <c r="I4766" i="2" s="1"/>
  <c r="I4767" i="2" s="1"/>
  <c r="I2689" i="2"/>
  <c r="I2690" i="2" s="1"/>
  <c r="I2691" i="2" s="1"/>
  <c r="I2692" i="2" s="1"/>
  <c r="I2693" i="2" s="1"/>
  <c r="I2694" i="2" s="1"/>
  <c r="I2695" i="2" s="1"/>
  <c r="I2696" i="2" s="1"/>
  <c r="I2697" i="2" s="1"/>
  <c r="I2698" i="2" s="1"/>
  <c r="I2699" i="2" s="1"/>
  <c r="I2700" i="2" s="1"/>
  <c r="I2701" i="2" s="1"/>
  <c r="I2702" i="2" s="1"/>
  <c r="I2703" i="2" s="1"/>
  <c r="I2704" i="2" s="1"/>
  <c r="I2705" i="2" s="1"/>
  <c r="I2706" i="2" s="1"/>
  <c r="I2707" i="2" s="1"/>
  <c r="I5829" i="2"/>
  <c r="I5830" i="2" s="1"/>
  <c r="I5831" i="2" s="1"/>
  <c r="I5832" i="2" s="1"/>
  <c r="I5833" i="2" s="1"/>
  <c r="I5834" i="2" s="1"/>
  <c r="I5835" i="2" s="1"/>
  <c r="I5836" i="2" s="1"/>
  <c r="I5837" i="2" s="1"/>
  <c r="I5838" i="2" s="1"/>
  <c r="I5839" i="2" s="1"/>
  <c r="I5840" i="2" s="1"/>
  <c r="I5841" i="2" s="1"/>
  <c r="I5842" i="2" s="1"/>
  <c r="I5843" i="2" s="1"/>
  <c r="I5844" i="2" s="1"/>
  <c r="I5845" i="2" s="1"/>
  <c r="I5846" i="2" s="1"/>
  <c r="I5847" i="2" s="1"/>
  <c r="I4809" i="2"/>
  <c r="I4810" i="2" s="1"/>
  <c r="I4811" i="2" s="1"/>
  <c r="I4812" i="2" s="1"/>
  <c r="I4813" i="2" s="1"/>
  <c r="I4814" i="2" s="1"/>
  <c r="I4815" i="2" s="1"/>
  <c r="I4816" i="2" s="1"/>
  <c r="I4817" i="2" s="1"/>
  <c r="I4818" i="2" s="1"/>
  <c r="I4819" i="2" s="1"/>
  <c r="I4820" i="2" s="1"/>
  <c r="I4821" i="2" s="1"/>
  <c r="I4822" i="2" s="1"/>
  <c r="I4823" i="2" s="1"/>
  <c r="I4824" i="2" s="1"/>
  <c r="I4825" i="2" s="1"/>
  <c r="I4826" i="2" s="1"/>
  <c r="I4827" i="2" s="1"/>
  <c r="I4869" i="2"/>
  <c r="I4870" i="2" s="1"/>
  <c r="I4871" i="2" s="1"/>
  <c r="I4872" i="2" s="1"/>
  <c r="I4873" i="2" s="1"/>
  <c r="I4874" i="2" s="1"/>
  <c r="I4875" i="2" s="1"/>
  <c r="I4876" i="2" s="1"/>
  <c r="I4877" i="2" s="1"/>
  <c r="I4878" i="2" s="1"/>
  <c r="I4879" i="2" s="1"/>
  <c r="I4880" i="2" s="1"/>
  <c r="I4881" i="2" s="1"/>
  <c r="I4882" i="2" s="1"/>
  <c r="I4883" i="2" s="1"/>
  <c r="I4884" i="2" s="1"/>
  <c r="I4885" i="2" s="1"/>
  <c r="I4886" i="2" s="1"/>
  <c r="I4887" i="2" s="1"/>
  <c r="I1749" i="2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G1969" i="2"/>
  <c r="G1970" i="2" s="1"/>
  <c r="G1971" i="2" s="1"/>
  <c r="G1972" i="2" s="1"/>
  <c r="G1973" i="2" s="1"/>
  <c r="G1974" i="2" s="1"/>
  <c r="I5149" i="2"/>
  <c r="I5150" i="2" s="1"/>
  <c r="I5151" i="2" s="1"/>
  <c r="I5152" i="2" s="1"/>
  <c r="I5153" i="2" s="1"/>
  <c r="I5154" i="2" s="1"/>
  <c r="I5155" i="2" s="1"/>
  <c r="I5156" i="2" s="1"/>
  <c r="I5157" i="2" s="1"/>
  <c r="I5158" i="2" s="1"/>
  <c r="I5159" i="2" s="1"/>
  <c r="I5160" i="2" s="1"/>
  <c r="I5161" i="2" s="1"/>
  <c r="I5162" i="2" s="1"/>
  <c r="I5163" i="2" s="1"/>
  <c r="I5164" i="2" s="1"/>
  <c r="I5165" i="2" s="1"/>
  <c r="I5166" i="2" s="1"/>
  <c r="I5167" i="2" s="1"/>
  <c r="G5469" i="2"/>
  <c r="G5470" i="2" s="1"/>
  <c r="G5471" i="2" s="1"/>
  <c r="G5472" i="2" s="1"/>
  <c r="G5473" i="2" s="1"/>
  <c r="G5474" i="2" s="1"/>
  <c r="G3269" i="2"/>
  <c r="G3270" i="2" s="1"/>
  <c r="G3271" i="2" s="1"/>
  <c r="G3272" i="2" s="1"/>
  <c r="G3273" i="2" s="1"/>
  <c r="G3274" i="2" s="1"/>
  <c r="G3275" i="2" s="1"/>
  <c r="I3469" i="2"/>
  <c r="I3470" i="2" s="1"/>
  <c r="I3471" i="2" s="1"/>
  <c r="I3472" i="2" s="1"/>
  <c r="I3473" i="2" s="1"/>
  <c r="I3474" i="2" s="1"/>
  <c r="I3475" i="2" s="1"/>
  <c r="I3476" i="2" s="1"/>
  <c r="I3477" i="2" s="1"/>
  <c r="I3478" i="2" s="1"/>
  <c r="I3479" i="2" s="1"/>
  <c r="I3480" i="2" s="1"/>
  <c r="I3481" i="2" s="1"/>
  <c r="I3482" i="2" s="1"/>
  <c r="I3483" i="2" s="1"/>
  <c r="I3484" i="2" s="1"/>
  <c r="I3485" i="2" s="1"/>
  <c r="I3486" i="2" s="1"/>
  <c r="I3487" i="2" s="1"/>
  <c r="G4769" i="2"/>
  <c r="G4770" i="2" s="1"/>
  <c r="G4771" i="2" s="1"/>
  <c r="G4772" i="2" s="1"/>
  <c r="G4773" i="2" s="1"/>
  <c r="G4774" i="2" s="1"/>
  <c r="G5189" i="2"/>
  <c r="G5190" i="2" s="1"/>
  <c r="G5191" i="2" s="1"/>
  <c r="G5192" i="2" s="1"/>
  <c r="G5193" i="2" s="1"/>
  <c r="G5194" i="2" s="1"/>
  <c r="G5195" i="2" s="1"/>
  <c r="I3409" i="2"/>
  <c r="I3410" i="2" s="1"/>
  <c r="I3411" i="2" s="1"/>
  <c r="I3412" i="2" s="1"/>
  <c r="I3413" i="2" s="1"/>
  <c r="I3414" i="2" s="1"/>
  <c r="I3415" i="2" s="1"/>
  <c r="I3416" i="2" s="1"/>
  <c r="I3417" i="2" s="1"/>
  <c r="I3418" i="2" s="1"/>
  <c r="I3419" i="2" s="1"/>
  <c r="I3420" i="2" s="1"/>
  <c r="I3421" i="2" s="1"/>
  <c r="I3422" i="2" s="1"/>
  <c r="I3423" i="2" s="1"/>
  <c r="I3424" i="2" s="1"/>
  <c r="I3425" i="2" s="1"/>
  <c r="I3426" i="2" s="1"/>
  <c r="I3427" i="2" s="1"/>
  <c r="G1189" i="2"/>
  <c r="G1190" i="2" s="1"/>
  <c r="G1191" i="2" s="1"/>
  <c r="G1192" i="2" s="1"/>
  <c r="G1193" i="2" s="1"/>
  <c r="G1194" i="2" s="1"/>
  <c r="G1269" i="2"/>
  <c r="G1270" i="2" s="1"/>
  <c r="G1271" i="2" s="1"/>
  <c r="G1272" i="2" s="1"/>
  <c r="G1273" i="2" s="1"/>
  <c r="G1274" i="2" s="1"/>
  <c r="I3269" i="2"/>
  <c r="I3270" i="2" s="1"/>
  <c r="I3271" i="2" s="1"/>
  <c r="I3272" i="2" s="1"/>
  <c r="I3273" i="2" s="1"/>
  <c r="I3274" i="2" s="1"/>
  <c r="I3275" i="2" s="1"/>
  <c r="I3276" i="2" s="1"/>
  <c r="I3277" i="2" s="1"/>
  <c r="I3278" i="2" s="1"/>
  <c r="I3279" i="2" s="1"/>
  <c r="I3280" i="2" s="1"/>
  <c r="I3281" i="2" s="1"/>
  <c r="I3282" i="2" s="1"/>
  <c r="I3283" i="2" s="1"/>
  <c r="I3284" i="2" s="1"/>
  <c r="I3285" i="2" s="1"/>
  <c r="I3286" i="2" s="1"/>
  <c r="I3287" i="2" s="1"/>
  <c r="I2889" i="2"/>
  <c r="I2890" i="2" s="1"/>
  <c r="I2891" i="2" s="1"/>
  <c r="I2892" i="2" s="1"/>
  <c r="I2893" i="2" s="1"/>
  <c r="I2894" i="2" s="1"/>
  <c r="I2895" i="2" s="1"/>
  <c r="I2896" i="2" s="1"/>
  <c r="I2897" i="2" s="1"/>
  <c r="I2898" i="2" s="1"/>
  <c r="I2899" i="2" s="1"/>
  <c r="I2900" i="2" s="1"/>
  <c r="I2901" i="2" s="1"/>
  <c r="I2902" i="2" s="1"/>
  <c r="I2903" i="2" s="1"/>
  <c r="I2904" i="2" s="1"/>
  <c r="I2905" i="2" s="1"/>
  <c r="I2906" i="2" s="1"/>
  <c r="I2907" i="2" s="1"/>
  <c r="G3669" i="2"/>
  <c r="G3670" i="2" s="1"/>
  <c r="G3671" i="2" s="1"/>
  <c r="G3672" i="2" s="1"/>
  <c r="G3673" i="2" s="1"/>
  <c r="G3674" i="2" s="1"/>
  <c r="I4049" i="2"/>
  <c r="I4050" i="2" s="1"/>
  <c r="I4051" i="2" s="1"/>
  <c r="I4052" i="2" s="1"/>
  <c r="I4053" i="2" s="1"/>
  <c r="I4054" i="2" s="1"/>
  <c r="I4055" i="2" s="1"/>
  <c r="I4056" i="2" s="1"/>
  <c r="I4057" i="2" s="1"/>
  <c r="I4058" i="2" s="1"/>
  <c r="I4059" i="2" s="1"/>
  <c r="I4060" i="2" s="1"/>
  <c r="I4061" i="2" s="1"/>
  <c r="I4062" i="2" s="1"/>
  <c r="I4063" i="2" s="1"/>
  <c r="I4064" i="2" s="1"/>
  <c r="I4065" i="2" s="1"/>
  <c r="I4066" i="2" s="1"/>
  <c r="I4067" i="2" s="1"/>
  <c r="G1149" i="2"/>
  <c r="G1150" i="2" s="1"/>
  <c r="G1151" i="2" s="1"/>
  <c r="G1152" i="2" s="1"/>
  <c r="G1153" i="2" s="1"/>
  <c r="G1154" i="2" s="1"/>
  <c r="G1155" i="2" s="1"/>
  <c r="G1629" i="2"/>
  <c r="G1630" i="2" s="1"/>
  <c r="G1631" i="2" s="1"/>
  <c r="G1632" i="2" s="1"/>
  <c r="G1633" i="2" s="1"/>
  <c r="G1634" i="2" s="1"/>
  <c r="G1449" i="2"/>
  <c r="G1450" i="2" s="1"/>
  <c r="G1451" i="2" s="1"/>
  <c r="G1452" i="2" s="1"/>
  <c r="G1453" i="2" s="1"/>
  <c r="G1454" i="2" s="1"/>
  <c r="I5889" i="2"/>
  <c r="I5890" i="2" s="1"/>
  <c r="I5891" i="2" s="1"/>
  <c r="I5892" i="2" s="1"/>
  <c r="I5893" i="2" s="1"/>
  <c r="I5894" i="2" s="1"/>
  <c r="I5895" i="2" s="1"/>
  <c r="I5896" i="2" s="1"/>
  <c r="I5897" i="2" s="1"/>
  <c r="I5898" i="2" s="1"/>
  <c r="I5899" i="2" s="1"/>
  <c r="I5900" i="2" s="1"/>
  <c r="I5901" i="2" s="1"/>
  <c r="I5902" i="2" s="1"/>
  <c r="I5903" i="2" s="1"/>
  <c r="I5904" i="2" s="1"/>
  <c r="I5905" i="2" s="1"/>
  <c r="I5906" i="2" s="1"/>
  <c r="I5907" i="2" s="1"/>
  <c r="I1649" i="2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5449" i="2"/>
  <c r="I5450" i="2" s="1"/>
  <c r="I5451" i="2" s="1"/>
  <c r="I5452" i="2" s="1"/>
  <c r="I5453" i="2" s="1"/>
  <c r="I5454" i="2" s="1"/>
  <c r="I5455" i="2" s="1"/>
  <c r="I5456" i="2" s="1"/>
  <c r="I5457" i="2" s="1"/>
  <c r="I5458" i="2" s="1"/>
  <c r="I5459" i="2" s="1"/>
  <c r="I5460" i="2" s="1"/>
  <c r="I5461" i="2" s="1"/>
  <c r="I5462" i="2" s="1"/>
  <c r="I5463" i="2" s="1"/>
  <c r="I5464" i="2" s="1"/>
  <c r="I5465" i="2" s="1"/>
  <c r="I5466" i="2" s="1"/>
  <c r="I5467" i="2" s="1"/>
  <c r="I1929" i="2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2749" i="2"/>
  <c r="I2750" i="2" s="1"/>
  <c r="I2751" i="2" s="1"/>
  <c r="I2752" i="2" s="1"/>
  <c r="I2753" i="2" s="1"/>
  <c r="I2754" i="2" s="1"/>
  <c r="I2755" i="2" s="1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I2766" i="2" s="1"/>
  <c r="I2767" i="2" s="1"/>
  <c r="I4269" i="2"/>
  <c r="I4270" i="2" s="1"/>
  <c r="I4271" i="2" s="1"/>
  <c r="I4272" i="2" s="1"/>
  <c r="I4273" i="2" s="1"/>
  <c r="I4274" i="2" s="1"/>
  <c r="I4275" i="2" s="1"/>
  <c r="I4276" i="2" s="1"/>
  <c r="I4277" i="2" s="1"/>
  <c r="I4278" i="2" s="1"/>
  <c r="I4279" i="2" s="1"/>
  <c r="I4280" i="2" s="1"/>
  <c r="I4281" i="2" s="1"/>
  <c r="I4282" i="2" s="1"/>
  <c r="I4283" i="2" s="1"/>
  <c r="I4284" i="2" s="1"/>
  <c r="I4285" i="2" s="1"/>
  <c r="I4286" i="2" s="1"/>
  <c r="I4287" i="2" s="1"/>
  <c r="I3129" i="2"/>
  <c r="I3130" i="2" s="1"/>
  <c r="I3131" i="2" s="1"/>
  <c r="I3132" i="2" s="1"/>
  <c r="I3133" i="2" s="1"/>
  <c r="I3134" i="2" s="1"/>
  <c r="I3135" i="2" s="1"/>
  <c r="I3136" i="2" s="1"/>
  <c r="I3137" i="2" s="1"/>
  <c r="I3138" i="2" s="1"/>
  <c r="I3139" i="2" s="1"/>
  <c r="I3140" i="2" s="1"/>
  <c r="I3141" i="2" s="1"/>
  <c r="I3142" i="2" s="1"/>
  <c r="I3143" i="2" s="1"/>
  <c r="I3144" i="2" s="1"/>
  <c r="I3145" i="2" s="1"/>
  <c r="I3146" i="2" s="1"/>
  <c r="I3147" i="2" s="1"/>
  <c r="I1489" i="2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3569" i="2"/>
  <c r="I3570" i="2" s="1"/>
  <c r="I3571" i="2" s="1"/>
  <c r="I3572" i="2" s="1"/>
  <c r="I3573" i="2" s="1"/>
  <c r="I3574" i="2" s="1"/>
  <c r="I3575" i="2" s="1"/>
  <c r="I3576" i="2" s="1"/>
  <c r="I3577" i="2" s="1"/>
  <c r="I3578" i="2" s="1"/>
  <c r="I3579" i="2" s="1"/>
  <c r="I3580" i="2" s="1"/>
  <c r="I3581" i="2" s="1"/>
  <c r="I3582" i="2" s="1"/>
  <c r="I3583" i="2" s="1"/>
  <c r="I3584" i="2" s="1"/>
  <c r="I3585" i="2" s="1"/>
  <c r="I3586" i="2" s="1"/>
  <c r="I3587" i="2" s="1"/>
  <c r="G3869" i="2"/>
  <c r="G3870" i="2" s="1"/>
  <c r="G3871" i="2" s="1"/>
  <c r="G3872" i="2" s="1"/>
  <c r="G3873" i="2" s="1"/>
  <c r="G3874" i="2" s="1"/>
  <c r="I5349" i="2"/>
  <c r="I5350" i="2" s="1"/>
  <c r="I5351" i="2" s="1"/>
  <c r="I5352" i="2" s="1"/>
  <c r="I5353" i="2" s="1"/>
  <c r="I5354" i="2" s="1"/>
  <c r="I5355" i="2" s="1"/>
  <c r="I5356" i="2" s="1"/>
  <c r="I5357" i="2" s="1"/>
  <c r="I5358" i="2" s="1"/>
  <c r="I5359" i="2" s="1"/>
  <c r="I5360" i="2" s="1"/>
  <c r="I5361" i="2" s="1"/>
  <c r="I5362" i="2" s="1"/>
  <c r="I5363" i="2" s="1"/>
  <c r="I5364" i="2" s="1"/>
  <c r="I5365" i="2" s="1"/>
  <c r="I5366" i="2" s="1"/>
  <c r="I5367" i="2" s="1"/>
  <c r="G4929" i="2"/>
  <c r="G4930" i="2" s="1"/>
  <c r="G4931" i="2" s="1"/>
  <c r="G4932" i="2" s="1"/>
  <c r="G4933" i="2" s="1"/>
  <c r="G4934" i="2" s="1"/>
  <c r="G4209" i="2"/>
  <c r="G4210" i="2" s="1"/>
  <c r="G4211" i="2" s="1"/>
  <c r="G4212" i="2" s="1"/>
  <c r="G4213" i="2" s="1"/>
  <c r="G4214" i="2" s="1"/>
  <c r="G4215" i="2" s="1"/>
  <c r="G2329" i="2"/>
  <c r="G2330" i="2" s="1"/>
  <c r="G2331" i="2" s="1"/>
  <c r="G2332" i="2" s="1"/>
  <c r="G2333" i="2" s="1"/>
  <c r="G2334" i="2" s="1"/>
  <c r="G2335" i="2" s="1"/>
  <c r="I1209" i="2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49" i="2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I1265" i="2" s="1"/>
  <c r="I1266" i="2" s="1"/>
  <c r="I1267" i="2" s="1"/>
  <c r="I2449" i="2"/>
  <c r="I2450" i="2" s="1"/>
  <c r="I2451" i="2" s="1"/>
  <c r="I2452" i="2" s="1"/>
  <c r="I2453" i="2" s="1"/>
  <c r="I2454" i="2" s="1"/>
  <c r="I2455" i="2" s="1"/>
  <c r="I2456" i="2" s="1"/>
  <c r="I2457" i="2" s="1"/>
  <c r="I2458" i="2" s="1"/>
  <c r="I2459" i="2" s="1"/>
  <c r="I2460" i="2" s="1"/>
  <c r="I2461" i="2" s="1"/>
  <c r="I2462" i="2" s="1"/>
  <c r="I2463" i="2" s="1"/>
  <c r="I2464" i="2" s="1"/>
  <c r="I2465" i="2" s="1"/>
  <c r="I2466" i="2" s="1"/>
  <c r="I2467" i="2" s="1"/>
  <c r="G4269" i="2"/>
  <c r="G4270" i="2" s="1"/>
  <c r="G4271" i="2" s="1"/>
  <c r="G4272" i="2" s="1"/>
  <c r="G4273" i="2" s="1"/>
  <c r="G4274" i="2" s="1"/>
  <c r="I5309" i="2"/>
  <c r="I5310" i="2" s="1"/>
  <c r="I5311" i="2" s="1"/>
  <c r="I5312" i="2" s="1"/>
  <c r="I5313" i="2" s="1"/>
  <c r="I5314" i="2" s="1"/>
  <c r="I5315" i="2" s="1"/>
  <c r="I5316" i="2" s="1"/>
  <c r="I5317" i="2" s="1"/>
  <c r="I5318" i="2" s="1"/>
  <c r="I5319" i="2" s="1"/>
  <c r="I5320" i="2" s="1"/>
  <c r="I5321" i="2" s="1"/>
  <c r="I5322" i="2" s="1"/>
  <c r="I5323" i="2" s="1"/>
  <c r="I5324" i="2" s="1"/>
  <c r="I5325" i="2" s="1"/>
  <c r="I5326" i="2" s="1"/>
  <c r="I5327" i="2" s="1"/>
  <c r="G3309" i="2"/>
  <c r="G3310" i="2" s="1"/>
  <c r="G3311" i="2" s="1"/>
  <c r="G3312" i="2" s="1"/>
  <c r="G3313" i="2" s="1"/>
  <c r="G3314" i="2" s="1"/>
  <c r="I1409" i="2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2269" i="2"/>
  <c r="I2270" i="2" s="1"/>
  <c r="I2271" i="2" s="1"/>
  <c r="I2272" i="2" s="1"/>
  <c r="I2273" i="2" s="1"/>
  <c r="I2274" i="2" s="1"/>
  <c r="I2275" i="2" s="1"/>
  <c r="I2276" i="2" s="1"/>
  <c r="I2277" i="2" s="1"/>
  <c r="I2278" i="2" s="1"/>
  <c r="I2279" i="2" s="1"/>
  <c r="I2280" i="2" s="1"/>
  <c r="I2281" i="2" s="1"/>
  <c r="I2282" i="2" s="1"/>
  <c r="I2283" i="2" s="1"/>
  <c r="I2284" i="2" s="1"/>
  <c r="I2285" i="2" s="1"/>
  <c r="I2286" i="2" s="1"/>
  <c r="I2287" i="2" s="1"/>
  <c r="I4009" i="2"/>
  <c r="I4010" i="2" s="1"/>
  <c r="I4011" i="2" s="1"/>
  <c r="I4012" i="2" s="1"/>
  <c r="I4013" i="2" s="1"/>
  <c r="I4014" i="2" s="1"/>
  <c r="I4015" i="2" s="1"/>
  <c r="I4016" i="2" s="1"/>
  <c r="I4017" i="2" s="1"/>
  <c r="I4018" i="2" s="1"/>
  <c r="I4019" i="2" s="1"/>
  <c r="I4020" i="2" s="1"/>
  <c r="I4021" i="2" s="1"/>
  <c r="I4022" i="2" s="1"/>
  <c r="I4023" i="2" s="1"/>
  <c r="I4024" i="2" s="1"/>
  <c r="I4025" i="2" s="1"/>
  <c r="I4026" i="2" s="1"/>
  <c r="I4027" i="2" s="1"/>
  <c r="I5949" i="2"/>
  <c r="I5950" i="2" s="1"/>
  <c r="I5951" i="2" s="1"/>
  <c r="I5952" i="2" s="1"/>
  <c r="I5953" i="2" s="1"/>
  <c r="I5954" i="2" s="1"/>
  <c r="I5955" i="2" s="1"/>
  <c r="I5956" i="2" s="1"/>
  <c r="I5957" i="2" s="1"/>
  <c r="I5958" i="2" s="1"/>
  <c r="I5959" i="2" s="1"/>
  <c r="I5960" i="2" s="1"/>
  <c r="I5961" i="2" s="1"/>
  <c r="I5962" i="2" s="1"/>
  <c r="I5963" i="2" s="1"/>
  <c r="I5964" i="2" s="1"/>
  <c r="I5965" i="2" s="1"/>
  <c r="I5966" i="2" s="1"/>
  <c r="I5967" i="2" s="1"/>
  <c r="G3749" i="2"/>
  <c r="G3750" i="2" s="1"/>
  <c r="G3751" i="2" s="1"/>
  <c r="G3752" i="2" s="1"/>
  <c r="G3753" i="2" s="1"/>
  <c r="G3754" i="2" s="1"/>
  <c r="G4649" i="2"/>
  <c r="G4650" i="2" s="1"/>
  <c r="G4651" i="2" s="1"/>
  <c r="G4652" i="2" s="1"/>
  <c r="G4653" i="2" s="1"/>
  <c r="G4654" i="2" s="1"/>
  <c r="G2509" i="2"/>
  <c r="G2510" i="2" s="1"/>
  <c r="G2511" i="2" s="1"/>
  <c r="G2512" i="2" s="1"/>
  <c r="G2513" i="2" s="1"/>
  <c r="G2514" i="2" s="1"/>
  <c r="G2515" i="2" s="1"/>
  <c r="I3029" i="2"/>
  <c r="I3030" i="2" s="1"/>
  <c r="I3031" i="2" s="1"/>
  <c r="I3032" i="2" s="1"/>
  <c r="I3033" i="2" s="1"/>
  <c r="I3034" i="2" s="1"/>
  <c r="I3035" i="2" s="1"/>
  <c r="I3036" i="2" s="1"/>
  <c r="I3037" i="2" s="1"/>
  <c r="I3038" i="2" s="1"/>
  <c r="I3039" i="2" s="1"/>
  <c r="I3040" i="2" s="1"/>
  <c r="I3041" i="2" s="1"/>
  <c r="I3042" i="2" s="1"/>
  <c r="I3043" i="2" s="1"/>
  <c r="I3044" i="2" s="1"/>
  <c r="I3045" i="2" s="1"/>
  <c r="I3046" i="2" s="1"/>
  <c r="I3047" i="2" s="1"/>
  <c r="G4289" i="2"/>
  <c r="G4290" i="2" s="1"/>
  <c r="G4291" i="2" s="1"/>
  <c r="G4292" i="2" s="1"/>
  <c r="G4293" i="2" s="1"/>
  <c r="G4294" i="2" s="1"/>
  <c r="G4295" i="2" s="1"/>
  <c r="I3069" i="2"/>
  <c r="I3070" i="2" s="1"/>
  <c r="I3071" i="2" s="1"/>
  <c r="I3072" i="2" s="1"/>
  <c r="I3073" i="2" s="1"/>
  <c r="I3074" i="2" s="1"/>
  <c r="I3075" i="2" s="1"/>
  <c r="I3076" i="2" s="1"/>
  <c r="I3077" i="2" s="1"/>
  <c r="I3078" i="2" s="1"/>
  <c r="I3079" i="2" s="1"/>
  <c r="I3080" i="2" s="1"/>
  <c r="I3081" i="2" s="1"/>
  <c r="I3082" i="2" s="1"/>
  <c r="I3083" i="2" s="1"/>
  <c r="I3084" i="2" s="1"/>
  <c r="I3085" i="2" s="1"/>
  <c r="I3086" i="2" s="1"/>
  <c r="I3087" i="2" s="1"/>
  <c r="I4789" i="2"/>
  <c r="I4790" i="2" s="1"/>
  <c r="I4791" i="2" s="1"/>
  <c r="I4792" i="2" s="1"/>
  <c r="I4793" i="2" s="1"/>
  <c r="I4794" i="2" s="1"/>
  <c r="I4795" i="2" s="1"/>
  <c r="I4796" i="2" s="1"/>
  <c r="I4797" i="2" s="1"/>
  <c r="I4798" i="2" s="1"/>
  <c r="I4799" i="2" s="1"/>
  <c r="I4800" i="2" s="1"/>
  <c r="I4801" i="2" s="1"/>
  <c r="I4802" i="2" s="1"/>
  <c r="I4803" i="2" s="1"/>
  <c r="I4804" i="2" s="1"/>
  <c r="I4805" i="2" s="1"/>
  <c r="I4806" i="2" s="1"/>
  <c r="I4807" i="2" s="1"/>
  <c r="I4389" i="2"/>
  <c r="I4390" i="2" s="1"/>
  <c r="I4391" i="2" s="1"/>
  <c r="I4392" i="2" s="1"/>
  <c r="I4393" i="2" s="1"/>
  <c r="I4394" i="2" s="1"/>
  <c r="I4395" i="2" s="1"/>
  <c r="I4396" i="2" s="1"/>
  <c r="I4397" i="2" s="1"/>
  <c r="I4398" i="2" s="1"/>
  <c r="I4399" i="2" s="1"/>
  <c r="I4400" i="2" s="1"/>
  <c r="I4401" i="2" s="1"/>
  <c r="I4402" i="2" s="1"/>
  <c r="I4403" i="2" s="1"/>
  <c r="I4404" i="2" s="1"/>
  <c r="I4405" i="2" s="1"/>
  <c r="I4406" i="2" s="1"/>
  <c r="I4407" i="2" s="1"/>
  <c r="G2989" i="2"/>
  <c r="G2990" i="2" s="1"/>
  <c r="G2991" i="2" s="1"/>
  <c r="G2992" i="2" s="1"/>
  <c r="G2993" i="2" s="1"/>
  <c r="G2994" i="2" s="1"/>
  <c r="I3889" i="2"/>
  <c r="I3890" i="2" s="1"/>
  <c r="I3891" i="2" s="1"/>
  <c r="I3892" i="2" s="1"/>
  <c r="I3893" i="2" s="1"/>
  <c r="I3894" i="2" s="1"/>
  <c r="I3895" i="2" s="1"/>
  <c r="I3896" i="2" s="1"/>
  <c r="I3897" i="2" s="1"/>
  <c r="I3898" i="2" s="1"/>
  <c r="I3899" i="2" s="1"/>
  <c r="I3900" i="2" s="1"/>
  <c r="I3901" i="2" s="1"/>
  <c r="I3902" i="2" s="1"/>
  <c r="I3903" i="2" s="1"/>
  <c r="I3904" i="2" s="1"/>
  <c r="I3905" i="2" s="1"/>
  <c r="I3906" i="2" s="1"/>
  <c r="I3907" i="2" s="1"/>
  <c r="G5609" i="2"/>
  <c r="G5610" i="2" s="1"/>
  <c r="G5611" i="2" s="1"/>
  <c r="G5612" i="2" s="1"/>
  <c r="G5613" i="2" s="1"/>
  <c r="G5614" i="2" s="1"/>
  <c r="G5615" i="2" s="1"/>
  <c r="I3089" i="2"/>
  <c r="I3090" i="2" s="1"/>
  <c r="I3091" i="2" s="1"/>
  <c r="I3092" i="2" s="1"/>
  <c r="I3093" i="2" s="1"/>
  <c r="I3094" i="2" s="1"/>
  <c r="I3095" i="2" s="1"/>
  <c r="I3096" i="2" s="1"/>
  <c r="I3097" i="2" s="1"/>
  <c r="I3098" i="2" s="1"/>
  <c r="I3099" i="2" s="1"/>
  <c r="I3100" i="2" s="1"/>
  <c r="I3101" i="2" s="1"/>
  <c r="I3102" i="2" s="1"/>
  <c r="I3103" i="2" s="1"/>
  <c r="I3104" i="2" s="1"/>
  <c r="I3105" i="2" s="1"/>
  <c r="I3106" i="2" s="1"/>
  <c r="I3107" i="2" s="1"/>
  <c r="G3089" i="2"/>
  <c r="G3090" i="2" s="1"/>
  <c r="G3091" i="2" s="1"/>
  <c r="G3092" i="2" s="1"/>
  <c r="G3093" i="2" s="1"/>
  <c r="G3094" i="2" s="1"/>
  <c r="G3095" i="2" s="1"/>
  <c r="I5109" i="2"/>
  <c r="I5110" i="2" s="1"/>
  <c r="I5111" i="2" s="1"/>
  <c r="I5112" i="2" s="1"/>
  <c r="I5113" i="2" s="1"/>
  <c r="I5114" i="2" s="1"/>
  <c r="I5115" i="2" s="1"/>
  <c r="I5116" i="2" s="1"/>
  <c r="I5117" i="2" s="1"/>
  <c r="I5118" i="2" s="1"/>
  <c r="I5119" i="2" s="1"/>
  <c r="I5120" i="2" s="1"/>
  <c r="I5121" i="2" s="1"/>
  <c r="I5122" i="2" s="1"/>
  <c r="I5123" i="2" s="1"/>
  <c r="I5124" i="2" s="1"/>
  <c r="I5125" i="2" s="1"/>
  <c r="I5126" i="2" s="1"/>
  <c r="I5127" i="2" s="1"/>
  <c r="I5129" i="2"/>
  <c r="I5130" i="2" s="1"/>
  <c r="I5131" i="2" s="1"/>
  <c r="I5132" i="2" s="1"/>
  <c r="I5133" i="2" s="1"/>
  <c r="I5134" i="2" s="1"/>
  <c r="I5135" i="2" s="1"/>
  <c r="I5136" i="2" s="1"/>
  <c r="I5137" i="2" s="1"/>
  <c r="I5138" i="2" s="1"/>
  <c r="I5139" i="2" s="1"/>
  <c r="I5140" i="2" s="1"/>
  <c r="I5141" i="2" s="1"/>
  <c r="I5142" i="2" s="1"/>
  <c r="I5143" i="2" s="1"/>
  <c r="I5144" i="2" s="1"/>
  <c r="I5145" i="2" s="1"/>
  <c r="I5146" i="2" s="1"/>
  <c r="I5147" i="2" s="1"/>
  <c r="G2929" i="2"/>
  <c r="G2930" i="2" s="1"/>
  <c r="G2931" i="2" s="1"/>
  <c r="G2932" i="2" s="1"/>
  <c r="G2933" i="2" s="1"/>
  <c r="G2934" i="2" s="1"/>
  <c r="I3769" i="2"/>
  <c r="I3770" i="2" s="1"/>
  <c r="I3771" i="2" s="1"/>
  <c r="I3772" i="2" s="1"/>
  <c r="I3773" i="2" s="1"/>
  <c r="I3774" i="2" s="1"/>
  <c r="I3775" i="2" s="1"/>
  <c r="I3776" i="2" s="1"/>
  <c r="I3777" i="2" s="1"/>
  <c r="I3778" i="2" s="1"/>
  <c r="I3779" i="2" s="1"/>
  <c r="I3780" i="2" s="1"/>
  <c r="I3781" i="2" s="1"/>
  <c r="I3782" i="2" s="1"/>
  <c r="I3783" i="2" s="1"/>
  <c r="I3784" i="2" s="1"/>
  <c r="I3785" i="2" s="1"/>
  <c r="I3786" i="2" s="1"/>
  <c r="I3787" i="2" s="1"/>
  <c r="I5409" i="2"/>
  <c r="I5410" i="2" s="1"/>
  <c r="I5411" i="2" s="1"/>
  <c r="I5412" i="2" s="1"/>
  <c r="I5413" i="2" s="1"/>
  <c r="I5414" i="2" s="1"/>
  <c r="I5415" i="2" s="1"/>
  <c r="I5416" i="2" s="1"/>
  <c r="I5417" i="2" s="1"/>
  <c r="I5418" i="2" s="1"/>
  <c r="I5419" i="2" s="1"/>
  <c r="I5420" i="2" s="1"/>
  <c r="I5421" i="2" s="1"/>
  <c r="I5422" i="2" s="1"/>
  <c r="I5423" i="2" s="1"/>
  <c r="I5424" i="2" s="1"/>
  <c r="I5425" i="2" s="1"/>
  <c r="I5426" i="2" s="1"/>
  <c r="I5427" i="2" s="1"/>
  <c r="G5489" i="2"/>
  <c r="G5490" i="2" s="1"/>
  <c r="G5491" i="2" s="1"/>
  <c r="G5492" i="2" s="1"/>
  <c r="G5493" i="2" s="1"/>
  <c r="G5494" i="2" s="1"/>
  <c r="G5495" i="2" s="1"/>
  <c r="I3869" i="2"/>
  <c r="I3870" i="2" s="1"/>
  <c r="I3871" i="2" s="1"/>
  <c r="I3872" i="2" s="1"/>
  <c r="I3873" i="2" s="1"/>
  <c r="I3874" i="2" s="1"/>
  <c r="I3875" i="2" s="1"/>
  <c r="I3876" i="2" s="1"/>
  <c r="I3877" i="2" s="1"/>
  <c r="I3878" i="2" s="1"/>
  <c r="I3879" i="2" s="1"/>
  <c r="I3880" i="2" s="1"/>
  <c r="I3881" i="2" s="1"/>
  <c r="I3882" i="2" s="1"/>
  <c r="I3883" i="2" s="1"/>
  <c r="I3884" i="2" s="1"/>
  <c r="I3885" i="2" s="1"/>
  <c r="I3886" i="2" s="1"/>
  <c r="I3887" i="2" s="1"/>
  <c r="G3809" i="2"/>
  <c r="G3810" i="2" s="1"/>
  <c r="G3811" i="2" s="1"/>
  <c r="G3812" i="2" s="1"/>
  <c r="G3813" i="2" s="1"/>
  <c r="G3814" i="2" s="1"/>
  <c r="G3329" i="2"/>
  <c r="G3330" i="2" s="1"/>
  <c r="G3331" i="2" s="1"/>
  <c r="G3332" i="2" s="1"/>
  <c r="G3333" i="2" s="1"/>
  <c r="G3334" i="2" s="1"/>
  <c r="G3335" i="2" s="1"/>
  <c r="G1589" i="2"/>
  <c r="G1590" i="2" s="1"/>
  <c r="G1591" i="2" s="1"/>
  <c r="G1592" i="2" s="1"/>
  <c r="G1593" i="2" s="1"/>
  <c r="G1594" i="2" s="1"/>
  <c r="G1595" i="2" s="1"/>
  <c r="I2149" i="2"/>
  <c r="I2150" i="2" s="1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G2709" i="2"/>
  <c r="G2710" i="2" s="1"/>
  <c r="G2711" i="2" s="1"/>
  <c r="G2712" i="2" s="1"/>
  <c r="G2713" i="2" s="1"/>
  <c r="G2714" i="2" s="1"/>
  <c r="G1229" i="2"/>
  <c r="G1230" i="2" s="1"/>
  <c r="G1231" i="2" s="1"/>
  <c r="G1232" i="2" s="1"/>
  <c r="G1233" i="2" s="1"/>
  <c r="G1234" i="2" s="1"/>
  <c r="I5489" i="2"/>
  <c r="I5490" i="2" s="1"/>
  <c r="I5491" i="2" s="1"/>
  <c r="I5492" i="2" s="1"/>
  <c r="I5493" i="2" s="1"/>
  <c r="I5494" i="2" s="1"/>
  <c r="I5495" i="2" s="1"/>
  <c r="I5496" i="2" s="1"/>
  <c r="I5497" i="2" s="1"/>
  <c r="I5498" i="2" s="1"/>
  <c r="I5499" i="2" s="1"/>
  <c r="I5500" i="2" s="1"/>
  <c r="I5501" i="2" s="1"/>
  <c r="I5502" i="2" s="1"/>
  <c r="I5503" i="2" s="1"/>
  <c r="I5504" i="2" s="1"/>
  <c r="I5505" i="2" s="1"/>
  <c r="I5506" i="2" s="1"/>
  <c r="I5507" i="2" s="1"/>
  <c r="I5069" i="2"/>
  <c r="I5070" i="2" s="1"/>
  <c r="I5071" i="2" s="1"/>
  <c r="I5072" i="2" s="1"/>
  <c r="I5073" i="2" s="1"/>
  <c r="I5074" i="2" s="1"/>
  <c r="I5075" i="2" s="1"/>
  <c r="I5076" i="2" s="1"/>
  <c r="I5077" i="2" s="1"/>
  <c r="I5078" i="2" s="1"/>
  <c r="I5079" i="2" s="1"/>
  <c r="I5080" i="2" s="1"/>
  <c r="I5081" i="2" s="1"/>
  <c r="I5082" i="2" s="1"/>
  <c r="I5083" i="2" s="1"/>
  <c r="I5084" i="2" s="1"/>
  <c r="I5085" i="2" s="1"/>
  <c r="I5086" i="2" s="1"/>
  <c r="I5087" i="2" s="1"/>
  <c r="I4769" i="2"/>
  <c r="I4770" i="2" s="1"/>
  <c r="I4771" i="2" s="1"/>
  <c r="I4772" i="2" s="1"/>
  <c r="I4773" i="2" s="1"/>
  <c r="I4774" i="2" s="1"/>
  <c r="I4775" i="2" s="1"/>
  <c r="I4776" i="2" s="1"/>
  <c r="I4777" i="2" s="1"/>
  <c r="I4778" i="2" s="1"/>
  <c r="I4779" i="2" s="1"/>
  <c r="I4780" i="2" s="1"/>
  <c r="I4781" i="2" s="1"/>
  <c r="I4782" i="2" s="1"/>
  <c r="I4783" i="2" s="1"/>
  <c r="I4784" i="2" s="1"/>
  <c r="I4785" i="2" s="1"/>
  <c r="I4786" i="2" s="1"/>
  <c r="I4787" i="2" s="1"/>
  <c r="G1849" i="2"/>
  <c r="G1850" i="2" s="1"/>
  <c r="G1851" i="2" s="1"/>
  <c r="G1852" i="2" s="1"/>
  <c r="G1853" i="2" s="1"/>
  <c r="G1854" i="2" s="1"/>
  <c r="G1855" i="2" s="1"/>
  <c r="I2649" i="2"/>
  <c r="I2650" i="2" s="1"/>
  <c r="I2651" i="2" s="1"/>
  <c r="I2652" i="2" s="1"/>
  <c r="I2653" i="2" s="1"/>
  <c r="I2654" i="2" s="1"/>
  <c r="I2655" i="2" s="1"/>
  <c r="I2656" i="2" s="1"/>
  <c r="I2657" i="2" s="1"/>
  <c r="I2658" i="2" s="1"/>
  <c r="I2659" i="2" s="1"/>
  <c r="I2660" i="2" s="1"/>
  <c r="I2661" i="2" s="1"/>
  <c r="I2662" i="2" s="1"/>
  <c r="I2663" i="2" s="1"/>
  <c r="I2664" i="2" s="1"/>
  <c r="I2665" i="2" s="1"/>
  <c r="I2666" i="2" s="1"/>
  <c r="I2667" i="2" s="1"/>
  <c r="I2629" i="2"/>
  <c r="I2630" i="2" s="1"/>
  <c r="I2631" i="2" s="1"/>
  <c r="I2632" i="2" s="1"/>
  <c r="I2633" i="2" s="1"/>
  <c r="I2634" i="2" s="1"/>
  <c r="I2635" i="2" s="1"/>
  <c r="I2636" i="2" s="1"/>
  <c r="I2637" i="2" s="1"/>
  <c r="I2638" i="2" s="1"/>
  <c r="I2639" i="2" s="1"/>
  <c r="I2640" i="2" s="1"/>
  <c r="I2641" i="2" s="1"/>
  <c r="I2642" i="2" s="1"/>
  <c r="I2643" i="2" s="1"/>
  <c r="I2644" i="2" s="1"/>
  <c r="I2645" i="2" s="1"/>
  <c r="I2646" i="2" s="1"/>
  <c r="I2647" i="2" s="1"/>
  <c r="I3749" i="2"/>
  <c r="I3750" i="2" s="1"/>
  <c r="I3751" i="2" s="1"/>
  <c r="I3752" i="2" s="1"/>
  <c r="I3753" i="2" s="1"/>
  <c r="I3754" i="2" s="1"/>
  <c r="I3755" i="2" s="1"/>
  <c r="I3756" i="2" s="1"/>
  <c r="I3757" i="2" s="1"/>
  <c r="I3758" i="2" s="1"/>
  <c r="I3759" i="2" s="1"/>
  <c r="I3760" i="2" s="1"/>
  <c r="I3761" i="2" s="1"/>
  <c r="I3762" i="2" s="1"/>
  <c r="I3763" i="2" s="1"/>
  <c r="I3764" i="2" s="1"/>
  <c r="I3765" i="2" s="1"/>
  <c r="I3766" i="2" s="1"/>
  <c r="I3767" i="2" s="1"/>
  <c r="G2589" i="2"/>
  <c r="G2590" i="2" s="1"/>
  <c r="G2591" i="2" s="1"/>
  <c r="G2592" i="2" s="1"/>
  <c r="G2593" i="2" s="1"/>
  <c r="G2594" i="2" s="1"/>
  <c r="G4529" i="2"/>
  <c r="G4530" i="2" s="1"/>
  <c r="G4531" i="2" s="1"/>
  <c r="G4532" i="2" s="1"/>
  <c r="G4533" i="2" s="1"/>
  <c r="G4534" i="2" s="1"/>
  <c r="G4535" i="2" s="1"/>
  <c r="I4489" i="2"/>
  <c r="I4490" i="2" s="1"/>
  <c r="I4491" i="2" s="1"/>
  <c r="I4492" i="2" s="1"/>
  <c r="I4493" i="2" s="1"/>
  <c r="I4494" i="2" s="1"/>
  <c r="I4495" i="2" s="1"/>
  <c r="I4496" i="2" s="1"/>
  <c r="I4497" i="2" s="1"/>
  <c r="I4498" i="2" s="1"/>
  <c r="I4499" i="2" s="1"/>
  <c r="I4500" i="2" s="1"/>
  <c r="I4501" i="2" s="1"/>
  <c r="I4502" i="2" s="1"/>
  <c r="I4503" i="2" s="1"/>
  <c r="I4504" i="2" s="1"/>
  <c r="I4505" i="2" s="1"/>
  <c r="I4506" i="2" s="1"/>
  <c r="I4507" i="2" s="1"/>
  <c r="I3329" i="2"/>
  <c r="I3330" i="2" s="1"/>
  <c r="I3331" i="2" s="1"/>
  <c r="I3332" i="2" s="1"/>
  <c r="I3333" i="2" s="1"/>
  <c r="I3334" i="2" s="1"/>
  <c r="I3335" i="2" s="1"/>
  <c r="I3336" i="2" s="1"/>
  <c r="I3337" i="2" s="1"/>
  <c r="I3338" i="2" s="1"/>
  <c r="I3339" i="2" s="1"/>
  <c r="I3340" i="2" s="1"/>
  <c r="I3341" i="2" s="1"/>
  <c r="I3342" i="2" s="1"/>
  <c r="I3343" i="2" s="1"/>
  <c r="I3344" i="2" s="1"/>
  <c r="I3345" i="2" s="1"/>
  <c r="I3346" i="2" s="1"/>
  <c r="I3347" i="2" s="1"/>
  <c r="G4629" i="2"/>
  <c r="G4630" i="2" s="1"/>
  <c r="G4631" i="2" s="1"/>
  <c r="G4632" i="2" s="1"/>
  <c r="G4633" i="2" s="1"/>
  <c r="G4634" i="2" s="1"/>
  <c r="G4635" i="2" s="1"/>
  <c r="I5569" i="2"/>
  <c r="I5570" i="2" s="1"/>
  <c r="I5571" i="2" s="1"/>
  <c r="I5572" i="2" s="1"/>
  <c r="I5573" i="2" s="1"/>
  <c r="I5574" i="2" s="1"/>
  <c r="I5575" i="2" s="1"/>
  <c r="I5576" i="2" s="1"/>
  <c r="I5577" i="2" s="1"/>
  <c r="I5578" i="2" s="1"/>
  <c r="I5579" i="2" s="1"/>
  <c r="I5580" i="2" s="1"/>
  <c r="I5581" i="2" s="1"/>
  <c r="I5582" i="2" s="1"/>
  <c r="I5583" i="2" s="1"/>
  <c r="I5584" i="2" s="1"/>
  <c r="I5585" i="2" s="1"/>
  <c r="I5586" i="2" s="1"/>
  <c r="I5587" i="2" s="1"/>
  <c r="I4549" i="2"/>
  <c r="I4550" i="2" s="1"/>
  <c r="I4551" i="2" s="1"/>
  <c r="I4552" i="2" s="1"/>
  <c r="I4553" i="2" s="1"/>
  <c r="I4554" i="2" s="1"/>
  <c r="I4555" i="2" s="1"/>
  <c r="I4556" i="2" s="1"/>
  <c r="I4557" i="2" s="1"/>
  <c r="I4558" i="2" s="1"/>
  <c r="I4559" i="2" s="1"/>
  <c r="I4560" i="2" s="1"/>
  <c r="I4561" i="2" s="1"/>
  <c r="I4562" i="2" s="1"/>
  <c r="I4563" i="2" s="1"/>
  <c r="I4564" i="2" s="1"/>
  <c r="I4565" i="2" s="1"/>
  <c r="I4566" i="2" s="1"/>
  <c r="I4567" i="2" s="1"/>
  <c r="G2309" i="2"/>
  <c r="G2310" i="2" s="1"/>
  <c r="G2311" i="2" s="1"/>
  <c r="G2312" i="2" s="1"/>
  <c r="G2313" i="2" s="1"/>
  <c r="G2314" i="2" s="1"/>
  <c r="I5269" i="2"/>
  <c r="I5270" i="2" s="1"/>
  <c r="I5271" i="2" s="1"/>
  <c r="I5272" i="2" s="1"/>
  <c r="I5273" i="2" s="1"/>
  <c r="I5274" i="2" s="1"/>
  <c r="I5275" i="2" s="1"/>
  <c r="I5276" i="2" s="1"/>
  <c r="I5277" i="2" s="1"/>
  <c r="I5278" i="2" s="1"/>
  <c r="I5279" i="2" s="1"/>
  <c r="I5280" i="2" s="1"/>
  <c r="I5281" i="2" s="1"/>
  <c r="I5282" i="2" s="1"/>
  <c r="I5283" i="2" s="1"/>
  <c r="I5284" i="2" s="1"/>
  <c r="I5285" i="2" s="1"/>
  <c r="I5286" i="2" s="1"/>
  <c r="I5287" i="2" s="1"/>
  <c r="G2469" i="2"/>
  <c r="G2470" i="2" s="1"/>
  <c r="G2471" i="2" s="1"/>
  <c r="G2472" i="2" s="1"/>
  <c r="G2473" i="2" s="1"/>
  <c r="G2474" i="2" s="1"/>
  <c r="G2475" i="2" s="1"/>
  <c r="G4069" i="2"/>
  <c r="G4070" i="2" s="1"/>
  <c r="G4071" i="2" s="1"/>
  <c r="G4072" i="2" s="1"/>
  <c r="G4073" i="2" s="1"/>
  <c r="G4074" i="2" s="1"/>
  <c r="G4075" i="2" s="1"/>
  <c r="I3989" i="2"/>
  <c r="I3990" i="2" s="1"/>
  <c r="I3991" i="2" s="1"/>
  <c r="I3992" i="2" s="1"/>
  <c r="I3993" i="2" s="1"/>
  <c r="I3994" i="2" s="1"/>
  <c r="I3995" i="2" s="1"/>
  <c r="I3996" i="2" s="1"/>
  <c r="I3997" i="2" s="1"/>
  <c r="I3998" i="2" s="1"/>
  <c r="I3999" i="2" s="1"/>
  <c r="I4000" i="2" s="1"/>
  <c r="I4001" i="2" s="1"/>
  <c r="I4002" i="2" s="1"/>
  <c r="I4003" i="2" s="1"/>
  <c r="I4004" i="2" s="1"/>
  <c r="I4005" i="2" s="1"/>
  <c r="I4006" i="2" s="1"/>
  <c r="I4007" i="2" s="1"/>
  <c r="I5649" i="2"/>
  <c r="I5650" i="2" s="1"/>
  <c r="I5651" i="2" s="1"/>
  <c r="I5652" i="2" s="1"/>
  <c r="I5653" i="2" s="1"/>
  <c r="I5654" i="2" s="1"/>
  <c r="I5655" i="2" s="1"/>
  <c r="I5656" i="2" s="1"/>
  <c r="I5657" i="2" s="1"/>
  <c r="I5658" i="2" s="1"/>
  <c r="I5659" i="2" s="1"/>
  <c r="I5660" i="2" s="1"/>
  <c r="I5661" i="2" s="1"/>
  <c r="I5662" i="2" s="1"/>
  <c r="I5663" i="2" s="1"/>
  <c r="I5664" i="2" s="1"/>
  <c r="I5665" i="2" s="1"/>
  <c r="I5666" i="2" s="1"/>
  <c r="I5667" i="2" s="1"/>
  <c r="G5089" i="2"/>
  <c r="G5090" i="2" s="1"/>
  <c r="G5091" i="2" s="1"/>
  <c r="G5092" i="2" s="1"/>
  <c r="G5093" i="2" s="1"/>
  <c r="G5094" i="2" s="1"/>
  <c r="G1309" i="2"/>
  <c r="G1310" i="2" s="1"/>
  <c r="G1311" i="2" s="1"/>
  <c r="G1312" i="2" s="1"/>
  <c r="G1313" i="2" s="1"/>
  <c r="G1314" i="2" s="1"/>
  <c r="G1315" i="2" s="1"/>
  <c r="I1189" i="2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3389" i="2"/>
  <c r="I3390" i="2" s="1"/>
  <c r="I3391" i="2" s="1"/>
  <c r="I3392" i="2" s="1"/>
  <c r="I3393" i="2" s="1"/>
  <c r="I3394" i="2" s="1"/>
  <c r="I3395" i="2" s="1"/>
  <c r="I3396" i="2" s="1"/>
  <c r="I3397" i="2" s="1"/>
  <c r="I3398" i="2" s="1"/>
  <c r="I3399" i="2" s="1"/>
  <c r="I3400" i="2" s="1"/>
  <c r="I3401" i="2" s="1"/>
  <c r="I3402" i="2" s="1"/>
  <c r="I3403" i="2" s="1"/>
  <c r="I3404" i="2" s="1"/>
  <c r="I3405" i="2" s="1"/>
  <c r="I3406" i="2" s="1"/>
  <c r="I3407" i="2" s="1"/>
  <c r="I5989" i="2"/>
  <c r="I5990" i="2" s="1"/>
  <c r="I5991" i="2" s="1"/>
  <c r="I5992" i="2" s="1"/>
  <c r="I5993" i="2" s="1"/>
  <c r="I5994" i="2" s="1"/>
  <c r="I5995" i="2" s="1"/>
  <c r="I5996" i="2" s="1"/>
  <c r="I5997" i="2" s="1"/>
  <c r="I5998" i="2" s="1"/>
  <c r="I5999" i="2" s="1"/>
  <c r="I6000" i="2" s="1"/>
  <c r="I1349" i="2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G4249" i="2"/>
  <c r="G4250" i="2" s="1"/>
  <c r="G4251" i="2" s="1"/>
  <c r="G4252" i="2" s="1"/>
  <c r="G4253" i="2" s="1"/>
  <c r="G4254" i="2" s="1"/>
  <c r="I3349" i="2"/>
  <c r="I3350" i="2" s="1"/>
  <c r="I3351" i="2" s="1"/>
  <c r="I3352" i="2" s="1"/>
  <c r="I3353" i="2" s="1"/>
  <c r="I3354" i="2" s="1"/>
  <c r="I3355" i="2" s="1"/>
  <c r="I3356" i="2" s="1"/>
  <c r="I3357" i="2" s="1"/>
  <c r="I3358" i="2" s="1"/>
  <c r="I3359" i="2" s="1"/>
  <c r="I3360" i="2" s="1"/>
  <c r="I3361" i="2" s="1"/>
  <c r="I3362" i="2" s="1"/>
  <c r="I3363" i="2" s="1"/>
  <c r="I3364" i="2" s="1"/>
  <c r="I3365" i="2" s="1"/>
  <c r="I3366" i="2" s="1"/>
  <c r="I3367" i="2" s="1"/>
  <c r="I1709" i="2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G2549" i="2"/>
  <c r="G2550" i="2" s="1"/>
  <c r="G2551" i="2" s="1"/>
  <c r="G2552" i="2" s="1"/>
  <c r="G2553" i="2" s="1"/>
  <c r="G2554" i="2" s="1"/>
  <c r="G2555" i="2" s="1"/>
  <c r="G2669" i="2"/>
  <c r="G2670" i="2" s="1"/>
  <c r="G2671" i="2" s="1"/>
  <c r="G2672" i="2" s="1"/>
  <c r="G2673" i="2" s="1"/>
  <c r="G2674" i="2" s="1"/>
  <c r="I3929" i="2"/>
  <c r="I3930" i="2" s="1"/>
  <c r="I3931" i="2" s="1"/>
  <c r="I3932" i="2" s="1"/>
  <c r="I3933" i="2" s="1"/>
  <c r="I3934" i="2" s="1"/>
  <c r="I3935" i="2" s="1"/>
  <c r="I3936" i="2" s="1"/>
  <c r="I3937" i="2" s="1"/>
  <c r="I3938" i="2" s="1"/>
  <c r="I3939" i="2" s="1"/>
  <c r="I3940" i="2" s="1"/>
  <c r="I3941" i="2" s="1"/>
  <c r="I3942" i="2" s="1"/>
  <c r="I3943" i="2" s="1"/>
  <c r="I3944" i="2" s="1"/>
  <c r="I3945" i="2" s="1"/>
  <c r="I3946" i="2" s="1"/>
  <c r="I3947" i="2" s="1"/>
  <c r="G1509" i="2"/>
  <c r="G1510" i="2" s="1"/>
  <c r="G1511" i="2" s="1"/>
  <c r="G1512" i="2" s="1"/>
  <c r="G1513" i="2" s="1"/>
  <c r="G1514" i="2" s="1"/>
  <c r="G1515" i="2" s="1"/>
  <c r="G4309" i="2"/>
  <c r="G4310" i="2" s="1"/>
  <c r="G4311" i="2" s="1"/>
  <c r="G4312" i="2" s="1"/>
  <c r="G4313" i="2" s="1"/>
  <c r="G4314" i="2" s="1"/>
  <c r="G4315" i="2" s="1"/>
  <c r="G5129" i="2"/>
  <c r="G5130" i="2" s="1"/>
  <c r="G5131" i="2" s="1"/>
  <c r="G5132" i="2" s="1"/>
  <c r="G5133" i="2" s="1"/>
  <c r="G5134" i="2" s="1"/>
  <c r="G5135" i="2" s="1"/>
  <c r="I5289" i="2"/>
  <c r="I5290" i="2" s="1"/>
  <c r="I5291" i="2" s="1"/>
  <c r="I5292" i="2" s="1"/>
  <c r="I5293" i="2" s="1"/>
  <c r="I5294" i="2" s="1"/>
  <c r="I5295" i="2" s="1"/>
  <c r="I5296" i="2" s="1"/>
  <c r="I5297" i="2" s="1"/>
  <c r="I5298" i="2" s="1"/>
  <c r="I5299" i="2" s="1"/>
  <c r="I5300" i="2" s="1"/>
  <c r="I5301" i="2" s="1"/>
  <c r="I5302" i="2" s="1"/>
  <c r="I5303" i="2" s="1"/>
  <c r="I5304" i="2" s="1"/>
  <c r="I5305" i="2" s="1"/>
  <c r="I5306" i="2" s="1"/>
  <c r="I5307" i="2" s="1"/>
  <c r="I3449" i="2"/>
  <c r="I3450" i="2" s="1"/>
  <c r="I3451" i="2" s="1"/>
  <c r="I3452" i="2" s="1"/>
  <c r="I3453" i="2" s="1"/>
  <c r="I3454" i="2" s="1"/>
  <c r="I3455" i="2" s="1"/>
  <c r="I3456" i="2" s="1"/>
  <c r="I3457" i="2" s="1"/>
  <c r="I3458" i="2" s="1"/>
  <c r="I3459" i="2" s="1"/>
  <c r="I3460" i="2" s="1"/>
  <c r="I3461" i="2" s="1"/>
  <c r="I3462" i="2" s="1"/>
  <c r="I3463" i="2" s="1"/>
  <c r="I3464" i="2" s="1"/>
  <c r="I3465" i="2" s="1"/>
  <c r="I3466" i="2" s="1"/>
  <c r="I3467" i="2" s="1"/>
  <c r="I4569" i="2"/>
  <c r="I4570" i="2" s="1"/>
  <c r="I4571" i="2" s="1"/>
  <c r="I4572" i="2" s="1"/>
  <c r="I4573" i="2" s="1"/>
  <c r="I4574" i="2" s="1"/>
  <c r="I4575" i="2" s="1"/>
  <c r="I4576" i="2" s="1"/>
  <c r="I4577" i="2" s="1"/>
  <c r="I4578" i="2" s="1"/>
  <c r="I4579" i="2" s="1"/>
  <c r="I4580" i="2" s="1"/>
  <c r="I4581" i="2" s="1"/>
  <c r="I4582" i="2" s="1"/>
  <c r="I4583" i="2" s="1"/>
  <c r="I4584" i="2" s="1"/>
  <c r="I4585" i="2" s="1"/>
  <c r="I4586" i="2" s="1"/>
  <c r="I4587" i="2" s="1"/>
  <c r="I2489" i="2"/>
  <c r="I2490" i="2" s="1"/>
  <c r="I2491" i="2" s="1"/>
  <c r="I2492" i="2" s="1"/>
  <c r="I2493" i="2" s="1"/>
  <c r="I2494" i="2" s="1"/>
  <c r="I2495" i="2" s="1"/>
  <c r="I2496" i="2" s="1"/>
  <c r="I2497" i="2" s="1"/>
  <c r="I2498" i="2" s="1"/>
  <c r="I2499" i="2" s="1"/>
  <c r="I2500" i="2" s="1"/>
  <c r="I2501" i="2" s="1"/>
  <c r="I2502" i="2" s="1"/>
  <c r="I2503" i="2" s="1"/>
  <c r="I2504" i="2" s="1"/>
  <c r="I2505" i="2" s="1"/>
  <c r="I2506" i="2" s="1"/>
  <c r="I2507" i="2" s="1"/>
  <c r="G3989" i="2"/>
  <c r="G3990" i="2" s="1"/>
  <c r="G3991" i="2" s="1"/>
  <c r="G3992" i="2" s="1"/>
  <c r="G3993" i="2" s="1"/>
  <c r="G3994" i="2" s="1"/>
  <c r="G3995" i="2" s="1"/>
  <c r="G3569" i="2"/>
  <c r="G3570" i="2" s="1"/>
  <c r="G3571" i="2" s="1"/>
  <c r="G3572" i="2" s="1"/>
  <c r="G3573" i="2" s="1"/>
  <c r="G3574" i="2" s="1"/>
  <c r="G3575" i="2" s="1"/>
  <c r="I3789" i="2"/>
  <c r="I3790" i="2" s="1"/>
  <c r="I3791" i="2" s="1"/>
  <c r="I3792" i="2" s="1"/>
  <c r="I3793" i="2" s="1"/>
  <c r="I3794" i="2" s="1"/>
  <c r="I3795" i="2" s="1"/>
  <c r="I3796" i="2" s="1"/>
  <c r="I3797" i="2" s="1"/>
  <c r="I3798" i="2" s="1"/>
  <c r="I3799" i="2" s="1"/>
  <c r="I3800" i="2" s="1"/>
  <c r="I3801" i="2" s="1"/>
  <c r="I3802" i="2" s="1"/>
  <c r="I3803" i="2" s="1"/>
  <c r="I3804" i="2" s="1"/>
  <c r="I3805" i="2" s="1"/>
  <c r="I3806" i="2" s="1"/>
  <c r="I3807" i="2" s="1"/>
  <c r="G5929" i="2"/>
  <c r="G5930" i="2" s="1"/>
  <c r="G5931" i="2" s="1"/>
  <c r="G5932" i="2" s="1"/>
  <c r="G5933" i="2" s="1"/>
  <c r="G5934" i="2" s="1"/>
  <c r="G2029" i="2"/>
  <c r="G2030" i="2" s="1"/>
  <c r="G2031" i="2" s="1"/>
  <c r="G2032" i="2" s="1"/>
  <c r="G2033" i="2" s="1"/>
  <c r="G2034" i="2" s="1"/>
  <c r="G2035" i="2" s="1"/>
  <c r="G2129" i="2"/>
  <c r="G2130" i="2" s="1"/>
  <c r="G2131" i="2" s="1"/>
  <c r="G2132" i="2" s="1"/>
  <c r="G2133" i="2" s="1"/>
  <c r="G2134" i="2" s="1"/>
  <c r="G1709" i="2"/>
  <c r="G1710" i="2" s="1"/>
  <c r="G1711" i="2" s="1"/>
  <c r="G1712" i="2" s="1"/>
  <c r="G1713" i="2" s="1"/>
  <c r="G1714" i="2" s="1"/>
  <c r="G1715" i="2" s="1"/>
  <c r="G1529" i="2"/>
  <c r="G1530" i="2" s="1"/>
  <c r="G1531" i="2" s="1"/>
  <c r="G1532" i="2" s="1"/>
  <c r="G1533" i="2" s="1"/>
  <c r="G1534" i="2" s="1"/>
  <c r="G1689" i="2"/>
  <c r="G1690" i="2" s="1"/>
  <c r="G1691" i="2" s="1"/>
  <c r="G1692" i="2" s="1"/>
  <c r="G1693" i="2" s="1"/>
  <c r="G1694" i="2" s="1"/>
  <c r="G1569" i="2"/>
  <c r="G1570" i="2" s="1"/>
  <c r="G1571" i="2" s="1"/>
  <c r="G1572" i="2" s="1"/>
  <c r="G1573" i="2" s="1"/>
  <c r="G1574" i="2" s="1"/>
  <c r="G1575" i="2" s="1"/>
  <c r="G4049" i="2"/>
  <c r="G4050" i="2" s="1"/>
  <c r="G4051" i="2" s="1"/>
  <c r="G4052" i="2" s="1"/>
  <c r="G4053" i="2" s="1"/>
  <c r="G4054" i="2" s="1"/>
  <c r="G4055" i="2" s="1"/>
  <c r="G4449" i="2"/>
  <c r="G4450" i="2" s="1"/>
  <c r="G4451" i="2" s="1"/>
  <c r="G4452" i="2" s="1"/>
  <c r="G4453" i="2" s="1"/>
  <c r="G4454" i="2" s="1"/>
  <c r="I1469" i="2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G2609" i="2"/>
  <c r="G2610" i="2" s="1"/>
  <c r="G2611" i="2" s="1"/>
  <c r="G2612" i="2" s="1"/>
  <c r="G2613" i="2" s="1"/>
  <c r="G2614" i="2" s="1"/>
  <c r="G5689" i="2"/>
  <c r="G5690" i="2" s="1"/>
  <c r="G5691" i="2" s="1"/>
  <c r="G5692" i="2" s="1"/>
  <c r="G5693" i="2" s="1"/>
  <c r="G5694" i="2" s="1"/>
  <c r="G5695" i="2" s="1"/>
  <c r="I1389" i="2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G3229" i="2"/>
  <c r="G3230" i="2" s="1"/>
  <c r="G3231" i="2" s="1"/>
  <c r="G3232" i="2" s="1"/>
  <c r="G3233" i="2" s="1"/>
  <c r="G3234" i="2" s="1"/>
  <c r="I2109" i="2"/>
  <c r="I2110" i="2" s="1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709" i="2"/>
  <c r="I2710" i="2" s="1"/>
  <c r="I2711" i="2" s="1"/>
  <c r="I2712" i="2" s="1"/>
  <c r="I2713" i="2" s="1"/>
  <c r="I2714" i="2" s="1"/>
  <c r="I2715" i="2" s="1"/>
  <c r="I2716" i="2" s="1"/>
  <c r="I2717" i="2" s="1"/>
  <c r="I2718" i="2" s="1"/>
  <c r="I2719" i="2" s="1"/>
  <c r="I2720" i="2" s="1"/>
  <c r="I2721" i="2" s="1"/>
  <c r="I2722" i="2" s="1"/>
  <c r="I2723" i="2" s="1"/>
  <c r="I2724" i="2" s="1"/>
  <c r="I2725" i="2" s="1"/>
  <c r="I2726" i="2" s="1"/>
  <c r="I2727" i="2" s="1"/>
  <c r="I3169" i="2"/>
  <c r="I3170" i="2" s="1"/>
  <c r="I3171" i="2" s="1"/>
  <c r="I3172" i="2" s="1"/>
  <c r="I3173" i="2" s="1"/>
  <c r="I3174" i="2" s="1"/>
  <c r="I3175" i="2" s="1"/>
  <c r="I3176" i="2" s="1"/>
  <c r="I3177" i="2" s="1"/>
  <c r="I3178" i="2" s="1"/>
  <c r="I3179" i="2" s="1"/>
  <c r="I3180" i="2" s="1"/>
  <c r="I3181" i="2" s="1"/>
  <c r="I3182" i="2" s="1"/>
  <c r="I3183" i="2" s="1"/>
  <c r="I3184" i="2" s="1"/>
  <c r="I3185" i="2" s="1"/>
  <c r="I3186" i="2" s="1"/>
  <c r="I3187" i="2" s="1"/>
  <c r="I5509" i="2"/>
  <c r="I5510" i="2" s="1"/>
  <c r="I5511" i="2" s="1"/>
  <c r="I5512" i="2" s="1"/>
  <c r="I5513" i="2" s="1"/>
  <c r="I5514" i="2" s="1"/>
  <c r="I5515" i="2" s="1"/>
  <c r="I5516" i="2" s="1"/>
  <c r="I5517" i="2" s="1"/>
  <c r="I5518" i="2" s="1"/>
  <c r="I5519" i="2" s="1"/>
  <c r="I5520" i="2" s="1"/>
  <c r="I5521" i="2" s="1"/>
  <c r="I5522" i="2" s="1"/>
  <c r="I5523" i="2" s="1"/>
  <c r="I5524" i="2" s="1"/>
  <c r="I5525" i="2" s="1"/>
  <c r="I5526" i="2" s="1"/>
  <c r="I5527" i="2" s="1"/>
  <c r="I1089" i="2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2049" i="2"/>
  <c r="I2050" i="2" s="1"/>
  <c r="I2051" i="2" s="1"/>
  <c r="I2052" i="2" s="1"/>
  <c r="I2053" i="2" s="1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 s="1"/>
  <c r="I2064" i="2" s="1"/>
  <c r="I2065" i="2" s="1"/>
  <c r="I2066" i="2" s="1"/>
  <c r="I2067" i="2" s="1"/>
  <c r="G4369" i="2"/>
  <c r="G4370" i="2" s="1"/>
  <c r="G4371" i="2" s="1"/>
  <c r="G4372" i="2" s="1"/>
  <c r="G4373" i="2" s="1"/>
  <c r="G4374" i="2" s="1"/>
  <c r="I3209" i="2"/>
  <c r="I3210" i="2" s="1"/>
  <c r="I3211" i="2" s="1"/>
  <c r="I3212" i="2" s="1"/>
  <c r="I3213" i="2" s="1"/>
  <c r="I3214" i="2" s="1"/>
  <c r="I3215" i="2" s="1"/>
  <c r="I3216" i="2" s="1"/>
  <c r="I3217" i="2" s="1"/>
  <c r="I3218" i="2" s="1"/>
  <c r="I3219" i="2" s="1"/>
  <c r="I3220" i="2" s="1"/>
  <c r="I3221" i="2" s="1"/>
  <c r="I3222" i="2" s="1"/>
  <c r="I3223" i="2" s="1"/>
  <c r="I3224" i="2" s="1"/>
  <c r="I3225" i="2" s="1"/>
  <c r="I3226" i="2" s="1"/>
  <c r="I3227" i="2" s="1"/>
  <c r="G5869" i="2"/>
  <c r="G5870" i="2" s="1"/>
  <c r="G5871" i="2" s="1"/>
  <c r="G5872" i="2" s="1"/>
  <c r="G5873" i="2" s="1"/>
  <c r="G5874" i="2" s="1"/>
  <c r="G5875" i="2" s="1"/>
  <c r="I2209" i="2"/>
  <c r="I2210" i="2" s="1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22" i="2" s="1"/>
  <c r="I2223" i="2" s="1"/>
  <c r="I2224" i="2" s="1"/>
  <c r="I2225" i="2" s="1"/>
  <c r="I2226" i="2" s="1"/>
  <c r="I2227" i="2" s="1"/>
  <c r="I1789" i="2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G2949" i="2"/>
  <c r="G2950" i="2" s="1"/>
  <c r="G2951" i="2" s="1"/>
  <c r="G2952" i="2" s="1"/>
  <c r="G2953" i="2" s="1"/>
  <c r="G2954" i="2" s="1"/>
  <c r="G2955" i="2" s="1"/>
  <c r="Z10" i="33"/>
  <c r="Z11" i="33" s="1"/>
  <c r="Z23" i="33" s="1"/>
  <c r="N24" i="33" s="1"/>
  <c r="AA9" i="33"/>
  <c r="AA10" i="33" s="1"/>
  <c r="AA11" i="33" s="1"/>
  <c r="AA23" i="33" s="1"/>
  <c r="O24" i="33" s="1"/>
  <c r="AX21" i="33"/>
  <c r="AX22" i="33" s="1"/>
  <c r="AX23" i="33" s="1"/>
  <c r="N26" i="33" s="1"/>
  <c r="AY20" i="33"/>
  <c r="AY21" i="33" s="1"/>
  <c r="AY22" i="33" s="1"/>
  <c r="AY23" i="33" s="1"/>
  <c r="O26" i="33" s="1"/>
  <c r="AY9" i="32"/>
  <c r="AY10" i="32" s="1"/>
  <c r="AY11" i="32" s="1"/>
  <c r="AY23" i="32" s="1"/>
  <c r="O26" i="32" s="1"/>
  <c r="AX10" i="32"/>
  <c r="AX11" i="32" s="1"/>
  <c r="AX23" i="32" s="1"/>
  <c r="N26" i="32" s="1"/>
  <c r="N21" i="32"/>
  <c r="N22" i="32" s="1"/>
  <c r="N23" i="32" s="1"/>
  <c r="O20" i="32"/>
  <c r="O21" i="32" s="1"/>
  <c r="O22" i="32" s="1"/>
  <c r="O23" i="32" s="1"/>
  <c r="N21" i="29"/>
  <c r="N22" i="29" s="1"/>
  <c r="N23" i="29" s="1"/>
  <c r="O20" i="29"/>
  <c r="O21" i="29" s="1"/>
  <c r="O22" i="29" s="1"/>
  <c r="O23" i="29" s="1"/>
  <c r="N10" i="29"/>
  <c r="N11" i="29" s="1"/>
  <c r="O9" i="29"/>
  <c r="O10" i="29" s="1"/>
  <c r="O11" i="29" s="1"/>
  <c r="M23" i="29"/>
  <c r="AY9" i="29"/>
  <c r="AY10" i="29" s="1"/>
  <c r="AY11" i="29" s="1"/>
  <c r="AX10" i="29"/>
  <c r="AX11" i="29" s="1"/>
  <c r="AL10" i="29"/>
  <c r="AL11" i="29" s="1"/>
  <c r="AL23" i="29" s="1"/>
  <c r="N25" i="29" s="1"/>
  <c r="AM9" i="29"/>
  <c r="AM10" i="29" s="1"/>
  <c r="AM11" i="29" s="1"/>
  <c r="AM23" i="29" s="1"/>
  <c r="O25" i="29" s="1"/>
  <c r="BK9" i="29"/>
  <c r="BK10" i="29" s="1"/>
  <c r="BK11" i="29" s="1"/>
  <c r="BK23" i="29" s="1"/>
  <c r="O27" i="29" s="1"/>
  <c r="BJ10" i="29"/>
  <c r="BJ11" i="29" s="1"/>
  <c r="BJ23" i="29" s="1"/>
  <c r="N27" i="29" s="1"/>
  <c r="AX21" i="29"/>
  <c r="AX22" i="29" s="1"/>
  <c r="AY20" i="29"/>
  <c r="AY21" i="29" s="1"/>
  <c r="AY22" i="29" s="1"/>
  <c r="AY23" i="29" s="1"/>
  <c r="O26" i="29" s="1"/>
  <c r="G5915" i="2"/>
  <c r="G4935" i="2"/>
  <c r="G3615" i="2"/>
  <c r="G1755" i="2"/>
  <c r="G5635" i="2"/>
  <c r="G5055" i="2"/>
  <c r="G2915" i="2"/>
  <c r="G1415" i="2"/>
  <c r="G2195" i="2"/>
  <c r="G3435" i="2"/>
  <c r="G4735" i="2"/>
  <c r="G2715" i="2"/>
  <c r="G3355" i="2"/>
  <c r="G1435" i="2"/>
  <c r="G5395" i="2"/>
  <c r="G3875" i="2"/>
  <c r="G5715" i="2"/>
  <c r="G2535" i="2"/>
  <c r="G1875" i="2"/>
  <c r="G3775" i="2"/>
  <c r="G3315" i="2"/>
  <c r="G3915" i="2"/>
  <c r="G4155" i="2"/>
  <c r="G5655" i="2"/>
  <c r="G5175" i="2"/>
  <c r="G4035" i="2"/>
  <c r="G4835" i="2"/>
  <c r="G3295" i="2"/>
  <c r="G5075" i="2"/>
  <c r="G5995" i="2"/>
  <c r="G3735" i="2"/>
  <c r="G2495" i="2"/>
  <c r="G3695" i="2"/>
  <c r="G1955" i="2"/>
  <c r="G2795" i="2"/>
  <c r="G2775" i="2"/>
  <c r="G2675" i="2"/>
  <c r="G4575" i="2"/>
  <c r="G5955" i="2"/>
  <c r="G5575" i="2"/>
  <c r="G5375" i="2"/>
  <c r="G1535" i="2"/>
  <c r="G4755" i="2"/>
  <c r="G4415" i="2"/>
  <c r="G4375" i="2"/>
  <c r="G3015" i="2"/>
  <c r="G4875" i="2"/>
  <c r="G2015" i="2"/>
  <c r="G3655" i="2"/>
  <c r="G5275" i="2"/>
  <c r="G1975" i="2"/>
  <c r="G2255" i="2"/>
  <c r="G3855" i="2"/>
  <c r="G3455" i="2"/>
  <c r="G5675" i="2"/>
  <c r="G2135" i="2"/>
  <c r="G2695" i="2"/>
  <c r="G1835" i="2"/>
  <c r="G2115" i="2"/>
  <c r="G3055" i="2"/>
  <c r="G2315" i="2"/>
  <c r="G3415" i="2"/>
  <c r="G5795" i="2"/>
  <c r="G4275" i="2"/>
  <c r="G3235" i="2"/>
  <c r="G3115" i="2"/>
  <c r="G1215" i="2"/>
  <c r="G5295" i="2"/>
  <c r="G4855" i="2"/>
  <c r="G1195" i="2"/>
  <c r="G2435" i="2"/>
  <c r="G3635" i="2"/>
  <c r="G4615" i="2"/>
  <c r="G2935" i="2"/>
  <c r="G5155" i="2"/>
  <c r="G2995" i="2"/>
  <c r="G2215" i="2"/>
  <c r="G1635" i="2"/>
  <c r="G3555" i="2"/>
  <c r="G5335" i="2"/>
  <c r="G2655" i="2"/>
  <c r="G2735" i="2"/>
  <c r="G2075" i="2"/>
  <c r="G2355" i="2"/>
  <c r="G2095" i="2"/>
  <c r="G5775" i="2"/>
  <c r="G4675" i="2"/>
  <c r="G2595" i="2"/>
  <c r="G5835" i="2"/>
  <c r="G3075" i="2"/>
  <c r="G3755" i="2"/>
  <c r="G5855" i="2"/>
  <c r="G4135" i="2"/>
  <c r="G2235" i="2"/>
  <c r="G5515" i="2"/>
  <c r="G2175" i="2"/>
  <c r="G4115" i="2"/>
  <c r="G4995" i="2"/>
  <c r="G3495" i="2"/>
  <c r="G3815" i="2"/>
  <c r="G2855" i="2"/>
  <c r="G4555" i="2"/>
  <c r="G1375" i="2"/>
  <c r="G2375" i="2"/>
  <c r="G1735" i="2"/>
  <c r="G1655" i="2"/>
  <c r="G5975" i="2"/>
  <c r="G5215" i="2"/>
  <c r="G2615" i="2"/>
  <c r="G1935" i="2"/>
  <c r="G4435" i="2"/>
  <c r="G5455" i="2"/>
  <c r="G4475" i="2"/>
  <c r="G1495" i="2"/>
  <c r="G3595" i="2"/>
  <c r="G2055" i="2"/>
  <c r="G3215" i="2"/>
  <c r="G5035" i="2"/>
  <c r="G2975" i="2"/>
  <c r="G5755" i="2"/>
  <c r="G5315" i="2"/>
  <c r="G4455" i="2"/>
  <c r="G4335" i="2"/>
  <c r="G1275" i="2"/>
  <c r="G4595" i="2"/>
  <c r="G2395" i="2"/>
  <c r="G2635" i="2"/>
  <c r="G1255" i="2"/>
  <c r="G5735" i="2"/>
  <c r="G4395" i="2"/>
  <c r="G4255" i="2"/>
  <c r="G2815" i="2"/>
  <c r="G1815" i="2"/>
  <c r="G3675" i="2"/>
  <c r="G4355" i="2"/>
  <c r="G1695" i="2"/>
  <c r="G2155" i="2"/>
  <c r="G1995" i="2"/>
  <c r="G4975" i="2"/>
  <c r="G2575" i="2"/>
  <c r="G3395" i="2"/>
  <c r="G2875" i="2"/>
  <c r="G5895" i="2"/>
  <c r="G1915" i="2"/>
  <c r="G3835" i="2"/>
  <c r="G3255" i="2"/>
  <c r="G5595" i="2"/>
  <c r="G5435" i="2"/>
  <c r="G3475" i="2"/>
  <c r="G2895" i="2"/>
  <c r="G3935" i="2"/>
  <c r="G2415" i="2"/>
  <c r="G3195" i="2"/>
  <c r="G1775" i="2"/>
  <c r="G2755" i="2"/>
  <c r="G1455" i="2"/>
  <c r="G1475" i="2"/>
  <c r="G4235" i="2"/>
  <c r="G4495" i="2"/>
  <c r="G3515" i="2"/>
  <c r="G3795" i="2"/>
  <c r="G5095" i="2"/>
  <c r="G3895" i="2"/>
  <c r="G1895" i="2"/>
  <c r="G4815" i="2"/>
  <c r="G3155" i="2"/>
  <c r="G2275" i="2"/>
  <c r="G4915" i="2"/>
  <c r="G2835" i="2"/>
  <c r="G5535" i="2"/>
  <c r="G5115" i="2"/>
  <c r="G5815" i="2"/>
  <c r="G3955" i="2"/>
  <c r="G1295" i="2"/>
  <c r="G4775" i="2"/>
  <c r="G1675" i="2"/>
  <c r="G4515" i="2"/>
  <c r="G4015" i="2"/>
  <c r="G4695" i="2"/>
  <c r="G1355" i="2"/>
  <c r="G4655" i="2"/>
  <c r="G1235" i="2"/>
  <c r="G5935" i="2"/>
  <c r="G5475" i="2"/>
  <c r="T23" i="11"/>
  <c r="H24" i="11" s="1"/>
  <c r="M9" i="20"/>
  <c r="L10" i="20"/>
  <c r="L11" i="20" s="1"/>
  <c r="L23" i="20" s="1"/>
  <c r="M14" i="24"/>
  <c r="L21" i="24"/>
  <c r="L22" i="24" s="1"/>
  <c r="L23" i="24" s="1"/>
  <c r="N10" i="24"/>
  <c r="N11" i="24" s="1"/>
  <c r="O9" i="24"/>
  <c r="O10" i="24" s="1"/>
  <c r="O11" i="24" s="1"/>
  <c r="X21" i="24"/>
  <c r="X22" i="24" s="1"/>
  <c r="X23" i="24" s="1"/>
  <c r="L24" i="24" s="1"/>
  <c r="Y20" i="24"/>
  <c r="AW9" i="24"/>
  <c r="AV10" i="24"/>
  <c r="AV11" i="24" s="1"/>
  <c r="AV20" i="24"/>
  <c r="AU21" i="24"/>
  <c r="AU22" i="24" s="1"/>
  <c r="AU23" i="24" s="1"/>
  <c r="K26" i="24" s="1"/>
  <c r="AK9" i="24"/>
  <c r="AJ10" i="24"/>
  <c r="AJ11" i="24" s="1"/>
  <c r="Y10" i="24"/>
  <c r="Y11" i="24" s="1"/>
  <c r="Z9" i="24"/>
  <c r="O20" i="24"/>
  <c r="AI23" i="24"/>
  <c r="K25" i="24" s="1"/>
  <c r="BI20" i="24"/>
  <c r="BH21" i="24"/>
  <c r="BH22" i="24" s="1"/>
  <c r="BH23" i="24" s="1"/>
  <c r="L27" i="24" s="1"/>
  <c r="AJ21" i="24"/>
  <c r="AJ22" i="24" s="1"/>
  <c r="AK20" i="24"/>
  <c r="V23" i="20"/>
  <c r="J24" i="20" s="1"/>
  <c r="X9" i="20"/>
  <c r="W10" i="20"/>
  <c r="W11" i="20" s="1"/>
  <c r="AL20" i="20"/>
  <c r="AK21" i="20"/>
  <c r="AK22" i="20" s="1"/>
  <c r="AJ10" i="20"/>
  <c r="AJ11" i="20" s="1"/>
  <c r="AJ23" i="20" s="1"/>
  <c r="L25" i="20" s="1"/>
  <c r="AK9" i="20"/>
  <c r="BJ20" i="20"/>
  <c r="BI21" i="20"/>
  <c r="BI22" i="20" s="1"/>
  <c r="BI23" i="20" s="1"/>
  <c r="M27" i="20" s="1"/>
  <c r="M21" i="20"/>
  <c r="M22" i="20" s="1"/>
  <c r="AV20" i="20"/>
  <c r="AU21" i="20"/>
  <c r="AU22" i="20" s="1"/>
  <c r="X20" i="20"/>
  <c r="W21" i="20"/>
  <c r="W22" i="20" s="1"/>
  <c r="AV9" i="20"/>
  <c r="AU10" i="20"/>
  <c r="AU11" i="20" s="1"/>
  <c r="BJ10" i="20"/>
  <c r="BJ11" i="20" s="1"/>
  <c r="BK9" i="20"/>
  <c r="BK10" i="20" s="1"/>
  <c r="BK11" i="20" s="1"/>
  <c r="T23" i="8"/>
  <c r="H24" i="8" s="1"/>
  <c r="AG23" i="14"/>
  <c r="BH20" i="14"/>
  <c r="BG21" i="14"/>
  <c r="BG22" i="14" s="1"/>
  <c r="AI20" i="14"/>
  <c r="AH21" i="14"/>
  <c r="AH22" i="14" s="1"/>
  <c r="AH23" i="14" s="1"/>
  <c r="AU21" i="14"/>
  <c r="AU22" i="14" s="1"/>
  <c r="AV20" i="14"/>
  <c r="AT23" i="14"/>
  <c r="AI9" i="14"/>
  <c r="AH10" i="14"/>
  <c r="AH11" i="14" s="1"/>
  <c r="AU10" i="14"/>
  <c r="AU11" i="14" s="1"/>
  <c r="AV9" i="14"/>
  <c r="BH9" i="14"/>
  <c r="BG10" i="14"/>
  <c r="BG11" i="14" s="1"/>
  <c r="AX9" i="13"/>
  <c r="AW10" i="13"/>
  <c r="AW11" i="13" s="1"/>
  <c r="AI9" i="13"/>
  <c r="AH10" i="13"/>
  <c r="AH11" i="13" s="1"/>
  <c r="BG23" i="13"/>
  <c r="BI9" i="13"/>
  <c r="BH10" i="13"/>
  <c r="BH11" i="13" s="1"/>
  <c r="BI20" i="13"/>
  <c r="BH21" i="13"/>
  <c r="BH22" i="13" s="1"/>
  <c r="AU21" i="13"/>
  <c r="AU22" i="13" s="1"/>
  <c r="AU23" i="13" s="1"/>
  <c r="AV20" i="13"/>
  <c r="AI20" i="13"/>
  <c r="AH21" i="13"/>
  <c r="AH22" i="13" s="1"/>
  <c r="AH23" i="13" s="1"/>
  <c r="AW9" i="12"/>
  <c r="AV10" i="12"/>
  <c r="AV11" i="12" s="1"/>
  <c r="AI20" i="12"/>
  <c r="AH21" i="12"/>
  <c r="AH22" i="12" s="1"/>
  <c r="AI9" i="12"/>
  <c r="AH10" i="12"/>
  <c r="AH11" i="12" s="1"/>
  <c r="AW20" i="12"/>
  <c r="AV21" i="12"/>
  <c r="AV22" i="12" s="1"/>
  <c r="BG20" i="12"/>
  <c r="BF21" i="12"/>
  <c r="BF22" i="12" s="1"/>
  <c r="BF23" i="12" s="1"/>
  <c r="BI9" i="12"/>
  <c r="BH10" i="12"/>
  <c r="BH11" i="12" s="1"/>
  <c r="BG20" i="11"/>
  <c r="BF21" i="11"/>
  <c r="BF22" i="11" s="1"/>
  <c r="BF23" i="11" s="1"/>
  <c r="BI9" i="11"/>
  <c r="BH10" i="11"/>
  <c r="BH11" i="11" s="1"/>
  <c r="AG23" i="11"/>
  <c r="AI9" i="11"/>
  <c r="AH10" i="11"/>
  <c r="AH11" i="11" s="1"/>
  <c r="AI20" i="11"/>
  <c r="AH21" i="11"/>
  <c r="AH22" i="11" s="1"/>
  <c r="AT10" i="11"/>
  <c r="AT11" i="11" s="1"/>
  <c r="AU9" i="11"/>
  <c r="AT21" i="11"/>
  <c r="AT22" i="11" s="1"/>
  <c r="AU20" i="11"/>
  <c r="AW9" i="10"/>
  <c r="AV10" i="10"/>
  <c r="AV11" i="10" s="1"/>
  <c r="AI20" i="10"/>
  <c r="AH21" i="10"/>
  <c r="AH22" i="10" s="1"/>
  <c r="BI9" i="10"/>
  <c r="BH10" i="10"/>
  <c r="BH11" i="10" s="1"/>
  <c r="AI9" i="10"/>
  <c r="AH10" i="10"/>
  <c r="AH11" i="10" s="1"/>
  <c r="AW20" i="10"/>
  <c r="AV21" i="10"/>
  <c r="AV22" i="10" s="1"/>
  <c r="AV23" i="10" s="1"/>
  <c r="AU23" i="10"/>
  <c r="BG20" i="10"/>
  <c r="BF21" i="10"/>
  <c r="BF22" i="10" s="1"/>
  <c r="BF23" i="10" s="1"/>
  <c r="AU21" i="9"/>
  <c r="AU22" i="9" s="1"/>
  <c r="AV20" i="9"/>
  <c r="BE23" i="9"/>
  <c r="BG20" i="9"/>
  <c r="BF21" i="9"/>
  <c r="BF22" i="9" s="1"/>
  <c r="AI9" i="9"/>
  <c r="AH10" i="9"/>
  <c r="AH11" i="9" s="1"/>
  <c r="AV9" i="9"/>
  <c r="AU10" i="9"/>
  <c r="AU11" i="9" s="1"/>
  <c r="BG9" i="9"/>
  <c r="BF10" i="9"/>
  <c r="BF11" i="9" s="1"/>
  <c r="AI20" i="9"/>
  <c r="AH21" i="9"/>
  <c r="AH22" i="9" s="1"/>
  <c r="AI20" i="8"/>
  <c r="AH21" i="8"/>
  <c r="AH22" i="8" s="1"/>
  <c r="AH23" i="8" s="1"/>
  <c r="AV9" i="8"/>
  <c r="AU10" i="8"/>
  <c r="AU11" i="8" s="1"/>
  <c r="BG9" i="8"/>
  <c r="BF10" i="8"/>
  <c r="BF11" i="8" s="1"/>
  <c r="AV20" i="8"/>
  <c r="AU21" i="8"/>
  <c r="AU22" i="8" s="1"/>
  <c r="AU23" i="8" s="1"/>
  <c r="BG20" i="8"/>
  <c r="BF21" i="8"/>
  <c r="BF22" i="8" s="1"/>
  <c r="BF23" i="8" s="1"/>
  <c r="AI10" i="8"/>
  <c r="AI11" i="8" s="1"/>
  <c r="AJ9" i="8"/>
  <c r="BG20" i="7"/>
  <c r="BF21" i="7"/>
  <c r="BF22" i="7" s="1"/>
  <c r="BF23" i="7" s="1"/>
  <c r="AV20" i="7"/>
  <c r="AU21" i="7"/>
  <c r="AU22" i="7" s="1"/>
  <c r="AU23" i="7" s="1"/>
  <c r="AT23" i="7"/>
  <c r="AG23" i="7"/>
  <c r="BG9" i="7"/>
  <c r="BF10" i="7"/>
  <c r="BF11" i="7" s="1"/>
  <c r="AI20" i="7"/>
  <c r="AH21" i="7"/>
  <c r="AH22" i="7" s="1"/>
  <c r="AH23" i="7" s="1"/>
  <c r="AV9" i="7"/>
  <c r="AU10" i="7"/>
  <c r="AU11" i="7" s="1"/>
  <c r="BE23" i="7"/>
  <c r="AI9" i="7"/>
  <c r="AH10" i="7"/>
  <c r="AH11" i="7" s="1"/>
  <c r="AI20" i="3"/>
  <c r="AH21" i="3"/>
  <c r="AH22" i="3" s="1"/>
  <c r="AH23" i="3" s="1"/>
  <c r="J25" i="3" s="1"/>
  <c r="AX20" i="3"/>
  <c r="AW21" i="3"/>
  <c r="AW22" i="3" s="1"/>
  <c r="BI9" i="3"/>
  <c r="BH10" i="3"/>
  <c r="BH11" i="3" s="1"/>
  <c r="AI9" i="3"/>
  <c r="AH10" i="3"/>
  <c r="AH11" i="3" s="1"/>
  <c r="BG20" i="3"/>
  <c r="BF21" i="3"/>
  <c r="BF22" i="3" s="1"/>
  <c r="BF23" i="3" s="1"/>
  <c r="J27" i="3" s="1"/>
  <c r="AV9" i="3"/>
  <c r="AU10" i="3"/>
  <c r="AU11" i="3" s="1"/>
  <c r="AU23" i="3" s="1"/>
  <c r="K26" i="3" s="1"/>
  <c r="V9" i="8"/>
  <c r="U10" i="8"/>
  <c r="U11" i="8" s="1"/>
  <c r="U21" i="8"/>
  <c r="U22" i="8" s="1"/>
  <c r="V20" i="8"/>
  <c r="V9" i="14"/>
  <c r="U10" i="14"/>
  <c r="U11" i="14" s="1"/>
  <c r="U21" i="14"/>
  <c r="U22" i="14" s="1"/>
  <c r="V20" i="14"/>
  <c r="T23" i="14"/>
  <c r="V10" i="13"/>
  <c r="V11" i="13" s="1"/>
  <c r="V23" i="13" s="1"/>
  <c r="J24" i="13" s="1"/>
  <c r="W9" i="13"/>
  <c r="W21" i="13"/>
  <c r="W22" i="13" s="1"/>
  <c r="X20" i="13"/>
  <c r="U21" i="12"/>
  <c r="U22" i="12" s="1"/>
  <c r="V20" i="12"/>
  <c r="U10" i="12"/>
  <c r="U11" i="12" s="1"/>
  <c r="V9" i="12"/>
  <c r="U10" i="11"/>
  <c r="U11" i="11" s="1"/>
  <c r="V9" i="11"/>
  <c r="U21" i="11"/>
  <c r="U22" i="11" s="1"/>
  <c r="V20" i="11"/>
  <c r="V21" i="10"/>
  <c r="V22" i="10" s="1"/>
  <c r="W20" i="10"/>
  <c r="U10" i="10"/>
  <c r="U11" i="10" s="1"/>
  <c r="U23" i="10" s="1"/>
  <c r="V9" i="10"/>
  <c r="V9" i="9"/>
  <c r="U10" i="9"/>
  <c r="U11" i="9" s="1"/>
  <c r="T23" i="9"/>
  <c r="U21" i="9"/>
  <c r="U22" i="9" s="1"/>
  <c r="U23" i="9" s="1"/>
  <c r="V20" i="9"/>
  <c r="U10" i="7"/>
  <c r="U11" i="7" s="1"/>
  <c r="U23" i="7" s="1"/>
  <c r="V9" i="7"/>
  <c r="W21" i="7"/>
  <c r="W22" i="7" s="1"/>
  <c r="X20" i="7"/>
  <c r="U9" i="3"/>
  <c r="T10" i="3"/>
  <c r="T11" i="3" s="1"/>
  <c r="T21" i="3"/>
  <c r="T22" i="3" s="1"/>
  <c r="T23" i="3" s="1"/>
  <c r="U20" i="3"/>
  <c r="S23" i="3"/>
  <c r="BC21" i="1"/>
  <c r="BC22" i="1" s="1"/>
  <c r="BD20" i="1"/>
  <c r="BD10" i="1"/>
  <c r="BD11" i="1" s="1"/>
  <c r="BE9" i="1"/>
  <c r="AR21" i="1"/>
  <c r="AR22" i="1" s="1"/>
  <c r="AS20" i="1"/>
  <c r="AH9" i="1"/>
  <c r="AG10" i="1"/>
  <c r="AG11" i="1" s="1"/>
  <c r="U9" i="1"/>
  <c r="T10" i="1"/>
  <c r="T11" i="1" s="1"/>
  <c r="AE21" i="1"/>
  <c r="AE22" i="1" s="1"/>
  <c r="AE23" i="1" s="1"/>
  <c r="G25" i="1" s="1"/>
  <c r="AG20" i="1"/>
  <c r="AF21" i="1"/>
  <c r="AF22" i="1" s="1"/>
  <c r="AF23" i="1" s="1"/>
  <c r="H25" i="1" s="1"/>
  <c r="S21" i="1"/>
  <c r="S22" i="1" s="1"/>
  <c r="S23" i="1" s="1"/>
  <c r="G24" i="1" s="1"/>
  <c r="U20" i="1"/>
  <c r="T21" i="1"/>
  <c r="T22" i="1" s="1"/>
  <c r="B61" i="1"/>
  <c r="A61" i="1"/>
  <c r="H56" i="1"/>
  <c r="B54" i="1"/>
  <c r="A54" i="1"/>
  <c r="H53" i="1"/>
  <c r="B53" i="1"/>
  <c r="A53" i="1"/>
  <c r="H52" i="1"/>
  <c r="B52" i="1"/>
  <c r="A52" i="1"/>
  <c r="G35" i="9"/>
  <c r="H35" i="9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B54" i="6"/>
  <c r="A54" i="6"/>
  <c r="B53" i="6"/>
  <c r="A53" i="6"/>
  <c r="B52" i="6"/>
  <c r="A52" i="6"/>
  <c r="B34" i="6"/>
  <c r="A34" i="6"/>
  <c r="B33" i="6"/>
  <c r="A33" i="6"/>
  <c r="B32" i="6"/>
  <c r="A32" i="6"/>
  <c r="M928" i="2"/>
  <c r="N908" i="2"/>
  <c r="N928" i="2"/>
  <c r="M908" i="2"/>
  <c r="N888" i="2"/>
  <c r="M888" i="2"/>
  <c r="M868" i="2"/>
  <c r="N868" i="2"/>
  <c r="N848" i="2"/>
  <c r="M848" i="2"/>
  <c r="M828" i="2"/>
  <c r="N808" i="2"/>
  <c r="M808" i="2"/>
  <c r="N828" i="2"/>
  <c r="M788" i="2"/>
  <c r="N788" i="2"/>
  <c r="M768" i="2"/>
  <c r="N768" i="2"/>
  <c r="M748" i="2"/>
  <c r="N748" i="2"/>
  <c r="M728" i="2"/>
  <c r="N728" i="2"/>
  <c r="M708" i="2"/>
  <c r="N708" i="2"/>
  <c r="M688" i="2"/>
  <c r="N688" i="2"/>
  <c r="M668" i="2"/>
  <c r="N668" i="2"/>
  <c r="M648" i="2"/>
  <c r="N648" i="2"/>
  <c r="M628" i="2"/>
  <c r="N628" i="2"/>
  <c r="M608" i="2"/>
  <c r="N608" i="2"/>
  <c r="M588" i="2"/>
  <c r="N588" i="2"/>
  <c r="M568" i="2"/>
  <c r="N568" i="2"/>
  <c r="M548" i="2"/>
  <c r="N548" i="2"/>
  <c r="M528" i="2"/>
  <c r="N528" i="2"/>
  <c r="M508" i="2"/>
  <c r="N508" i="2"/>
  <c r="M488" i="2"/>
  <c r="N488" i="2"/>
  <c r="M468" i="2"/>
  <c r="N468" i="2"/>
  <c r="M448" i="2"/>
  <c r="N448" i="2"/>
  <c r="M428" i="2"/>
  <c r="N428" i="2"/>
  <c r="M408" i="2"/>
  <c r="N408" i="2"/>
  <c r="M388" i="2"/>
  <c r="N388" i="2"/>
  <c r="M368" i="2"/>
  <c r="N368" i="2"/>
  <c r="M348" i="2"/>
  <c r="N348" i="2"/>
  <c r="M328" i="2"/>
  <c r="N328" i="2"/>
  <c r="M308" i="2"/>
  <c r="N308" i="2"/>
  <c r="M288" i="2"/>
  <c r="N288" i="2"/>
  <c r="M268" i="2"/>
  <c r="N268" i="2"/>
  <c r="M248" i="2"/>
  <c r="N248" i="2"/>
  <c r="M228" i="2"/>
  <c r="N228" i="2"/>
  <c r="M208" i="2"/>
  <c r="N208" i="2"/>
  <c r="M188" i="2"/>
  <c r="N188" i="2"/>
  <c r="M168" i="2"/>
  <c r="N168" i="2"/>
  <c r="M148" i="2"/>
  <c r="N148" i="2"/>
  <c r="M128" i="2"/>
  <c r="N128" i="2"/>
  <c r="M108" i="2"/>
  <c r="N108" i="2"/>
  <c r="M88" i="2"/>
  <c r="N88" i="2"/>
  <c r="M68" i="2"/>
  <c r="N68" i="2"/>
  <c r="M48" i="2"/>
  <c r="N48" i="2"/>
  <c r="M28" i="2"/>
  <c r="N28" i="2"/>
  <c r="M8" i="2"/>
  <c r="N8" i="2"/>
  <c r="F3" i="16"/>
  <c r="F6" i="16"/>
  <c r="F7" i="16"/>
  <c r="F2" i="16"/>
  <c r="F5" i="16"/>
  <c r="F4" i="16"/>
  <c r="F8" i="16"/>
  <c r="F53" i="16"/>
  <c r="F10" i="16"/>
  <c r="F9" i="16"/>
  <c r="F23" i="16"/>
  <c r="F17" i="16"/>
  <c r="F16" i="16"/>
  <c r="F35" i="16"/>
  <c r="F15" i="16"/>
  <c r="F12" i="16"/>
  <c r="F25" i="16"/>
  <c r="F27" i="16"/>
  <c r="F28" i="16"/>
  <c r="F14" i="16"/>
  <c r="F24" i="16"/>
  <c r="F51" i="16"/>
  <c r="F32" i="16"/>
  <c r="F36" i="16"/>
  <c r="F22" i="16"/>
  <c r="F26" i="16"/>
  <c r="F30" i="16"/>
  <c r="F20" i="16"/>
  <c r="F34" i="16"/>
  <c r="F13" i="16"/>
  <c r="F18" i="16"/>
  <c r="F31" i="16"/>
  <c r="F11" i="16"/>
  <c r="F19" i="16"/>
  <c r="F21" i="16"/>
  <c r="F33" i="16"/>
  <c r="F29" i="16"/>
  <c r="F37" i="16"/>
  <c r="F38" i="16"/>
  <c r="F45" i="16"/>
  <c r="F43" i="16"/>
  <c r="F40" i="16"/>
  <c r="F49" i="16"/>
  <c r="F44" i="16"/>
  <c r="F46" i="16"/>
  <c r="F48" i="16"/>
  <c r="F41" i="16"/>
  <c r="F47" i="16"/>
  <c r="F42" i="16"/>
  <c r="F52" i="16"/>
  <c r="F39" i="16"/>
  <c r="F55" i="16"/>
  <c r="F54" i="16"/>
  <c r="F56" i="16"/>
  <c r="F57" i="16"/>
  <c r="F58" i="16"/>
  <c r="AX23" i="29" l="1"/>
  <c r="N26" i="29" s="1"/>
  <c r="G5416" i="2"/>
  <c r="G4016" i="2"/>
  <c r="G4916" i="2"/>
  <c r="G3896" i="2"/>
  <c r="G3516" i="2"/>
  <c r="G4236" i="2"/>
  <c r="G4956" i="2"/>
  <c r="G2416" i="2"/>
  <c r="G3476" i="2"/>
  <c r="G4976" i="2"/>
  <c r="G2636" i="2"/>
  <c r="G1276" i="2"/>
  <c r="G4456" i="2"/>
  <c r="G4476" i="2"/>
  <c r="G2176" i="2"/>
  <c r="G2356" i="2"/>
  <c r="G2656" i="2"/>
  <c r="G1216" i="2"/>
  <c r="G3416" i="2"/>
  <c r="G1336" i="2"/>
  <c r="G1156" i="2"/>
  <c r="G5576" i="2"/>
  <c r="G1396" i="2"/>
  <c r="G4156" i="2"/>
  <c r="G2536" i="2"/>
  <c r="G4736" i="2"/>
  <c r="G5356" i="2"/>
  <c r="G3996" i="2"/>
  <c r="G5476" i="2"/>
  <c r="G4656" i="2"/>
  <c r="G3956" i="2"/>
  <c r="G4316" i="2"/>
  <c r="G3276" i="2"/>
  <c r="G3836" i="2"/>
  <c r="G2456" i="2"/>
  <c r="G2816" i="2"/>
  <c r="G5736" i="2"/>
  <c r="G5756" i="2"/>
  <c r="G5216" i="2"/>
  <c r="G1736" i="2"/>
  <c r="G4556" i="2"/>
  <c r="G2996" i="2"/>
  <c r="G4616" i="2"/>
  <c r="G1196" i="2"/>
  <c r="G3236" i="2"/>
  <c r="G2256" i="2"/>
  <c r="G4376" i="2"/>
  <c r="G1536" i="2"/>
  <c r="G5956" i="2"/>
  <c r="G4576" i="2"/>
  <c r="G2776" i="2"/>
  <c r="G4176" i="2"/>
  <c r="G2196" i="2"/>
  <c r="G1716" i="2"/>
  <c r="G4776" i="2"/>
  <c r="G1476" i="2"/>
  <c r="G3336" i="2"/>
  <c r="G3936" i="2"/>
  <c r="G3256" i="2"/>
  <c r="G1916" i="2"/>
  <c r="G3396" i="2"/>
  <c r="G2576" i="2"/>
  <c r="G3676" i="2"/>
  <c r="G5316" i="2"/>
  <c r="G3216" i="2"/>
  <c r="G5256" i="2"/>
  <c r="G4716" i="2"/>
  <c r="G3496" i="2"/>
  <c r="G5696" i="2"/>
  <c r="G3076" i="2"/>
  <c r="G2596" i="2"/>
  <c r="G5776" i="2"/>
  <c r="G2076" i="2"/>
  <c r="G1636" i="2"/>
  <c r="G5016" i="2"/>
  <c r="G2136" i="2"/>
  <c r="G5276" i="2"/>
  <c r="G1856" i="2"/>
  <c r="G3656" i="2"/>
  <c r="G2496" i="2"/>
  <c r="G5996" i="2"/>
  <c r="G5656" i="2"/>
  <c r="G1876" i="2"/>
  <c r="G3876" i="2"/>
  <c r="G3356" i="2"/>
  <c r="G5636" i="2"/>
  <c r="G1356" i="2"/>
  <c r="G4516" i="2"/>
  <c r="G1296" i="2"/>
  <c r="G5816" i="2"/>
  <c r="G5536" i="2"/>
  <c r="G4816" i="2"/>
  <c r="G5096" i="2"/>
  <c r="G1776" i="2"/>
  <c r="G5436" i="2"/>
  <c r="G1996" i="2"/>
  <c r="G1696" i="2"/>
  <c r="G2396" i="2"/>
  <c r="G2976" i="2"/>
  <c r="G2056" i="2"/>
  <c r="G2036" i="2"/>
  <c r="G3976" i="2"/>
  <c r="G4096" i="2"/>
  <c r="G5976" i="2"/>
  <c r="G2376" i="2"/>
  <c r="G2856" i="2"/>
  <c r="G5516" i="2"/>
  <c r="G4136" i="2"/>
  <c r="G5156" i="2"/>
  <c r="G3636" i="2"/>
  <c r="G4856" i="2"/>
  <c r="G3376" i="2"/>
  <c r="G1516" i="2"/>
  <c r="G2316" i="2"/>
  <c r="G2116" i="2"/>
  <c r="G3456" i="2"/>
  <c r="G2296" i="2"/>
  <c r="G1176" i="2"/>
  <c r="G5376" i="2"/>
  <c r="G2796" i="2"/>
  <c r="G3296" i="2"/>
  <c r="G4036" i="2"/>
  <c r="G1316" i="2"/>
  <c r="G3916" i="2"/>
  <c r="G5396" i="2"/>
  <c r="G5196" i="2"/>
  <c r="G1416" i="2"/>
  <c r="G4936" i="2"/>
  <c r="G1236" i="2"/>
  <c r="G2276" i="2"/>
  <c r="G1896" i="2"/>
  <c r="G4896" i="2"/>
  <c r="G3536" i="2"/>
  <c r="G1556" i="2"/>
  <c r="G4256" i="2"/>
  <c r="G5456" i="2"/>
  <c r="G5856" i="2"/>
  <c r="G3576" i="2"/>
  <c r="G2096" i="2"/>
  <c r="G2216" i="2"/>
  <c r="G1836" i="2"/>
  <c r="G2016" i="2"/>
  <c r="G4876" i="2"/>
  <c r="G4416" i="2"/>
  <c r="G3716" i="2"/>
  <c r="G2676" i="2"/>
  <c r="G4536" i="2"/>
  <c r="G5076" i="2"/>
  <c r="G4836" i="2"/>
  <c r="G3316" i="2"/>
  <c r="G5056" i="2"/>
  <c r="G1756" i="2"/>
  <c r="G5936" i="2"/>
  <c r="G1576" i="2"/>
  <c r="G3796" i="2"/>
  <c r="G4496" i="2"/>
  <c r="G3176" i="2"/>
  <c r="G2476" i="2"/>
  <c r="G2756" i="2"/>
  <c r="G3196" i="2"/>
  <c r="G5896" i="2"/>
  <c r="G5556" i="2"/>
  <c r="G4596" i="2"/>
  <c r="G4336" i="2"/>
  <c r="G1496" i="2"/>
  <c r="G1616" i="2"/>
  <c r="G1656" i="2"/>
  <c r="G1376" i="2"/>
  <c r="G4996" i="2"/>
  <c r="G4116" i="2"/>
  <c r="G2736" i="2"/>
  <c r="G5336" i="2"/>
  <c r="G2936" i="2"/>
  <c r="G2436" i="2"/>
  <c r="G5296" i="2"/>
  <c r="G4276" i="2"/>
  <c r="G1796" i="2"/>
  <c r="G3136" i="2"/>
  <c r="G3016" i="2"/>
  <c r="G4756" i="2"/>
  <c r="G4196" i="2"/>
  <c r="G2516" i="2"/>
  <c r="G2716" i="2"/>
  <c r="G2916" i="2"/>
  <c r="G4696" i="2"/>
  <c r="G5116" i="2"/>
  <c r="G2836" i="2"/>
  <c r="G3156" i="2"/>
  <c r="G2896" i="2"/>
  <c r="G5596" i="2"/>
  <c r="G2876" i="2"/>
  <c r="G4636" i="2"/>
  <c r="G4396" i="2"/>
  <c r="G1256" i="2"/>
  <c r="G3596" i="2"/>
  <c r="G5136" i="2"/>
  <c r="G4436" i="2"/>
  <c r="G1936" i="2"/>
  <c r="G2336" i="2"/>
  <c r="G2236" i="2"/>
  <c r="G4676" i="2"/>
  <c r="G3556" i="2"/>
  <c r="G4796" i="2"/>
  <c r="G3856" i="2"/>
  <c r="G1976" i="2"/>
  <c r="G1956" i="2"/>
  <c r="G3736" i="2"/>
  <c r="G5176" i="2"/>
  <c r="G5716" i="2"/>
  <c r="G1436" i="2"/>
  <c r="G3436" i="2"/>
  <c r="G1676" i="2"/>
  <c r="G5876" i="2"/>
  <c r="G5496" i="2"/>
  <c r="G5616" i="2"/>
  <c r="G3036" i="2"/>
  <c r="G1456" i="2"/>
  <c r="G2556" i="2"/>
  <c r="G2156" i="2"/>
  <c r="G4356" i="2"/>
  <c r="G1816" i="2"/>
  <c r="G5036" i="2"/>
  <c r="G3096" i="2"/>
  <c r="G2616" i="2"/>
  <c r="G3816" i="2"/>
  <c r="G2956" i="2"/>
  <c r="G3756" i="2"/>
  <c r="G5836" i="2"/>
  <c r="G3116" i="2"/>
  <c r="G5796" i="2"/>
  <c r="G3056" i="2"/>
  <c r="G2696" i="2"/>
  <c r="G5676" i="2"/>
  <c r="G4076" i="2"/>
  <c r="G4216" i="2"/>
  <c r="G4296" i="2"/>
  <c r="G5236" i="2"/>
  <c r="G3696" i="2"/>
  <c r="G4056" i="2"/>
  <c r="G3776" i="2"/>
  <c r="G1596" i="2"/>
  <c r="G3616" i="2"/>
  <c r="G5916" i="2"/>
  <c r="N9" i="20"/>
  <c r="N10" i="20" s="1"/>
  <c r="N11" i="20" s="1"/>
  <c r="M10" i="20"/>
  <c r="M11" i="20" s="1"/>
  <c r="M23" i="20" s="1"/>
  <c r="AJ23" i="24"/>
  <c r="L25" i="24" s="1"/>
  <c r="AX9" i="24"/>
  <c r="AW10" i="24"/>
  <c r="AW11" i="24" s="1"/>
  <c r="Z10" i="24"/>
  <c r="Z11" i="24" s="1"/>
  <c r="AA9" i="24"/>
  <c r="AA10" i="24" s="1"/>
  <c r="AA11" i="24" s="1"/>
  <c r="Z20" i="24"/>
  <c r="Y21" i="24"/>
  <c r="Y22" i="24" s="1"/>
  <c r="Y23" i="24" s="1"/>
  <c r="M24" i="24" s="1"/>
  <c r="AL20" i="24"/>
  <c r="AK21" i="24"/>
  <c r="AK22" i="24" s="1"/>
  <c r="AL9" i="24"/>
  <c r="AK10" i="24"/>
  <c r="AK11" i="24" s="1"/>
  <c r="BJ20" i="24"/>
  <c r="BI21" i="24"/>
  <c r="BI22" i="24" s="1"/>
  <c r="BI23" i="24" s="1"/>
  <c r="M27" i="24" s="1"/>
  <c r="AV21" i="24"/>
  <c r="AV22" i="24" s="1"/>
  <c r="AV23" i="24" s="1"/>
  <c r="L26" i="24" s="1"/>
  <c r="AW20" i="24"/>
  <c r="N14" i="24"/>
  <c r="M21" i="24"/>
  <c r="M22" i="24" s="1"/>
  <c r="M23" i="24" s="1"/>
  <c r="W23" i="20"/>
  <c r="K24" i="20" s="1"/>
  <c r="AL9" i="20"/>
  <c r="AK10" i="20"/>
  <c r="AK11" i="20" s="1"/>
  <c r="AK23" i="20" s="1"/>
  <c r="M25" i="20" s="1"/>
  <c r="BK20" i="20"/>
  <c r="BK21" i="20" s="1"/>
  <c r="BK22" i="20" s="1"/>
  <c r="BK23" i="20" s="1"/>
  <c r="O27" i="20" s="1"/>
  <c r="BJ21" i="20"/>
  <c r="BJ22" i="20" s="1"/>
  <c r="BJ23" i="20" s="1"/>
  <c r="N27" i="20" s="1"/>
  <c r="X21" i="20"/>
  <c r="X22" i="20" s="1"/>
  <c r="Y20" i="20"/>
  <c r="AU23" i="20"/>
  <c r="K26" i="20" s="1"/>
  <c r="AV21" i="20"/>
  <c r="AV22" i="20" s="1"/>
  <c r="AW20" i="20"/>
  <c r="O20" i="20"/>
  <c r="O21" i="20" s="1"/>
  <c r="O22" i="20" s="1"/>
  <c r="N21" i="20"/>
  <c r="N22" i="20" s="1"/>
  <c r="AL21" i="20"/>
  <c r="AL22" i="20" s="1"/>
  <c r="AM20" i="20"/>
  <c r="AM21" i="20" s="1"/>
  <c r="AM22" i="20" s="1"/>
  <c r="AV10" i="20"/>
  <c r="AV11" i="20" s="1"/>
  <c r="AW9" i="20"/>
  <c r="X10" i="20"/>
  <c r="X11" i="20" s="1"/>
  <c r="Y9" i="20"/>
  <c r="U23" i="8"/>
  <c r="I24" i="8" s="1"/>
  <c r="AW20" i="14"/>
  <c r="AV21" i="14"/>
  <c r="AV22" i="14" s="1"/>
  <c r="AU23" i="14"/>
  <c r="BI9" i="14"/>
  <c r="BH10" i="14"/>
  <c r="BH11" i="14" s="1"/>
  <c r="AW9" i="14"/>
  <c r="AV10" i="14"/>
  <c r="AV11" i="14" s="1"/>
  <c r="AI21" i="14"/>
  <c r="AI22" i="14" s="1"/>
  <c r="AI23" i="14" s="1"/>
  <c r="AJ20" i="14"/>
  <c r="BG23" i="14"/>
  <c r="BI20" i="14"/>
  <c r="BH21" i="14"/>
  <c r="BH22" i="14" s="1"/>
  <c r="BH23" i="14" s="1"/>
  <c r="AJ9" i="14"/>
  <c r="AI10" i="14"/>
  <c r="AI11" i="14" s="1"/>
  <c r="BJ20" i="13"/>
  <c r="BI21" i="13"/>
  <c r="BI22" i="13" s="1"/>
  <c r="BI23" i="13" s="1"/>
  <c r="BJ9" i="13"/>
  <c r="BI10" i="13"/>
  <c r="BI11" i="13" s="1"/>
  <c r="AI21" i="13"/>
  <c r="AI22" i="13" s="1"/>
  <c r="AI23" i="13" s="1"/>
  <c r="AJ20" i="13"/>
  <c r="AW20" i="13"/>
  <c r="AV21" i="13"/>
  <c r="AV22" i="13" s="1"/>
  <c r="AV23" i="13" s="1"/>
  <c r="AI10" i="13"/>
  <c r="AI11" i="13" s="1"/>
  <c r="AJ9" i="13"/>
  <c r="BH23" i="13"/>
  <c r="AY9" i="13"/>
  <c r="AY10" i="13" s="1"/>
  <c r="AY11" i="13" s="1"/>
  <c r="AX10" i="13"/>
  <c r="AX11" i="13" s="1"/>
  <c r="AV23" i="12"/>
  <c r="AX20" i="12"/>
  <c r="AW21" i="12"/>
  <c r="AW22" i="12" s="1"/>
  <c r="AI10" i="12"/>
  <c r="AI11" i="12" s="1"/>
  <c r="AJ9" i="12"/>
  <c r="AH23" i="12"/>
  <c r="BJ9" i="12"/>
  <c r="BI10" i="12"/>
  <c r="BI11" i="12" s="1"/>
  <c r="AI21" i="12"/>
  <c r="AI22" i="12" s="1"/>
  <c r="AJ20" i="12"/>
  <c r="BH20" i="12"/>
  <c r="BG21" i="12"/>
  <c r="BG22" i="12" s="1"/>
  <c r="BG23" i="12" s="1"/>
  <c r="AX9" i="12"/>
  <c r="AW10" i="12"/>
  <c r="AW11" i="12" s="1"/>
  <c r="AI21" i="11"/>
  <c r="AI22" i="11" s="1"/>
  <c r="AI23" i="11" s="1"/>
  <c r="AJ20" i="11"/>
  <c r="AI10" i="11"/>
  <c r="AI11" i="11" s="1"/>
  <c r="AJ9" i="11"/>
  <c r="AV20" i="11"/>
  <c r="AU21" i="11"/>
  <c r="AU22" i="11" s="1"/>
  <c r="AT23" i="11"/>
  <c r="AV9" i="11"/>
  <c r="AU10" i="11"/>
  <c r="AU11" i="11" s="1"/>
  <c r="BJ9" i="11"/>
  <c r="BI10" i="11"/>
  <c r="BI11" i="11" s="1"/>
  <c r="AH23" i="11"/>
  <c r="BH20" i="11"/>
  <c r="BG21" i="11"/>
  <c r="BG22" i="11" s="1"/>
  <c r="BG23" i="11" s="1"/>
  <c r="AI10" i="10"/>
  <c r="AI11" i="10" s="1"/>
  <c r="AJ9" i="10"/>
  <c r="BJ9" i="10"/>
  <c r="BI10" i="10"/>
  <c r="BI11" i="10" s="1"/>
  <c r="BH20" i="10"/>
  <c r="BG21" i="10"/>
  <c r="BG22" i="10" s="1"/>
  <c r="BG23" i="10" s="1"/>
  <c r="AH23" i="10"/>
  <c r="AI21" i="10"/>
  <c r="AI22" i="10" s="1"/>
  <c r="AJ20" i="10"/>
  <c r="AX20" i="10"/>
  <c r="AW21" i="10"/>
  <c r="AW22" i="10" s="1"/>
  <c r="AW23" i="10" s="1"/>
  <c r="AX9" i="10"/>
  <c r="AW10" i="10"/>
  <c r="AW11" i="10" s="1"/>
  <c r="AU23" i="9"/>
  <c r="AW9" i="9"/>
  <c r="AV10" i="9"/>
  <c r="AV11" i="9" s="1"/>
  <c r="AI10" i="9"/>
  <c r="AI11" i="9" s="1"/>
  <c r="AJ9" i="9"/>
  <c r="AH23" i="9"/>
  <c r="BF23" i="9"/>
  <c r="AI21" i="9"/>
  <c r="AI22" i="9" s="1"/>
  <c r="AI23" i="9" s="1"/>
  <c r="AJ20" i="9"/>
  <c r="BH20" i="9"/>
  <c r="BG21" i="9"/>
  <c r="BG22" i="9" s="1"/>
  <c r="BG23" i="9" s="1"/>
  <c r="BH9" i="9"/>
  <c r="BG10" i="9"/>
  <c r="BG11" i="9" s="1"/>
  <c r="AW20" i="9"/>
  <c r="AV21" i="9"/>
  <c r="AV22" i="9" s="1"/>
  <c r="AV23" i="9" s="1"/>
  <c r="AW20" i="8"/>
  <c r="AV21" i="8"/>
  <c r="AV22" i="8" s="1"/>
  <c r="AV23" i="8" s="1"/>
  <c r="BH9" i="8"/>
  <c r="BG10" i="8"/>
  <c r="BG11" i="8" s="1"/>
  <c r="AJ10" i="8"/>
  <c r="AJ11" i="8" s="1"/>
  <c r="AK9" i="8"/>
  <c r="AW9" i="8"/>
  <c r="AV10" i="8"/>
  <c r="AV11" i="8" s="1"/>
  <c r="BH20" i="8"/>
  <c r="BG21" i="8"/>
  <c r="BG22" i="8" s="1"/>
  <c r="BG23" i="8" s="1"/>
  <c r="AI21" i="8"/>
  <c r="AI22" i="8" s="1"/>
  <c r="AI23" i="8" s="1"/>
  <c r="AJ20" i="8"/>
  <c r="BH9" i="7"/>
  <c r="BG10" i="7"/>
  <c r="BG11" i="7" s="1"/>
  <c r="AI10" i="7"/>
  <c r="AI11" i="7" s="1"/>
  <c r="AJ9" i="7"/>
  <c r="AV10" i="7"/>
  <c r="AV11" i="7" s="1"/>
  <c r="AW9" i="7"/>
  <c r="AW20" i="7"/>
  <c r="AV21" i="7"/>
  <c r="AV22" i="7" s="1"/>
  <c r="AV23" i="7" s="1"/>
  <c r="AI21" i="7"/>
  <c r="AI22" i="7" s="1"/>
  <c r="AI23" i="7" s="1"/>
  <c r="AJ20" i="7"/>
  <c r="BH20" i="7"/>
  <c r="BG21" i="7"/>
  <c r="BG22" i="7" s="1"/>
  <c r="BG23" i="7" s="1"/>
  <c r="AI10" i="3"/>
  <c r="AI11" i="3" s="1"/>
  <c r="AJ9" i="3"/>
  <c r="BI10" i="3"/>
  <c r="BI11" i="3" s="1"/>
  <c r="BJ9" i="3"/>
  <c r="AW9" i="3"/>
  <c r="AV10" i="3"/>
  <c r="AV11" i="3" s="1"/>
  <c r="AV23" i="3" s="1"/>
  <c r="L26" i="3" s="1"/>
  <c r="AY20" i="3"/>
  <c r="AY21" i="3" s="1"/>
  <c r="AY22" i="3" s="1"/>
  <c r="AX21" i="3"/>
  <c r="AX22" i="3" s="1"/>
  <c r="BH20" i="3"/>
  <c r="BG21" i="3"/>
  <c r="BG22" i="3" s="1"/>
  <c r="BG23" i="3" s="1"/>
  <c r="K27" i="3" s="1"/>
  <c r="AI21" i="3"/>
  <c r="AI22" i="3" s="1"/>
  <c r="AJ20" i="3"/>
  <c r="B213" i="13"/>
  <c r="B133" i="13"/>
  <c r="B53" i="13"/>
  <c r="B233" i="13"/>
  <c r="B153" i="13"/>
  <c r="B73" i="13"/>
  <c r="B193" i="13"/>
  <c r="B113" i="13"/>
  <c r="B173" i="13"/>
  <c r="B93" i="13"/>
  <c r="V10" i="8"/>
  <c r="V11" i="8" s="1"/>
  <c r="W9" i="8"/>
  <c r="V21" i="8"/>
  <c r="V22" i="8" s="1"/>
  <c r="W20" i="8"/>
  <c r="V21" i="14"/>
  <c r="V22" i="14" s="1"/>
  <c r="W20" i="14"/>
  <c r="U23" i="14"/>
  <c r="V10" i="14"/>
  <c r="V11" i="14" s="1"/>
  <c r="W9" i="14"/>
  <c r="Y20" i="13"/>
  <c r="X21" i="13"/>
  <c r="X22" i="13" s="1"/>
  <c r="W10" i="13"/>
  <c r="W11" i="13" s="1"/>
  <c r="W23" i="13" s="1"/>
  <c r="K24" i="13" s="1"/>
  <c r="X9" i="13"/>
  <c r="V10" i="12"/>
  <c r="V11" i="12" s="1"/>
  <c r="W9" i="12"/>
  <c r="V21" i="12"/>
  <c r="V22" i="12" s="1"/>
  <c r="W20" i="12"/>
  <c r="U23" i="12"/>
  <c r="I24" i="12" s="1"/>
  <c r="V21" i="11"/>
  <c r="V22" i="11" s="1"/>
  <c r="W20" i="11"/>
  <c r="U23" i="11"/>
  <c r="I24" i="11" s="1"/>
  <c r="W9" i="11"/>
  <c r="V10" i="11"/>
  <c r="V11" i="11" s="1"/>
  <c r="V10" i="10"/>
  <c r="V11" i="10" s="1"/>
  <c r="V23" i="10" s="1"/>
  <c r="W9" i="10"/>
  <c r="W21" i="10"/>
  <c r="W22" i="10" s="1"/>
  <c r="X20" i="10"/>
  <c r="V21" i="9"/>
  <c r="V22" i="9" s="1"/>
  <c r="W20" i="9"/>
  <c r="V10" i="9"/>
  <c r="V11" i="9" s="1"/>
  <c r="W9" i="9"/>
  <c r="B173" i="8"/>
  <c r="B193" i="8"/>
  <c r="B113" i="8"/>
  <c r="B213" i="8"/>
  <c r="B133" i="8"/>
  <c r="B93" i="8"/>
  <c r="B53" i="8"/>
  <c r="B233" i="8"/>
  <c r="B153" i="8"/>
  <c r="B73" i="8"/>
  <c r="B173" i="10"/>
  <c r="B93" i="10"/>
  <c r="B233" i="10"/>
  <c r="B193" i="10"/>
  <c r="B113" i="10"/>
  <c r="B153" i="10"/>
  <c r="B213" i="10"/>
  <c r="B133" i="10"/>
  <c r="B53" i="10"/>
  <c r="B73" i="10"/>
  <c r="B193" i="11"/>
  <c r="B113" i="11"/>
  <c r="B213" i="11"/>
  <c r="B133" i="11"/>
  <c r="B53" i="11"/>
  <c r="B233" i="11"/>
  <c r="B153" i="11"/>
  <c r="B73" i="11"/>
  <c r="B173" i="11"/>
  <c r="B93" i="11"/>
  <c r="B53" i="12"/>
  <c r="B233" i="12"/>
  <c r="B153" i="12"/>
  <c r="B73" i="12"/>
  <c r="B173" i="12"/>
  <c r="B93" i="12"/>
  <c r="B193" i="12"/>
  <c r="B113" i="12"/>
  <c r="B213" i="12"/>
  <c r="B133" i="12"/>
  <c r="Y20" i="7"/>
  <c r="X21" i="7"/>
  <c r="X22" i="7" s="1"/>
  <c r="V10" i="7"/>
  <c r="V11" i="7" s="1"/>
  <c r="V23" i="7" s="1"/>
  <c r="W9" i="7"/>
  <c r="U21" i="3"/>
  <c r="U22" i="3" s="1"/>
  <c r="V20" i="3"/>
  <c r="V9" i="3"/>
  <c r="U10" i="3"/>
  <c r="U11" i="3" s="1"/>
  <c r="BD21" i="1"/>
  <c r="BD22" i="1" s="1"/>
  <c r="BE20" i="1"/>
  <c r="BE10" i="1"/>
  <c r="BE11" i="1" s="1"/>
  <c r="BF9" i="1"/>
  <c r="AS21" i="1"/>
  <c r="AS22" i="1" s="1"/>
  <c r="AT20" i="1"/>
  <c r="T23" i="1"/>
  <c r="H24" i="1" s="1"/>
  <c r="V9" i="1"/>
  <c r="U10" i="1"/>
  <c r="U11" i="1" s="1"/>
  <c r="AI9" i="1"/>
  <c r="AH10" i="1"/>
  <c r="AH11" i="1" s="1"/>
  <c r="AG21" i="1"/>
  <c r="AG22" i="1" s="1"/>
  <c r="AG23" i="1" s="1"/>
  <c r="I25" i="1" s="1"/>
  <c r="AH20" i="1"/>
  <c r="U21" i="1"/>
  <c r="U22" i="1" s="1"/>
  <c r="U23" i="1" s="1"/>
  <c r="I24" i="1" s="1"/>
  <c r="V20" i="1"/>
  <c r="C2" i="16"/>
  <c r="F50" i="16"/>
  <c r="G5917" i="2" l="1"/>
  <c r="G1597" i="2"/>
  <c r="G3697" i="2"/>
  <c r="G4297" i="2"/>
  <c r="G5837" i="2"/>
  <c r="G4357" i="2"/>
  <c r="G2237" i="2"/>
  <c r="G4437" i="2"/>
  <c r="G3597" i="2"/>
  <c r="G2837" i="2"/>
  <c r="G1797" i="2"/>
  <c r="G1617" i="2"/>
  <c r="G2217" i="2"/>
  <c r="G4257" i="2"/>
  <c r="G2277" i="2"/>
  <c r="G4857" i="2"/>
  <c r="G2857" i="2"/>
  <c r="G1357" i="2"/>
  <c r="G5777" i="2"/>
  <c r="G5317" i="2"/>
  <c r="G2577" i="2"/>
  <c r="G2777" i="2"/>
  <c r="G1537" i="2"/>
  <c r="G1737" i="2"/>
  <c r="G4157" i="2"/>
  <c r="G3417" i="2"/>
  <c r="G2417" i="2"/>
  <c r="G5677" i="2"/>
  <c r="G3057" i="2"/>
  <c r="G3817" i="2"/>
  <c r="G3097" i="2"/>
  <c r="G3737" i="2"/>
  <c r="G3857" i="2"/>
  <c r="G1257" i="2"/>
  <c r="G2897" i="2"/>
  <c r="G2917" i="2"/>
  <c r="G4597" i="2"/>
  <c r="G5897" i="2"/>
  <c r="G3797" i="2"/>
  <c r="G3317" i="2"/>
  <c r="G4897" i="2"/>
  <c r="G3917" i="2"/>
  <c r="G2317" i="2"/>
  <c r="G4137" i="2"/>
  <c r="G2397" i="2"/>
  <c r="G5437" i="2"/>
  <c r="G4817" i="2"/>
  <c r="G5817" i="2"/>
  <c r="G3657" i="2"/>
  <c r="G5697" i="2"/>
  <c r="G4317" i="2"/>
  <c r="G5477" i="2"/>
  <c r="G4457" i="2"/>
  <c r="G4917" i="2"/>
  <c r="G5497" i="2"/>
  <c r="G1677" i="2"/>
  <c r="G5717" i="2"/>
  <c r="G3557" i="2"/>
  <c r="G2337" i="2"/>
  <c r="G5117" i="2"/>
  <c r="G2717" i="2"/>
  <c r="G4277" i="2"/>
  <c r="G2437" i="2"/>
  <c r="G3197" i="2"/>
  <c r="G2477" i="2"/>
  <c r="G4417" i="2"/>
  <c r="G2017" i="2"/>
  <c r="G5457" i="2"/>
  <c r="G1417" i="2"/>
  <c r="G3297" i="2"/>
  <c r="G5377" i="2"/>
  <c r="G3457" i="2"/>
  <c r="G2377" i="2"/>
  <c r="G4097" i="2"/>
  <c r="G2057" i="2"/>
  <c r="G3877" i="2"/>
  <c r="G5997" i="2"/>
  <c r="G5257" i="2"/>
  <c r="G1477" i="2"/>
  <c r="G2197" i="2"/>
  <c r="G4577" i="2"/>
  <c r="G3237" i="2"/>
  <c r="G2997" i="2"/>
  <c r="G3837" i="2"/>
  <c r="G4737" i="2"/>
  <c r="G1157" i="2"/>
  <c r="G2357" i="2"/>
  <c r="G4977" i="2"/>
  <c r="G3777" i="2"/>
  <c r="G4217" i="2"/>
  <c r="G5797" i="2"/>
  <c r="G3757" i="2"/>
  <c r="G5037" i="2"/>
  <c r="G1457" i="2"/>
  <c r="G1957" i="2"/>
  <c r="G4797" i="2"/>
  <c r="G5137" i="2"/>
  <c r="G2877" i="2"/>
  <c r="G3017" i="2"/>
  <c r="G2737" i="2"/>
  <c r="G1497" i="2"/>
  <c r="G3177" i="2"/>
  <c r="G1757" i="2"/>
  <c r="G4537" i="2"/>
  <c r="G2097" i="2"/>
  <c r="G1237" i="2"/>
  <c r="G1177" i="2"/>
  <c r="G3977" i="2"/>
  <c r="G5637" i="2"/>
  <c r="G1857" i="2"/>
  <c r="G2597" i="2"/>
  <c r="G3397" i="2"/>
  <c r="G3937" i="2"/>
  <c r="G4777" i="2"/>
  <c r="G4377" i="2"/>
  <c r="G5217" i="2"/>
  <c r="G5737" i="2"/>
  <c r="G3957" i="2"/>
  <c r="G1397" i="2"/>
  <c r="G1217" i="2"/>
  <c r="G4957" i="2"/>
  <c r="G3517" i="2"/>
  <c r="G4017" i="2"/>
  <c r="G3617" i="2"/>
  <c r="G2157" i="2"/>
  <c r="G3037" i="2"/>
  <c r="G3437" i="2"/>
  <c r="G5177" i="2"/>
  <c r="G3157" i="2"/>
  <c r="G4697" i="2"/>
  <c r="G3137" i="2"/>
  <c r="G2937" i="2"/>
  <c r="G4117" i="2"/>
  <c r="G1377" i="2"/>
  <c r="G5557" i="2"/>
  <c r="G1577" i="2"/>
  <c r="G4837" i="2"/>
  <c r="G2677" i="2"/>
  <c r="G1837" i="2"/>
  <c r="G1897" i="2"/>
  <c r="G5197" i="2"/>
  <c r="G2117" i="2"/>
  <c r="G1517" i="2"/>
  <c r="G3637" i="2"/>
  <c r="G1697" i="2"/>
  <c r="G1777" i="2"/>
  <c r="G1297" i="2"/>
  <c r="G1877" i="2"/>
  <c r="G1637" i="2"/>
  <c r="G4177" i="2"/>
  <c r="G3997" i="2"/>
  <c r="G3897" i="2"/>
  <c r="G4057" i="2"/>
  <c r="G5237" i="2"/>
  <c r="G2697" i="2"/>
  <c r="G3117" i="2"/>
  <c r="G2617" i="2"/>
  <c r="G1977" i="2"/>
  <c r="G4677" i="2"/>
  <c r="G1937" i="2"/>
  <c r="G4397" i="2"/>
  <c r="G4197" i="2"/>
  <c r="G1657" i="2"/>
  <c r="G2757" i="2"/>
  <c r="G5057" i="2"/>
  <c r="G4877" i="2"/>
  <c r="G3577" i="2"/>
  <c r="G1557" i="2"/>
  <c r="G4937" i="2"/>
  <c r="G1317" i="2"/>
  <c r="G3377" i="2"/>
  <c r="G5517" i="2"/>
  <c r="G2977" i="2"/>
  <c r="G5537" i="2"/>
  <c r="G4517" i="2"/>
  <c r="G2497" i="2"/>
  <c r="G2137" i="2"/>
  <c r="G2077" i="2"/>
  <c r="G3497" i="2"/>
  <c r="G3217" i="2"/>
  <c r="G3677" i="2"/>
  <c r="G3337" i="2"/>
  <c r="G1197" i="2"/>
  <c r="G4557" i="2"/>
  <c r="G2817" i="2"/>
  <c r="G3277" i="2"/>
  <c r="G2537" i="2"/>
  <c r="G2177" i="2"/>
  <c r="G1277" i="2"/>
  <c r="G5417" i="2"/>
  <c r="G4077" i="2"/>
  <c r="G1817" i="2"/>
  <c r="G2557" i="2"/>
  <c r="G5877" i="2"/>
  <c r="G1437" i="2"/>
  <c r="G5597" i="2"/>
  <c r="G5337" i="2"/>
  <c r="G4337" i="2"/>
  <c r="G4497" i="2"/>
  <c r="G5077" i="2"/>
  <c r="G5397" i="2"/>
  <c r="G2797" i="2"/>
  <c r="G2297" i="2"/>
  <c r="G2037" i="2"/>
  <c r="G5097" i="2"/>
  <c r="G3357" i="2"/>
  <c r="G5277" i="2"/>
  <c r="G3077" i="2"/>
  <c r="G1917" i="2"/>
  <c r="G5957" i="2"/>
  <c r="G5757" i="2"/>
  <c r="G4657" i="2"/>
  <c r="G5577" i="2"/>
  <c r="G1337" i="2"/>
  <c r="G3477" i="2"/>
  <c r="G4237" i="2"/>
  <c r="G2957" i="2"/>
  <c r="G5617" i="2"/>
  <c r="G4637" i="2"/>
  <c r="G2517" i="2"/>
  <c r="G4757" i="2"/>
  <c r="G5297" i="2"/>
  <c r="G4997" i="2"/>
  <c r="G5937" i="2"/>
  <c r="G3717" i="2"/>
  <c r="G5857" i="2"/>
  <c r="G3537" i="2"/>
  <c r="G4037" i="2"/>
  <c r="G5157" i="2"/>
  <c r="G5977" i="2"/>
  <c r="G1997" i="2"/>
  <c r="G5657" i="2"/>
  <c r="G5017" i="2"/>
  <c r="G4717" i="2"/>
  <c r="G3257" i="2"/>
  <c r="G1717" i="2"/>
  <c r="G2257" i="2"/>
  <c r="G4617" i="2"/>
  <c r="G2457" i="2"/>
  <c r="G5357" i="2"/>
  <c r="G2657" i="2"/>
  <c r="G4477" i="2"/>
  <c r="G2637" i="2"/>
  <c r="V23" i="11"/>
  <c r="J24" i="11" s="1"/>
  <c r="O9" i="20"/>
  <c r="O10" i="20" s="1"/>
  <c r="O11" i="20" s="1"/>
  <c r="O23" i="20" s="1"/>
  <c r="O14" i="24"/>
  <c r="O21" i="24" s="1"/>
  <c r="O22" i="24" s="1"/>
  <c r="O23" i="24" s="1"/>
  <c r="N21" i="24"/>
  <c r="N22" i="24" s="1"/>
  <c r="N23" i="24" s="1"/>
  <c r="AW21" i="24"/>
  <c r="AW22" i="24" s="1"/>
  <c r="AW23" i="24" s="1"/>
  <c r="M26" i="24" s="1"/>
  <c r="AX20" i="24"/>
  <c r="AL21" i="24"/>
  <c r="AL22" i="24" s="1"/>
  <c r="AM20" i="24"/>
  <c r="AM21" i="24" s="1"/>
  <c r="AM22" i="24" s="1"/>
  <c r="Z21" i="24"/>
  <c r="Z22" i="24" s="1"/>
  <c r="Z23" i="24" s="1"/>
  <c r="N24" i="24" s="1"/>
  <c r="AA20" i="24"/>
  <c r="AA21" i="24" s="1"/>
  <c r="AA22" i="24" s="1"/>
  <c r="AA23" i="24" s="1"/>
  <c r="O24" i="24" s="1"/>
  <c r="BJ21" i="24"/>
  <c r="BJ22" i="24" s="1"/>
  <c r="BJ23" i="24" s="1"/>
  <c r="N27" i="24" s="1"/>
  <c r="BK20" i="24"/>
  <c r="BK21" i="24" s="1"/>
  <c r="BK22" i="24" s="1"/>
  <c r="BK23" i="24" s="1"/>
  <c r="O27" i="24" s="1"/>
  <c r="AM9" i="24"/>
  <c r="AM10" i="24" s="1"/>
  <c r="AM11" i="24" s="1"/>
  <c r="AL10" i="24"/>
  <c r="AL11" i="24" s="1"/>
  <c r="AK23" i="24"/>
  <c r="M25" i="24" s="1"/>
  <c r="AX10" i="24"/>
  <c r="AX11" i="24" s="1"/>
  <c r="AY9" i="24"/>
  <c r="AY10" i="24" s="1"/>
  <c r="AY11" i="24" s="1"/>
  <c r="N23" i="20"/>
  <c r="Y21" i="20"/>
  <c r="Y22" i="20" s="1"/>
  <c r="Z20" i="20"/>
  <c r="X23" i="20"/>
  <c r="L24" i="20" s="1"/>
  <c r="Z9" i="20"/>
  <c r="Y10" i="20"/>
  <c r="Y11" i="20" s="1"/>
  <c r="AW21" i="20"/>
  <c r="AW22" i="20" s="1"/>
  <c r="AW23" i="20" s="1"/>
  <c r="M26" i="20" s="1"/>
  <c r="AX20" i="20"/>
  <c r="AM9" i="20"/>
  <c r="AM10" i="20" s="1"/>
  <c r="AM11" i="20" s="1"/>
  <c r="AM23" i="20" s="1"/>
  <c r="O25" i="20" s="1"/>
  <c r="AL10" i="20"/>
  <c r="AL11" i="20" s="1"/>
  <c r="AL23" i="20" s="1"/>
  <c r="N25" i="20" s="1"/>
  <c r="AX9" i="20"/>
  <c r="AW10" i="20"/>
  <c r="AW11" i="20" s="1"/>
  <c r="AV23" i="20"/>
  <c r="L26" i="20" s="1"/>
  <c r="AX20" i="14"/>
  <c r="AW21" i="14"/>
  <c r="AW22" i="14" s="1"/>
  <c r="AX9" i="14"/>
  <c r="AW10" i="14"/>
  <c r="AW11" i="14" s="1"/>
  <c r="AJ10" i="14"/>
  <c r="AJ11" i="14" s="1"/>
  <c r="AK9" i="14"/>
  <c r="BJ9" i="14"/>
  <c r="BI10" i="14"/>
  <c r="BI11" i="14" s="1"/>
  <c r="BJ20" i="14"/>
  <c r="BI21" i="14"/>
  <c r="BI22" i="14" s="1"/>
  <c r="AJ21" i="14"/>
  <c r="AJ22" i="14" s="1"/>
  <c r="AK20" i="14"/>
  <c r="AV23" i="14"/>
  <c r="AX20" i="13"/>
  <c r="AW21" i="13"/>
  <c r="AW22" i="13" s="1"/>
  <c r="AW23" i="13" s="1"/>
  <c r="AJ21" i="13"/>
  <c r="AJ22" i="13" s="1"/>
  <c r="AK20" i="13"/>
  <c r="BK9" i="13"/>
  <c r="BK10" i="13" s="1"/>
  <c r="BK11" i="13" s="1"/>
  <c r="BJ10" i="13"/>
  <c r="BJ11" i="13" s="1"/>
  <c r="AJ10" i="13"/>
  <c r="AJ11" i="13" s="1"/>
  <c r="AK9" i="13"/>
  <c r="BK20" i="13"/>
  <c r="BK21" i="13" s="1"/>
  <c r="BK22" i="13" s="1"/>
  <c r="BK23" i="13" s="1"/>
  <c r="BJ21" i="13"/>
  <c r="BJ22" i="13" s="1"/>
  <c r="BK9" i="12"/>
  <c r="BK10" i="12" s="1"/>
  <c r="BK11" i="12" s="1"/>
  <c r="BJ10" i="12"/>
  <c r="BJ11" i="12" s="1"/>
  <c r="AY9" i="12"/>
  <c r="AY10" i="12" s="1"/>
  <c r="AY11" i="12" s="1"/>
  <c r="AX10" i="12"/>
  <c r="AX11" i="12" s="1"/>
  <c r="AJ10" i="12"/>
  <c r="AJ11" i="12" s="1"/>
  <c r="AK9" i="12"/>
  <c r="AW23" i="12"/>
  <c r="BI20" i="12"/>
  <c r="BH21" i="12"/>
  <c r="BH22" i="12" s="1"/>
  <c r="BH23" i="12" s="1"/>
  <c r="AJ21" i="12"/>
  <c r="AJ22" i="12" s="1"/>
  <c r="AK20" i="12"/>
  <c r="AY20" i="12"/>
  <c r="AY21" i="12" s="1"/>
  <c r="AY22" i="12" s="1"/>
  <c r="AX21" i="12"/>
  <c r="AX22" i="12" s="1"/>
  <c r="AX23" i="12" s="1"/>
  <c r="AI23" i="12"/>
  <c r="BK9" i="11"/>
  <c r="BK10" i="11" s="1"/>
  <c r="BK11" i="11" s="1"/>
  <c r="BJ10" i="11"/>
  <c r="BJ11" i="11" s="1"/>
  <c r="AW9" i="11"/>
  <c r="AV10" i="11"/>
  <c r="AV11" i="11" s="1"/>
  <c r="AJ21" i="11"/>
  <c r="AJ22" i="11" s="1"/>
  <c r="AK20" i="11"/>
  <c r="AU23" i="11"/>
  <c r="BI20" i="11"/>
  <c r="BH21" i="11"/>
  <c r="BH22" i="11" s="1"/>
  <c r="BH23" i="11" s="1"/>
  <c r="AW20" i="11"/>
  <c r="AV21" i="11"/>
  <c r="AV22" i="11" s="1"/>
  <c r="AV23" i="11" s="1"/>
  <c r="AJ10" i="11"/>
  <c r="AJ11" i="11" s="1"/>
  <c r="AK9" i="11"/>
  <c r="AI23" i="10"/>
  <c r="AJ21" i="10"/>
  <c r="AJ22" i="10" s="1"/>
  <c r="AK20" i="10"/>
  <c r="BI20" i="10"/>
  <c r="BH21" i="10"/>
  <c r="BH22" i="10" s="1"/>
  <c r="BH23" i="10" s="1"/>
  <c r="AY9" i="10"/>
  <c r="AY10" i="10" s="1"/>
  <c r="AY11" i="10" s="1"/>
  <c r="AX10" i="10"/>
  <c r="AX11" i="10" s="1"/>
  <c r="BK9" i="10"/>
  <c r="BK10" i="10" s="1"/>
  <c r="BK11" i="10" s="1"/>
  <c r="BJ10" i="10"/>
  <c r="BJ11" i="10" s="1"/>
  <c r="AY20" i="10"/>
  <c r="AY21" i="10" s="1"/>
  <c r="AY22" i="10" s="1"/>
  <c r="AY23" i="10" s="1"/>
  <c r="AX21" i="10"/>
  <c r="AX22" i="10" s="1"/>
  <c r="AJ10" i="10"/>
  <c r="AJ11" i="10" s="1"/>
  <c r="AK9" i="10"/>
  <c r="AX20" i="9"/>
  <c r="AW21" i="9"/>
  <c r="AW22" i="9" s="1"/>
  <c r="AW23" i="9" s="1"/>
  <c r="AJ10" i="9"/>
  <c r="AJ11" i="9" s="1"/>
  <c r="AK9" i="9"/>
  <c r="BI9" i="9"/>
  <c r="BH10" i="9"/>
  <c r="BH11" i="9" s="1"/>
  <c r="BI20" i="9"/>
  <c r="BH21" i="9"/>
  <c r="BH22" i="9" s="1"/>
  <c r="AX9" i="9"/>
  <c r="AW10" i="9"/>
  <c r="AW11" i="9" s="1"/>
  <c r="AJ21" i="9"/>
  <c r="AJ22" i="9" s="1"/>
  <c r="AK20" i="9"/>
  <c r="AX20" i="8"/>
  <c r="AW21" i="8"/>
  <c r="AW22" i="8" s="1"/>
  <c r="AX9" i="8"/>
  <c r="AW10" i="8"/>
  <c r="AW11" i="8" s="1"/>
  <c r="AK10" i="8"/>
  <c r="AK11" i="8" s="1"/>
  <c r="AL9" i="8"/>
  <c r="AJ21" i="8"/>
  <c r="AJ22" i="8" s="1"/>
  <c r="AJ23" i="8" s="1"/>
  <c r="AK20" i="8"/>
  <c r="BI9" i="8"/>
  <c r="BH10" i="8"/>
  <c r="BH11" i="8" s="1"/>
  <c r="BI20" i="8"/>
  <c r="BH21" i="8"/>
  <c r="BH22" i="8" s="1"/>
  <c r="BH23" i="8" s="1"/>
  <c r="AX20" i="7"/>
  <c r="AW21" i="7"/>
  <c r="AW22" i="7" s="1"/>
  <c r="AW23" i="7" s="1"/>
  <c r="AJ10" i="7"/>
  <c r="AJ11" i="7" s="1"/>
  <c r="AK9" i="7"/>
  <c r="BI20" i="7"/>
  <c r="BH21" i="7"/>
  <c r="BH22" i="7" s="1"/>
  <c r="AJ21" i="7"/>
  <c r="AJ22" i="7" s="1"/>
  <c r="AK20" i="7"/>
  <c r="AX9" i="7"/>
  <c r="AW10" i="7"/>
  <c r="AW11" i="7" s="1"/>
  <c r="BI9" i="7"/>
  <c r="BH10" i="7"/>
  <c r="BH11" i="7" s="1"/>
  <c r="AJ21" i="3"/>
  <c r="AJ22" i="3" s="1"/>
  <c r="AK20" i="3"/>
  <c r="AX9" i="3"/>
  <c r="AW10" i="3"/>
  <c r="AW11" i="3" s="1"/>
  <c r="AW23" i="3" s="1"/>
  <c r="M26" i="3" s="1"/>
  <c r="AI23" i="3"/>
  <c r="K25" i="3" s="1"/>
  <c r="BK9" i="3"/>
  <c r="BK10" i="3" s="1"/>
  <c r="BK11" i="3" s="1"/>
  <c r="BJ10" i="3"/>
  <c r="BJ11" i="3" s="1"/>
  <c r="BI20" i="3"/>
  <c r="BH21" i="3"/>
  <c r="BH22" i="3" s="1"/>
  <c r="BH23" i="3" s="1"/>
  <c r="L27" i="3" s="1"/>
  <c r="AK9" i="3"/>
  <c r="AJ10" i="3"/>
  <c r="AJ11" i="3" s="1"/>
  <c r="W10" i="8"/>
  <c r="W11" i="8" s="1"/>
  <c r="X9" i="8"/>
  <c r="W21" i="8"/>
  <c r="W22" i="8" s="1"/>
  <c r="X20" i="8"/>
  <c r="V23" i="8"/>
  <c r="J24" i="8" s="1"/>
  <c r="W10" i="14"/>
  <c r="W11" i="14" s="1"/>
  <c r="X9" i="14"/>
  <c r="W21" i="14"/>
  <c r="W22" i="14" s="1"/>
  <c r="W23" i="14" s="1"/>
  <c r="X20" i="14"/>
  <c r="V23" i="14"/>
  <c r="X10" i="13"/>
  <c r="X11" i="13" s="1"/>
  <c r="X23" i="13" s="1"/>
  <c r="L24" i="13" s="1"/>
  <c r="Y9" i="13"/>
  <c r="Y21" i="13"/>
  <c r="Y22" i="13" s="1"/>
  <c r="Z20" i="13"/>
  <c r="X20" i="12"/>
  <c r="W21" i="12"/>
  <c r="W22" i="12" s="1"/>
  <c r="V23" i="12"/>
  <c r="J24" i="12" s="1"/>
  <c r="W10" i="12"/>
  <c r="W11" i="12" s="1"/>
  <c r="X9" i="12"/>
  <c r="W10" i="11"/>
  <c r="W11" i="11" s="1"/>
  <c r="X9" i="11"/>
  <c r="W21" i="11"/>
  <c r="W22" i="11" s="1"/>
  <c r="X20" i="11"/>
  <c r="Y20" i="10"/>
  <c r="X21" i="10"/>
  <c r="X22" i="10" s="1"/>
  <c r="W10" i="10"/>
  <c r="W11" i="10" s="1"/>
  <c r="W23" i="10" s="1"/>
  <c r="X9" i="10"/>
  <c r="W10" i="9"/>
  <c r="W11" i="9" s="1"/>
  <c r="X9" i="9"/>
  <c r="W21" i="9"/>
  <c r="W22" i="9" s="1"/>
  <c r="W23" i="9" s="1"/>
  <c r="X20" i="9"/>
  <c r="V23" i="9"/>
  <c r="W10" i="7"/>
  <c r="W11" i="7" s="1"/>
  <c r="W23" i="7" s="1"/>
  <c r="X9" i="7"/>
  <c r="Y21" i="7"/>
  <c r="Y22" i="7" s="1"/>
  <c r="Z20" i="7"/>
  <c r="V10" i="3"/>
  <c r="V11" i="3" s="1"/>
  <c r="W9" i="3"/>
  <c r="V21" i="3"/>
  <c r="V22" i="3" s="1"/>
  <c r="W20" i="3"/>
  <c r="U23" i="3"/>
  <c r="BE21" i="1"/>
  <c r="BE22" i="1" s="1"/>
  <c r="BF20" i="1"/>
  <c r="BG9" i="1"/>
  <c r="BF10" i="1"/>
  <c r="BF11" i="1" s="1"/>
  <c r="AT21" i="1"/>
  <c r="AT22" i="1" s="1"/>
  <c r="AU20" i="1"/>
  <c r="AJ9" i="1"/>
  <c r="AI10" i="1"/>
  <c r="AI11" i="1" s="1"/>
  <c r="W9" i="1"/>
  <c r="V10" i="1"/>
  <c r="V11" i="1" s="1"/>
  <c r="AI20" i="1"/>
  <c r="AH21" i="1"/>
  <c r="AH22" i="1" s="1"/>
  <c r="AH23" i="1" s="1"/>
  <c r="J25" i="1" s="1"/>
  <c r="W20" i="1"/>
  <c r="V21" i="1"/>
  <c r="V22" i="1" s="1"/>
  <c r="V23" i="1" s="1"/>
  <c r="J24" i="1" s="1"/>
  <c r="G3258" i="2" l="1"/>
  <c r="G3538" i="2"/>
  <c r="G5958" i="2"/>
  <c r="G2038" i="2"/>
  <c r="G5078" i="2"/>
  <c r="G2498" i="2"/>
  <c r="G2978" i="2"/>
  <c r="G3378" i="2"/>
  <c r="G2698" i="2"/>
  <c r="G3898" i="2"/>
  <c r="G1838" i="2"/>
  <c r="G1578" i="2"/>
  <c r="G5178" i="2"/>
  <c r="G2158" i="2"/>
  <c r="G4958" i="2"/>
  <c r="G3958" i="2"/>
  <c r="G5218" i="2"/>
  <c r="G1858" i="2"/>
  <c r="G2098" i="2"/>
  <c r="G3178" i="2"/>
  <c r="G3778" i="2"/>
  <c r="G4578" i="2"/>
  <c r="G2378" i="2"/>
  <c r="G4918" i="2"/>
  <c r="G3918" i="2"/>
  <c r="G4598" i="2"/>
  <c r="G3738" i="2"/>
  <c r="G1738" i="2"/>
  <c r="G2778" i="2"/>
  <c r="G4858" i="2"/>
  <c r="G4258" i="2"/>
  <c r="G4358" i="2"/>
  <c r="G2638" i="2"/>
  <c r="G4638" i="2"/>
  <c r="G2958" i="2"/>
  <c r="G4658" i="2"/>
  <c r="G1918" i="2"/>
  <c r="G5278" i="2"/>
  <c r="G5398" i="2"/>
  <c r="G5338" i="2"/>
  <c r="G5878" i="2"/>
  <c r="G3678" i="2"/>
  <c r="G1318" i="2"/>
  <c r="G1558" i="2"/>
  <c r="G4198" i="2"/>
  <c r="G1638" i="2"/>
  <c r="G1778" i="2"/>
  <c r="G5198" i="2"/>
  <c r="G2678" i="2"/>
  <c r="G4118" i="2"/>
  <c r="G4698" i="2"/>
  <c r="G4378" i="2"/>
  <c r="G3938" i="2"/>
  <c r="G3018" i="2"/>
  <c r="G5138" i="2"/>
  <c r="G1458" i="2"/>
  <c r="G5798" i="2"/>
  <c r="G3298" i="2"/>
  <c r="G2478" i="2"/>
  <c r="G2338" i="2"/>
  <c r="G4818" i="2"/>
  <c r="G4138" i="2"/>
  <c r="G3798" i="2"/>
  <c r="G3058" i="2"/>
  <c r="G5778" i="2"/>
  <c r="G1798" i="2"/>
  <c r="G5838" i="2"/>
  <c r="G2258" i="2"/>
  <c r="G5658" i="2"/>
  <c r="G1338" i="2"/>
  <c r="G1278" i="2"/>
  <c r="G3278" i="2"/>
  <c r="G2078" i="2"/>
  <c r="G3578" i="2"/>
  <c r="G5058" i="2"/>
  <c r="G2618" i="2"/>
  <c r="G5238" i="2"/>
  <c r="G3438" i="2"/>
  <c r="G4538" i="2"/>
  <c r="G1158" i="2"/>
  <c r="G2998" i="2"/>
  <c r="G2198" i="2"/>
  <c r="G5258" i="2"/>
  <c r="G3458" i="2"/>
  <c r="G2018" i="2"/>
  <c r="G4278" i="2"/>
  <c r="G3658" i="2"/>
  <c r="G1258" i="2"/>
  <c r="G2218" i="2"/>
  <c r="G4438" i="2"/>
  <c r="G5358" i="2"/>
  <c r="G5158" i="2"/>
  <c r="G5938" i="2"/>
  <c r="G5758" i="2"/>
  <c r="G3358" i="2"/>
  <c r="G4498" i="2"/>
  <c r="G1198" i="2"/>
  <c r="G2758" i="2"/>
  <c r="G3998" i="2"/>
  <c r="G1518" i="2"/>
  <c r="G5558" i="2"/>
  <c r="G2938" i="2"/>
  <c r="G4018" i="2"/>
  <c r="G5738" i="2"/>
  <c r="G3398" i="2"/>
  <c r="G1178" i="2"/>
  <c r="G4798" i="2"/>
  <c r="G5998" i="2"/>
  <c r="G2058" i="2"/>
  <c r="G1418" i="2"/>
  <c r="G3198" i="2"/>
  <c r="G2718" i="2"/>
  <c r="G4318" i="2"/>
  <c r="G5898" i="2"/>
  <c r="G3098" i="2"/>
  <c r="G3418" i="2"/>
  <c r="G2578" i="2"/>
  <c r="G1358" i="2"/>
  <c r="G2278" i="2"/>
  <c r="G2838" i="2"/>
  <c r="G1598" i="2"/>
  <c r="G4718" i="2"/>
  <c r="G4758" i="2"/>
  <c r="G2298" i="2"/>
  <c r="G4078" i="2"/>
  <c r="G2178" i="2"/>
  <c r="G2818" i="2"/>
  <c r="G3218" i="2"/>
  <c r="G4518" i="2"/>
  <c r="G4938" i="2"/>
  <c r="G4678" i="2"/>
  <c r="G3118" i="2"/>
  <c r="G1698" i="2"/>
  <c r="G1898" i="2"/>
  <c r="G1218" i="2"/>
  <c r="G4778" i="2"/>
  <c r="G5638" i="2"/>
  <c r="G1498" i="2"/>
  <c r="G5038" i="2"/>
  <c r="G4218" i="2"/>
  <c r="G4978" i="2"/>
  <c r="G4738" i="2"/>
  <c r="G4098" i="2"/>
  <c r="G4418" i="2"/>
  <c r="G3558" i="2"/>
  <c r="G1678" i="2"/>
  <c r="G4458" i="2"/>
  <c r="G4898" i="2"/>
  <c r="G5678" i="2"/>
  <c r="G1538" i="2"/>
  <c r="G5318" i="2"/>
  <c r="G1618" i="2"/>
  <c r="G2238" i="2"/>
  <c r="G4298" i="2"/>
  <c r="G4478" i="2"/>
  <c r="G2458" i="2"/>
  <c r="G4038" i="2"/>
  <c r="G5858" i="2"/>
  <c r="G4998" i="2"/>
  <c r="G2518" i="2"/>
  <c r="G4238" i="2"/>
  <c r="G3078" i="2"/>
  <c r="G4338" i="2"/>
  <c r="G5598" i="2"/>
  <c r="G2558" i="2"/>
  <c r="G5538" i="2"/>
  <c r="G5518" i="2"/>
  <c r="G4058" i="2"/>
  <c r="G1878" i="2"/>
  <c r="G2118" i="2"/>
  <c r="G1378" i="2"/>
  <c r="G3038" i="2"/>
  <c r="G3518" i="2"/>
  <c r="G1398" i="2"/>
  <c r="G2598" i="2"/>
  <c r="G2878" i="2"/>
  <c r="G2358" i="2"/>
  <c r="G5378" i="2"/>
  <c r="G5818" i="2"/>
  <c r="G5438" i="2"/>
  <c r="G2318" i="2"/>
  <c r="G2918" i="2"/>
  <c r="G2858" i="2"/>
  <c r="G5918" i="2"/>
  <c r="G2658" i="2"/>
  <c r="G1998" i="2"/>
  <c r="G3718" i="2"/>
  <c r="G5618" i="2"/>
  <c r="G5578" i="2"/>
  <c r="G5098" i="2"/>
  <c r="G2798" i="2"/>
  <c r="G5418" i="2"/>
  <c r="G3338" i="2"/>
  <c r="G3498" i="2"/>
  <c r="G2138" i="2"/>
  <c r="G4878" i="2"/>
  <c r="G4398" i="2"/>
  <c r="G1978" i="2"/>
  <c r="G1298" i="2"/>
  <c r="G4838" i="2"/>
  <c r="G3158" i="2"/>
  <c r="G3618" i="2"/>
  <c r="G1238" i="2"/>
  <c r="G2738" i="2"/>
  <c r="G3238" i="2"/>
  <c r="G1478" i="2"/>
  <c r="G3878" i="2"/>
  <c r="G5458" i="2"/>
  <c r="G2438" i="2"/>
  <c r="G5498" i="2"/>
  <c r="G5698" i="2"/>
  <c r="G2398" i="2"/>
  <c r="G3818" i="2"/>
  <c r="G4158" i="2"/>
  <c r="G3598" i="2"/>
  <c r="G4618" i="2"/>
  <c r="G1718" i="2"/>
  <c r="G5018" i="2"/>
  <c r="G5978" i="2"/>
  <c r="G5298" i="2"/>
  <c r="G3478" i="2"/>
  <c r="G1438" i="2"/>
  <c r="G1818" i="2"/>
  <c r="G2538" i="2"/>
  <c r="G4558" i="2"/>
  <c r="G1658" i="2"/>
  <c r="G1938" i="2"/>
  <c r="G4178" i="2"/>
  <c r="G3638" i="2"/>
  <c r="G3138" i="2"/>
  <c r="G3978" i="2"/>
  <c r="G1758" i="2"/>
  <c r="G1958" i="2"/>
  <c r="G3758" i="2"/>
  <c r="G3838" i="2"/>
  <c r="G5118" i="2"/>
  <c r="G5718" i="2"/>
  <c r="G5478" i="2"/>
  <c r="G3318" i="2"/>
  <c r="G2898" i="2"/>
  <c r="G3858" i="2"/>
  <c r="G2418" i="2"/>
  <c r="G3698" i="2"/>
  <c r="W23" i="11"/>
  <c r="K24" i="11" s="1"/>
  <c r="AM23" i="24"/>
  <c r="O25" i="24" s="1"/>
  <c r="AL23" i="24"/>
  <c r="N25" i="24" s="1"/>
  <c r="AX21" i="24"/>
  <c r="AX22" i="24" s="1"/>
  <c r="AX23" i="24" s="1"/>
  <c r="N26" i="24" s="1"/>
  <c r="AY20" i="24"/>
  <c r="AY21" i="24" s="1"/>
  <c r="AY22" i="24" s="1"/>
  <c r="AY23" i="24" s="1"/>
  <c r="O26" i="24" s="1"/>
  <c r="Y23" i="20"/>
  <c r="M24" i="20" s="1"/>
  <c r="AA9" i="20"/>
  <c r="AA10" i="20" s="1"/>
  <c r="AA11" i="20" s="1"/>
  <c r="Z10" i="20"/>
  <c r="Z11" i="20" s="1"/>
  <c r="AX10" i="20"/>
  <c r="AX11" i="20" s="1"/>
  <c r="AY9" i="20"/>
  <c r="AY10" i="20" s="1"/>
  <c r="AY11" i="20" s="1"/>
  <c r="Z21" i="20"/>
  <c r="Z22" i="20" s="1"/>
  <c r="AA20" i="20"/>
  <c r="AA21" i="20" s="1"/>
  <c r="AA22" i="20" s="1"/>
  <c r="AX21" i="20"/>
  <c r="AX22" i="20" s="1"/>
  <c r="AX23" i="20" s="1"/>
  <c r="N26" i="20" s="1"/>
  <c r="AY20" i="20"/>
  <c r="AY21" i="20" s="1"/>
  <c r="AY22" i="20" s="1"/>
  <c r="BK20" i="14"/>
  <c r="BK21" i="14" s="1"/>
  <c r="BK22" i="14" s="1"/>
  <c r="BK23" i="14" s="1"/>
  <c r="BJ21" i="14"/>
  <c r="BJ22" i="14" s="1"/>
  <c r="AY20" i="14"/>
  <c r="AY21" i="14" s="1"/>
  <c r="AY22" i="14" s="1"/>
  <c r="AX21" i="14"/>
  <c r="AX22" i="14" s="1"/>
  <c r="AX23" i="14" s="1"/>
  <c r="BK9" i="14"/>
  <c r="BK10" i="14" s="1"/>
  <c r="BK11" i="14" s="1"/>
  <c r="BJ10" i="14"/>
  <c r="BJ11" i="14" s="1"/>
  <c r="AK10" i="14"/>
  <c r="AK11" i="14" s="1"/>
  <c r="AL9" i="14"/>
  <c r="AJ23" i="14"/>
  <c r="AY9" i="14"/>
  <c r="AY10" i="14" s="1"/>
  <c r="AY11" i="14" s="1"/>
  <c r="AX10" i="14"/>
  <c r="AX11" i="14" s="1"/>
  <c r="AK21" i="14"/>
  <c r="AK22" i="14" s="1"/>
  <c r="AK23" i="14" s="1"/>
  <c r="AL20" i="14"/>
  <c r="BI23" i="14"/>
  <c r="AW23" i="14"/>
  <c r="AY20" i="13"/>
  <c r="AY21" i="13" s="1"/>
  <c r="AY22" i="13" s="1"/>
  <c r="AY23" i="13" s="1"/>
  <c r="AX21" i="13"/>
  <c r="AX22" i="13" s="1"/>
  <c r="AX23" i="13" s="1"/>
  <c r="AK10" i="13"/>
  <c r="AK11" i="13" s="1"/>
  <c r="AL9" i="13"/>
  <c r="AK21" i="13"/>
  <c r="AK22" i="13" s="1"/>
  <c r="AK23" i="13" s="1"/>
  <c r="AL20" i="13"/>
  <c r="AJ23" i="13"/>
  <c r="BJ23" i="13"/>
  <c r="BJ20" i="12"/>
  <c r="BI21" i="12"/>
  <c r="BI22" i="12" s="1"/>
  <c r="BI23" i="12" s="1"/>
  <c r="AK10" i="12"/>
  <c r="AK11" i="12" s="1"/>
  <c r="AL9" i="12"/>
  <c r="AY23" i="12"/>
  <c r="AK21" i="12"/>
  <c r="AK22" i="12" s="1"/>
  <c r="AL20" i="12"/>
  <c r="AJ23" i="12"/>
  <c r="BJ20" i="11"/>
  <c r="BI21" i="11"/>
  <c r="BI22" i="11" s="1"/>
  <c r="BI23" i="11" s="1"/>
  <c r="AX9" i="11"/>
  <c r="AW10" i="11"/>
  <c r="AW11" i="11" s="1"/>
  <c r="AX20" i="11"/>
  <c r="AW21" i="11"/>
  <c r="AW22" i="11" s="1"/>
  <c r="AW23" i="11" s="1"/>
  <c r="AK21" i="11"/>
  <c r="AK22" i="11" s="1"/>
  <c r="AK23" i="11" s="1"/>
  <c r="AL20" i="11"/>
  <c r="AK10" i="11"/>
  <c r="AK11" i="11" s="1"/>
  <c r="AL9" i="11"/>
  <c r="AJ23" i="11"/>
  <c r="AK10" i="10"/>
  <c r="AK11" i="10" s="1"/>
  <c r="AL9" i="10"/>
  <c r="BJ20" i="10"/>
  <c r="BI21" i="10"/>
  <c r="BI22" i="10" s="1"/>
  <c r="BI23" i="10" s="1"/>
  <c r="AX23" i="10"/>
  <c r="AK21" i="10"/>
  <c r="AK22" i="10" s="1"/>
  <c r="AL20" i="10"/>
  <c r="AJ23" i="10"/>
  <c r="AJ23" i="9"/>
  <c r="BH23" i="9"/>
  <c r="AY9" i="9"/>
  <c r="AY10" i="9" s="1"/>
  <c r="AY11" i="9" s="1"/>
  <c r="AX10" i="9"/>
  <c r="AX11" i="9" s="1"/>
  <c r="AY20" i="9"/>
  <c r="AY21" i="9" s="1"/>
  <c r="AY22" i="9" s="1"/>
  <c r="AX21" i="9"/>
  <c r="AX22" i="9" s="1"/>
  <c r="AX23" i="9" s="1"/>
  <c r="BJ20" i="9"/>
  <c r="BI21" i="9"/>
  <c r="BI22" i="9" s="1"/>
  <c r="BJ9" i="9"/>
  <c r="BI10" i="9"/>
  <c r="BI11" i="9" s="1"/>
  <c r="AK21" i="9"/>
  <c r="AK22" i="9" s="1"/>
  <c r="AL20" i="9"/>
  <c r="AK10" i="9"/>
  <c r="AK11" i="9" s="1"/>
  <c r="AL9" i="9"/>
  <c r="AK21" i="8"/>
  <c r="AK22" i="8" s="1"/>
  <c r="AK23" i="8" s="1"/>
  <c r="AL20" i="8"/>
  <c r="BJ9" i="8"/>
  <c r="BI10" i="8"/>
  <c r="BI11" i="8" s="1"/>
  <c r="AY20" i="8"/>
  <c r="AY21" i="8" s="1"/>
  <c r="AY22" i="8" s="1"/>
  <c r="AY23" i="8" s="1"/>
  <c r="AX21" i="8"/>
  <c r="AX22" i="8" s="1"/>
  <c r="AM9" i="8"/>
  <c r="AM10" i="8" s="1"/>
  <c r="AM11" i="8" s="1"/>
  <c r="AL10" i="8"/>
  <c r="AL11" i="8" s="1"/>
  <c r="BJ20" i="8"/>
  <c r="BI21" i="8"/>
  <c r="BI22" i="8" s="1"/>
  <c r="AY9" i="8"/>
  <c r="AY10" i="8" s="1"/>
  <c r="AY11" i="8" s="1"/>
  <c r="AX10" i="8"/>
  <c r="AX11" i="8" s="1"/>
  <c r="AW23" i="8"/>
  <c r="AY9" i="7"/>
  <c r="AY10" i="7" s="1"/>
  <c r="AY11" i="7" s="1"/>
  <c r="AX10" i="7"/>
  <c r="AX11" i="7" s="1"/>
  <c r="AY20" i="7"/>
  <c r="AY21" i="7" s="1"/>
  <c r="AY22" i="7" s="1"/>
  <c r="AX21" i="7"/>
  <c r="AX22" i="7" s="1"/>
  <c r="AX23" i="7" s="1"/>
  <c r="AK21" i="7"/>
  <c r="AK22" i="7" s="1"/>
  <c r="AK23" i="7" s="1"/>
  <c r="AL20" i="7"/>
  <c r="AJ23" i="7"/>
  <c r="AK10" i="7"/>
  <c r="AK11" i="7" s="1"/>
  <c r="AL9" i="7"/>
  <c r="BJ9" i="7"/>
  <c r="BI10" i="7"/>
  <c r="BI11" i="7" s="1"/>
  <c r="BH23" i="7"/>
  <c r="BJ20" i="7"/>
  <c r="BI21" i="7"/>
  <c r="BI22" i="7" s="1"/>
  <c r="BI23" i="7" s="1"/>
  <c r="AK10" i="3"/>
  <c r="AK11" i="3" s="1"/>
  <c r="AL9" i="3"/>
  <c r="AY9" i="3"/>
  <c r="AY10" i="3" s="1"/>
  <c r="AY11" i="3" s="1"/>
  <c r="AY23" i="3" s="1"/>
  <c r="O26" i="3" s="1"/>
  <c r="AX10" i="3"/>
  <c r="AX11" i="3" s="1"/>
  <c r="AX23" i="3" s="1"/>
  <c r="N26" i="3" s="1"/>
  <c r="AK21" i="3"/>
  <c r="AK22" i="3" s="1"/>
  <c r="AL20" i="3"/>
  <c r="BJ20" i="3"/>
  <c r="BI21" i="3"/>
  <c r="BI22" i="3" s="1"/>
  <c r="BI23" i="3" s="1"/>
  <c r="M27" i="3" s="1"/>
  <c r="AJ23" i="3"/>
  <c r="L25" i="3" s="1"/>
  <c r="Y20" i="8"/>
  <c r="X21" i="8"/>
  <c r="X22" i="8" s="1"/>
  <c r="W23" i="8"/>
  <c r="K24" i="8" s="1"/>
  <c r="X10" i="8"/>
  <c r="X11" i="8" s="1"/>
  <c r="Y9" i="8"/>
  <c r="Y20" i="14"/>
  <c r="X21" i="14"/>
  <c r="X22" i="14" s="1"/>
  <c r="X10" i="14"/>
  <c r="X11" i="14" s="1"/>
  <c r="Y9" i="14"/>
  <c r="AA20" i="13"/>
  <c r="AA21" i="13" s="1"/>
  <c r="AA22" i="13" s="1"/>
  <c r="Z21" i="13"/>
  <c r="Z22" i="13" s="1"/>
  <c r="Y10" i="13"/>
  <c r="Y11" i="13" s="1"/>
  <c r="Y23" i="13" s="1"/>
  <c r="M24" i="13" s="1"/>
  <c r="Z9" i="13"/>
  <c r="W23" i="12"/>
  <c r="K24" i="12" s="1"/>
  <c r="X10" i="12"/>
  <c r="X11" i="12" s="1"/>
  <c r="Y9" i="12"/>
  <c r="X21" i="12"/>
  <c r="X22" i="12" s="1"/>
  <c r="X23" i="12" s="1"/>
  <c r="L24" i="12" s="1"/>
  <c r="Y20" i="12"/>
  <c r="Y20" i="11"/>
  <c r="X21" i="11"/>
  <c r="X22" i="11" s="1"/>
  <c r="Y9" i="11"/>
  <c r="X10" i="11"/>
  <c r="X11" i="11" s="1"/>
  <c r="Y21" i="10"/>
  <c r="Y22" i="10" s="1"/>
  <c r="Z20" i="10"/>
  <c r="X10" i="10"/>
  <c r="X11" i="10" s="1"/>
  <c r="X23" i="10" s="1"/>
  <c r="Y9" i="10"/>
  <c r="Y20" i="9"/>
  <c r="X21" i="9"/>
  <c r="X22" i="9" s="1"/>
  <c r="Y9" i="9"/>
  <c r="X10" i="9"/>
  <c r="X11" i="9" s="1"/>
  <c r="Z21" i="7"/>
  <c r="Z22" i="7" s="1"/>
  <c r="AA20" i="7"/>
  <c r="AA21" i="7" s="1"/>
  <c r="AA22" i="7" s="1"/>
  <c r="X10" i="7"/>
  <c r="X11" i="7" s="1"/>
  <c r="X23" i="7" s="1"/>
  <c r="Y9" i="7"/>
  <c r="W21" i="3"/>
  <c r="W22" i="3" s="1"/>
  <c r="X20" i="3"/>
  <c r="W10" i="3"/>
  <c r="W11" i="3" s="1"/>
  <c r="X9" i="3"/>
  <c r="V23" i="3"/>
  <c r="BF21" i="1"/>
  <c r="BF22" i="1" s="1"/>
  <c r="BG20" i="1"/>
  <c r="BH9" i="1"/>
  <c r="BG10" i="1"/>
  <c r="BG11" i="1" s="1"/>
  <c r="AU21" i="1"/>
  <c r="AU22" i="1" s="1"/>
  <c r="AV20" i="1"/>
  <c r="X9" i="1"/>
  <c r="W10" i="1"/>
  <c r="W11" i="1" s="1"/>
  <c r="AK9" i="1"/>
  <c r="AJ10" i="1"/>
  <c r="AJ11" i="1" s="1"/>
  <c r="AI21" i="1"/>
  <c r="AI22" i="1" s="1"/>
  <c r="AI23" i="1" s="1"/>
  <c r="K25" i="1" s="1"/>
  <c r="AJ20" i="1"/>
  <c r="W21" i="1"/>
  <c r="W22" i="1" s="1"/>
  <c r="W23" i="1" s="1"/>
  <c r="K24" i="1" s="1"/>
  <c r="X20" i="1"/>
  <c r="H55" i="6"/>
  <c r="H54" i="6"/>
  <c r="H52" i="6"/>
  <c r="H35" i="6"/>
  <c r="H34" i="6"/>
  <c r="H32" i="6"/>
  <c r="G5119" i="2" l="1"/>
  <c r="G3759" i="2"/>
  <c r="G4179" i="2"/>
  <c r="G1659" i="2"/>
  <c r="G5299" i="2"/>
  <c r="G3599" i="2"/>
  <c r="G2399" i="2"/>
  <c r="G3879" i="2"/>
  <c r="G2739" i="2"/>
  <c r="G3619" i="2"/>
  <c r="G4879" i="2"/>
  <c r="G3719" i="2"/>
  <c r="G2319" i="2"/>
  <c r="G2879" i="2"/>
  <c r="G5859" i="2"/>
  <c r="G2459" i="2"/>
  <c r="G3559" i="2"/>
  <c r="G4739" i="2"/>
  <c r="G4219" i="2"/>
  <c r="G2179" i="2"/>
  <c r="G2299" i="2"/>
  <c r="G3419" i="2"/>
  <c r="G5999" i="2"/>
  <c r="G3359" i="2"/>
  <c r="G5059" i="2"/>
  <c r="G1459" i="2"/>
  <c r="G4699" i="2"/>
  <c r="G5199" i="2"/>
  <c r="G5339" i="2"/>
  <c r="G2959" i="2"/>
  <c r="G4359" i="2"/>
  <c r="G4859" i="2"/>
  <c r="G4919" i="2"/>
  <c r="G1839" i="2"/>
  <c r="G3379" i="2"/>
  <c r="G2499" i="2"/>
  <c r="G1959" i="2"/>
  <c r="G1719" i="2"/>
  <c r="G2439" i="2"/>
  <c r="G3159" i="2"/>
  <c r="G5579" i="2"/>
  <c r="G1999" i="2"/>
  <c r="G5919" i="2"/>
  <c r="G5379" i="2"/>
  <c r="G3519" i="2"/>
  <c r="G2559" i="2"/>
  <c r="G4479" i="2"/>
  <c r="G2239" i="2"/>
  <c r="G4459" i="2"/>
  <c r="G5039" i="2"/>
  <c r="G1899" i="2"/>
  <c r="G4679" i="2"/>
  <c r="G4759" i="2"/>
  <c r="G3099" i="2"/>
  <c r="G1419" i="2"/>
  <c r="G4799" i="2"/>
  <c r="G2759" i="2"/>
  <c r="G5159" i="2"/>
  <c r="G1159" i="2"/>
  <c r="G5239" i="2"/>
  <c r="G3279" i="2"/>
  <c r="G5659" i="2"/>
  <c r="G5839" i="2"/>
  <c r="G3059" i="2"/>
  <c r="G4819" i="2"/>
  <c r="G3939" i="2"/>
  <c r="G4199" i="2"/>
  <c r="G1319" i="2"/>
  <c r="G2779" i="2"/>
  <c r="G3779" i="2"/>
  <c r="G3959" i="2"/>
  <c r="G5179" i="2"/>
  <c r="G5079" i="2"/>
  <c r="G3699" i="2"/>
  <c r="G2899" i="2"/>
  <c r="G5479" i="2"/>
  <c r="G3139" i="2"/>
  <c r="G4159" i="2"/>
  <c r="G1479" i="2"/>
  <c r="G5519" i="2"/>
  <c r="G1539" i="2"/>
  <c r="G3219" i="2"/>
  <c r="G1359" i="2"/>
  <c r="G1519" i="2"/>
  <c r="G2019" i="2"/>
  <c r="G1799" i="2"/>
  <c r="G3299" i="2"/>
  <c r="G1919" i="2"/>
  <c r="G4639" i="2"/>
  <c r="G4599" i="2"/>
  <c r="G3899" i="2"/>
  <c r="G3839" i="2"/>
  <c r="G4559" i="2"/>
  <c r="G5979" i="2"/>
  <c r="G5699" i="2"/>
  <c r="G1979" i="2"/>
  <c r="G2139" i="2"/>
  <c r="G3339" i="2"/>
  <c r="G2799" i="2"/>
  <c r="G5439" i="2"/>
  <c r="G2119" i="2"/>
  <c r="G5599" i="2"/>
  <c r="G3079" i="2"/>
  <c r="G2519" i="2"/>
  <c r="G4419" i="2"/>
  <c r="G4979" i="2"/>
  <c r="G4779" i="2"/>
  <c r="G4079" i="2"/>
  <c r="G2839" i="2"/>
  <c r="G2579" i="2"/>
  <c r="G2719" i="2"/>
  <c r="G5739" i="2"/>
  <c r="G1199" i="2"/>
  <c r="G2219" i="2"/>
  <c r="G4539" i="2"/>
  <c r="G3579" i="2"/>
  <c r="G1279" i="2"/>
  <c r="G3679" i="2"/>
  <c r="G1859" i="2"/>
  <c r="G4959" i="2"/>
  <c r="G3319" i="2"/>
  <c r="G1759" i="2"/>
  <c r="G1439" i="2"/>
  <c r="G1239" i="2"/>
  <c r="G4839" i="2"/>
  <c r="G5419" i="2"/>
  <c r="G5619" i="2"/>
  <c r="G2859" i="2"/>
  <c r="G2359" i="2"/>
  <c r="G2599" i="2"/>
  <c r="G4239" i="2"/>
  <c r="G4039" i="2"/>
  <c r="G4299" i="2"/>
  <c r="G1619" i="2"/>
  <c r="G1679" i="2"/>
  <c r="G1699" i="2"/>
  <c r="G2059" i="2"/>
  <c r="G3999" i="2"/>
  <c r="G5359" i="2"/>
  <c r="G3659" i="2"/>
  <c r="G2199" i="2"/>
  <c r="G2619" i="2"/>
  <c r="G5139" i="2"/>
  <c r="G4379" i="2"/>
  <c r="G4119" i="2"/>
  <c r="G1779" i="2"/>
  <c r="G1559" i="2"/>
  <c r="G4659" i="2"/>
  <c r="G4259" i="2"/>
  <c r="G1739" i="2"/>
  <c r="G2979" i="2"/>
  <c r="G3539" i="2"/>
  <c r="G2419" i="2"/>
  <c r="G5719" i="2"/>
  <c r="G1939" i="2"/>
  <c r="G4619" i="2"/>
  <c r="G5459" i="2"/>
  <c r="G3239" i="2"/>
  <c r="G4399" i="2"/>
  <c r="G5099" i="2"/>
  <c r="G2659" i="2"/>
  <c r="G3039" i="2"/>
  <c r="G4999" i="2"/>
  <c r="G5679" i="2"/>
  <c r="G4099" i="2"/>
  <c r="G1219" i="2"/>
  <c r="G4719" i="2"/>
  <c r="G5899" i="2"/>
  <c r="G3199" i="2"/>
  <c r="G1179" i="2"/>
  <c r="G4019" i="2"/>
  <c r="G2939" i="2"/>
  <c r="G4499" i="2"/>
  <c r="G5759" i="2"/>
  <c r="G2259" i="2"/>
  <c r="G5779" i="2"/>
  <c r="G3799" i="2"/>
  <c r="G5799" i="2"/>
  <c r="G5879" i="2"/>
  <c r="G5399" i="2"/>
  <c r="G2379" i="2"/>
  <c r="G3179" i="2"/>
  <c r="G2699" i="2"/>
  <c r="G3859" i="2"/>
  <c r="G3639" i="2"/>
  <c r="G2539" i="2"/>
  <c r="G3479" i="2"/>
  <c r="G2919" i="2"/>
  <c r="G1379" i="2"/>
  <c r="G1879" i="2"/>
  <c r="G5539" i="2"/>
  <c r="G4899" i="2"/>
  <c r="G1499" i="2"/>
  <c r="G3119" i="2"/>
  <c r="G4939" i="2"/>
  <c r="G2819" i="2"/>
  <c r="G2279" i="2"/>
  <c r="G5559" i="2"/>
  <c r="G5939" i="2"/>
  <c r="G1259" i="2"/>
  <c r="G4279" i="2"/>
  <c r="G3459" i="2"/>
  <c r="G3439" i="2"/>
  <c r="G2079" i="2"/>
  <c r="G1339" i="2"/>
  <c r="G4139" i="2"/>
  <c r="G2339" i="2"/>
  <c r="G3019" i="2"/>
  <c r="G5279" i="2"/>
  <c r="G2639" i="2"/>
  <c r="G3919" i="2"/>
  <c r="G4579" i="2"/>
  <c r="G5219" i="2"/>
  <c r="G1579" i="2"/>
  <c r="G2039" i="2"/>
  <c r="G3259" i="2"/>
  <c r="G3979" i="2"/>
  <c r="G1819" i="2"/>
  <c r="G5019" i="2"/>
  <c r="G3819" i="2"/>
  <c r="G5499" i="2"/>
  <c r="G1299" i="2"/>
  <c r="G3499" i="2"/>
  <c r="G5819" i="2"/>
  <c r="G1399" i="2"/>
  <c r="G4059" i="2"/>
  <c r="G4339" i="2"/>
  <c r="G5319" i="2"/>
  <c r="G5639" i="2"/>
  <c r="G4519" i="2"/>
  <c r="G1599" i="2"/>
  <c r="G4319" i="2"/>
  <c r="G3399" i="2"/>
  <c r="G4439" i="2"/>
  <c r="G5259" i="2"/>
  <c r="G2999" i="2"/>
  <c r="G2479" i="2"/>
  <c r="G2679" i="2"/>
  <c r="G1639" i="2"/>
  <c r="G3739" i="2"/>
  <c r="G2099" i="2"/>
  <c r="G2159" i="2"/>
  <c r="G5959" i="2"/>
  <c r="AY23" i="20"/>
  <c r="O26" i="20" s="1"/>
  <c r="AA23" i="20"/>
  <c r="O24" i="20" s="1"/>
  <c r="Z23" i="20"/>
  <c r="N24" i="20" s="1"/>
  <c r="X23" i="8"/>
  <c r="L24" i="8" s="1"/>
  <c r="AL10" i="14"/>
  <c r="AL11" i="14" s="1"/>
  <c r="AM9" i="14"/>
  <c r="AM10" i="14" s="1"/>
  <c r="AM11" i="14" s="1"/>
  <c r="AM20" i="14"/>
  <c r="AM21" i="14" s="1"/>
  <c r="AM22" i="14" s="1"/>
  <c r="AM23" i="14" s="1"/>
  <c r="AL21" i="14"/>
  <c r="AL22" i="14" s="1"/>
  <c r="AY23" i="14"/>
  <c r="BJ23" i="14"/>
  <c r="AL21" i="13"/>
  <c r="AL22" i="13" s="1"/>
  <c r="AM20" i="13"/>
  <c r="AM21" i="13" s="1"/>
  <c r="AM22" i="13" s="1"/>
  <c r="AM23" i="13" s="1"/>
  <c r="AM9" i="13"/>
  <c r="AM10" i="13" s="1"/>
  <c r="AM11" i="13" s="1"/>
  <c r="AL10" i="13"/>
  <c r="AL11" i="13" s="1"/>
  <c r="BK20" i="12"/>
  <c r="BK21" i="12" s="1"/>
  <c r="BK22" i="12" s="1"/>
  <c r="BK23" i="12" s="1"/>
  <c r="BJ21" i="12"/>
  <c r="BJ22" i="12" s="1"/>
  <c r="BJ23" i="12" s="1"/>
  <c r="AM20" i="12"/>
  <c r="AM21" i="12" s="1"/>
  <c r="AM22" i="12" s="1"/>
  <c r="AL21" i="12"/>
  <c r="AL22" i="12" s="1"/>
  <c r="AK23" i="12"/>
  <c r="AM9" i="12"/>
  <c r="AM10" i="12" s="1"/>
  <c r="AM11" i="12" s="1"/>
  <c r="AL10" i="12"/>
  <c r="AL11" i="12" s="1"/>
  <c r="AM9" i="11"/>
  <c r="AM10" i="11" s="1"/>
  <c r="AM11" i="11" s="1"/>
  <c r="AL10" i="11"/>
  <c r="AL11" i="11" s="1"/>
  <c r="BK20" i="11"/>
  <c r="BK21" i="11" s="1"/>
  <c r="BK22" i="11" s="1"/>
  <c r="BK23" i="11" s="1"/>
  <c r="BJ21" i="11"/>
  <c r="BJ22" i="11" s="1"/>
  <c r="BJ23" i="11" s="1"/>
  <c r="AL21" i="11"/>
  <c r="AL22" i="11" s="1"/>
  <c r="AM20" i="11"/>
  <c r="AM21" i="11" s="1"/>
  <c r="AM22" i="11" s="1"/>
  <c r="AM23" i="11" s="1"/>
  <c r="AY20" i="11"/>
  <c r="AY21" i="11" s="1"/>
  <c r="AY22" i="11" s="1"/>
  <c r="AY23" i="11" s="1"/>
  <c r="AX21" i="11"/>
  <c r="AX22" i="11" s="1"/>
  <c r="AY9" i="11"/>
  <c r="AY10" i="11" s="1"/>
  <c r="AY11" i="11" s="1"/>
  <c r="AX10" i="11"/>
  <c r="AX11" i="11" s="1"/>
  <c r="AL21" i="10"/>
  <c r="AL22" i="10" s="1"/>
  <c r="AM20" i="10"/>
  <c r="AM21" i="10" s="1"/>
  <c r="AM22" i="10" s="1"/>
  <c r="BK20" i="10"/>
  <c r="BK21" i="10" s="1"/>
  <c r="BK22" i="10" s="1"/>
  <c r="BK23" i="10" s="1"/>
  <c r="BJ21" i="10"/>
  <c r="BJ22" i="10" s="1"/>
  <c r="BJ23" i="10" s="1"/>
  <c r="AK23" i="10"/>
  <c r="AM9" i="10"/>
  <c r="AM10" i="10" s="1"/>
  <c r="AM11" i="10" s="1"/>
  <c r="AL10" i="10"/>
  <c r="AL11" i="10" s="1"/>
  <c r="BI23" i="9"/>
  <c r="AY23" i="9"/>
  <c r="AL21" i="9"/>
  <c r="AL22" i="9" s="1"/>
  <c r="AL23" i="9" s="1"/>
  <c r="AM20" i="9"/>
  <c r="AM21" i="9" s="1"/>
  <c r="AM22" i="9" s="1"/>
  <c r="BK20" i="9"/>
  <c r="BK21" i="9" s="1"/>
  <c r="BK22" i="9" s="1"/>
  <c r="BJ21" i="9"/>
  <c r="BJ22" i="9" s="1"/>
  <c r="AM9" i="9"/>
  <c r="AM10" i="9" s="1"/>
  <c r="AM11" i="9" s="1"/>
  <c r="AL10" i="9"/>
  <c r="AL11" i="9" s="1"/>
  <c r="AK23" i="9"/>
  <c r="BK9" i="9"/>
  <c r="BK10" i="9" s="1"/>
  <c r="BK11" i="9" s="1"/>
  <c r="BJ10" i="9"/>
  <c r="BJ11" i="9" s="1"/>
  <c r="BK20" i="8"/>
  <c r="BK21" i="8" s="1"/>
  <c r="BK22" i="8" s="1"/>
  <c r="BK23" i="8" s="1"/>
  <c r="BJ21" i="8"/>
  <c r="BJ22" i="8" s="1"/>
  <c r="BJ23" i="8" s="1"/>
  <c r="AX23" i="8"/>
  <c r="BK9" i="8"/>
  <c r="BK10" i="8" s="1"/>
  <c r="BK11" i="8" s="1"/>
  <c r="BJ10" i="8"/>
  <c r="BJ11" i="8" s="1"/>
  <c r="BI23" i="8"/>
  <c r="AM20" i="8"/>
  <c r="AM21" i="8" s="1"/>
  <c r="AM22" i="8" s="1"/>
  <c r="AM23" i="8" s="1"/>
  <c r="AL21" i="8"/>
  <c r="AL22" i="8" s="1"/>
  <c r="AL23" i="8" s="1"/>
  <c r="AM9" i="7"/>
  <c r="AM10" i="7" s="1"/>
  <c r="AM11" i="7" s="1"/>
  <c r="AL10" i="7"/>
  <c r="AL11" i="7" s="1"/>
  <c r="AM20" i="7"/>
  <c r="AM21" i="7" s="1"/>
  <c r="AM22" i="7" s="1"/>
  <c r="AL21" i="7"/>
  <c r="AL22" i="7" s="1"/>
  <c r="BK20" i="7"/>
  <c r="BK21" i="7" s="1"/>
  <c r="BK22" i="7" s="1"/>
  <c r="BK23" i="7" s="1"/>
  <c r="BJ21" i="7"/>
  <c r="BJ22" i="7" s="1"/>
  <c r="AY23" i="7"/>
  <c r="BK9" i="7"/>
  <c r="BK10" i="7" s="1"/>
  <c r="BK11" i="7" s="1"/>
  <c r="BJ10" i="7"/>
  <c r="BJ11" i="7" s="1"/>
  <c r="AM9" i="3"/>
  <c r="AM10" i="3" s="1"/>
  <c r="AM11" i="3" s="1"/>
  <c r="AL10" i="3"/>
  <c r="AL11" i="3" s="1"/>
  <c r="BK20" i="3"/>
  <c r="BK21" i="3" s="1"/>
  <c r="BK22" i="3" s="1"/>
  <c r="BK23" i="3" s="1"/>
  <c r="O27" i="3" s="1"/>
  <c r="BJ21" i="3"/>
  <c r="BJ22" i="3" s="1"/>
  <c r="BJ23" i="3" s="1"/>
  <c r="N27" i="3" s="1"/>
  <c r="AK23" i="3"/>
  <c r="M25" i="3" s="1"/>
  <c r="AM20" i="3"/>
  <c r="AM21" i="3" s="1"/>
  <c r="AM22" i="3" s="1"/>
  <c r="AM23" i="3" s="1"/>
  <c r="O25" i="3" s="1"/>
  <c r="AL21" i="3"/>
  <c r="AL22" i="3" s="1"/>
  <c r="Y10" i="8"/>
  <c r="Y11" i="8" s="1"/>
  <c r="Z9" i="8"/>
  <c r="Z20" i="8"/>
  <c r="Y21" i="8"/>
  <c r="Y22" i="8" s="1"/>
  <c r="Y10" i="14"/>
  <c r="Y11" i="14" s="1"/>
  <c r="Z9" i="14"/>
  <c r="X23" i="14"/>
  <c r="Z20" i="14"/>
  <c r="Y21" i="14"/>
  <c r="Y22" i="14" s="1"/>
  <c r="Y23" i="14" s="1"/>
  <c r="Z10" i="13"/>
  <c r="Z11" i="13" s="1"/>
  <c r="Z23" i="13" s="1"/>
  <c r="N24" i="13" s="1"/>
  <c r="AA9" i="13"/>
  <c r="AA10" i="13" s="1"/>
  <c r="AA11" i="13" s="1"/>
  <c r="AA23" i="13" s="1"/>
  <c r="O24" i="13" s="1"/>
  <c r="Y21" i="12"/>
  <c r="Y22" i="12" s="1"/>
  <c r="Y23" i="12" s="1"/>
  <c r="M24" i="12" s="1"/>
  <c r="Z20" i="12"/>
  <c r="Y10" i="12"/>
  <c r="Y11" i="12" s="1"/>
  <c r="Z9" i="12"/>
  <c r="Z20" i="11"/>
  <c r="Y21" i="11"/>
  <c r="Y22" i="11" s="1"/>
  <c r="Y10" i="11"/>
  <c r="Y11" i="11" s="1"/>
  <c r="Z9" i="11"/>
  <c r="X23" i="11"/>
  <c r="L24" i="11" s="1"/>
  <c r="Y10" i="10"/>
  <c r="Y11" i="10" s="1"/>
  <c r="Y23" i="10" s="1"/>
  <c r="Z9" i="10"/>
  <c r="AA20" i="10"/>
  <c r="AA21" i="10" s="1"/>
  <c r="AA22" i="10" s="1"/>
  <c r="Z21" i="10"/>
  <c r="Z22" i="10" s="1"/>
  <c r="X23" i="9"/>
  <c r="Y10" i="9"/>
  <c r="Y11" i="9" s="1"/>
  <c r="Z9" i="9"/>
  <c r="Y21" i="9"/>
  <c r="Y22" i="9" s="1"/>
  <c r="Y23" i="9" s="1"/>
  <c r="Z20" i="9"/>
  <c r="Y10" i="7"/>
  <c r="Y11" i="7" s="1"/>
  <c r="Y23" i="7" s="1"/>
  <c r="Z9" i="7"/>
  <c r="X10" i="3"/>
  <c r="X11" i="3" s="1"/>
  <c r="Y9" i="3"/>
  <c r="Y20" i="3"/>
  <c r="X21" i="3"/>
  <c r="X22" i="3" s="1"/>
  <c r="X23" i="3" s="1"/>
  <c r="W23" i="3"/>
  <c r="BH20" i="1"/>
  <c r="BG21" i="1"/>
  <c r="BG22" i="1" s="1"/>
  <c r="BH10" i="1"/>
  <c r="BH11" i="1" s="1"/>
  <c r="BI9" i="1"/>
  <c r="AW20" i="1"/>
  <c r="AV21" i="1"/>
  <c r="AV22" i="1" s="1"/>
  <c r="AL9" i="1"/>
  <c r="AK10" i="1"/>
  <c r="AK11" i="1" s="1"/>
  <c r="Y9" i="1"/>
  <c r="X10" i="1"/>
  <c r="X11" i="1" s="1"/>
  <c r="AJ21" i="1"/>
  <c r="AJ22" i="1" s="1"/>
  <c r="AJ23" i="1" s="1"/>
  <c r="L25" i="1" s="1"/>
  <c r="AK20" i="1"/>
  <c r="X21" i="1"/>
  <c r="X22" i="1" s="1"/>
  <c r="X23" i="1" s="1"/>
  <c r="L24" i="1" s="1"/>
  <c r="Y20" i="1"/>
  <c r="V5" i="16"/>
  <c r="W5" i="16" s="1"/>
  <c r="V6" i="16"/>
  <c r="V7" i="16"/>
  <c r="V8" i="16"/>
  <c r="V9" i="16"/>
  <c r="V10" i="16"/>
  <c r="V11" i="16"/>
  <c r="W10" i="16" s="1"/>
  <c r="V12" i="16"/>
  <c r="W12" i="16" s="1"/>
  <c r="V13" i="16"/>
  <c r="V14" i="16"/>
  <c r="V4" i="16"/>
  <c r="W3" i="16" s="1"/>
  <c r="W8" i="16"/>
  <c r="V3" i="16"/>
  <c r="S14" i="16"/>
  <c r="S13" i="16"/>
  <c r="S12" i="16"/>
  <c r="S11" i="16"/>
  <c r="S10" i="16"/>
  <c r="S9" i="16"/>
  <c r="S8" i="16"/>
  <c r="S7" i="16"/>
  <c r="S6" i="16"/>
  <c r="S5" i="16"/>
  <c r="S4" i="16"/>
  <c r="S3" i="16"/>
  <c r="S2" i="16"/>
  <c r="W7" i="16"/>
  <c r="W2" i="16"/>
  <c r="W6" i="16"/>
  <c r="W13" i="16"/>
  <c r="W14" i="16"/>
  <c r="H20" i="1"/>
  <c r="H19" i="1"/>
  <c r="I19" i="1" s="1"/>
  <c r="J19" i="1" s="1"/>
  <c r="K19" i="1" s="1"/>
  <c r="L19" i="1" s="1"/>
  <c r="M19" i="1" s="1"/>
  <c r="N19" i="1" s="1"/>
  <c r="O19" i="1" s="1"/>
  <c r="H18" i="1"/>
  <c r="J18" i="1" s="1"/>
  <c r="K18" i="1" s="1"/>
  <c r="L18" i="1" s="1"/>
  <c r="M18" i="1" s="1"/>
  <c r="N18" i="1" s="1"/>
  <c r="O18" i="1" s="1"/>
  <c r="H17" i="1"/>
  <c r="I17" i="1" s="1"/>
  <c r="J17" i="1" s="1"/>
  <c r="K17" i="1" s="1"/>
  <c r="L17" i="1" s="1"/>
  <c r="M17" i="1" s="1"/>
  <c r="N17" i="1" s="1"/>
  <c r="O17" i="1" s="1"/>
  <c r="H16" i="1"/>
  <c r="I16" i="1" s="1"/>
  <c r="J16" i="1" s="1"/>
  <c r="K16" i="1" s="1"/>
  <c r="L16" i="1" s="1"/>
  <c r="M16" i="1" s="1"/>
  <c r="N16" i="1" s="1"/>
  <c r="O16" i="1" s="1"/>
  <c r="H15" i="1"/>
  <c r="I15" i="1" s="1"/>
  <c r="J15" i="1" s="1"/>
  <c r="K15" i="1" s="1"/>
  <c r="L15" i="1" s="1"/>
  <c r="M15" i="1" s="1"/>
  <c r="N15" i="1" s="1"/>
  <c r="O15" i="1" s="1"/>
  <c r="H14" i="1"/>
  <c r="I14" i="1" s="1"/>
  <c r="J14" i="1" s="1"/>
  <c r="K14" i="1" s="1"/>
  <c r="L14" i="1" s="1"/>
  <c r="M14" i="1" s="1"/>
  <c r="N14" i="1" s="1"/>
  <c r="O14" i="1" s="1"/>
  <c r="H13" i="1"/>
  <c r="I13" i="1" s="1"/>
  <c r="J13" i="1" s="1"/>
  <c r="K13" i="1" s="1"/>
  <c r="L13" i="1" s="1"/>
  <c r="M13" i="1" s="1"/>
  <c r="N13" i="1" s="1"/>
  <c r="O13" i="1" s="1"/>
  <c r="H9" i="1"/>
  <c r="I9" i="1" s="1"/>
  <c r="H8" i="1"/>
  <c r="I8" i="1" s="1"/>
  <c r="J8" i="1" s="1"/>
  <c r="K8" i="1" s="1"/>
  <c r="L8" i="1" s="1"/>
  <c r="M8" i="1" s="1"/>
  <c r="N8" i="1" s="1"/>
  <c r="O8" i="1" s="1"/>
  <c r="H7" i="1"/>
  <c r="I7" i="1" s="1"/>
  <c r="J7" i="1" s="1"/>
  <c r="K7" i="1" s="1"/>
  <c r="L7" i="1" s="1"/>
  <c r="M7" i="1" s="1"/>
  <c r="N7" i="1" s="1"/>
  <c r="O7" i="1" s="1"/>
  <c r="H6" i="1"/>
  <c r="I6" i="1" s="1"/>
  <c r="J6" i="1" s="1"/>
  <c r="K6" i="1" s="1"/>
  <c r="L6" i="1" s="1"/>
  <c r="M6" i="1" s="1"/>
  <c r="N6" i="1" s="1"/>
  <c r="O6" i="1" s="1"/>
  <c r="H5" i="1"/>
  <c r="I5" i="1" s="1"/>
  <c r="J5" i="1" s="1"/>
  <c r="K5" i="1" s="1"/>
  <c r="L5" i="1" s="1"/>
  <c r="M5" i="1" s="1"/>
  <c r="N5" i="1" s="1"/>
  <c r="O5" i="1" s="1"/>
  <c r="H4" i="1"/>
  <c r="I4" i="1" s="1"/>
  <c r="J4" i="1" s="1"/>
  <c r="K4" i="1" s="1"/>
  <c r="L4" i="1" s="1"/>
  <c r="M4" i="1" s="1"/>
  <c r="N4" i="1" s="1"/>
  <c r="O4" i="1" s="1"/>
  <c r="H3" i="1"/>
  <c r="I3" i="1" s="1"/>
  <c r="J3" i="1" s="1"/>
  <c r="K3" i="1" s="1"/>
  <c r="L3" i="1" s="1"/>
  <c r="M3" i="1" s="1"/>
  <c r="N3" i="1" s="1"/>
  <c r="O3" i="1" s="1"/>
  <c r="H2" i="1"/>
  <c r="I2" i="1" s="1"/>
  <c r="J2" i="1" s="1"/>
  <c r="K2" i="1" s="1"/>
  <c r="L2" i="1" s="1"/>
  <c r="M2" i="1" s="1"/>
  <c r="N2" i="1" s="1"/>
  <c r="O2" i="1" s="1"/>
  <c r="H20" i="8"/>
  <c r="H19" i="8"/>
  <c r="I19" i="8" s="1"/>
  <c r="J19" i="8" s="1"/>
  <c r="K19" i="8" s="1"/>
  <c r="L19" i="8" s="1"/>
  <c r="M19" i="8" s="1"/>
  <c r="N19" i="8" s="1"/>
  <c r="O19" i="8" s="1"/>
  <c r="H18" i="8"/>
  <c r="I18" i="8" s="1"/>
  <c r="J18" i="8" s="1"/>
  <c r="K18" i="8" s="1"/>
  <c r="L18" i="8" s="1"/>
  <c r="M18" i="8" s="1"/>
  <c r="N18" i="8" s="1"/>
  <c r="O18" i="8" s="1"/>
  <c r="H17" i="8"/>
  <c r="I17" i="8" s="1"/>
  <c r="J17" i="8" s="1"/>
  <c r="K17" i="8" s="1"/>
  <c r="L17" i="8" s="1"/>
  <c r="M17" i="8" s="1"/>
  <c r="N17" i="8" s="1"/>
  <c r="O17" i="8" s="1"/>
  <c r="H16" i="8"/>
  <c r="I16" i="8" s="1"/>
  <c r="J16" i="8" s="1"/>
  <c r="K16" i="8" s="1"/>
  <c r="L16" i="8" s="1"/>
  <c r="M16" i="8" s="1"/>
  <c r="N16" i="8" s="1"/>
  <c r="O16" i="8" s="1"/>
  <c r="H15" i="8"/>
  <c r="I15" i="8" s="1"/>
  <c r="J15" i="8" s="1"/>
  <c r="K15" i="8" s="1"/>
  <c r="L15" i="8" s="1"/>
  <c r="M15" i="8" s="1"/>
  <c r="N15" i="8" s="1"/>
  <c r="O15" i="8" s="1"/>
  <c r="H14" i="8"/>
  <c r="I14" i="8" s="1"/>
  <c r="J14" i="8" s="1"/>
  <c r="K14" i="8" s="1"/>
  <c r="L14" i="8" s="1"/>
  <c r="M14" i="8" s="1"/>
  <c r="N14" i="8" s="1"/>
  <c r="O14" i="8" s="1"/>
  <c r="H13" i="8"/>
  <c r="I13" i="8" s="1"/>
  <c r="J13" i="8" s="1"/>
  <c r="K13" i="8" s="1"/>
  <c r="L13" i="8" s="1"/>
  <c r="M13" i="8" s="1"/>
  <c r="N13" i="8" s="1"/>
  <c r="O13" i="8" s="1"/>
  <c r="H9" i="8"/>
  <c r="H8" i="8"/>
  <c r="I8" i="8" s="1"/>
  <c r="J8" i="8" s="1"/>
  <c r="K8" i="8" s="1"/>
  <c r="L8" i="8" s="1"/>
  <c r="M8" i="8" s="1"/>
  <c r="N8" i="8" s="1"/>
  <c r="O8" i="8" s="1"/>
  <c r="H7" i="8"/>
  <c r="I7" i="8" s="1"/>
  <c r="J7" i="8" s="1"/>
  <c r="K7" i="8" s="1"/>
  <c r="L7" i="8" s="1"/>
  <c r="M7" i="8" s="1"/>
  <c r="N7" i="8" s="1"/>
  <c r="O7" i="8" s="1"/>
  <c r="H6" i="8"/>
  <c r="I6" i="8" s="1"/>
  <c r="J6" i="8" s="1"/>
  <c r="K6" i="8" s="1"/>
  <c r="L6" i="8" s="1"/>
  <c r="M6" i="8" s="1"/>
  <c r="N6" i="8" s="1"/>
  <c r="O6" i="8" s="1"/>
  <c r="H5" i="8"/>
  <c r="I5" i="8" s="1"/>
  <c r="J5" i="8" s="1"/>
  <c r="K5" i="8" s="1"/>
  <c r="L5" i="8" s="1"/>
  <c r="M5" i="8" s="1"/>
  <c r="N5" i="8" s="1"/>
  <c r="O5" i="8" s="1"/>
  <c r="H4" i="8"/>
  <c r="I4" i="8" s="1"/>
  <c r="J4" i="8" s="1"/>
  <c r="K4" i="8" s="1"/>
  <c r="L4" i="8" s="1"/>
  <c r="M4" i="8" s="1"/>
  <c r="N4" i="8" s="1"/>
  <c r="O4" i="8" s="1"/>
  <c r="H3" i="8"/>
  <c r="I3" i="8" s="1"/>
  <c r="J3" i="8" s="1"/>
  <c r="K3" i="8" s="1"/>
  <c r="L3" i="8" s="1"/>
  <c r="M3" i="8" s="1"/>
  <c r="N3" i="8" s="1"/>
  <c r="O3" i="8" s="1"/>
  <c r="H2" i="8"/>
  <c r="I2" i="8" s="1"/>
  <c r="J2" i="8" s="1"/>
  <c r="K2" i="8" s="1"/>
  <c r="L2" i="8" s="1"/>
  <c r="M2" i="8" s="1"/>
  <c r="N2" i="8" s="1"/>
  <c r="O2" i="8" s="1"/>
  <c r="H20" i="7"/>
  <c r="H19" i="7"/>
  <c r="I19" i="7" s="1"/>
  <c r="J19" i="7" s="1"/>
  <c r="K19" i="7" s="1"/>
  <c r="L19" i="7" s="1"/>
  <c r="M19" i="7" s="1"/>
  <c r="N19" i="7" s="1"/>
  <c r="O19" i="7" s="1"/>
  <c r="H18" i="7"/>
  <c r="I18" i="7" s="1"/>
  <c r="J18" i="7" s="1"/>
  <c r="K18" i="7" s="1"/>
  <c r="L18" i="7" s="1"/>
  <c r="M18" i="7" s="1"/>
  <c r="N18" i="7" s="1"/>
  <c r="O18" i="7" s="1"/>
  <c r="H17" i="7"/>
  <c r="I17" i="7" s="1"/>
  <c r="J17" i="7" s="1"/>
  <c r="K17" i="7" s="1"/>
  <c r="L17" i="7" s="1"/>
  <c r="M17" i="7" s="1"/>
  <c r="N17" i="7" s="1"/>
  <c r="O17" i="7" s="1"/>
  <c r="H16" i="7"/>
  <c r="I16" i="7" s="1"/>
  <c r="J16" i="7" s="1"/>
  <c r="K16" i="7" s="1"/>
  <c r="L16" i="7" s="1"/>
  <c r="M16" i="7" s="1"/>
  <c r="N16" i="7" s="1"/>
  <c r="O16" i="7" s="1"/>
  <c r="H15" i="7"/>
  <c r="I15" i="7" s="1"/>
  <c r="J15" i="7" s="1"/>
  <c r="K15" i="7" s="1"/>
  <c r="L15" i="7" s="1"/>
  <c r="M15" i="7" s="1"/>
  <c r="N15" i="7" s="1"/>
  <c r="O15" i="7" s="1"/>
  <c r="H14" i="7"/>
  <c r="I14" i="7" s="1"/>
  <c r="J14" i="7" s="1"/>
  <c r="K14" i="7" s="1"/>
  <c r="L14" i="7" s="1"/>
  <c r="M14" i="7" s="1"/>
  <c r="N14" i="7" s="1"/>
  <c r="O14" i="7" s="1"/>
  <c r="H13" i="7"/>
  <c r="I13" i="7" s="1"/>
  <c r="J13" i="7" s="1"/>
  <c r="K13" i="7" s="1"/>
  <c r="L13" i="7" s="1"/>
  <c r="M13" i="7" s="1"/>
  <c r="N13" i="7" s="1"/>
  <c r="O13" i="7" s="1"/>
  <c r="H9" i="7"/>
  <c r="H8" i="7"/>
  <c r="I8" i="7" s="1"/>
  <c r="J8" i="7" s="1"/>
  <c r="K8" i="7" s="1"/>
  <c r="L8" i="7" s="1"/>
  <c r="M8" i="7" s="1"/>
  <c r="N8" i="7" s="1"/>
  <c r="O8" i="7" s="1"/>
  <c r="H7" i="7"/>
  <c r="I7" i="7" s="1"/>
  <c r="J7" i="7" s="1"/>
  <c r="K7" i="7" s="1"/>
  <c r="L7" i="7" s="1"/>
  <c r="M7" i="7" s="1"/>
  <c r="N7" i="7" s="1"/>
  <c r="O7" i="7" s="1"/>
  <c r="H6" i="7"/>
  <c r="I6" i="7" s="1"/>
  <c r="J6" i="7" s="1"/>
  <c r="K6" i="7" s="1"/>
  <c r="L6" i="7" s="1"/>
  <c r="M6" i="7" s="1"/>
  <c r="N6" i="7" s="1"/>
  <c r="O6" i="7" s="1"/>
  <c r="H5" i="7"/>
  <c r="I5" i="7" s="1"/>
  <c r="J5" i="7" s="1"/>
  <c r="K5" i="7" s="1"/>
  <c r="L5" i="7" s="1"/>
  <c r="M5" i="7" s="1"/>
  <c r="N5" i="7" s="1"/>
  <c r="O5" i="7" s="1"/>
  <c r="H4" i="7"/>
  <c r="I4" i="7" s="1"/>
  <c r="J4" i="7" s="1"/>
  <c r="K4" i="7" s="1"/>
  <c r="L4" i="7" s="1"/>
  <c r="M4" i="7" s="1"/>
  <c r="N4" i="7" s="1"/>
  <c r="O4" i="7" s="1"/>
  <c r="H3" i="7"/>
  <c r="I3" i="7" s="1"/>
  <c r="J3" i="7" s="1"/>
  <c r="K3" i="7" s="1"/>
  <c r="L3" i="7" s="1"/>
  <c r="M3" i="7" s="1"/>
  <c r="N3" i="7" s="1"/>
  <c r="O3" i="7" s="1"/>
  <c r="H2" i="7"/>
  <c r="I2" i="7" s="1"/>
  <c r="J2" i="7" s="1"/>
  <c r="K2" i="7" s="1"/>
  <c r="L2" i="7" s="1"/>
  <c r="M2" i="7" s="1"/>
  <c r="N2" i="7" s="1"/>
  <c r="O2" i="7" s="1"/>
  <c r="I20" i="3"/>
  <c r="H20" i="3"/>
  <c r="H19" i="3"/>
  <c r="I19" i="3" s="1"/>
  <c r="J19" i="3" s="1"/>
  <c r="K19" i="3" s="1"/>
  <c r="L19" i="3" s="1"/>
  <c r="M19" i="3" s="1"/>
  <c r="N19" i="3" s="1"/>
  <c r="O19" i="3" s="1"/>
  <c r="H18" i="3"/>
  <c r="I18" i="3" s="1"/>
  <c r="J18" i="3" s="1"/>
  <c r="K18" i="3" s="1"/>
  <c r="L18" i="3" s="1"/>
  <c r="M18" i="3" s="1"/>
  <c r="N18" i="3" s="1"/>
  <c r="O18" i="3" s="1"/>
  <c r="H17" i="3"/>
  <c r="I17" i="3" s="1"/>
  <c r="J17" i="3" s="1"/>
  <c r="K17" i="3" s="1"/>
  <c r="L17" i="3" s="1"/>
  <c r="M17" i="3" s="1"/>
  <c r="N17" i="3" s="1"/>
  <c r="O17" i="3" s="1"/>
  <c r="H16" i="3"/>
  <c r="I16" i="3" s="1"/>
  <c r="J16" i="3" s="1"/>
  <c r="K16" i="3" s="1"/>
  <c r="L16" i="3" s="1"/>
  <c r="M16" i="3" s="1"/>
  <c r="N16" i="3" s="1"/>
  <c r="O16" i="3" s="1"/>
  <c r="I15" i="3"/>
  <c r="J15" i="3" s="1"/>
  <c r="K15" i="3" s="1"/>
  <c r="L15" i="3" s="1"/>
  <c r="M15" i="3" s="1"/>
  <c r="N15" i="3" s="1"/>
  <c r="O15" i="3" s="1"/>
  <c r="I14" i="3"/>
  <c r="J14" i="3" s="1"/>
  <c r="K14" i="3" s="1"/>
  <c r="L14" i="3" s="1"/>
  <c r="M14" i="3" s="1"/>
  <c r="N14" i="3" s="1"/>
  <c r="O14" i="3" s="1"/>
  <c r="I13" i="3"/>
  <c r="J13" i="3" s="1"/>
  <c r="K13" i="3" s="1"/>
  <c r="L13" i="3" s="1"/>
  <c r="M13" i="3" s="1"/>
  <c r="N13" i="3" s="1"/>
  <c r="O13" i="3" s="1"/>
  <c r="H13" i="3"/>
  <c r="H9" i="3"/>
  <c r="I9" i="3" s="1"/>
  <c r="J9" i="3" s="1"/>
  <c r="H8" i="3"/>
  <c r="I8" i="3" s="1"/>
  <c r="J8" i="3" s="1"/>
  <c r="K8" i="3" s="1"/>
  <c r="L8" i="3" s="1"/>
  <c r="M8" i="3" s="1"/>
  <c r="N8" i="3" s="1"/>
  <c r="O8" i="3" s="1"/>
  <c r="H7" i="3"/>
  <c r="H6" i="3"/>
  <c r="I6" i="3" s="1"/>
  <c r="J6" i="3" s="1"/>
  <c r="K6" i="3" s="1"/>
  <c r="L6" i="3" s="1"/>
  <c r="M6" i="3" s="1"/>
  <c r="N6" i="3" s="1"/>
  <c r="O6" i="3" s="1"/>
  <c r="H5" i="3"/>
  <c r="J5" i="3" s="1"/>
  <c r="K5" i="3" s="1"/>
  <c r="L5" i="3" s="1"/>
  <c r="M5" i="3" s="1"/>
  <c r="N5" i="3" s="1"/>
  <c r="O5" i="3" s="1"/>
  <c r="H4" i="3"/>
  <c r="I4" i="3" s="1"/>
  <c r="J4" i="3" s="1"/>
  <c r="K4" i="3" s="1"/>
  <c r="L4" i="3" s="1"/>
  <c r="M4" i="3" s="1"/>
  <c r="N4" i="3" s="1"/>
  <c r="O4" i="3" s="1"/>
  <c r="H3" i="3"/>
  <c r="J3" i="3" s="1"/>
  <c r="K3" i="3" s="1"/>
  <c r="L3" i="3" s="1"/>
  <c r="M3" i="3" s="1"/>
  <c r="N3" i="3" s="1"/>
  <c r="O3" i="3" s="1"/>
  <c r="I2" i="3"/>
  <c r="J2" i="3" s="1"/>
  <c r="K2" i="3" s="1"/>
  <c r="L2" i="3" s="1"/>
  <c r="M2" i="3" s="1"/>
  <c r="N2" i="3" s="1"/>
  <c r="O2" i="3" s="1"/>
  <c r="H2" i="3"/>
  <c r="H20" i="14"/>
  <c r="H19" i="14"/>
  <c r="I19" i="14" s="1"/>
  <c r="J19" i="14" s="1"/>
  <c r="K19" i="14" s="1"/>
  <c r="L19" i="14" s="1"/>
  <c r="M19" i="14" s="1"/>
  <c r="N19" i="14" s="1"/>
  <c r="O19" i="14" s="1"/>
  <c r="H18" i="14"/>
  <c r="I18" i="14" s="1"/>
  <c r="J18" i="14" s="1"/>
  <c r="K18" i="14" s="1"/>
  <c r="L18" i="14" s="1"/>
  <c r="M18" i="14" s="1"/>
  <c r="N18" i="14" s="1"/>
  <c r="O18" i="14" s="1"/>
  <c r="H17" i="14"/>
  <c r="I17" i="14" s="1"/>
  <c r="J17" i="14" s="1"/>
  <c r="K17" i="14" s="1"/>
  <c r="L17" i="14" s="1"/>
  <c r="M17" i="14" s="1"/>
  <c r="N17" i="14" s="1"/>
  <c r="O17" i="14" s="1"/>
  <c r="H16" i="14"/>
  <c r="I16" i="14" s="1"/>
  <c r="J16" i="14" s="1"/>
  <c r="K16" i="14" s="1"/>
  <c r="L16" i="14" s="1"/>
  <c r="M16" i="14" s="1"/>
  <c r="N16" i="14" s="1"/>
  <c r="O16" i="14" s="1"/>
  <c r="H15" i="14"/>
  <c r="I15" i="14" s="1"/>
  <c r="J15" i="14" s="1"/>
  <c r="K15" i="14" s="1"/>
  <c r="L15" i="14" s="1"/>
  <c r="M15" i="14" s="1"/>
  <c r="N15" i="14" s="1"/>
  <c r="O15" i="14" s="1"/>
  <c r="H14" i="14"/>
  <c r="I14" i="14" s="1"/>
  <c r="J14" i="14" s="1"/>
  <c r="K14" i="14" s="1"/>
  <c r="L14" i="14" s="1"/>
  <c r="M14" i="14" s="1"/>
  <c r="N14" i="14" s="1"/>
  <c r="O14" i="14" s="1"/>
  <c r="H13" i="14"/>
  <c r="I13" i="14" s="1"/>
  <c r="J13" i="14" s="1"/>
  <c r="K13" i="14" s="1"/>
  <c r="L13" i="14" s="1"/>
  <c r="M13" i="14" s="1"/>
  <c r="N13" i="14" s="1"/>
  <c r="O13" i="14" s="1"/>
  <c r="H9" i="14"/>
  <c r="I9" i="14" s="1"/>
  <c r="H8" i="14"/>
  <c r="I8" i="14" s="1"/>
  <c r="J8" i="14" s="1"/>
  <c r="K8" i="14" s="1"/>
  <c r="L8" i="14" s="1"/>
  <c r="M8" i="14" s="1"/>
  <c r="N8" i="14" s="1"/>
  <c r="O8" i="14" s="1"/>
  <c r="H7" i="14"/>
  <c r="H6" i="14"/>
  <c r="I6" i="14" s="1"/>
  <c r="J6" i="14" s="1"/>
  <c r="K6" i="14" s="1"/>
  <c r="L6" i="14" s="1"/>
  <c r="M6" i="14" s="1"/>
  <c r="N6" i="14" s="1"/>
  <c r="O6" i="14" s="1"/>
  <c r="H5" i="14"/>
  <c r="I5" i="14" s="1"/>
  <c r="J5" i="14" s="1"/>
  <c r="K5" i="14" s="1"/>
  <c r="L5" i="14" s="1"/>
  <c r="M5" i="14" s="1"/>
  <c r="N5" i="14" s="1"/>
  <c r="O5" i="14" s="1"/>
  <c r="H4" i="14"/>
  <c r="I4" i="14" s="1"/>
  <c r="J4" i="14" s="1"/>
  <c r="K4" i="14" s="1"/>
  <c r="L4" i="14" s="1"/>
  <c r="M4" i="14" s="1"/>
  <c r="N4" i="14" s="1"/>
  <c r="O4" i="14" s="1"/>
  <c r="H3" i="14"/>
  <c r="I3" i="14" s="1"/>
  <c r="J3" i="14" s="1"/>
  <c r="K3" i="14" s="1"/>
  <c r="L3" i="14" s="1"/>
  <c r="M3" i="14" s="1"/>
  <c r="N3" i="14" s="1"/>
  <c r="O3" i="14" s="1"/>
  <c r="H2" i="14"/>
  <c r="I2" i="14" s="1"/>
  <c r="J2" i="14" s="1"/>
  <c r="K2" i="14" s="1"/>
  <c r="L2" i="14" s="1"/>
  <c r="M2" i="14" s="1"/>
  <c r="N2" i="14" s="1"/>
  <c r="O2" i="14" s="1"/>
  <c r="H20" i="13"/>
  <c r="H19" i="13"/>
  <c r="I19" i="13" s="1"/>
  <c r="J19" i="13" s="1"/>
  <c r="K19" i="13" s="1"/>
  <c r="L19" i="13" s="1"/>
  <c r="M19" i="13" s="1"/>
  <c r="N19" i="13" s="1"/>
  <c r="O19" i="13" s="1"/>
  <c r="H18" i="13"/>
  <c r="I18" i="13" s="1"/>
  <c r="J18" i="13" s="1"/>
  <c r="K18" i="13" s="1"/>
  <c r="L18" i="13" s="1"/>
  <c r="M18" i="13" s="1"/>
  <c r="N18" i="13" s="1"/>
  <c r="O18" i="13" s="1"/>
  <c r="H17" i="13"/>
  <c r="I17" i="13" s="1"/>
  <c r="H16" i="13"/>
  <c r="K16" i="13" s="1"/>
  <c r="L16" i="13" s="1"/>
  <c r="M16" i="13" s="1"/>
  <c r="N16" i="13" s="1"/>
  <c r="O16" i="13" s="1"/>
  <c r="H15" i="13"/>
  <c r="I15" i="13" s="1"/>
  <c r="J15" i="13" s="1"/>
  <c r="K15" i="13" s="1"/>
  <c r="L15" i="13" s="1"/>
  <c r="M15" i="13" s="1"/>
  <c r="N15" i="13" s="1"/>
  <c r="O15" i="13" s="1"/>
  <c r="H14" i="13"/>
  <c r="I14" i="13" s="1"/>
  <c r="J14" i="13" s="1"/>
  <c r="K14" i="13" s="1"/>
  <c r="L14" i="13" s="1"/>
  <c r="M14" i="13" s="1"/>
  <c r="N14" i="13" s="1"/>
  <c r="O14" i="13" s="1"/>
  <c r="H13" i="13"/>
  <c r="I13" i="13" s="1"/>
  <c r="J13" i="13" s="1"/>
  <c r="K13" i="13" s="1"/>
  <c r="N13" i="13" s="1"/>
  <c r="O13" i="13" s="1"/>
  <c r="H9" i="13"/>
  <c r="H8" i="13"/>
  <c r="I8" i="13" s="1"/>
  <c r="J8" i="13" s="1"/>
  <c r="K8" i="13" s="1"/>
  <c r="L8" i="13" s="1"/>
  <c r="M8" i="13" s="1"/>
  <c r="N8" i="13" s="1"/>
  <c r="O8" i="13" s="1"/>
  <c r="J7" i="13"/>
  <c r="K7" i="13" s="1"/>
  <c r="L7" i="13" s="1"/>
  <c r="M7" i="13" s="1"/>
  <c r="N7" i="13" s="1"/>
  <c r="O7" i="13" s="1"/>
  <c r="H6" i="13"/>
  <c r="I6" i="13" s="1"/>
  <c r="J6" i="13" s="1"/>
  <c r="K6" i="13" s="1"/>
  <c r="L6" i="13" s="1"/>
  <c r="M6" i="13" s="1"/>
  <c r="N6" i="13" s="1"/>
  <c r="O6" i="13" s="1"/>
  <c r="H5" i="13"/>
  <c r="I5" i="13" s="1"/>
  <c r="K5" i="13" s="1"/>
  <c r="L5" i="13" s="1"/>
  <c r="M5" i="13" s="1"/>
  <c r="N5" i="13" s="1"/>
  <c r="O5" i="13" s="1"/>
  <c r="H4" i="13"/>
  <c r="I4" i="13" s="1"/>
  <c r="J4" i="13" s="1"/>
  <c r="K4" i="13" s="1"/>
  <c r="L4" i="13" s="1"/>
  <c r="M4" i="13" s="1"/>
  <c r="N4" i="13" s="1"/>
  <c r="O4" i="13" s="1"/>
  <c r="H3" i="13"/>
  <c r="I3" i="13" s="1"/>
  <c r="J3" i="13" s="1"/>
  <c r="K3" i="13" s="1"/>
  <c r="L3" i="13" s="1"/>
  <c r="M3" i="13" s="1"/>
  <c r="N3" i="13" s="1"/>
  <c r="O3" i="13" s="1"/>
  <c r="H2" i="13"/>
  <c r="I2" i="13" s="1"/>
  <c r="J2" i="13" s="1"/>
  <c r="M2" i="13" s="1"/>
  <c r="N2" i="13" s="1"/>
  <c r="O2" i="13" s="1"/>
  <c r="H20" i="12"/>
  <c r="H19" i="12"/>
  <c r="I19" i="12" s="1"/>
  <c r="J19" i="12" s="1"/>
  <c r="K19" i="12" s="1"/>
  <c r="L19" i="12" s="1"/>
  <c r="M19" i="12" s="1"/>
  <c r="N19" i="12" s="1"/>
  <c r="O19" i="12" s="1"/>
  <c r="H18" i="12"/>
  <c r="I18" i="12" s="1"/>
  <c r="J18" i="12" s="1"/>
  <c r="K18" i="12" s="1"/>
  <c r="L18" i="12" s="1"/>
  <c r="M18" i="12" s="1"/>
  <c r="N18" i="12" s="1"/>
  <c r="O18" i="12" s="1"/>
  <c r="H17" i="12"/>
  <c r="I17" i="12" s="1"/>
  <c r="J17" i="12" s="1"/>
  <c r="K17" i="12" s="1"/>
  <c r="L17" i="12" s="1"/>
  <c r="M17" i="12" s="1"/>
  <c r="N17" i="12" s="1"/>
  <c r="O17" i="12" s="1"/>
  <c r="H16" i="12"/>
  <c r="I16" i="12" s="1"/>
  <c r="J16" i="12" s="1"/>
  <c r="K16" i="12" s="1"/>
  <c r="L16" i="12" s="1"/>
  <c r="M16" i="12" s="1"/>
  <c r="N16" i="12" s="1"/>
  <c r="O16" i="12" s="1"/>
  <c r="H15" i="12"/>
  <c r="I15" i="12" s="1"/>
  <c r="J15" i="12" s="1"/>
  <c r="K15" i="12" s="1"/>
  <c r="L15" i="12" s="1"/>
  <c r="M15" i="12" s="1"/>
  <c r="N15" i="12" s="1"/>
  <c r="O15" i="12" s="1"/>
  <c r="H14" i="12"/>
  <c r="I14" i="12" s="1"/>
  <c r="J14" i="12" s="1"/>
  <c r="K14" i="12" s="1"/>
  <c r="L14" i="12" s="1"/>
  <c r="M14" i="12" s="1"/>
  <c r="N14" i="12" s="1"/>
  <c r="O14" i="12" s="1"/>
  <c r="H13" i="12"/>
  <c r="I13" i="12" s="1"/>
  <c r="J13" i="12" s="1"/>
  <c r="K13" i="12" s="1"/>
  <c r="L13" i="12" s="1"/>
  <c r="M13" i="12" s="1"/>
  <c r="N13" i="12" s="1"/>
  <c r="O13" i="12" s="1"/>
  <c r="H9" i="12"/>
  <c r="I9" i="12" s="1"/>
  <c r="H8" i="12"/>
  <c r="I8" i="12" s="1"/>
  <c r="J8" i="12" s="1"/>
  <c r="K8" i="12" s="1"/>
  <c r="L8" i="12" s="1"/>
  <c r="M8" i="12" s="1"/>
  <c r="N8" i="12" s="1"/>
  <c r="O8" i="12" s="1"/>
  <c r="H7" i="12"/>
  <c r="I7" i="12" s="1"/>
  <c r="J7" i="12" s="1"/>
  <c r="K7" i="12" s="1"/>
  <c r="L7" i="12" s="1"/>
  <c r="M7" i="12" s="1"/>
  <c r="N7" i="12" s="1"/>
  <c r="O7" i="12" s="1"/>
  <c r="H6" i="12"/>
  <c r="I6" i="12" s="1"/>
  <c r="J6" i="12" s="1"/>
  <c r="K6" i="12" s="1"/>
  <c r="L6" i="12" s="1"/>
  <c r="M6" i="12" s="1"/>
  <c r="N6" i="12" s="1"/>
  <c r="O6" i="12" s="1"/>
  <c r="H5" i="12"/>
  <c r="I5" i="12" s="1"/>
  <c r="J5" i="12" s="1"/>
  <c r="K5" i="12" s="1"/>
  <c r="L5" i="12" s="1"/>
  <c r="M5" i="12" s="1"/>
  <c r="N5" i="12" s="1"/>
  <c r="O5" i="12" s="1"/>
  <c r="H4" i="12"/>
  <c r="I4" i="12" s="1"/>
  <c r="J4" i="12" s="1"/>
  <c r="K4" i="12" s="1"/>
  <c r="L4" i="12" s="1"/>
  <c r="M4" i="12" s="1"/>
  <c r="N4" i="12" s="1"/>
  <c r="O4" i="12" s="1"/>
  <c r="H3" i="12"/>
  <c r="I3" i="12" s="1"/>
  <c r="J3" i="12" s="1"/>
  <c r="K3" i="12" s="1"/>
  <c r="L3" i="12" s="1"/>
  <c r="M3" i="12" s="1"/>
  <c r="N3" i="12" s="1"/>
  <c r="O3" i="12" s="1"/>
  <c r="H2" i="12"/>
  <c r="I2" i="12" s="1"/>
  <c r="J2" i="12" s="1"/>
  <c r="K2" i="12" s="1"/>
  <c r="L2" i="12" s="1"/>
  <c r="M2" i="12" s="1"/>
  <c r="N2" i="12" s="1"/>
  <c r="O2" i="12" s="1"/>
  <c r="H20" i="11"/>
  <c r="H19" i="11"/>
  <c r="I19" i="11" s="1"/>
  <c r="J19" i="11" s="1"/>
  <c r="K19" i="11" s="1"/>
  <c r="L19" i="11" s="1"/>
  <c r="M19" i="11" s="1"/>
  <c r="N19" i="11" s="1"/>
  <c r="O19" i="11" s="1"/>
  <c r="H18" i="11"/>
  <c r="K18" i="11" s="1"/>
  <c r="L18" i="11" s="1"/>
  <c r="M18" i="11" s="1"/>
  <c r="N18" i="11" s="1"/>
  <c r="O18" i="11" s="1"/>
  <c r="H17" i="11"/>
  <c r="I17" i="11" s="1"/>
  <c r="J17" i="11" s="1"/>
  <c r="K17" i="11" s="1"/>
  <c r="L17" i="11" s="1"/>
  <c r="M17" i="11" s="1"/>
  <c r="N17" i="11" s="1"/>
  <c r="O17" i="11" s="1"/>
  <c r="H16" i="11"/>
  <c r="I16" i="11" s="1"/>
  <c r="L16" i="11" s="1"/>
  <c r="M16" i="11" s="1"/>
  <c r="N16" i="11" s="1"/>
  <c r="O16" i="11" s="1"/>
  <c r="H15" i="11"/>
  <c r="I15" i="11" s="1"/>
  <c r="J15" i="11" s="1"/>
  <c r="K15" i="11" s="1"/>
  <c r="L15" i="11" s="1"/>
  <c r="M15" i="11" s="1"/>
  <c r="N15" i="11" s="1"/>
  <c r="O15" i="11" s="1"/>
  <c r="H14" i="11"/>
  <c r="I14" i="11" s="1"/>
  <c r="J14" i="11" s="1"/>
  <c r="K14" i="11" s="1"/>
  <c r="L14" i="11" s="1"/>
  <c r="M14" i="11" s="1"/>
  <c r="N14" i="11" s="1"/>
  <c r="O14" i="11" s="1"/>
  <c r="H13" i="11"/>
  <c r="I13" i="11" s="1"/>
  <c r="J13" i="11" s="1"/>
  <c r="K13" i="11" s="1"/>
  <c r="L13" i="11" s="1"/>
  <c r="M13" i="11" s="1"/>
  <c r="N13" i="11" s="1"/>
  <c r="O13" i="11" s="1"/>
  <c r="H9" i="11"/>
  <c r="I9" i="11" s="1"/>
  <c r="H8" i="11"/>
  <c r="I8" i="11" s="1"/>
  <c r="J8" i="11" s="1"/>
  <c r="K8" i="11" s="1"/>
  <c r="L8" i="11" s="1"/>
  <c r="M8" i="11" s="1"/>
  <c r="N8" i="11" s="1"/>
  <c r="O8" i="11" s="1"/>
  <c r="H7" i="11"/>
  <c r="I7" i="11" s="1"/>
  <c r="J7" i="11" s="1"/>
  <c r="K7" i="11" s="1"/>
  <c r="L7" i="11" s="1"/>
  <c r="M7" i="11" s="1"/>
  <c r="N7" i="11" s="1"/>
  <c r="O7" i="11" s="1"/>
  <c r="H6" i="11"/>
  <c r="I6" i="11" s="1"/>
  <c r="J6" i="11" s="1"/>
  <c r="K6" i="11" s="1"/>
  <c r="L6" i="11" s="1"/>
  <c r="M6" i="11" s="1"/>
  <c r="N6" i="11" s="1"/>
  <c r="O6" i="11" s="1"/>
  <c r="H5" i="11"/>
  <c r="I5" i="11" s="1"/>
  <c r="J5" i="11" s="1"/>
  <c r="K5" i="11" s="1"/>
  <c r="L5" i="11" s="1"/>
  <c r="M5" i="11" s="1"/>
  <c r="N5" i="11" s="1"/>
  <c r="O5" i="11" s="1"/>
  <c r="H4" i="11"/>
  <c r="I4" i="11" s="1"/>
  <c r="J4" i="11" s="1"/>
  <c r="K4" i="11" s="1"/>
  <c r="L4" i="11" s="1"/>
  <c r="M4" i="11" s="1"/>
  <c r="N4" i="11" s="1"/>
  <c r="O4" i="11" s="1"/>
  <c r="J3" i="11"/>
  <c r="K3" i="11" s="1"/>
  <c r="L3" i="11" s="1"/>
  <c r="M3" i="11" s="1"/>
  <c r="N3" i="11" s="1"/>
  <c r="O3" i="11" s="1"/>
  <c r="H2" i="11"/>
  <c r="I2" i="11" s="1"/>
  <c r="J2" i="11" s="1"/>
  <c r="K2" i="11" s="1"/>
  <c r="L2" i="11" s="1"/>
  <c r="M2" i="11" s="1"/>
  <c r="N2" i="11" s="1"/>
  <c r="O2" i="11" s="1"/>
  <c r="H20" i="10"/>
  <c r="H19" i="10"/>
  <c r="I19" i="10" s="1"/>
  <c r="J19" i="10" s="1"/>
  <c r="K19" i="10" s="1"/>
  <c r="L19" i="10" s="1"/>
  <c r="M19" i="10" s="1"/>
  <c r="N19" i="10" s="1"/>
  <c r="O19" i="10" s="1"/>
  <c r="H18" i="10"/>
  <c r="I18" i="10" s="1"/>
  <c r="J18" i="10" s="1"/>
  <c r="K18" i="10" s="1"/>
  <c r="L18" i="10" s="1"/>
  <c r="M18" i="10" s="1"/>
  <c r="N18" i="10" s="1"/>
  <c r="O18" i="10" s="1"/>
  <c r="H17" i="10"/>
  <c r="I17" i="10" s="1"/>
  <c r="J17" i="10" s="1"/>
  <c r="K17" i="10" s="1"/>
  <c r="L17" i="10" s="1"/>
  <c r="M17" i="10" s="1"/>
  <c r="N17" i="10" s="1"/>
  <c r="O17" i="10" s="1"/>
  <c r="H16" i="10"/>
  <c r="I16" i="10" s="1"/>
  <c r="J16" i="10" s="1"/>
  <c r="K16" i="10" s="1"/>
  <c r="L16" i="10" s="1"/>
  <c r="M16" i="10" s="1"/>
  <c r="N16" i="10" s="1"/>
  <c r="O16" i="10" s="1"/>
  <c r="J15" i="10"/>
  <c r="K15" i="10" s="1"/>
  <c r="L15" i="10" s="1"/>
  <c r="M15" i="10" s="1"/>
  <c r="N15" i="10" s="1"/>
  <c r="O15" i="10" s="1"/>
  <c r="H14" i="10"/>
  <c r="I14" i="10" s="1"/>
  <c r="J14" i="10" s="1"/>
  <c r="K14" i="10" s="1"/>
  <c r="L14" i="10" s="1"/>
  <c r="M14" i="10" s="1"/>
  <c r="N14" i="10" s="1"/>
  <c r="O14" i="10" s="1"/>
  <c r="H13" i="10"/>
  <c r="I13" i="10" s="1"/>
  <c r="J13" i="10" s="1"/>
  <c r="K13" i="10" s="1"/>
  <c r="L13" i="10" s="1"/>
  <c r="M13" i="10" s="1"/>
  <c r="N13" i="10" s="1"/>
  <c r="O13" i="10" s="1"/>
  <c r="H9" i="10"/>
  <c r="H8" i="10"/>
  <c r="I8" i="10" s="1"/>
  <c r="J8" i="10" s="1"/>
  <c r="K8" i="10" s="1"/>
  <c r="L8" i="10" s="1"/>
  <c r="M8" i="10" s="1"/>
  <c r="N8" i="10" s="1"/>
  <c r="O8" i="10" s="1"/>
  <c r="H7" i="10"/>
  <c r="I7" i="10" s="1"/>
  <c r="J7" i="10" s="1"/>
  <c r="K7" i="10" s="1"/>
  <c r="L7" i="10" s="1"/>
  <c r="M7" i="10" s="1"/>
  <c r="N7" i="10" s="1"/>
  <c r="O7" i="10" s="1"/>
  <c r="H6" i="10"/>
  <c r="I6" i="10" s="1"/>
  <c r="J6" i="10" s="1"/>
  <c r="K6" i="10" s="1"/>
  <c r="L6" i="10" s="1"/>
  <c r="M6" i="10" s="1"/>
  <c r="N6" i="10" s="1"/>
  <c r="O6" i="10" s="1"/>
  <c r="H5" i="10"/>
  <c r="I5" i="10" s="1"/>
  <c r="J5" i="10" s="1"/>
  <c r="K5" i="10" s="1"/>
  <c r="L5" i="10" s="1"/>
  <c r="M5" i="10" s="1"/>
  <c r="N5" i="10" s="1"/>
  <c r="O5" i="10" s="1"/>
  <c r="H4" i="10"/>
  <c r="I4" i="10" s="1"/>
  <c r="J4" i="10" s="1"/>
  <c r="K4" i="10" s="1"/>
  <c r="L4" i="10" s="1"/>
  <c r="M4" i="10" s="1"/>
  <c r="N4" i="10" s="1"/>
  <c r="O4" i="10" s="1"/>
  <c r="H3" i="10"/>
  <c r="I3" i="10" s="1"/>
  <c r="J3" i="10" s="1"/>
  <c r="K3" i="10" s="1"/>
  <c r="L3" i="10" s="1"/>
  <c r="M3" i="10" s="1"/>
  <c r="N3" i="10" s="1"/>
  <c r="O3" i="10" s="1"/>
  <c r="H2" i="10"/>
  <c r="I2" i="10" s="1"/>
  <c r="J2" i="10" s="1"/>
  <c r="K2" i="10" s="1"/>
  <c r="L2" i="10" s="1"/>
  <c r="M2" i="10" s="1"/>
  <c r="N2" i="10" s="1"/>
  <c r="O2" i="10" s="1"/>
  <c r="I2" i="9"/>
  <c r="J2" i="9" s="1"/>
  <c r="J2229" i="2"/>
  <c r="K2149" i="2"/>
  <c r="J4568" i="2"/>
  <c r="A35" i="12"/>
  <c r="J5889" i="2"/>
  <c r="J4228" i="2"/>
  <c r="K1469" i="2"/>
  <c r="K5809" i="2"/>
  <c r="K3409" i="2"/>
  <c r="J4031" i="2"/>
  <c r="J3028" i="2"/>
  <c r="J2308" i="2"/>
  <c r="J4168" i="2"/>
  <c r="J1649" i="2"/>
  <c r="K4069" i="2"/>
  <c r="J4989" i="2"/>
  <c r="J1589" i="2"/>
  <c r="J5268" i="2"/>
  <c r="K5309" i="2"/>
  <c r="J2130" i="2"/>
  <c r="J3908" i="2"/>
  <c r="K2369" i="2"/>
  <c r="K5651" i="2"/>
  <c r="J1468" i="2"/>
  <c r="J1229" i="2"/>
  <c r="J2568" i="2"/>
  <c r="J5269" i="2"/>
  <c r="K2648" i="2"/>
  <c r="K2250" i="2"/>
  <c r="A78" i="20"/>
  <c r="K2669" i="2"/>
  <c r="J5850" i="2"/>
  <c r="K4369" i="2"/>
  <c r="J4390" i="2"/>
  <c r="K1470" i="2"/>
  <c r="K2550" i="2"/>
  <c r="K2889" i="2"/>
  <c r="K5229" i="2"/>
  <c r="K2970" i="2"/>
  <c r="J4912" i="2"/>
  <c r="J1230" i="2"/>
  <c r="J4108" i="2"/>
  <c r="J3449" i="2"/>
  <c r="K1548" i="2"/>
  <c r="B57" i="20"/>
  <c r="J2408" i="2"/>
  <c r="J2309" i="2"/>
  <c r="K4790" i="2"/>
  <c r="J3849" i="2"/>
  <c r="A71" i="24"/>
  <c r="K5469" i="2"/>
  <c r="K5108" i="2"/>
  <c r="A176" i="20"/>
  <c r="A237" i="24"/>
  <c r="J4368" i="2"/>
  <c r="J5949" i="2"/>
  <c r="K5668" i="2"/>
  <c r="K4048" i="2"/>
  <c r="J1208" i="2"/>
  <c r="J5969" i="2"/>
  <c r="A135" i="20"/>
  <c r="B117" i="29"/>
  <c r="K1531" i="2"/>
  <c r="A36" i="12"/>
  <c r="J5069" i="2"/>
  <c r="J4670" i="2"/>
  <c r="J3188" i="2"/>
  <c r="K2691" i="2"/>
  <c r="J5348" i="2"/>
  <c r="B36" i="11"/>
  <c r="J3568" i="2"/>
  <c r="J1448" i="2"/>
  <c r="J5448" i="2"/>
  <c r="A151" i="24"/>
  <c r="J2149" i="2"/>
  <c r="J4690" i="2"/>
  <c r="B155" i="30"/>
  <c r="J5310" i="2"/>
  <c r="J2950" i="2"/>
  <c r="K3028" i="2"/>
  <c r="J5929" i="2"/>
  <c r="A138" i="20"/>
  <c r="K4128" i="2"/>
  <c r="A131" i="24"/>
  <c r="A216" i="24"/>
  <c r="J2849" i="2"/>
  <c r="B36" i="1"/>
  <c r="J2329" i="2"/>
  <c r="K5049" i="2"/>
  <c r="J2830" i="2"/>
  <c r="J3928" i="2"/>
  <c r="K3209" i="2"/>
  <c r="J4328" i="2"/>
  <c r="K1351" i="2"/>
  <c r="J2569" i="2"/>
  <c r="A35" i="3"/>
  <c r="J3509" i="2"/>
  <c r="J2090" i="2"/>
  <c r="K4609" i="2"/>
  <c r="K3208" i="2"/>
  <c r="J1672" i="2"/>
  <c r="J1870" i="2"/>
  <c r="J3611" i="2"/>
  <c r="J4669" i="2"/>
  <c r="J4348" i="2"/>
  <c r="K3188" i="2"/>
  <c r="K4549" i="2"/>
  <c r="K4130" i="2"/>
  <c r="J1512" i="2"/>
  <c r="J3450" i="2"/>
  <c r="K3910" i="2"/>
  <c r="J1748" i="2"/>
  <c r="K1389" i="2"/>
  <c r="K1452" i="2"/>
  <c r="K1228" i="2"/>
  <c r="J4488" i="2"/>
  <c r="K4989" i="2"/>
  <c r="K4648" i="2"/>
  <c r="K2188" i="2"/>
  <c r="J3168" i="2"/>
  <c r="A211" i="20"/>
  <c r="K4848" i="2"/>
  <c r="J1268" i="2"/>
  <c r="J3048" i="2"/>
  <c r="J5432" i="2"/>
  <c r="J1211" i="2"/>
  <c r="K2509" i="2"/>
  <c r="K5691" i="2"/>
  <c r="K4508" i="2"/>
  <c r="K4289" i="2"/>
  <c r="J3308" i="2"/>
  <c r="K5988" i="2"/>
  <c r="K2668" i="2"/>
  <c r="K2448" i="2"/>
  <c r="K1668" i="2"/>
  <c r="A35" i="20"/>
  <c r="J4409" i="2"/>
  <c r="K3908" i="2"/>
  <c r="J3030" i="2"/>
  <c r="K5628" i="2"/>
  <c r="J3589" i="2"/>
  <c r="J2888" i="2"/>
  <c r="K2449" i="2"/>
  <c r="J5369" i="2"/>
  <c r="K3750" i="2"/>
  <c r="J2188" i="2"/>
  <c r="K5710" i="2"/>
  <c r="K3090" i="2"/>
  <c r="J3911" i="2"/>
  <c r="B99" i="20"/>
  <c r="A36" i="20"/>
  <c r="J3808" i="2"/>
  <c r="A171" i="20"/>
  <c r="J1770" i="2"/>
  <c r="J5690" i="2"/>
  <c r="K3592" i="2"/>
  <c r="J1771" i="2"/>
  <c r="J4590" i="2"/>
  <c r="B177" i="32"/>
  <c r="K5949" i="2"/>
  <c r="J3029" i="2"/>
  <c r="K3709" i="2"/>
  <c r="J5648" i="2"/>
  <c r="A116" i="20"/>
  <c r="K4509" i="2"/>
  <c r="B56" i="20"/>
  <c r="J5129" i="2"/>
  <c r="A91" i="20"/>
  <c r="J5869" i="2"/>
  <c r="J4549" i="2"/>
  <c r="K2008" i="2"/>
  <c r="J4490" i="2"/>
  <c r="B137" i="29"/>
  <c r="J2729" i="2"/>
  <c r="K3368" i="2"/>
  <c r="J5809" i="2"/>
  <c r="J1489" i="2"/>
  <c r="K5629" i="2"/>
  <c r="K5670" i="2"/>
  <c r="B35" i="3"/>
  <c r="B36" i="24"/>
  <c r="A136" i="20"/>
  <c r="K1870" i="2"/>
  <c r="J1688" i="2"/>
  <c r="J2668" i="2"/>
  <c r="K5468" i="2"/>
  <c r="J3349" i="2"/>
  <c r="K2088" i="2"/>
  <c r="K5450" i="2"/>
  <c r="J2790" i="2"/>
  <c r="J1991" i="2"/>
  <c r="K5990" i="2"/>
  <c r="K4528" i="2"/>
  <c r="K2348" i="2"/>
  <c r="A98" i="20"/>
  <c r="J1548" i="2"/>
  <c r="K5869" i="2"/>
  <c r="J1708" i="2"/>
  <c r="J2348" i="2"/>
  <c r="J3989" i="2"/>
  <c r="K3030" i="2"/>
  <c r="B138" i="33"/>
  <c r="K1270" i="2"/>
  <c r="K5610" i="2"/>
  <c r="A35" i="13"/>
  <c r="J4910" i="2"/>
  <c r="J3489" i="2"/>
  <c r="J2489" i="2"/>
  <c r="J4949" i="2"/>
  <c r="J3528" i="2"/>
  <c r="K3708" i="2"/>
  <c r="K1550" i="2"/>
  <c r="J5708" i="2"/>
  <c r="A119" i="20"/>
  <c r="K1230" i="2"/>
  <c r="J1989" i="2"/>
  <c r="K3731" i="2"/>
  <c r="J5771" i="2"/>
  <c r="K5550" i="2"/>
  <c r="K3470" i="2"/>
  <c r="J4210" i="2"/>
  <c r="J5051" i="2"/>
  <c r="K1288" i="2"/>
  <c r="J1971" i="2"/>
  <c r="K1210" i="2"/>
  <c r="J5131" i="2"/>
  <c r="K2488" i="2"/>
  <c r="J2769" i="2"/>
  <c r="A155" i="24"/>
  <c r="B139" i="33"/>
  <c r="J5469" i="2"/>
  <c r="K2710" i="2"/>
  <c r="K4568" i="2"/>
  <c r="J4048" i="2"/>
  <c r="A51" i="20"/>
  <c r="K1888" i="2"/>
  <c r="B36" i="12"/>
  <c r="J1830" i="2"/>
  <c r="K4949" i="2"/>
  <c r="J5449" i="2"/>
  <c r="K4149" i="2"/>
  <c r="J5389" i="2"/>
  <c r="J5748" i="2"/>
  <c r="K5308" i="2"/>
  <c r="A111" i="20"/>
  <c r="J2290" i="2"/>
  <c r="K3128" i="2"/>
  <c r="K5529" i="2"/>
  <c r="K2468" i="2"/>
  <c r="K2549" i="2"/>
  <c r="J1608" i="2"/>
  <c r="J1428" i="2"/>
  <c r="K1310" i="2"/>
  <c r="J1670" i="2"/>
  <c r="J4708" i="2"/>
  <c r="A115" i="20"/>
  <c r="J5968" i="2"/>
  <c r="A35" i="24"/>
  <c r="K4169" i="2"/>
  <c r="K4589" i="2"/>
  <c r="J3148" i="2"/>
  <c r="J4271" i="2"/>
  <c r="K4311" i="2"/>
  <c r="J5368" i="2"/>
  <c r="K2211" i="2"/>
  <c r="J2690" i="2"/>
  <c r="J4791" i="2"/>
  <c r="B35" i="24"/>
  <c r="J4088" i="2"/>
  <c r="J5910" i="2"/>
  <c r="J5990" i="2"/>
  <c r="K4150" i="2"/>
  <c r="K3369" i="2"/>
  <c r="J5608" i="2"/>
  <c r="K4869" i="2"/>
  <c r="K4408" i="2"/>
  <c r="K3549" i="2"/>
  <c r="K4229" i="2"/>
  <c r="J3970" i="2"/>
  <c r="A219" i="24"/>
  <c r="K3691" i="2"/>
  <c r="A237" i="20"/>
  <c r="J2208" i="2"/>
  <c r="K5888" i="2"/>
  <c r="B118" i="33"/>
  <c r="K1328" i="2"/>
  <c r="J5989" i="2"/>
  <c r="J4009" i="2"/>
  <c r="K5088" i="2"/>
  <c r="B157" i="32"/>
  <c r="K5909" i="2"/>
  <c r="J1948" i="2"/>
  <c r="K5769" i="2"/>
  <c r="J1970" i="2"/>
  <c r="J1331" i="2"/>
  <c r="K2608" i="2"/>
  <c r="J4468" i="2"/>
  <c r="K3808" i="2"/>
  <c r="J5950" i="2"/>
  <c r="K3989" i="2"/>
  <c r="J5548" i="2"/>
  <c r="J5628" i="2"/>
  <c r="K4468" i="2"/>
  <c r="A235" i="20"/>
  <c r="J5830" i="2"/>
  <c r="J3868" i="2"/>
  <c r="J2189" i="2"/>
  <c r="K4008" i="2"/>
  <c r="J5029" i="2"/>
  <c r="K3769" i="2"/>
  <c r="J2330" i="2"/>
  <c r="K4768" i="2"/>
  <c r="K4529" i="2"/>
  <c r="J2989" i="2"/>
  <c r="K4670" i="2"/>
  <c r="J3309" i="2"/>
  <c r="K1908" i="2"/>
  <c r="K2528" i="2"/>
  <c r="K2210" i="2"/>
  <c r="K1390" i="2"/>
  <c r="K1268" i="2"/>
  <c r="J5028" i="2"/>
  <c r="K2148" i="2"/>
  <c r="J1568" i="2"/>
  <c r="J5409" i="2"/>
  <c r="B135" i="32"/>
  <c r="K5768" i="2"/>
  <c r="J2452" i="2"/>
  <c r="K2810" i="2"/>
  <c r="K1412" i="2"/>
  <c r="K2671" i="2"/>
  <c r="K4011" i="2"/>
  <c r="K1589" i="2"/>
  <c r="J5732" i="2"/>
  <c r="J2670" i="2"/>
  <c r="D86" i="16"/>
  <c r="J1651" i="2"/>
  <c r="K5368" i="2"/>
  <c r="K5908" i="2"/>
  <c r="K2431" i="2"/>
  <c r="K1192" i="2"/>
  <c r="K3390" i="2"/>
  <c r="J2732" i="2"/>
  <c r="J5292" i="2"/>
  <c r="J4868" i="2"/>
  <c r="J5429" i="2"/>
  <c r="J3389" i="2"/>
  <c r="K5048" i="2"/>
  <c r="J2971" i="2"/>
  <c r="K4971" i="2"/>
  <c r="K4988" i="2"/>
  <c r="J1488" i="2"/>
  <c r="K4948" i="2"/>
  <c r="J3668" i="2"/>
  <c r="A31" i="1"/>
  <c r="J4748" i="2"/>
  <c r="K1750" i="2"/>
  <c r="J5728" i="2"/>
  <c r="A197" i="20"/>
  <c r="K4489" i="2"/>
  <c r="J5688" i="2"/>
  <c r="K3291" i="2"/>
  <c r="J1508" i="2"/>
  <c r="A31" i="12"/>
  <c r="J5229" i="2"/>
  <c r="A238" i="20"/>
  <c r="K2829" i="2"/>
  <c r="K3168" i="2"/>
  <c r="J4470" i="2"/>
  <c r="K1348" i="2"/>
  <c r="K2988" i="2"/>
  <c r="A31" i="24"/>
  <c r="J5171" i="2"/>
  <c r="A198" i="20"/>
  <c r="J1288" i="2"/>
  <c r="A191" i="24"/>
  <c r="K2069" i="2"/>
  <c r="B59" i="24"/>
  <c r="K5389" i="2"/>
  <c r="K1669" i="2"/>
  <c r="J2390" i="2"/>
  <c r="J5328" i="2"/>
  <c r="J1411" i="2"/>
  <c r="A195" i="24"/>
  <c r="J4208" i="2"/>
  <c r="A35" i="10"/>
  <c r="J5888" i="2"/>
  <c r="J3851" i="2"/>
  <c r="J1910" i="2"/>
  <c r="K3931" i="2"/>
  <c r="B196" i="33"/>
  <c r="K2208" i="2"/>
  <c r="J2448" i="2"/>
  <c r="A36" i="8"/>
  <c r="K4849" i="2"/>
  <c r="K2729" i="2"/>
  <c r="K5728" i="2"/>
  <c r="K3349" i="2"/>
  <c r="J1668" i="2"/>
  <c r="J1328" i="2"/>
  <c r="J3208" i="2"/>
  <c r="K3508" i="2"/>
  <c r="J4150" i="2"/>
  <c r="K1309" i="2"/>
  <c r="J4049" i="2"/>
  <c r="K5369" i="2"/>
  <c r="A78" i="24"/>
  <c r="K3070" i="2"/>
  <c r="J2708" i="2"/>
  <c r="J3710" i="2"/>
  <c r="J1869" i="2"/>
  <c r="K5150" i="2"/>
  <c r="K2828" i="2"/>
  <c r="K5870" i="2"/>
  <c r="K1549" i="2"/>
  <c r="K4628" i="2"/>
  <c r="B35" i="7"/>
  <c r="K4271" i="2"/>
  <c r="J5872" i="2"/>
  <c r="J5128" i="2"/>
  <c r="J2528" i="2"/>
  <c r="K2730" i="2"/>
  <c r="K3531" i="2"/>
  <c r="K1770" i="2"/>
  <c r="J1908" i="2"/>
  <c r="J4030" i="2"/>
  <c r="A31" i="10"/>
  <c r="J5768" i="2"/>
  <c r="K3948" i="2"/>
  <c r="K1649" i="2"/>
  <c r="K3609" i="2"/>
  <c r="J4908" i="2"/>
  <c r="K3488" i="2"/>
  <c r="A77" i="24"/>
  <c r="J3671" i="2"/>
  <c r="J2449" i="2"/>
  <c r="B216" i="30"/>
  <c r="K2269" i="2"/>
  <c r="J1749" i="2"/>
  <c r="K1808" i="2"/>
  <c r="K3148" i="2"/>
  <c r="J5468" i="2"/>
  <c r="A175" i="24"/>
  <c r="D97" i="16"/>
  <c r="J2570" i="2"/>
  <c r="K2849" i="2"/>
  <c r="J4650" i="2"/>
  <c r="J3610" i="2"/>
  <c r="B96" i="20"/>
  <c r="J3008" i="2"/>
  <c r="D99" i="16"/>
  <c r="J4870" i="2"/>
  <c r="J5470" i="2"/>
  <c r="K1211" i="2"/>
  <c r="J2648" i="2"/>
  <c r="K2091" i="2"/>
  <c r="J2150" i="2"/>
  <c r="K1972" i="2"/>
  <c r="J2152" i="2"/>
  <c r="J4529" i="2"/>
  <c r="K4950" i="2"/>
  <c r="K1788" i="2"/>
  <c r="J3670" i="2"/>
  <c r="K3968" i="2"/>
  <c r="J5870" i="2"/>
  <c r="A75" i="24"/>
  <c r="K2328" i="2"/>
  <c r="K4329" i="2"/>
  <c r="K5191" i="2"/>
  <c r="B179" i="32"/>
  <c r="K2910" i="2"/>
  <c r="J3229" i="2"/>
  <c r="J2409" i="2"/>
  <c r="J5188" i="2"/>
  <c r="K3892" i="2"/>
  <c r="K3432" i="2"/>
  <c r="J2428" i="2"/>
  <c r="K5650" i="2"/>
  <c r="A31" i="3"/>
  <c r="J2810" i="2"/>
  <c r="A198" i="24"/>
  <c r="A119" i="24"/>
  <c r="J2148" i="2"/>
  <c r="J2128" i="2"/>
  <c r="J1710" i="2"/>
  <c r="J2768" i="2"/>
  <c r="K4028" i="2"/>
  <c r="K3809" i="2"/>
  <c r="K3849" i="2"/>
  <c r="J5190" i="2"/>
  <c r="J3488" i="2"/>
  <c r="K5890" i="2"/>
  <c r="K4089" i="2"/>
  <c r="B35" i="1"/>
  <c r="J2809" i="2"/>
  <c r="J5168" i="2"/>
  <c r="B36" i="13"/>
  <c r="K4749" i="2"/>
  <c r="J5008" i="2"/>
  <c r="K5708" i="2"/>
  <c r="K4610" i="2"/>
  <c r="J5769" i="2"/>
  <c r="K2770" i="2"/>
  <c r="K2709" i="2"/>
  <c r="K3009" i="2"/>
  <c r="J1270" i="2"/>
  <c r="K1968" i="2"/>
  <c r="J2868" i="2"/>
  <c r="A35" i="1"/>
  <c r="K2928" i="2"/>
  <c r="J2588" i="2"/>
  <c r="J5270" i="2"/>
  <c r="K1248" i="2"/>
  <c r="J5350" i="2"/>
  <c r="K4412" i="2"/>
  <c r="A196" i="20"/>
  <c r="A199" i="24"/>
  <c r="J2108" i="2"/>
  <c r="J3650" i="2"/>
  <c r="K5449" i="2"/>
  <c r="J5248" i="2"/>
  <c r="B77" i="20"/>
  <c r="K3929" i="2"/>
  <c r="J2669" i="2"/>
  <c r="K4689" i="2"/>
  <c r="K4368" i="2"/>
  <c r="J2089" i="2"/>
  <c r="K4649" i="2"/>
  <c r="A197" i="24"/>
  <c r="A177" i="24"/>
  <c r="B36" i="8"/>
  <c r="K1889" i="2"/>
  <c r="J2230" i="2"/>
  <c r="K3248" i="2"/>
  <c r="K2068" i="2"/>
  <c r="K5608" i="2"/>
  <c r="K3388" i="2"/>
  <c r="J1690" i="2"/>
  <c r="K2989" i="2"/>
  <c r="J3748" i="2"/>
  <c r="K1628" i="2"/>
  <c r="B157" i="30"/>
  <c r="J3470" i="2"/>
  <c r="K4090" i="2"/>
  <c r="J2470" i="2"/>
  <c r="J5509" i="2"/>
  <c r="J3249" i="2"/>
  <c r="K4748" i="2"/>
  <c r="K5928" i="2"/>
  <c r="K3410" i="2"/>
  <c r="K4769" i="2"/>
  <c r="K4690" i="2"/>
  <c r="J5210" i="2"/>
  <c r="A238" i="24"/>
  <c r="J4610" i="2"/>
  <c r="J5828" i="2"/>
  <c r="K4029" i="2"/>
  <c r="D95" i="16"/>
  <c r="B115" i="33"/>
  <c r="K5568" i="2"/>
  <c r="J1148" i="2"/>
  <c r="K3068" i="2"/>
  <c r="K2409" i="2"/>
  <c r="K3629" i="2"/>
  <c r="K3690" i="2"/>
  <c r="A36" i="3"/>
  <c r="J4148" i="2"/>
  <c r="K2470" i="2"/>
  <c r="J4310" i="2"/>
  <c r="K4909" i="2"/>
  <c r="K4889" i="2"/>
  <c r="J4209" i="2"/>
  <c r="J2609" i="2"/>
  <c r="J4569" i="2"/>
  <c r="J2332" i="2"/>
  <c r="K4131" i="2"/>
  <c r="K2308" i="2"/>
  <c r="K1989" i="2"/>
  <c r="K4071" i="2"/>
  <c r="K3932" i="2"/>
  <c r="J2190" i="2"/>
  <c r="J4370" i="2"/>
  <c r="K2070" i="2"/>
  <c r="K1930" i="2"/>
  <c r="J1848" i="2"/>
  <c r="K4551" i="2"/>
  <c r="J4790" i="2"/>
  <c r="A95" i="24"/>
  <c r="K2028" i="2"/>
  <c r="J1388" i="2"/>
  <c r="K2032" i="2"/>
  <c r="K2672" i="2"/>
  <c r="K3072" i="2"/>
  <c r="J2068" i="2"/>
  <c r="J1251" i="2"/>
  <c r="J4130" i="2"/>
  <c r="K4929" i="2"/>
  <c r="J4151" i="2"/>
  <c r="B35" i="14"/>
  <c r="K2868" i="2"/>
  <c r="A239" i="20"/>
  <c r="J1252" i="2"/>
  <c r="J4872" i="2"/>
  <c r="K3048" i="2"/>
  <c r="K3768" i="2"/>
  <c r="A191" i="20"/>
  <c r="A195" i="20"/>
  <c r="J1689" i="2"/>
  <c r="J1949" i="2"/>
  <c r="J2928" i="2"/>
  <c r="J5788" i="2"/>
  <c r="J4128" i="2"/>
  <c r="K2110" i="2"/>
  <c r="J1370" i="2"/>
  <c r="K4470" i="2"/>
  <c r="J2808" i="2"/>
  <c r="J4570" i="2"/>
  <c r="K4148" i="2"/>
  <c r="K4108" i="2"/>
  <c r="K5810" i="2"/>
  <c r="K1810" i="2"/>
  <c r="K1189" i="2"/>
  <c r="K5268" i="2"/>
  <c r="K4349" i="2"/>
  <c r="J1728" i="2"/>
  <c r="K1648" i="2"/>
  <c r="J3991" i="2"/>
  <c r="J3628" i="2"/>
  <c r="J1709" i="2"/>
  <c r="K2789" i="2"/>
  <c r="J3288" i="2"/>
  <c r="J3088" i="2"/>
  <c r="K2908" i="2"/>
  <c r="J3550" i="2"/>
  <c r="J3448" i="2"/>
  <c r="K4809" i="2"/>
  <c r="K5968" i="2"/>
  <c r="K2809" i="2"/>
  <c r="J4768" i="2"/>
  <c r="J3069" i="2"/>
  <c r="K3108" i="2"/>
  <c r="K2011" i="2"/>
  <c r="B176" i="33"/>
  <c r="K3548" i="2"/>
  <c r="K4928" i="2"/>
  <c r="K2689" i="2"/>
  <c r="K5131" i="2"/>
  <c r="J4648" i="2"/>
  <c r="J3590" i="2"/>
  <c r="K5488" i="2"/>
  <c r="K5028" i="2"/>
  <c r="A76" i="24"/>
  <c r="K3670" i="2"/>
  <c r="A155" i="20"/>
  <c r="J4628" i="2"/>
  <c r="K3269" i="2"/>
  <c r="K4569" i="2"/>
  <c r="J4728" i="2"/>
  <c r="K4308" i="2"/>
  <c r="K1948" i="2"/>
  <c r="J2709" i="2"/>
  <c r="J4909" i="2"/>
  <c r="K4191" i="2"/>
  <c r="J3108" i="2"/>
  <c r="J4928" i="2"/>
  <c r="K1508" i="2"/>
  <c r="J1408" i="2"/>
  <c r="J2910" i="2"/>
  <c r="J3150" i="2"/>
  <c r="K4812" i="2"/>
  <c r="J1868" i="2"/>
  <c r="K2411" i="2"/>
  <c r="J5108" i="2"/>
  <c r="K1609" i="2"/>
  <c r="A116" i="24"/>
  <c r="K2749" i="2"/>
  <c r="A199" i="20"/>
  <c r="K5130" i="2"/>
  <c r="J2548" i="2"/>
  <c r="K1149" i="2"/>
  <c r="K1848" i="2"/>
  <c r="K3428" i="2"/>
  <c r="K5269" i="2"/>
  <c r="B35" i="20"/>
  <c r="B135" i="30"/>
  <c r="J4830" i="2"/>
  <c r="J4788" i="2"/>
  <c r="K5868" i="2"/>
  <c r="K4010" i="2"/>
  <c r="K5788" i="2"/>
  <c r="B119" i="30"/>
  <c r="J5030" i="2"/>
  <c r="J3409" i="2"/>
  <c r="A76" i="20"/>
  <c r="K5010" i="2"/>
  <c r="K4170" i="2"/>
  <c r="J3408" i="2"/>
  <c r="J5550" i="2"/>
  <c r="K4269" i="2"/>
  <c r="K3029" i="2"/>
  <c r="J3788" i="2"/>
  <c r="K3130" i="2"/>
  <c r="B156" i="33"/>
  <c r="K4611" i="2"/>
  <c r="K4330" i="2"/>
  <c r="K1591" i="2"/>
  <c r="K3049" i="2"/>
  <c r="J5048" i="2"/>
  <c r="K5931" i="2"/>
  <c r="J3749" i="2"/>
  <c r="K3170" i="2"/>
  <c r="K3970" i="2"/>
  <c r="K1851" i="2"/>
  <c r="K1489" i="2"/>
  <c r="J1369" i="2"/>
  <c r="A57" i="20"/>
  <c r="J2508" i="2"/>
  <c r="J5792" i="2"/>
  <c r="D103" i="16"/>
  <c r="A176" i="24"/>
  <c r="J1609" i="2"/>
  <c r="J2948" i="2"/>
  <c r="K3650" i="2"/>
  <c r="K2329" i="2"/>
  <c r="K5849" i="2"/>
  <c r="K1250" i="2"/>
  <c r="A98" i="24"/>
  <c r="K2009" i="2"/>
  <c r="J4269" i="2"/>
  <c r="J3472" i="2"/>
  <c r="K1729" i="2"/>
  <c r="J1410" i="2"/>
  <c r="K4409" i="2"/>
  <c r="K5969" i="2"/>
  <c r="J4028" i="2"/>
  <c r="K5371" i="2"/>
  <c r="K2089" i="2"/>
  <c r="J5408" i="2"/>
  <c r="J3648" i="2"/>
  <c r="J3789" i="2"/>
  <c r="J5109" i="2"/>
  <c r="B58" i="20"/>
  <c r="J2389" i="2"/>
  <c r="J3828" i="2"/>
  <c r="B139" i="30"/>
  <c r="K3149" i="2"/>
  <c r="J3871" i="2"/>
  <c r="K1388" i="2"/>
  <c r="J4388" i="2"/>
  <c r="A56" i="24"/>
  <c r="J2268" i="2"/>
  <c r="J3888" i="2"/>
  <c r="J2509" i="2"/>
  <c r="K4250" i="2"/>
  <c r="J2629" i="2"/>
  <c r="K5228" i="2"/>
  <c r="B36" i="10"/>
  <c r="K3511" i="2"/>
  <c r="J2209" i="2"/>
  <c r="K1372" i="2"/>
  <c r="J2328" i="2"/>
  <c r="A57" i="24"/>
  <c r="J1290" i="2"/>
  <c r="K5249" i="2"/>
  <c r="K2349" i="2"/>
  <c r="J3848" i="2"/>
  <c r="K1170" i="2"/>
  <c r="J1929" i="2"/>
  <c r="A35" i="8"/>
  <c r="K5930" i="2"/>
  <c r="K1651" i="2"/>
  <c r="J4211" i="2"/>
  <c r="J1569" i="2"/>
  <c r="K4588" i="2"/>
  <c r="K4828" i="2"/>
  <c r="J2909" i="2"/>
  <c r="J1310" i="2"/>
  <c r="K2568" i="2"/>
  <c r="K1768" i="2"/>
  <c r="J5169" i="2"/>
  <c r="K4831" i="2"/>
  <c r="K3729" i="2"/>
  <c r="I988" i="2"/>
  <c r="K5008" i="2"/>
  <c r="J2549" i="2"/>
  <c r="J1588" i="2"/>
  <c r="J2210" i="2"/>
  <c r="J3068" i="2"/>
  <c r="K1590" i="2"/>
  <c r="J3510" i="2"/>
  <c r="A159" i="24"/>
  <c r="K4530" i="2"/>
  <c r="K5729" i="2"/>
  <c r="A31" i="7"/>
  <c r="K5508" i="2"/>
  <c r="J4651" i="2"/>
  <c r="K1249" i="2"/>
  <c r="J1930" i="2"/>
  <c r="A56" i="20"/>
  <c r="J1271" i="2"/>
  <c r="B118" i="29"/>
  <c r="A179" i="20"/>
  <c r="J5971" i="2"/>
  <c r="K5970" i="2"/>
  <c r="B136" i="32"/>
  <c r="K1791" i="2"/>
  <c r="K5630" i="2"/>
  <c r="J3869" i="2"/>
  <c r="K2508" i="2"/>
  <c r="J4249" i="2"/>
  <c r="J1348" i="2"/>
  <c r="K5712" i="2"/>
  <c r="J5249" i="2"/>
  <c r="J4792" i="2"/>
  <c r="A215" i="24"/>
  <c r="J3712" i="2"/>
  <c r="J2069" i="2"/>
  <c r="K4310" i="2"/>
  <c r="K3469" i="2"/>
  <c r="J4749" i="2"/>
  <c r="K2628" i="2"/>
  <c r="K4570" i="2"/>
  <c r="J5411" i="2"/>
  <c r="J3329" i="2"/>
  <c r="K4450" i="2"/>
  <c r="J5148" i="2"/>
  <c r="J4849" i="2"/>
  <c r="J5908" i="2"/>
  <c r="K1168" i="2"/>
  <c r="K2948" i="2"/>
  <c r="J5068" i="2"/>
  <c r="K2748" i="2"/>
  <c r="K3309" i="2"/>
  <c r="K2892" i="2"/>
  <c r="J4968" i="2"/>
  <c r="K2428" i="2"/>
  <c r="K1190" i="2"/>
  <c r="B175" i="29"/>
  <c r="K2408" i="2"/>
  <c r="K3788" i="2"/>
  <c r="K4608" i="2"/>
  <c r="K3312" i="2"/>
  <c r="J4828" i="2"/>
  <c r="A36" i="1"/>
  <c r="K3452" i="2"/>
  <c r="A58" i="20"/>
  <c r="K2569" i="2"/>
  <c r="J2109" i="2"/>
  <c r="K1232" i="2"/>
  <c r="K4629" i="2"/>
  <c r="K4471" i="2"/>
  <c r="J3791" i="2"/>
  <c r="K4531" i="2"/>
  <c r="A211" i="24"/>
  <c r="K2728" i="2"/>
  <c r="J5250" i="2"/>
  <c r="K1868" i="2"/>
  <c r="J1729" i="2"/>
  <c r="J2649" i="2"/>
  <c r="J2049" i="2"/>
  <c r="K5289" i="2"/>
  <c r="K5388" i="2"/>
  <c r="J3529" i="2"/>
  <c r="B175" i="32"/>
  <c r="K1850" i="2"/>
  <c r="K2050" i="2"/>
  <c r="J2990" i="2"/>
  <c r="J2831" i="2"/>
  <c r="A36" i="24"/>
  <c r="J2469" i="2"/>
  <c r="K1368" i="2"/>
  <c r="J5970" i="2"/>
  <c r="J3368" i="2"/>
  <c r="K5571" i="2"/>
  <c r="K3828" i="2"/>
  <c r="J3890" i="2"/>
  <c r="K2168" i="2"/>
  <c r="A178" i="20"/>
  <c r="K1909" i="2"/>
  <c r="K2131" i="2"/>
  <c r="K1650" i="2"/>
  <c r="K4429" i="2"/>
  <c r="K5749" i="2"/>
  <c r="J5488" i="2"/>
  <c r="K1631" i="2"/>
  <c r="A236" i="20"/>
  <c r="J2608" i="2"/>
  <c r="A51" i="24"/>
  <c r="J4289" i="2"/>
  <c r="K4728" i="2"/>
  <c r="K1528" i="2"/>
  <c r="J3768" i="2"/>
  <c r="J3109" i="2"/>
  <c r="K1630" i="2"/>
  <c r="B139" i="32"/>
  <c r="K1690" i="2"/>
  <c r="J5610" i="2"/>
  <c r="J4112" i="2"/>
  <c r="K1509" i="2"/>
  <c r="A177" i="20"/>
  <c r="K4172" i="2"/>
  <c r="J5749" i="2"/>
  <c r="J3331" i="2"/>
  <c r="J5092" i="2"/>
  <c r="A215" i="20"/>
  <c r="K5188" i="2"/>
  <c r="J4571" i="2"/>
  <c r="J1968" i="2"/>
  <c r="J1630" i="2"/>
  <c r="K1408" i="2"/>
  <c r="K5070" i="2"/>
  <c r="K5929" i="2"/>
  <c r="K2090" i="2"/>
  <c r="J3268" i="2"/>
  <c r="J4851" i="2"/>
  <c r="J5569" i="2"/>
  <c r="A36" i="11"/>
  <c r="J5849" i="2"/>
  <c r="J5609" i="2"/>
  <c r="A158" i="24"/>
  <c r="B56" i="24"/>
  <c r="J3209" i="2"/>
  <c r="I968" i="2"/>
  <c r="K2471" i="2"/>
  <c r="J3388" i="2"/>
  <c r="B59" i="20"/>
  <c r="J5650" i="2"/>
  <c r="K3790" i="2"/>
  <c r="K4910" i="2"/>
  <c r="K5570" i="2"/>
  <c r="K3569" i="2"/>
  <c r="K1708" i="2"/>
  <c r="A31" i="20"/>
  <c r="J2370" i="2"/>
  <c r="J5290" i="2"/>
  <c r="K4070" i="2"/>
  <c r="J4232" i="2"/>
  <c r="K2029" i="2"/>
  <c r="J2610" i="2"/>
  <c r="K5210" i="2"/>
  <c r="K2752" i="2"/>
  <c r="J2171" i="2"/>
  <c r="K5789" i="2"/>
  <c r="K1752" i="2"/>
  <c r="J3130" i="2"/>
  <c r="K4791" i="2"/>
  <c r="K2848" i="2"/>
  <c r="B159" i="32"/>
  <c r="J1149" i="2"/>
  <c r="J4170" i="2"/>
  <c r="K1269" i="2"/>
  <c r="K2112" i="2"/>
  <c r="K2111" i="2"/>
  <c r="K3810" i="2"/>
  <c r="J5332" i="2"/>
  <c r="K3271" i="2"/>
  <c r="J4032" i="2"/>
  <c r="J1632" i="2"/>
  <c r="K2772" i="2"/>
  <c r="A175" i="20"/>
  <c r="K5112" i="2"/>
  <c r="J1491" i="2"/>
  <c r="J5191" i="2"/>
  <c r="K3468" i="2"/>
  <c r="K5189" i="2"/>
  <c r="K3728" i="2"/>
  <c r="J2289" i="2"/>
  <c r="J2052" i="2"/>
  <c r="K5170" i="2"/>
  <c r="J1350" i="2"/>
  <c r="K4772" i="2"/>
  <c r="K2609" i="2"/>
  <c r="J4050" i="2"/>
  <c r="J4268" i="2"/>
  <c r="J2968" i="2"/>
  <c r="J5152" i="2"/>
  <c r="K2991" i="2"/>
  <c r="J5692" i="2"/>
  <c r="K3408" i="2"/>
  <c r="J2991" i="2"/>
  <c r="K4288" i="2"/>
  <c r="B76" i="20"/>
  <c r="K3588" i="2"/>
  <c r="K4449" i="2"/>
  <c r="J1851" i="2"/>
  <c r="A157" i="24"/>
  <c r="J2949" i="2"/>
  <c r="K1490" i="2"/>
  <c r="K4731" i="2"/>
  <c r="J5931" i="2"/>
  <c r="K2248" i="2"/>
  <c r="B196" i="30"/>
  <c r="K3651" i="2"/>
  <c r="J4331" i="2"/>
  <c r="J5370" i="2"/>
  <c r="A136" i="24"/>
  <c r="J3728" i="2"/>
  <c r="J3289" i="2"/>
  <c r="K1570" i="2"/>
  <c r="J3328" i="2"/>
  <c r="J5612" i="2"/>
  <c r="J5588" i="2"/>
  <c r="K2290" i="2"/>
  <c r="K2249" i="2"/>
  <c r="K3050" i="2"/>
  <c r="K1769" i="2"/>
  <c r="J3790" i="2"/>
  <c r="K2510" i="2"/>
  <c r="J2850" i="2"/>
  <c r="J5088" i="2"/>
  <c r="K1771" i="2"/>
  <c r="K1950" i="2"/>
  <c r="J5750" i="2"/>
  <c r="K4891" i="2"/>
  <c r="J4770" i="2"/>
  <c r="A59" i="24"/>
  <c r="J5630" i="2"/>
  <c r="J2788" i="2"/>
  <c r="K3988" i="2"/>
  <c r="J4771" i="2"/>
  <c r="K2750" i="2"/>
  <c r="A99" i="24"/>
  <c r="J4848" i="2"/>
  <c r="J5489" i="2"/>
  <c r="J3711" i="2"/>
  <c r="J4649" i="2"/>
  <c r="J5790" i="2"/>
  <c r="J5428" i="2"/>
  <c r="K2610" i="2"/>
  <c r="K3851" i="2"/>
  <c r="J5308" i="2"/>
  <c r="J1529" i="2"/>
  <c r="B199" i="32"/>
  <c r="J3930" i="2"/>
  <c r="K4472" i="2"/>
  <c r="K5588" i="2"/>
  <c r="J2311" i="2"/>
  <c r="J5208" i="2"/>
  <c r="K1588" i="2"/>
  <c r="J4471" i="2"/>
  <c r="K4189" i="2"/>
  <c r="J3988" i="2"/>
  <c r="K2489" i="2"/>
  <c r="K3228" i="2"/>
  <c r="J2728" i="2"/>
  <c r="J2488" i="2"/>
  <c r="J4491" i="2"/>
  <c r="K4810" i="2"/>
  <c r="J2092" i="2"/>
  <c r="K3771" i="2"/>
  <c r="K2288" i="2"/>
  <c r="A36" i="10"/>
  <c r="J5529" i="2"/>
  <c r="K1330" i="2"/>
  <c r="J1169" i="2"/>
  <c r="K3112" i="2"/>
  <c r="B116" i="20"/>
  <c r="K1188" i="2"/>
  <c r="J2730" i="2"/>
  <c r="B155" i="32"/>
  <c r="K3832" i="2"/>
  <c r="K1311" i="2"/>
  <c r="K2631" i="2"/>
  <c r="A75" i="20"/>
  <c r="J2010" i="2"/>
  <c r="J5651" i="2"/>
  <c r="J2110" i="2"/>
  <c r="J4829" i="2"/>
  <c r="K1811" i="2"/>
  <c r="A79" i="24"/>
  <c r="J4131" i="2"/>
  <c r="K5950" i="2"/>
  <c r="J3311" i="2"/>
  <c r="K5290" i="2"/>
  <c r="K5572" i="2"/>
  <c r="J2552" i="2"/>
  <c r="J5230" i="2"/>
  <c r="J5170" i="2"/>
  <c r="K5470" i="2"/>
  <c r="K5428" i="2"/>
  <c r="A115" i="24"/>
  <c r="A239" i="24"/>
  <c r="K5548" i="2"/>
  <c r="B118" i="32"/>
  <c r="K5011" i="2"/>
  <c r="K1510" i="2"/>
  <c r="K3371" i="2"/>
  <c r="B135" i="33"/>
  <c r="J2369" i="2"/>
  <c r="J1308" i="2"/>
  <c r="A59" i="20"/>
  <c r="K1709" i="2"/>
  <c r="K4510" i="2"/>
  <c r="K3189" i="2"/>
  <c r="J5770" i="2"/>
  <c r="J1789" i="2"/>
  <c r="B115" i="24"/>
  <c r="J1889" i="2"/>
  <c r="J4008" i="2"/>
  <c r="K1410" i="2"/>
  <c r="K4190" i="2"/>
  <c r="J5150" i="2"/>
  <c r="J4489" i="2"/>
  <c r="K4992" i="2"/>
  <c r="J2292" i="2"/>
  <c r="J4931" i="2"/>
  <c r="J3831" i="2"/>
  <c r="B138" i="32"/>
  <c r="K1369" i="2"/>
  <c r="K4729" i="2"/>
  <c r="K5671" i="2"/>
  <c r="J1368" i="2"/>
  <c r="J4408" i="2"/>
  <c r="J4712" i="2"/>
  <c r="K2570" i="2"/>
  <c r="J4169" i="2"/>
  <c r="J3691" i="2"/>
  <c r="K2888" i="2"/>
  <c r="J4070" i="2"/>
  <c r="K5149" i="2"/>
  <c r="K2591" i="2"/>
  <c r="J4929" i="2"/>
  <c r="K3510" i="2"/>
  <c r="A35" i="11"/>
  <c r="J3451" i="2"/>
  <c r="J1808" i="2"/>
  <c r="K4448" i="2"/>
  <c r="K4212" i="2"/>
  <c r="J4012" i="2"/>
  <c r="J4810" i="2"/>
  <c r="K3331" i="2"/>
  <c r="J5669" i="2"/>
  <c r="K5411" i="2"/>
  <c r="K4088" i="2"/>
  <c r="K3792" i="2"/>
  <c r="K3172" i="2"/>
  <c r="J3608" i="2"/>
  <c r="J5110" i="2"/>
  <c r="K5128" i="2"/>
  <c r="J3850" i="2"/>
  <c r="A151" i="20"/>
  <c r="J1768" i="2"/>
  <c r="J4589" i="2"/>
  <c r="K2708" i="2"/>
  <c r="J5252" i="2"/>
  <c r="K4691" i="2"/>
  <c r="K2209" i="2"/>
  <c r="K1551" i="2"/>
  <c r="B98" i="24"/>
  <c r="K1352" i="2"/>
  <c r="J5928" i="2"/>
  <c r="K3671" i="2"/>
  <c r="J2228" i="2"/>
  <c r="K3969" i="2"/>
  <c r="J1191" i="2"/>
  <c r="K4511" i="2"/>
  <c r="J5288" i="2"/>
  <c r="K2871" i="2"/>
  <c r="A79" i="20"/>
  <c r="K2592" i="2"/>
  <c r="J2550" i="2"/>
  <c r="K2370" i="2"/>
  <c r="K1629" i="2"/>
  <c r="J5689" i="2"/>
  <c r="K3448" i="2"/>
  <c r="J4948" i="2"/>
  <c r="K2352" i="2"/>
  <c r="J3468" i="2"/>
  <c r="K3789" i="2"/>
  <c r="J1950" i="2"/>
  <c r="B159" i="20"/>
  <c r="K2128" i="2"/>
  <c r="K2368" i="2"/>
  <c r="J5031" i="2"/>
  <c r="J4010" i="2"/>
  <c r="K3412" i="2"/>
  <c r="J3572" i="2"/>
  <c r="K3109" i="2"/>
  <c r="K3568" i="2"/>
  <c r="K3012" i="2"/>
  <c r="J2591" i="2"/>
  <c r="K5312" i="2"/>
  <c r="J4832" i="2"/>
  <c r="J3269" i="2"/>
  <c r="B176" i="32"/>
  <c r="K1611" i="2"/>
  <c r="J3548" i="2"/>
  <c r="A96" i="24"/>
  <c r="B177" i="30"/>
  <c r="J4448" i="2"/>
  <c r="J4308" i="2"/>
  <c r="J2889" i="2"/>
  <c r="J1711" i="2"/>
  <c r="K2490" i="2"/>
  <c r="J4389" i="2"/>
  <c r="A36" i="14"/>
  <c r="K3628" i="2"/>
  <c r="J2028" i="2"/>
  <c r="J1750" i="2"/>
  <c r="J3730" i="2"/>
  <c r="K3930" i="2"/>
  <c r="K2472" i="2"/>
  <c r="K5992" i="2"/>
  <c r="K3572" i="2"/>
  <c r="K5092" i="2"/>
  <c r="J2192" i="2"/>
  <c r="J2088" i="2"/>
  <c r="B75" i="20"/>
  <c r="K3071" i="2"/>
  <c r="B55" i="24"/>
  <c r="K2688" i="2"/>
  <c r="K2909" i="2"/>
  <c r="K3450" i="2"/>
  <c r="B78" i="24"/>
  <c r="K1890" i="2"/>
  <c r="A58" i="24"/>
  <c r="K3489" i="2"/>
  <c r="K1988" i="2"/>
  <c r="J4611" i="2"/>
  <c r="J1911" i="2"/>
  <c r="K5051" i="2"/>
  <c r="K4370" i="2"/>
  <c r="D92" i="16"/>
  <c r="J1429" i="2"/>
  <c r="B76" i="24"/>
  <c r="K4328" i="2"/>
  <c r="J2468" i="2"/>
  <c r="K4969" i="2"/>
  <c r="J4250" i="2"/>
  <c r="J5130" i="2"/>
  <c r="J1170" i="2"/>
  <c r="J4411" i="2"/>
  <c r="J3170" i="2"/>
  <c r="K3649" i="2"/>
  <c r="J1269" i="2"/>
  <c r="J2951" i="2"/>
  <c r="K2228" i="2"/>
  <c r="J5331" i="2"/>
  <c r="J4550" i="2"/>
  <c r="J1492" i="2"/>
  <c r="K5688" i="2"/>
  <c r="K1429" i="2"/>
  <c r="K3688" i="2"/>
  <c r="K1428" i="2"/>
  <c r="J2691" i="2"/>
  <c r="J2269" i="2"/>
  <c r="K4590" i="2"/>
  <c r="J4450" i="2"/>
  <c r="A171" i="24"/>
  <c r="K3169" i="2"/>
  <c r="B137" i="20"/>
  <c r="J4668" i="2"/>
  <c r="B75" i="24"/>
  <c r="K1608" i="2"/>
  <c r="K4890" i="2"/>
  <c r="K2511" i="2"/>
  <c r="B36" i="7"/>
  <c r="J2749" i="2"/>
  <c r="K5971" i="2"/>
  <c r="K5129" i="2"/>
  <c r="J1792" i="2"/>
  <c r="K5330" i="2"/>
  <c r="K3290" i="2"/>
  <c r="J4110" i="2"/>
  <c r="A97" i="24"/>
  <c r="J5212" i="2"/>
  <c r="A117" i="20"/>
  <c r="J5909" i="2"/>
  <c r="J3669" i="2"/>
  <c r="K5451" i="2"/>
  <c r="K2769" i="2"/>
  <c r="J3830" i="2"/>
  <c r="J1272" i="2"/>
  <c r="J4890" i="2"/>
  <c r="K5851" i="2"/>
  <c r="K3451" i="2"/>
  <c r="K1730" i="2"/>
  <c r="B95" i="24"/>
  <c r="J4270" i="2"/>
  <c r="J5211" i="2"/>
  <c r="K1970" i="2"/>
  <c r="B216" i="33"/>
  <c r="K1209" i="2"/>
  <c r="J4452" i="2"/>
  <c r="J5711" i="2"/>
  <c r="J2410" i="2"/>
  <c r="J2012" i="2"/>
  <c r="J1349" i="2"/>
  <c r="J4431" i="2"/>
  <c r="K2990" i="2"/>
  <c r="J3490" i="2"/>
  <c r="J3870" i="2"/>
  <c r="K3011" i="2"/>
  <c r="J2008" i="2"/>
  <c r="K5812" i="2"/>
  <c r="J3612" i="2"/>
  <c r="K3429" i="2"/>
  <c r="J1810" i="2"/>
  <c r="J3291" i="2"/>
  <c r="B117" i="20"/>
  <c r="K5811" i="2"/>
  <c r="J3672" i="2"/>
  <c r="J2172" i="2"/>
  <c r="K3492" i="2"/>
  <c r="J2551" i="2"/>
  <c r="K2811" i="2"/>
  <c r="J1371" i="2"/>
  <c r="J2688" i="2"/>
  <c r="K5852" i="2"/>
  <c r="K3308" i="2"/>
  <c r="K5348" i="2"/>
  <c r="K1450" i="2"/>
  <c r="J5709" i="2"/>
  <c r="K3611" i="2"/>
  <c r="J4972" i="2"/>
  <c r="K3352" i="2"/>
  <c r="K3589" i="2"/>
  <c r="K2389" i="2"/>
  <c r="K4309" i="2"/>
  <c r="K3669" i="2"/>
  <c r="K1212" i="2"/>
  <c r="B79" i="20"/>
  <c r="K1828" i="2"/>
  <c r="K5748" i="2"/>
  <c r="K4708" i="2"/>
  <c r="J4869" i="2"/>
  <c r="A218" i="20"/>
  <c r="K4068" i="2"/>
  <c r="K3812" i="2"/>
  <c r="K4830" i="2"/>
  <c r="J5528" i="2"/>
  <c r="J4751" i="2"/>
  <c r="K1829" i="2"/>
  <c r="K4371" i="2"/>
  <c r="J2430" i="2"/>
  <c r="J1389" i="2"/>
  <c r="K1672" i="2"/>
  <c r="K2229" i="2"/>
  <c r="A117" i="24"/>
  <c r="J3010" i="2"/>
  <c r="K2969" i="2"/>
  <c r="J4428" i="2"/>
  <c r="J5911" i="2"/>
  <c r="K4771" i="2"/>
  <c r="J1212" i="2"/>
  <c r="J3708" i="2"/>
  <c r="K3850" i="2"/>
  <c r="K4210" i="2"/>
  <c r="J1509" i="2"/>
  <c r="J2890" i="2"/>
  <c r="J3950" i="2"/>
  <c r="D102" i="16"/>
  <c r="K1632" i="2"/>
  <c r="J3210" i="2"/>
  <c r="J1471" i="2"/>
  <c r="J4231" i="2"/>
  <c r="K3348" i="2"/>
  <c r="K1312" i="2"/>
  <c r="A216" i="20"/>
  <c r="K2529" i="2"/>
  <c r="A219" i="20"/>
  <c r="K5448" i="2"/>
  <c r="K2949" i="2"/>
  <c r="K5952" i="2"/>
  <c r="K3668" i="2"/>
  <c r="K5889" i="2"/>
  <c r="A55" i="20"/>
  <c r="K1191" i="2"/>
  <c r="J2510" i="2"/>
  <c r="K1229" i="2"/>
  <c r="K2351" i="2"/>
  <c r="K5750" i="2"/>
  <c r="B137" i="33"/>
  <c r="J5251" i="2"/>
  <c r="J1931" i="2"/>
  <c r="K1308" i="2"/>
  <c r="J1988" i="2"/>
  <c r="K3889" i="2"/>
  <c r="K5609" i="2"/>
  <c r="K5648" i="2"/>
  <c r="J2628" i="2"/>
  <c r="K2952" i="2"/>
  <c r="J5149" i="2"/>
  <c r="A77" i="20"/>
  <c r="J1172" i="2"/>
  <c r="K2310" i="2"/>
  <c r="K5068" i="2"/>
  <c r="J2371" i="2"/>
  <c r="J5729" i="2"/>
  <c r="K3268" i="2"/>
  <c r="K5848" i="2"/>
  <c r="J2908" i="2"/>
  <c r="J3649" i="2"/>
  <c r="K4592" i="2"/>
  <c r="K5009" i="2"/>
  <c r="J4068" i="2"/>
  <c r="K2152" i="2"/>
  <c r="J3629" i="2"/>
  <c r="J5490" i="2"/>
  <c r="K5772" i="2"/>
  <c r="J4629" i="2"/>
  <c r="K5632" i="2"/>
  <c r="D96" i="16"/>
  <c r="K5590" i="2"/>
  <c r="K3430" i="2"/>
  <c r="K3252" i="2"/>
  <c r="J1150" i="2"/>
  <c r="K4991" i="2"/>
  <c r="K1569" i="2"/>
  <c r="J1972" i="2"/>
  <c r="K2048" i="2"/>
  <c r="A156" i="20"/>
  <c r="J2651" i="2"/>
  <c r="J4951" i="2"/>
  <c r="J5391" i="2"/>
  <c r="J1692" i="2"/>
  <c r="J3690" i="2"/>
  <c r="K2231" i="2"/>
  <c r="K5512" i="2"/>
  <c r="K3530" i="2"/>
  <c r="K1292" i="2"/>
  <c r="K3392" i="2"/>
  <c r="K4888" i="2"/>
  <c r="J3211" i="2"/>
  <c r="J1189" i="2"/>
  <c r="K1732" i="2"/>
  <c r="A36" i="7"/>
  <c r="K4251" i="2"/>
  <c r="K5732" i="2"/>
  <c r="J4769" i="2"/>
  <c r="K2429" i="2"/>
  <c r="J1631" i="2"/>
  <c r="B158" i="29"/>
  <c r="K4209" i="2"/>
  <c r="J4831" i="2"/>
  <c r="K5951" i="2"/>
  <c r="K1148" i="2"/>
  <c r="K1932" i="2"/>
  <c r="K3909" i="2"/>
  <c r="K2332" i="2"/>
  <c r="J4410" i="2"/>
  <c r="J1192" i="2"/>
  <c r="J4171" i="2"/>
  <c r="J2252" i="2"/>
  <c r="K5509" i="2"/>
  <c r="K4168" i="2"/>
  <c r="J2969" i="2"/>
  <c r="J2848" i="2"/>
  <c r="K2268" i="2"/>
  <c r="J3731" i="2"/>
  <c r="K3389" i="2"/>
  <c r="K4808" i="2"/>
  <c r="J3630" i="2"/>
  <c r="K5828" i="2"/>
  <c r="J2770" i="2"/>
  <c r="A231" i="20"/>
  <c r="K3848" i="2"/>
  <c r="J4710" i="2"/>
  <c r="J1409" i="2"/>
  <c r="A35" i="7"/>
  <c r="J1990" i="2"/>
  <c r="J4852" i="2"/>
  <c r="J2212" i="2"/>
  <c r="K5209" i="2"/>
  <c r="J1570" i="2"/>
  <c r="J1372" i="2"/>
  <c r="J5930" i="2"/>
  <c r="K1349" i="2"/>
  <c r="J2391" i="2"/>
  <c r="J5372" i="2"/>
  <c r="K2650" i="2"/>
  <c r="J3151" i="2"/>
  <c r="J5388" i="2"/>
  <c r="K4430" i="2"/>
  <c r="K3630" i="2"/>
  <c r="A137" i="20"/>
  <c r="K1691" i="2"/>
  <c r="J3049" i="2"/>
  <c r="J2310" i="2"/>
  <c r="K5771" i="2"/>
  <c r="K4532" i="2"/>
  <c r="K3370" i="2"/>
  <c r="J1809" i="2"/>
  <c r="K1931" i="2"/>
  <c r="J1228" i="2"/>
  <c r="J2048" i="2"/>
  <c r="K3749" i="2"/>
  <c r="J5228" i="2"/>
  <c r="K4331" i="2"/>
  <c r="J5089" i="2"/>
  <c r="B158" i="32"/>
  <c r="J2828" i="2"/>
  <c r="B119" i="29"/>
  <c r="K5790" i="2"/>
  <c r="J4129" i="2"/>
  <c r="K4709" i="2"/>
  <c r="K2931" i="2"/>
  <c r="K1789" i="2"/>
  <c r="K1910" i="2"/>
  <c r="K4232" i="2"/>
  <c r="K3608" i="2"/>
  <c r="J3889" i="2"/>
  <c r="K3730" i="2"/>
  <c r="J2490" i="2"/>
  <c r="K4350" i="2"/>
  <c r="J2429" i="2"/>
  <c r="B116" i="24"/>
  <c r="K3570" i="2"/>
  <c r="J3770" i="2"/>
  <c r="J2170" i="2"/>
  <c r="K1831" i="2"/>
  <c r="J5572" i="2"/>
  <c r="K1670" i="2"/>
  <c r="K2292" i="2"/>
  <c r="K1711" i="2"/>
  <c r="J1969" i="2"/>
  <c r="J2590" i="2"/>
  <c r="J4609" i="2"/>
  <c r="K3950" i="2"/>
  <c r="J5289" i="2"/>
  <c r="K1952" i="2"/>
  <c r="B119" i="20"/>
  <c r="J2852" i="2"/>
  <c r="K1568" i="2"/>
  <c r="K4388" i="2"/>
  <c r="K1928" i="2"/>
  <c r="K5770" i="2"/>
  <c r="K4110" i="2"/>
  <c r="J1811" i="2"/>
  <c r="K4009" i="2"/>
  <c r="B116" i="29"/>
  <c r="J2050" i="2"/>
  <c r="J5672" i="2"/>
  <c r="J3250" i="2"/>
  <c r="J2512" i="2"/>
  <c r="J1250" i="2"/>
  <c r="K1692" i="2"/>
  <c r="J5649" i="2"/>
  <c r="A137" i="24"/>
  <c r="J4312" i="2"/>
  <c r="K5050" i="2"/>
  <c r="J2072" i="2"/>
  <c r="K2049" i="2"/>
  <c r="K5431" i="2"/>
  <c r="K4352" i="2"/>
  <c r="K2309" i="2"/>
  <c r="J3512" i="2"/>
  <c r="J3812" i="2"/>
  <c r="J3511" i="2"/>
  <c r="K3751" i="2"/>
  <c r="J2451" i="2"/>
  <c r="J2970" i="2"/>
  <c r="K1891" i="2"/>
  <c r="K2390" i="2"/>
  <c r="K2372" i="2"/>
  <c r="J5829" i="2"/>
  <c r="B178" i="29"/>
  <c r="K4211" i="2"/>
  <c r="K1832" i="2"/>
  <c r="K2652" i="2"/>
  <c r="K4351" i="2"/>
  <c r="K5288" i="2"/>
  <c r="K4650" i="2"/>
  <c r="K1271" i="2"/>
  <c r="J3330" i="2"/>
  <c r="K5730" i="2"/>
  <c r="K1830" i="2"/>
  <c r="K2190" i="2"/>
  <c r="K5471" i="2"/>
  <c r="A158" i="20"/>
  <c r="J3990" i="2"/>
  <c r="K4552" i="2"/>
  <c r="J2351" i="2"/>
  <c r="K2291" i="2"/>
  <c r="A236" i="24"/>
  <c r="K4030" i="2"/>
  <c r="K3710" i="2"/>
  <c r="J1329" i="2"/>
  <c r="A71" i="20"/>
  <c r="J2988" i="2"/>
  <c r="K4912" i="2"/>
  <c r="K1728" i="2"/>
  <c r="J4429" i="2"/>
  <c r="D59" i="16"/>
  <c r="K3288" i="2"/>
  <c r="J4449" i="2"/>
  <c r="J5810" i="2"/>
  <c r="J3149" i="2"/>
  <c r="J3110" i="2"/>
  <c r="K5589" i="2"/>
  <c r="K2870" i="2"/>
  <c r="K4548" i="2"/>
  <c r="A36" i="13"/>
  <c r="K4990" i="2"/>
  <c r="J3469" i="2"/>
  <c r="B77" i="24"/>
  <c r="J1168" i="2"/>
  <c r="K1152" i="2"/>
  <c r="K2150" i="2"/>
  <c r="K3411" i="2"/>
  <c r="J3271" i="2"/>
  <c r="J5831" i="2"/>
  <c r="J4530" i="2"/>
  <c r="J5530" i="2"/>
  <c r="K2189" i="2"/>
  <c r="K5592" i="2"/>
  <c r="J2748" i="2"/>
  <c r="A31" i="13"/>
  <c r="J4052" i="2"/>
  <c r="B179" i="33"/>
  <c r="J1828" i="2"/>
  <c r="K2012" i="2"/>
  <c r="J3091" i="2"/>
  <c r="J3969" i="2"/>
  <c r="K4829" i="2"/>
  <c r="K1488" i="2"/>
  <c r="K3529" i="2"/>
  <c r="J4350" i="2"/>
  <c r="A139" i="24"/>
  <c r="K4751" i="2"/>
  <c r="J2491" i="2"/>
  <c r="A96" i="20"/>
  <c r="A118" i="20"/>
  <c r="K4488" i="2"/>
  <c r="J5791" i="2"/>
  <c r="J2529" i="2"/>
  <c r="J3491" i="2"/>
  <c r="K5029" i="2"/>
  <c r="J5192" i="2"/>
  <c r="J5049" i="2"/>
  <c r="K5351" i="2"/>
  <c r="J2270" i="2"/>
  <c r="J1831" i="2"/>
  <c r="J2930" i="2"/>
  <c r="K4770" i="2"/>
  <c r="J5710" i="2"/>
  <c r="J3769" i="2"/>
  <c r="J5291" i="2"/>
  <c r="J3411" i="2"/>
  <c r="B79" i="24"/>
  <c r="B159" i="33"/>
  <c r="J1871" i="2"/>
  <c r="K2951" i="2"/>
  <c r="J3191" i="2"/>
  <c r="K3490" i="2"/>
  <c r="J1812" i="2"/>
  <c r="J3688" i="2"/>
  <c r="K1169" i="2"/>
  <c r="A31" i="14"/>
  <c r="K4750" i="2"/>
  <c r="J2710" i="2"/>
  <c r="K1992" i="2"/>
  <c r="K5109" i="2"/>
  <c r="J4891" i="2"/>
  <c r="J2169" i="2"/>
  <c r="J2011" i="2"/>
  <c r="K3550" i="2"/>
  <c r="J5571" i="2"/>
  <c r="K3229" i="2"/>
  <c r="K5271" i="2"/>
  <c r="J3532" i="2"/>
  <c r="J4689" i="2"/>
  <c r="K3391" i="2"/>
  <c r="K2930" i="2"/>
  <c r="K5830" i="2"/>
  <c r="A138" i="24"/>
  <c r="I1028" i="2"/>
  <c r="J4588" i="2"/>
  <c r="K5230" i="2"/>
  <c r="J3391" i="2"/>
  <c r="J2091" i="2"/>
  <c r="J4672" i="2"/>
  <c r="K2731" i="2"/>
  <c r="J1311" i="2"/>
  <c r="J3772" i="2"/>
  <c r="K5031" i="2"/>
  <c r="K3329" i="2"/>
  <c r="J4950" i="2"/>
  <c r="K5752" i="2"/>
  <c r="J3811" i="2"/>
  <c r="K3532" i="2"/>
  <c r="J1751" i="2"/>
  <c r="J4412" i="2"/>
  <c r="J4369" i="2"/>
  <c r="B157" i="33"/>
  <c r="J3932" i="2"/>
  <c r="J2031" i="2"/>
  <c r="K5111" i="2"/>
  <c r="J3051" i="2"/>
  <c r="K1612" i="2"/>
  <c r="J3131" i="2"/>
  <c r="K2788" i="2"/>
  <c r="B158" i="33"/>
  <c r="J1628" i="2"/>
  <c r="K5390" i="2"/>
  <c r="K4270" i="2"/>
  <c r="J4349" i="2"/>
  <c r="J4889" i="2"/>
  <c r="J3651" i="2"/>
  <c r="J3591" i="2"/>
  <c r="K5692" i="2"/>
  <c r="J2869" i="2"/>
  <c r="J3228" i="2"/>
  <c r="J4789" i="2"/>
  <c r="J3290" i="2"/>
  <c r="K4228" i="2"/>
  <c r="K2031" i="2"/>
  <c r="K3249" i="2"/>
  <c r="K2690" i="2"/>
  <c r="J1309" i="2"/>
  <c r="K2108" i="2"/>
  <c r="K3991" i="2"/>
  <c r="K4051" i="2"/>
  <c r="J2751" i="2"/>
  <c r="K2971" i="2"/>
  <c r="K2808" i="2"/>
  <c r="J2352" i="2"/>
  <c r="J4932" i="2"/>
  <c r="K1911" i="2"/>
  <c r="J5691" i="2"/>
  <c r="K3972" i="2"/>
  <c r="J4290" i="2"/>
  <c r="J4772" i="2"/>
  <c r="J2572" i="2"/>
  <c r="J4732" i="2"/>
  <c r="K1172" i="2"/>
  <c r="K3231" i="2"/>
  <c r="B236" i="33"/>
  <c r="J4572" i="2"/>
  <c r="K3652" i="2"/>
  <c r="K2272" i="2"/>
  <c r="K4930" i="2"/>
  <c r="J5890" i="2"/>
  <c r="K3830" i="2"/>
  <c r="K1272" i="2"/>
  <c r="K5991" i="2"/>
  <c r="J1151" i="2"/>
  <c r="B217" i="32"/>
  <c r="B35" i="10"/>
  <c r="J5991" i="2"/>
  <c r="J1469" i="2"/>
  <c r="K1792" i="2"/>
  <c r="K2651" i="2"/>
  <c r="J4952" i="2"/>
  <c r="J3231" i="2"/>
  <c r="J1790" i="2"/>
  <c r="J2892" i="2"/>
  <c r="K5551" i="2"/>
  <c r="J5552" i="2"/>
  <c r="B119" i="24"/>
  <c r="J1928" i="2"/>
  <c r="J3631" i="2"/>
  <c r="K1712" i="2"/>
  <c r="J5351" i="2"/>
  <c r="J3052" i="2"/>
  <c r="J5410" i="2"/>
  <c r="B179" i="30"/>
  <c r="J2071" i="2"/>
  <c r="K2492" i="2"/>
  <c r="K2371" i="2"/>
  <c r="J2752" i="2"/>
  <c r="J5070" i="2"/>
  <c r="J2671" i="2"/>
  <c r="K4389" i="2"/>
  <c r="K1511" i="2"/>
  <c r="K3210" i="2"/>
  <c r="J2009" i="2"/>
  <c r="K2331" i="2"/>
  <c r="K3692" i="2"/>
  <c r="K4091" i="2"/>
  <c r="B58" i="24"/>
  <c r="K2452" i="2"/>
  <c r="J2530" i="2"/>
  <c r="J4011" i="2"/>
  <c r="J1951" i="2"/>
  <c r="J4971" i="2"/>
  <c r="J2811" i="2"/>
  <c r="K5709" i="2"/>
  <c r="J3429" i="2"/>
  <c r="K5152" i="2"/>
  <c r="D80" i="16"/>
  <c r="B157" i="29"/>
  <c r="K5972" i="2"/>
  <c r="K5912" i="2"/>
  <c r="K2109" i="2"/>
  <c r="K5211" i="2"/>
  <c r="K4710" i="2"/>
  <c r="J4391" i="2"/>
  <c r="K2191" i="2"/>
  <c r="K1990" i="2"/>
  <c r="J4288" i="2"/>
  <c r="J5311" i="2"/>
  <c r="J1531" i="2"/>
  <c r="K3869" i="2"/>
  <c r="K5808" i="2"/>
  <c r="J3370" i="2"/>
  <c r="J3910" i="2"/>
  <c r="J5491" i="2"/>
  <c r="J2972" i="2"/>
  <c r="J1190" i="2"/>
  <c r="J3192" i="2"/>
  <c r="J4492" i="2"/>
  <c r="K1671" i="2"/>
  <c r="K5132" i="2"/>
  <c r="J5209" i="2"/>
  <c r="K4908" i="2"/>
  <c r="J2372" i="2"/>
  <c r="K2010" i="2"/>
  <c r="K4332" i="2"/>
  <c r="J2872" i="2"/>
  <c r="J1351" i="2"/>
  <c r="J4132" i="2"/>
  <c r="J3332" i="2"/>
  <c r="K2771" i="2"/>
  <c r="B36" i="3"/>
  <c r="J1449" i="2"/>
  <c r="A95" i="20"/>
  <c r="A235" i="24"/>
  <c r="K5569" i="2"/>
  <c r="K2968" i="2"/>
  <c r="K4951" i="2"/>
  <c r="J1430" i="2"/>
  <c r="J4109" i="2"/>
  <c r="J2030" i="2"/>
  <c r="K5089" i="2"/>
  <c r="J5952" i="2"/>
  <c r="J2151" i="2"/>
  <c r="J2851" i="2"/>
  <c r="J2331" i="2"/>
  <c r="K5492" i="2"/>
  <c r="J5231" i="2"/>
  <c r="J5592" i="2"/>
  <c r="B95" i="20"/>
  <c r="J1209" i="2"/>
  <c r="J4352" i="2"/>
  <c r="J2650" i="2"/>
  <c r="J5532" i="2"/>
  <c r="B99" i="24"/>
  <c r="K2512" i="2"/>
  <c r="K2588" i="2"/>
  <c r="K5370" i="2"/>
  <c r="J5090" i="2"/>
  <c r="B237" i="32"/>
  <c r="K1572" i="2"/>
  <c r="K3870" i="2"/>
  <c r="J4152" i="2"/>
  <c r="K1251" i="2"/>
  <c r="J4469" i="2"/>
  <c r="K5171" i="2"/>
  <c r="K4092" i="2"/>
  <c r="K3250" i="2"/>
  <c r="K3552" i="2"/>
  <c r="K5231" i="2"/>
  <c r="J1470" i="2"/>
  <c r="J2248" i="2"/>
  <c r="B195" i="29"/>
  <c r="K4692" i="2"/>
  <c r="B156" i="29"/>
  <c r="K3672" i="2"/>
  <c r="B136" i="29"/>
  <c r="K2450" i="2"/>
  <c r="J4548" i="2"/>
  <c r="J4691" i="2"/>
  <c r="K3571" i="2"/>
  <c r="K4892" i="2"/>
  <c r="K5631" i="2"/>
  <c r="K3152" i="2"/>
  <c r="K5531" i="2"/>
  <c r="J4692" i="2"/>
  <c r="J5010" i="2"/>
  <c r="J4072" i="2"/>
  <c r="K2831" i="2"/>
  <c r="K4931" i="2"/>
  <c r="K1552" i="2"/>
  <c r="J3251" i="2"/>
  <c r="J4309" i="2"/>
  <c r="K4868" i="2"/>
  <c r="K5948" i="2"/>
  <c r="J4991" i="2"/>
  <c r="K2812" i="2"/>
  <c r="K3431" i="2"/>
  <c r="J1188" i="2"/>
  <c r="K1291" i="2"/>
  <c r="K2548" i="2"/>
  <c r="J2129" i="2"/>
  <c r="B198" i="30"/>
  <c r="J4512" i="2"/>
  <c r="K2911" i="2"/>
  <c r="J3609" i="2"/>
  <c r="J5589" i="2"/>
  <c r="J1249" i="2"/>
  <c r="K3129" i="2"/>
  <c r="K5429" i="2"/>
  <c r="K5110" i="2"/>
  <c r="J4189" i="2"/>
  <c r="A31" i="11"/>
  <c r="J4451" i="2"/>
  <c r="J5271" i="2"/>
  <c r="J3792" i="2"/>
  <c r="J5472" i="2"/>
  <c r="K3088" i="2"/>
  <c r="J1572" i="2"/>
  <c r="J2032" i="2"/>
  <c r="K2151" i="2"/>
  <c r="J5330" i="2"/>
  <c r="J3809" i="2"/>
  <c r="A217" i="24"/>
  <c r="K2950" i="2"/>
  <c r="J2431" i="2"/>
  <c r="K4192" i="2"/>
  <c r="J4992" i="2"/>
  <c r="B237" i="30"/>
  <c r="J5508" i="2"/>
  <c r="J3070" i="2"/>
  <c r="J3832" i="2"/>
  <c r="K4052" i="2"/>
  <c r="J3750" i="2"/>
  <c r="J4291" i="2"/>
  <c r="K4591" i="2"/>
  <c r="J2672" i="2"/>
  <c r="J4351" i="2"/>
  <c r="J1292" i="2"/>
  <c r="K4811" i="2"/>
  <c r="K3951" i="2"/>
  <c r="J1552" i="2"/>
  <c r="J2271" i="2"/>
  <c r="J2652" i="2"/>
  <c r="K4970" i="2"/>
  <c r="K5292" i="2"/>
  <c r="K2251" i="2"/>
  <c r="K3270" i="2"/>
  <c r="J1772" i="2"/>
  <c r="K5032" i="2"/>
  <c r="K4249" i="2"/>
  <c r="J3471" i="2"/>
  <c r="K2572" i="2"/>
  <c r="B55" i="20"/>
  <c r="K5172" i="2"/>
  <c r="D71" i="16"/>
  <c r="J2368" i="2"/>
  <c r="K4732" i="2"/>
  <c r="A179" i="24"/>
  <c r="J1528" i="2"/>
  <c r="J2511" i="2"/>
  <c r="K2552" i="2"/>
  <c r="J2750" i="2"/>
  <c r="J4090" i="2"/>
  <c r="K1749" i="2"/>
  <c r="J4888" i="2"/>
  <c r="J1691" i="2"/>
  <c r="J4688" i="2"/>
  <c r="J5611" i="2"/>
  <c r="J1650" i="2"/>
  <c r="K5190" i="2"/>
  <c r="B139" i="20"/>
  <c r="J5011" i="2"/>
  <c r="K3230" i="2"/>
  <c r="K2551" i="2"/>
  <c r="J3531" i="2"/>
  <c r="J4192" i="2"/>
  <c r="K4469" i="2"/>
  <c r="K3471" i="2"/>
  <c r="J5531" i="2"/>
  <c r="K5611" i="2"/>
  <c r="K3310" i="2"/>
  <c r="J5712" i="2"/>
  <c r="K4312" i="2"/>
  <c r="K3311" i="2"/>
  <c r="J1332" i="2"/>
  <c r="J4089" i="2"/>
  <c r="K3131" i="2"/>
  <c r="J3252" i="2"/>
  <c r="J3968" i="2"/>
  <c r="K1809" i="2"/>
  <c r="K2929" i="2"/>
  <c r="K5850" i="2"/>
  <c r="K4968" i="2"/>
  <c r="J5151" i="2"/>
  <c r="K5731" i="2"/>
  <c r="B179" i="29"/>
  <c r="K3990" i="2"/>
  <c r="J1732" i="2"/>
  <c r="J3891" i="2"/>
  <c r="K3211" i="2"/>
  <c r="K4231" i="2"/>
  <c r="K4111" i="2"/>
  <c r="J1832" i="2"/>
  <c r="K3472" i="2"/>
  <c r="K5932" i="2"/>
  <c r="K4291" i="2"/>
  <c r="K5829" i="2"/>
  <c r="K4129" i="2"/>
  <c r="K4248" i="2"/>
  <c r="K1448" i="2"/>
  <c r="J1432" i="2"/>
  <c r="J4969" i="2"/>
  <c r="J3092" i="2"/>
  <c r="K4049" i="2"/>
  <c r="D63" i="16"/>
  <c r="K5831" i="2"/>
  <c r="K2170" i="2"/>
  <c r="K2410" i="2"/>
  <c r="K2392" i="2"/>
  <c r="K5169" i="2"/>
  <c r="B159" i="30"/>
  <c r="J2070" i="2"/>
  <c r="J3452" i="2"/>
  <c r="K5072" i="2"/>
  <c r="J2870" i="2"/>
  <c r="J4092" i="2"/>
  <c r="K2330" i="2"/>
  <c r="J2312" i="2"/>
  <c r="J5751" i="2"/>
  <c r="J5992" i="2"/>
  <c r="K5472" i="2"/>
  <c r="J1791" i="2"/>
  <c r="J5631" i="2"/>
  <c r="J5392" i="2"/>
  <c r="K5591" i="2"/>
  <c r="J5808" i="2"/>
  <c r="J4071" i="2"/>
  <c r="J3508" i="2"/>
  <c r="K1471" i="2"/>
  <c r="J1769" i="2"/>
  <c r="J1610" i="2"/>
  <c r="B159" i="29"/>
  <c r="A31" i="8"/>
  <c r="J4808" i="2"/>
  <c r="J5891" i="2"/>
  <c r="K2130" i="2"/>
  <c r="K2832" i="2"/>
  <c r="K3748" i="2"/>
  <c r="K5332" i="2"/>
  <c r="J3892" i="2"/>
  <c r="J4330" i="2"/>
  <c r="J5590" i="2"/>
  <c r="K5030" i="2"/>
  <c r="J1612" i="2"/>
  <c r="J2712" i="2"/>
  <c r="K3251" i="2"/>
  <c r="J2912" i="2"/>
  <c r="J1932" i="2"/>
  <c r="J2112" i="2"/>
  <c r="K3992" i="2"/>
  <c r="K4632" i="2"/>
  <c r="J1511" i="2"/>
  <c r="J2929" i="2"/>
  <c r="K1971" i="2"/>
  <c r="J3189" i="2"/>
  <c r="J5189" i="2"/>
  <c r="J2731" i="2"/>
  <c r="J3951" i="2"/>
  <c r="K1468" i="2"/>
  <c r="J1530" i="2"/>
  <c r="K4972" i="2"/>
  <c r="K1731" i="2"/>
  <c r="K5672" i="2"/>
  <c r="B96" i="24"/>
  <c r="K2571" i="2"/>
  <c r="B178" i="32"/>
  <c r="J3132" i="2"/>
  <c r="K5311" i="2"/>
  <c r="J1712" i="2"/>
  <c r="K4268" i="2"/>
  <c r="J1850" i="2"/>
  <c r="J5568" i="2"/>
  <c r="J1752" i="2"/>
  <c r="B158" i="30"/>
  <c r="K3871" i="2"/>
  <c r="J1611" i="2"/>
  <c r="A156" i="24"/>
  <c r="A55" i="24"/>
  <c r="J5511" i="2"/>
  <c r="J3410" i="2"/>
  <c r="K2232" i="2"/>
  <c r="K1849" i="2"/>
  <c r="K1431" i="2"/>
  <c r="K1331" i="2"/>
  <c r="J2791" i="2"/>
  <c r="J3909" i="2"/>
  <c r="J1629" i="2"/>
  <c r="B197" i="32"/>
  <c r="J5071" i="2"/>
  <c r="J2571" i="2"/>
  <c r="J2250" i="2"/>
  <c r="B36" i="20"/>
  <c r="J3570" i="2"/>
  <c r="K4672" i="2"/>
  <c r="K3888" i="2"/>
  <c r="J4292" i="2"/>
  <c r="K3631" i="2"/>
  <c r="K3528" i="2"/>
  <c r="K1451" i="2"/>
  <c r="D65" i="16"/>
  <c r="K3031" i="2"/>
  <c r="K2850" i="2"/>
  <c r="K4711" i="2"/>
  <c r="J1391" i="2"/>
  <c r="J3810" i="2"/>
  <c r="K4872" i="2"/>
  <c r="K2830" i="2"/>
  <c r="J3112" i="2"/>
  <c r="J4730" i="2"/>
  <c r="K5791" i="2"/>
  <c r="B138" i="29"/>
  <c r="K2171" i="2"/>
  <c r="K3752" i="2"/>
  <c r="J1571" i="2"/>
  <c r="D101" i="16"/>
  <c r="J4510" i="2"/>
  <c r="B175" i="30"/>
  <c r="J4551" i="2"/>
  <c r="J5811" i="2"/>
  <c r="J3709" i="2"/>
  <c r="K3590" i="2"/>
  <c r="J3549" i="2"/>
  <c r="J1912" i="2"/>
  <c r="J4212" i="2"/>
  <c r="J4892" i="2"/>
  <c r="K5669" i="2"/>
  <c r="B116" i="32"/>
  <c r="K5711" i="2"/>
  <c r="K2312" i="2"/>
  <c r="J3689" i="2"/>
  <c r="B197" i="30"/>
  <c r="K5489" i="2"/>
  <c r="J4911" i="2"/>
  <c r="K2792" i="2"/>
  <c r="J4711" i="2"/>
  <c r="J3350" i="2"/>
  <c r="B36" i="14"/>
  <c r="J5091" i="2"/>
  <c r="K2791" i="2"/>
  <c r="K4671" i="2"/>
  <c r="B136" i="24"/>
  <c r="K4550" i="2"/>
  <c r="A118" i="24"/>
  <c r="K5328" i="2"/>
  <c r="K2230" i="2"/>
  <c r="J4990" i="2"/>
  <c r="K4372" i="2"/>
  <c r="J3351" i="2"/>
  <c r="K4208" i="2"/>
  <c r="J1852" i="2"/>
  <c r="J4229" i="2"/>
  <c r="K2852" i="2"/>
  <c r="J3072" i="2"/>
  <c r="K4792" i="2"/>
  <c r="J4528" i="2"/>
  <c r="K4932" i="2"/>
  <c r="K3111" i="2"/>
  <c r="J4091" i="2"/>
  <c r="K3971" i="2"/>
  <c r="K5352" i="2"/>
  <c r="J4652" i="2"/>
  <c r="J2131" i="2"/>
  <c r="K5911" i="2"/>
  <c r="B139" i="24"/>
  <c r="J4709" i="2"/>
  <c r="K3052" i="2"/>
  <c r="J1730" i="2"/>
  <c r="J1671" i="2"/>
  <c r="I1008" i="2"/>
  <c r="K5069" i="2"/>
  <c r="J5312" i="2"/>
  <c r="K5310" i="2"/>
  <c r="B178" i="30"/>
  <c r="K3449" i="2"/>
  <c r="K2630" i="2"/>
  <c r="K5212" i="2"/>
  <c r="K2891" i="2"/>
  <c r="A218" i="24"/>
  <c r="K5350" i="2"/>
  <c r="B177" i="33"/>
  <c r="J5832" i="2"/>
  <c r="J3090" i="2"/>
  <c r="K2391" i="2"/>
  <c r="K1150" i="2"/>
  <c r="J4251" i="2"/>
  <c r="K1231" i="2"/>
  <c r="J4552" i="2"/>
  <c r="J1890" i="2"/>
  <c r="J3971" i="2"/>
  <c r="K4292" i="2"/>
  <c r="J3948" i="2"/>
  <c r="J2771" i="2"/>
  <c r="K1852" i="2"/>
  <c r="K3132" i="2"/>
  <c r="K1289" i="2"/>
  <c r="K1592" i="2"/>
  <c r="K5409" i="2"/>
  <c r="J5430" i="2"/>
  <c r="K4851" i="2"/>
  <c r="J5112" i="2"/>
  <c r="K2890" i="2"/>
  <c r="K3689" i="2"/>
  <c r="J3569" i="2"/>
  <c r="J4111" i="2"/>
  <c r="J3169" i="2"/>
  <c r="K4652" i="2"/>
  <c r="J5668" i="2"/>
  <c r="K5792" i="2"/>
  <c r="J3931" i="2"/>
  <c r="J2952" i="2"/>
  <c r="J1992" i="2"/>
  <c r="K3732" i="2"/>
  <c r="J4029" i="2"/>
  <c r="A135" i="24"/>
  <c r="K3711" i="2"/>
  <c r="J2472" i="2"/>
  <c r="J5731" i="2"/>
  <c r="K5649" i="2"/>
  <c r="K2531" i="2"/>
  <c r="J3009" i="2"/>
  <c r="J2632" i="2"/>
  <c r="K3791" i="2"/>
  <c r="K3512" i="2"/>
  <c r="K2532" i="2"/>
  <c r="A91" i="24"/>
  <c r="D81" i="16" s="1"/>
  <c r="B135" i="24"/>
  <c r="K1751" i="2"/>
  <c r="J2612" i="2"/>
  <c r="J1289" i="2"/>
  <c r="K4832" i="2"/>
  <c r="J4592" i="2"/>
  <c r="J4472" i="2"/>
  <c r="J3430" i="2"/>
  <c r="K4730" i="2"/>
  <c r="D66" i="16"/>
  <c r="J1872" i="2"/>
  <c r="J2531" i="2"/>
  <c r="J4532" i="2"/>
  <c r="J3292" i="2"/>
  <c r="J5232" i="2"/>
  <c r="K5270" i="2"/>
  <c r="K4789" i="2"/>
  <c r="K3010" i="2"/>
  <c r="K4492" i="2"/>
  <c r="J2249" i="2"/>
  <c r="J3172" i="2"/>
  <c r="K4850" i="2"/>
  <c r="K3332" i="2"/>
  <c r="D68" i="16"/>
  <c r="J5848" i="2"/>
  <c r="J1312" i="2"/>
  <c r="K5552" i="2"/>
  <c r="J1909" i="2"/>
  <c r="J3032" i="2"/>
  <c r="J3412" i="2"/>
  <c r="K3008" i="2"/>
  <c r="J5988" i="2"/>
  <c r="J1450" i="2"/>
  <c r="K4151" i="2"/>
  <c r="K5432" i="2"/>
  <c r="K4451" i="2"/>
  <c r="J5591" i="2"/>
  <c r="K3491" i="2"/>
  <c r="J3372" i="2"/>
  <c r="K2289" i="2"/>
  <c r="K2790" i="2"/>
  <c r="J5549" i="2"/>
  <c r="J2288" i="2"/>
  <c r="J2051" i="2"/>
  <c r="K2932" i="2"/>
  <c r="J3111" i="2"/>
  <c r="J4930" i="2"/>
  <c r="J1888" i="2"/>
  <c r="K2629" i="2"/>
  <c r="K4012" i="2"/>
  <c r="K3811" i="2"/>
  <c r="J5329" i="2"/>
  <c r="J3428" i="2"/>
  <c r="J3852" i="2"/>
  <c r="J3128" i="2"/>
  <c r="J3732" i="2"/>
  <c r="J4311" i="2"/>
  <c r="B176" i="29"/>
  <c r="J3972" i="2"/>
  <c r="D70" i="16"/>
  <c r="J3552" i="2"/>
  <c r="J2789" i="2"/>
  <c r="J5652" i="2"/>
  <c r="J3190" i="2"/>
  <c r="K2530" i="2"/>
  <c r="K2469" i="2"/>
  <c r="K1912" i="2"/>
  <c r="J3752" i="2"/>
  <c r="K3089" i="2"/>
  <c r="J3492" i="2"/>
  <c r="K4512" i="2"/>
  <c r="J5272" i="2"/>
  <c r="K5208" i="2"/>
  <c r="J1390" i="2"/>
  <c r="K4752" i="2"/>
  <c r="J3432" i="2"/>
  <c r="J4172" i="2"/>
  <c r="J1452" i="2"/>
  <c r="J5948" i="2"/>
  <c r="J5052" i="2"/>
  <c r="J2592" i="2"/>
  <c r="K4252" i="2"/>
  <c r="J2891" i="2"/>
  <c r="K1151" i="2"/>
  <c r="K1929" i="2"/>
  <c r="B195" i="30"/>
  <c r="J5892" i="2"/>
  <c r="J1892" i="2"/>
  <c r="J2291" i="2"/>
  <c r="J5632" i="2"/>
  <c r="B118" i="24"/>
  <c r="K4612" i="2"/>
  <c r="K3831" i="2"/>
  <c r="K1391" i="2"/>
  <c r="J2231" i="2"/>
  <c r="K4490" i="2"/>
  <c r="K1332" i="2"/>
  <c r="J3992" i="2"/>
  <c r="J4970" i="2"/>
  <c r="J2711" i="2"/>
  <c r="B155" i="33"/>
  <c r="J3089" i="2"/>
  <c r="K2712" i="2"/>
  <c r="J4531" i="2"/>
  <c r="J3771" i="2"/>
  <c r="K5891" i="2"/>
  <c r="K2851" i="2"/>
  <c r="K5690" i="2"/>
  <c r="J1231" i="2"/>
  <c r="J1392" i="2"/>
  <c r="J3652" i="2"/>
  <c r="K3610" i="2"/>
  <c r="K5510" i="2"/>
  <c r="J5450" i="2"/>
  <c r="K4712" i="2"/>
  <c r="K5091" i="2"/>
  <c r="K4171" i="2"/>
  <c r="J3270" i="2"/>
  <c r="J3929" i="2"/>
  <c r="J2432" i="2"/>
  <c r="J3692" i="2"/>
  <c r="K5452" i="2"/>
  <c r="J5371" i="2"/>
  <c r="K1772" i="2"/>
  <c r="K2350" i="2"/>
  <c r="J3212" i="2"/>
  <c r="K2711" i="2"/>
  <c r="K3612" i="2"/>
  <c r="K3770" i="2"/>
  <c r="J5772" i="2"/>
  <c r="J2611" i="2"/>
  <c r="J5730" i="2"/>
  <c r="B175" i="33"/>
  <c r="K1492" i="2"/>
  <c r="K3868" i="2"/>
  <c r="K2271" i="2"/>
  <c r="J1352" i="2"/>
  <c r="A157" i="20"/>
  <c r="K1411" i="2"/>
  <c r="J1510" i="2"/>
  <c r="J4631" i="2"/>
  <c r="K2491" i="2"/>
  <c r="J5032" i="2"/>
  <c r="A196" i="24"/>
  <c r="J3310" i="2"/>
  <c r="K5689" i="2"/>
  <c r="K3772" i="2"/>
  <c r="K4669" i="2"/>
  <c r="J4988" i="2"/>
  <c r="K3372" i="2"/>
  <c r="J4332" i="2"/>
  <c r="J1652" i="2"/>
  <c r="K4431" i="2"/>
  <c r="J3551" i="2"/>
  <c r="K2972" i="2"/>
  <c r="K5751" i="2"/>
  <c r="K2092" i="2"/>
  <c r="J2168" i="2"/>
  <c r="K1371" i="2"/>
  <c r="J3012" i="2"/>
  <c r="J4248" i="2"/>
  <c r="J4432" i="2"/>
  <c r="K1171" i="2"/>
  <c r="K2252" i="2"/>
  <c r="K1252" i="2"/>
  <c r="K1329" i="2"/>
  <c r="J2211" i="2"/>
  <c r="J4811" i="2"/>
  <c r="J4608" i="2"/>
  <c r="J4612" i="2"/>
  <c r="J5492" i="2"/>
  <c r="J1152" i="2"/>
  <c r="K2051" i="2"/>
  <c r="J5629" i="2"/>
  <c r="J4230" i="2"/>
  <c r="K2670" i="2"/>
  <c r="K4032" i="2"/>
  <c r="J4511" i="2"/>
  <c r="K1869" i="2"/>
  <c r="J5570" i="2"/>
  <c r="J2388" i="2"/>
  <c r="J5009" i="2"/>
  <c r="J4069" i="2"/>
  <c r="K3051" i="2"/>
  <c r="K5349" i="2"/>
  <c r="J3152" i="2"/>
  <c r="J3129" i="2"/>
  <c r="J4509" i="2"/>
  <c r="J2111" i="2"/>
  <c r="J3348" i="2"/>
  <c r="A131" i="20"/>
  <c r="J3392" i="2"/>
  <c r="K2589" i="2"/>
  <c r="J3171" i="2"/>
  <c r="K1290" i="2"/>
  <c r="J2232" i="2"/>
  <c r="J1291" i="2"/>
  <c r="J4392" i="2"/>
  <c r="J1431" i="2"/>
  <c r="K2872" i="2"/>
  <c r="J4188" i="2"/>
  <c r="J1412" i="2"/>
  <c r="J2772" i="2"/>
  <c r="K3952" i="2"/>
  <c r="K5168" i="2"/>
  <c r="K3852" i="2"/>
  <c r="K2071" i="2"/>
  <c r="K4432" i="2"/>
  <c r="K5090" i="2"/>
  <c r="J2450" i="2"/>
  <c r="J2992" i="2"/>
  <c r="K3212" i="2"/>
  <c r="J2412" i="2"/>
  <c r="K3190" i="2"/>
  <c r="K4152" i="2"/>
  <c r="K5391" i="2"/>
  <c r="J1532" i="2"/>
  <c r="K2412" i="2"/>
  <c r="J3312" i="2"/>
  <c r="B139" i="29"/>
  <c r="J2349" i="2"/>
  <c r="K5549" i="2"/>
  <c r="J5172" i="2"/>
  <c r="K5252" i="2"/>
  <c r="K3292" i="2"/>
  <c r="A159" i="20"/>
  <c r="K3191" i="2"/>
  <c r="J4329" i="2"/>
  <c r="K4870" i="2"/>
  <c r="J3248" i="2"/>
  <c r="K4571" i="2"/>
  <c r="J4149" i="2"/>
  <c r="A217" i="20"/>
  <c r="J5670" i="2"/>
  <c r="K1892" i="2"/>
  <c r="K2649" i="2"/>
  <c r="J1648" i="2"/>
  <c r="J5431" i="2"/>
  <c r="K4290" i="2"/>
  <c r="J4812" i="2"/>
  <c r="K1951" i="2"/>
  <c r="K3151" i="2"/>
  <c r="B178" i="33"/>
  <c r="J4252" i="2"/>
  <c r="J1550" i="2"/>
  <c r="K5331" i="2"/>
  <c r="J1551" i="2"/>
  <c r="K5910" i="2"/>
  <c r="K1689" i="2"/>
  <c r="K3551" i="2"/>
  <c r="K3328" i="2"/>
  <c r="J3912" i="2"/>
  <c r="J5512" i="2"/>
  <c r="K1529" i="2"/>
  <c r="J5390" i="2"/>
  <c r="J5349" i="2"/>
  <c r="K4109" i="2"/>
  <c r="K1610" i="2"/>
  <c r="J1451" i="2"/>
  <c r="K2172" i="2"/>
  <c r="K2612" i="2"/>
  <c r="K1532" i="2"/>
  <c r="K4952" i="2"/>
  <c r="I948" i="2"/>
  <c r="K4031" i="2"/>
  <c r="J1248" i="2"/>
  <c r="K3192" i="2"/>
  <c r="J3031" i="2"/>
  <c r="K3330" i="2"/>
  <c r="J2832" i="2"/>
  <c r="K4572" i="2"/>
  <c r="J3011" i="2"/>
  <c r="J3431" i="2"/>
  <c r="K2430" i="2"/>
  <c r="J4871" i="2"/>
  <c r="K2072" i="2"/>
  <c r="K5291" i="2"/>
  <c r="A111" i="24"/>
  <c r="J2911" i="2"/>
  <c r="K1392" i="2"/>
  <c r="B197" i="33"/>
  <c r="K3890" i="2"/>
  <c r="K1748" i="2"/>
  <c r="J5012" i="2"/>
  <c r="K2692" i="2"/>
  <c r="K2311" i="2"/>
  <c r="A35" i="14"/>
  <c r="K2388" i="2"/>
  <c r="J5452" i="2"/>
  <c r="K2192" i="2"/>
  <c r="J4752" i="2"/>
  <c r="J2132" i="2"/>
  <c r="J3571" i="2"/>
  <c r="K1872" i="2"/>
  <c r="K4348" i="2"/>
  <c r="K1430" i="2"/>
  <c r="D100" i="16"/>
  <c r="K4871" i="2"/>
  <c r="K1432" i="2"/>
  <c r="B97" i="20"/>
  <c r="J4591" i="2"/>
  <c r="J4632" i="2"/>
  <c r="K5412" i="2"/>
  <c r="K4391" i="2"/>
  <c r="K3350" i="2"/>
  <c r="K1790" i="2"/>
  <c r="K4188" i="2"/>
  <c r="J3050" i="2"/>
  <c r="J5852" i="2"/>
  <c r="K5490" i="2"/>
  <c r="K3648" i="2"/>
  <c r="K5933" i="2"/>
  <c r="B218" i="12"/>
  <c r="A157" i="3"/>
  <c r="J3013" i="2"/>
  <c r="J5455" i="2"/>
  <c r="A196" i="11"/>
  <c r="K2693" i="2"/>
  <c r="K3974" i="2"/>
  <c r="J4954" i="2"/>
  <c r="A55" i="13"/>
  <c r="A236" i="13"/>
  <c r="J2754" i="2"/>
  <c r="K1374" i="2"/>
  <c r="J5553" i="2"/>
  <c r="A175" i="11"/>
  <c r="A217" i="14"/>
  <c r="J4233" i="2"/>
  <c r="J4833" i="2"/>
  <c r="A99" i="7"/>
  <c r="A219" i="13"/>
  <c r="D62" i="16"/>
  <c r="J1153" i="2"/>
  <c r="K5733" i="2"/>
  <c r="A236" i="12"/>
  <c r="J5274" i="2"/>
  <c r="K5393" i="2"/>
  <c r="A178" i="13"/>
  <c r="A197" i="8"/>
  <c r="A156" i="3"/>
  <c r="A96" i="1"/>
  <c r="J5494" i="2"/>
  <c r="J4693" i="2"/>
  <c r="B178" i="14"/>
  <c r="K3353" i="2"/>
  <c r="K3274" i="2"/>
  <c r="A219" i="9"/>
  <c r="A98" i="9"/>
  <c r="B58" i="7"/>
  <c r="A115" i="7"/>
  <c r="K2133" i="2"/>
  <c r="A158" i="7"/>
  <c r="K4613" i="2"/>
  <c r="K4514" i="2"/>
  <c r="B159" i="12"/>
  <c r="B198" i="9"/>
  <c r="A235" i="12"/>
  <c r="K1874" i="2"/>
  <c r="B137" i="8"/>
  <c r="K3953" i="2"/>
  <c r="K5514" i="2"/>
  <c r="K1555" i="2"/>
  <c r="K3575" i="2"/>
  <c r="B78" i="10"/>
  <c r="J2013" i="2"/>
  <c r="J4115" i="2"/>
  <c r="J1855" i="2"/>
  <c r="A96" i="14"/>
  <c r="B117" i="3"/>
  <c r="A237" i="8"/>
  <c r="J3414" i="2"/>
  <c r="A198" i="11"/>
  <c r="K4675" i="2"/>
  <c r="J1995" i="2"/>
  <c r="J3834" i="2"/>
  <c r="K1193" i="2"/>
  <c r="B198" i="10"/>
  <c r="J4153" i="2"/>
  <c r="B217" i="12"/>
  <c r="A135" i="9"/>
  <c r="B159" i="3"/>
  <c r="J2994" i="2"/>
  <c r="A216" i="7"/>
  <c r="J2514" i="2"/>
  <c r="J2653" i="2"/>
  <c r="A136" i="12"/>
  <c r="J5394" i="2"/>
  <c r="B158" i="14"/>
  <c r="J5868" i="2"/>
  <c r="J3369" i="2"/>
  <c r="J2792" i="2"/>
  <c r="K1652" i="2"/>
  <c r="K2169" i="2"/>
  <c r="K5612" i="2"/>
  <c r="K5511" i="2"/>
  <c r="K4132" i="2"/>
  <c r="K5872" i="2"/>
  <c r="K5408" i="2"/>
  <c r="K4688" i="2"/>
  <c r="K1871" i="2"/>
  <c r="J3949" i="2"/>
  <c r="J1490" i="2"/>
  <c r="K2611" i="2"/>
  <c r="J5789" i="2"/>
  <c r="K2732" i="2"/>
  <c r="K5430" i="2"/>
  <c r="J4508" i="2"/>
  <c r="K2212" i="2"/>
  <c r="D83" i="16"/>
  <c r="K2869" i="2"/>
  <c r="J4371" i="2"/>
  <c r="K3591" i="2"/>
  <c r="J2829" i="2"/>
  <c r="J5352" i="2"/>
  <c r="B236" i="30"/>
  <c r="J2350" i="2"/>
  <c r="A178" i="24"/>
  <c r="J3729" i="2"/>
  <c r="K4392" i="2"/>
  <c r="K3091" i="2"/>
  <c r="K5652" i="2"/>
  <c r="K1655" i="2"/>
  <c r="A197" i="7"/>
  <c r="K4273" i="2"/>
  <c r="K5475" i="2"/>
  <c r="A115" i="13"/>
  <c r="K2434" i="2"/>
  <c r="B119" i="11"/>
  <c r="J2475" i="2"/>
  <c r="G948" i="2"/>
  <c r="B158" i="1"/>
  <c r="B215" i="7"/>
  <c r="K3373" i="2"/>
  <c r="A99" i="10"/>
  <c r="A176" i="8"/>
  <c r="A239" i="9"/>
  <c r="A111" i="7"/>
  <c r="B218" i="7"/>
  <c r="J5215" i="2"/>
  <c r="A177" i="13"/>
  <c r="K4713" i="2"/>
  <c r="A96" i="11"/>
  <c r="K3754" i="2"/>
  <c r="B78" i="14"/>
  <c r="A151" i="7"/>
  <c r="K3733" i="2"/>
  <c r="A117" i="3"/>
  <c r="A198" i="1"/>
  <c r="J4553" i="2"/>
  <c r="B119" i="7"/>
  <c r="J5353" i="2"/>
  <c r="J3613" i="2"/>
  <c r="A59" i="14"/>
  <c r="J4694" i="2"/>
  <c r="K2514" i="2"/>
  <c r="J1273" i="2"/>
  <c r="J5393" i="2"/>
  <c r="A95" i="9"/>
  <c r="B158" i="9"/>
  <c r="A79" i="1"/>
  <c r="K2193" i="2"/>
  <c r="A95" i="1"/>
  <c r="K4933" i="2"/>
  <c r="A218" i="7"/>
  <c r="J4173" i="2"/>
  <c r="K1954" i="2"/>
  <c r="J1393" i="2"/>
  <c r="A76" i="11"/>
  <c r="K5954" i="2"/>
  <c r="K3773" i="2"/>
  <c r="J2695" i="2"/>
  <c r="K3493" i="2"/>
  <c r="J2293" i="2"/>
  <c r="A136" i="9"/>
  <c r="A56" i="13"/>
  <c r="B58" i="13"/>
  <c r="K2135" i="2"/>
  <c r="A175" i="9"/>
  <c r="J3893" i="2"/>
  <c r="K5234" i="2"/>
  <c r="J5653" i="2"/>
  <c r="B118" i="11"/>
  <c r="K3213" i="2"/>
  <c r="A119" i="10"/>
  <c r="J2193" i="2"/>
  <c r="B175" i="1"/>
  <c r="G1108" i="2"/>
  <c r="A119" i="9"/>
  <c r="K5773" i="2"/>
  <c r="K4534" i="2"/>
  <c r="B58" i="9"/>
  <c r="K3793" i="2"/>
  <c r="J2574" i="2"/>
  <c r="K5693" i="2"/>
  <c r="K3035" i="2"/>
  <c r="J5995" i="2"/>
  <c r="A171" i="12"/>
  <c r="K3954" i="2"/>
  <c r="J2317" i="2"/>
  <c r="B59" i="12"/>
  <c r="A97" i="10"/>
  <c r="K5716" i="2"/>
  <c r="K3295" i="2"/>
  <c r="K5495" i="2"/>
  <c r="K5254" i="2"/>
  <c r="J1493" i="2"/>
  <c r="J5993" i="2"/>
  <c r="J1196" i="2"/>
  <c r="K3214" i="2"/>
  <c r="J1849" i="2"/>
  <c r="K4452" i="2"/>
  <c r="J4051" i="2"/>
  <c r="J1232" i="2"/>
  <c r="J1891" i="2"/>
  <c r="J5671" i="2"/>
  <c r="J4809" i="2"/>
  <c r="K4911" i="2"/>
  <c r="J3232" i="2"/>
  <c r="K4428" i="2"/>
  <c r="B98" i="20"/>
  <c r="J2932" i="2"/>
  <c r="J1731" i="2"/>
  <c r="K3911" i="2"/>
  <c r="J1592" i="2"/>
  <c r="K1350" i="2"/>
  <c r="K3829" i="2"/>
  <c r="B138" i="30"/>
  <c r="K1208" i="2"/>
  <c r="J2532" i="2"/>
  <c r="K3110" i="2"/>
  <c r="J2589" i="2"/>
  <c r="D98" i="16"/>
  <c r="K1512" i="2"/>
  <c r="K3632" i="2"/>
  <c r="B97" i="24"/>
  <c r="J2871" i="2"/>
  <c r="K4631" i="2"/>
  <c r="A231" i="24"/>
  <c r="J2931" i="2"/>
  <c r="J1171" i="2"/>
  <c r="J3071" i="2"/>
  <c r="J3371" i="2"/>
  <c r="A237" i="1"/>
  <c r="K3593" i="2"/>
  <c r="K2094" i="2"/>
  <c r="B178" i="13"/>
  <c r="J5334" i="2"/>
  <c r="K2293" i="2"/>
  <c r="J1773" i="2"/>
  <c r="K4214" i="2"/>
  <c r="B78" i="13"/>
  <c r="A195" i="11"/>
  <c r="A199" i="7"/>
  <c r="A56" i="10"/>
  <c r="B137" i="9"/>
  <c r="A71" i="8"/>
  <c r="A77" i="13"/>
  <c r="A51" i="9"/>
  <c r="A57" i="10"/>
  <c r="J3493" i="2"/>
  <c r="K2974" i="2"/>
  <c r="B238" i="33"/>
  <c r="J2253" i="2"/>
  <c r="K5274" i="2"/>
  <c r="A135" i="3"/>
  <c r="B139" i="9"/>
  <c r="J3153" i="2"/>
  <c r="K5154" i="2"/>
  <c r="A219" i="1"/>
  <c r="B57" i="10"/>
  <c r="K2233" i="2"/>
  <c r="K3113" i="2"/>
  <c r="J1173" i="2"/>
  <c r="J3494" i="2"/>
  <c r="B197" i="12"/>
  <c r="K4614" i="2"/>
  <c r="K4274" i="2"/>
  <c r="J5073" i="2"/>
  <c r="A131" i="7"/>
  <c r="A175" i="3"/>
  <c r="K1734" i="2"/>
  <c r="K3093" i="2"/>
  <c r="J2973" i="2"/>
  <c r="J4793" i="2"/>
  <c r="K5433" i="2"/>
  <c r="A137" i="12"/>
  <c r="A211" i="9"/>
  <c r="B218" i="10"/>
  <c r="K1694" i="2"/>
  <c r="A78" i="3"/>
  <c r="A75" i="1"/>
  <c r="J2534" i="2"/>
  <c r="A58" i="14"/>
  <c r="A231" i="14"/>
  <c r="D82" i="16"/>
  <c r="J3515" i="2"/>
  <c r="B138" i="8"/>
  <c r="A215" i="10"/>
  <c r="J3254" i="2"/>
  <c r="K5415" i="2"/>
  <c r="A231" i="7"/>
  <c r="J3434" i="2"/>
  <c r="B118" i="13"/>
  <c r="B199" i="29"/>
  <c r="K5113" i="2"/>
  <c r="K1533" i="2"/>
  <c r="J3314" i="2"/>
  <c r="K5295" i="2"/>
  <c r="K3474" i="2"/>
  <c r="A119" i="7"/>
  <c r="K5493" i="2"/>
  <c r="K5893" i="2"/>
  <c r="K5073" i="2"/>
  <c r="K2813" i="2"/>
  <c r="K2253" i="2"/>
  <c r="B215" i="33"/>
  <c r="A139" i="13"/>
  <c r="K2493" i="2"/>
  <c r="K5695" i="2"/>
  <c r="J2015" i="2"/>
  <c r="A196" i="9"/>
  <c r="J4216" i="2"/>
  <c r="K1375" i="2"/>
  <c r="B58" i="3"/>
  <c r="J4697" i="2"/>
  <c r="J1256" i="2"/>
  <c r="K2713" i="2"/>
  <c r="B239" i="8"/>
  <c r="A79" i="10"/>
  <c r="J5675" i="2"/>
  <c r="K1653" i="2"/>
  <c r="J1775" i="2"/>
  <c r="K2916" i="2"/>
  <c r="K5856" i="2"/>
  <c r="K1195" i="2"/>
  <c r="A57" i="7"/>
  <c r="J5871" i="2"/>
  <c r="J5510" i="2"/>
  <c r="A97" i="20"/>
  <c r="K2632" i="2"/>
  <c r="D69" i="16"/>
  <c r="B217" i="30"/>
  <c r="J5309" i="2"/>
  <c r="J2392" i="2"/>
  <c r="J2251" i="2"/>
  <c r="K1969" i="2"/>
  <c r="B177" i="29"/>
  <c r="K3872" i="2"/>
  <c r="K2052" i="2"/>
  <c r="K2030" i="2"/>
  <c r="J4372" i="2"/>
  <c r="K5372" i="2"/>
  <c r="K3949" i="2"/>
  <c r="J3390" i="2"/>
  <c r="J4750" i="2"/>
  <c r="K2451" i="2"/>
  <c r="J2191" i="2"/>
  <c r="K3928" i="2"/>
  <c r="K1370" i="2"/>
  <c r="J5932" i="2"/>
  <c r="J2812" i="2"/>
  <c r="J5972" i="2"/>
  <c r="K4491" i="2"/>
  <c r="K2590" i="2"/>
  <c r="K5989" i="2"/>
  <c r="K4072" i="2"/>
  <c r="J2631" i="2"/>
  <c r="J5412" i="2"/>
  <c r="D84" i="16"/>
  <c r="A57" i="3"/>
  <c r="J2814" i="2"/>
  <c r="A236" i="3"/>
  <c r="J1353" i="2"/>
  <c r="J1435" i="2"/>
  <c r="A117" i="1"/>
  <c r="K2093" i="2"/>
  <c r="A98" i="3"/>
  <c r="J2773" i="2"/>
  <c r="K5075" i="2"/>
  <c r="A198" i="9"/>
  <c r="J3274" i="2"/>
  <c r="B157" i="20"/>
  <c r="A171" i="13"/>
  <c r="K3533" i="2"/>
  <c r="A151" i="13"/>
  <c r="J2834" i="2"/>
  <c r="B178" i="12"/>
  <c r="A237" i="10"/>
  <c r="K4073" i="2"/>
  <c r="J5533" i="2"/>
  <c r="A179" i="14"/>
  <c r="B217" i="13"/>
  <c r="K5713" i="2"/>
  <c r="B178" i="1"/>
  <c r="J1394" i="2"/>
  <c r="J3133" i="2"/>
  <c r="J4914" i="2"/>
  <c r="B115" i="20"/>
  <c r="K4414" i="2"/>
  <c r="J4614" i="2"/>
  <c r="A99" i="12"/>
  <c r="B56" i="3"/>
  <c r="K2475" i="2"/>
  <c r="A135" i="14"/>
  <c r="B216" i="32"/>
  <c r="A216" i="3"/>
  <c r="K2373" i="2"/>
  <c r="K3233" i="2"/>
  <c r="J5573" i="2"/>
  <c r="K5174" i="2"/>
  <c r="A138" i="3"/>
  <c r="B175" i="24"/>
  <c r="K4553" i="2"/>
  <c r="A156" i="14"/>
  <c r="A118" i="7"/>
  <c r="J4613" i="2"/>
  <c r="B98" i="13"/>
  <c r="K2453" i="2"/>
  <c r="A176" i="12"/>
  <c r="B135" i="20"/>
  <c r="K5554" i="2"/>
  <c r="K3175" i="2"/>
  <c r="J4594" i="2"/>
  <c r="J2074" i="2"/>
  <c r="K1893" i="2"/>
  <c r="B97" i="7"/>
  <c r="B57" i="11"/>
  <c r="J2214" i="2"/>
  <c r="J1594" i="2"/>
  <c r="A195" i="10"/>
  <c r="D93" i="16"/>
  <c r="K3834" i="2"/>
  <c r="B138" i="12"/>
  <c r="J5095" i="2"/>
  <c r="J4374" i="2"/>
  <c r="J1854" i="2"/>
  <c r="K4453" i="2"/>
  <c r="J3253" i="2"/>
  <c r="A156" i="13"/>
  <c r="K4295" i="2"/>
  <c r="J2474" i="2"/>
  <c r="A179" i="12"/>
  <c r="K2613" i="2"/>
  <c r="J4475" i="2"/>
  <c r="B177" i="12"/>
  <c r="B97" i="12"/>
  <c r="K3176" i="2"/>
  <c r="K5814" i="2"/>
  <c r="K2454" i="2"/>
  <c r="J1953" i="2"/>
  <c r="J1893" i="2"/>
  <c r="B179" i="9"/>
  <c r="K4915" i="2"/>
  <c r="A95" i="7"/>
  <c r="A97" i="1"/>
  <c r="K3855" i="2"/>
  <c r="A71" i="10"/>
  <c r="B95" i="1"/>
  <c r="K1554" i="2"/>
  <c r="J2356" i="2"/>
  <c r="K2935" i="2"/>
  <c r="A171" i="7"/>
  <c r="J5433" i="2"/>
  <c r="B139" i="1"/>
  <c r="J1549" i="2"/>
  <c r="J5912" i="2"/>
  <c r="K5892" i="2"/>
  <c r="B199" i="33"/>
  <c r="J5752" i="2"/>
  <c r="J1788" i="2"/>
  <c r="J3592" i="2"/>
  <c r="J5812" i="2"/>
  <c r="K1530" i="2"/>
  <c r="J3829" i="2"/>
  <c r="B117" i="24"/>
  <c r="J1669" i="2"/>
  <c r="K3092" i="2"/>
  <c r="J4731" i="2"/>
  <c r="K2751" i="2"/>
  <c r="K1812" i="2"/>
  <c r="J1590" i="2"/>
  <c r="J2689" i="2"/>
  <c r="J3230" i="2"/>
  <c r="B155" i="29"/>
  <c r="K3171" i="2"/>
  <c r="J2272" i="2"/>
  <c r="K3032" i="2"/>
  <c r="J2692" i="2"/>
  <c r="K3232" i="2"/>
  <c r="K1449" i="2"/>
  <c r="J5551" i="2"/>
  <c r="K5151" i="2"/>
  <c r="K1472" i="2"/>
  <c r="K4050" i="2"/>
  <c r="J4272" i="2"/>
  <c r="J4190" i="2"/>
  <c r="J4813" i="2"/>
  <c r="A159" i="8"/>
  <c r="A139" i="8"/>
  <c r="B139" i="13"/>
  <c r="A135" i="1"/>
  <c r="K2774" i="2"/>
  <c r="A115" i="12"/>
  <c r="K5654" i="2"/>
  <c r="K3673" i="2"/>
  <c r="A158" i="8"/>
  <c r="J5773" i="2"/>
  <c r="A51" i="12"/>
  <c r="A75" i="8"/>
  <c r="J2753" i="2"/>
  <c r="A198" i="14"/>
  <c r="J4415" i="2"/>
  <c r="A218" i="10"/>
  <c r="J1674" i="2"/>
  <c r="A238" i="1"/>
  <c r="B98" i="14"/>
  <c r="B138" i="11"/>
  <c r="A178" i="8"/>
  <c r="A198" i="13"/>
  <c r="A99" i="14"/>
  <c r="B239" i="30"/>
  <c r="J1415" i="2"/>
  <c r="K5673" i="2"/>
  <c r="B218" i="33"/>
  <c r="A117" i="14"/>
  <c r="K4275" i="2"/>
  <c r="B217" i="33"/>
  <c r="J4414" i="2"/>
  <c r="J1553" i="2"/>
  <c r="B117" i="13"/>
  <c r="A235" i="9"/>
  <c r="A211" i="10"/>
  <c r="A199" i="12"/>
  <c r="J1333" i="2"/>
  <c r="A79" i="12"/>
  <c r="A196" i="10"/>
  <c r="J1335" i="2"/>
  <c r="A156" i="8"/>
  <c r="J3813" i="2"/>
  <c r="A178" i="10"/>
  <c r="B159" i="9"/>
  <c r="A179" i="7"/>
  <c r="K2673" i="2"/>
  <c r="A216" i="10"/>
  <c r="K4394" i="2"/>
  <c r="J1654" i="2"/>
  <c r="A216" i="14"/>
  <c r="B177" i="14"/>
  <c r="A56" i="11"/>
  <c r="A95" i="13"/>
  <c r="K5653" i="2"/>
  <c r="A96" i="13"/>
  <c r="A58" i="13"/>
  <c r="B198" i="11"/>
  <c r="B78" i="8"/>
  <c r="J1175" i="2"/>
  <c r="K4854" i="2"/>
  <c r="A218" i="8"/>
  <c r="K2334" i="2"/>
  <c r="J3734" i="2"/>
  <c r="J3934" i="2"/>
  <c r="K4893" i="2"/>
  <c r="K3335" i="2"/>
  <c r="B135" i="7"/>
  <c r="J2853" i="2"/>
  <c r="B219" i="29"/>
  <c r="A98" i="1"/>
  <c r="D78" i="16"/>
  <c r="A71" i="1"/>
  <c r="J4754" i="2"/>
  <c r="A111" i="11"/>
  <c r="A137" i="1"/>
  <c r="J5933" i="2"/>
  <c r="J2476" i="2"/>
  <c r="K5817" i="2"/>
  <c r="A217" i="11"/>
  <c r="J2097" i="2"/>
  <c r="J4434" i="2"/>
  <c r="A177" i="14"/>
  <c r="J2935" i="2"/>
  <c r="J1577" i="2"/>
  <c r="J1253" i="2"/>
  <c r="A175" i="7"/>
  <c r="J2516" i="2"/>
  <c r="J4797" i="2"/>
  <c r="K2129" i="2"/>
  <c r="J1952" i="2"/>
  <c r="K2768" i="2"/>
  <c r="J4430" i="2"/>
  <c r="J4729" i="2"/>
  <c r="K5530" i="2"/>
  <c r="K5012" i="2"/>
  <c r="K5410" i="2"/>
  <c r="K3272" i="2"/>
  <c r="J4850" i="2"/>
  <c r="J3352" i="2"/>
  <c r="J1330" i="2"/>
  <c r="K5052" i="2"/>
  <c r="J1829" i="2"/>
  <c r="K5248" i="2"/>
  <c r="J4671" i="2"/>
  <c r="J2411" i="2"/>
  <c r="D87" i="16"/>
  <c r="J1472" i="2"/>
  <c r="K5272" i="2"/>
  <c r="J2471" i="2"/>
  <c r="J4630" i="2"/>
  <c r="K1688" i="2"/>
  <c r="B136" i="20"/>
  <c r="J3751" i="2"/>
  <c r="J5951" i="2"/>
  <c r="K1491" i="2"/>
  <c r="K5491" i="2"/>
  <c r="K5832" i="2"/>
  <c r="K1710" i="2"/>
  <c r="K2132" i="2"/>
  <c r="J2029" i="2"/>
  <c r="K3054" i="2"/>
  <c r="J5774" i="2"/>
  <c r="A136" i="7"/>
  <c r="K3433" i="2"/>
  <c r="K5055" i="2"/>
  <c r="K3873" i="2"/>
  <c r="J2115" i="2"/>
  <c r="K4753" i="2"/>
  <c r="A235" i="14"/>
  <c r="A199" i="11"/>
  <c r="J3473" i="2"/>
  <c r="J4393" i="2"/>
  <c r="A197" i="11"/>
  <c r="A51" i="10"/>
  <c r="K3513" i="2"/>
  <c r="K2834" i="2"/>
  <c r="B235" i="1"/>
  <c r="K3394" i="2"/>
  <c r="A151" i="14"/>
  <c r="A159" i="11"/>
  <c r="K4813" i="2"/>
  <c r="B179" i="1"/>
  <c r="J3753" i="2"/>
  <c r="K3293" i="2"/>
  <c r="B96" i="1"/>
  <c r="J3073" i="2"/>
  <c r="K3333" i="2"/>
  <c r="A115" i="1"/>
  <c r="A58" i="12"/>
  <c r="A216" i="13"/>
  <c r="B197" i="8"/>
  <c r="K1713" i="2"/>
  <c r="J2373" i="2"/>
  <c r="J5315" i="2"/>
  <c r="K1755" i="2"/>
  <c r="A158" i="9"/>
  <c r="K4793" i="2"/>
  <c r="A175" i="12"/>
  <c r="J4135" i="2"/>
  <c r="A77" i="1"/>
  <c r="A237" i="7"/>
  <c r="K2033" i="2"/>
  <c r="A155" i="3"/>
  <c r="B215" i="3"/>
  <c r="B195" i="7"/>
  <c r="K4694" i="2"/>
  <c r="B75" i="14"/>
  <c r="A76" i="12"/>
  <c r="K5153" i="2"/>
  <c r="A111" i="10"/>
  <c r="K3453" i="2"/>
  <c r="K5815" i="2"/>
  <c r="A157" i="1"/>
  <c r="B179" i="10"/>
  <c r="K1953" i="2"/>
  <c r="A171" i="11"/>
  <c r="K3713" i="2"/>
  <c r="A217" i="9"/>
  <c r="K4954" i="2"/>
  <c r="K3933" i="2"/>
  <c r="A159" i="7"/>
  <c r="B59" i="1"/>
  <c r="J2873" i="2"/>
  <c r="K1333" i="2"/>
  <c r="B216" i="29"/>
  <c r="A177" i="1"/>
  <c r="B115" i="3"/>
  <c r="A159" i="3"/>
  <c r="A91" i="1"/>
  <c r="J3394" i="2"/>
  <c r="K4973" i="2"/>
  <c r="J1913" i="2"/>
  <c r="K3193" i="2"/>
  <c r="K2775" i="2"/>
  <c r="K2095" i="2"/>
  <c r="J4034" i="2"/>
  <c r="J1653" i="2"/>
  <c r="J2095" i="2"/>
  <c r="K4573" i="2"/>
  <c r="J4893" i="2"/>
  <c r="A137" i="9"/>
  <c r="K1293" i="2"/>
  <c r="B237" i="1"/>
  <c r="J3456" i="2"/>
  <c r="J4275" i="2"/>
  <c r="A216" i="1"/>
  <c r="A156" i="11"/>
  <c r="J3033" i="2"/>
  <c r="K2694" i="2"/>
  <c r="B219" i="32"/>
  <c r="J3255" i="2"/>
  <c r="K3676" i="2"/>
  <c r="B217" i="14"/>
  <c r="J5893" i="2"/>
  <c r="J3293" i="2"/>
  <c r="K1409" i="2"/>
  <c r="K2270" i="2"/>
  <c r="J1210" i="2"/>
  <c r="K4112" i="2"/>
  <c r="K3891" i="2"/>
  <c r="K5329" i="2"/>
  <c r="K3289" i="2"/>
  <c r="J3588" i="2"/>
  <c r="A139" i="20"/>
  <c r="B57" i="24"/>
  <c r="J5072" i="2"/>
  <c r="J5132" i="2"/>
  <c r="K5871" i="2"/>
  <c r="K2432" i="2"/>
  <c r="B195" i="32"/>
  <c r="K3912" i="2"/>
  <c r="K5148" i="2"/>
  <c r="D104" i="16"/>
  <c r="K4788" i="2"/>
  <c r="J3272" i="2"/>
  <c r="K2992" i="2"/>
  <c r="K3069" i="2"/>
  <c r="K5392" i="2"/>
  <c r="K4272" i="2"/>
  <c r="K1991" i="2"/>
  <c r="J3632" i="2"/>
  <c r="K5192" i="2"/>
  <c r="J3952" i="2"/>
  <c r="J5851" i="2"/>
  <c r="K4410" i="2"/>
  <c r="K3351" i="2"/>
  <c r="K3509" i="2"/>
  <c r="K2675" i="2"/>
  <c r="A197" i="9"/>
  <c r="J3353" i="2"/>
  <c r="A79" i="9"/>
  <c r="K2573" i="2"/>
  <c r="A191" i="13"/>
  <c r="B197" i="10"/>
  <c r="J2693" i="2"/>
  <c r="K2874" i="2"/>
  <c r="K4293" i="2"/>
  <c r="K3273" i="2"/>
  <c r="A97" i="11"/>
  <c r="A111" i="3"/>
  <c r="J4654" i="2"/>
  <c r="A158" i="1"/>
  <c r="B219" i="11"/>
  <c r="J5474" i="2"/>
  <c r="K3554" i="2"/>
  <c r="J4593" i="2"/>
  <c r="J1713" i="2"/>
  <c r="J4695" i="2"/>
  <c r="J2934" i="2"/>
  <c r="J3374" i="2"/>
  <c r="J2055" i="2"/>
  <c r="A219" i="8"/>
  <c r="J4993" i="2"/>
  <c r="J3074" i="2"/>
  <c r="J4435" i="2"/>
  <c r="K2953" i="2"/>
  <c r="K1773" i="2"/>
  <c r="K4773" i="2"/>
  <c r="J4934" i="2"/>
  <c r="K4054" i="2"/>
  <c r="A178" i="11"/>
  <c r="B197" i="9"/>
  <c r="B218" i="9"/>
  <c r="K5533" i="2"/>
  <c r="K3615" i="2"/>
  <c r="A58" i="9"/>
  <c r="J5754" i="2"/>
  <c r="A57" i="11"/>
  <c r="K1574" i="2"/>
  <c r="A115" i="10"/>
  <c r="A77" i="7"/>
  <c r="B59" i="11"/>
  <c r="K1875" i="2"/>
  <c r="A219" i="12"/>
  <c r="J1474" i="2"/>
  <c r="A59" i="10"/>
  <c r="B235" i="32"/>
  <c r="B195" i="1"/>
  <c r="B218" i="14"/>
  <c r="B119" i="8"/>
  <c r="A56" i="12"/>
  <c r="J4534" i="2"/>
  <c r="K5834" i="2"/>
  <c r="J2313" i="2"/>
  <c r="A79" i="13"/>
  <c r="J5174" i="2"/>
  <c r="K2594" i="2"/>
  <c r="A217" i="13"/>
  <c r="K5895" i="2"/>
  <c r="K1313" i="2"/>
  <c r="A71" i="12"/>
  <c r="A59" i="12"/>
  <c r="J1454" i="2"/>
  <c r="A58" i="3"/>
  <c r="J3913" i="2"/>
  <c r="B138" i="7"/>
  <c r="A179" i="8"/>
  <c r="A116" i="9"/>
  <c r="A71" i="7"/>
  <c r="G1048" i="2"/>
  <c r="A175" i="1"/>
  <c r="J2473" i="2"/>
  <c r="K2973" i="2"/>
  <c r="B238" i="9"/>
  <c r="K5173" i="2"/>
  <c r="J1513" i="2"/>
  <c r="A55" i="7"/>
  <c r="J5416" i="2"/>
  <c r="A216" i="12"/>
  <c r="A215" i="13"/>
  <c r="B117" i="12"/>
  <c r="J4556" i="2"/>
  <c r="B77" i="9"/>
  <c r="J2114" i="2"/>
  <c r="A91" i="9"/>
  <c r="J1593" i="2"/>
  <c r="J3973" i="2"/>
  <c r="A98" i="8"/>
  <c r="A236" i="10"/>
  <c r="B139" i="12"/>
  <c r="J5153" i="2"/>
  <c r="A211" i="8"/>
  <c r="K3313" i="2"/>
  <c r="K4668" i="2"/>
  <c r="K4411" i="2"/>
  <c r="J2492" i="2"/>
  <c r="K5528" i="2"/>
  <c r="K1949" i="2"/>
  <c r="J3530" i="2"/>
  <c r="K3712" i="2"/>
  <c r="K4390" i="2"/>
  <c r="K5250" i="2"/>
  <c r="K4230" i="2"/>
  <c r="A99" i="20"/>
  <c r="J5050" i="2"/>
  <c r="B135" i="29"/>
  <c r="J5471" i="2"/>
  <c r="K4630" i="2"/>
  <c r="J2630" i="2"/>
  <c r="J5451" i="2"/>
  <c r="J1591" i="2"/>
  <c r="J4191" i="2"/>
  <c r="K5071" i="2"/>
  <c r="B78" i="20"/>
  <c r="J3872" i="2"/>
  <c r="K3150" i="2"/>
  <c r="B156" i="32"/>
  <c r="K5232" i="2"/>
  <c r="K4651" i="2"/>
  <c r="J5111" i="2"/>
  <c r="K2912" i="2"/>
  <c r="K4852" i="2"/>
  <c r="K5251" i="2"/>
  <c r="K5532" i="2"/>
  <c r="K1571" i="2"/>
  <c r="J4854" i="2"/>
  <c r="B79" i="10"/>
  <c r="K4874" i="2"/>
  <c r="J5154" i="2"/>
  <c r="B97" i="13"/>
  <c r="K5973" i="2"/>
  <c r="B175" i="14"/>
  <c r="K3413" i="2"/>
  <c r="A117" i="8"/>
  <c r="A99" i="3"/>
  <c r="K5994" i="2"/>
  <c r="K3613" i="2"/>
  <c r="A171" i="1"/>
  <c r="A215" i="12"/>
  <c r="K2895" i="2"/>
  <c r="A235" i="11"/>
  <c r="K1613" i="2"/>
  <c r="K4374" i="2"/>
  <c r="B237" i="14"/>
  <c r="J4734" i="2"/>
  <c r="A117" i="12"/>
  <c r="B239" i="12"/>
  <c r="A58" i="7"/>
  <c r="J1274" i="2"/>
  <c r="J4775" i="2"/>
  <c r="J1755" i="2"/>
  <c r="K3874" i="2"/>
  <c r="A178" i="14"/>
  <c r="K5995" i="2"/>
  <c r="J1254" i="2"/>
  <c r="J2894" i="2"/>
  <c r="A118" i="10"/>
  <c r="B99" i="8"/>
  <c r="J5873" i="2"/>
  <c r="A57" i="1"/>
  <c r="J5974" i="2"/>
  <c r="A131" i="8"/>
  <c r="A137" i="13"/>
  <c r="J2713" i="2"/>
  <c r="A235" i="8"/>
  <c r="J2535" i="2"/>
  <c r="A71" i="14"/>
  <c r="K4013" i="2"/>
  <c r="J5113" i="2"/>
  <c r="A151" i="11"/>
  <c r="B157" i="10"/>
  <c r="K2893" i="2"/>
  <c r="K5513" i="2"/>
  <c r="B195" i="14"/>
  <c r="J4774" i="2"/>
  <c r="K1834" i="2"/>
  <c r="A56" i="9"/>
  <c r="A191" i="3"/>
  <c r="B79" i="8"/>
  <c r="A155" i="13"/>
  <c r="K4953" i="2"/>
  <c r="K5734" i="2"/>
  <c r="K5394" i="2"/>
  <c r="J5213" i="2"/>
  <c r="K3435" i="2"/>
  <c r="A135" i="13"/>
  <c r="A95" i="3"/>
  <c r="A235" i="10"/>
  <c r="B158" i="10"/>
  <c r="A116" i="3"/>
  <c r="B95" i="7"/>
  <c r="J3433" i="2"/>
  <c r="B195" i="3"/>
  <c r="A176" i="3"/>
  <c r="A91" i="12"/>
  <c r="K4195" i="2"/>
  <c r="A198" i="7"/>
  <c r="B58" i="8"/>
  <c r="B138" i="14"/>
  <c r="J3295" i="2"/>
  <c r="J2395" i="2"/>
  <c r="A78" i="7"/>
  <c r="J5493" i="2"/>
  <c r="B117" i="9"/>
  <c r="A138" i="7"/>
  <c r="B238" i="10"/>
  <c r="J5194" i="2"/>
  <c r="J4637" i="2"/>
  <c r="J1214" i="2"/>
  <c r="J4154" i="2"/>
  <c r="B59" i="3"/>
  <c r="A196" i="3"/>
  <c r="J4995" i="2"/>
  <c r="J3197" i="2"/>
  <c r="K5574" i="2"/>
  <c r="K1233" i="2"/>
  <c r="K3236" i="2"/>
  <c r="J1396" i="2"/>
  <c r="J3333" i="2"/>
  <c r="A219" i="3"/>
  <c r="K2555" i="2"/>
  <c r="J3735" i="2"/>
  <c r="J4333" i="2"/>
  <c r="K2214" i="2"/>
  <c r="J3116" i="2"/>
  <c r="B117" i="8"/>
  <c r="B219" i="12"/>
  <c r="J3054" i="2"/>
  <c r="J2833" i="2"/>
  <c r="A218" i="1"/>
  <c r="J2394" i="2"/>
  <c r="K2153" i="2"/>
  <c r="A136" i="1"/>
  <c r="J3716" i="2"/>
  <c r="B199" i="14"/>
  <c r="J4953" i="2"/>
  <c r="K3774" i="2"/>
  <c r="J3357" i="2"/>
  <c r="A179" i="9"/>
  <c r="A179" i="10"/>
  <c r="B99" i="13"/>
  <c r="J4876" i="2"/>
  <c r="A117" i="10"/>
  <c r="K2796" i="2"/>
  <c r="K2533" i="2"/>
  <c r="K5434" i="2"/>
  <c r="J5673" i="2"/>
  <c r="A118" i="3"/>
  <c r="K5833" i="2"/>
  <c r="B197" i="7"/>
  <c r="A191" i="11"/>
  <c r="J5434" i="2"/>
  <c r="A51" i="14"/>
  <c r="B139" i="7"/>
  <c r="K1355" i="2"/>
  <c r="J5473" i="2"/>
  <c r="B235" i="29"/>
  <c r="J5236" i="2"/>
  <c r="J2413" i="2"/>
  <c r="B78" i="12"/>
  <c r="B138" i="24"/>
  <c r="K3397" i="2"/>
  <c r="J4616" i="2"/>
  <c r="A137" i="10"/>
  <c r="J3134" i="2"/>
  <c r="B239" i="9"/>
  <c r="J4337" i="2"/>
  <c r="K1753" i="2"/>
  <c r="K5014" i="2"/>
  <c r="K4556" i="2"/>
  <c r="K3074" i="2"/>
  <c r="J4174" i="2"/>
  <c r="J3034" i="2"/>
  <c r="K5714" i="2"/>
  <c r="J2813" i="2"/>
  <c r="B218" i="3"/>
  <c r="J4396" i="2"/>
  <c r="J3594" i="2"/>
  <c r="J4796" i="2"/>
  <c r="B137" i="14"/>
  <c r="K1173" i="2"/>
  <c r="J5075" i="2"/>
  <c r="B218" i="29"/>
  <c r="K3534" i="2"/>
  <c r="B219" i="30"/>
  <c r="K3714" i="2"/>
  <c r="K3053" i="2"/>
  <c r="K3115" i="2"/>
  <c r="A91" i="10"/>
  <c r="K5754" i="2"/>
  <c r="K3254" i="2"/>
  <c r="B238" i="14"/>
  <c r="B158" i="24"/>
  <c r="J3475" i="2"/>
  <c r="J5833" i="2"/>
  <c r="A179" i="11"/>
  <c r="J4353" i="2"/>
  <c r="J3375" i="2"/>
  <c r="K1515" i="2"/>
  <c r="A176" i="1"/>
  <c r="A119" i="14"/>
  <c r="K3475" i="2"/>
  <c r="K2435" i="2"/>
  <c r="B155" i="3"/>
  <c r="J2974" i="2"/>
  <c r="B155" i="14"/>
  <c r="K3633" i="2"/>
  <c r="A98" i="11"/>
  <c r="J5195" i="2"/>
  <c r="K1716" i="2"/>
  <c r="J2213" i="2"/>
  <c r="K1153" i="2"/>
  <c r="J3713" i="2"/>
  <c r="K2195" i="2"/>
  <c r="K5356" i="2"/>
  <c r="J5357" i="2"/>
  <c r="J2774" i="2"/>
  <c r="J5714" i="2"/>
  <c r="K4077" i="2"/>
  <c r="J5096" i="2"/>
  <c r="A238" i="11"/>
  <c r="J5973" i="2"/>
  <c r="K1397" i="2"/>
  <c r="A176" i="10"/>
  <c r="B99" i="1"/>
  <c r="A139" i="9"/>
  <c r="J3575" i="2"/>
  <c r="J5996" i="2"/>
  <c r="J2915" i="2"/>
  <c r="J5796" i="2"/>
  <c r="J4375" i="2"/>
  <c r="J2854" i="2"/>
  <c r="J3213" i="2"/>
  <c r="J1536" i="2"/>
  <c r="A151" i="3"/>
  <c r="A171" i="8"/>
  <c r="J2636" i="2"/>
  <c r="A116" i="12"/>
  <c r="B118" i="14"/>
  <c r="J5876" i="2"/>
  <c r="K1494" i="2"/>
  <c r="J2133" i="2"/>
  <c r="K2273" i="2"/>
  <c r="K1854" i="2"/>
  <c r="J5937" i="2"/>
  <c r="J2513" i="2"/>
  <c r="K2495" i="2"/>
  <c r="A177" i="8"/>
  <c r="A59" i="8"/>
  <c r="A195" i="7"/>
  <c r="J5117" i="2"/>
  <c r="K1516" i="2"/>
  <c r="B155" i="1"/>
  <c r="A95" i="8"/>
  <c r="A155" i="7"/>
  <c r="K4974" i="2"/>
  <c r="K4153" i="2"/>
  <c r="J5296" i="2"/>
  <c r="A171" i="9"/>
  <c r="J5695" i="2"/>
  <c r="K2597" i="2"/>
  <c r="J4194" i="2"/>
  <c r="A59" i="11"/>
  <c r="K5197" i="2"/>
  <c r="J3195" i="2"/>
  <c r="A131" i="3"/>
  <c r="B118" i="7"/>
  <c r="K4056" i="2"/>
  <c r="K4734" i="2"/>
  <c r="J5853" i="2"/>
  <c r="K4377" i="2"/>
  <c r="A115" i="3"/>
  <c r="A119" i="13"/>
  <c r="K5373" i="2"/>
  <c r="A237" i="11"/>
  <c r="A117" i="13"/>
  <c r="A116" i="8"/>
  <c r="A217" i="8"/>
  <c r="J3754" i="2"/>
  <c r="J2737" i="2"/>
  <c r="A118" i="11"/>
  <c r="K1493" i="2"/>
  <c r="J2614" i="2"/>
  <c r="K3514" i="2"/>
  <c r="B58" i="12"/>
  <c r="J2616" i="2"/>
  <c r="A77" i="9"/>
  <c r="B239" i="29"/>
  <c r="B55" i="7"/>
  <c r="J2354" i="2"/>
  <c r="A117" i="11"/>
  <c r="A111" i="14"/>
  <c r="K3835" i="2"/>
  <c r="A239" i="10"/>
  <c r="B219" i="8"/>
  <c r="K1296" i="2"/>
  <c r="B55" i="3"/>
  <c r="A76" i="1"/>
  <c r="B198" i="29"/>
  <c r="K5633" i="2"/>
  <c r="J1933" i="2"/>
  <c r="K1513" i="2"/>
  <c r="K3415" i="2"/>
  <c r="A217" i="7"/>
  <c r="K4093" i="2"/>
  <c r="B237" i="12"/>
  <c r="J4356" i="2"/>
  <c r="B77" i="3"/>
  <c r="B118" i="1"/>
  <c r="J2215" i="2"/>
  <c r="K1934" i="2"/>
  <c r="B239" i="1"/>
  <c r="K1433" i="2"/>
  <c r="A111" i="12"/>
  <c r="J5757" i="2"/>
  <c r="B159" i="11"/>
  <c r="B239" i="32"/>
  <c r="J2515" i="2"/>
  <c r="B215" i="32"/>
  <c r="A139" i="14"/>
  <c r="B236" i="24"/>
  <c r="K4216" i="2"/>
  <c r="A156" i="1"/>
  <c r="J5615" i="2"/>
  <c r="K1256" i="2"/>
  <c r="B119" i="9"/>
  <c r="B79" i="13"/>
  <c r="B58" i="14"/>
  <c r="J3416" i="2"/>
  <c r="A138" i="9"/>
  <c r="K5775" i="2"/>
  <c r="B237" i="33"/>
  <c r="J4273" i="2"/>
  <c r="A159" i="14"/>
  <c r="A178" i="3"/>
  <c r="K5517" i="2"/>
  <c r="J5697" i="2"/>
  <c r="A96" i="10"/>
  <c r="A219" i="10"/>
  <c r="A191" i="1"/>
  <c r="A157" i="12"/>
  <c r="K2596" i="2"/>
  <c r="J5777" i="2"/>
  <c r="J2776" i="2"/>
  <c r="A78" i="13"/>
  <c r="J2274" i="2"/>
  <c r="A79" i="3"/>
  <c r="J5173" i="2"/>
  <c r="B99" i="10"/>
  <c r="J2673" i="2"/>
  <c r="B78" i="9"/>
  <c r="K5214" i="2"/>
  <c r="A111" i="9"/>
  <c r="J2775" i="2"/>
  <c r="K2537" i="2"/>
  <c r="K4633" i="2"/>
  <c r="A157" i="9"/>
  <c r="J4373" i="2"/>
  <c r="J5813" i="2"/>
  <c r="J4815" i="2"/>
  <c r="J1813" i="2"/>
  <c r="K5435" i="2"/>
  <c r="A236" i="7"/>
  <c r="J3614" i="2"/>
  <c r="G988" i="2"/>
  <c r="K5315" i="2"/>
  <c r="K5157" i="2"/>
  <c r="B155" i="7"/>
  <c r="J5794" i="2"/>
  <c r="K3553" i="2"/>
  <c r="J2794" i="2"/>
  <c r="K2836" i="2"/>
  <c r="J5734" i="2"/>
  <c r="A176" i="13"/>
  <c r="J3773" i="2"/>
  <c r="J4714" i="2"/>
  <c r="J1693" i="2"/>
  <c r="K3134" i="2"/>
  <c r="K2014" i="2"/>
  <c r="A135" i="8"/>
  <c r="J2793" i="2"/>
  <c r="K5374" i="2"/>
  <c r="B115" i="14"/>
  <c r="K4213" i="2"/>
  <c r="K2535" i="2"/>
  <c r="B58" i="10"/>
  <c r="J5056" i="2"/>
  <c r="B158" i="7"/>
  <c r="B158" i="13"/>
  <c r="K1853" i="2"/>
  <c r="K3014" i="2"/>
  <c r="A218" i="9"/>
  <c r="B199" i="13"/>
  <c r="J4636" i="2"/>
  <c r="A199" i="14"/>
  <c r="A95" i="12"/>
  <c r="J4316" i="2"/>
  <c r="J2153" i="2"/>
  <c r="A236" i="8"/>
  <c r="J4596" i="2"/>
  <c r="B198" i="8"/>
  <c r="K2913" i="2"/>
  <c r="J3873" i="2"/>
  <c r="A75" i="7"/>
  <c r="J1417" i="2"/>
  <c r="J3674" i="2"/>
  <c r="A55" i="9"/>
  <c r="J3935" i="2"/>
  <c r="K1196" i="2"/>
  <c r="K4716" i="2"/>
  <c r="K4296" i="2"/>
  <c r="J2277" i="2"/>
  <c r="A191" i="9"/>
  <c r="A176" i="9"/>
  <c r="B118" i="9"/>
  <c r="B177" i="9"/>
  <c r="A156" i="12"/>
  <c r="K3296" i="2"/>
  <c r="K5237" i="2"/>
  <c r="B119" i="10"/>
  <c r="J4676" i="2"/>
  <c r="J5915" i="2"/>
  <c r="D64" i="16"/>
  <c r="K5275" i="2"/>
  <c r="K3156" i="2"/>
  <c r="K1435" i="2"/>
  <c r="A237" i="12"/>
  <c r="J2033" i="2"/>
  <c r="A156" i="7"/>
  <c r="J4515" i="2"/>
  <c r="J5413" i="2"/>
  <c r="J2733" i="2"/>
  <c r="J1836" i="2"/>
  <c r="A216" i="11"/>
  <c r="A199" i="9"/>
  <c r="K1395" i="2"/>
  <c r="J1494" i="2"/>
  <c r="K4133" i="2"/>
  <c r="K5176" i="2"/>
  <c r="K2433" i="2"/>
  <c r="K5575" i="2"/>
  <c r="K3073" i="2"/>
  <c r="J5976" i="2"/>
  <c r="K2437" i="2"/>
  <c r="A96" i="12"/>
  <c r="K3294" i="2"/>
  <c r="K2873" i="2"/>
  <c r="B137" i="1"/>
  <c r="A231" i="10"/>
  <c r="J1874" i="2"/>
  <c r="J3693" i="2"/>
  <c r="K2197" i="2"/>
  <c r="B97" i="8"/>
  <c r="K5675" i="2"/>
  <c r="B235" i="30"/>
  <c r="B238" i="32"/>
  <c r="J2856" i="2"/>
  <c r="J4313" i="2"/>
  <c r="J5193" i="2"/>
  <c r="J4873" i="2"/>
  <c r="A215" i="8"/>
  <c r="A59" i="9"/>
  <c r="B239" i="7"/>
  <c r="K4115" i="2"/>
  <c r="A77" i="8"/>
  <c r="K5794" i="2"/>
  <c r="A116" i="14"/>
  <c r="B59" i="10"/>
  <c r="K4853" i="2"/>
  <c r="J4554" i="2"/>
  <c r="K1914" i="2"/>
  <c r="J4996" i="2"/>
  <c r="K2476" i="2"/>
  <c r="J4573" i="2"/>
  <c r="J4136" i="2"/>
  <c r="J4016" i="2"/>
  <c r="K3653" i="2"/>
  <c r="A196" i="13"/>
  <c r="J1537" i="2"/>
  <c r="K5857" i="2"/>
  <c r="K5573" i="2"/>
  <c r="B76" i="1"/>
  <c r="A191" i="8"/>
  <c r="B219" i="13"/>
  <c r="K3434" i="2"/>
  <c r="A195" i="12"/>
  <c r="A131" i="1"/>
  <c r="B137" i="12"/>
  <c r="K3496" i="2"/>
  <c r="J4994" i="2"/>
  <c r="J1554" i="2"/>
  <c r="K2254" i="2"/>
  <c r="B215" i="1"/>
  <c r="K5453" i="2"/>
  <c r="K5456" i="2"/>
  <c r="J3555" i="2"/>
  <c r="K2353" i="2"/>
  <c r="B199" i="30"/>
  <c r="J1635" i="2"/>
  <c r="J2497" i="2"/>
  <c r="J2735" i="2"/>
  <c r="A136" i="10"/>
  <c r="K1334" i="2"/>
  <c r="A78" i="12"/>
  <c r="A238" i="10"/>
  <c r="J2855" i="2"/>
  <c r="K4353" i="2"/>
  <c r="K3913" i="2"/>
  <c r="A175" i="8"/>
  <c r="K2316" i="2"/>
  <c r="J5554" i="2"/>
  <c r="J4213" i="2"/>
  <c r="J5636" i="2"/>
  <c r="J4277" i="2"/>
  <c r="A131" i="9"/>
  <c r="J3673" i="2"/>
  <c r="K4116" i="2"/>
  <c r="K1273" i="2"/>
  <c r="B217" i="10"/>
  <c r="A57" i="9"/>
  <c r="J5994" i="2"/>
  <c r="K2755" i="2"/>
  <c r="J3336" i="2"/>
  <c r="J4195" i="2"/>
  <c r="J2457" i="2"/>
  <c r="A119" i="12"/>
  <c r="K5294" i="2"/>
  <c r="B139" i="3"/>
  <c r="J3653" i="2"/>
  <c r="G1028" i="2"/>
  <c r="K5536" i="2"/>
  <c r="B57" i="12"/>
  <c r="G1088" i="2"/>
  <c r="K1855" i="2"/>
  <c r="J5514" i="2"/>
  <c r="J3233" i="2"/>
  <c r="K4455" i="2"/>
  <c r="J2377" i="2"/>
  <c r="J5273" i="2"/>
  <c r="K5494" i="2"/>
  <c r="J3115" i="2"/>
  <c r="A97" i="7"/>
  <c r="J1156" i="2"/>
  <c r="A97" i="14"/>
  <c r="A177" i="9"/>
  <c r="K5016" i="2"/>
  <c r="J3053" i="2"/>
  <c r="A236" i="11"/>
  <c r="A157" i="10"/>
  <c r="A215" i="1"/>
  <c r="J1194" i="2"/>
  <c r="K3237" i="2"/>
  <c r="K5576" i="2"/>
  <c r="B76" i="3"/>
  <c r="A137" i="3"/>
  <c r="J2177" i="2"/>
  <c r="K2173" i="2"/>
  <c r="J4673" i="2"/>
  <c r="J1355" i="2"/>
  <c r="K1933" i="2"/>
  <c r="K3094" i="2"/>
  <c r="J5276" i="2"/>
  <c r="J5313" i="2"/>
  <c r="K2975" i="2"/>
  <c r="K1635" i="2"/>
  <c r="J4455" i="2"/>
  <c r="K4476" i="2"/>
  <c r="B138" i="9"/>
  <c r="J1475" i="2"/>
  <c r="J5656" i="2"/>
  <c r="J2953" i="2"/>
  <c r="J1574" i="2"/>
  <c r="K1796" i="2"/>
  <c r="K5053" i="2"/>
  <c r="A211" i="7"/>
  <c r="J4733" i="2"/>
  <c r="J5135" i="2"/>
  <c r="B178" i="8"/>
  <c r="J5753" i="2"/>
  <c r="B137" i="10"/>
  <c r="J4795" i="2"/>
  <c r="K3154" i="2"/>
  <c r="K5593" i="2"/>
  <c r="K1577" i="2"/>
  <c r="J2617" i="2"/>
  <c r="J5934" i="2"/>
  <c r="J4874" i="2"/>
  <c r="B78" i="3"/>
  <c r="K4473" i="2"/>
  <c r="K3517" i="2"/>
  <c r="K5616" i="2"/>
  <c r="A238" i="13"/>
  <c r="J4835" i="2"/>
  <c r="J5415" i="2"/>
  <c r="A111" i="8"/>
  <c r="J5496" i="2"/>
  <c r="K1656" i="2"/>
  <c r="J1573" i="2"/>
  <c r="K4134" i="2"/>
  <c r="J5694" i="2"/>
  <c r="K5293" i="2"/>
  <c r="J4713" i="2"/>
  <c r="B175" i="3"/>
  <c r="K1836" i="2"/>
  <c r="B117" i="10"/>
  <c r="J1296" i="2"/>
  <c r="A55" i="12"/>
  <c r="B59" i="13"/>
  <c r="A75" i="11"/>
  <c r="J5713" i="2"/>
  <c r="A199" i="1"/>
  <c r="K1534" i="2"/>
  <c r="B119" i="13"/>
  <c r="K5094" i="2"/>
  <c r="B199" i="3"/>
  <c r="B137" i="7"/>
  <c r="K4334" i="2"/>
  <c r="J5797" i="2"/>
  <c r="K3655" i="2"/>
  <c r="A231" i="12"/>
  <c r="A79" i="11"/>
  <c r="A78" i="14"/>
  <c r="J2235" i="2"/>
  <c r="B218" i="32"/>
  <c r="A211" i="3"/>
  <c r="K1696" i="2"/>
  <c r="A219" i="14"/>
  <c r="A197" i="12"/>
  <c r="J4817" i="2"/>
  <c r="J1857" i="2"/>
  <c r="K1213" i="2"/>
  <c r="J4474" i="2"/>
  <c r="J1293" i="2"/>
  <c r="A96" i="9"/>
  <c r="A98" i="10"/>
  <c r="A77" i="12"/>
  <c r="K1234" i="2"/>
  <c r="A97" i="13"/>
  <c r="K1477" i="2"/>
  <c r="K2114" i="2"/>
  <c r="G1068" i="2"/>
  <c r="J2553" i="2"/>
  <c r="K1475" i="2"/>
  <c r="K4795" i="2"/>
  <c r="J1373" i="2"/>
  <c r="J2414" i="2"/>
  <c r="B235" i="24"/>
  <c r="K1714" i="2"/>
  <c r="K3894" i="2"/>
  <c r="K3194" i="2"/>
  <c r="J3694" i="2"/>
  <c r="A79" i="8"/>
  <c r="J4294" i="2"/>
  <c r="K4136" i="2"/>
  <c r="K3814" i="2"/>
  <c r="K4053" i="2"/>
  <c r="K1415" i="2"/>
  <c r="J1575" i="2"/>
  <c r="A119" i="11"/>
  <c r="K2933" i="2"/>
  <c r="A235" i="1"/>
  <c r="J3256" i="2"/>
  <c r="K3896" i="2"/>
  <c r="J3135" i="2"/>
  <c r="B199" i="10"/>
  <c r="A55" i="3"/>
  <c r="J3175" i="2"/>
  <c r="K5196" i="2"/>
  <c r="K3693" i="2"/>
  <c r="K3255" i="2"/>
  <c r="A195" i="9"/>
  <c r="A157" i="11"/>
  <c r="J5454" i="2"/>
  <c r="A216" i="9"/>
  <c r="K4976" i="2"/>
  <c r="K2897" i="2"/>
  <c r="K4437" i="2"/>
  <c r="K1974" i="2"/>
  <c r="A237" i="14"/>
  <c r="J1357" i="2"/>
  <c r="K3674" i="2"/>
  <c r="A139" i="1"/>
  <c r="B177" i="10"/>
  <c r="J3875" i="2"/>
  <c r="J5136" i="2"/>
  <c r="B57" i="9"/>
  <c r="J2355" i="2"/>
  <c r="J2654" i="2"/>
  <c r="K1253" i="2"/>
  <c r="J4193" i="2"/>
  <c r="B235" i="7"/>
  <c r="J2454" i="2"/>
  <c r="J5816" i="2"/>
  <c r="J5913" i="2"/>
  <c r="K1473" i="2"/>
  <c r="J5955" i="2"/>
  <c r="A195" i="8"/>
  <c r="A58" i="1"/>
  <c r="J2595" i="2"/>
  <c r="J5634" i="2"/>
  <c r="J5373" i="2"/>
  <c r="B157" i="14"/>
  <c r="J4956" i="2"/>
  <c r="J5957" i="2"/>
  <c r="A238" i="3"/>
  <c r="B79" i="11"/>
  <c r="K2515" i="2"/>
  <c r="J4877" i="2"/>
  <c r="K2076" i="2"/>
  <c r="K1216" i="2"/>
  <c r="J2014" i="2"/>
  <c r="J5253" i="2"/>
  <c r="K1994" i="2"/>
  <c r="J4473" i="2"/>
  <c r="A218" i="11"/>
  <c r="A51" i="11"/>
  <c r="B219" i="1"/>
  <c r="B179" i="3"/>
  <c r="K5953" i="2"/>
  <c r="J1436" i="2"/>
  <c r="J4053" i="2"/>
  <c r="B196" i="32"/>
  <c r="K3314" i="2"/>
  <c r="B199" i="11"/>
  <c r="K5914" i="2"/>
  <c r="A155" i="1"/>
  <c r="J2016" i="2"/>
  <c r="J5677" i="2"/>
  <c r="K4653" i="2"/>
  <c r="J3215" i="2"/>
  <c r="K5395" i="2"/>
  <c r="K1453" i="2"/>
  <c r="K4015" i="2"/>
  <c r="B97" i="1"/>
  <c r="A151" i="9"/>
  <c r="J4875" i="2"/>
  <c r="K5873" i="2"/>
  <c r="K2376" i="2"/>
  <c r="K4876" i="2"/>
  <c r="A195" i="1"/>
  <c r="J5535" i="2"/>
  <c r="A98" i="14"/>
  <c r="J4073" i="2"/>
  <c r="A117" i="9"/>
  <c r="J5255" i="2"/>
  <c r="K5013" i="2"/>
  <c r="B137" i="13"/>
  <c r="B238" i="11"/>
  <c r="K2056" i="2"/>
  <c r="B239" i="10"/>
  <c r="J5453" i="2"/>
  <c r="J3976" i="2"/>
  <c r="J1596" i="2"/>
  <c r="A95" i="11"/>
  <c r="J4097" i="2"/>
  <c r="J3717" i="2"/>
  <c r="K2915" i="2"/>
  <c r="J3573" i="2"/>
  <c r="B218" i="30"/>
  <c r="B215" i="29"/>
  <c r="J4533" i="2"/>
  <c r="A211" i="13"/>
  <c r="J5456" i="2"/>
  <c r="G1008" i="2"/>
  <c r="J3455" i="2"/>
  <c r="J5495" i="2"/>
  <c r="B237" i="13"/>
  <c r="J5735" i="2"/>
  <c r="J4936" i="2"/>
  <c r="B58" i="11"/>
  <c r="B239" i="11"/>
  <c r="A59" i="1"/>
  <c r="A51" i="13"/>
  <c r="K1634" i="2"/>
  <c r="K4255" i="2"/>
  <c r="K2174" i="2"/>
  <c r="K4034" i="2"/>
  <c r="K5757" i="2"/>
  <c r="J3634" i="2"/>
  <c r="B157" i="24"/>
  <c r="K4955" i="2"/>
  <c r="J4033" i="2"/>
  <c r="A115" i="9"/>
  <c r="K3975" i="2"/>
  <c r="K4057" i="2"/>
  <c r="B99" i="9"/>
  <c r="B159" i="24"/>
  <c r="K3055" i="2"/>
  <c r="J1555" i="2"/>
  <c r="B197" i="13"/>
  <c r="B118" i="20"/>
  <c r="J5134" i="2"/>
  <c r="K1813" i="2"/>
  <c r="A91" i="14"/>
  <c r="B238" i="30"/>
  <c r="A155" i="14"/>
  <c r="J5616" i="2"/>
  <c r="K4076" i="2"/>
  <c r="B139" i="8"/>
  <c r="J5837" i="2"/>
  <c r="J1516" i="2"/>
  <c r="B235" i="3"/>
  <c r="K2016" i="2"/>
  <c r="B198" i="14"/>
  <c r="A97" i="9"/>
  <c r="A76" i="8"/>
  <c r="J1295" i="2"/>
  <c r="K4215" i="2"/>
  <c r="B195" i="24"/>
  <c r="K3013" i="2"/>
  <c r="K5193" i="2"/>
  <c r="J1633" i="2"/>
  <c r="J3016" i="2"/>
  <c r="B78" i="11"/>
  <c r="J1377" i="2"/>
  <c r="J2233" i="2"/>
  <c r="B159" i="8"/>
  <c r="K4433" i="2"/>
  <c r="B178" i="9"/>
  <c r="A55" i="10"/>
  <c r="J3096" i="2"/>
  <c r="J3297" i="2"/>
  <c r="K5114" i="2"/>
  <c r="J2697" i="2"/>
  <c r="J2196" i="2"/>
  <c r="A57" i="12"/>
  <c r="B198" i="33"/>
  <c r="K2674" i="2"/>
  <c r="B158" i="12"/>
  <c r="B198" i="13"/>
  <c r="J1695" i="2"/>
  <c r="A138" i="10"/>
  <c r="J1954" i="2"/>
  <c r="J1895" i="2"/>
  <c r="K3216" i="2"/>
  <c r="J2296" i="2"/>
  <c r="B218" i="13"/>
  <c r="J1833" i="2"/>
  <c r="A99" i="9"/>
  <c r="A151" i="1"/>
  <c r="J5793" i="2"/>
  <c r="J5555" i="2"/>
  <c r="J4334" i="2"/>
  <c r="A118" i="8"/>
  <c r="K5473" i="2"/>
  <c r="A235" i="13"/>
  <c r="B79" i="1"/>
  <c r="A231" i="11"/>
  <c r="J2496" i="2"/>
  <c r="K4194" i="2"/>
  <c r="B178" i="11"/>
  <c r="J5614" i="2"/>
  <c r="J1476" i="2"/>
  <c r="K2113" i="2"/>
  <c r="K4833" i="2"/>
  <c r="J2755" i="2"/>
  <c r="K3696" i="2"/>
  <c r="A151" i="10"/>
  <c r="A98" i="12"/>
  <c r="J1817" i="2"/>
  <c r="K5977" i="2"/>
  <c r="K4875" i="2"/>
  <c r="K2053" i="2"/>
  <c r="K3734" i="2"/>
  <c r="J2073" i="2"/>
  <c r="J3974" i="2"/>
  <c r="K4934" i="2"/>
  <c r="J2493" i="2"/>
  <c r="K4294" i="2"/>
  <c r="K1496" i="2"/>
  <c r="K5255" i="2"/>
  <c r="K5614" i="2"/>
  <c r="J5635" i="2"/>
  <c r="K4533" i="2"/>
  <c r="B198" i="1"/>
  <c r="K1274" i="2"/>
  <c r="A95" i="14"/>
  <c r="A136" i="11"/>
  <c r="J2816" i="2"/>
  <c r="K1414" i="2"/>
  <c r="J5556" i="2"/>
  <c r="J5354" i="2"/>
  <c r="A56" i="3"/>
  <c r="J2393" i="2"/>
  <c r="J5936" i="2"/>
  <c r="J3453" i="2"/>
  <c r="B219" i="33"/>
  <c r="J1796" i="2"/>
  <c r="K1774" i="2"/>
  <c r="A138" i="14"/>
  <c r="J1636" i="2"/>
  <c r="K3356" i="2"/>
  <c r="B199" i="8"/>
  <c r="K1695" i="2"/>
  <c r="K3234" i="2"/>
  <c r="A78" i="1"/>
  <c r="B59" i="14"/>
  <c r="B159" i="1"/>
  <c r="J5874" i="2"/>
  <c r="K3854" i="2"/>
  <c r="K4395" i="2"/>
  <c r="K2794" i="2"/>
  <c r="K5036" i="2"/>
  <c r="K3414" i="2"/>
  <c r="K3916" i="2"/>
  <c r="J2315" i="2"/>
  <c r="J4773" i="2"/>
  <c r="J2916" i="2"/>
  <c r="A215" i="9"/>
  <c r="J2557" i="2"/>
  <c r="K1314" i="2"/>
  <c r="K2015" i="2"/>
  <c r="J4093" i="2"/>
  <c r="J4633" i="2"/>
  <c r="K2934" i="2"/>
  <c r="K5054" i="2"/>
  <c r="J1937" i="2"/>
  <c r="K2513" i="2"/>
  <c r="J5895" i="2"/>
  <c r="J3273" i="2"/>
  <c r="J1495" i="2"/>
  <c r="J2914" i="2"/>
  <c r="K5354" i="2"/>
  <c r="J2294" i="2"/>
  <c r="J3953" i="2"/>
  <c r="K5655" i="2"/>
  <c r="J3457" i="2"/>
  <c r="J5175" i="2"/>
  <c r="B158" i="3"/>
  <c r="J2975" i="2"/>
  <c r="A176" i="7"/>
  <c r="J3436" i="2"/>
  <c r="K4635" i="2"/>
  <c r="B137" i="3"/>
  <c r="K1975" i="2"/>
  <c r="K4096" i="2"/>
  <c r="B117" i="14"/>
  <c r="K4036" i="2"/>
  <c r="J4477" i="2"/>
  <c r="J3774" i="2"/>
  <c r="A231" i="9"/>
  <c r="A56" i="14"/>
  <c r="B135" i="14"/>
  <c r="J1793" i="2"/>
  <c r="K3573" i="2"/>
  <c r="A99" i="8"/>
  <c r="A196" i="12"/>
  <c r="B137" i="24"/>
  <c r="A218" i="13"/>
  <c r="A136" i="13"/>
  <c r="K4156" i="2"/>
  <c r="J5076" i="2"/>
  <c r="K2055" i="2"/>
  <c r="K4674" i="2"/>
  <c r="K2714" i="2"/>
  <c r="K4456" i="2"/>
  <c r="A76" i="10"/>
  <c r="A218" i="14"/>
  <c r="J3435" i="2"/>
  <c r="J1814" i="2"/>
  <c r="J2593" i="2"/>
  <c r="B118" i="10"/>
  <c r="K4995" i="2"/>
  <c r="J1714" i="2"/>
  <c r="J3994" i="2"/>
  <c r="K2637" i="2"/>
  <c r="J1735" i="2"/>
  <c r="B179" i="7"/>
  <c r="J2176" i="2"/>
  <c r="J5476" i="2"/>
  <c r="J3954" i="2"/>
  <c r="J3395" i="2"/>
  <c r="K3037" i="2"/>
  <c r="A196" i="8"/>
  <c r="J2613" i="2"/>
  <c r="K4756" i="2"/>
  <c r="J1193" i="2"/>
  <c r="K4173" i="2"/>
  <c r="B157" i="7"/>
  <c r="J3697" i="2"/>
  <c r="K1455" i="2"/>
  <c r="B177" i="1"/>
  <c r="J2555" i="2"/>
  <c r="K4297" i="2"/>
  <c r="J1317" i="2"/>
  <c r="A76" i="13"/>
  <c r="K2074" i="2"/>
  <c r="K3253" i="2"/>
  <c r="B98" i="11"/>
  <c r="K2956" i="2"/>
  <c r="J5574" i="2"/>
  <c r="B197" i="14"/>
  <c r="K2414" i="2"/>
  <c r="J3897" i="2"/>
  <c r="B115" i="7"/>
  <c r="K4956" i="2"/>
  <c r="K1217" i="2"/>
  <c r="K5753" i="2"/>
  <c r="K4554" i="2"/>
  <c r="B219" i="10"/>
  <c r="B98" i="1"/>
  <c r="K2496" i="2"/>
  <c r="K4817" i="2"/>
  <c r="A191" i="10"/>
  <c r="A76" i="14"/>
  <c r="J4255" i="2"/>
  <c r="A236" i="14"/>
  <c r="J1276" i="2"/>
  <c r="J4297" i="2"/>
  <c r="A215" i="14"/>
  <c r="J5954" i="2"/>
  <c r="J1734" i="2"/>
  <c r="K2296" i="2"/>
  <c r="K2733" i="2"/>
  <c r="K1835" i="2"/>
  <c r="A91" i="7"/>
  <c r="K3934" i="2"/>
  <c r="J2195" i="2"/>
  <c r="J1774" i="2"/>
  <c r="J1413" i="2"/>
  <c r="J4113" i="2"/>
  <c r="B239" i="33"/>
  <c r="K3114" i="2"/>
  <c r="J2435" i="2"/>
  <c r="J4973" i="2"/>
  <c r="A199" i="10"/>
  <c r="J5835" i="2"/>
  <c r="B197" i="20"/>
  <c r="K5993" i="2"/>
  <c r="K3976" i="2"/>
  <c r="J5314" i="2"/>
  <c r="A97" i="12"/>
  <c r="K5357" i="2"/>
  <c r="K5137" i="2"/>
  <c r="B139" i="14"/>
  <c r="B118" i="3"/>
  <c r="K5133" i="2"/>
  <c r="B138" i="1"/>
  <c r="J2334" i="2"/>
  <c r="B57" i="3"/>
  <c r="J5335" i="2"/>
  <c r="K3836" i="2"/>
  <c r="K4695" i="2"/>
  <c r="K2556" i="2"/>
  <c r="K2954" i="2"/>
  <c r="J1456" i="2"/>
  <c r="K2814" i="2"/>
  <c r="K3276" i="2"/>
  <c r="K4373" i="2"/>
  <c r="B177" i="7"/>
  <c r="K3097" i="2"/>
  <c r="J3853" i="2"/>
  <c r="J5674" i="2"/>
  <c r="A55" i="8"/>
  <c r="A91" i="8"/>
  <c r="J2094" i="2"/>
  <c r="J3275" i="2"/>
  <c r="J1457" i="2"/>
  <c r="K4634" i="2"/>
  <c r="B199" i="1"/>
  <c r="J1733" i="2"/>
  <c r="J5055" i="2"/>
  <c r="J4176" i="2"/>
  <c r="A137" i="11"/>
  <c r="A197" i="13"/>
  <c r="J3576" i="2"/>
  <c r="K2833" i="2"/>
  <c r="B177" i="13"/>
  <c r="K2336" i="2"/>
  <c r="J1615" i="2"/>
  <c r="A57" i="14"/>
  <c r="J4315" i="2"/>
  <c r="J3636" i="2"/>
  <c r="K1833" i="2"/>
  <c r="A131" i="12"/>
  <c r="J1976" i="2"/>
  <c r="K3654" i="2"/>
  <c r="K3596" i="2"/>
  <c r="A211" i="14"/>
  <c r="J2456" i="2"/>
  <c r="J3075" i="2"/>
  <c r="B179" i="13"/>
  <c r="K1817" i="2"/>
  <c r="K2474" i="2"/>
  <c r="B139" i="10"/>
  <c r="K5353" i="2"/>
  <c r="J4735" i="2"/>
  <c r="K2397" i="2"/>
  <c r="J5956" i="2"/>
  <c r="J3695" i="2"/>
  <c r="A239" i="12"/>
  <c r="A157" i="8"/>
  <c r="K5737" i="2"/>
  <c r="K3737" i="2"/>
  <c r="A91" i="13"/>
  <c r="K4596" i="2"/>
  <c r="J2677" i="2"/>
  <c r="J3657" i="2"/>
  <c r="J1195" i="2"/>
  <c r="A171" i="3"/>
  <c r="J2917" i="2"/>
  <c r="K1894" i="2"/>
  <c r="J3593" i="2"/>
  <c r="J3596" i="2"/>
  <c r="K4577" i="2"/>
  <c r="J1235" i="2"/>
  <c r="J2957" i="2"/>
  <c r="A138" i="1"/>
  <c r="J5875" i="2"/>
  <c r="K5134" i="2"/>
  <c r="J2575" i="2"/>
  <c r="A176" i="14"/>
  <c r="J3354" i="2"/>
  <c r="K2517" i="2"/>
  <c r="A177" i="12"/>
  <c r="K5595" i="2"/>
  <c r="K3457" i="2"/>
  <c r="K2735" i="2"/>
  <c r="J4134" i="2"/>
  <c r="J3857" i="2"/>
  <c r="K2877" i="2"/>
  <c r="B157" i="13"/>
  <c r="K3275" i="2"/>
  <c r="J4837" i="2"/>
  <c r="K2213" i="2"/>
  <c r="K2634" i="2"/>
  <c r="B217" i="29"/>
  <c r="K4017" i="2"/>
  <c r="J3696" i="2"/>
  <c r="B199" i="12"/>
  <c r="K5375" i="2"/>
  <c r="K3376" i="2"/>
  <c r="K3993" i="2"/>
  <c r="J2597" i="2"/>
  <c r="J3916" i="2"/>
  <c r="J5733" i="2"/>
  <c r="K1913" i="2"/>
  <c r="B57" i="8"/>
  <c r="K1575" i="2"/>
  <c r="J5176" i="2"/>
  <c r="J4394" i="2"/>
  <c r="J2077" i="2"/>
  <c r="B215" i="14"/>
  <c r="K1556" i="2"/>
  <c r="K4836" i="2"/>
  <c r="J3914" i="2"/>
  <c r="K4055" i="2"/>
  <c r="B236" i="20"/>
  <c r="K3917" i="2"/>
  <c r="J4094" i="2"/>
  <c r="A219" i="11"/>
  <c r="K2977" i="2"/>
  <c r="K1794" i="2"/>
  <c r="K2456" i="2"/>
  <c r="K1616" i="2"/>
  <c r="K3437" i="2"/>
  <c r="J1717" i="2"/>
  <c r="J2173" i="2"/>
  <c r="B97" i="3"/>
  <c r="J1556" i="2"/>
  <c r="J4933" i="2"/>
  <c r="K2595" i="2"/>
  <c r="J1875" i="2"/>
  <c r="K2717" i="2"/>
  <c r="J4935" i="2"/>
  <c r="J1313" i="2"/>
  <c r="A59" i="7"/>
  <c r="K3217" i="2"/>
  <c r="K5015" i="2"/>
  <c r="B237" i="7"/>
  <c r="A217" i="1"/>
  <c r="A195" i="13"/>
  <c r="K1394" i="2"/>
  <c r="J5333" i="2"/>
  <c r="B238" i="1"/>
  <c r="K1315" i="2"/>
  <c r="K3677" i="2"/>
  <c r="B179" i="20"/>
  <c r="J2933" i="2"/>
  <c r="K5874" i="2"/>
  <c r="K2676" i="2"/>
  <c r="J4196" i="2"/>
  <c r="K4754" i="2"/>
  <c r="K2937" i="2"/>
  <c r="J5633" i="2"/>
  <c r="K5413" i="2"/>
  <c r="K3657" i="2"/>
  <c r="K3614" i="2"/>
  <c r="J3757" i="2"/>
  <c r="K3057" i="2"/>
  <c r="J2297" i="2"/>
  <c r="K2993" i="2"/>
  <c r="K5033" i="2"/>
  <c r="K1897" i="2"/>
  <c r="J4035" i="2"/>
  <c r="B237" i="20"/>
  <c r="J4776" i="2"/>
  <c r="J4456" i="2"/>
  <c r="K3535" i="2"/>
  <c r="J4855" i="2"/>
  <c r="J2715" i="2"/>
  <c r="J2273" i="2"/>
  <c r="K4413" i="2"/>
  <c r="J3095" i="2"/>
  <c r="K3956" i="2"/>
  <c r="K2656" i="2"/>
  <c r="K4154" i="2"/>
  <c r="K5236" i="2"/>
  <c r="A175" i="13"/>
  <c r="K1457" i="2"/>
  <c r="K3256" i="2"/>
  <c r="K1294" i="2"/>
  <c r="A178" i="7"/>
  <c r="K2374" i="2"/>
  <c r="K5397" i="2"/>
  <c r="K1413" i="2"/>
  <c r="B179" i="11"/>
  <c r="J3557" i="2"/>
  <c r="A151" i="12"/>
  <c r="J4656" i="2"/>
  <c r="K4097" i="2"/>
  <c r="K3136" i="2"/>
  <c r="K3473" i="2"/>
  <c r="K1254" i="2"/>
  <c r="A151" i="8"/>
  <c r="K5516" i="2"/>
  <c r="J4957" i="2"/>
  <c r="K4736" i="2"/>
  <c r="J2054" i="2"/>
  <c r="J3415" i="2"/>
  <c r="J2517" i="2"/>
  <c r="K4857" i="2"/>
  <c r="J4535" i="2"/>
  <c r="J5817" i="2"/>
  <c r="D127" i="16"/>
  <c r="B75" i="3"/>
  <c r="J4436" i="2"/>
  <c r="J5575" i="2"/>
  <c r="B97" i="14"/>
  <c r="J3714" i="2"/>
  <c r="K3137" i="2"/>
  <c r="A131" i="10"/>
  <c r="J5693" i="2"/>
  <c r="J5436" i="2"/>
  <c r="J2675" i="2"/>
  <c r="J4417" i="2"/>
  <c r="J1935" i="2"/>
  <c r="J3937" i="2"/>
  <c r="K1877" i="2"/>
  <c r="K4375" i="2"/>
  <c r="K4393" i="2"/>
  <c r="J1737" i="2"/>
  <c r="K2876" i="2"/>
  <c r="K4357" i="2"/>
  <c r="K2754" i="2"/>
  <c r="A239" i="3"/>
  <c r="K4733" i="2"/>
  <c r="J3676" i="2"/>
  <c r="K5797" i="2"/>
  <c r="J4895" i="2"/>
  <c r="J4557" i="2"/>
  <c r="J4975" i="2"/>
  <c r="A211" i="12"/>
  <c r="J3654" i="2"/>
  <c r="J2256" i="2"/>
  <c r="K1595" i="2"/>
  <c r="J4696" i="2"/>
  <c r="J2835" i="2"/>
  <c r="K5917" i="2"/>
  <c r="A78" i="10"/>
  <c r="A235" i="3"/>
  <c r="J4397" i="2"/>
  <c r="A215" i="11"/>
  <c r="J3076" i="2"/>
  <c r="K3375" i="2"/>
  <c r="K4075" i="2"/>
  <c r="J5477" i="2"/>
  <c r="B77" i="12"/>
  <c r="K5155" i="2"/>
  <c r="J4116" i="2"/>
  <c r="B215" i="30"/>
  <c r="A99" i="13"/>
  <c r="K5317" i="2"/>
  <c r="K4175" i="2"/>
  <c r="B217" i="7"/>
  <c r="B135" i="1"/>
  <c r="K4774" i="2"/>
  <c r="K1677" i="2"/>
  <c r="A177" i="11"/>
  <c r="A136" i="3"/>
  <c r="K5637" i="2"/>
  <c r="B95" i="14"/>
  <c r="A116" i="13"/>
  <c r="J3373" i="2"/>
  <c r="J3597" i="2"/>
  <c r="K2857" i="2"/>
  <c r="K5257" i="2"/>
  <c r="J3997" i="2"/>
  <c r="B99" i="12"/>
  <c r="K4276" i="2"/>
  <c r="J3655" i="2"/>
  <c r="K3395" i="2"/>
  <c r="K5335" i="2"/>
  <c r="J1376" i="2"/>
  <c r="J3176" i="2"/>
  <c r="K5537" i="2"/>
  <c r="B178" i="24"/>
  <c r="K4797" i="2"/>
  <c r="K2536" i="2"/>
  <c r="K1553" i="2"/>
  <c r="K5474" i="2"/>
  <c r="J4357" i="2"/>
  <c r="J3793" i="2"/>
  <c r="K3875" i="2"/>
  <c r="K1937" i="2"/>
  <c r="A139" i="3"/>
  <c r="J4256" i="2"/>
  <c r="K4555" i="2"/>
  <c r="K4717" i="2"/>
  <c r="J2795" i="2"/>
  <c r="A139" i="10"/>
  <c r="J2175" i="2"/>
  <c r="K3577" i="2"/>
  <c r="A77" i="3"/>
  <c r="K1873" i="2"/>
  <c r="K4016" i="2"/>
  <c r="J1754" i="2"/>
  <c r="J4253" i="2"/>
  <c r="J1716" i="2"/>
  <c r="K1396" i="2"/>
  <c r="K4654" i="2"/>
  <c r="J3956" i="2"/>
  <c r="A115" i="14"/>
  <c r="K5935" i="2"/>
  <c r="K4637" i="2"/>
  <c r="K1377" i="2"/>
  <c r="A57" i="8"/>
  <c r="J4036" i="2"/>
  <c r="B198" i="24"/>
  <c r="B218" i="11"/>
  <c r="B216" i="20"/>
  <c r="K3297" i="2"/>
  <c r="J4496" i="2"/>
  <c r="K5535" i="2"/>
  <c r="K4515" i="2"/>
  <c r="J4635" i="2"/>
  <c r="K1255" i="2"/>
  <c r="K2096" i="2"/>
  <c r="K3456" i="2"/>
  <c r="K3915" i="2"/>
  <c r="K5697" i="2"/>
  <c r="J5017" i="2"/>
  <c r="K1614" i="2"/>
  <c r="K3036" i="2"/>
  <c r="J2276" i="2"/>
  <c r="J3114" i="2"/>
  <c r="A196" i="7"/>
  <c r="K5715" i="2"/>
  <c r="J5736" i="2"/>
  <c r="B175" i="20"/>
  <c r="B176" i="20"/>
  <c r="K3813" i="2"/>
  <c r="K2955" i="2"/>
  <c r="J2136" i="2"/>
  <c r="A95" i="10"/>
  <c r="K5894" i="2"/>
  <c r="K1876" i="2"/>
  <c r="K4913" i="2"/>
  <c r="K5776" i="2"/>
  <c r="J4497" i="2"/>
  <c r="J5374" i="2"/>
  <c r="J5897" i="2"/>
  <c r="J4257" i="2"/>
  <c r="J2857" i="2"/>
  <c r="J1856" i="2"/>
  <c r="J1894" i="2"/>
  <c r="A159" i="10"/>
  <c r="A239" i="8"/>
  <c r="K2115" i="2"/>
  <c r="A191" i="14"/>
  <c r="J4096" i="2"/>
  <c r="K5117" i="2"/>
  <c r="K5333" i="2"/>
  <c r="J3315" i="2"/>
  <c r="K4356" i="2"/>
  <c r="K4037" i="2"/>
  <c r="J5355" i="2"/>
  <c r="K2177" i="2"/>
  <c r="J2056" i="2"/>
  <c r="J5536" i="2"/>
  <c r="J3533" i="2"/>
  <c r="K2577" i="2"/>
  <c r="A75" i="13"/>
  <c r="A51" i="3"/>
  <c r="A77" i="11"/>
  <c r="K2753" i="2"/>
  <c r="A216" i="8"/>
  <c r="J1973" i="2"/>
  <c r="B196" i="29"/>
  <c r="K3997" i="2"/>
  <c r="K4693" i="2"/>
  <c r="A195" i="14"/>
  <c r="J4677" i="2"/>
  <c r="K4074" i="2"/>
  <c r="K2473" i="2"/>
  <c r="K4014" i="2"/>
  <c r="K2617" i="2"/>
  <c r="A239" i="11"/>
  <c r="K5256" i="2"/>
  <c r="K4777" i="2"/>
  <c r="J4336" i="2"/>
  <c r="K3454" i="2"/>
  <c r="J4536" i="2"/>
  <c r="K2516" i="2"/>
  <c r="B179" i="12"/>
  <c r="B196" i="20"/>
  <c r="K3436" i="2"/>
  <c r="K2317" i="2"/>
  <c r="J2234" i="2"/>
  <c r="B98" i="3"/>
  <c r="J3257" i="2"/>
  <c r="A76" i="7"/>
  <c r="K2156" i="2"/>
  <c r="J4836" i="2"/>
  <c r="J5655" i="2"/>
  <c r="J1634" i="2"/>
  <c r="K2333" i="2"/>
  <c r="B117" i="1"/>
  <c r="A155" i="12"/>
  <c r="K2315" i="2"/>
  <c r="J2134" i="2"/>
  <c r="J2637" i="2"/>
  <c r="J1533" i="2"/>
  <c r="B197" i="1"/>
  <c r="J1217" i="2"/>
  <c r="K4776" i="2"/>
  <c r="J2155" i="2"/>
  <c r="K2616" i="2"/>
  <c r="K4877" i="2"/>
  <c r="J2477" i="2"/>
  <c r="K5457" i="2"/>
  <c r="K4477" i="2"/>
  <c r="J5935" i="2"/>
  <c r="K5455" i="2"/>
  <c r="J3093" i="2"/>
  <c r="J3236" i="2"/>
  <c r="K1674" i="2"/>
  <c r="K5376" i="2"/>
  <c r="A195" i="3"/>
  <c r="A236" i="9"/>
  <c r="J2993" i="2"/>
  <c r="K3833" i="2"/>
  <c r="K4535" i="2"/>
  <c r="K4333" i="2"/>
  <c r="A199" i="3"/>
  <c r="K4475" i="2"/>
  <c r="A236" i="1"/>
  <c r="J4897" i="2"/>
  <c r="K5217" i="2"/>
  <c r="K5314" i="2"/>
  <c r="K4656" i="2"/>
  <c r="J4157" i="2"/>
  <c r="B218" i="24"/>
  <c r="B156" i="24"/>
  <c r="J2357" i="2"/>
  <c r="J1535" i="2"/>
  <c r="J1736" i="2"/>
  <c r="A111" i="13"/>
  <c r="K2137" i="2"/>
  <c r="A71" i="11"/>
  <c r="K4033" i="2"/>
  <c r="K5656" i="2"/>
  <c r="J2577" i="2"/>
  <c r="K2654" i="2"/>
  <c r="A198" i="8"/>
  <c r="J4915" i="2"/>
  <c r="K3153" i="2"/>
  <c r="K5316" i="2"/>
  <c r="J3595" i="2"/>
  <c r="A238" i="7"/>
  <c r="A116" i="11"/>
  <c r="J3235" i="2"/>
  <c r="J1473" i="2"/>
  <c r="K2393" i="2"/>
  <c r="K3756" i="2"/>
  <c r="J1496" i="2"/>
  <c r="K3937" i="2"/>
  <c r="B179" i="14"/>
  <c r="J1356" i="2"/>
  <c r="J1597" i="2"/>
  <c r="K3075" i="2"/>
  <c r="K4815" i="2"/>
  <c r="K5617" i="2"/>
  <c r="A155" i="9"/>
  <c r="J3556" i="2"/>
  <c r="J5277" i="2"/>
  <c r="A91" i="11"/>
  <c r="A118" i="1"/>
  <c r="K1436" i="2"/>
  <c r="J3933" i="2"/>
  <c r="J5857" i="2"/>
  <c r="K3336" i="2"/>
  <c r="A196" i="14"/>
  <c r="J1215" i="2"/>
  <c r="J5294" i="2"/>
  <c r="K4253" i="2"/>
  <c r="K1236" i="2"/>
  <c r="J5715" i="2"/>
  <c r="J2455" i="2"/>
  <c r="J4537" i="2"/>
  <c r="K5876" i="2"/>
  <c r="J3334" i="2"/>
  <c r="A171" i="10"/>
  <c r="K2554" i="2"/>
  <c r="J4454" i="2"/>
  <c r="J2375" i="2"/>
  <c r="A238" i="12"/>
  <c r="J3495" i="2"/>
  <c r="K5515" i="2"/>
  <c r="K3794" i="2"/>
  <c r="J4293" i="2"/>
  <c r="J3194" i="2"/>
  <c r="K4856" i="2"/>
  <c r="K2615" i="2"/>
  <c r="A119" i="8"/>
  <c r="K3177" i="2"/>
  <c r="J5216" i="2"/>
  <c r="K1757" i="2"/>
  <c r="J1993" i="2"/>
  <c r="J5036" i="2"/>
  <c r="J2437" i="2"/>
  <c r="B77" i="7"/>
  <c r="B238" i="8"/>
  <c r="K2276" i="2"/>
  <c r="J3677" i="2"/>
  <c r="K5194" i="2"/>
  <c r="K5235" i="2"/>
  <c r="J5737" i="2"/>
  <c r="K3973" i="2"/>
  <c r="K1675" i="2"/>
  <c r="J3874" i="2"/>
  <c r="J3276" i="2"/>
  <c r="K3374" i="2"/>
  <c r="K3795" i="2"/>
  <c r="K4834" i="2"/>
  <c r="K4094" i="2"/>
  <c r="K3816" i="2"/>
  <c r="K1654" i="2"/>
  <c r="K3316" i="2"/>
  <c r="A218" i="12"/>
  <c r="A51" i="1"/>
  <c r="A237" i="9"/>
  <c r="J1157" i="2"/>
  <c r="J5594" i="2"/>
  <c r="B98" i="9"/>
  <c r="K2157" i="2"/>
  <c r="K1573" i="2"/>
  <c r="J4416" i="2"/>
  <c r="K4977" i="2"/>
  <c r="K5437" i="2"/>
  <c r="K1715" i="2"/>
  <c r="J3296" i="2"/>
  <c r="K1337" i="2"/>
  <c r="K5875" i="2"/>
  <c r="J5414" i="2"/>
  <c r="K4157" i="2"/>
  <c r="J3193" i="2"/>
  <c r="J5396" i="2"/>
  <c r="K5097" i="2"/>
  <c r="J5595" i="2"/>
  <c r="K5997" i="2"/>
  <c r="J5914" i="2"/>
  <c r="K4855" i="2"/>
  <c r="K3016" i="2"/>
  <c r="J4354" i="2"/>
  <c r="K3994" i="2"/>
  <c r="A138" i="13"/>
  <c r="J5316" i="2"/>
  <c r="B235" i="33"/>
  <c r="A178" i="9"/>
  <c r="B158" i="20"/>
  <c r="K5313" i="2"/>
  <c r="J5397" i="2"/>
  <c r="K4495" i="2"/>
  <c r="J4516" i="2"/>
  <c r="A157" i="13"/>
  <c r="K5996" i="2"/>
  <c r="J1177" i="2"/>
  <c r="J4615" i="2"/>
  <c r="J5137" i="2"/>
  <c r="J1934" i="2"/>
  <c r="K3495" i="2"/>
  <c r="J2156" i="2"/>
  <c r="B238" i="13"/>
  <c r="K3936" i="2"/>
  <c r="K5276" i="2"/>
  <c r="K4997" i="2"/>
  <c r="K1737" i="2"/>
  <c r="K3893" i="2"/>
  <c r="A159" i="1"/>
  <c r="K5074" i="2"/>
  <c r="K4435" i="2"/>
  <c r="J4634" i="2"/>
  <c r="A158" i="13"/>
  <c r="K5796" i="2"/>
  <c r="K2355" i="2"/>
  <c r="A155" i="10"/>
  <c r="K4254" i="2"/>
  <c r="K2854" i="2"/>
  <c r="K3155" i="2"/>
  <c r="B177" i="20"/>
  <c r="J4433" i="2"/>
  <c r="J4955" i="2"/>
  <c r="K5937" i="2"/>
  <c r="J1237" i="2"/>
  <c r="J5014" i="2"/>
  <c r="J2275" i="2"/>
  <c r="B119" i="12"/>
  <c r="K2116" i="2"/>
  <c r="J2676" i="2"/>
  <c r="K3717" i="2"/>
  <c r="J4074" i="2"/>
  <c r="B98" i="8"/>
  <c r="J1997" i="2"/>
  <c r="J2174" i="2"/>
  <c r="A57" i="13"/>
  <c r="J2896" i="2"/>
  <c r="K4536" i="2"/>
  <c r="K2413" i="2"/>
  <c r="K2917" i="2"/>
  <c r="K5355" i="2"/>
  <c r="A238" i="9"/>
  <c r="K1756" i="2"/>
  <c r="J3513" i="2"/>
  <c r="J4814" i="2"/>
  <c r="K2697" i="2"/>
  <c r="J2956" i="2"/>
  <c r="A75" i="10"/>
  <c r="J2897" i="2"/>
  <c r="J3574" i="2"/>
  <c r="K1155" i="2"/>
  <c r="K5897" i="2"/>
  <c r="J2875" i="2"/>
  <c r="K4835" i="2"/>
  <c r="A116" i="1"/>
  <c r="K5936" i="2"/>
  <c r="K5296" i="2"/>
  <c r="J2937" i="2"/>
  <c r="K5334" i="2"/>
  <c r="K2494" i="2"/>
  <c r="J4476" i="2"/>
  <c r="J1697" i="2"/>
  <c r="J2615" i="2"/>
  <c r="K2375" i="2"/>
  <c r="J1213" i="2"/>
  <c r="K4354" i="2"/>
  <c r="J4976" i="2"/>
  <c r="K3195" i="2"/>
  <c r="A235" i="7"/>
  <c r="K3574" i="2"/>
  <c r="J2433" i="2"/>
  <c r="J1337" i="2"/>
  <c r="J5596" i="2"/>
  <c r="K3955" i="2"/>
  <c r="J3376" i="2"/>
  <c r="K2757" i="2"/>
  <c r="K4737" i="2"/>
  <c r="K1434" i="2"/>
  <c r="B238" i="3"/>
  <c r="K4935" i="2"/>
  <c r="J5593" i="2"/>
  <c r="A191" i="12"/>
  <c r="K5336" i="2"/>
  <c r="J3337" i="2"/>
  <c r="A175" i="14"/>
  <c r="K3597" i="2"/>
  <c r="A131" i="13"/>
  <c r="D105" i="16" s="1"/>
  <c r="K3634" i="2"/>
  <c r="K5755" i="2"/>
  <c r="J4295" i="2"/>
  <c r="K3735" i="2"/>
  <c r="K1594" i="2"/>
  <c r="J5094" i="2"/>
  <c r="K4095" i="2"/>
  <c r="K5496" i="2"/>
  <c r="K2297" i="2"/>
  <c r="A159" i="13"/>
  <c r="K1235" i="2"/>
  <c r="K2313" i="2"/>
  <c r="J1294" i="2"/>
  <c r="B98" i="7"/>
  <c r="J3675" i="2"/>
  <c r="J1336" i="2"/>
  <c r="K4197" i="2"/>
  <c r="J3775" i="2"/>
  <c r="K2633" i="2"/>
  <c r="K4396" i="2"/>
  <c r="A139" i="11"/>
  <c r="K2417" i="2"/>
  <c r="B57" i="7"/>
  <c r="K3715" i="2"/>
  <c r="J5475" i="2"/>
  <c r="K2677" i="2"/>
  <c r="J3796" i="2"/>
  <c r="K4993" i="2"/>
  <c r="J3057" i="2"/>
  <c r="J5297" i="2"/>
  <c r="K4513" i="2"/>
  <c r="J3294" i="2"/>
  <c r="K2237" i="2"/>
  <c r="K4336" i="2"/>
  <c r="K5836" i="2"/>
  <c r="K4517" i="2"/>
  <c r="J5074" i="2"/>
  <c r="B217" i="24"/>
  <c r="J2117" i="2"/>
  <c r="J5337" i="2"/>
  <c r="K5837" i="2"/>
  <c r="J1873" i="2"/>
  <c r="J3356" i="2"/>
  <c r="J4437" i="2"/>
  <c r="J3136" i="2"/>
  <c r="J3855" i="2"/>
  <c r="J3993" i="2"/>
  <c r="B218" i="8"/>
  <c r="A231" i="13"/>
  <c r="K3135" i="2"/>
  <c r="B217" i="20"/>
  <c r="K2357" i="2"/>
  <c r="K2176" i="2"/>
  <c r="J2075" i="2"/>
  <c r="K4337" i="2"/>
  <c r="A158" i="14"/>
  <c r="A79" i="7"/>
  <c r="J5356" i="2"/>
  <c r="K5093" i="2"/>
  <c r="J4916" i="2"/>
  <c r="J3995" i="2"/>
  <c r="K4177" i="2"/>
  <c r="B199" i="7"/>
  <c r="B175" i="7"/>
  <c r="A78" i="9"/>
  <c r="K2136" i="2"/>
  <c r="J2453" i="2"/>
  <c r="J2734" i="2"/>
  <c r="K1776" i="2"/>
  <c r="J4674" i="2"/>
  <c r="K5736" i="2"/>
  <c r="J2415" i="2"/>
  <c r="J2333" i="2"/>
  <c r="K3196" i="2"/>
  <c r="J1715" i="2"/>
  <c r="B178" i="3"/>
  <c r="K2077" i="2"/>
  <c r="J1375" i="2"/>
  <c r="A55" i="14"/>
  <c r="J1395" i="2"/>
  <c r="J3237" i="2"/>
  <c r="J4495" i="2"/>
  <c r="J2316" i="2"/>
  <c r="K4496" i="2"/>
  <c r="K3716" i="2"/>
  <c r="A119" i="3"/>
  <c r="B75" i="7"/>
  <c r="K2017" i="2"/>
  <c r="J3474" i="2"/>
  <c r="J1576" i="2"/>
  <c r="J1675" i="2"/>
  <c r="B57" i="14"/>
  <c r="B79" i="7"/>
  <c r="J1515" i="2"/>
  <c r="K4794" i="2"/>
  <c r="J1876" i="2"/>
  <c r="K1956" i="2"/>
  <c r="J2417" i="2"/>
  <c r="B138" i="10"/>
  <c r="K5555" i="2"/>
  <c r="J4717" i="2"/>
  <c r="J4457" i="2"/>
  <c r="K2793" i="2"/>
  <c r="J2976" i="2"/>
  <c r="A159" i="9"/>
  <c r="J2594" i="2"/>
  <c r="D91" i="16"/>
  <c r="J5977" i="2"/>
  <c r="A111" i="1"/>
  <c r="J2836" i="2"/>
  <c r="K3257" i="2"/>
  <c r="K2035" i="2"/>
  <c r="J5654" i="2"/>
  <c r="K4895" i="2"/>
  <c r="K5774" i="2"/>
  <c r="B77" i="14"/>
  <c r="K5553" i="2"/>
  <c r="J1613" i="2"/>
  <c r="B55" i="14"/>
  <c r="J5013" i="2"/>
  <c r="B97" i="9"/>
  <c r="K2553" i="2"/>
  <c r="A199" i="8"/>
  <c r="J5854" i="2"/>
  <c r="K5056" i="2"/>
  <c r="J2314" i="2"/>
  <c r="K3096" i="2"/>
  <c r="K1456" i="2"/>
  <c r="K5915" i="2"/>
  <c r="K3235" i="2"/>
  <c r="K3416" i="2"/>
  <c r="J1176" i="2"/>
  <c r="K4434" i="2"/>
  <c r="K3476" i="2"/>
  <c r="J1277" i="2"/>
  <c r="A96" i="7"/>
  <c r="B217" i="8"/>
  <c r="B218" i="20"/>
  <c r="J1334" i="2"/>
  <c r="K2576" i="2"/>
  <c r="B236" i="29"/>
  <c r="J5613" i="2"/>
  <c r="K3957" i="2"/>
  <c r="A155" i="11"/>
  <c r="A51" i="7"/>
  <c r="A198" i="12"/>
  <c r="A135" i="12"/>
  <c r="K5813" i="2"/>
  <c r="B239" i="13"/>
  <c r="J3514" i="2"/>
  <c r="K4233" i="2"/>
  <c r="J3355" i="2"/>
  <c r="J4197" i="2"/>
  <c r="J2756" i="2"/>
  <c r="J5254" i="2"/>
  <c r="J4794" i="2"/>
  <c r="J2374" i="2"/>
  <c r="J3835" i="2"/>
  <c r="K3396" i="2"/>
  <c r="J4675" i="2"/>
  <c r="J4517" i="2"/>
  <c r="K3897" i="2"/>
  <c r="J2533" i="2"/>
  <c r="K3594" i="2"/>
  <c r="K3536" i="2"/>
  <c r="B177" i="3"/>
  <c r="K1815" i="2"/>
  <c r="K2815" i="2"/>
  <c r="J4054" i="2"/>
  <c r="J3097" i="2"/>
  <c r="K3515" i="2"/>
  <c r="J1233" i="2"/>
  <c r="K1514" i="2"/>
  <c r="K4234" i="2"/>
  <c r="K2994" i="2"/>
  <c r="B237" i="29"/>
  <c r="J4055" i="2"/>
  <c r="B199" i="20"/>
  <c r="J4014" i="2"/>
  <c r="J2696" i="2"/>
  <c r="J5034" i="2"/>
  <c r="A97" i="3"/>
  <c r="A77" i="14"/>
  <c r="K5215" i="2"/>
  <c r="A231" i="1"/>
  <c r="B77" i="1"/>
  <c r="K2073" i="2"/>
  <c r="K4493" i="2"/>
  <c r="K5854" i="2"/>
  <c r="A158" i="3"/>
  <c r="B198" i="32"/>
  <c r="K3576" i="2"/>
  <c r="K1816" i="2"/>
  <c r="J3234" i="2"/>
  <c r="K4595" i="2"/>
  <c r="K2217" i="2"/>
  <c r="B177" i="24"/>
  <c r="B238" i="29"/>
  <c r="A155" i="8"/>
  <c r="K5277" i="2"/>
  <c r="K1175" i="2"/>
  <c r="K4155" i="2"/>
  <c r="J4057" i="2"/>
  <c r="B79" i="14"/>
  <c r="K3777" i="2"/>
  <c r="K3837" i="2"/>
  <c r="K1797" i="2"/>
  <c r="B97" i="10"/>
  <c r="A179" i="13"/>
  <c r="K4894" i="2"/>
  <c r="K4235" i="2"/>
  <c r="K2356" i="2"/>
  <c r="J5617" i="2"/>
  <c r="J1957" i="2"/>
  <c r="A58" i="8"/>
  <c r="A116" i="7"/>
  <c r="J4453" i="2"/>
  <c r="A211" i="1"/>
  <c r="A51" i="8"/>
  <c r="K5913" i="2"/>
  <c r="J1314" i="2"/>
  <c r="J1616" i="2"/>
  <c r="A237" i="3"/>
  <c r="K2737" i="2"/>
  <c r="J2295" i="2"/>
  <c r="A139" i="12"/>
  <c r="J3496" i="2"/>
  <c r="J5114" i="2"/>
  <c r="J4597" i="2"/>
  <c r="J5057" i="2"/>
  <c r="K2277" i="2"/>
  <c r="K5916" i="2"/>
  <c r="J1155" i="2"/>
  <c r="K2295" i="2"/>
  <c r="B196" i="24"/>
  <c r="J3534" i="2"/>
  <c r="J3977" i="2"/>
  <c r="J1656" i="2"/>
  <c r="A176" i="11"/>
  <c r="B155" i="20"/>
  <c r="K5853" i="2"/>
  <c r="J2634" i="2"/>
  <c r="A237" i="13"/>
  <c r="K3215" i="2"/>
  <c r="B138" i="20"/>
  <c r="A77" i="10"/>
  <c r="J2736" i="2"/>
  <c r="K3977" i="2"/>
  <c r="J3554" i="2"/>
  <c r="K4494" i="2"/>
  <c r="K5534" i="2"/>
  <c r="A78" i="11"/>
  <c r="J3915" i="2"/>
  <c r="J2815" i="2"/>
  <c r="K4655" i="2"/>
  <c r="K5497" i="2"/>
  <c r="K5017" i="2"/>
  <c r="K4957" i="2"/>
  <c r="J4753" i="2"/>
  <c r="J2335" i="2"/>
  <c r="J3517" i="2"/>
  <c r="G1128" i="2"/>
  <c r="A79" i="14"/>
  <c r="J3155" i="2"/>
  <c r="J3196" i="2"/>
  <c r="K1276" i="2"/>
  <c r="K1316" i="2"/>
  <c r="J2576" i="2"/>
  <c r="J1834" i="2"/>
  <c r="A238" i="8"/>
  <c r="J4013" i="2"/>
  <c r="K5156" i="2"/>
  <c r="K1973" i="2"/>
  <c r="J4095" i="2"/>
  <c r="K1357" i="2"/>
  <c r="J4816" i="2"/>
  <c r="J3536" i="2"/>
  <c r="B117" i="7"/>
  <c r="J1437" i="2"/>
  <c r="K1194" i="2"/>
  <c r="K4397" i="2"/>
  <c r="K4917" i="2"/>
  <c r="B79" i="9"/>
  <c r="K4316" i="2"/>
  <c r="K1557" i="2"/>
  <c r="J4296" i="2"/>
  <c r="B197" i="24"/>
  <c r="K2034" i="2"/>
  <c r="J2817" i="2"/>
  <c r="K3056" i="2"/>
  <c r="K5793" i="2"/>
  <c r="K5696" i="2"/>
  <c r="K1916" i="2"/>
  <c r="K5337" i="2"/>
  <c r="D94" i="16"/>
  <c r="J5576" i="2"/>
  <c r="B177" i="8"/>
  <c r="K1454" i="2"/>
  <c r="K4193" i="2"/>
  <c r="J3535" i="2"/>
  <c r="B58" i="1"/>
  <c r="J3157" i="2"/>
  <c r="J4317" i="2"/>
  <c r="J5235" i="2"/>
  <c r="A137" i="8"/>
  <c r="J1777" i="2"/>
  <c r="K3477" i="2"/>
  <c r="J1956" i="2"/>
  <c r="K3393" i="2"/>
  <c r="A177" i="10"/>
  <c r="J1174" i="2"/>
  <c r="K5135" i="2"/>
  <c r="K4896" i="2"/>
  <c r="J4137" i="2"/>
  <c r="J3795" i="2"/>
  <c r="K5077" i="2"/>
  <c r="J2757" i="2"/>
  <c r="J5457" i="2"/>
  <c r="K4454" i="2"/>
  <c r="J5015" i="2"/>
  <c r="K1317" i="2"/>
  <c r="B95" i="3"/>
  <c r="J3814" i="2"/>
  <c r="B98" i="12"/>
  <c r="J3856" i="2"/>
  <c r="A238" i="14"/>
  <c r="K1895" i="2"/>
  <c r="J5177" i="2"/>
  <c r="J1676" i="2"/>
  <c r="B219" i="14"/>
  <c r="A118" i="13"/>
  <c r="J3896" i="2"/>
  <c r="K2436" i="2"/>
  <c r="B79" i="3"/>
  <c r="B219" i="9"/>
  <c r="J4913" i="2"/>
  <c r="J3776" i="2"/>
  <c r="B159" i="13"/>
  <c r="J3437" i="2"/>
  <c r="K1437" i="2"/>
  <c r="K1793" i="2"/>
  <c r="J5856" i="2"/>
  <c r="J4755" i="2"/>
  <c r="K4117" i="2"/>
  <c r="B59" i="7"/>
  <c r="J3015" i="2"/>
  <c r="K1536" i="2"/>
  <c r="J3836" i="2"/>
  <c r="B157" i="3"/>
  <c r="K4873" i="2"/>
  <c r="J3094" i="2"/>
  <c r="K5175" i="2"/>
  <c r="K1775" i="2"/>
  <c r="K2653" i="2"/>
  <c r="A138" i="11"/>
  <c r="K4916" i="2"/>
  <c r="B77" i="11"/>
  <c r="K2477" i="2"/>
  <c r="K2957" i="2"/>
  <c r="K1993" i="2"/>
  <c r="K4376" i="2"/>
  <c r="K1955" i="2"/>
  <c r="K1237" i="2"/>
  <c r="J5917" i="2"/>
  <c r="K2097" i="2"/>
  <c r="B99" i="3"/>
  <c r="J3957" i="2"/>
  <c r="J4834" i="2"/>
  <c r="K2154" i="2"/>
  <c r="B79" i="12"/>
  <c r="J1753" i="2"/>
  <c r="J3756" i="2"/>
  <c r="A157" i="7"/>
  <c r="J3894" i="2"/>
  <c r="J5597" i="2"/>
  <c r="J5214" i="2"/>
  <c r="J5035" i="2"/>
  <c r="J4493" i="2"/>
  <c r="J1517" i="2"/>
  <c r="K2776" i="2"/>
  <c r="K4994" i="2"/>
  <c r="K4137" i="2"/>
  <c r="K5615" i="2"/>
  <c r="J5275" i="2"/>
  <c r="A157" i="14"/>
  <c r="K4516" i="2"/>
  <c r="J5513" i="2"/>
  <c r="A116" i="10"/>
  <c r="K3697" i="2"/>
  <c r="J1936" i="2"/>
  <c r="K5416" i="2"/>
  <c r="K5976" i="2"/>
  <c r="K5694" i="2"/>
  <c r="K5297" i="2"/>
  <c r="J1234" i="2"/>
  <c r="A135" i="11"/>
  <c r="B235" i="14"/>
  <c r="K1637" i="2"/>
  <c r="K2215" i="2"/>
  <c r="K3317" i="2"/>
  <c r="K1615" i="2"/>
  <c r="B219" i="24"/>
  <c r="K4257" i="2"/>
  <c r="J4777" i="2"/>
  <c r="K1576" i="2"/>
  <c r="K4457" i="2"/>
  <c r="K1176" i="2"/>
  <c r="B219" i="7"/>
  <c r="J2797" i="2"/>
  <c r="K3516" i="2"/>
  <c r="B138" i="3"/>
  <c r="K1157" i="2"/>
  <c r="J2036" i="2"/>
  <c r="J5196" i="2"/>
  <c r="K5674" i="2"/>
  <c r="J1917" i="2"/>
  <c r="K2054" i="2"/>
  <c r="J1797" i="2"/>
  <c r="J5115" i="2"/>
  <c r="A239" i="14"/>
  <c r="K2773" i="2"/>
  <c r="A197" i="1"/>
  <c r="K3334" i="2"/>
  <c r="J2416" i="2"/>
  <c r="J2037" i="2"/>
  <c r="J3317" i="2"/>
  <c r="K3635" i="2"/>
  <c r="J2076" i="2"/>
  <c r="K1735" i="2"/>
  <c r="K3357" i="2"/>
  <c r="K1777" i="2"/>
  <c r="K1356" i="2"/>
  <c r="J4974" i="2"/>
  <c r="B115" i="1"/>
  <c r="J1514" i="2"/>
  <c r="K5577" i="2"/>
  <c r="A138" i="12"/>
  <c r="J3917" i="2"/>
  <c r="K4757" i="2"/>
  <c r="J5815" i="2"/>
  <c r="K4697" i="2"/>
  <c r="B198" i="12"/>
  <c r="J4413" i="2"/>
  <c r="B179" i="8"/>
  <c r="B98" i="10"/>
  <c r="K1474" i="2"/>
  <c r="K3694" i="2"/>
  <c r="B238" i="7"/>
  <c r="J2877" i="2"/>
  <c r="K5396" i="2"/>
  <c r="A71" i="13"/>
  <c r="J2655" i="2"/>
  <c r="J3777" i="2"/>
  <c r="J5157" i="2"/>
  <c r="A118" i="9"/>
  <c r="K5974" i="2"/>
  <c r="B99" i="14"/>
  <c r="K3556" i="2"/>
  <c r="K1156" i="2"/>
  <c r="J4937" i="2"/>
  <c r="J3216" i="2"/>
  <c r="K5177" i="2"/>
  <c r="J3794" i="2"/>
  <c r="K2314" i="2"/>
  <c r="J3156" i="2"/>
  <c r="J4574" i="2"/>
  <c r="K3197" i="2"/>
  <c r="K2817" i="2"/>
  <c r="J3877" i="2"/>
  <c r="J1534" i="2"/>
  <c r="K2655" i="2"/>
  <c r="A198" i="3"/>
  <c r="A211" i="11"/>
  <c r="J3537" i="2"/>
  <c r="K5634" i="2"/>
  <c r="J5756" i="2"/>
  <c r="K4135" i="2"/>
  <c r="K2396" i="2"/>
  <c r="J4237" i="2"/>
  <c r="J5776" i="2"/>
  <c r="K2756" i="2"/>
  <c r="K1335" i="2"/>
  <c r="K1593" i="2"/>
  <c r="K3776" i="2"/>
  <c r="J2017" i="2"/>
  <c r="K5454" i="2"/>
  <c r="J3516" i="2"/>
  <c r="K2175" i="2"/>
  <c r="K1896" i="2"/>
  <c r="K5594" i="2"/>
  <c r="J3077" i="2"/>
  <c r="J5116" i="2"/>
  <c r="B239" i="14"/>
  <c r="K2416" i="2"/>
  <c r="A115" i="11"/>
  <c r="J5437" i="2"/>
  <c r="J1275" i="2"/>
  <c r="K5896" i="2"/>
  <c r="B178" i="10"/>
  <c r="J3037" i="2"/>
  <c r="K4936" i="2"/>
  <c r="J4376" i="2"/>
  <c r="K3417" i="2"/>
  <c r="J3635" i="2"/>
  <c r="D110" i="16"/>
  <c r="K4673" i="2"/>
  <c r="A99" i="11"/>
  <c r="K4814" i="2"/>
  <c r="J2216" i="2"/>
  <c r="A98" i="13"/>
  <c r="K1857" i="2"/>
  <c r="K3736" i="2"/>
  <c r="D137" i="16"/>
  <c r="J4856" i="2"/>
  <c r="K1495" i="2"/>
  <c r="J4076" i="2"/>
  <c r="J3454" i="2"/>
  <c r="K3277" i="2"/>
  <c r="B198" i="20"/>
  <c r="J5716" i="2"/>
  <c r="J1914" i="2"/>
  <c r="J2955" i="2"/>
  <c r="J1397" i="2"/>
  <c r="J1497" i="2"/>
  <c r="J2893" i="2"/>
  <c r="K2457" i="2"/>
  <c r="J5516" i="2"/>
  <c r="J1216" i="2"/>
  <c r="B238" i="24"/>
  <c r="K1154" i="2"/>
  <c r="J2635" i="2"/>
  <c r="A178" i="12"/>
  <c r="J4037" i="2"/>
  <c r="J4156" i="2"/>
  <c r="K3015" i="2"/>
  <c r="J3397" i="2"/>
  <c r="K3755" i="2"/>
  <c r="J4234" i="2"/>
  <c r="D72" i="16"/>
  <c r="J4395" i="2"/>
  <c r="B78" i="1"/>
  <c r="K1673" i="2"/>
  <c r="J3617" i="2"/>
  <c r="B237" i="8"/>
  <c r="K2216" i="2"/>
  <c r="K5717" i="2"/>
  <c r="A117" i="7"/>
  <c r="K1997" i="2"/>
  <c r="J2536" i="2"/>
  <c r="K3817" i="2"/>
  <c r="K4897" i="2"/>
  <c r="K4816" i="2"/>
  <c r="K1976" i="2"/>
  <c r="B178" i="7"/>
  <c r="J5953" i="2"/>
  <c r="J1897" i="2"/>
  <c r="J2194" i="2"/>
  <c r="A191" i="7"/>
  <c r="J5054" i="2"/>
  <c r="J3996" i="2"/>
  <c r="J1374" i="2"/>
  <c r="J4214" i="2"/>
  <c r="K5436" i="2"/>
  <c r="J3733" i="2"/>
  <c r="K2816" i="2"/>
  <c r="K2196" i="2"/>
  <c r="B215" i="24"/>
  <c r="B118" i="12"/>
  <c r="K3555" i="2"/>
  <c r="K3675" i="2"/>
  <c r="A239" i="13"/>
  <c r="B199" i="9"/>
  <c r="J5234" i="2"/>
  <c r="K4474" i="2"/>
  <c r="K1597" i="2"/>
  <c r="J2674" i="2"/>
  <c r="K2275" i="2"/>
  <c r="K5956" i="2"/>
  <c r="A135" i="7"/>
  <c r="J3755" i="2"/>
  <c r="A91" i="3"/>
  <c r="K3173" i="2"/>
  <c r="J3715" i="2"/>
  <c r="K5735" i="2"/>
  <c r="K5677" i="2"/>
  <c r="J1315" i="2"/>
  <c r="K4497" i="2"/>
  <c r="K2853" i="2"/>
  <c r="K4335" i="2"/>
  <c r="K1517" i="2"/>
  <c r="J5377" i="2"/>
  <c r="J2596" i="2"/>
  <c r="J3036" i="2"/>
  <c r="J2995" i="2"/>
  <c r="J3895" i="2"/>
  <c r="J4514" i="2"/>
  <c r="J5077" i="2"/>
  <c r="K4237" i="2"/>
  <c r="K4436" i="2"/>
  <c r="K1935" i="2"/>
  <c r="J5237" i="2"/>
  <c r="J5233" i="2"/>
  <c r="A78" i="8"/>
  <c r="J1154" i="2"/>
  <c r="K3796" i="2"/>
  <c r="B159" i="7"/>
  <c r="J3173" i="2"/>
  <c r="J3975" i="2"/>
  <c r="A55" i="11"/>
  <c r="B198" i="7"/>
  <c r="K5076" i="2"/>
  <c r="J1316" i="2"/>
  <c r="K4657" i="2"/>
  <c r="K2497" i="2"/>
  <c r="B179" i="24"/>
  <c r="K1996" i="2"/>
  <c r="K3757" i="2"/>
  <c r="J5676" i="2"/>
  <c r="J4756" i="2"/>
  <c r="K3133" i="2"/>
  <c r="A177" i="7"/>
  <c r="J2257" i="2"/>
  <c r="K1373" i="2"/>
  <c r="A136" i="14"/>
  <c r="J2876" i="2"/>
  <c r="J5317" i="2"/>
  <c r="A179" i="3"/>
  <c r="A231" i="8"/>
  <c r="J2034" i="2"/>
  <c r="K4236" i="2"/>
  <c r="K3174" i="2"/>
  <c r="J2554" i="2"/>
  <c r="J3217" i="2"/>
  <c r="K4575" i="2"/>
  <c r="K3355" i="2"/>
  <c r="K3996" i="2"/>
  <c r="J2053" i="2"/>
  <c r="J2694" i="2"/>
  <c r="A118" i="14"/>
  <c r="K5955" i="2"/>
  <c r="J4215" i="2"/>
  <c r="J4716" i="2"/>
  <c r="B197" i="29"/>
  <c r="A215" i="3"/>
  <c r="K2194" i="2"/>
  <c r="D61" i="16"/>
  <c r="J4513" i="2"/>
  <c r="K4415" i="2"/>
  <c r="J1815" i="2"/>
  <c r="B237" i="9"/>
  <c r="J3055" i="2"/>
  <c r="K1733" i="2"/>
  <c r="K2855" i="2"/>
  <c r="B239" i="24"/>
  <c r="J5637" i="2"/>
  <c r="D89" i="16"/>
  <c r="A75" i="3"/>
  <c r="K5777" i="2"/>
  <c r="K5095" i="2"/>
  <c r="J1434" i="2"/>
  <c r="J2936" i="2"/>
  <c r="K5213" i="2"/>
  <c r="J1416" i="2"/>
  <c r="J3117" i="2"/>
  <c r="J5537" i="2"/>
  <c r="K4416" i="2"/>
  <c r="K5216" i="2"/>
  <c r="A156" i="10"/>
  <c r="K5195" i="2"/>
  <c r="A159" i="12"/>
  <c r="K4317" i="2"/>
  <c r="A98" i="7"/>
  <c r="K3315" i="2"/>
  <c r="J3413" i="2"/>
  <c r="B99" i="11"/>
  <c r="J4555" i="2"/>
  <c r="K2574" i="2"/>
  <c r="J5855" i="2"/>
  <c r="B217" i="9"/>
  <c r="K2255" i="2"/>
  <c r="J1477" i="2"/>
  <c r="J1994" i="2"/>
  <c r="B238" i="12"/>
  <c r="K3076" i="2"/>
  <c r="J1677" i="2"/>
  <c r="K3157" i="2"/>
  <c r="J2113" i="2"/>
  <c r="J1614" i="2"/>
  <c r="J1853" i="2"/>
  <c r="J4056" i="2"/>
  <c r="J4736" i="2"/>
  <c r="J5717" i="2"/>
  <c r="K5035" i="2"/>
  <c r="A137" i="14"/>
  <c r="J1694" i="2"/>
  <c r="K2557" i="2"/>
  <c r="J5033" i="2"/>
  <c r="K4996" i="2"/>
  <c r="B119" i="14"/>
  <c r="B156" i="20"/>
  <c r="K2013" i="2"/>
  <c r="K5233" i="2"/>
  <c r="J5375" i="2"/>
  <c r="J4577" i="2"/>
  <c r="J1776" i="2"/>
  <c r="K4594" i="2"/>
  <c r="B155" i="24"/>
  <c r="J2157" i="2"/>
  <c r="J3553" i="2"/>
  <c r="J2057" i="2"/>
  <c r="J5133" i="2"/>
  <c r="J4355" i="2"/>
  <c r="K5556" i="2"/>
  <c r="J5295" i="2"/>
  <c r="K1353" i="2"/>
  <c r="K4615" i="2"/>
  <c r="J2954" i="2"/>
  <c r="J2135" i="2"/>
  <c r="K5136" i="2"/>
  <c r="K2716" i="2"/>
  <c r="A218" i="3"/>
  <c r="J4077" i="2"/>
  <c r="D138" i="16"/>
  <c r="K3853" i="2"/>
  <c r="J3837" i="2"/>
  <c r="B159" i="10"/>
  <c r="J5037" i="2"/>
  <c r="A139" i="7"/>
  <c r="J2154" i="2"/>
  <c r="K5557" i="2"/>
  <c r="K1277" i="2"/>
  <c r="K2117" i="2"/>
  <c r="K4775" i="2"/>
  <c r="J5517" i="2"/>
  <c r="K2875" i="2"/>
  <c r="J3476" i="2"/>
  <c r="K1856" i="2"/>
  <c r="K5273" i="2"/>
  <c r="J5395" i="2"/>
  <c r="J4857" i="2"/>
  <c r="K5635" i="2"/>
  <c r="B157" i="8"/>
  <c r="K5795" i="2"/>
  <c r="K5877" i="2"/>
  <c r="K2236" i="2"/>
  <c r="K2294" i="2"/>
  <c r="J5577" i="2"/>
  <c r="J4896" i="2"/>
  <c r="A215" i="7"/>
  <c r="A196" i="1"/>
  <c r="A136" i="8"/>
  <c r="K3617" i="2"/>
  <c r="J1977" i="2"/>
  <c r="J5534" i="2"/>
  <c r="K3797" i="2"/>
  <c r="J4757" i="2"/>
  <c r="K5835" i="2"/>
  <c r="K1633" i="2"/>
  <c r="J2217" i="2"/>
  <c r="A158" i="11"/>
  <c r="J3154" i="2"/>
  <c r="K2377" i="2"/>
  <c r="K2593" i="2"/>
  <c r="K3877" i="2"/>
  <c r="A75" i="14"/>
  <c r="K3116" i="2"/>
  <c r="J1657" i="2"/>
  <c r="K2835" i="2"/>
  <c r="K5613" i="2"/>
  <c r="K5377" i="2"/>
  <c r="J4175" i="2"/>
  <c r="J3335" i="2"/>
  <c r="J1915" i="2"/>
  <c r="J4015" i="2"/>
  <c r="B75" i="1"/>
  <c r="B236" i="32"/>
  <c r="B59" i="8"/>
  <c r="B118" i="8"/>
  <c r="J1297" i="2"/>
  <c r="K2894" i="2"/>
  <c r="J1816" i="2"/>
  <c r="J1354" i="2"/>
  <c r="K4256" i="2"/>
  <c r="K4176" i="2"/>
  <c r="J2035" i="2"/>
  <c r="J5093" i="2"/>
  <c r="J4017" i="2"/>
  <c r="K2777" i="2"/>
  <c r="J3936" i="2"/>
  <c r="J4653" i="2"/>
  <c r="K5057" i="2"/>
  <c r="J5016" i="2"/>
  <c r="K4576" i="2"/>
  <c r="K5657" i="2"/>
  <c r="B239" i="20"/>
  <c r="A217" i="12"/>
  <c r="J3854" i="2"/>
  <c r="K4616" i="2"/>
  <c r="J2714" i="2"/>
  <c r="A76" i="3"/>
  <c r="J4494" i="2"/>
  <c r="J3214" i="2"/>
  <c r="B158" i="11"/>
  <c r="K1596" i="2"/>
  <c r="K4035" i="2"/>
  <c r="K1754" i="2"/>
  <c r="K2274" i="2"/>
  <c r="J1696" i="2"/>
  <c r="J1673" i="2"/>
  <c r="K5096" i="2"/>
  <c r="J2494" i="2"/>
  <c r="J4655" i="2"/>
  <c r="J3615" i="2"/>
  <c r="K1376" i="2"/>
  <c r="J2336" i="2"/>
  <c r="J5217" i="2"/>
  <c r="J2237" i="2"/>
  <c r="A231" i="3"/>
  <c r="J5775" i="2"/>
  <c r="J2116" i="2"/>
  <c r="K4174" i="2"/>
  <c r="B237" i="24"/>
  <c r="B158" i="8"/>
  <c r="A71" i="3"/>
  <c r="J3577" i="2"/>
  <c r="J4177" i="2"/>
  <c r="J4977" i="2"/>
  <c r="K4714" i="2"/>
  <c r="K2614" i="2"/>
  <c r="K1617" i="2"/>
  <c r="J3816" i="2"/>
  <c r="K4696" i="2"/>
  <c r="J3396" i="2"/>
  <c r="K4636" i="2"/>
  <c r="B218" i="1"/>
  <c r="B217" i="1"/>
  <c r="J5156" i="2"/>
  <c r="D67" i="16"/>
  <c r="J3815" i="2"/>
  <c r="K1795" i="2"/>
  <c r="J3497" i="2"/>
  <c r="K2394" i="2"/>
  <c r="K4975" i="2"/>
  <c r="K3537" i="2"/>
  <c r="K5115" i="2"/>
  <c r="J4114" i="2"/>
  <c r="K4837" i="2"/>
  <c r="K4537" i="2"/>
  <c r="J1637" i="2"/>
  <c r="J1996" i="2"/>
  <c r="J3417" i="2"/>
  <c r="K2134" i="2"/>
  <c r="J3736" i="2"/>
  <c r="B198" i="3"/>
  <c r="J2236" i="2"/>
  <c r="J5257" i="2"/>
  <c r="D121" i="16"/>
  <c r="A71" i="9"/>
  <c r="A97" i="8"/>
  <c r="K4196" i="2"/>
  <c r="K4315" i="2"/>
  <c r="K3337" i="2"/>
  <c r="B77" i="8"/>
  <c r="K1693" i="2"/>
  <c r="J2337" i="2"/>
  <c r="K2996" i="2"/>
  <c r="K5253" i="2"/>
  <c r="K2337" i="2"/>
  <c r="J4217" i="2"/>
  <c r="J1835" i="2"/>
  <c r="A131" i="14"/>
  <c r="J3876" i="2"/>
  <c r="J5696" i="2"/>
  <c r="K2395" i="2"/>
  <c r="K2657" i="2"/>
  <c r="B176" i="24"/>
  <c r="J3014" i="2"/>
  <c r="J3955" i="2"/>
  <c r="K2036" i="2"/>
  <c r="J2656" i="2"/>
  <c r="J1757" i="2"/>
  <c r="K1957" i="2"/>
  <c r="A58" i="11"/>
  <c r="J5376" i="2"/>
  <c r="K3017" i="2"/>
  <c r="K1535" i="2"/>
  <c r="J2717" i="2"/>
  <c r="K3695" i="2"/>
  <c r="K1915" i="2"/>
  <c r="D77" i="16"/>
  <c r="J1916" i="2"/>
  <c r="J5755" i="2"/>
  <c r="K5957" i="2"/>
  <c r="A198" i="10"/>
  <c r="K2856" i="2"/>
  <c r="K1197" i="2"/>
  <c r="J4917" i="2"/>
  <c r="A75" i="9"/>
  <c r="J2796" i="2"/>
  <c r="J2913" i="2"/>
  <c r="J3833" i="2"/>
  <c r="J2397" i="2"/>
  <c r="J1655" i="2"/>
  <c r="J2254" i="2"/>
  <c r="K3497" i="2"/>
  <c r="K2636" i="2"/>
  <c r="A239" i="7"/>
  <c r="J1974" i="2"/>
  <c r="K5417" i="2"/>
  <c r="J1433" i="2"/>
  <c r="B59" i="9"/>
  <c r="A119" i="1"/>
  <c r="K4355" i="2"/>
  <c r="K1416" i="2"/>
  <c r="K4676" i="2"/>
  <c r="J1955" i="2"/>
  <c r="J4276" i="2"/>
  <c r="J1795" i="2"/>
  <c r="A175" i="10"/>
  <c r="K1393" i="2"/>
  <c r="J3737" i="2"/>
  <c r="J1197" i="2"/>
  <c r="D88" i="16"/>
  <c r="K1936" i="2"/>
  <c r="J5515" i="2"/>
  <c r="J3017" i="2"/>
  <c r="J2977" i="2"/>
  <c r="K1657" i="2"/>
  <c r="J4274" i="2"/>
  <c r="A177" i="3"/>
  <c r="J2197" i="2"/>
  <c r="K4937" i="2"/>
  <c r="K1336" i="2"/>
  <c r="J5894" i="2"/>
  <c r="K1354" i="2"/>
  <c r="K5596" i="2"/>
  <c r="J4853" i="2"/>
  <c r="B219" i="20"/>
  <c r="K3455" i="2"/>
  <c r="J2996" i="2"/>
  <c r="K1837" i="2"/>
  <c r="K4417" i="2"/>
  <c r="A58" i="10"/>
  <c r="K4114" i="2"/>
  <c r="J3316" i="2"/>
  <c r="J4314" i="2"/>
  <c r="K3876" i="2"/>
  <c r="J5336" i="2"/>
  <c r="K3077" i="2"/>
  <c r="J4075" i="2"/>
  <c r="B216" i="24"/>
  <c r="J4595" i="2"/>
  <c r="A239" i="1"/>
  <c r="J2633" i="2"/>
  <c r="K3117" i="2"/>
  <c r="J1257" i="2"/>
  <c r="A56" i="8"/>
  <c r="K3914" i="2"/>
  <c r="K3815" i="2"/>
  <c r="A179" i="1"/>
  <c r="K2837" i="2"/>
  <c r="J5155" i="2"/>
  <c r="K5975" i="2"/>
  <c r="J5916" i="2"/>
  <c r="B237" i="10"/>
  <c r="K4735" i="2"/>
  <c r="J1794" i="2"/>
  <c r="J5657" i="2"/>
  <c r="K5116" i="2"/>
  <c r="K3775" i="2"/>
  <c r="K3377" i="2"/>
  <c r="K3494" i="2"/>
  <c r="K2037" i="2"/>
  <c r="K1697" i="2"/>
  <c r="J3377" i="2"/>
  <c r="J5836" i="2"/>
  <c r="J2495" i="2"/>
  <c r="K1977" i="2"/>
  <c r="K5934" i="2"/>
  <c r="K5676" i="2"/>
  <c r="B78" i="7"/>
  <c r="J1453" i="2"/>
  <c r="J4133" i="2"/>
  <c r="J2436" i="2"/>
  <c r="J4377" i="2"/>
  <c r="J2093" i="2"/>
  <c r="A158" i="10"/>
  <c r="J1255" i="2"/>
  <c r="J2837" i="2"/>
  <c r="A56" i="7"/>
  <c r="J3817" i="2"/>
  <c r="J1595" i="2"/>
  <c r="K1995" i="2"/>
  <c r="K5597" i="2"/>
  <c r="J4715" i="2"/>
  <c r="K3034" i="2"/>
  <c r="K1537" i="2"/>
  <c r="B159" i="14"/>
  <c r="K1257" i="2"/>
  <c r="B138" i="13"/>
  <c r="K3857" i="2"/>
  <c r="D154" i="16"/>
  <c r="J3393" i="2"/>
  <c r="J4575" i="2"/>
  <c r="J3656" i="2"/>
  <c r="J4236" i="2"/>
  <c r="A137" i="7"/>
  <c r="A75" i="12"/>
  <c r="K1215" i="2"/>
  <c r="J2434" i="2"/>
  <c r="K1295" i="2"/>
  <c r="K2696" i="2"/>
  <c r="A96" i="8"/>
  <c r="K5756" i="2"/>
  <c r="B135" i="3"/>
  <c r="J1837" i="2"/>
  <c r="J1455" i="2"/>
  <c r="J1896" i="2"/>
  <c r="J4576" i="2"/>
  <c r="K5034" i="2"/>
  <c r="J2997" i="2"/>
  <c r="K1636" i="2"/>
  <c r="A131" i="11"/>
  <c r="D126" i="16" s="1"/>
  <c r="K2234" i="2"/>
  <c r="J4894" i="2"/>
  <c r="J3277" i="2"/>
  <c r="K2914" i="2"/>
  <c r="A178" i="1"/>
  <c r="A59" i="3"/>
  <c r="K2257" i="2"/>
  <c r="J4335" i="2"/>
  <c r="K1497" i="2"/>
  <c r="J3035" i="2"/>
  <c r="J2874" i="2"/>
  <c r="B99" i="7"/>
  <c r="J5053" i="2"/>
  <c r="B57" i="13"/>
  <c r="J5997" i="2"/>
  <c r="K2997" i="2"/>
  <c r="K2354" i="2"/>
  <c r="J1617" i="2"/>
  <c r="K1717" i="2"/>
  <c r="J1414" i="2"/>
  <c r="J3616" i="2"/>
  <c r="B157" i="9"/>
  <c r="K3856" i="2"/>
  <c r="K3354" i="2"/>
  <c r="K4755" i="2"/>
  <c r="B139" i="11"/>
  <c r="K4277" i="2"/>
  <c r="B119" i="3"/>
  <c r="J3477" i="2"/>
  <c r="K1814" i="2"/>
  <c r="J5097" i="2"/>
  <c r="B178" i="20"/>
  <c r="K4557" i="2"/>
  <c r="A197" i="3"/>
  <c r="J5256" i="2"/>
  <c r="J4254" i="2"/>
  <c r="K2155" i="2"/>
  <c r="K1275" i="2"/>
  <c r="J1975" i="2"/>
  <c r="K5477" i="2"/>
  <c r="B157" i="1"/>
  <c r="J5435" i="2"/>
  <c r="K4914" i="2"/>
  <c r="J2895" i="2"/>
  <c r="K2335" i="2"/>
  <c r="B195" i="33"/>
  <c r="K1917" i="2"/>
  <c r="K4715" i="2"/>
  <c r="K2936" i="2"/>
  <c r="K4113" i="2"/>
  <c r="J1756" i="2"/>
  <c r="K4313" i="2"/>
  <c r="J5814" i="2"/>
  <c r="A197" i="14"/>
  <c r="K2715" i="2"/>
  <c r="J3137" i="2"/>
  <c r="K2695" i="2"/>
  <c r="J2255" i="2"/>
  <c r="K2896" i="2"/>
  <c r="J5197" i="2"/>
  <c r="K4593" i="2"/>
  <c r="A171" i="14"/>
  <c r="J3637" i="2"/>
  <c r="K4574" i="2"/>
  <c r="K5855" i="2"/>
  <c r="J1877" i="2"/>
  <c r="B157" i="12"/>
  <c r="K2256" i="2"/>
  <c r="J2376" i="2"/>
  <c r="J2537" i="2"/>
  <c r="K3935" i="2"/>
  <c r="K3033" i="2"/>
  <c r="K2235" i="2"/>
  <c r="K3595" i="2"/>
  <c r="J3177" i="2"/>
  <c r="J3113" i="2"/>
  <c r="K1174" i="2"/>
  <c r="K4217" i="2"/>
  <c r="K2534" i="2"/>
  <c r="A199" i="13"/>
  <c r="K3637" i="2"/>
  <c r="K3557" i="2"/>
  <c r="A219" i="7"/>
  <c r="K1476" i="2"/>
  <c r="K2057" i="2"/>
  <c r="J1557" i="2"/>
  <c r="K4314" i="2"/>
  <c r="K3095" i="2"/>
  <c r="J2777" i="2"/>
  <c r="A96" i="3"/>
  <c r="J1236" i="2"/>
  <c r="A217" i="3"/>
  <c r="B119" i="1"/>
  <c r="K2795" i="2"/>
  <c r="A115" i="8"/>
  <c r="A76" i="9"/>
  <c r="J5896" i="2"/>
  <c r="B77" i="10"/>
  <c r="J3633" i="2"/>
  <c r="B195" i="20"/>
  <c r="J3313" i="2"/>
  <c r="K2415" i="2"/>
  <c r="K1736" i="2"/>
  <c r="J5293" i="2"/>
  <c r="J3056" i="2"/>
  <c r="J2716" i="2"/>
  <c r="A99" i="1"/>
  <c r="J4737" i="2"/>
  <c r="K1177" i="2"/>
  <c r="J2137" i="2"/>
  <c r="G968" i="2"/>
  <c r="A138" i="8"/>
  <c r="A156" i="9"/>
  <c r="J4997" i="2"/>
  <c r="B199" i="24"/>
  <c r="K4796" i="2"/>
  <c r="K5476" i="2"/>
  <c r="J4657" i="2"/>
  <c r="J2556" i="2"/>
  <c r="J2573" i="2"/>
  <c r="K2734" i="2"/>
  <c r="J5497" i="2"/>
  <c r="J2657" i="2"/>
  <c r="J5795" i="2"/>
  <c r="B77" i="13"/>
  <c r="J4617" i="2"/>
  <c r="K5636" i="2"/>
  <c r="A59" i="13"/>
  <c r="K3616" i="2"/>
  <c r="K3895" i="2"/>
  <c r="K3636" i="2"/>
  <c r="J2353" i="2"/>
  <c r="J5557" i="2"/>
  <c r="J5877" i="2"/>
  <c r="K5816" i="2"/>
  <c r="K1676" i="2"/>
  <c r="J4117" i="2"/>
  <c r="K3656" i="2"/>
  <c r="K2736" i="2"/>
  <c r="J2096" i="2"/>
  <c r="K2575" i="2"/>
  <c r="K5037" i="2"/>
  <c r="A197" i="10"/>
  <c r="A135" i="10"/>
  <c r="K1297" i="2"/>
  <c r="J3797" i="2"/>
  <c r="J4235" i="2"/>
  <c r="A158" i="12"/>
  <c r="K1214" i="2"/>
  <c r="K4617" i="2"/>
  <c r="A217" i="10"/>
  <c r="J3174" i="2"/>
  <c r="K3995" i="2"/>
  <c r="K3753" i="2"/>
  <c r="J5975" i="2"/>
  <c r="B57" i="1"/>
  <c r="A118" i="12"/>
  <c r="K2995" i="2"/>
  <c r="K1417" i="2"/>
  <c r="K4597" i="2"/>
  <c r="K2455" i="2"/>
  <c r="K4677" i="2"/>
  <c r="J2396" i="2"/>
  <c r="J5417" i="2"/>
  <c r="J5834" i="2"/>
  <c r="J4155" i="2"/>
  <c r="K2797" i="2"/>
  <c r="K5414" i="2"/>
  <c r="K2976" i="2"/>
  <c r="K2075" i="2"/>
  <c r="K2635" i="2"/>
  <c r="D143" i="16"/>
  <c r="D79" i="16"/>
  <c r="A141" i="12" l="1"/>
  <c r="A181" i="12"/>
  <c r="A161" i="8"/>
  <c r="G969" i="2"/>
  <c r="G970" i="2" s="1"/>
  <c r="A201" i="1"/>
  <c r="A181" i="10"/>
  <c r="A81" i="10"/>
  <c r="A221" i="10"/>
  <c r="A81" i="11"/>
  <c r="A181" i="11"/>
  <c r="A241" i="3"/>
  <c r="A121" i="7"/>
  <c r="A141" i="14"/>
  <c r="A101" i="8"/>
  <c r="A201" i="12"/>
  <c r="A121" i="13"/>
  <c r="A221" i="3"/>
  <c r="A141" i="9"/>
  <c r="A161" i="12"/>
  <c r="A161" i="11"/>
  <c r="A141" i="13"/>
  <c r="G1129" i="2"/>
  <c r="G1130" i="2" s="1"/>
  <c r="A101" i="11"/>
  <c r="A81" i="8"/>
  <c r="A181" i="3"/>
  <c r="A221" i="12"/>
  <c r="A101" i="9"/>
  <c r="A181" i="14"/>
  <c r="A181" i="13"/>
  <c r="A201" i="9"/>
  <c r="A161" i="13"/>
  <c r="A241" i="12"/>
  <c r="A141" i="1"/>
  <c r="A221" i="8"/>
  <c r="A101" i="10"/>
  <c r="A201" i="7"/>
  <c r="A161" i="1"/>
  <c r="A241" i="14"/>
  <c r="A241" i="13"/>
  <c r="A101" i="1"/>
  <c r="A161" i="14"/>
  <c r="A121" i="12"/>
  <c r="A141" i="8"/>
  <c r="A161" i="10"/>
  <c r="G1009" i="2"/>
  <c r="G1010" i="2" s="1"/>
  <c r="A121" i="14"/>
  <c r="A241" i="11"/>
  <c r="G1069" i="2"/>
  <c r="G1070" i="2" s="1"/>
  <c r="A121" i="10"/>
  <c r="A101" i="14"/>
  <c r="G1089" i="2"/>
  <c r="G1090" i="2" s="1"/>
  <c r="G1029" i="2"/>
  <c r="G1030" i="2" s="1"/>
  <c r="A101" i="12"/>
  <c r="A241" i="9"/>
  <c r="G989" i="2"/>
  <c r="G990" i="2" s="1"/>
  <c r="A101" i="13"/>
  <c r="A201" i="3"/>
  <c r="A161" i="9"/>
  <c r="A141" i="11"/>
  <c r="A121" i="11"/>
  <c r="A141" i="3"/>
  <c r="A241" i="1"/>
  <c r="A161" i="7"/>
  <c r="A101" i="7"/>
  <c r="A221" i="7"/>
  <c r="A141" i="10"/>
  <c r="A201" i="14"/>
  <c r="A81" i="7"/>
  <c r="A121" i="8"/>
  <c r="G1049" i="2"/>
  <c r="G1050" i="2" s="1"/>
  <c r="A81" i="3"/>
  <c r="A81" i="9"/>
  <c r="A201" i="11"/>
  <c r="A181" i="1"/>
  <c r="A181" i="9"/>
  <c r="A81" i="12"/>
  <c r="A121" i="1"/>
  <c r="A241" i="8"/>
  <c r="A81" i="13"/>
  <c r="A201" i="10"/>
  <c r="A221" i="13"/>
  <c r="A201" i="8"/>
  <c r="A241" i="10"/>
  <c r="A221" i="14"/>
  <c r="A181" i="8"/>
  <c r="A141" i="7"/>
  <c r="A161" i="3"/>
  <c r="A221" i="9"/>
  <c r="A121" i="3"/>
  <c r="A81" i="14"/>
  <c r="A101" i="3"/>
  <c r="G1109" i="2"/>
  <c r="A241" i="7"/>
  <c r="A221" i="1"/>
  <c r="G949" i="2"/>
  <c r="G950" i="2" s="1"/>
  <c r="A201" i="24"/>
  <c r="A221" i="11"/>
  <c r="A181" i="7"/>
  <c r="A121" i="9"/>
  <c r="A201" i="13"/>
  <c r="I949" i="2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A241" i="24"/>
  <c r="I1009" i="2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A141" i="24"/>
  <c r="I1029" i="2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A161" i="24"/>
  <c r="A141" i="20"/>
  <c r="A181" i="20"/>
  <c r="A241" i="20"/>
  <c r="A81" i="24"/>
  <c r="I969" i="2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A181" i="24"/>
  <c r="A201" i="20"/>
  <c r="A81" i="20"/>
  <c r="I989" i="2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A121" i="24"/>
  <c r="A221" i="24"/>
  <c r="A101" i="24"/>
  <c r="A221" i="20"/>
  <c r="A121" i="20"/>
  <c r="A161" i="20"/>
  <c r="A101" i="20"/>
  <c r="G1110" i="2"/>
  <c r="G991" i="2"/>
  <c r="G1011" i="2"/>
  <c r="G951" i="2"/>
  <c r="G971" i="2"/>
  <c r="G1091" i="2"/>
  <c r="G2680" i="2"/>
  <c r="G5260" i="2"/>
  <c r="G3400" i="2"/>
  <c r="G4520" i="2"/>
  <c r="G1400" i="2"/>
  <c r="G1300" i="2"/>
  <c r="G1580" i="2"/>
  <c r="G4140" i="2"/>
  <c r="G3440" i="2"/>
  <c r="G4280" i="2"/>
  <c r="G4940" i="2"/>
  <c r="G1500" i="2"/>
  <c r="G3480" i="2"/>
  <c r="G3240" i="2"/>
  <c r="G1940" i="2"/>
  <c r="G4240" i="2"/>
  <c r="G5420" i="2"/>
  <c r="G1200" i="2"/>
  <c r="G4420" i="2"/>
  <c r="G5600" i="2"/>
  <c r="G2800" i="2"/>
  <c r="G3900" i="2"/>
  <c r="G2900" i="2"/>
  <c r="G5080" i="2"/>
  <c r="G3780" i="2"/>
  <c r="G5660" i="2"/>
  <c r="G1160" i="2"/>
  <c r="G5160" i="2"/>
  <c r="G1900" i="2"/>
  <c r="G2240" i="2"/>
  <c r="G5380" i="2"/>
  <c r="G5580" i="2"/>
  <c r="G1720" i="2"/>
  <c r="G2960" i="2"/>
  <c r="G5060" i="2"/>
  <c r="G3420" i="2"/>
  <c r="G2880" i="2"/>
  <c r="G3720" i="2"/>
  <c r="G3620" i="2"/>
  <c r="G5300" i="2"/>
  <c r="G5820" i="2"/>
  <c r="G5020" i="2"/>
  <c r="G3920" i="2"/>
  <c r="G3180" i="2"/>
  <c r="G5780" i="2"/>
  <c r="G4020" i="2"/>
  <c r="G1740" i="2"/>
  <c r="G1560" i="2"/>
  <c r="G5360" i="2"/>
  <c r="G1620" i="2"/>
  <c r="G1440" i="2"/>
  <c r="G4960" i="2"/>
  <c r="G5740" i="2"/>
  <c r="G5980" i="2"/>
  <c r="G1920" i="2"/>
  <c r="G1360" i="2"/>
  <c r="G3060" i="2"/>
  <c r="G4760" i="2"/>
  <c r="G5920" i="2"/>
  <c r="G3380" i="2"/>
  <c r="G4920" i="2"/>
  <c r="G4220" i="2"/>
  <c r="G2400" i="2"/>
  <c r="G1660" i="2"/>
  <c r="G5960" i="2"/>
  <c r="G3740" i="2"/>
  <c r="G4320" i="2"/>
  <c r="G5640" i="2"/>
  <c r="G4340" i="2"/>
  <c r="G3020" i="2"/>
  <c r="G4900" i="2"/>
  <c r="G3860" i="2"/>
  <c r="G2380" i="2"/>
  <c r="G5880" i="2"/>
  <c r="G4500" i="2"/>
  <c r="G5900" i="2"/>
  <c r="G5000" i="2"/>
  <c r="G5100" i="2"/>
  <c r="G3540" i="2"/>
  <c r="G2200" i="2"/>
  <c r="G2860" i="2"/>
  <c r="G1280" i="2"/>
  <c r="G4540" i="2"/>
  <c r="G2840" i="2"/>
  <c r="G4780" i="2"/>
  <c r="G2520" i="2"/>
  <c r="G4560" i="2"/>
  <c r="G2020" i="2"/>
  <c r="G5520" i="2"/>
  <c r="G5180" i="2"/>
  <c r="G2780" i="2"/>
  <c r="G4200" i="2"/>
  <c r="G3280" i="2"/>
  <c r="G2760" i="2"/>
  <c r="G5040" i="2"/>
  <c r="G4480" i="2"/>
  <c r="G2560" i="2"/>
  <c r="G4860" i="2"/>
  <c r="G2480" i="2"/>
  <c r="G4440" i="2"/>
  <c r="G4060" i="2"/>
  <c r="G5500" i="2"/>
  <c r="G3260" i="2"/>
  <c r="G5220" i="2"/>
  <c r="G1340" i="2"/>
  <c r="G1260" i="2"/>
  <c r="G2280" i="2"/>
  <c r="G3120" i="2"/>
  <c r="G1380" i="2"/>
  <c r="G2540" i="2"/>
  <c r="G3040" i="2"/>
  <c r="G4260" i="2"/>
  <c r="G4380" i="2"/>
  <c r="G1700" i="2"/>
  <c r="G2600" i="2"/>
  <c r="G4840" i="2"/>
  <c r="G2220" i="2"/>
  <c r="G2120" i="2"/>
  <c r="G3340" i="2"/>
  <c r="G1980" i="2"/>
  <c r="G3140" i="2"/>
  <c r="G1420" i="2"/>
  <c r="G3520" i="2"/>
  <c r="G3160" i="2"/>
  <c r="G1960" i="2"/>
  <c r="G5340" i="2"/>
  <c r="G4700" i="2"/>
  <c r="G3360" i="2"/>
  <c r="G2460" i="2"/>
  <c r="G2740" i="2"/>
  <c r="G3600" i="2"/>
  <c r="G5120" i="2"/>
  <c r="G1640" i="2"/>
  <c r="G3500" i="2"/>
  <c r="G2040" i="2"/>
  <c r="G3460" i="2"/>
  <c r="G5940" i="2"/>
  <c r="G2700" i="2"/>
  <c r="G2260" i="2"/>
  <c r="G4720" i="2"/>
  <c r="G4100" i="2"/>
  <c r="G5460" i="2"/>
  <c r="G2980" i="2"/>
  <c r="G4000" i="2"/>
  <c r="G4300" i="2"/>
  <c r="G1760" i="2"/>
  <c r="G4980" i="2"/>
  <c r="G3080" i="2"/>
  <c r="G5700" i="2"/>
  <c r="G4600" i="2"/>
  <c r="G3220" i="2"/>
  <c r="G3700" i="2"/>
  <c r="G3940" i="2"/>
  <c r="G5840" i="2"/>
  <c r="G4680" i="2"/>
  <c r="G2000" i="2"/>
  <c r="G2300" i="2"/>
  <c r="G2320" i="2"/>
  <c r="G4880" i="2"/>
  <c r="G2160" i="2"/>
  <c r="G3000" i="2"/>
  <c r="G1600" i="2"/>
  <c r="G5320" i="2"/>
  <c r="G3820" i="2"/>
  <c r="G1820" i="2"/>
  <c r="G4580" i="2"/>
  <c r="G2640" i="2"/>
  <c r="G2820" i="2"/>
  <c r="G2920" i="2"/>
  <c r="G5400" i="2"/>
  <c r="G5800" i="2"/>
  <c r="G1180" i="2"/>
  <c r="G5680" i="2"/>
  <c r="G4400" i="2"/>
  <c r="G5720" i="2"/>
  <c r="G1780" i="2"/>
  <c r="G5140" i="2"/>
  <c r="G3660" i="2"/>
  <c r="G1680" i="2"/>
  <c r="G3580" i="2"/>
  <c r="G3300" i="2"/>
  <c r="G1480" i="2"/>
  <c r="G5480" i="2"/>
  <c r="G2440" i="2"/>
  <c r="G1840" i="2"/>
  <c r="G4360" i="2"/>
  <c r="G1460" i="2"/>
  <c r="G6000" i="2"/>
  <c r="G4740" i="2"/>
  <c r="G5860" i="2"/>
  <c r="G4180" i="2"/>
  <c r="G2100" i="2"/>
  <c r="G3980" i="2"/>
  <c r="G2340" i="2"/>
  <c r="G5540" i="2"/>
  <c r="G3640" i="2"/>
  <c r="G3800" i="2"/>
  <c r="G2940" i="2"/>
  <c r="G3200" i="2"/>
  <c r="G2660" i="2"/>
  <c r="G2420" i="2"/>
  <c r="G4660" i="2"/>
  <c r="G2060" i="2"/>
  <c r="G5620" i="2"/>
  <c r="G1240" i="2"/>
  <c r="G1860" i="2"/>
  <c r="G2720" i="2"/>
  <c r="G4080" i="2"/>
  <c r="G5440" i="2"/>
  <c r="G2140" i="2"/>
  <c r="G3840" i="2"/>
  <c r="G4640" i="2"/>
  <c r="G1520" i="2"/>
  <c r="G1540" i="2"/>
  <c r="G3960" i="2"/>
  <c r="G1320" i="2"/>
  <c r="G4460" i="2"/>
  <c r="G2180" i="2"/>
  <c r="G5280" i="2"/>
  <c r="G2080" i="2"/>
  <c r="G5560" i="2"/>
  <c r="G1880" i="2"/>
  <c r="G5760" i="2"/>
  <c r="G1220" i="2"/>
  <c r="G4620" i="2"/>
  <c r="G4120" i="2"/>
  <c r="G2620" i="2"/>
  <c r="G4040" i="2"/>
  <c r="G2360" i="2"/>
  <c r="G3320" i="2"/>
  <c r="G3680" i="2"/>
  <c r="G2580" i="2"/>
  <c r="G1800" i="2"/>
  <c r="G4160" i="2"/>
  <c r="G4820" i="2"/>
  <c r="G5240" i="2"/>
  <c r="G4800" i="2"/>
  <c r="G3100" i="2"/>
  <c r="G2500" i="2"/>
  <c r="G5200" i="2"/>
  <c r="G3560" i="2"/>
  <c r="G3880" i="2"/>
  <c r="G3760" i="2"/>
  <c r="AL23" i="14"/>
  <c r="AL23" i="13"/>
  <c r="AL23" i="12"/>
  <c r="AM23" i="12"/>
  <c r="AX23" i="11"/>
  <c r="AL23" i="11"/>
  <c r="AL23" i="10"/>
  <c r="AM23" i="10"/>
  <c r="BK23" i="9"/>
  <c r="BJ23" i="9"/>
  <c r="AM23" i="9"/>
  <c r="BJ23" i="7"/>
  <c r="AL23" i="7"/>
  <c r="AM23" i="7"/>
  <c r="AL23" i="3"/>
  <c r="N25" i="3" s="1"/>
  <c r="Y23" i="8"/>
  <c r="M24" i="8" s="1"/>
  <c r="Z10" i="8"/>
  <c r="Z11" i="8" s="1"/>
  <c r="AA9" i="8"/>
  <c r="AA10" i="8" s="1"/>
  <c r="AA11" i="8" s="1"/>
  <c r="Z21" i="8"/>
  <c r="Z22" i="8" s="1"/>
  <c r="AA20" i="8"/>
  <c r="AA21" i="8" s="1"/>
  <c r="AA22" i="8" s="1"/>
  <c r="Z21" i="14"/>
  <c r="Z22" i="14" s="1"/>
  <c r="AA20" i="14"/>
  <c r="AA21" i="14" s="1"/>
  <c r="AA22" i="14" s="1"/>
  <c r="AA23" i="14" s="1"/>
  <c r="Z10" i="14"/>
  <c r="Z11" i="14" s="1"/>
  <c r="AA9" i="14"/>
  <c r="AA10" i="14" s="1"/>
  <c r="AA11" i="14" s="1"/>
  <c r="Z10" i="12"/>
  <c r="Z11" i="12" s="1"/>
  <c r="AA9" i="12"/>
  <c r="AA10" i="12" s="1"/>
  <c r="AA11" i="12" s="1"/>
  <c r="Z21" i="12"/>
  <c r="Z22" i="12" s="1"/>
  <c r="AA20" i="12"/>
  <c r="AA21" i="12" s="1"/>
  <c r="AA22" i="12" s="1"/>
  <c r="Z10" i="11"/>
  <c r="Z11" i="11" s="1"/>
  <c r="AA9" i="11"/>
  <c r="AA10" i="11" s="1"/>
  <c r="AA11" i="11" s="1"/>
  <c r="Y23" i="11"/>
  <c r="M24" i="11" s="1"/>
  <c r="Z21" i="11"/>
  <c r="Z22" i="11" s="1"/>
  <c r="AA20" i="11"/>
  <c r="AA21" i="11" s="1"/>
  <c r="AA22" i="11" s="1"/>
  <c r="Z10" i="10"/>
  <c r="Z11" i="10" s="1"/>
  <c r="Z23" i="10" s="1"/>
  <c r="AA9" i="10"/>
  <c r="AA10" i="10" s="1"/>
  <c r="AA11" i="10" s="1"/>
  <c r="AA23" i="10" s="1"/>
  <c r="Z21" i="9"/>
  <c r="Z22" i="9" s="1"/>
  <c r="AA20" i="9"/>
  <c r="AA21" i="9" s="1"/>
  <c r="AA22" i="9" s="1"/>
  <c r="Z10" i="9"/>
  <c r="Z11" i="9" s="1"/>
  <c r="AA9" i="9"/>
  <c r="AA10" i="9" s="1"/>
  <c r="AA11" i="9" s="1"/>
  <c r="H10" i="8"/>
  <c r="H11" i="8" s="1"/>
  <c r="H21" i="8"/>
  <c r="H22" i="8" s="1"/>
  <c r="H10" i="10"/>
  <c r="H11" i="10" s="1"/>
  <c r="H21" i="10"/>
  <c r="H22" i="10" s="1"/>
  <c r="H21" i="11"/>
  <c r="H22" i="11" s="1"/>
  <c r="H10" i="13"/>
  <c r="H11" i="13" s="1"/>
  <c r="J17" i="13"/>
  <c r="K17" i="13" s="1"/>
  <c r="L17" i="13" s="1"/>
  <c r="M17" i="13" s="1"/>
  <c r="N17" i="13" s="1"/>
  <c r="O17" i="13" s="1"/>
  <c r="H21" i="13"/>
  <c r="H22" i="13" s="1"/>
  <c r="H10" i="14"/>
  <c r="H11" i="14" s="1"/>
  <c r="H21" i="14"/>
  <c r="H22" i="14" s="1"/>
  <c r="Z10" i="7"/>
  <c r="Z11" i="7" s="1"/>
  <c r="Z23" i="7" s="1"/>
  <c r="AA9" i="7"/>
  <c r="AA10" i="7" s="1"/>
  <c r="AA11" i="7" s="1"/>
  <c r="AA23" i="7" s="1"/>
  <c r="H10" i="7"/>
  <c r="H11" i="7" s="1"/>
  <c r="H21" i="7"/>
  <c r="H22" i="7" s="1"/>
  <c r="Z20" i="3"/>
  <c r="Y21" i="3"/>
  <c r="Y22" i="3" s="1"/>
  <c r="Y23" i="3" s="1"/>
  <c r="Y10" i="3"/>
  <c r="Y11" i="3" s="1"/>
  <c r="Z9" i="3"/>
  <c r="I10" i="3"/>
  <c r="I11" i="3" s="1"/>
  <c r="I21" i="3"/>
  <c r="I22" i="3" s="1"/>
  <c r="H10" i="3"/>
  <c r="H11" i="3" s="1"/>
  <c r="H21" i="3"/>
  <c r="H22" i="3" s="1"/>
  <c r="H23" i="3" s="1"/>
  <c r="BI20" i="1"/>
  <c r="BH21" i="1"/>
  <c r="BH22" i="1" s="1"/>
  <c r="BI10" i="1"/>
  <c r="BI11" i="1" s="1"/>
  <c r="BJ9" i="1"/>
  <c r="AW21" i="1"/>
  <c r="AW22" i="1" s="1"/>
  <c r="AX20" i="1"/>
  <c r="Z9" i="1"/>
  <c r="Y10" i="1"/>
  <c r="Y11" i="1" s="1"/>
  <c r="AM9" i="1"/>
  <c r="AM10" i="1" s="1"/>
  <c r="AM11" i="1" s="1"/>
  <c r="AL10" i="1"/>
  <c r="AL11" i="1" s="1"/>
  <c r="AL20" i="1"/>
  <c r="AK21" i="1"/>
  <c r="AK22" i="1" s="1"/>
  <c r="AK23" i="1" s="1"/>
  <c r="M25" i="1" s="1"/>
  <c r="Z20" i="1"/>
  <c r="Y21" i="1"/>
  <c r="Y22" i="1" s="1"/>
  <c r="Y23" i="1" s="1"/>
  <c r="M24" i="1" s="1"/>
  <c r="W4" i="16"/>
  <c r="W11" i="16"/>
  <c r="W9" i="16"/>
  <c r="H21" i="1"/>
  <c r="H22" i="1" s="1"/>
  <c r="J9" i="1"/>
  <c r="I10" i="1"/>
  <c r="I11" i="1" s="1"/>
  <c r="H10" i="1"/>
  <c r="H11" i="1" s="1"/>
  <c r="I20" i="1"/>
  <c r="I9" i="8"/>
  <c r="I20" i="8"/>
  <c r="I9" i="7"/>
  <c r="I20" i="7"/>
  <c r="K9" i="3"/>
  <c r="J7" i="3"/>
  <c r="K7" i="3" s="1"/>
  <c r="L7" i="3" s="1"/>
  <c r="M7" i="3" s="1"/>
  <c r="N7" i="3" s="1"/>
  <c r="O7" i="3" s="1"/>
  <c r="J20" i="3"/>
  <c r="H21" i="9"/>
  <c r="H22" i="9" s="1"/>
  <c r="H10" i="9"/>
  <c r="H11" i="9" s="1"/>
  <c r="I10" i="9"/>
  <c r="I11" i="9" s="1"/>
  <c r="J9" i="14"/>
  <c r="I7" i="14"/>
  <c r="J7" i="14" s="1"/>
  <c r="K7" i="14" s="1"/>
  <c r="L7" i="14" s="1"/>
  <c r="M7" i="14" s="1"/>
  <c r="N7" i="14" s="1"/>
  <c r="O7" i="14" s="1"/>
  <c r="I20" i="14"/>
  <c r="I9" i="13"/>
  <c r="I20" i="13"/>
  <c r="I21" i="12"/>
  <c r="I22" i="12" s="1"/>
  <c r="I23" i="12" s="1"/>
  <c r="J9" i="12"/>
  <c r="I10" i="12"/>
  <c r="I11" i="12" s="1"/>
  <c r="H10" i="12"/>
  <c r="H11" i="12" s="1"/>
  <c r="H21" i="12"/>
  <c r="H22" i="12" s="1"/>
  <c r="J9" i="11"/>
  <c r="I10" i="11"/>
  <c r="I11" i="11" s="1"/>
  <c r="I20" i="11"/>
  <c r="H10" i="11"/>
  <c r="H11" i="11" s="1"/>
  <c r="I9" i="10"/>
  <c r="I20" i="10"/>
  <c r="I21" i="9"/>
  <c r="I22" i="9" s="1"/>
  <c r="J10" i="9"/>
  <c r="J11" i="9" s="1"/>
  <c r="K2" i="9"/>
  <c r="AB11" i="4"/>
  <c r="AB12" i="4" s="1"/>
  <c r="Y11" i="4"/>
  <c r="Y12" i="4" s="1"/>
  <c r="V11" i="4"/>
  <c r="V12" i="4" s="1"/>
  <c r="S11" i="4"/>
  <c r="S12" i="4" s="1"/>
  <c r="P11" i="4"/>
  <c r="P12" i="4" s="1"/>
  <c r="M11" i="4"/>
  <c r="M12" i="4" s="1"/>
  <c r="A5451" i="2"/>
  <c r="A5072" i="2"/>
  <c r="A4630" i="2"/>
  <c r="A4729" i="2"/>
  <c r="A2272" i="2"/>
  <c r="A3592" i="2"/>
  <c r="A3390" i="2"/>
  <c r="A3371" i="2"/>
  <c r="A1731" i="2"/>
  <c r="A1849" i="2"/>
  <c r="A5352" i="2"/>
  <c r="A3369" i="2"/>
  <c r="A4632" i="2"/>
  <c r="A4871" i="2"/>
  <c r="A5390" i="2"/>
  <c r="A1648" i="2"/>
  <c r="A2412" i="2"/>
  <c r="A2232" i="2"/>
  <c r="A4069" i="2"/>
  <c r="A5492" i="2"/>
  <c r="A2168" i="2"/>
  <c r="A1510" i="2"/>
  <c r="A2432" i="2"/>
  <c r="A4531" i="2"/>
  <c r="A1892" i="2"/>
  <c r="A1390" i="2"/>
  <c r="A3972" i="2"/>
  <c r="A4930" i="2"/>
  <c r="A5988" i="2"/>
  <c r="A3292" i="2"/>
  <c r="A2612" i="2"/>
  <c r="A3931" i="2"/>
  <c r="A3948" i="2"/>
  <c r="A5312" i="2"/>
  <c r="A4528" i="2"/>
  <c r="A4711" i="2"/>
  <c r="A5811" i="2"/>
  <c r="A4292" i="2"/>
  <c r="A3410" i="2"/>
  <c r="A3951" i="2"/>
  <c r="A2912" i="2"/>
  <c r="A3508" i="2"/>
  <c r="A2312" i="2"/>
  <c r="A3891" i="2"/>
  <c r="A4192" i="2"/>
  <c r="A4090" i="2"/>
  <c r="A1552" i="2"/>
  <c r="A5508" i="2"/>
  <c r="A3792" i="2"/>
  <c r="A2129" i="2"/>
  <c r="A4691" i="2"/>
  <c r="A2650" i="2"/>
  <c r="A5952" i="2"/>
  <c r="A2872" i="2"/>
  <c r="A3910" i="2"/>
  <c r="A4971" i="2"/>
  <c r="A2071" i="2"/>
  <c r="A3231" i="2"/>
  <c r="A2572" i="2"/>
  <c r="A3290" i="2"/>
  <c r="A1628" i="2"/>
  <c r="A3811" i="2"/>
  <c r="A2710" i="2"/>
  <c r="A5710" i="2"/>
  <c r="A5791" i="2"/>
  <c r="A2748" i="2"/>
  <c r="A5810" i="2"/>
  <c r="A3330" i="2"/>
  <c r="A5649" i="2"/>
  <c r="A4609" i="2"/>
  <c r="A3889" i="2"/>
  <c r="A2310" i="2"/>
  <c r="A1570" i="2"/>
  <c r="A3731" i="2"/>
  <c r="A4769" i="2"/>
  <c r="A1972" i="2"/>
  <c r="A5729" i="2"/>
  <c r="A4231" i="2"/>
  <c r="A4428" i="2"/>
  <c r="A4972" i="2"/>
  <c r="A3612" i="2"/>
  <c r="A5711" i="2"/>
  <c r="A5909" i="2"/>
  <c r="A4550" i="2"/>
  <c r="A4250" i="2"/>
  <c r="A3730" i="2"/>
  <c r="A3548" i="2"/>
  <c r="A3468" i="2"/>
  <c r="A5252" i="2"/>
  <c r="A1808" i="2"/>
  <c r="A1368" i="2"/>
  <c r="A1789" i="2"/>
  <c r="A4131" i="2"/>
  <c r="A2092" i="2"/>
  <c r="A3930" i="2"/>
  <c r="A4848" i="2"/>
  <c r="A3790" i="2"/>
  <c r="A5931" i="2"/>
  <c r="A4050" i="2"/>
  <c r="A5332" i="2"/>
  <c r="A2370" i="2"/>
  <c r="A5569" i="2"/>
  <c r="A5749" i="2"/>
  <c r="A2049" i="2"/>
  <c r="A4968" i="2"/>
  <c r="A2069" i="2"/>
  <c r="A1271" i="2"/>
  <c r="A1290" i="2"/>
  <c r="A3871" i="2"/>
  <c r="A1410" i="2"/>
  <c r="A1369" i="2"/>
  <c r="A4788" i="2"/>
  <c r="A4928" i="2"/>
  <c r="A3069" i="2"/>
  <c r="A3991" i="2"/>
  <c r="A1949" i="2"/>
  <c r="A4790" i="2"/>
  <c r="A4310" i="2"/>
  <c r="A2470" i="2"/>
  <c r="A3650" i="2"/>
  <c r="A5008" i="2"/>
  <c r="A4529" i="2"/>
  <c r="A2570" i="2"/>
  <c r="A1908" i="2"/>
  <c r="A4049" i="2"/>
  <c r="A5888" i="2"/>
  <c r="A4470" i="2"/>
  <c r="A3389" i="2"/>
  <c r="A5409" i="2"/>
  <c r="A3868" i="2"/>
  <c r="A1948" i="2"/>
  <c r="A4088" i="2"/>
  <c r="A1670" i="2"/>
  <c r="A4048" i="2"/>
  <c r="A1989" i="2"/>
  <c r="A2348" i="2"/>
  <c r="A1688" i="2"/>
  <c r="A5648" i="2"/>
  <c r="A2188" i="2"/>
  <c r="A5432" i="2"/>
  <c r="A4669" i="2"/>
  <c r="A3928" i="2"/>
  <c r="A5310" i="2"/>
  <c r="A5069" i="2"/>
  <c r="A3449" i="2"/>
  <c r="A2568" i="2"/>
  <c r="A4168" i="2"/>
  <c r="A3837" i="2"/>
  <c r="A3756" i="2"/>
  <c r="K1358" i="2"/>
  <c r="J5218" i="2"/>
  <c r="A5733" i="2"/>
  <c r="A1574" i="2"/>
  <c r="A2155" i="2"/>
  <c r="A1653" i="2"/>
  <c r="J2478" i="2"/>
  <c r="A3916" i="2"/>
  <c r="J5798" i="2"/>
  <c r="A1453" i="2"/>
  <c r="A3933" i="2"/>
  <c r="A5836" i="2"/>
  <c r="A1914" i="2"/>
  <c r="A5657" i="2"/>
  <c r="A3677" i="2"/>
  <c r="K1678" i="2"/>
  <c r="A5677" i="2"/>
  <c r="J2538" i="2"/>
  <c r="A3497" i="2"/>
  <c r="J4058" i="2"/>
  <c r="A5853" i="2"/>
  <c r="A2797" i="2"/>
  <c r="J3498" i="2"/>
  <c r="K5538" i="2"/>
  <c r="A3175" i="2"/>
  <c r="A3094" i="2"/>
  <c r="A2754" i="2"/>
  <c r="K1598" i="2"/>
  <c r="A5353" i="2"/>
  <c r="A3195" i="2"/>
  <c r="A5513" i="2"/>
  <c r="A5477" i="2"/>
  <c r="A2896" i="2"/>
  <c r="A5914" i="2"/>
  <c r="A2676" i="2"/>
  <c r="A4635" i="2"/>
  <c r="K3778" i="2"/>
  <c r="A4855" i="2"/>
  <c r="A3334" i="2"/>
  <c r="A4216" i="2"/>
  <c r="A3555" i="2"/>
  <c r="A3694" i="2"/>
  <c r="A3835" i="2"/>
  <c r="A3415" i="2"/>
  <c r="A2815" i="2"/>
  <c r="A2593" i="2"/>
  <c r="A3653" i="2"/>
  <c r="K1128" i="2"/>
  <c r="A5435" i="2"/>
  <c r="A5833" i="2"/>
  <c r="A4234" i="2"/>
  <c r="A5775" i="2"/>
  <c r="A3715" i="2"/>
  <c r="A2895" i="2"/>
  <c r="A5257" i="2"/>
  <c r="A5637" i="2"/>
  <c r="A5617" i="2"/>
  <c r="A1236" i="2"/>
  <c r="K1438" i="2"/>
  <c r="A4155" i="2"/>
  <c r="A3013" i="2"/>
  <c r="A4993" i="2"/>
  <c r="A5854" i="2"/>
  <c r="A4475" i="2"/>
  <c r="J1010" i="2"/>
  <c r="A1874" i="2"/>
  <c r="J5558" i="2"/>
  <c r="J1778" i="2"/>
  <c r="A4553" i="2"/>
  <c r="J1068" i="2"/>
  <c r="A2993" i="2"/>
  <c r="J1029" i="2"/>
  <c r="A5535" i="2"/>
  <c r="A1737" i="2"/>
  <c r="J2898" i="2"/>
  <c r="A4573" i="2"/>
  <c r="K4578" i="2"/>
  <c r="K4058" i="2"/>
  <c r="A2394" i="2"/>
  <c r="A1593" i="2"/>
  <c r="J2398" i="2"/>
  <c r="A2673" i="2"/>
  <c r="A5776" i="2"/>
  <c r="K3718" i="2"/>
  <c r="A2056" i="2"/>
  <c r="A4073" i="2"/>
  <c r="K1109" i="2"/>
  <c r="A1416" i="2"/>
  <c r="A1235" i="2"/>
  <c r="A5313" i="2"/>
  <c r="K2498" i="2"/>
  <c r="A2615" i="2"/>
  <c r="A5676" i="2"/>
  <c r="K3218" i="2"/>
  <c r="A5177" i="2"/>
  <c r="K3058" i="2"/>
  <c r="K5718" i="2"/>
  <c r="A2014" i="2"/>
  <c r="A2313" i="2"/>
  <c r="A1635" i="2"/>
  <c r="A4975" i="2"/>
  <c r="J4818" i="2"/>
  <c r="A2630" i="2"/>
  <c r="A3588" i="2"/>
  <c r="A2471" i="2"/>
  <c r="A4430" i="2"/>
  <c r="A3230" i="2"/>
  <c r="A1788" i="2"/>
  <c r="A5412" i="2"/>
  <c r="A4372" i="2"/>
  <c r="A3071" i="2"/>
  <c r="A2932" i="2"/>
  <c r="A2829" i="2"/>
  <c r="A5868" i="2"/>
  <c r="A4591" i="2"/>
  <c r="A3431" i="2"/>
  <c r="A5512" i="2"/>
  <c r="A5670" i="2"/>
  <c r="A2992" i="2"/>
  <c r="A3171" i="2"/>
  <c r="A5009" i="2"/>
  <c r="A4612" i="2"/>
  <c r="A3551" i="2"/>
  <c r="A1352" i="2"/>
  <c r="A3929" i="2"/>
  <c r="A3089" i="2"/>
  <c r="A5892" i="2"/>
  <c r="A5272" i="2"/>
  <c r="A4311" i="2"/>
  <c r="A3111" i="2"/>
  <c r="A3412" i="2"/>
  <c r="A4532" i="2"/>
  <c r="A2632" i="2"/>
  <c r="A5668" i="2"/>
  <c r="A3971" i="2"/>
  <c r="A3072" i="2"/>
  <c r="A4911" i="2"/>
  <c r="A4551" i="2"/>
  <c r="A3570" i="2"/>
  <c r="A5511" i="2"/>
  <c r="A2731" i="2"/>
  <c r="A5590" i="2"/>
  <c r="A4071" i="2"/>
  <c r="A4092" i="2"/>
  <c r="A5151" i="2"/>
  <c r="A3531" i="2"/>
  <c r="A2750" i="2"/>
  <c r="A1292" i="2"/>
  <c r="A4992" i="2"/>
  <c r="A5271" i="2"/>
  <c r="A1188" i="2"/>
  <c r="A4548" i="2"/>
  <c r="A4352" i="2"/>
  <c r="A2030" i="2"/>
  <c r="A2372" i="2"/>
  <c r="A3370" i="2"/>
  <c r="A1951" i="2"/>
  <c r="A5410" i="2"/>
  <c r="A4952" i="2"/>
  <c r="A4772" i="2"/>
  <c r="A4789" i="2"/>
  <c r="A3131" i="2"/>
  <c r="A4950" i="2"/>
  <c r="A3688" i="2"/>
  <c r="A2930" i="2"/>
  <c r="A5530" i="2"/>
  <c r="A4449" i="2"/>
  <c r="A5829" i="2"/>
  <c r="A1250" i="2"/>
  <c r="A2590" i="2"/>
  <c r="A4129" i="2"/>
  <c r="A3049" i="2"/>
  <c r="A2212" i="2"/>
  <c r="A2848" i="2"/>
  <c r="A1189" i="2"/>
  <c r="A1150" i="2"/>
  <c r="A2371" i="2"/>
  <c r="A1471" i="2"/>
  <c r="A3010" i="2"/>
  <c r="A5709" i="2"/>
  <c r="A2008" i="2"/>
  <c r="A4452" i="2"/>
  <c r="A5212" i="2"/>
  <c r="A5331" i="2"/>
  <c r="A2468" i="2"/>
  <c r="A1750" i="2"/>
  <c r="A3269" i="2"/>
  <c r="A4948" i="2"/>
  <c r="A4589" i="2"/>
  <c r="A3451" i="2"/>
  <c r="A3831" i="2"/>
  <c r="A5770" i="2"/>
  <c r="A4829" i="2"/>
  <c r="A4491" i="2"/>
  <c r="A1529" i="2"/>
  <c r="A4771" i="2"/>
  <c r="A5588" i="2"/>
  <c r="A2949" i="2"/>
  <c r="A1350" i="2"/>
  <c r="A4170" i="2"/>
  <c r="A5650" i="2"/>
  <c r="A4851" i="2"/>
  <c r="A4112" i="2"/>
  <c r="A3890" i="2"/>
  <c r="A2649" i="2"/>
  <c r="A5068" i="2"/>
  <c r="A3712" i="2"/>
  <c r="A1930" i="2"/>
  <c r="A5169" i="2"/>
  <c r="A2328" i="2"/>
  <c r="A3828" i="2"/>
  <c r="A3472" i="2"/>
  <c r="A3749" i="2"/>
  <c r="A4830" i="2"/>
  <c r="A3108" i="2"/>
  <c r="A4768" i="2"/>
  <c r="A1728" i="2"/>
  <c r="A1689" i="2"/>
  <c r="A1848" i="2"/>
  <c r="A4148" i="2"/>
  <c r="A3470" i="2"/>
  <c r="A2108" i="2"/>
  <c r="A5168" i="2"/>
  <c r="A2810" i="2"/>
  <c r="A2150" i="2"/>
  <c r="A5468" i="2"/>
  <c r="A2528" i="2"/>
  <c r="A4150" i="2"/>
  <c r="A4208" i="2"/>
  <c r="A5229" i="2"/>
  <c r="A5429" i="2"/>
  <c r="A1568" i="2"/>
  <c r="A5830" i="2"/>
  <c r="A4009" i="2"/>
  <c r="A4791" i="2"/>
  <c r="A1428" i="2"/>
  <c r="A5469" i="2"/>
  <c r="A5708" i="2"/>
  <c r="A1708" i="2"/>
  <c r="A1489" i="2"/>
  <c r="A3029" i="2"/>
  <c r="A5369" i="2"/>
  <c r="A3048" i="2"/>
  <c r="A3611" i="2"/>
  <c r="A2830" i="2"/>
  <c r="A4690" i="2"/>
  <c r="A5969" i="2"/>
  <c r="A4108" i="2"/>
  <c r="A1229" i="2"/>
  <c r="A2308" i="2"/>
  <c r="A5815" i="2"/>
  <c r="A2193" i="2"/>
  <c r="B97" i="11"/>
  <c r="A5437" i="2"/>
  <c r="J2718" i="2"/>
  <c r="J3458" i="2"/>
  <c r="K3938" i="2"/>
  <c r="J4218" i="2"/>
  <c r="A5176" i="2"/>
  <c r="A1157" i="2"/>
  <c r="A3257" i="2"/>
  <c r="A1477" i="2"/>
  <c r="A4237" i="2"/>
  <c r="A4973" i="2"/>
  <c r="A3357" i="2"/>
  <c r="A1275" i="2"/>
  <c r="A1357" i="2"/>
  <c r="A4157" i="2"/>
  <c r="K5878" i="2"/>
  <c r="A4376" i="2"/>
  <c r="A4377" i="2"/>
  <c r="K1698" i="2"/>
  <c r="A4516" i="2"/>
  <c r="J1898" i="2"/>
  <c r="A4396" i="2"/>
  <c r="A2816" i="2"/>
  <c r="A5357" i="2"/>
  <c r="A2397" i="2"/>
  <c r="A3055" i="2"/>
  <c r="A4774" i="2"/>
  <c r="A3256" i="2"/>
  <c r="A4196" i="2"/>
  <c r="A4756" i="2"/>
  <c r="J4678" i="2"/>
  <c r="A5754" i="2"/>
  <c r="A4777" i="2"/>
  <c r="K2138" i="2"/>
  <c r="J1558" i="2"/>
  <c r="A3295" i="2"/>
  <c r="A5575" i="2"/>
  <c r="A3956" i="2"/>
  <c r="J3118" i="2"/>
  <c r="A3375" i="2"/>
  <c r="K3338" i="2"/>
  <c r="A5517" i="2"/>
  <c r="K950" i="2"/>
  <c r="A5017" i="2"/>
  <c r="K2458" i="2"/>
  <c r="A3294" i="2"/>
  <c r="A3516" i="2"/>
  <c r="A2936" i="2"/>
  <c r="A1437" i="2"/>
  <c r="J5918" i="2"/>
  <c r="J1158" i="2"/>
  <c r="J1618" i="2"/>
  <c r="A4897" i="2"/>
  <c r="B237" i="3"/>
  <c r="K3158" i="2"/>
  <c r="A4797" i="2"/>
  <c r="A4833" i="2"/>
  <c r="A5634" i="2"/>
  <c r="A2914" i="2"/>
  <c r="K1218" i="2"/>
  <c r="A1696" i="2"/>
  <c r="A2657" i="2"/>
  <c r="J1498" i="2"/>
  <c r="A4374" i="2"/>
  <c r="J2938" i="2"/>
  <c r="K1008" i="2"/>
  <c r="A5175" i="2"/>
  <c r="J1798" i="2"/>
  <c r="A1334" i="2"/>
  <c r="J4898" i="2"/>
  <c r="A2335" i="2"/>
  <c r="A5596" i="2"/>
  <c r="A2156" i="2"/>
  <c r="A2997" i="2"/>
  <c r="A5393" i="2"/>
  <c r="A4434" i="2"/>
  <c r="A5235" i="2"/>
  <c r="A2316" i="2"/>
  <c r="K4418" i="2"/>
  <c r="A5035" i="2"/>
  <c r="K4958" i="2"/>
  <c r="K3738" i="2"/>
  <c r="A2576" i="2"/>
  <c r="A4536" i="2"/>
  <c r="K3918" i="2"/>
  <c r="A1414" i="2"/>
  <c r="K5818" i="2"/>
  <c r="B215" i="20"/>
  <c r="J3178" i="2"/>
  <c r="A4896" i="2"/>
  <c r="A4395" i="2"/>
  <c r="A3813" i="2"/>
  <c r="A5995" i="2"/>
  <c r="A3173" i="2"/>
  <c r="K2058" i="2"/>
  <c r="A3594" i="2"/>
  <c r="A4937" i="2"/>
  <c r="J3038" i="2"/>
  <c r="A3957" i="2"/>
  <c r="A2475" i="2"/>
  <c r="A1355" i="2"/>
  <c r="A5471" i="2"/>
  <c r="A1210" i="2"/>
  <c r="A2411" i="2"/>
  <c r="A1952" i="2"/>
  <c r="A2689" i="2"/>
  <c r="A5752" i="2"/>
  <c r="A2631" i="2"/>
  <c r="A2251" i="2"/>
  <c r="A1171" i="2"/>
  <c r="A3232" i="2"/>
  <c r="A4371" i="2"/>
  <c r="A3571" i="2"/>
  <c r="A3011" i="2"/>
  <c r="A3912" i="2"/>
  <c r="A4149" i="2"/>
  <c r="A2450" i="2"/>
  <c r="A3392" i="2"/>
  <c r="A2388" i="2"/>
  <c r="A4608" i="2"/>
  <c r="A1652" i="2"/>
  <c r="A5730" i="2"/>
  <c r="A3270" i="2"/>
  <c r="A2711" i="2"/>
  <c r="A2891" i="2"/>
  <c r="A3492" i="2"/>
  <c r="A3732" i="2"/>
  <c r="A2051" i="2"/>
  <c r="A3032" i="2"/>
  <c r="A2531" i="2"/>
  <c r="A3009" i="2"/>
  <c r="A3169" i="2"/>
  <c r="A1890" i="2"/>
  <c r="A1671" i="2"/>
  <c r="A4229" i="2"/>
  <c r="A3689" i="2"/>
  <c r="A4510" i="2"/>
  <c r="A2250" i="2"/>
  <c r="A1611" i="2"/>
  <c r="A5189" i="2"/>
  <c r="A4330" i="2"/>
  <c r="A5808" i="2"/>
  <c r="A2870" i="2"/>
  <c r="A3968" i="2"/>
  <c r="A5011" i="2"/>
  <c r="A2511" i="2"/>
  <c r="A4351" i="2"/>
  <c r="A2431" i="2"/>
  <c r="A4451" i="2"/>
  <c r="A4991" i="2"/>
  <c r="A2248" i="2"/>
  <c r="A1209" i="2"/>
  <c r="A4109" i="2"/>
  <c r="A5209" i="2"/>
  <c r="A1531" i="2"/>
  <c r="A4011" i="2"/>
  <c r="A5351" i="2"/>
  <c r="A1469" i="2"/>
  <c r="A4290" i="2"/>
  <c r="A3228" i="2"/>
  <c r="A3051" i="2"/>
  <c r="A3772" i="2"/>
  <c r="A4689" i="2"/>
  <c r="A1812" i="2"/>
  <c r="A1831" i="2"/>
  <c r="A2491" i="2"/>
  <c r="A4530" i="2"/>
  <c r="A4429" i="2"/>
  <c r="A2970" i="2"/>
  <c r="A3250" i="2"/>
  <c r="A1969" i="2"/>
  <c r="A2828" i="2"/>
  <c r="A5388" i="2"/>
  <c r="A4852" i="2"/>
  <c r="A2969" i="2"/>
  <c r="A3211" i="2"/>
  <c r="A4629" i="2"/>
  <c r="A5149" i="2"/>
  <c r="A3210" i="2"/>
  <c r="A1389" i="2"/>
  <c r="A2688" i="2"/>
  <c r="A3870" i="2"/>
  <c r="A5211" i="2"/>
  <c r="A4110" i="2"/>
  <c r="A2951" i="2"/>
  <c r="A1429" i="2"/>
  <c r="A2028" i="2"/>
  <c r="A4832" i="2"/>
  <c r="A5689" i="2"/>
  <c r="A3850" i="2"/>
  <c r="A4929" i="2"/>
  <c r="A4931" i="2"/>
  <c r="A1308" i="2"/>
  <c r="A2110" i="2"/>
  <c r="A2488" i="2"/>
  <c r="A5308" i="2"/>
  <c r="A2788" i="2"/>
  <c r="A5612" i="2"/>
  <c r="A1851" i="2"/>
  <c r="A2052" i="2"/>
  <c r="A1149" i="2"/>
  <c r="A3388" i="2"/>
  <c r="A3268" i="2"/>
  <c r="A5610" i="2"/>
  <c r="A3368" i="2"/>
  <c r="A1729" i="2"/>
  <c r="A5908" i="2"/>
  <c r="A4792" i="2"/>
  <c r="A4651" i="2"/>
  <c r="A1310" i="2"/>
  <c r="A2209" i="2"/>
  <c r="A2389" i="2"/>
  <c r="A4269" i="2"/>
  <c r="A5048" i="2"/>
  <c r="A2548" i="2"/>
  <c r="A4909" i="2"/>
  <c r="A3448" i="2"/>
  <c r="A4570" i="2"/>
  <c r="A4872" i="2"/>
  <c r="A4370" i="2"/>
  <c r="A1148" i="2"/>
  <c r="A3748" i="2"/>
  <c r="A5350" i="2"/>
  <c r="A2809" i="2"/>
  <c r="A2428" i="2"/>
  <c r="A2648" i="2"/>
  <c r="A1749" i="2"/>
  <c r="A5128" i="2"/>
  <c r="A3208" i="2"/>
  <c r="A1411" i="2"/>
  <c r="A1508" i="2"/>
  <c r="A4868" i="2"/>
  <c r="A5028" i="2"/>
  <c r="A5628" i="2"/>
  <c r="A5989" i="2"/>
  <c r="A2690" i="2"/>
  <c r="A1608" i="2"/>
  <c r="A2769" i="2"/>
  <c r="A3528" i="2"/>
  <c r="A1548" i="2"/>
  <c r="A5809" i="2"/>
  <c r="A4590" i="2"/>
  <c r="A2888" i="2"/>
  <c r="A1268" i="2"/>
  <c r="A1870" i="2"/>
  <c r="A2329" i="2"/>
  <c r="A2149" i="2"/>
  <c r="A1208" i="2"/>
  <c r="A1230" i="2"/>
  <c r="A3908" i="2"/>
  <c r="A3028" i="2"/>
  <c r="A4957" i="2"/>
  <c r="A1756" i="2"/>
  <c r="A3354" i="2"/>
  <c r="K3278" i="2"/>
  <c r="A2214" i="2"/>
  <c r="A3015" i="2"/>
  <c r="A1234" i="2"/>
  <c r="A1876" i="2"/>
  <c r="J4878" i="2"/>
  <c r="J1088" i="2"/>
  <c r="K4138" i="2"/>
  <c r="J1598" i="2"/>
  <c r="A3895" i="2"/>
  <c r="A4614" i="2"/>
  <c r="K5898" i="2"/>
  <c r="A2534" i="2"/>
  <c r="A3875" i="2"/>
  <c r="J3758" i="2"/>
  <c r="A5977" i="2"/>
  <c r="J5338" i="2"/>
  <c r="A4495" i="2"/>
  <c r="A2133" i="2"/>
  <c r="K2818" i="2"/>
  <c r="A4414" i="2"/>
  <c r="A3436" i="2"/>
  <c r="A5834" i="2"/>
  <c r="K4538" i="2"/>
  <c r="J1438" i="2"/>
  <c r="A4176" i="2"/>
  <c r="A4056" i="2"/>
  <c r="A2013" i="2"/>
  <c r="A2876" i="2"/>
  <c r="K2218" i="2"/>
  <c r="J4718" i="2"/>
  <c r="J5498" i="2"/>
  <c r="A3975" i="2"/>
  <c r="A5653" i="2"/>
  <c r="K4458" i="2"/>
  <c r="A3793" i="2"/>
  <c r="A2953" i="2"/>
  <c r="A1674" i="2"/>
  <c r="A1776" i="2"/>
  <c r="A3614" i="2"/>
  <c r="J2018" i="2"/>
  <c r="J1298" i="2"/>
  <c r="A1516" i="2"/>
  <c r="A3133" i="2"/>
  <c r="A5473" i="2"/>
  <c r="A3377" i="2"/>
  <c r="K2478" i="2"/>
  <c r="A4713" i="2"/>
  <c r="A4935" i="2"/>
  <c r="A5734" i="2"/>
  <c r="A5037" i="2"/>
  <c r="A2375" i="2"/>
  <c r="J2958" i="2"/>
  <c r="A4753" i="2"/>
  <c r="J4998" i="2"/>
  <c r="J5298" i="2"/>
  <c r="A4134" i="2"/>
  <c r="A2034" i="2"/>
  <c r="A4535" i="2"/>
  <c r="A4276" i="2"/>
  <c r="J3858" i="2"/>
  <c r="K5698" i="2"/>
  <c r="A3915" i="2"/>
  <c r="K2958" i="2"/>
  <c r="A2897" i="2"/>
  <c r="A2157" i="2"/>
  <c r="A2933" i="2"/>
  <c r="J5178" i="2"/>
  <c r="A5050" i="2"/>
  <c r="A5851" i="2"/>
  <c r="A4671" i="2"/>
  <c r="A1590" i="2"/>
  <c r="A5912" i="2"/>
  <c r="A5972" i="2"/>
  <c r="A5309" i="2"/>
  <c r="A2931" i="2"/>
  <c r="A4809" i="2"/>
  <c r="A4508" i="2"/>
  <c r="A2132" i="2"/>
  <c r="A3031" i="2"/>
  <c r="A1551" i="2"/>
  <c r="A3248" i="2"/>
  <c r="A2772" i="2"/>
  <c r="A3348" i="2"/>
  <c r="A5570" i="2"/>
  <c r="A4811" i="2"/>
  <c r="A4332" i="2"/>
  <c r="A2611" i="2"/>
  <c r="A5450" i="2"/>
  <c r="A4970" i="2"/>
  <c r="A2592" i="2"/>
  <c r="A3752" i="2"/>
  <c r="A3128" i="2"/>
  <c r="A2288" i="2"/>
  <c r="A1909" i="2"/>
  <c r="A1872" i="2"/>
  <c r="A5731" i="2"/>
  <c r="A4111" i="2"/>
  <c r="A4552" i="2"/>
  <c r="A1730" i="2"/>
  <c r="A3351" i="2"/>
  <c r="A4892" i="2"/>
  <c r="A1571" i="2"/>
  <c r="A2571" i="2"/>
  <c r="A5568" i="2"/>
  <c r="A3189" i="2"/>
  <c r="A3892" i="2"/>
  <c r="A5392" i="2"/>
  <c r="A3452" i="2"/>
  <c r="A3252" i="2"/>
  <c r="A1650" i="2"/>
  <c r="A1528" i="2"/>
  <c r="A2672" i="2"/>
  <c r="A3809" i="2"/>
  <c r="A4189" i="2"/>
  <c r="A4309" i="2"/>
  <c r="A1470" i="2"/>
  <c r="A5592" i="2"/>
  <c r="A1430" i="2"/>
  <c r="A4492" i="2"/>
  <c r="A5311" i="2"/>
  <c r="A2530" i="2"/>
  <c r="A3631" i="2"/>
  <c r="A5991" i="2"/>
  <c r="A5691" i="2"/>
  <c r="A2869" i="2"/>
  <c r="A2031" i="2"/>
  <c r="A1311" i="2"/>
  <c r="A3532" i="2"/>
  <c r="A3191" i="2"/>
  <c r="A2270" i="2"/>
  <c r="A4350" i="2"/>
  <c r="A5831" i="2"/>
  <c r="A2988" i="2"/>
  <c r="A2451" i="2"/>
  <c r="A5672" i="2"/>
  <c r="A5572" i="2"/>
  <c r="A5089" i="2"/>
  <c r="A3151" i="2"/>
  <c r="A1990" i="2"/>
  <c r="A2252" i="2"/>
  <c r="A3690" i="2"/>
  <c r="A5490" i="2"/>
  <c r="A2628" i="2"/>
  <c r="A3950" i="2"/>
  <c r="A2430" i="2"/>
  <c r="A1371" i="2"/>
  <c r="A3490" i="2"/>
  <c r="A4270" i="2"/>
  <c r="A2749" i="2"/>
  <c r="A1269" i="2"/>
  <c r="A1911" i="2"/>
  <c r="A4389" i="2"/>
  <c r="A2591" i="2"/>
  <c r="A2550" i="2"/>
  <c r="A5110" i="2"/>
  <c r="A4070" i="2"/>
  <c r="A2292" i="2"/>
  <c r="A2369" i="2"/>
  <c r="A5651" i="2"/>
  <c r="A2728" i="2"/>
  <c r="A5428" i="2"/>
  <c r="A5630" i="2"/>
  <c r="A3328" i="2"/>
  <c r="A2991" i="2"/>
  <c r="A2289" i="2"/>
  <c r="A3130" i="2"/>
  <c r="A1630" i="2"/>
  <c r="A3109" i="2"/>
  <c r="A5970" i="2"/>
  <c r="A5250" i="2"/>
  <c r="A4849" i="2"/>
  <c r="A5249" i="2"/>
  <c r="A3510" i="2"/>
  <c r="A2909" i="2"/>
  <c r="A2629" i="2"/>
  <c r="A5109" i="2"/>
  <c r="A3788" i="2"/>
  <c r="A5108" i="2"/>
  <c r="A2709" i="2"/>
  <c r="A3550" i="2"/>
  <c r="A2808" i="2"/>
  <c r="A4151" i="2"/>
  <c r="A2190" i="2"/>
  <c r="A5828" i="2"/>
  <c r="A1690" i="2"/>
  <c r="A5270" i="2"/>
  <c r="A3488" i="2"/>
  <c r="A5188" i="2"/>
  <c r="A5470" i="2"/>
  <c r="A2449" i="2"/>
  <c r="A5872" i="2"/>
  <c r="A1328" i="2"/>
  <c r="A5328" i="2"/>
  <c r="A5688" i="2"/>
  <c r="A5292" i="2"/>
  <c r="A3309" i="2"/>
  <c r="A5548" i="2"/>
  <c r="A2208" i="2"/>
  <c r="A5368" i="2"/>
  <c r="A2290" i="2"/>
  <c r="A5131" i="2"/>
  <c r="A4949" i="2"/>
  <c r="A2729" i="2"/>
  <c r="A1771" i="2"/>
  <c r="A3589" i="2"/>
  <c r="A3168" i="2"/>
  <c r="A1672" i="2"/>
  <c r="A2849" i="2"/>
  <c r="A5448" i="2"/>
  <c r="A5949" i="2"/>
  <c r="A4912" i="2"/>
  <c r="A2130" i="2"/>
  <c r="A4031" i="2"/>
  <c r="K3358" i="2"/>
  <c r="B197" i="3"/>
  <c r="A2553" i="2"/>
  <c r="A2637" i="2"/>
  <c r="A5917" i="2"/>
  <c r="A3693" i="2"/>
  <c r="A4337" i="2"/>
  <c r="A2515" i="2"/>
  <c r="A1476" i="2"/>
  <c r="A1396" i="2"/>
  <c r="A4017" i="2"/>
  <c r="A2095" i="2"/>
  <c r="A2253" i="2"/>
  <c r="J2158" i="2"/>
  <c r="K4198" i="2"/>
  <c r="A1934" i="2"/>
  <c r="A3836" i="2"/>
  <c r="A5334" i="2"/>
  <c r="A4053" i="2"/>
  <c r="A1973" i="2"/>
  <c r="K4778" i="2"/>
  <c r="A2197" i="2"/>
  <c r="J1218" i="2"/>
  <c r="A5574" i="2"/>
  <c r="J5638" i="2"/>
  <c r="J1478" i="2"/>
  <c r="A1735" i="2"/>
  <c r="K4598" i="2"/>
  <c r="A5057" i="2"/>
  <c r="A1995" i="2"/>
  <c r="K1758" i="2"/>
  <c r="J3198" i="2"/>
  <c r="A3114" i="2"/>
  <c r="A5673" i="2"/>
  <c r="A5956" i="2"/>
  <c r="A2434" i="2"/>
  <c r="A2337" i="2"/>
  <c r="J5518" i="2"/>
  <c r="K988" i="2"/>
  <c r="A5537" i="2"/>
  <c r="K5498" i="2"/>
  <c r="A2757" i="2"/>
  <c r="A3494" i="2"/>
  <c r="J2258" i="2"/>
  <c r="A4895" i="2"/>
  <c r="A4533" i="2"/>
  <c r="K5038" i="2"/>
  <c r="K5158" i="2"/>
  <c r="A5937" i="2"/>
  <c r="A4755" i="2"/>
  <c r="A4277" i="2"/>
  <c r="J5018" i="2"/>
  <c r="A1373" i="2"/>
  <c r="J988" i="2"/>
  <c r="A2575" i="2"/>
  <c r="A2917" i="2"/>
  <c r="A3535" i="2"/>
  <c r="J990" i="2"/>
  <c r="A3036" i="2"/>
  <c r="A3376" i="2"/>
  <c r="K2618" i="2"/>
  <c r="K3178" i="2"/>
  <c r="A3033" i="2"/>
  <c r="A1473" i="2"/>
  <c r="A1276" i="2"/>
  <c r="A3234" i="2"/>
  <c r="K3518" i="2"/>
  <c r="A4016" i="2"/>
  <c r="A4496" i="2"/>
  <c r="A2635" i="2"/>
  <c r="A5317" i="2"/>
  <c r="A2516" i="2"/>
  <c r="A3293" i="2"/>
  <c r="K2558" i="2"/>
  <c r="J5898" i="2"/>
  <c r="A1896" i="2"/>
  <c r="J5978" i="2"/>
  <c r="A1894" i="2"/>
  <c r="A2694" i="2"/>
  <c r="A5796" i="2"/>
  <c r="A2314" i="2"/>
  <c r="K1958" i="2"/>
  <c r="J3618" i="2"/>
  <c r="A2036" i="2"/>
  <c r="J3658" i="2"/>
  <c r="A2417" i="2"/>
  <c r="A2057" i="2"/>
  <c r="K4858" i="2"/>
  <c r="A1354" i="2"/>
  <c r="A4096" i="2"/>
  <c r="K1998" i="2"/>
  <c r="A5536" i="2"/>
  <c r="A3476" i="2"/>
  <c r="A2356" i="2"/>
  <c r="A4515" i="2"/>
  <c r="J3958" i="2"/>
  <c r="K2358" i="2"/>
  <c r="A2856" i="2"/>
  <c r="A1595" i="2"/>
  <c r="A4293" i="2"/>
  <c r="J2858" i="2"/>
  <c r="A5233" i="2"/>
  <c r="A3495" i="2"/>
  <c r="A5714" i="2"/>
  <c r="A2374" i="2"/>
  <c r="A3135" i="2"/>
  <c r="A5111" i="2"/>
  <c r="A3530" i="2"/>
  <c r="A3952" i="2"/>
  <c r="A1829" i="2"/>
  <c r="A4190" i="2"/>
  <c r="A4731" i="2"/>
  <c r="A1549" i="2"/>
  <c r="A2812" i="2"/>
  <c r="A5510" i="2"/>
  <c r="A2871" i="2"/>
  <c r="A5671" i="2"/>
  <c r="A5789" i="2"/>
  <c r="A4752" i="2"/>
  <c r="A1248" i="2"/>
  <c r="A1550" i="2"/>
  <c r="A4329" i="2"/>
  <c r="A4188" i="2"/>
  <c r="A2111" i="2"/>
  <c r="A4511" i="2"/>
  <c r="A2211" i="2"/>
  <c r="A4988" i="2"/>
  <c r="A5772" i="2"/>
  <c r="A3652" i="2"/>
  <c r="A3992" i="2"/>
  <c r="A5052" i="2"/>
  <c r="A3190" i="2"/>
  <c r="A3852" i="2"/>
  <c r="A5549" i="2"/>
  <c r="A5848" i="2"/>
  <c r="A3430" i="2"/>
  <c r="A2472" i="2"/>
  <c r="A3569" i="2"/>
  <c r="A4251" i="2"/>
  <c r="A4709" i="2"/>
  <c r="A4990" i="2"/>
  <c r="A4212" i="2"/>
  <c r="A4730" i="2"/>
  <c r="A5071" i="2"/>
  <c r="A1850" i="2"/>
  <c r="A2929" i="2"/>
  <c r="A5891" i="2"/>
  <c r="A5631" i="2"/>
  <c r="A2070" i="2"/>
  <c r="A4089" i="2"/>
  <c r="A5611" i="2"/>
  <c r="A2368" i="2"/>
  <c r="A4291" i="2"/>
  <c r="A5330" i="2"/>
  <c r="A1249" i="2"/>
  <c r="A3251" i="2"/>
  <c r="A4469" i="2"/>
  <c r="A5231" i="2"/>
  <c r="A1449" i="2"/>
  <c r="A3192" i="2"/>
  <c r="A4288" i="2"/>
  <c r="A2009" i="2"/>
  <c r="A1928" i="2"/>
  <c r="A1151" i="2"/>
  <c r="A4932" i="2"/>
  <c r="A3591" i="2"/>
  <c r="A3932" i="2"/>
  <c r="A4672" i="2"/>
  <c r="A5571" i="2"/>
  <c r="A1871" i="2"/>
  <c r="A5049" i="2"/>
  <c r="A3969" i="2"/>
  <c r="A3271" i="2"/>
  <c r="A1329" i="2"/>
  <c r="A3511" i="2"/>
  <c r="A2050" i="2"/>
  <c r="A2170" i="2"/>
  <c r="A5228" i="2"/>
  <c r="A5372" i="2"/>
  <c r="A1409" i="2"/>
  <c r="A4171" i="2"/>
  <c r="A1692" i="2"/>
  <c r="A3629" i="2"/>
  <c r="A1988" i="2"/>
  <c r="A2890" i="2"/>
  <c r="A4751" i="2"/>
  <c r="A2551" i="2"/>
  <c r="A4431" i="2"/>
  <c r="A4890" i="2"/>
  <c r="A4668" i="2"/>
  <c r="A3170" i="2"/>
  <c r="A4611" i="2"/>
  <c r="A1711" i="2"/>
  <c r="A3572" i="2"/>
  <c r="A5288" i="2"/>
  <c r="A3608" i="2"/>
  <c r="A3691" i="2"/>
  <c r="A4489" i="2"/>
  <c r="A5170" i="2"/>
  <c r="A2010" i="2"/>
  <c r="A3988" i="2"/>
  <c r="A5790" i="2"/>
  <c r="A4770" i="2"/>
  <c r="A3289" i="2"/>
  <c r="A5692" i="2"/>
  <c r="A5191" i="2"/>
  <c r="A2171" i="2"/>
  <c r="A3209" i="2"/>
  <c r="A1968" i="2"/>
  <c r="A3768" i="2"/>
  <c r="A2469" i="2"/>
  <c r="A3791" i="2"/>
  <c r="A5148" i="2"/>
  <c r="A1348" i="2"/>
  <c r="A3068" i="2"/>
  <c r="A1569" i="2"/>
  <c r="A2509" i="2"/>
  <c r="A3789" i="2"/>
  <c r="A2948" i="2"/>
  <c r="A5550" i="2"/>
  <c r="A1868" i="2"/>
  <c r="A4728" i="2"/>
  <c r="A3088" i="2"/>
  <c r="A1370" i="2"/>
  <c r="A4130" i="2"/>
  <c r="A2332" i="2"/>
  <c r="A4610" i="2"/>
  <c r="A2230" i="2"/>
  <c r="A2588" i="2"/>
  <c r="A5190" i="2"/>
  <c r="A2409" i="2"/>
  <c r="A4870" i="2"/>
  <c r="A3671" i="2"/>
  <c r="A1869" i="2"/>
  <c r="A1668" i="2"/>
  <c r="A2390" i="2"/>
  <c r="A5728" i="2"/>
  <c r="A1651" i="2"/>
  <c r="A2989" i="2"/>
  <c r="A5950" i="2"/>
  <c r="A3970" i="2"/>
  <c r="A4271" i="2"/>
  <c r="A5748" i="2"/>
  <c r="A1971" i="2"/>
  <c r="A2489" i="2"/>
  <c r="A1991" i="2"/>
  <c r="A4490" i="2"/>
  <c r="A5690" i="2"/>
  <c r="A3030" i="2"/>
  <c r="A4488" i="2"/>
  <c r="A2090" i="2"/>
  <c r="D85" i="16"/>
  <c r="A3568" i="2"/>
  <c r="A4368" i="2"/>
  <c r="A4390" i="2"/>
  <c r="A5268" i="2"/>
  <c r="A4228" i="2"/>
  <c r="A2736" i="2"/>
  <c r="A4555" i="2"/>
  <c r="K4038" i="2"/>
  <c r="J4138" i="2"/>
  <c r="A2055" i="2"/>
  <c r="J2418" i="2"/>
  <c r="A5616" i="2"/>
  <c r="K2418" i="2"/>
  <c r="A5273" i="2"/>
  <c r="A1974" i="2"/>
  <c r="A5036" i="2"/>
  <c r="K1048" i="2"/>
  <c r="J4538" i="2"/>
  <c r="A4195" i="2"/>
  <c r="A2254" i="2"/>
  <c r="A4253" i="2"/>
  <c r="A2054" i="2"/>
  <c r="A3197" i="2"/>
  <c r="K2278" i="2"/>
  <c r="J5958" i="2"/>
  <c r="K4478" i="2"/>
  <c r="A4313" i="2"/>
  <c r="K2938" i="2"/>
  <c r="A2033" i="2"/>
  <c r="A4736" i="2"/>
  <c r="A1676" i="2"/>
  <c r="A5354" i="2"/>
  <c r="A5275" i="2"/>
  <c r="A3674" i="2"/>
  <c r="A3955" i="2"/>
  <c r="A3154" i="2"/>
  <c r="J1538" i="2"/>
  <c r="K2738" i="2"/>
  <c r="J2798" i="2"/>
  <c r="J2518" i="2"/>
  <c r="J970" i="2"/>
  <c r="A1877" i="2"/>
  <c r="A5594" i="2"/>
  <c r="A5094" i="2"/>
  <c r="A4835" i="2"/>
  <c r="A1915" i="2"/>
  <c r="A1736" i="2"/>
  <c r="A5737" i="2"/>
  <c r="A2756" i="2"/>
  <c r="A4695" i="2"/>
  <c r="A4653" i="2"/>
  <c r="A3037" i="2"/>
  <c r="A5955" i="2"/>
  <c r="A2796" i="2"/>
  <c r="A4014" i="2"/>
  <c r="A5935" i="2"/>
  <c r="A2975" i="2"/>
  <c r="A4233" i="2"/>
  <c r="A3395" i="2"/>
  <c r="A3115" i="2"/>
  <c r="A5555" i="2"/>
  <c r="A4574" i="2"/>
  <c r="A2536" i="2"/>
  <c r="A2075" i="2"/>
  <c r="J2038" i="2"/>
  <c r="A5156" i="2"/>
  <c r="K2838" i="2"/>
  <c r="A4136" i="2"/>
  <c r="K1010" i="2"/>
  <c r="A3934" i="2"/>
  <c r="J3838" i="2"/>
  <c r="A1913" i="2"/>
  <c r="A5913" i="2"/>
  <c r="A1875" i="2"/>
  <c r="A3553" i="2"/>
  <c r="A5254" i="2"/>
  <c r="A3235" i="2"/>
  <c r="J3878" i="2"/>
  <c r="A4737" i="2"/>
  <c r="A2956" i="2"/>
  <c r="A1435" i="2"/>
  <c r="A4435" i="2"/>
  <c r="A2793" i="2"/>
  <c r="A5556" i="2"/>
  <c r="J2338" i="2"/>
  <c r="A5976" i="2"/>
  <c r="A2573" i="2"/>
  <c r="J4578" i="2"/>
  <c r="A3215" i="2"/>
  <c r="A1536" i="2"/>
  <c r="A5495" i="2"/>
  <c r="A1196" i="2"/>
  <c r="K4378" i="2"/>
  <c r="A1777" i="2"/>
  <c r="K5678" i="2"/>
  <c r="A3117" i="2"/>
  <c r="K5958" i="2"/>
  <c r="A4473" i="2"/>
  <c r="A4893" i="2"/>
  <c r="A3814" i="2"/>
  <c r="K4278" i="2"/>
  <c r="A2495" i="2"/>
  <c r="A4593" i="2"/>
  <c r="A3716" i="2"/>
  <c r="K4078" i="2"/>
  <c r="K2398" i="2"/>
  <c r="A1657" i="2"/>
  <c r="K3018" i="2"/>
  <c r="A5255" i="2"/>
  <c r="A3872" i="2"/>
  <c r="A3632" i="2"/>
  <c r="A2029" i="2"/>
  <c r="A1330" i="2"/>
  <c r="A4272" i="2"/>
  <c r="A1669" i="2"/>
  <c r="A5932" i="2"/>
  <c r="A5871" i="2"/>
  <c r="A2589" i="2"/>
  <c r="A1891" i="2"/>
  <c r="A3729" i="2"/>
  <c r="A1490" i="2"/>
  <c r="A5452" i="2"/>
  <c r="A4252" i="2"/>
  <c r="A5172" i="2"/>
  <c r="A1431" i="2"/>
  <c r="A4509" i="2"/>
  <c r="A4230" i="2"/>
  <c r="A4432" i="2"/>
  <c r="A3310" i="2"/>
  <c r="A3212" i="2"/>
  <c r="A1392" i="2"/>
  <c r="A2231" i="2"/>
  <c r="A5948" i="2"/>
  <c r="A5652" i="2"/>
  <c r="A3428" i="2"/>
  <c r="A3372" i="2"/>
  <c r="A3172" i="2"/>
  <c r="A4472" i="2"/>
  <c r="A4029" i="2"/>
  <c r="A5112" i="2"/>
  <c r="A3090" i="2"/>
  <c r="A2131" i="2"/>
  <c r="A1912" i="2"/>
  <c r="A3112" i="2"/>
  <c r="A1629" i="2"/>
  <c r="A1712" i="2"/>
  <c r="A1511" i="2"/>
  <c r="A4808" i="2"/>
  <c r="A1791" i="2"/>
  <c r="A3092" i="2"/>
  <c r="A1332" i="2"/>
  <c r="A4688" i="2"/>
  <c r="A3471" i="2"/>
  <c r="A3750" i="2"/>
  <c r="A2032" i="2"/>
  <c r="A5589" i="2"/>
  <c r="A4072" i="2"/>
  <c r="A4152" i="2"/>
  <c r="A2331" i="2"/>
  <c r="A3332" i="2"/>
  <c r="A1190" i="2"/>
  <c r="A4391" i="2"/>
  <c r="A2671" i="2"/>
  <c r="A5552" i="2"/>
  <c r="A5890" i="2"/>
  <c r="A2352" i="2"/>
  <c r="A3651" i="2"/>
  <c r="A4369" i="2"/>
  <c r="A2091" i="2"/>
  <c r="A2011" i="2"/>
  <c r="A3411" i="2"/>
  <c r="A5192" i="2"/>
  <c r="A3091" i="2"/>
  <c r="A3469" i="2"/>
  <c r="A2351" i="2"/>
  <c r="A3812" i="2"/>
  <c r="A1811" i="2"/>
  <c r="A3770" i="2"/>
  <c r="A2048" i="2"/>
  <c r="A2391" i="2"/>
  <c r="A4710" i="2"/>
  <c r="A4410" i="2"/>
  <c r="A5391" i="2"/>
  <c r="A4068" i="2"/>
  <c r="A1931" i="2"/>
  <c r="A1509" i="2"/>
  <c r="A5528" i="2"/>
  <c r="A3672" i="2"/>
  <c r="A1349" i="2"/>
  <c r="A1272" i="2"/>
  <c r="A4450" i="2"/>
  <c r="A4411" i="2"/>
  <c r="A2889" i="2"/>
  <c r="A4010" i="2"/>
  <c r="A1191" i="2"/>
  <c r="A5669" i="2"/>
  <c r="A4169" i="2"/>
  <c r="A5150" i="2"/>
  <c r="A5230" i="2"/>
  <c r="A2730" i="2"/>
  <c r="A4471" i="2"/>
  <c r="A4649" i="2"/>
  <c r="A5750" i="2"/>
  <c r="A3728" i="2"/>
  <c r="A5152" i="2"/>
  <c r="A1491" i="2"/>
  <c r="A2610" i="2"/>
  <c r="A4571" i="2"/>
  <c r="A4289" i="2"/>
  <c r="A2831" i="2"/>
  <c r="A2109" i="2"/>
  <c r="A3329" i="2"/>
  <c r="A4249" i="2"/>
  <c r="A2210" i="2"/>
  <c r="A4211" i="2"/>
  <c r="A3888" i="2"/>
  <c r="A3648" i="2"/>
  <c r="A1609" i="2"/>
  <c r="A3408" i="2"/>
  <c r="A3150" i="2"/>
  <c r="A4628" i="2"/>
  <c r="A3288" i="2"/>
  <c r="A4128" i="2"/>
  <c r="A1251" i="2"/>
  <c r="A4569" i="2"/>
  <c r="A5210" i="2"/>
  <c r="A2089" i="2"/>
  <c r="A2868" i="2"/>
  <c r="A2768" i="2"/>
  <c r="A3229" i="2"/>
  <c r="A3008" i="2"/>
  <c r="A4908" i="2"/>
  <c r="A3710" i="2"/>
  <c r="A2448" i="2"/>
  <c r="A1288" i="2"/>
  <c r="A4748" i="2"/>
  <c r="A2670" i="2"/>
  <c r="A2330" i="2"/>
  <c r="A4468" i="2"/>
  <c r="A5608" i="2"/>
  <c r="A3148" i="2"/>
  <c r="A5389" i="2"/>
  <c r="A5051" i="2"/>
  <c r="A3489" i="2"/>
  <c r="A2790" i="2"/>
  <c r="A4549" i="2"/>
  <c r="A1770" i="2"/>
  <c r="A4409" i="2"/>
  <c r="A1748" i="2"/>
  <c r="A3509" i="2"/>
  <c r="A5348" i="2"/>
  <c r="A3849" i="2"/>
  <c r="A5850" i="2"/>
  <c r="A1589" i="2"/>
  <c r="A5889" i="2"/>
  <c r="A4994" i="2"/>
  <c r="A2794" i="2"/>
  <c r="A5095" i="2"/>
  <c r="K1029" i="2"/>
  <c r="K5318" i="2"/>
  <c r="J4838" i="2"/>
  <c r="A1297" i="2"/>
  <c r="J4958" i="2"/>
  <c r="A2937" i="2"/>
  <c r="A2696" i="2"/>
  <c r="A4616" i="2"/>
  <c r="A4477" i="2"/>
  <c r="A5856" i="2"/>
  <c r="A5936" i="2"/>
  <c r="K5018" i="2"/>
  <c r="K2538" i="2"/>
  <c r="A3317" i="2"/>
  <c r="A3034" i="2"/>
  <c r="K5298" i="2"/>
  <c r="A4876" i="2"/>
  <c r="K3998" i="2"/>
  <c r="J4698" i="2"/>
  <c r="A4355" i="2"/>
  <c r="K2318" i="2"/>
  <c r="A2354" i="2"/>
  <c r="A5234" i="2"/>
  <c r="A3434" i="2"/>
  <c r="A2113" i="2"/>
  <c r="K2798" i="2"/>
  <c r="A2677" i="2"/>
  <c r="A5454" i="2"/>
  <c r="A2695" i="2"/>
  <c r="K2178" i="2"/>
  <c r="A1774" i="2"/>
  <c r="A3074" i="2"/>
  <c r="K3198" i="2"/>
  <c r="A5795" i="2"/>
  <c r="A5814" i="2"/>
  <c r="J2238" i="2"/>
  <c r="J2178" i="2"/>
  <c r="K3238" i="2"/>
  <c r="K5738" i="2"/>
  <c r="K3638" i="2"/>
  <c r="A4035" i="2"/>
  <c r="A3054" i="2"/>
  <c r="J5198" i="2"/>
  <c r="A4094" i="2"/>
  <c r="A3236" i="2"/>
  <c r="A5197" i="2"/>
  <c r="A4255" i="2"/>
  <c r="A4875" i="2"/>
  <c r="A4197" i="2"/>
  <c r="A4953" i="2"/>
  <c r="A4697" i="2"/>
  <c r="K949" i="2"/>
  <c r="A3333" i="2"/>
  <c r="A5894" i="2"/>
  <c r="J2598" i="2"/>
  <c r="A4295" i="2"/>
  <c r="K3098" i="2"/>
  <c r="A3534" i="2"/>
  <c r="A3876" i="2"/>
  <c r="K5238" i="2"/>
  <c r="A3473" i="2"/>
  <c r="J4758" i="2"/>
  <c r="A3953" i="2"/>
  <c r="A3935" i="2"/>
  <c r="A4453" i="2"/>
  <c r="A4814" i="2"/>
  <c r="K2238" i="2"/>
  <c r="A3537" i="2"/>
  <c r="A4717" i="2"/>
  <c r="K1278" i="2"/>
  <c r="A1555" i="2"/>
  <c r="A2134" i="2"/>
  <c r="A4133" i="2"/>
  <c r="K4978" i="2"/>
  <c r="K1088" i="2"/>
  <c r="K1089" i="2"/>
  <c r="A3315" i="2"/>
  <c r="A5073" i="2"/>
  <c r="K3698" i="2"/>
  <c r="A4735" i="2"/>
  <c r="J3338" i="2"/>
  <c r="A3753" i="2"/>
  <c r="A4273" i="2"/>
  <c r="A2674" i="2"/>
  <c r="A2775" i="2"/>
  <c r="A3155" i="2"/>
  <c r="A3593" i="2"/>
  <c r="A2255" i="2"/>
  <c r="A1576" i="2"/>
  <c r="K2578" i="2"/>
  <c r="K3598" i="2"/>
  <c r="J5478" i="2"/>
  <c r="A4794" i="2"/>
  <c r="J5318" i="2"/>
  <c r="J2918" i="2"/>
  <c r="A1273" i="2"/>
  <c r="A1393" i="2"/>
  <c r="A5394" i="2"/>
  <c r="A4394" i="2"/>
  <c r="A1394" i="2"/>
  <c r="K1638" i="2"/>
  <c r="J2458" i="2"/>
  <c r="A4191" i="2"/>
  <c r="A3272" i="2"/>
  <c r="A5951" i="2"/>
  <c r="A3352" i="2"/>
  <c r="A5551" i="2"/>
  <c r="A3829" i="2"/>
  <c r="A2191" i="2"/>
  <c r="A2532" i="2"/>
  <c r="A1232" i="2"/>
  <c r="A3949" i="2"/>
  <c r="A5852" i="2"/>
  <c r="A5012" i="2"/>
  <c r="A1451" i="2"/>
  <c r="A4812" i="2"/>
  <c r="A2349" i="2"/>
  <c r="A4392" i="2"/>
  <c r="A3129" i="2"/>
  <c r="A5629" i="2"/>
  <c r="A4248" i="2"/>
  <c r="A5032" i="2"/>
  <c r="A5371" i="2"/>
  <c r="A1231" i="2"/>
  <c r="A5632" i="2"/>
  <c r="A4172" i="2"/>
  <c r="A2789" i="2"/>
  <c r="A5329" i="2"/>
  <c r="A5591" i="2"/>
  <c r="A2249" i="2"/>
  <c r="A4592" i="2"/>
  <c r="A1992" i="2"/>
  <c r="A5430" i="2"/>
  <c r="A5832" i="2"/>
  <c r="A4652" i="2"/>
  <c r="A5091" i="2"/>
  <c r="A3549" i="2"/>
  <c r="A3810" i="2"/>
  <c r="A3909" i="2"/>
  <c r="A3132" i="2"/>
  <c r="A2112" i="2"/>
  <c r="A1610" i="2"/>
  <c r="A5992" i="2"/>
  <c r="A4969" i="2"/>
  <c r="A5712" i="2"/>
  <c r="A1691" i="2"/>
  <c r="A2652" i="2"/>
  <c r="A3832" i="2"/>
  <c r="A1572" i="2"/>
  <c r="A3609" i="2"/>
  <c r="A5010" i="2"/>
  <c r="A5090" i="2"/>
  <c r="A2851" i="2"/>
  <c r="A4132" i="2"/>
  <c r="A2972" i="2"/>
  <c r="A3429" i="2"/>
  <c r="A5070" i="2"/>
  <c r="A2892" i="2"/>
  <c r="A4572" i="2"/>
  <c r="A2751" i="2"/>
  <c r="A4889" i="2"/>
  <c r="A4412" i="2"/>
  <c r="A3391" i="2"/>
  <c r="A2169" i="2"/>
  <c r="A5291" i="2"/>
  <c r="A3491" i="2"/>
  <c r="A1828" i="2"/>
  <c r="A3110" i="2"/>
  <c r="A3990" i="2"/>
  <c r="A3512" i="2"/>
  <c r="A2852" i="2"/>
  <c r="A2429" i="2"/>
  <c r="A1228" i="2"/>
  <c r="A5930" i="2"/>
  <c r="A2770" i="2"/>
  <c r="A4831" i="2"/>
  <c r="A4951" i="2"/>
  <c r="A3649" i="2"/>
  <c r="A5251" i="2"/>
  <c r="A3708" i="2"/>
  <c r="A3291" i="2"/>
  <c r="A2012" i="2"/>
  <c r="A3830" i="2"/>
  <c r="A2269" i="2"/>
  <c r="A1170" i="2"/>
  <c r="A2088" i="2"/>
  <c r="A4308" i="2"/>
  <c r="A5031" i="2"/>
  <c r="A2228" i="2"/>
  <c r="A4810" i="2"/>
  <c r="A4712" i="2"/>
  <c r="A4008" i="2"/>
  <c r="A2552" i="2"/>
  <c r="A1169" i="2"/>
  <c r="A5208" i="2"/>
  <c r="A3711" i="2"/>
  <c r="A5088" i="2"/>
  <c r="A5370" i="2"/>
  <c r="A2968" i="2"/>
  <c r="A1632" i="2"/>
  <c r="A4232" i="2"/>
  <c r="A5609" i="2"/>
  <c r="A5092" i="2"/>
  <c r="A2608" i="2"/>
  <c r="A2990" i="2"/>
  <c r="A5411" i="2"/>
  <c r="A3869" i="2"/>
  <c r="A1588" i="2"/>
  <c r="A1929" i="2"/>
  <c r="A2268" i="2"/>
  <c r="A5408" i="2"/>
  <c r="A5792" i="2"/>
  <c r="A3409" i="2"/>
  <c r="A2910" i="2"/>
  <c r="A3590" i="2"/>
  <c r="A1709" i="2"/>
  <c r="A5788" i="2"/>
  <c r="A2068" i="2"/>
  <c r="A2609" i="2"/>
  <c r="A3249" i="2"/>
  <c r="A2669" i="2"/>
  <c r="A1270" i="2"/>
  <c r="A1710" i="2"/>
  <c r="A5870" i="2"/>
  <c r="A3610" i="2"/>
  <c r="A5768" i="2"/>
  <c r="A2708" i="2"/>
  <c r="A1910" i="2"/>
  <c r="A3668" i="2"/>
  <c r="A5732" i="2"/>
  <c r="A5029" i="2"/>
  <c r="A1331" i="2"/>
  <c r="A5990" i="2"/>
  <c r="A5968" i="2"/>
  <c r="A5449" i="2"/>
  <c r="A4210" i="2"/>
  <c r="A4910" i="2"/>
  <c r="A3349" i="2"/>
  <c r="A5869" i="2"/>
  <c r="A3808" i="2"/>
  <c r="A3308" i="2"/>
  <c r="A3450" i="2"/>
  <c r="A2569" i="2"/>
  <c r="A5929" i="2"/>
  <c r="A3188" i="2"/>
  <c r="A2309" i="2"/>
  <c r="A4989" i="2"/>
  <c r="A4568" i="2"/>
  <c r="J5398" i="2"/>
  <c r="K2638" i="2"/>
  <c r="A2216" i="2"/>
  <c r="A1374" i="2"/>
  <c r="A4457" i="2"/>
  <c r="J2678" i="2"/>
  <c r="A4174" i="2"/>
  <c r="A5374" i="2"/>
  <c r="A5533" i="2"/>
  <c r="A4594" i="2"/>
  <c r="J4278" i="2"/>
  <c r="A3776" i="2"/>
  <c r="A4254" i="2"/>
  <c r="A3273" i="2"/>
  <c r="K1578" i="2"/>
  <c r="A3773" i="2"/>
  <c r="A2735" i="2"/>
  <c r="J3598" i="2"/>
  <c r="A1556" i="2"/>
  <c r="A3873" i="2"/>
  <c r="J3378" i="2"/>
  <c r="A3734" i="2"/>
  <c r="K5998" i="2"/>
  <c r="A2016" i="2"/>
  <c r="A3817" i="2"/>
  <c r="A5076" i="2"/>
  <c r="A5133" i="2"/>
  <c r="K4658" i="2"/>
  <c r="A2957" i="2"/>
  <c r="A2297" i="2"/>
  <c r="J3138" i="2"/>
  <c r="A4415" i="2"/>
  <c r="J3478" i="2"/>
  <c r="A2455" i="2"/>
  <c r="K1178" i="2"/>
  <c r="A5213" i="2"/>
  <c r="A5514" i="2"/>
  <c r="A3635" i="2"/>
  <c r="A5075" i="2"/>
  <c r="A2854" i="2"/>
  <c r="J2658" i="2"/>
  <c r="J1878" i="2"/>
  <c r="A5613" i="2"/>
  <c r="A2195" i="2"/>
  <c r="A3095" i="2"/>
  <c r="A1815" i="2"/>
  <c r="A4075" i="2"/>
  <c r="J3998" i="2"/>
  <c r="A3637" i="2"/>
  <c r="A4537" i="2"/>
  <c r="J1458" i="2"/>
  <c r="A3754" i="2"/>
  <c r="A2596" i="2"/>
  <c r="J5598" i="2"/>
  <c r="A1816" i="2"/>
  <c r="J1008" i="2"/>
  <c r="A1835" i="2"/>
  <c r="K3818" i="2"/>
  <c r="K5518" i="2"/>
  <c r="A1596" i="2"/>
  <c r="A2395" i="2"/>
  <c r="A3374" i="2"/>
  <c r="A4456" i="2"/>
  <c r="K3038" i="2"/>
  <c r="K4818" i="2"/>
  <c r="A3833" i="2"/>
  <c r="A4854" i="2"/>
  <c r="K2378" i="2"/>
  <c r="K4998" i="2"/>
  <c r="A2655" i="2"/>
  <c r="A1977" i="2"/>
  <c r="K4898" i="2"/>
  <c r="A5297" i="2"/>
  <c r="A3454" i="2"/>
  <c r="A1415" i="2"/>
  <c r="A2257" i="2"/>
  <c r="A3356" i="2"/>
  <c r="K4678" i="2"/>
  <c r="A5816" i="2"/>
  <c r="K1028" i="2"/>
  <c r="K5098" i="2"/>
  <c r="A2396" i="2"/>
  <c r="A5893" i="2"/>
  <c r="K4918" i="2"/>
  <c r="K1618" i="2"/>
  <c r="A5016" i="2"/>
  <c r="A3697" i="2"/>
  <c r="A3355" i="2"/>
  <c r="K5758" i="2"/>
  <c r="A3917" i="2"/>
  <c r="A3253" i="2"/>
  <c r="A5713" i="2"/>
  <c r="A4256" i="2"/>
  <c r="A5974" i="2"/>
  <c r="A5873" i="2"/>
  <c r="J1738" i="2"/>
  <c r="A1197" i="2"/>
  <c r="A3997" i="2"/>
  <c r="A2277" i="2"/>
  <c r="J3558" i="2"/>
  <c r="J5238" i="2"/>
  <c r="J950" i="2"/>
  <c r="A1757" i="2"/>
  <c r="J4778" i="2"/>
  <c r="A1591" i="2"/>
  <c r="A5132" i="2"/>
  <c r="A3751" i="2"/>
  <c r="A4850" i="2"/>
  <c r="A2692" i="2"/>
  <c r="A5812" i="2"/>
  <c r="A4750" i="2"/>
  <c r="A1592" i="2"/>
  <c r="A4051" i="2"/>
  <c r="A2350" i="2"/>
  <c r="A2792" i="2"/>
  <c r="A3050" i="2"/>
  <c r="A2911" i="2"/>
  <c r="A5349" i="2"/>
  <c r="A5431" i="2"/>
  <c r="A3312" i="2"/>
  <c r="A1291" i="2"/>
  <c r="A3152" i="2"/>
  <c r="A1152" i="2"/>
  <c r="A3012" i="2"/>
  <c r="A4631" i="2"/>
  <c r="A3692" i="2"/>
  <c r="A3771" i="2"/>
  <c r="A2291" i="2"/>
  <c r="A3432" i="2"/>
  <c r="A3552" i="2"/>
  <c r="A1888" i="2"/>
  <c r="A1450" i="2"/>
  <c r="A5232" i="2"/>
  <c r="A1289" i="2"/>
  <c r="A2952" i="2"/>
  <c r="A2771" i="2"/>
  <c r="A4091" i="2"/>
  <c r="A3350" i="2"/>
  <c r="A3709" i="2"/>
  <c r="A1391" i="2"/>
  <c r="A2791" i="2"/>
  <c r="A1530" i="2"/>
  <c r="A1932" i="2"/>
  <c r="A1769" i="2"/>
  <c r="A5751" i="2"/>
  <c r="A1432" i="2"/>
  <c r="A5531" i="2"/>
  <c r="A4888" i="2"/>
  <c r="A2271" i="2"/>
  <c r="A3070" i="2"/>
  <c r="A5472" i="2"/>
  <c r="A4512" i="2"/>
  <c r="A4692" i="2"/>
  <c r="A5532" i="2"/>
  <c r="A2151" i="2"/>
  <c r="A1351" i="2"/>
  <c r="A5491" i="2"/>
  <c r="A2811" i="2"/>
  <c r="A2752" i="2"/>
  <c r="A1790" i="2"/>
  <c r="A4732" i="2"/>
  <c r="A1309" i="2"/>
  <c r="A4349" i="2"/>
  <c r="A1751" i="2"/>
  <c r="A4588" i="2"/>
  <c r="A4891" i="2"/>
  <c r="A3769" i="2"/>
  <c r="A2529" i="2"/>
  <c r="A4052" i="2"/>
  <c r="A3149" i="2"/>
  <c r="A4312" i="2"/>
  <c r="A5289" i="2"/>
  <c r="A2490" i="2"/>
  <c r="A1809" i="2"/>
  <c r="A1372" i="2"/>
  <c r="A3630" i="2"/>
  <c r="A1631" i="2"/>
  <c r="A2651" i="2"/>
  <c r="A2908" i="2"/>
  <c r="A2510" i="2"/>
  <c r="A5911" i="2"/>
  <c r="A4869" i="2"/>
  <c r="A1810" i="2"/>
  <c r="A2410" i="2"/>
  <c r="A3669" i="2"/>
  <c r="A2691" i="2"/>
  <c r="A5130" i="2"/>
  <c r="A2192" i="2"/>
  <c r="A4448" i="2"/>
  <c r="A1950" i="2"/>
  <c r="A5928" i="2"/>
  <c r="A4012" i="2"/>
  <c r="A4408" i="2"/>
  <c r="A1889" i="2"/>
  <c r="A3311" i="2"/>
  <c r="A5529" i="2"/>
  <c r="A2311" i="2"/>
  <c r="A5489" i="2"/>
  <c r="A2850" i="2"/>
  <c r="A4331" i="2"/>
  <c r="A4268" i="2"/>
  <c r="A4032" i="2"/>
  <c r="A5290" i="2"/>
  <c r="A5849" i="2"/>
  <c r="A3331" i="2"/>
  <c r="A5488" i="2"/>
  <c r="A3529" i="2"/>
  <c r="A4828" i="2"/>
  <c r="A4749" i="2"/>
  <c r="A5971" i="2"/>
  <c r="A2549" i="2"/>
  <c r="A3848" i="2"/>
  <c r="A4388" i="2"/>
  <c r="A4028" i="2"/>
  <c r="A2508" i="2"/>
  <c r="A5030" i="2"/>
  <c r="A1408" i="2"/>
  <c r="A4648" i="2"/>
  <c r="A3628" i="2"/>
  <c r="A2928" i="2"/>
  <c r="A1388" i="2"/>
  <c r="A4209" i="2"/>
  <c r="A5509" i="2"/>
  <c r="A5248" i="2"/>
  <c r="A5769" i="2"/>
  <c r="A2128" i="2"/>
  <c r="A3670" i="2"/>
  <c r="A4650" i="2"/>
  <c r="A4030" i="2"/>
  <c r="A3851" i="2"/>
  <c r="A5171" i="2"/>
  <c r="A2971" i="2"/>
  <c r="A2452" i="2"/>
  <c r="A2189" i="2"/>
  <c r="A1970" i="2"/>
  <c r="A5910" i="2"/>
  <c r="A4708" i="2"/>
  <c r="A1830" i="2"/>
  <c r="A5771" i="2"/>
  <c r="A3989" i="2"/>
  <c r="A2668" i="2"/>
  <c r="A5129" i="2"/>
  <c r="A3911" i="2"/>
  <c r="A1211" i="2"/>
  <c r="A4348" i="2"/>
  <c r="A4328" i="2"/>
  <c r="A2950" i="2"/>
  <c r="A4670" i="2"/>
  <c r="A2408" i="2"/>
  <c r="A5269" i="2"/>
  <c r="A1649" i="2"/>
  <c r="A2229" i="2"/>
  <c r="A4853" i="2"/>
  <c r="A5216" i="2"/>
  <c r="A1957" i="2"/>
  <c r="A4977" i="2"/>
  <c r="J3818" i="2"/>
  <c r="K5358" i="2"/>
  <c r="A3877" i="2"/>
  <c r="K3618" i="2"/>
  <c r="A4675" i="2"/>
  <c r="A5933" i="2"/>
  <c r="A5957" i="2"/>
  <c r="A5615" i="2"/>
  <c r="J4858" i="2"/>
  <c r="A4856" i="2"/>
  <c r="K3398" i="2"/>
  <c r="A5013" i="2"/>
  <c r="J1278" i="2"/>
  <c r="A2577" i="2"/>
  <c r="A2294" i="2"/>
  <c r="A2633" i="2"/>
  <c r="J949" i="2"/>
  <c r="A5114" i="2"/>
  <c r="K3958" i="2"/>
  <c r="A5997" i="2"/>
  <c r="A1474" i="2"/>
  <c r="A5274" i="2"/>
  <c r="K4718" i="2"/>
  <c r="A3913" i="2"/>
  <c r="A3093" i="2"/>
  <c r="A1557" i="2"/>
  <c r="K5798" i="2"/>
  <c r="J5418" i="2"/>
  <c r="K2698" i="2"/>
  <c r="A1436" i="2"/>
  <c r="A4397" i="2"/>
  <c r="A1335" i="2"/>
  <c r="A2594" i="2"/>
  <c r="A2196" i="2"/>
  <c r="A3797" i="2"/>
  <c r="A2836" i="2"/>
  <c r="A4813" i="2"/>
  <c r="K3578" i="2"/>
  <c r="A1633" i="2"/>
  <c r="A2974" i="2"/>
  <c r="A4815" i="2"/>
  <c r="K5258" i="2"/>
  <c r="J5378" i="2"/>
  <c r="A4393" i="2"/>
  <c r="A3157" i="2"/>
  <c r="A2973" i="2"/>
  <c r="K3478" i="2"/>
  <c r="A2175" i="2"/>
  <c r="A2875" i="2"/>
  <c r="A3413" i="2"/>
  <c r="A3337" i="2"/>
  <c r="K5198" i="2"/>
  <c r="A5074" i="2"/>
  <c r="A4194" i="2"/>
  <c r="A5655" i="2"/>
  <c r="A2554" i="2"/>
  <c r="A4416" i="2"/>
  <c r="A4714" i="2"/>
  <c r="A2873" i="2"/>
  <c r="A5113" i="2"/>
  <c r="A2893" i="2"/>
  <c r="A5315" i="2"/>
  <c r="A2774" i="2"/>
  <c r="J4458" i="2"/>
  <c r="A4315" i="2"/>
  <c r="A2334" i="2"/>
  <c r="A3496" i="2"/>
  <c r="A5797" i="2"/>
  <c r="A4156" i="2"/>
  <c r="K1418" i="2"/>
  <c r="A2413" i="2"/>
  <c r="A2813" i="2"/>
  <c r="K3438" i="2"/>
  <c r="A4694" i="2"/>
  <c r="A3513" i="2"/>
  <c r="A5635" i="2"/>
  <c r="A4334" i="2"/>
  <c r="A5174" i="2"/>
  <c r="A4677" i="2"/>
  <c r="J3058" i="2"/>
  <c r="A1217" i="2"/>
  <c r="A5155" i="2"/>
  <c r="J5138" i="2"/>
  <c r="J4498" i="2"/>
  <c r="K2258" i="2"/>
  <c r="A1454" i="2"/>
  <c r="J3698" i="2"/>
  <c r="A1575" i="2"/>
  <c r="J3278" i="2"/>
  <c r="A1594" i="2"/>
  <c r="A4275" i="2"/>
  <c r="A3714" i="2"/>
  <c r="A5695" i="2"/>
  <c r="K4518" i="2"/>
  <c r="J968" i="2"/>
  <c r="A3855" i="2"/>
  <c r="J1108" i="2"/>
  <c r="A2855" i="2"/>
  <c r="J2378" i="2"/>
  <c r="K4878" i="2"/>
  <c r="A3217" i="2"/>
  <c r="A1775" i="2"/>
  <c r="A5136" i="2"/>
  <c r="A3676" i="2"/>
  <c r="A5994" i="2"/>
  <c r="A2415" i="2"/>
  <c r="A5794" i="2"/>
  <c r="A4213" i="2"/>
  <c r="K3658" i="2"/>
  <c r="A1315" i="2"/>
  <c r="A2276" i="2"/>
  <c r="J3418" i="2"/>
  <c r="J5538" i="2"/>
  <c r="K4018" i="2"/>
  <c r="A4274" i="2"/>
  <c r="A3737" i="2"/>
  <c r="A5874" i="2"/>
  <c r="A3536" i="2"/>
  <c r="J3098" i="2"/>
  <c r="A5193" i="2"/>
  <c r="A3854" i="2"/>
  <c r="J3358" i="2"/>
  <c r="J2138" i="2"/>
  <c r="A5693" i="2"/>
  <c r="J3518" i="2"/>
  <c r="A1156" i="2"/>
  <c r="A4115" i="2"/>
  <c r="A5557" i="2"/>
  <c r="K3458" i="2"/>
  <c r="A4673" i="2"/>
  <c r="A1637" i="2"/>
  <c r="A4335" i="2"/>
  <c r="A4834" i="2"/>
  <c r="J3578" i="2"/>
  <c r="K948" i="2"/>
  <c r="A5153" i="2"/>
  <c r="A4733" i="2"/>
  <c r="A2913" i="2"/>
  <c r="J4078" i="2"/>
  <c r="A4817" i="2"/>
  <c r="K5598" i="2"/>
  <c r="A2916" i="2"/>
  <c r="K3798" i="2"/>
  <c r="K3498" i="2"/>
  <c r="K1068" i="2"/>
  <c r="K3378" i="2"/>
  <c r="A2296" i="2"/>
  <c r="A4655" i="2"/>
  <c r="K1718" i="2"/>
  <c r="A4997" i="2"/>
  <c r="J1238" i="2"/>
  <c r="A1814" i="2"/>
  <c r="A2377" i="2"/>
  <c r="A4513" i="2"/>
  <c r="J2438" i="2"/>
  <c r="A2317" i="2"/>
  <c r="J969" i="2"/>
  <c r="A4517" i="2"/>
  <c r="A3774" i="2"/>
  <c r="A2414" i="2"/>
  <c r="K4838" i="2"/>
  <c r="A1893" i="2"/>
  <c r="A2617" i="2"/>
  <c r="A4036" i="2"/>
  <c r="K2078" i="2"/>
  <c r="A1795" i="2"/>
  <c r="A2597" i="2"/>
  <c r="A1277" i="2"/>
  <c r="A5757" i="2"/>
  <c r="K4158" i="2"/>
  <c r="A4215" i="2"/>
  <c r="A5015" i="2"/>
  <c r="A5817" i="2"/>
  <c r="J1938" i="2"/>
  <c r="A5276" i="2"/>
  <c r="K1398" i="2"/>
  <c r="A4995" i="2"/>
  <c r="A3373" i="2"/>
  <c r="K3298" i="2"/>
  <c r="K1338" i="2"/>
  <c r="A2236" i="2"/>
  <c r="A2814" i="2"/>
  <c r="J4918" i="2"/>
  <c r="K1858" i="2"/>
  <c r="A2017" i="2"/>
  <c r="A5097" i="2"/>
  <c r="A4775" i="2"/>
  <c r="J4638" i="2"/>
  <c r="J4738" i="2"/>
  <c r="A5137" i="2"/>
  <c r="A3757" i="2"/>
  <c r="A3417" i="2"/>
  <c r="J5578" i="2"/>
  <c r="J4298" i="2"/>
  <c r="A3297" i="2"/>
  <c r="J4318" i="2"/>
  <c r="A1294" i="2"/>
  <c r="J3238" i="2"/>
  <c r="A3194" i="2"/>
  <c r="A5516" i="2"/>
  <c r="K5398" i="2"/>
  <c r="K5218" i="2"/>
  <c r="A1257" i="2"/>
  <c r="J5158" i="2"/>
  <c r="J1818" i="2"/>
  <c r="A3335" i="2"/>
  <c r="A3834" i="2"/>
  <c r="A5877" i="2"/>
  <c r="A2995" i="2"/>
  <c r="A5756" i="2"/>
  <c r="A4796" i="2"/>
  <c r="J2078" i="2"/>
  <c r="A4776" i="2"/>
  <c r="A3713" i="2"/>
  <c r="A4417" i="2"/>
  <c r="A4857" i="2"/>
  <c r="A5295" i="2"/>
  <c r="A3996" i="2"/>
  <c r="A4693" i="2"/>
  <c r="A1954" i="2"/>
  <c r="A5694" i="2"/>
  <c r="A5014" i="2"/>
  <c r="K2118" i="2"/>
  <c r="K5858" i="2"/>
  <c r="A4974" i="2"/>
  <c r="A3073" i="2"/>
  <c r="A3016" i="2"/>
  <c r="J2218" i="2"/>
  <c r="A3193" i="2"/>
  <c r="A4676" i="2"/>
  <c r="K2298" i="2"/>
  <c r="A5116" i="2"/>
  <c r="A2456" i="2"/>
  <c r="J2998" i="2"/>
  <c r="A2435" i="2"/>
  <c r="A5554" i="2"/>
  <c r="A1175" i="2"/>
  <c r="A5157" i="2"/>
  <c r="A5996" i="2"/>
  <c r="A2355" i="2"/>
  <c r="A2555" i="2"/>
  <c r="A3557" i="2"/>
  <c r="A2717" i="2"/>
  <c r="A4634" i="2"/>
  <c r="J5358" i="2"/>
  <c r="A5296" i="2"/>
  <c r="A4554" i="2"/>
  <c r="K2918" i="2"/>
  <c r="J4018" i="2"/>
  <c r="K4178" i="2"/>
  <c r="A2436" i="2"/>
  <c r="A1336" i="2"/>
  <c r="K2158" i="2"/>
  <c r="A5474" i="2"/>
  <c r="K4638" i="2"/>
  <c r="A4353" i="2"/>
  <c r="J3438" i="2"/>
  <c r="A1417" i="2"/>
  <c r="A3556" i="2"/>
  <c r="A4494" i="2"/>
  <c r="A3517" i="2"/>
  <c r="A4734" i="2"/>
  <c r="A2097" i="2"/>
  <c r="A5577" i="2"/>
  <c r="A2557" i="2"/>
  <c r="A5196" i="2"/>
  <c r="A1677" i="2"/>
  <c r="K1978" i="2"/>
  <c r="A2114" i="2"/>
  <c r="J1089" i="2"/>
  <c r="A4093" i="2"/>
  <c r="A1754" i="2"/>
  <c r="A3134" i="2"/>
  <c r="J3718" i="2"/>
  <c r="J2358" i="2"/>
  <c r="A1154" i="2"/>
  <c r="A5497" i="2"/>
  <c r="A2817" i="2"/>
  <c r="A3396" i="2"/>
  <c r="J1028" i="2"/>
  <c r="J2118" i="2"/>
  <c r="A1817" i="2"/>
  <c r="A5696" i="2"/>
  <c r="K5658" i="2"/>
  <c r="A4716" i="2"/>
  <c r="A1176" i="2"/>
  <c r="A3213" i="2"/>
  <c r="A2755" i="2"/>
  <c r="A2437" i="2"/>
  <c r="A4497" i="2"/>
  <c r="A4054" i="2"/>
  <c r="K4398" i="2"/>
  <c r="A3974" i="2"/>
  <c r="A3397" i="2"/>
  <c r="A1237" i="2"/>
  <c r="A4217" i="2"/>
  <c r="K1818" i="2"/>
  <c r="A5753" i="2"/>
  <c r="K1258" i="2"/>
  <c r="A4637" i="2"/>
  <c r="J5838" i="2"/>
  <c r="A5055" i="2"/>
  <c r="J4398" i="2"/>
  <c r="J4618" i="2"/>
  <c r="J3538" i="2"/>
  <c r="K3558" i="2"/>
  <c r="A2773" i="2"/>
  <c r="A2177" i="2"/>
  <c r="K4738" i="2"/>
  <c r="A4437" i="2"/>
  <c r="K1918" i="2"/>
  <c r="A3493" i="2"/>
  <c r="A3994" i="2"/>
  <c r="K4118" i="2"/>
  <c r="K969" i="2"/>
  <c r="A4757" i="2"/>
  <c r="A4333" i="2"/>
  <c r="A2654" i="2"/>
  <c r="A5576" i="2"/>
  <c r="A4193" i="2"/>
  <c r="J5098" i="2"/>
  <c r="A1953" i="2"/>
  <c r="A5337" i="2"/>
  <c r="A1837" i="2"/>
  <c r="A2256" i="2"/>
  <c r="A1933" i="2"/>
  <c r="J3898" i="2"/>
  <c r="A2656" i="2"/>
  <c r="A4336" i="2"/>
  <c r="K2878" i="2"/>
  <c r="A3616" i="2"/>
  <c r="A5237" i="2"/>
  <c r="J4338" i="2"/>
  <c r="A4095" i="2"/>
  <c r="A2976" i="2"/>
  <c r="A3796" i="2"/>
  <c r="A2955" i="2"/>
  <c r="A3316" i="2"/>
  <c r="A4135" i="2"/>
  <c r="K989" i="2"/>
  <c r="A1897" i="2"/>
  <c r="A5457" i="2"/>
  <c r="A1293" i="2"/>
  <c r="A5117" i="2"/>
  <c r="A4153" i="2"/>
  <c r="A3735" i="2"/>
  <c r="A5215" i="2"/>
  <c r="A1375" i="2"/>
  <c r="A5376" i="2"/>
  <c r="A3896" i="2"/>
  <c r="A4013" i="2"/>
  <c r="A4837" i="2"/>
  <c r="A2116" i="2"/>
  <c r="A1337" i="2"/>
  <c r="A1697" i="2"/>
  <c r="A4933" i="2"/>
  <c r="A1256" i="2"/>
  <c r="J1198" i="2"/>
  <c r="J2298" i="2"/>
  <c r="A5876" i="2"/>
  <c r="K1108" i="2"/>
  <c r="J4978" i="2"/>
  <c r="A5373" i="2"/>
  <c r="K2858" i="2"/>
  <c r="A1597" i="2"/>
  <c r="J2278" i="2"/>
  <c r="A1716" i="2"/>
  <c r="A1495" i="2"/>
  <c r="A2614" i="2"/>
  <c r="A2613" i="2"/>
  <c r="A1535" i="2"/>
  <c r="J1090" i="2"/>
  <c r="A2237" i="2"/>
  <c r="A3455" i="2"/>
  <c r="J3398" i="2"/>
  <c r="J5758" i="2"/>
  <c r="A4577" i="2"/>
  <c r="A3393" i="2"/>
  <c r="J2578" i="2"/>
  <c r="J1658" i="2"/>
  <c r="A3597" i="2"/>
  <c r="A4877" i="2"/>
  <c r="A4356" i="2"/>
  <c r="A1254" i="2"/>
  <c r="A2076" i="2"/>
  <c r="A5414" i="2"/>
  <c r="A1376" i="2"/>
  <c r="A5475" i="2"/>
  <c r="A4874" i="2"/>
  <c r="A4076" i="2"/>
  <c r="J1048" i="2"/>
  <c r="J1378" i="2"/>
  <c r="J4658" i="2"/>
  <c r="A3815" i="2"/>
  <c r="A1636" i="2"/>
  <c r="J1009" i="2"/>
  <c r="A4074" i="2"/>
  <c r="A1153" i="2"/>
  <c r="A1935" i="2"/>
  <c r="A1675" i="2"/>
  <c r="A3893" i="2"/>
  <c r="A3695" i="2"/>
  <c r="K4618" i="2"/>
  <c r="A3153" i="2"/>
  <c r="K2338" i="2"/>
  <c r="A2496" i="2"/>
  <c r="A3654" i="2"/>
  <c r="A4715" i="2"/>
  <c r="A5397" i="2"/>
  <c r="J2558" i="2"/>
  <c r="K5078" i="2"/>
  <c r="K1898" i="2"/>
  <c r="A1857" i="2"/>
  <c r="A2616" i="2"/>
  <c r="A5294" i="2"/>
  <c r="A5975" i="2"/>
  <c r="A3755" i="2"/>
  <c r="J1418" i="2"/>
  <c r="J1918" i="2"/>
  <c r="J5038" i="2"/>
  <c r="J989" i="2"/>
  <c r="A5496" i="2"/>
  <c r="A3276" i="2"/>
  <c r="A5396" i="2"/>
  <c r="J1128" i="2"/>
  <c r="A5316" i="2"/>
  <c r="K4318" i="2"/>
  <c r="A5356" i="2"/>
  <c r="A3216" i="2"/>
  <c r="A3275" i="2"/>
  <c r="A1456" i="2"/>
  <c r="J2058" i="2"/>
  <c r="A2096" i="2"/>
  <c r="J2618" i="2"/>
  <c r="A2233" i="2"/>
  <c r="A5336" i="2"/>
  <c r="A2194" i="2"/>
  <c r="J5998" i="2"/>
  <c r="J2098" i="2"/>
  <c r="A5493" i="2"/>
  <c r="J3938" i="2"/>
  <c r="J1109" i="2"/>
  <c r="K970" i="2"/>
  <c r="A3457" i="2"/>
  <c r="J5118" i="2"/>
  <c r="A3453" i="2"/>
  <c r="A3414" i="2"/>
  <c r="A1975" i="2"/>
  <c r="A5595" i="2"/>
  <c r="A1993" i="2"/>
  <c r="A3456" i="2"/>
  <c r="A3973" i="2"/>
  <c r="J2698" i="2"/>
  <c r="A3035" i="2"/>
  <c r="A3573" i="2"/>
  <c r="K2018" i="2"/>
  <c r="K1478" i="2"/>
  <c r="A3816" i="2"/>
  <c r="A1773" i="2"/>
  <c r="A3577" i="2"/>
  <c r="K1798" i="2"/>
  <c r="J4158" i="2"/>
  <c r="A4316" i="2"/>
  <c r="A4795" i="2"/>
  <c r="A4575" i="2"/>
  <c r="K5058" i="2"/>
  <c r="A5993" i="2"/>
  <c r="J2198" i="2"/>
  <c r="A3673" i="2"/>
  <c r="A1515" i="2"/>
  <c r="A1714" i="2"/>
  <c r="A4057" i="2"/>
  <c r="A1656" i="2"/>
  <c r="K1009" i="2"/>
  <c r="A3596" i="2"/>
  <c r="K5418" i="2"/>
  <c r="K3418" i="2"/>
  <c r="J4418" i="2"/>
  <c r="A2837" i="2"/>
  <c r="A5736" i="2"/>
  <c r="A3794" i="2"/>
  <c r="K3078" i="2"/>
  <c r="A2117" i="2"/>
  <c r="A4556" i="2"/>
  <c r="A5973" i="2"/>
  <c r="A4976" i="2"/>
  <c r="A2476" i="2"/>
  <c r="K1069" i="2"/>
  <c r="A4317" i="2"/>
  <c r="A3336" i="2"/>
  <c r="J5678" i="2"/>
  <c r="A5654" i="2"/>
  <c r="J3678" i="2"/>
  <c r="K3758" i="2"/>
  <c r="A2215" i="2"/>
  <c r="A1434" i="2"/>
  <c r="A2877" i="2"/>
  <c r="J1978" i="2"/>
  <c r="J3778" i="2"/>
  <c r="J2978" i="2"/>
  <c r="A4413" i="2"/>
  <c r="A1475" i="2"/>
  <c r="A2176" i="2"/>
  <c r="A3633" i="2"/>
  <c r="K5638" i="2"/>
  <c r="J1398" i="2"/>
  <c r="A2497" i="2"/>
  <c r="J3738" i="2"/>
  <c r="K5778" i="2"/>
  <c r="J1129" i="2"/>
  <c r="J3298" i="2"/>
  <c r="J4938" i="2"/>
  <c r="K5338" i="2"/>
  <c r="K5378" i="2"/>
  <c r="K4798" i="2"/>
  <c r="J1758" i="2"/>
  <c r="A4476" i="2"/>
  <c r="A5033" i="2"/>
  <c r="K3118" i="2"/>
  <c r="A3057" i="2"/>
  <c r="A1397" i="2"/>
  <c r="A5476" i="2"/>
  <c r="A2093" i="2"/>
  <c r="A4154" i="2"/>
  <c r="A4934" i="2"/>
  <c r="K3898" i="2"/>
  <c r="A4296" i="2"/>
  <c r="J4258" i="2"/>
  <c r="A3254" i="2"/>
  <c r="K1498" i="2"/>
  <c r="J2838" i="2"/>
  <c r="K3858" i="2"/>
  <c r="A5277" i="2"/>
  <c r="J5278" i="2"/>
  <c r="A4816" i="2"/>
  <c r="A1496" i="2"/>
  <c r="A1654" i="2"/>
  <c r="J1358" i="2"/>
  <c r="K5438" i="2"/>
  <c r="J1678" i="2"/>
  <c r="A1615" i="2"/>
  <c r="A3675" i="2"/>
  <c r="A3515" i="2"/>
  <c r="A2894" i="2"/>
  <c r="A5697" i="2"/>
  <c r="K4938" i="2"/>
  <c r="A4117" i="2"/>
  <c r="A4116" i="2"/>
  <c r="A1873" i="2"/>
  <c r="K2678" i="2"/>
  <c r="A2574" i="2"/>
  <c r="J1698" i="2"/>
  <c r="A2753" i="2"/>
  <c r="A3894" i="2"/>
  <c r="A1274" i="2"/>
  <c r="K2038" i="2"/>
  <c r="A5214" i="2"/>
  <c r="K1878" i="2"/>
  <c r="A5293" i="2"/>
  <c r="A5453" i="2"/>
  <c r="K5278" i="2"/>
  <c r="A5056" i="2"/>
  <c r="A3474" i="2"/>
  <c r="A3615" i="2"/>
  <c r="A1996" i="2"/>
  <c r="A2693" i="2"/>
  <c r="A1455" i="2"/>
  <c r="J4438" i="2"/>
  <c r="A2037" i="2"/>
  <c r="A2273" i="2"/>
  <c r="K1049" i="2"/>
  <c r="A3237" i="2"/>
  <c r="A3856" i="2"/>
  <c r="J4238" i="2"/>
  <c r="A4917" i="2"/>
  <c r="A3097" i="2"/>
  <c r="A5675" i="2"/>
  <c r="A1755" i="2"/>
  <c r="A3196" i="2"/>
  <c r="J5618" i="2"/>
  <c r="A4633" i="2"/>
  <c r="J5878" i="2"/>
  <c r="A5934" i="2"/>
  <c r="A1215" i="2"/>
  <c r="A1976" i="2"/>
  <c r="A5413" i="2"/>
  <c r="A2295" i="2"/>
  <c r="A3435" i="2"/>
  <c r="A4077" i="2"/>
  <c r="A3656" i="2"/>
  <c r="A1317" i="2"/>
  <c r="A2357" i="2"/>
  <c r="K4558" i="2"/>
  <c r="A1177" i="2"/>
  <c r="A2595" i="2"/>
  <c r="A1673" i="2"/>
  <c r="A4297" i="2"/>
  <c r="A4915" i="2"/>
  <c r="A2275" i="2"/>
  <c r="A4596" i="2"/>
  <c r="A3937" i="2"/>
  <c r="A4354" i="2"/>
  <c r="A3437" i="2"/>
  <c r="J5458" i="2"/>
  <c r="K968" i="2"/>
  <c r="A4294" i="2"/>
  <c r="A4996" i="2"/>
  <c r="K1778" i="2"/>
  <c r="A2653" i="2"/>
  <c r="A5253" i="2"/>
  <c r="J4598" i="2"/>
  <c r="A3853" i="2"/>
  <c r="K1838" i="2"/>
  <c r="J2778" i="2"/>
  <c r="A3477" i="2"/>
  <c r="K1129" i="2"/>
  <c r="A3736" i="2"/>
  <c r="A1553" i="2"/>
  <c r="A3554" i="2"/>
  <c r="A4033" i="2"/>
  <c r="A5314" i="2"/>
  <c r="A1614" i="2"/>
  <c r="A4097" i="2"/>
  <c r="A3634" i="2"/>
  <c r="K4298" i="2"/>
  <c r="A5333" i="2"/>
  <c r="A5896" i="2"/>
  <c r="K1198" i="2"/>
  <c r="A5534" i="2"/>
  <c r="K3838" i="2"/>
  <c r="A4436" i="2"/>
  <c r="B238" i="20"/>
  <c r="K3318" i="2"/>
  <c r="A5455" i="2"/>
  <c r="A2217" i="2"/>
  <c r="A3976" i="2"/>
  <c r="A4037" i="2"/>
  <c r="A5636" i="2"/>
  <c r="A1916" i="2"/>
  <c r="A5855" i="2"/>
  <c r="J5258" i="2"/>
  <c r="A5774" i="2"/>
  <c r="K2778" i="2"/>
  <c r="A4656" i="2"/>
  <c r="K1738" i="2"/>
  <c r="A2996" i="2"/>
  <c r="K2978" i="2"/>
  <c r="A5633" i="2"/>
  <c r="A4373" i="2"/>
  <c r="A3954" i="2"/>
  <c r="A5093" i="2"/>
  <c r="A3775" i="2"/>
  <c r="J4098" i="2"/>
  <c r="A4055" i="2"/>
  <c r="A4137" i="2"/>
  <c r="A2353" i="2"/>
  <c r="A2915" i="2"/>
  <c r="A2015" i="2"/>
  <c r="A4615" i="2"/>
  <c r="A5857" i="2"/>
  <c r="A1295" i="2"/>
  <c r="J2638" i="2"/>
  <c r="A5377" i="2"/>
  <c r="A4836" i="2"/>
  <c r="A5217" i="2"/>
  <c r="A1216" i="2"/>
  <c r="A5735" i="2"/>
  <c r="A4654" i="2"/>
  <c r="J4178" i="2"/>
  <c r="J4198" i="2"/>
  <c r="A5875" i="2"/>
  <c r="A4914" i="2"/>
  <c r="A1856" i="2"/>
  <c r="A4493" i="2"/>
  <c r="A3655" i="2"/>
  <c r="A4474" i="2"/>
  <c r="A1214" i="2"/>
  <c r="A2714" i="2"/>
  <c r="A3795" i="2"/>
  <c r="A4314" i="2"/>
  <c r="K5618" i="2"/>
  <c r="J4358" i="2"/>
  <c r="A1617" i="2"/>
  <c r="A3274" i="2"/>
  <c r="A4913" i="2"/>
  <c r="A5793" i="2"/>
  <c r="A4034" i="2"/>
  <c r="A5115" i="2"/>
  <c r="A4455" i="2"/>
  <c r="J2758" i="2"/>
  <c r="A3717" i="2"/>
  <c r="A5135" i="2"/>
  <c r="J4038" i="2"/>
  <c r="A3174" i="2"/>
  <c r="A5256" i="2"/>
  <c r="A4674" i="2"/>
  <c r="K3258" i="2"/>
  <c r="K4238" i="2"/>
  <c r="A1695" i="2"/>
  <c r="A5614" i="2"/>
  <c r="A1956" i="2"/>
  <c r="J5818" i="2"/>
  <c r="J1958" i="2"/>
  <c r="A5096" i="2"/>
  <c r="K1538" i="2"/>
  <c r="A2153" i="2"/>
  <c r="A5597" i="2"/>
  <c r="A5835" i="2"/>
  <c r="A2934" i="2"/>
  <c r="A5897" i="2"/>
  <c r="J3318" i="2"/>
  <c r="A1233" i="2"/>
  <c r="A5755" i="2"/>
  <c r="A2293" i="2"/>
  <c r="A5134" i="2"/>
  <c r="J1258" i="2"/>
  <c r="A3636" i="2"/>
  <c r="J3978" i="2"/>
  <c r="A1715" i="2"/>
  <c r="A5593" i="2"/>
  <c r="A1796" i="2"/>
  <c r="A1395" i="2"/>
  <c r="J5438" i="2"/>
  <c r="A5434" i="2"/>
  <c r="A2777" i="2"/>
  <c r="A2716" i="2"/>
  <c r="A3857" i="2"/>
  <c r="A1813" i="2"/>
  <c r="B239" i="3"/>
  <c r="K4758" i="2"/>
  <c r="A5415" i="2"/>
  <c r="J3158" i="2"/>
  <c r="A3156" i="2"/>
  <c r="K3978" i="2"/>
  <c r="A3077" i="2"/>
  <c r="A4514" i="2"/>
  <c r="A3017" i="2"/>
  <c r="K4258" i="2"/>
  <c r="A3475" i="2"/>
  <c r="A1634" i="2"/>
  <c r="A1994" i="2"/>
  <c r="A2734" i="2"/>
  <c r="A5416" i="2"/>
  <c r="A2154" i="2"/>
  <c r="A4617" i="2"/>
  <c r="K1938" i="2"/>
  <c r="J5078" i="2"/>
  <c r="K4438" i="2"/>
  <c r="A2697" i="2"/>
  <c r="B219" i="3"/>
  <c r="K2518" i="2"/>
  <c r="J3258" i="2"/>
  <c r="J5698" i="2"/>
  <c r="A4657" i="2"/>
  <c r="A4636" i="2"/>
  <c r="A3314" i="2"/>
  <c r="K5478" i="2"/>
  <c r="A5053" i="2"/>
  <c r="J3638" i="2"/>
  <c r="A3777" i="2"/>
  <c r="A2977" i="2"/>
  <c r="J1069" i="2"/>
  <c r="A2834" i="2"/>
  <c r="A1537" i="2"/>
  <c r="B235" i="20"/>
  <c r="K3538" i="2"/>
  <c r="A4015" i="2"/>
  <c r="A4236" i="2"/>
  <c r="A4916" i="2"/>
  <c r="A2537" i="2"/>
  <c r="A1694" i="2"/>
  <c r="A4113" i="2"/>
  <c r="K5938" i="2"/>
  <c r="A5773" i="2"/>
  <c r="A1616" i="2"/>
  <c r="A1316" i="2"/>
  <c r="A4557" i="2"/>
  <c r="J3798" i="2"/>
  <c r="A1713" i="2"/>
  <c r="J2738" i="2"/>
  <c r="A1433" i="2"/>
  <c r="K2098" i="2"/>
  <c r="K5918" i="2"/>
  <c r="J1518" i="2"/>
  <c r="J3218" i="2"/>
  <c r="A3897" i="2"/>
  <c r="A1296" i="2"/>
  <c r="A3733" i="2"/>
  <c r="A3995" i="2"/>
  <c r="J5658" i="2"/>
  <c r="A1693" i="2"/>
  <c r="A1517" i="2"/>
  <c r="A2373" i="2"/>
  <c r="A1936" i="2"/>
  <c r="A5915" i="2"/>
  <c r="A3657" i="2"/>
  <c r="A2795" i="2"/>
  <c r="K2718" i="2"/>
  <c r="A2533" i="2"/>
  <c r="A2776" i="2"/>
  <c r="J5718" i="2"/>
  <c r="A5953" i="2"/>
  <c r="J5738" i="2"/>
  <c r="A3353" i="2"/>
  <c r="A1577" i="2"/>
  <c r="K5178" i="2"/>
  <c r="J1318" i="2"/>
  <c r="A1655" i="2"/>
  <c r="K3878" i="2"/>
  <c r="A3977" i="2"/>
  <c r="A2457" i="2"/>
  <c r="A4773" i="2"/>
  <c r="A5674" i="2"/>
  <c r="A5716" i="2"/>
  <c r="A2715" i="2"/>
  <c r="A1554" i="2"/>
  <c r="A4613" i="2"/>
  <c r="A2235" i="2"/>
  <c r="J3018" i="2"/>
  <c r="A2474" i="2"/>
  <c r="A2333" i="2"/>
  <c r="A4576" i="2"/>
  <c r="A2053" i="2"/>
  <c r="A2857" i="2"/>
  <c r="A4754" i="2"/>
  <c r="A2517" i="2"/>
  <c r="A4235" i="2"/>
  <c r="A5236" i="2"/>
  <c r="A4177" i="2"/>
  <c r="A1734" i="2"/>
  <c r="A3176" i="2"/>
  <c r="A4214" i="2"/>
  <c r="A2213" i="2"/>
  <c r="A5355" i="2"/>
  <c r="A3433" i="2"/>
  <c r="A1377" i="2"/>
  <c r="K5118" i="2"/>
  <c r="A5777" i="2"/>
  <c r="A2835" i="2"/>
  <c r="A1497" i="2"/>
  <c r="A5194" i="2"/>
  <c r="A1937" i="2"/>
  <c r="A3574" i="2"/>
  <c r="A2954" i="2"/>
  <c r="A4956" i="2"/>
  <c r="A2376" i="2"/>
  <c r="A5573" i="2"/>
  <c r="A2433" i="2"/>
  <c r="A5417" i="2"/>
  <c r="K3138" i="2"/>
  <c r="J1718" i="2"/>
  <c r="A2874" i="2"/>
  <c r="K1298" i="2"/>
  <c r="A2473" i="2"/>
  <c r="A4257" i="2"/>
  <c r="K990" i="2"/>
  <c r="J1838" i="2"/>
  <c r="A1314" i="2"/>
  <c r="A3096" i="2"/>
  <c r="A3076" i="2"/>
  <c r="A3255" i="2"/>
  <c r="A3576" i="2"/>
  <c r="K1090" i="2"/>
  <c r="A4595" i="2"/>
  <c r="A1895" i="2"/>
  <c r="A4936" i="2"/>
  <c r="K4098" i="2"/>
  <c r="K3678" i="2"/>
  <c r="A4175" i="2"/>
  <c r="J1338" i="2"/>
  <c r="A1333" i="2"/>
  <c r="A4375" i="2"/>
  <c r="A4955" i="2"/>
  <c r="A2135" i="2"/>
  <c r="A5715" i="2"/>
  <c r="A2115" i="2"/>
  <c r="J4518" i="2"/>
  <c r="K5838" i="2"/>
  <c r="K2898" i="2"/>
  <c r="A5813" i="2"/>
  <c r="A1174" i="2"/>
  <c r="A4873" i="2"/>
  <c r="J1998" i="2"/>
  <c r="A2556" i="2"/>
  <c r="J2318" i="2"/>
  <c r="A2675" i="2"/>
  <c r="A5395" i="2"/>
  <c r="J4558" i="2"/>
  <c r="A3993" i="2"/>
  <c r="J5058" i="2"/>
  <c r="J2498" i="2"/>
  <c r="A5335" i="2"/>
  <c r="A3936" i="2"/>
  <c r="A5916" i="2"/>
  <c r="J4118" i="2"/>
  <c r="A2935" i="2"/>
  <c r="A3113" i="2"/>
  <c r="K5558" i="2"/>
  <c r="A4894" i="2"/>
  <c r="A3914" i="2"/>
  <c r="A2094" i="2"/>
  <c r="J1049" i="2"/>
  <c r="A5173" i="2"/>
  <c r="A2477" i="2"/>
  <c r="A3533" i="2"/>
  <c r="A4173" i="2"/>
  <c r="A5456" i="2"/>
  <c r="A3874" i="2"/>
  <c r="J3078" i="2"/>
  <c r="A1997" i="2"/>
  <c r="A3233" i="2"/>
  <c r="K4498" i="2"/>
  <c r="A2136" i="2"/>
  <c r="K4218" i="2"/>
  <c r="K2438" i="2"/>
  <c r="A2077" i="2"/>
  <c r="A5837" i="2"/>
  <c r="A4954" i="2"/>
  <c r="J1638" i="2"/>
  <c r="A3394" i="2"/>
  <c r="J1178" i="2"/>
  <c r="A5195" i="2"/>
  <c r="A4793" i="2"/>
  <c r="J1858" i="2"/>
  <c r="J2818" i="2"/>
  <c r="A5656" i="2"/>
  <c r="A3613" i="2"/>
  <c r="A5436" i="2"/>
  <c r="A1173" i="2"/>
  <c r="J4478" i="2"/>
  <c r="A1457" i="2"/>
  <c r="A5154" i="2"/>
  <c r="A5515" i="2"/>
  <c r="A1353" i="2"/>
  <c r="A2035" i="2"/>
  <c r="A3014" i="2"/>
  <c r="A2137" i="2"/>
  <c r="J5778" i="2"/>
  <c r="A2315" i="2"/>
  <c r="A5895" i="2"/>
  <c r="A3137" i="2"/>
  <c r="A2274" i="2"/>
  <c r="A3696" i="2"/>
  <c r="J1578" i="2"/>
  <c r="K1318" i="2"/>
  <c r="K1378" i="2"/>
  <c r="J3918" i="2"/>
  <c r="A1955" i="2"/>
  <c r="A1356" i="2"/>
  <c r="A5034" i="2"/>
  <c r="K4358" i="2"/>
  <c r="K5578" i="2"/>
  <c r="A3313" i="2"/>
  <c r="A5717" i="2"/>
  <c r="A1836" i="2"/>
  <c r="A1255" i="2"/>
  <c r="A4696" i="2"/>
  <c r="A5054" i="2"/>
  <c r="A5494" i="2"/>
  <c r="A2634" i="2"/>
  <c r="K2198" i="2"/>
  <c r="A2416" i="2"/>
  <c r="A2336" i="2"/>
  <c r="A1534" i="2"/>
  <c r="A2454" i="2"/>
  <c r="A4114" i="2"/>
  <c r="J5858" i="2"/>
  <c r="K1518" i="2"/>
  <c r="K5978" i="2"/>
  <c r="A3296" i="2"/>
  <c r="A2234" i="2"/>
  <c r="J4798" i="2"/>
  <c r="A2453" i="2"/>
  <c r="A3617" i="2"/>
  <c r="A2737" i="2"/>
  <c r="K1158" i="2"/>
  <c r="K5458" i="2"/>
  <c r="A2074" i="2"/>
  <c r="K1558" i="2"/>
  <c r="A1797" i="2"/>
  <c r="A1717" i="2"/>
  <c r="A3277" i="2"/>
  <c r="K4698" i="2"/>
  <c r="A4597" i="2"/>
  <c r="A3177" i="2"/>
  <c r="A2994" i="2"/>
  <c r="A1573" i="2"/>
  <c r="A1855" i="2"/>
  <c r="A3214" i="2"/>
  <c r="A3136" i="2"/>
  <c r="A3416" i="2"/>
  <c r="A1917" i="2"/>
  <c r="J5938" i="2"/>
  <c r="A2636" i="2"/>
  <c r="K2598" i="2"/>
  <c r="K2998" i="2"/>
  <c r="A4433" i="2"/>
  <c r="A5077" i="2"/>
  <c r="K1238" i="2"/>
  <c r="A3075" i="2"/>
  <c r="A2853" i="2"/>
  <c r="A4357" i="2"/>
  <c r="J4378" i="2"/>
  <c r="K1658" i="2"/>
  <c r="K4338" i="2"/>
  <c r="A5553" i="2"/>
  <c r="K2658" i="2"/>
  <c r="A3116" i="2"/>
  <c r="A1195" i="2"/>
  <c r="A4534" i="2"/>
  <c r="K5138" i="2"/>
  <c r="A3056" i="2"/>
  <c r="A3595" i="2"/>
  <c r="A5954" i="2"/>
  <c r="A5433" i="2"/>
  <c r="J2878" i="2"/>
  <c r="J948" i="2"/>
  <c r="A3514" i="2"/>
  <c r="A3575" i="2"/>
  <c r="A1155" i="2"/>
  <c r="A4454" i="2"/>
  <c r="A2535" i="2"/>
  <c r="A5375" i="2"/>
  <c r="K1458" i="2"/>
  <c r="K2758" i="2"/>
  <c r="G1051" i="2" l="1"/>
  <c r="G1111" i="2"/>
  <c r="G1031" i="2"/>
  <c r="G1071" i="2"/>
  <c r="G1131" i="2"/>
  <c r="G972" i="2"/>
  <c r="G992" i="2"/>
  <c r="G952" i="2"/>
  <c r="G1092" i="2"/>
  <c r="G1012" i="2"/>
  <c r="G4161" i="2"/>
  <c r="G3681" i="2"/>
  <c r="G4041" i="2"/>
  <c r="G5761" i="2"/>
  <c r="G2081" i="2"/>
  <c r="G1241" i="2"/>
  <c r="G2061" i="2"/>
  <c r="G2661" i="2"/>
  <c r="G3801" i="2"/>
  <c r="G2101" i="2"/>
  <c r="G4741" i="2"/>
  <c r="G1461" i="2"/>
  <c r="G3661" i="2"/>
  <c r="G5721" i="2"/>
  <c r="G5841" i="2"/>
  <c r="G3221" i="2"/>
  <c r="G5701" i="2"/>
  <c r="G1761" i="2"/>
  <c r="G2041" i="2"/>
  <c r="G1641" i="2"/>
  <c r="G2741" i="2"/>
  <c r="G4701" i="2"/>
  <c r="G1961" i="2"/>
  <c r="G3341" i="2"/>
  <c r="G1701" i="2"/>
  <c r="G3041" i="2"/>
  <c r="G1381" i="2"/>
  <c r="G3261" i="2"/>
  <c r="G5041" i="2"/>
  <c r="G4561" i="2"/>
  <c r="G1281" i="2"/>
  <c r="G4901" i="2"/>
  <c r="G5301" i="2"/>
  <c r="G5581" i="2"/>
  <c r="G1161" i="2"/>
  <c r="G1301" i="2"/>
  <c r="G5241" i="2"/>
  <c r="G4621" i="2"/>
  <c r="G4461" i="2"/>
  <c r="G4661" i="2"/>
  <c r="G2341" i="2"/>
  <c r="G2441" i="2"/>
  <c r="G5481" i="2"/>
  <c r="G2641" i="2"/>
  <c r="G3821" i="2"/>
  <c r="G1601" i="2"/>
  <c r="G3081" i="2"/>
  <c r="G2981" i="2"/>
  <c r="G2701" i="2"/>
  <c r="G5121" i="2"/>
  <c r="G3161" i="2"/>
  <c r="G1421" i="2"/>
  <c r="G4841" i="2"/>
  <c r="G4201" i="2"/>
  <c r="G3541" i="2"/>
  <c r="G5901" i="2"/>
  <c r="G3741" i="2"/>
  <c r="G4921" i="2"/>
  <c r="G1361" i="2"/>
  <c r="G5741" i="2"/>
  <c r="G1901" i="2"/>
  <c r="G5081" i="2"/>
  <c r="G1401" i="2"/>
  <c r="G3101" i="2"/>
  <c r="G1801" i="2"/>
  <c r="G3961" i="2"/>
  <c r="G1521" i="2"/>
  <c r="G4181" i="2"/>
  <c r="G4361" i="2"/>
  <c r="G3581" i="2"/>
  <c r="G5141" i="2"/>
  <c r="G1181" i="2"/>
  <c r="G4881" i="2"/>
  <c r="G2001" i="2"/>
  <c r="G3941" i="2"/>
  <c r="G4301" i="2"/>
  <c r="G4721" i="2"/>
  <c r="G2461" i="2"/>
  <c r="G4381" i="2"/>
  <c r="G3121" i="2"/>
  <c r="G4441" i="2"/>
  <c r="G2561" i="2"/>
  <c r="G5521" i="2"/>
  <c r="G2841" i="2"/>
  <c r="G5641" i="2"/>
  <c r="G5961" i="2"/>
  <c r="G2401" i="2"/>
  <c r="G1621" i="2"/>
  <c r="G1561" i="2"/>
  <c r="G5021" i="2"/>
  <c r="G5661" i="2"/>
  <c r="G1201" i="2"/>
  <c r="G4241" i="2"/>
  <c r="G4141" i="2"/>
  <c r="G3761" i="2"/>
  <c r="G3561" i="2"/>
  <c r="G4821" i="2"/>
  <c r="G3321" i="2"/>
  <c r="G1881" i="2"/>
  <c r="G5281" i="2"/>
  <c r="G2141" i="2"/>
  <c r="G2721" i="2"/>
  <c r="G5621" i="2"/>
  <c r="G3201" i="2"/>
  <c r="G4401" i="2"/>
  <c r="G2921" i="2"/>
  <c r="G3001" i="2"/>
  <c r="G4601" i="2"/>
  <c r="G5461" i="2"/>
  <c r="G3141" i="2"/>
  <c r="G2121" i="2"/>
  <c r="G5501" i="2"/>
  <c r="G2761" i="2"/>
  <c r="G2861" i="2"/>
  <c r="G5101" i="2"/>
  <c r="G2381" i="2"/>
  <c r="G4761" i="2"/>
  <c r="G5781" i="2"/>
  <c r="G2881" i="2"/>
  <c r="G5381" i="2"/>
  <c r="G2801" i="2"/>
  <c r="G3481" i="2"/>
  <c r="G4281" i="2"/>
  <c r="G1581" i="2"/>
  <c r="G5201" i="2"/>
  <c r="G1221" i="2"/>
  <c r="G4641" i="2"/>
  <c r="G2421" i="2"/>
  <c r="G1841" i="2"/>
  <c r="G5801" i="2"/>
  <c r="G5321" i="2"/>
  <c r="G4681" i="2"/>
  <c r="G4981" i="2"/>
  <c r="G5941" i="2"/>
  <c r="G3501" i="2"/>
  <c r="G2601" i="2"/>
  <c r="G2541" i="2"/>
  <c r="G1341" i="2"/>
  <c r="G2521" i="2"/>
  <c r="G4541" i="2"/>
  <c r="G4321" i="2"/>
  <c r="G3381" i="2"/>
  <c r="G1921" i="2"/>
  <c r="G3181" i="2"/>
  <c r="G3621" i="2"/>
  <c r="G3421" i="2"/>
  <c r="G2961" i="2"/>
  <c r="G2901" i="2"/>
  <c r="G5601" i="2"/>
  <c r="G1941" i="2"/>
  <c r="G1501" i="2"/>
  <c r="G4521" i="2"/>
  <c r="G5261" i="2"/>
  <c r="G2581" i="2"/>
  <c r="G2621" i="2"/>
  <c r="G1541" i="2"/>
  <c r="G5441" i="2"/>
  <c r="G1861" i="2"/>
  <c r="G3641" i="2"/>
  <c r="G3981" i="2"/>
  <c r="G1481" i="2"/>
  <c r="G4581" i="2"/>
  <c r="G2321" i="2"/>
  <c r="G4001" i="2"/>
  <c r="G3601" i="2"/>
  <c r="G5341" i="2"/>
  <c r="G3521" i="2"/>
  <c r="G1981" i="2"/>
  <c r="G4261" i="2"/>
  <c r="G2281" i="2"/>
  <c r="G5221" i="2"/>
  <c r="G4481" i="2"/>
  <c r="G3861" i="2"/>
  <c r="G3021" i="2"/>
  <c r="G1661" i="2"/>
  <c r="G5361" i="2"/>
  <c r="G1741" i="2"/>
  <c r="G5821" i="2"/>
  <c r="G5161" i="2"/>
  <c r="G5421" i="2"/>
  <c r="G3881" i="2"/>
  <c r="G4801" i="2"/>
  <c r="G4121" i="2"/>
  <c r="G5561" i="2"/>
  <c r="G3841" i="2"/>
  <c r="G2941" i="2"/>
  <c r="G5541" i="2"/>
  <c r="G3301" i="2"/>
  <c r="G1681" i="2"/>
  <c r="G1781" i="2"/>
  <c r="G2821" i="2"/>
  <c r="G1821" i="2"/>
  <c r="G2161" i="2"/>
  <c r="G2301" i="2"/>
  <c r="G3701" i="2"/>
  <c r="G4101" i="2"/>
  <c r="G2261" i="2"/>
  <c r="G3461" i="2"/>
  <c r="G2481" i="2"/>
  <c r="G2781" i="2"/>
  <c r="G2021" i="2"/>
  <c r="G4781" i="2"/>
  <c r="G2201" i="2"/>
  <c r="G4501" i="2"/>
  <c r="G4341" i="2"/>
  <c r="G4221" i="2"/>
  <c r="G5981" i="2"/>
  <c r="G4961" i="2"/>
  <c r="G4021" i="2"/>
  <c r="G3721" i="2"/>
  <c r="G1721" i="2"/>
  <c r="G3241" i="2"/>
  <c r="G3441" i="2"/>
  <c r="G2681" i="2"/>
  <c r="G2501" i="2"/>
  <c r="G2361" i="2"/>
  <c r="G2181" i="2"/>
  <c r="G1321" i="2"/>
  <c r="G4081" i="2"/>
  <c r="G5861" i="2"/>
  <c r="G5681" i="2"/>
  <c r="G5401" i="2"/>
  <c r="G3361" i="2"/>
  <c r="G2221" i="2"/>
  <c r="G1261" i="2"/>
  <c r="G4061" i="2"/>
  <c r="G4861" i="2"/>
  <c r="G3281" i="2"/>
  <c r="G5181" i="2"/>
  <c r="G5001" i="2"/>
  <c r="G5881" i="2"/>
  <c r="G5921" i="2"/>
  <c r="G3061" i="2"/>
  <c r="G1441" i="2"/>
  <c r="G3921" i="2"/>
  <c r="G5061" i="2"/>
  <c r="G2241" i="2"/>
  <c r="G3781" i="2"/>
  <c r="G3901" i="2"/>
  <c r="G4421" i="2"/>
  <c r="G4941" i="2"/>
  <c r="G3401" i="2"/>
  <c r="AA23" i="11"/>
  <c r="O24" i="11" s="1"/>
  <c r="Z23" i="11"/>
  <c r="N24" i="11" s="1"/>
  <c r="I23" i="3"/>
  <c r="AA23" i="8"/>
  <c r="O24" i="8" s="1"/>
  <c r="Z23" i="8"/>
  <c r="N24" i="8" s="1"/>
  <c r="Z23" i="14"/>
  <c r="AA23" i="12"/>
  <c r="O24" i="12" s="1"/>
  <c r="Z23" i="12"/>
  <c r="N24" i="12" s="1"/>
  <c r="AA23" i="9"/>
  <c r="Z23" i="9"/>
  <c r="Z10" i="3"/>
  <c r="Z11" i="3" s="1"/>
  <c r="AA9" i="3"/>
  <c r="AA10" i="3" s="1"/>
  <c r="AA11" i="3" s="1"/>
  <c r="Z21" i="3"/>
  <c r="Z22" i="3" s="1"/>
  <c r="Z23" i="3" s="1"/>
  <c r="AA20" i="3"/>
  <c r="AA21" i="3" s="1"/>
  <c r="AA22" i="3" s="1"/>
  <c r="BJ20" i="1"/>
  <c r="BI21" i="1"/>
  <c r="BI22" i="1" s="1"/>
  <c r="BJ10" i="1"/>
  <c r="BJ11" i="1" s="1"/>
  <c r="BK9" i="1"/>
  <c r="BK10" i="1" s="1"/>
  <c r="BK11" i="1" s="1"/>
  <c r="AX21" i="1"/>
  <c r="AX22" i="1" s="1"/>
  <c r="AY20" i="1"/>
  <c r="AY21" i="1" s="1"/>
  <c r="AY22" i="1" s="1"/>
  <c r="AA9" i="1"/>
  <c r="AA10" i="1" s="1"/>
  <c r="AA11" i="1" s="1"/>
  <c r="Z10" i="1"/>
  <c r="Z11" i="1" s="1"/>
  <c r="AL21" i="1"/>
  <c r="AL22" i="1" s="1"/>
  <c r="AL23" i="1" s="1"/>
  <c r="N25" i="1" s="1"/>
  <c r="AM20" i="1"/>
  <c r="AM21" i="1" s="1"/>
  <c r="AM22" i="1" s="1"/>
  <c r="AM23" i="1" s="1"/>
  <c r="O25" i="1" s="1"/>
  <c r="Z21" i="1"/>
  <c r="Z22" i="1" s="1"/>
  <c r="AA20" i="1"/>
  <c r="AA21" i="1" s="1"/>
  <c r="AA22" i="1" s="1"/>
  <c r="AA23" i="1" s="1"/>
  <c r="O24" i="1" s="1"/>
  <c r="H23" i="1"/>
  <c r="J20" i="1"/>
  <c r="I21" i="1"/>
  <c r="I22" i="1" s="1"/>
  <c r="I23" i="1" s="1"/>
  <c r="K9" i="1"/>
  <c r="J10" i="1"/>
  <c r="J11" i="1" s="1"/>
  <c r="J20" i="8"/>
  <c r="I21" i="8"/>
  <c r="I22" i="8" s="1"/>
  <c r="J9" i="8"/>
  <c r="I10" i="8"/>
  <c r="I11" i="8" s="1"/>
  <c r="J9" i="7"/>
  <c r="I10" i="7"/>
  <c r="I11" i="7" s="1"/>
  <c r="J20" i="7"/>
  <c r="I21" i="7"/>
  <c r="I22" i="7" s="1"/>
  <c r="J10" i="3"/>
  <c r="J11" i="3" s="1"/>
  <c r="L9" i="3"/>
  <c r="K10" i="3"/>
  <c r="K11" i="3" s="1"/>
  <c r="K20" i="3"/>
  <c r="J21" i="3"/>
  <c r="J22" i="3" s="1"/>
  <c r="I10" i="14"/>
  <c r="I11" i="14" s="1"/>
  <c r="K9" i="14"/>
  <c r="J10" i="14"/>
  <c r="J11" i="14" s="1"/>
  <c r="J20" i="14"/>
  <c r="I21" i="14"/>
  <c r="I22" i="14" s="1"/>
  <c r="J20" i="13"/>
  <c r="I21" i="13"/>
  <c r="I22" i="13" s="1"/>
  <c r="J9" i="13"/>
  <c r="I10" i="13"/>
  <c r="I11" i="13" s="1"/>
  <c r="J21" i="12"/>
  <c r="J22" i="12" s="1"/>
  <c r="J23" i="12" s="1"/>
  <c r="K20" i="12"/>
  <c r="K9" i="12"/>
  <c r="J10" i="12"/>
  <c r="J11" i="12" s="1"/>
  <c r="K9" i="11"/>
  <c r="J10" i="11"/>
  <c r="J11" i="11" s="1"/>
  <c r="J20" i="11"/>
  <c r="I21" i="11"/>
  <c r="I22" i="11" s="1"/>
  <c r="I23" i="11" s="1"/>
  <c r="J20" i="10"/>
  <c r="I21" i="10"/>
  <c r="I22" i="10" s="1"/>
  <c r="J9" i="10"/>
  <c r="I10" i="10"/>
  <c r="I11" i="10" s="1"/>
  <c r="J21" i="9"/>
  <c r="J22" i="9" s="1"/>
  <c r="L2" i="9"/>
  <c r="K10" i="9"/>
  <c r="K11" i="9" s="1"/>
  <c r="G1112" i="2" l="1"/>
  <c r="G1072" i="2"/>
  <c r="G1052" i="2"/>
  <c r="G1032" i="2"/>
  <c r="G1132" i="2"/>
  <c r="G1013" i="2"/>
  <c r="G993" i="2"/>
  <c r="G1093" i="2"/>
  <c r="G973" i="2"/>
  <c r="G953" i="2"/>
  <c r="G2242" i="2"/>
  <c r="G5922" i="2"/>
  <c r="G4862" i="2"/>
  <c r="G5682" i="2"/>
  <c r="G2362" i="2"/>
  <c r="G3442" i="2"/>
  <c r="G1722" i="2"/>
  <c r="G4342" i="2"/>
  <c r="G2782" i="2"/>
  <c r="G3602" i="2"/>
  <c r="G1862" i="2"/>
  <c r="G1942" i="2"/>
  <c r="G5942" i="2"/>
  <c r="G3482" i="2"/>
  <c r="G5502" i="2"/>
  <c r="G2142" i="2"/>
  <c r="G3322" i="2"/>
  <c r="G3762" i="2"/>
  <c r="G2402" i="2"/>
  <c r="G5642" i="2"/>
  <c r="G4382" i="2"/>
  <c r="G4722" i="2"/>
  <c r="G4362" i="2"/>
  <c r="G3962" i="2"/>
  <c r="G4922" i="2"/>
  <c r="G3542" i="2"/>
  <c r="G5122" i="2"/>
  <c r="G3082" i="2"/>
  <c r="G3822" i="2"/>
  <c r="G4462" i="2"/>
  <c r="G3042" i="2"/>
  <c r="G2742" i="2"/>
  <c r="G2062" i="2"/>
  <c r="G1442" i="2"/>
  <c r="G2262" i="2"/>
  <c r="G2302" i="2"/>
  <c r="G1682" i="2"/>
  <c r="G2942" i="2"/>
  <c r="G5562" i="2"/>
  <c r="G3882" i="2"/>
  <c r="G3862" i="2"/>
  <c r="G2282" i="2"/>
  <c r="G4582" i="2"/>
  <c r="G2622" i="2"/>
  <c r="G3382" i="2"/>
  <c r="G2522" i="2"/>
  <c r="G1842" i="2"/>
  <c r="G1582" i="2"/>
  <c r="G2882" i="2"/>
  <c r="G5102" i="2"/>
  <c r="G5622" i="2"/>
  <c r="G5282" i="2"/>
  <c r="G1202" i="2"/>
  <c r="G5022" i="2"/>
  <c r="G2842" i="2"/>
  <c r="G4302" i="2"/>
  <c r="G2002" i="2"/>
  <c r="G5142" i="2"/>
  <c r="G4182" i="2"/>
  <c r="G1402" i="2"/>
  <c r="G1422" i="2"/>
  <c r="G2642" i="2"/>
  <c r="G1302" i="2"/>
  <c r="G1962" i="2"/>
  <c r="G1762" i="2"/>
  <c r="G2102" i="2"/>
  <c r="G5762" i="2"/>
  <c r="G3402" i="2"/>
  <c r="G5882" i="2"/>
  <c r="G5182" i="2"/>
  <c r="G3362" i="2"/>
  <c r="G1322" i="2"/>
  <c r="G3722" i="2"/>
  <c r="G4782" i="2"/>
  <c r="G2482" i="2"/>
  <c r="G2822" i="2"/>
  <c r="G3522" i="2"/>
  <c r="G4522" i="2"/>
  <c r="G2962" i="2"/>
  <c r="G2602" i="2"/>
  <c r="G2862" i="2"/>
  <c r="G5462" i="2"/>
  <c r="G2922" i="2"/>
  <c r="G4822" i="2"/>
  <c r="G1562" i="2"/>
  <c r="G4882" i="2"/>
  <c r="G3742" i="2"/>
  <c r="G2702" i="2"/>
  <c r="G1282" i="2"/>
  <c r="G3262" i="2"/>
  <c r="G1642" i="2"/>
  <c r="G5702" i="2"/>
  <c r="G5842" i="2"/>
  <c r="G1462" i="2"/>
  <c r="G4162" i="2"/>
  <c r="G4062" i="2"/>
  <c r="G5862" i="2"/>
  <c r="G2502" i="2"/>
  <c r="G4502" i="2"/>
  <c r="G4102" i="2"/>
  <c r="G3302" i="2"/>
  <c r="G5422" i="2"/>
  <c r="G5822" i="2"/>
  <c r="G1662" i="2"/>
  <c r="G4002" i="2"/>
  <c r="G3182" i="2"/>
  <c r="G4982" i="2"/>
  <c r="G5322" i="2"/>
  <c r="G2422" i="2"/>
  <c r="G2802" i="2"/>
  <c r="G5782" i="2"/>
  <c r="G2122" i="2"/>
  <c r="G2722" i="2"/>
  <c r="G4142" i="2"/>
  <c r="G5962" i="2"/>
  <c r="G2462" i="2"/>
  <c r="G5742" i="2"/>
  <c r="G1602" i="2"/>
  <c r="G2342" i="2"/>
  <c r="G5302" i="2"/>
  <c r="G1702" i="2"/>
  <c r="G5722" i="2"/>
  <c r="G3802" i="2"/>
  <c r="G3902" i="2"/>
  <c r="G5062" i="2"/>
  <c r="G3062" i="2"/>
  <c r="G1262" i="2"/>
  <c r="G3242" i="2"/>
  <c r="G5982" i="2"/>
  <c r="G2162" i="2"/>
  <c r="G3842" i="2"/>
  <c r="G4122" i="2"/>
  <c r="G1742" i="2"/>
  <c r="G1482" i="2"/>
  <c r="G3982" i="2"/>
  <c r="G5442" i="2"/>
  <c r="G5602" i="2"/>
  <c r="G1342" i="2"/>
  <c r="G5802" i="2"/>
  <c r="G2382" i="2"/>
  <c r="G4602" i="2"/>
  <c r="G4442" i="2"/>
  <c r="G3582" i="2"/>
  <c r="G1522" i="2"/>
  <c r="G1802" i="2"/>
  <c r="G5082" i="2"/>
  <c r="G1362" i="2"/>
  <c r="G4202" i="2"/>
  <c r="G4622" i="2"/>
  <c r="G1382" i="2"/>
  <c r="G4702" i="2"/>
  <c r="G2042" i="2"/>
  <c r="G4742" i="2"/>
  <c r="G3782" i="2"/>
  <c r="G3282" i="2"/>
  <c r="G2682" i="2"/>
  <c r="G4022" i="2"/>
  <c r="G3462" i="2"/>
  <c r="G1782" i="2"/>
  <c r="G3022" i="2"/>
  <c r="G4482" i="2"/>
  <c r="G4262" i="2"/>
  <c r="G5342" i="2"/>
  <c r="G4322" i="2"/>
  <c r="G3502" i="2"/>
  <c r="G1222" i="2"/>
  <c r="G2762" i="2"/>
  <c r="G5662" i="2"/>
  <c r="G5522" i="2"/>
  <c r="G3942" i="2"/>
  <c r="G1182" i="2"/>
  <c r="G3162" i="2"/>
  <c r="G2982" i="2"/>
  <c r="G4662" i="2"/>
  <c r="G4902" i="2"/>
  <c r="G4562" i="2"/>
  <c r="G3222" i="2"/>
  <c r="G1242" i="2"/>
  <c r="G4042" i="2"/>
  <c r="G4942" i="2"/>
  <c r="G3922" i="2"/>
  <c r="G5002" i="2"/>
  <c r="G2182" i="2"/>
  <c r="G2022" i="2"/>
  <c r="G3702" i="2"/>
  <c r="G3642" i="2"/>
  <c r="G1542" i="2"/>
  <c r="G2582" i="2"/>
  <c r="G1502" i="2"/>
  <c r="G2902" i="2"/>
  <c r="G3422" i="2"/>
  <c r="G4282" i="2"/>
  <c r="G5382" i="2"/>
  <c r="G3142" i="2"/>
  <c r="G1882" i="2"/>
  <c r="G3562" i="2"/>
  <c r="G1622" i="2"/>
  <c r="G3102" i="2"/>
  <c r="G1902" i="2"/>
  <c r="G5482" i="2"/>
  <c r="G1162" i="2"/>
  <c r="G3662" i="2"/>
  <c r="G2082" i="2"/>
  <c r="G4422" i="2"/>
  <c r="G2222" i="2"/>
  <c r="G5402" i="2"/>
  <c r="G4082" i="2"/>
  <c r="G4962" i="2"/>
  <c r="G4222" i="2"/>
  <c r="G2202" i="2"/>
  <c r="G1822" i="2"/>
  <c r="G5542" i="2"/>
  <c r="G4802" i="2"/>
  <c r="G5162" i="2"/>
  <c r="G5362" i="2"/>
  <c r="G5222" i="2"/>
  <c r="G1982" i="2"/>
  <c r="G2322" i="2"/>
  <c r="G5262" i="2"/>
  <c r="G3622" i="2"/>
  <c r="G1922" i="2"/>
  <c r="G4542" i="2"/>
  <c r="G2542" i="2"/>
  <c r="G4682" i="2"/>
  <c r="G4642" i="2"/>
  <c r="G5202" i="2"/>
  <c r="G4762" i="2"/>
  <c r="G3002" i="2"/>
  <c r="G4402" i="2"/>
  <c r="G3202" i="2"/>
  <c r="G4242" i="2"/>
  <c r="G2562" i="2"/>
  <c r="G3122" i="2"/>
  <c r="G5902" i="2"/>
  <c r="G4842" i="2"/>
  <c r="G2442" i="2"/>
  <c r="G5242" i="2"/>
  <c r="G5582" i="2"/>
  <c r="G5042" i="2"/>
  <c r="G3342" i="2"/>
  <c r="G2662" i="2"/>
  <c r="G3682" i="2"/>
  <c r="J23" i="3"/>
  <c r="AA23" i="3"/>
  <c r="BJ21" i="1"/>
  <c r="BJ22" i="1" s="1"/>
  <c r="BK20" i="1"/>
  <c r="BK21" i="1" s="1"/>
  <c r="BK22" i="1" s="1"/>
  <c r="Z23" i="1"/>
  <c r="N24" i="1" s="1"/>
  <c r="L9" i="1"/>
  <c r="K10" i="1"/>
  <c r="K11" i="1" s="1"/>
  <c r="K20" i="1"/>
  <c r="J21" i="1"/>
  <c r="J22" i="1" s="1"/>
  <c r="J23" i="1" s="1"/>
  <c r="K9" i="8"/>
  <c r="J10" i="8"/>
  <c r="J11" i="8" s="1"/>
  <c r="K20" i="8"/>
  <c r="J21" i="8"/>
  <c r="J22" i="8" s="1"/>
  <c r="K20" i="7"/>
  <c r="J21" i="7"/>
  <c r="J22" i="7" s="1"/>
  <c r="K9" i="7"/>
  <c r="J10" i="7"/>
  <c r="J11" i="7" s="1"/>
  <c r="L20" i="3"/>
  <c r="K21" i="3"/>
  <c r="K22" i="3" s="1"/>
  <c r="K23" i="3" s="1"/>
  <c r="M9" i="3"/>
  <c r="L10" i="3"/>
  <c r="L11" i="3" s="1"/>
  <c r="L9" i="14"/>
  <c r="K10" i="14"/>
  <c r="K11" i="14" s="1"/>
  <c r="K20" i="14"/>
  <c r="J21" i="14"/>
  <c r="J22" i="14" s="1"/>
  <c r="K20" i="13"/>
  <c r="J21" i="13"/>
  <c r="J22" i="13" s="1"/>
  <c r="K9" i="13"/>
  <c r="J10" i="13"/>
  <c r="J11" i="13" s="1"/>
  <c r="J23" i="13" s="1"/>
  <c r="L9" i="12"/>
  <c r="K10" i="12"/>
  <c r="K11" i="12" s="1"/>
  <c r="L20" i="12"/>
  <c r="K21" i="12"/>
  <c r="K22" i="12" s="1"/>
  <c r="K23" i="12" s="1"/>
  <c r="K10" i="11"/>
  <c r="K11" i="11" s="1"/>
  <c r="L9" i="11"/>
  <c r="K20" i="11"/>
  <c r="J21" i="11"/>
  <c r="J22" i="11" s="1"/>
  <c r="J23" i="11" s="1"/>
  <c r="K20" i="10"/>
  <c r="J21" i="10"/>
  <c r="J22" i="10" s="1"/>
  <c r="K9" i="10"/>
  <c r="J10" i="10"/>
  <c r="J11" i="10" s="1"/>
  <c r="K21" i="9"/>
  <c r="K22" i="9" s="1"/>
  <c r="L10" i="9"/>
  <c r="L11" i="9" s="1"/>
  <c r="M2" i="9"/>
  <c r="A1089" i="2"/>
  <c r="G868" i="2"/>
  <c r="K3480" i="2"/>
  <c r="G28" i="2"/>
  <c r="A1578" i="2"/>
  <c r="A3858" i="2"/>
  <c r="A2698" i="2"/>
  <c r="K5840" i="2"/>
  <c r="A1658" i="2"/>
  <c r="J1199" i="2"/>
  <c r="K3960" i="2"/>
  <c r="K2540" i="2"/>
  <c r="K3820" i="2"/>
  <c r="J1012" i="2"/>
  <c r="D49" i="16"/>
  <c r="K1199" i="2"/>
  <c r="J2359" i="2"/>
  <c r="K1659" i="2"/>
  <c r="A5378" i="2"/>
  <c r="J3119" i="2"/>
  <c r="G648" i="2"/>
  <c r="J5759" i="2"/>
  <c r="K2220" i="2"/>
  <c r="A1109" i="2"/>
  <c r="K2980" i="2"/>
  <c r="J5239" i="2"/>
  <c r="K3719" i="2"/>
  <c r="J5719" i="2"/>
  <c r="J1680" i="2"/>
  <c r="J3160" i="2"/>
  <c r="A3058" i="2"/>
  <c r="J4919" i="2"/>
  <c r="J3060" i="2"/>
  <c r="J4979" i="2"/>
  <c r="K4080" i="2"/>
  <c r="K5599" i="2"/>
  <c r="A4498" i="2"/>
  <c r="A5418" i="2"/>
  <c r="J1159" i="2"/>
  <c r="D56" i="16"/>
  <c r="A4658" i="2"/>
  <c r="I668" i="2"/>
  <c r="D6" i="16"/>
  <c r="A3878" i="2"/>
  <c r="K3099" i="2"/>
  <c r="J2059" i="2"/>
  <c r="J5319" i="2"/>
  <c r="J2479" i="2"/>
  <c r="K2640" i="2"/>
  <c r="A2738" i="2"/>
  <c r="D36" i="16"/>
  <c r="K1679" i="2"/>
  <c r="K4260" i="2"/>
  <c r="A1538" i="2"/>
  <c r="J1180" i="2"/>
  <c r="K4140" i="2"/>
  <c r="J2900" i="2"/>
  <c r="J2159" i="2"/>
  <c r="A3778" i="2"/>
  <c r="A2058" i="2"/>
  <c r="K5060" i="2"/>
  <c r="J2220" i="2"/>
  <c r="K1239" i="2"/>
  <c r="A5598" i="2"/>
  <c r="J5100" i="2"/>
  <c r="K4199" i="2"/>
  <c r="K5859" i="2"/>
  <c r="A2418" i="2"/>
  <c r="K1740" i="2"/>
  <c r="A3618" i="2"/>
  <c r="K3720" i="2"/>
  <c r="K3319" i="2"/>
  <c r="J4380" i="2"/>
  <c r="J2040" i="2"/>
  <c r="K4319" i="2"/>
  <c r="J5620" i="2"/>
  <c r="J4459" i="2"/>
  <c r="K2579" i="2"/>
  <c r="J2120" i="2"/>
  <c r="K5139" i="2"/>
  <c r="J5999" i="2"/>
  <c r="A3398" i="2"/>
  <c r="J2919" i="2"/>
  <c r="J4040" i="2"/>
  <c r="K5879" i="2"/>
  <c r="K1639" i="2"/>
  <c r="A4418" i="2"/>
  <c r="G248" i="2"/>
  <c r="A3278" i="2"/>
  <c r="K5160" i="2"/>
  <c r="K2199" i="2"/>
  <c r="K4579" i="2"/>
  <c r="A3978" i="2"/>
  <c r="K2939" i="2"/>
  <c r="J2879" i="2"/>
  <c r="J5860" i="2"/>
  <c r="A4378" i="2"/>
  <c r="A4398" i="2"/>
  <c r="J3639" i="2"/>
  <c r="J2399" i="2"/>
  <c r="J3079" i="2"/>
  <c r="K3879" i="2"/>
  <c r="K5320" i="2"/>
  <c r="G148" i="2"/>
  <c r="A2198" i="2"/>
  <c r="A4578" i="2"/>
  <c r="J5979" i="2"/>
  <c r="I108" i="2"/>
  <c r="A2218" i="2"/>
  <c r="A1878" i="2"/>
  <c r="J5799" i="2"/>
  <c r="J4280" i="2"/>
  <c r="A2278" i="2"/>
  <c r="K2240" i="2"/>
  <c r="D22" i="16"/>
  <c r="J4020" i="2"/>
  <c r="J2500" i="2"/>
  <c r="A4818" i="2"/>
  <c r="J2319" i="2"/>
  <c r="J2980" i="2"/>
  <c r="A4118" i="2"/>
  <c r="J1960" i="2"/>
  <c r="K5440" i="2"/>
  <c r="A3438" i="2"/>
  <c r="K1240" i="2"/>
  <c r="K3979" i="2"/>
  <c r="K5880" i="2"/>
  <c r="J5240" i="2"/>
  <c r="J1740" i="2"/>
  <c r="J5499" i="2"/>
  <c r="J4600" i="2"/>
  <c r="J5019" i="2"/>
  <c r="J2640" i="2"/>
  <c r="J4139" i="2"/>
  <c r="G388" i="2"/>
  <c r="A3318" i="2"/>
  <c r="A4738" i="2"/>
  <c r="K4739" i="2"/>
  <c r="A5738" i="2"/>
  <c r="J4799" i="2"/>
  <c r="K5580" i="2"/>
  <c r="A2118" i="2"/>
  <c r="J5559" i="2"/>
  <c r="A2878" i="2"/>
  <c r="J2079" i="2"/>
  <c r="K3700" i="2"/>
  <c r="J1260" i="2"/>
  <c r="J5459" i="2"/>
  <c r="J2619" i="2"/>
  <c r="K2819" i="2"/>
  <c r="K3240" i="2"/>
  <c r="K5919" i="2"/>
  <c r="K1799" i="2"/>
  <c r="A3098" i="2"/>
  <c r="K2340" i="2"/>
  <c r="J5520" i="2"/>
  <c r="J5579" i="2"/>
  <c r="K4400" i="2"/>
  <c r="J5340" i="2"/>
  <c r="K4180" i="2"/>
  <c r="J3260" i="2"/>
  <c r="J1259" i="2"/>
  <c r="J5699" i="2"/>
  <c r="J4379" i="2"/>
  <c r="J4679" i="2"/>
  <c r="J4180" i="2"/>
  <c r="K2160" i="2"/>
  <c r="A5098" i="2"/>
  <c r="D3" i="16"/>
  <c r="D42" i="16"/>
  <c r="J1050" i="2"/>
  <c r="K4719" i="2"/>
  <c r="D41" i="16"/>
  <c r="K4380" i="2"/>
  <c r="K2399" i="2"/>
  <c r="J3620" i="2"/>
  <c r="A1218" i="2"/>
  <c r="J2219" i="2"/>
  <c r="G48" i="2"/>
  <c r="J2240" i="2"/>
  <c r="A2098" i="2"/>
  <c r="J3380" i="2"/>
  <c r="K5659" i="2"/>
  <c r="J4999" i="2"/>
  <c r="J5200" i="2"/>
  <c r="K5299" i="2"/>
  <c r="A3658" i="2"/>
  <c r="A2818" i="2"/>
  <c r="K1519" i="2"/>
  <c r="J952" i="2"/>
  <c r="J3059" i="2"/>
  <c r="J2559" i="2"/>
  <c r="J4520" i="2"/>
  <c r="K3159" i="2"/>
  <c r="J4839" i="2"/>
  <c r="J5519" i="2"/>
  <c r="G748" i="2"/>
  <c r="J5439" i="2"/>
  <c r="A4078" i="2"/>
  <c r="B116" i="9"/>
  <c r="J2299" i="2"/>
  <c r="G588" i="2"/>
  <c r="J5140" i="2"/>
  <c r="J4540" i="2"/>
  <c r="J1519" i="2"/>
  <c r="I848" i="2"/>
  <c r="J3120" i="2"/>
  <c r="K4959" i="2"/>
  <c r="K3079" i="2"/>
  <c r="J4339" i="2"/>
  <c r="G268" i="2"/>
  <c r="A4478" i="2"/>
  <c r="K4500" i="2"/>
  <c r="K4059" i="2"/>
  <c r="K2820" i="2"/>
  <c r="K5720" i="2"/>
  <c r="A1472" i="2"/>
  <c r="K1379" i="2"/>
  <c r="J3800" i="2"/>
  <c r="J4779" i="2"/>
  <c r="I428" i="2"/>
  <c r="K1939" i="2"/>
  <c r="K3259" i="2"/>
  <c r="K5559" i="2"/>
  <c r="K1660" i="2"/>
  <c r="K4899" i="2"/>
  <c r="K3059" i="2"/>
  <c r="K5119" i="2"/>
  <c r="A3498" i="2"/>
  <c r="K2179" i="2"/>
  <c r="K5280" i="2"/>
  <c r="K5820" i="2"/>
  <c r="D75" i="16"/>
  <c r="K4640" i="2"/>
  <c r="J5080" i="2"/>
  <c r="J2600" i="2"/>
  <c r="J3719" i="2"/>
  <c r="A3818" i="2"/>
  <c r="A2718" i="2"/>
  <c r="A1638" i="2"/>
  <c r="J1979" i="2"/>
  <c r="K1480" i="2"/>
  <c r="J5059" i="2"/>
  <c r="J1300" i="2"/>
  <c r="I28" i="2"/>
  <c r="J1920" i="2"/>
  <c r="K1012" i="2"/>
  <c r="J1359" i="2"/>
  <c r="J1071" i="2"/>
  <c r="K3800" i="2"/>
  <c r="K4520" i="2"/>
  <c r="K3179" i="2"/>
  <c r="J2680" i="2"/>
  <c r="K1160" i="2"/>
  <c r="G688" i="2"/>
  <c r="J2379" i="2"/>
  <c r="K4619" i="2"/>
  <c r="J1499" i="2"/>
  <c r="J3600" i="2"/>
  <c r="D23" i="16"/>
  <c r="K2860" i="2"/>
  <c r="J1799" i="2"/>
  <c r="B217" i="3"/>
  <c r="A4538" i="2"/>
  <c r="I508" i="2"/>
  <c r="K5459" i="2"/>
  <c r="K2159" i="2"/>
  <c r="J1540" i="2"/>
  <c r="J4640" i="2"/>
  <c r="D7" i="16"/>
  <c r="A4138" i="2"/>
  <c r="J5540" i="2"/>
  <c r="J2859" i="2"/>
  <c r="A1998" i="2"/>
  <c r="J2140" i="2"/>
  <c r="K1680" i="2"/>
  <c r="A3078" i="2"/>
  <c r="K4440" i="2"/>
  <c r="K2959" i="2"/>
  <c r="J1520" i="2"/>
  <c r="K3699" i="2"/>
  <c r="J5079" i="2"/>
  <c r="K5639" i="2"/>
  <c r="K5179" i="2"/>
  <c r="K4219" i="2"/>
  <c r="K5359" i="2"/>
  <c r="A4218" i="2"/>
  <c r="K2279" i="2"/>
  <c r="D60" i="16"/>
  <c r="J4639" i="2"/>
  <c r="B137" i="11"/>
  <c r="J4080" i="2"/>
  <c r="K3100" i="2"/>
  <c r="K4459" i="2"/>
  <c r="J2720" i="2"/>
  <c r="K5380" i="2"/>
  <c r="J3759" i="2"/>
  <c r="K4799" i="2"/>
  <c r="K2480" i="2"/>
  <c r="J4440" i="2"/>
  <c r="A3018" i="2"/>
  <c r="K5699" i="2"/>
  <c r="J4359" i="2"/>
  <c r="J4179" i="2"/>
  <c r="K1460" i="2"/>
  <c r="J1940" i="2"/>
  <c r="J1051" i="2"/>
  <c r="J3139" i="2"/>
  <c r="K2859" i="2"/>
  <c r="A3918" i="2"/>
  <c r="K2360" i="2"/>
  <c r="A2858" i="2"/>
  <c r="K3160" i="2"/>
  <c r="D21" i="16"/>
  <c r="A5198" i="2"/>
  <c r="J1839" i="2"/>
  <c r="K3300" i="2"/>
  <c r="D54" i="16"/>
  <c r="K1580" i="2"/>
  <c r="A4638" i="2"/>
  <c r="A5898" i="2"/>
  <c r="K5960" i="2"/>
  <c r="J4759" i="2"/>
  <c r="J4720" i="2"/>
  <c r="K3039" i="2"/>
  <c r="J1011" i="2"/>
  <c r="K4820" i="2"/>
  <c r="J2280" i="2"/>
  <c r="K5199" i="2"/>
  <c r="K3380" i="2"/>
  <c r="K2440" i="2"/>
  <c r="J3420" i="2"/>
  <c r="B116" i="14"/>
  <c r="K3139" i="2"/>
  <c r="J1111" i="2"/>
  <c r="K5059" i="2"/>
  <c r="J4740" i="2"/>
  <c r="A2078" i="2"/>
  <c r="J5460" i="2"/>
  <c r="J2519" i="2"/>
  <c r="J5259" i="2"/>
  <c r="J4039" i="2"/>
  <c r="K4519" i="2"/>
  <c r="A1772" i="2"/>
  <c r="J2080" i="2"/>
  <c r="A1938" i="2"/>
  <c r="K2799" i="2"/>
  <c r="K5680" i="2"/>
  <c r="J5940" i="2"/>
  <c r="A5238" i="2"/>
  <c r="A3458" i="2"/>
  <c r="K3199" i="2"/>
  <c r="J1031" i="2"/>
  <c r="K3779" i="2"/>
  <c r="A2258" i="2"/>
  <c r="J1619" i="2"/>
  <c r="J2939" i="2"/>
  <c r="A2238" i="2"/>
  <c r="J1219" i="2"/>
  <c r="K3640" i="2"/>
  <c r="A4798" i="2"/>
  <c r="J3500" i="2"/>
  <c r="J2999" i="2"/>
  <c r="K5300" i="2"/>
  <c r="K2659" i="2"/>
  <c r="K1419" i="2"/>
  <c r="K3980" i="2"/>
  <c r="K1839" i="2"/>
  <c r="J3519" i="2"/>
  <c r="J1200" i="2"/>
  <c r="J4419" i="2"/>
  <c r="J5320" i="2"/>
  <c r="K1279" i="2"/>
  <c r="J4260" i="2"/>
  <c r="J2000" i="2"/>
  <c r="D17" i="16"/>
  <c r="I808" i="2"/>
  <c r="K2839" i="2"/>
  <c r="J3699" i="2"/>
  <c r="A5958" i="2"/>
  <c r="I228" i="2"/>
  <c r="J2580" i="2"/>
  <c r="K1940" i="2"/>
  <c r="A2918" i="2"/>
  <c r="K1879" i="2"/>
  <c r="K4800" i="2"/>
  <c r="K1600" i="2"/>
  <c r="K5339" i="2"/>
  <c r="J2239" i="2"/>
  <c r="A1088" i="2"/>
  <c r="D34" i="16"/>
  <c r="K3620" i="2"/>
  <c r="D19" i="16"/>
  <c r="K4239" i="2"/>
  <c r="J5379" i="2"/>
  <c r="I488" i="2"/>
  <c r="J1092" i="2"/>
  <c r="J1419" i="2"/>
  <c r="A2578" i="2"/>
  <c r="J5219" i="2"/>
  <c r="D29" i="16"/>
  <c r="K5619" i="2"/>
  <c r="A5618" i="2"/>
  <c r="K5579" i="2"/>
  <c r="A4758" i="2"/>
  <c r="K3760" i="2"/>
  <c r="K5360" i="2"/>
  <c r="K2979" i="2"/>
  <c r="J1030" i="2"/>
  <c r="K5620" i="2"/>
  <c r="K3239" i="2"/>
  <c r="G128" i="2"/>
  <c r="K4300" i="2"/>
  <c r="A5918" i="2"/>
  <c r="K2920" i="2"/>
  <c r="J1720" i="2"/>
  <c r="K4460" i="2"/>
  <c r="K5520" i="2"/>
  <c r="A4978" i="2"/>
  <c r="D48" i="16"/>
  <c r="K5479" i="2"/>
  <c r="A2018" i="2"/>
  <c r="K1259" i="2"/>
  <c r="K2880" i="2"/>
  <c r="J5919" i="2"/>
  <c r="J5440" i="2"/>
  <c r="K3860" i="2"/>
  <c r="J5560" i="2"/>
  <c r="A5518" i="2"/>
  <c r="J5299" i="2"/>
  <c r="K5419" i="2"/>
  <c r="J3879" i="2"/>
  <c r="I648" i="2"/>
  <c r="K2420" i="2"/>
  <c r="K1919" i="2"/>
  <c r="K4019" i="2"/>
  <c r="I268" i="2"/>
  <c r="J2099" i="2"/>
  <c r="A3178" i="2"/>
  <c r="A2678" i="2"/>
  <c r="J1899" i="2"/>
  <c r="D50" i="16"/>
  <c r="J4340" i="2"/>
  <c r="A1678" i="2"/>
  <c r="J4819" i="2"/>
  <c r="K2739" i="2"/>
  <c r="K4339" i="2"/>
  <c r="J2920" i="2"/>
  <c r="A4998" i="2"/>
  <c r="J3980" i="2"/>
  <c r="K5279" i="2"/>
  <c r="G348" i="2"/>
  <c r="J4319" i="2"/>
  <c r="K2099" i="2"/>
  <c r="J1739" i="2"/>
  <c r="K4160" i="2"/>
  <c r="A5538" i="2"/>
  <c r="A2958" i="2"/>
  <c r="K4540" i="2"/>
  <c r="K5239" i="2"/>
  <c r="I248" i="2"/>
  <c r="A4298" i="2"/>
  <c r="J5420" i="2"/>
  <c r="D53" i="16"/>
  <c r="J5920" i="2"/>
  <c r="D9" i="16"/>
  <c r="J4300" i="2"/>
  <c r="A2398" i="2"/>
  <c r="K4079" i="2"/>
  <c r="J4939" i="2"/>
  <c r="J4199" i="2"/>
  <c r="I608" i="2"/>
  <c r="J2199" i="2"/>
  <c r="K5900" i="2"/>
  <c r="J2279" i="2"/>
  <c r="A1258" i="2"/>
  <c r="K2500" i="2"/>
  <c r="K1071" i="2"/>
  <c r="A3338" i="2"/>
  <c r="A3538" i="2"/>
  <c r="J2819" i="2"/>
  <c r="A4858" i="2"/>
  <c r="D44" i="16"/>
  <c r="J2539" i="2"/>
  <c r="K4100" i="2"/>
  <c r="A5318" i="2"/>
  <c r="J3779" i="2"/>
  <c r="K5760" i="2"/>
  <c r="K1179" i="2"/>
  <c r="K1719" i="2"/>
  <c r="J5879" i="2"/>
  <c r="J3599" i="2"/>
  <c r="J3300" i="2"/>
  <c r="K3320" i="2"/>
  <c r="J2039" i="2"/>
  <c r="K1131" i="2"/>
  <c r="A5558" i="2"/>
  <c r="K1640" i="2"/>
  <c r="J2880" i="2"/>
  <c r="A2338" i="2"/>
  <c r="K1859" i="2"/>
  <c r="J3140" i="2"/>
  <c r="A2038" i="2"/>
  <c r="K5940" i="2"/>
  <c r="A4918" i="2"/>
  <c r="J3179" i="2"/>
  <c r="D57" i="16"/>
  <c r="A55" i="1"/>
  <c r="K5860" i="2"/>
  <c r="J3000" i="2"/>
  <c r="J4800" i="2"/>
  <c r="A3478" i="2"/>
  <c r="A4778" i="2"/>
  <c r="K3899" i="2"/>
  <c r="J3859" i="2"/>
  <c r="J1320" i="2"/>
  <c r="J2840" i="2"/>
  <c r="K1960" i="2"/>
  <c r="B116" i="1"/>
  <c r="A3238" i="2"/>
  <c r="J3740" i="2"/>
  <c r="K4279" i="2"/>
  <c r="J5040" i="2"/>
  <c r="K4700" i="2"/>
  <c r="K2559" i="2"/>
  <c r="J4439" i="2"/>
  <c r="J3039" i="2"/>
  <c r="K1499" i="2"/>
  <c r="J5360" i="2"/>
  <c r="A4518" i="2"/>
  <c r="J4320" i="2"/>
  <c r="K1959" i="2"/>
  <c r="A1129" i="2"/>
  <c r="D11" i="16"/>
  <c r="J4579" i="2"/>
  <c r="J5739" i="2"/>
  <c r="A31" i="6"/>
  <c r="A4018" i="2"/>
  <c r="A3678" i="2"/>
  <c r="K5939" i="2"/>
  <c r="J1639" i="2"/>
  <c r="J4920" i="2"/>
  <c r="J5139" i="2"/>
  <c r="K1700" i="2"/>
  <c r="I928" i="2"/>
  <c r="J2779" i="2"/>
  <c r="A1718" i="2"/>
  <c r="A1918" i="2"/>
  <c r="I788" i="2"/>
  <c r="K2359" i="2"/>
  <c r="A2938" i="2"/>
  <c r="J1700" i="2"/>
  <c r="K5140" i="2"/>
  <c r="B116" i="11"/>
  <c r="A4278" i="2"/>
  <c r="K1319" i="2"/>
  <c r="K3859" i="2"/>
  <c r="K2699" i="2"/>
  <c r="J2440" i="2"/>
  <c r="A1978" i="2"/>
  <c r="K4320" i="2"/>
  <c r="K3219" i="2"/>
  <c r="K4480" i="2"/>
  <c r="D33" i="16"/>
  <c r="J1919" i="2"/>
  <c r="K2680" i="2"/>
  <c r="A5018" i="2"/>
  <c r="K3799" i="2"/>
  <c r="K5200" i="2"/>
  <c r="K5519" i="2"/>
  <c r="J4399" i="2"/>
  <c r="K5959" i="2"/>
  <c r="K4120" i="2"/>
  <c r="J4719" i="2"/>
  <c r="A1238" i="2"/>
  <c r="J5880" i="2"/>
  <c r="A55" i="6"/>
  <c r="K4040" i="2"/>
  <c r="G808" i="2"/>
  <c r="A4438" i="2"/>
  <c r="A35" i="9"/>
  <c r="K5740" i="2"/>
  <c r="K5759" i="2"/>
  <c r="J1939" i="2"/>
  <c r="A4878" i="2"/>
  <c r="K5819" i="2"/>
  <c r="A4598" i="2"/>
  <c r="K1439" i="2"/>
  <c r="K4879" i="2"/>
  <c r="K2339" i="2"/>
  <c r="K3439" i="2"/>
  <c r="K1620" i="2"/>
  <c r="K951" i="2"/>
  <c r="J4160" i="2"/>
  <c r="A3938" i="2"/>
  <c r="K1200" i="2"/>
  <c r="J3019" i="2"/>
  <c r="K2119" i="2"/>
  <c r="A1498" i="2"/>
  <c r="A5398" i="2"/>
  <c r="J5339" i="2"/>
  <c r="K1579" i="2"/>
  <c r="A5818" i="2"/>
  <c r="K3939" i="2"/>
  <c r="D2" i="16"/>
  <c r="J2179" i="2"/>
  <c r="A3638" i="2"/>
  <c r="J3559" i="2"/>
  <c r="J3979" i="2"/>
  <c r="J4940" i="2"/>
  <c r="J4560" i="2"/>
  <c r="K4020" i="2"/>
  <c r="J4500" i="2"/>
  <c r="J3199" i="2"/>
  <c r="D43" i="16"/>
  <c r="J4620" i="2"/>
  <c r="J5119" i="2"/>
  <c r="I388" i="2"/>
  <c r="K4720" i="2"/>
  <c r="K2380" i="2"/>
  <c r="A1378" i="2"/>
  <c r="K3920" i="2"/>
  <c r="J2560" i="2"/>
  <c r="J2060" i="2"/>
  <c r="K3599" i="2"/>
  <c r="A1698" i="2"/>
  <c r="K4560" i="2"/>
  <c r="A5938" i="2"/>
  <c r="K5079" i="2"/>
  <c r="K4779" i="2"/>
  <c r="J972" i="2"/>
  <c r="I448" i="2"/>
  <c r="J2719" i="2"/>
  <c r="J5400" i="2"/>
  <c r="D39" i="16"/>
  <c r="A1468" i="2"/>
  <c r="K5899" i="2"/>
  <c r="K3360" i="2"/>
  <c r="J5700" i="2"/>
  <c r="A4198" i="2"/>
  <c r="J2639" i="2"/>
  <c r="J3900" i="2"/>
  <c r="J4479" i="2"/>
  <c r="A1158" i="2"/>
  <c r="K4000" i="2"/>
  <c r="K1380" i="2"/>
  <c r="J4079" i="2"/>
  <c r="A5718" i="2"/>
  <c r="K1899" i="2"/>
  <c r="K5739" i="2"/>
  <c r="A3718" i="2"/>
  <c r="J3880" i="2"/>
  <c r="J4219" i="2"/>
  <c r="J2139" i="2"/>
  <c r="K3580" i="2"/>
  <c r="G228" i="2"/>
  <c r="D55" i="16"/>
  <c r="K5920" i="2"/>
  <c r="A3038" i="2"/>
  <c r="J2860" i="2"/>
  <c r="J2740" i="2"/>
  <c r="J2160" i="2"/>
  <c r="A4038" i="2"/>
  <c r="K3379" i="2"/>
  <c r="G908" i="2"/>
  <c r="A1858" i="2"/>
  <c r="K2520" i="2"/>
  <c r="J2340" i="2"/>
  <c r="I328" i="2"/>
  <c r="G668" i="2"/>
  <c r="J5619" i="2"/>
  <c r="J4780" i="2"/>
  <c r="K3560" i="2"/>
  <c r="K3400" i="2"/>
  <c r="J5899" i="2"/>
  <c r="J1091" i="2"/>
  <c r="K1130" i="2"/>
  <c r="I148" i="2"/>
  <c r="J1560" i="2"/>
  <c r="B96" i="3"/>
  <c r="D31" i="16"/>
  <c r="J1070" i="2"/>
  <c r="K1900" i="2"/>
  <c r="J2259" i="2"/>
  <c r="A1108" i="2"/>
  <c r="J2100" i="2"/>
  <c r="A4098" i="2"/>
  <c r="J1679" i="2"/>
  <c r="K1720" i="2"/>
  <c r="K2940" i="2"/>
  <c r="I168" i="2"/>
  <c r="J3020" i="2"/>
  <c r="G608" i="2"/>
  <c r="D90" i="16"/>
  <c r="K4699" i="2"/>
  <c r="I308" i="2"/>
  <c r="J5900" i="2"/>
  <c r="J5199" i="2"/>
  <c r="J1659" i="2"/>
  <c r="K1011" i="2"/>
  <c r="A2138" i="2"/>
  <c r="K3959" i="2"/>
  <c r="K5340" i="2"/>
  <c r="D35" i="16"/>
  <c r="I88" i="2"/>
  <c r="J1239" i="2"/>
  <c r="I588" i="2"/>
  <c r="J5780" i="2"/>
  <c r="J2540" i="2"/>
  <c r="J1599" i="2"/>
  <c r="J5060" i="2"/>
  <c r="K4680" i="2"/>
  <c r="K5480" i="2"/>
  <c r="A1518" i="2"/>
  <c r="K2219" i="2"/>
  <c r="J5120" i="2"/>
  <c r="J4100" i="2"/>
  <c r="I748" i="2"/>
  <c r="A2148" i="2"/>
  <c r="K3299" i="2"/>
  <c r="D20" i="16"/>
  <c r="J5300" i="2"/>
  <c r="K2439" i="2"/>
  <c r="D13" i="16"/>
  <c r="J1559" i="2"/>
  <c r="K5020" i="2"/>
  <c r="K1980" i="2"/>
  <c r="J5819" i="2"/>
  <c r="J1279" i="2"/>
  <c r="A5138" i="2"/>
  <c r="K3839" i="2"/>
  <c r="B117" i="11"/>
  <c r="J3080" i="2"/>
  <c r="K3739" i="2"/>
  <c r="J3799" i="2"/>
  <c r="K2759" i="2"/>
  <c r="J1620" i="2"/>
  <c r="G848" i="2"/>
  <c r="A5438" i="2"/>
  <c r="A35" i="6"/>
  <c r="K5980" i="2"/>
  <c r="A1494" i="2"/>
  <c r="A5038" i="2"/>
  <c r="K2280" i="2"/>
  <c r="K5439" i="2"/>
  <c r="A4618" i="2"/>
  <c r="K2200" i="2"/>
  <c r="K2560" i="2"/>
  <c r="J5539" i="2"/>
  <c r="A3378" i="2"/>
  <c r="J3700" i="2"/>
  <c r="K3740" i="2"/>
  <c r="K4379" i="2"/>
  <c r="D45" i="16"/>
  <c r="B55" i="6"/>
  <c r="A2298" i="2"/>
  <c r="K3280" i="2"/>
  <c r="G428" i="2"/>
  <c r="K2899" i="2"/>
  <c r="G188" i="2"/>
  <c r="K2139" i="2"/>
  <c r="K3639" i="2"/>
  <c r="J3820" i="2"/>
  <c r="K1219" i="2"/>
  <c r="I68" i="2"/>
  <c r="J3299" i="2"/>
  <c r="K5979" i="2"/>
  <c r="J5779" i="2"/>
  <c r="J4739" i="2"/>
  <c r="A5838" i="2"/>
  <c r="A2558" i="2"/>
  <c r="J4539" i="2"/>
  <c r="K4200" i="2"/>
  <c r="A1448" i="2"/>
  <c r="A1898" i="2"/>
  <c r="G468" i="2"/>
  <c r="K2639" i="2"/>
  <c r="D46" i="16"/>
  <c r="K2020" i="2"/>
  <c r="G88" i="2"/>
  <c r="K2419" i="2"/>
  <c r="A5218" i="2"/>
  <c r="J3360" i="2"/>
  <c r="J4460" i="2"/>
  <c r="J1319" i="2"/>
  <c r="K6000" i="2"/>
  <c r="K1399" i="2"/>
  <c r="J3819" i="2"/>
  <c r="B96" i="10"/>
  <c r="A4058" i="2"/>
  <c r="K1760" i="2"/>
  <c r="K5719" i="2"/>
  <c r="J3960" i="2"/>
  <c r="J5020" i="2"/>
  <c r="K2379" i="2"/>
  <c r="J2940" i="2"/>
  <c r="G828" i="2"/>
  <c r="B96" i="14"/>
  <c r="K4240" i="2"/>
  <c r="K5099" i="2"/>
  <c r="D38" i="16"/>
  <c r="J3640" i="2"/>
  <c r="K5779" i="2"/>
  <c r="J4239" i="2"/>
  <c r="J3479" i="2"/>
  <c r="J3659" i="2"/>
  <c r="A3558" i="2"/>
  <c r="J1400" i="2"/>
  <c r="K991" i="2"/>
  <c r="A5158" i="2"/>
  <c r="K5180" i="2"/>
  <c r="A3198" i="2"/>
  <c r="A1618" i="2"/>
  <c r="J1760" i="2"/>
  <c r="D26" i="16"/>
  <c r="K4159" i="2"/>
  <c r="I708" i="2"/>
  <c r="J2460" i="2"/>
  <c r="J2899" i="2"/>
  <c r="K5259" i="2"/>
  <c r="K2479" i="2"/>
  <c r="K3679" i="2"/>
  <c r="J2119" i="2"/>
  <c r="K3180" i="2"/>
  <c r="J2200" i="2"/>
  <c r="I188" i="2"/>
  <c r="A3138" i="2"/>
  <c r="I348" i="2"/>
  <c r="J3400" i="2"/>
  <c r="I468" i="2"/>
  <c r="A2978" i="2"/>
  <c r="J4000" i="2"/>
  <c r="J4820" i="2"/>
  <c r="A1798" i="2"/>
  <c r="A2658" i="2"/>
  <c r="K1819" i="2"/>
  <c r="A4938" i="2"/>
  <c r="A2898" i="2"/>
  <c r="J4680" i="2"/>
  <c r="K1979" i="2"/>
  <c r="K4940" i="2"/>
  <c r="K2080" i="2"/>
  <c r="J4059" i="2"/>
  <c r="A5858" i="2"/>
  <c r="J991" i="2"/>
  <c r="K5800" i="2"/>
  <c r="J1399" i="2"/>
  <c r="K992" i="2"/>
  <c r="A5978" i="2"/>
  <c r="K4220" i="2"/>
  <c r="A1768" i="2"/>
  <c r="J2599" i="2"/>
  <c r="K1260" i="2"/>
  <c r="J1580" i="2"/>
  <c r="J5680" i="2"/>
  <c r="D32" i="16"/>
  <c r="G528" i="2"/>
  <c r="A5498" i="2"/>
  <c r="K4659" i="2"/>
  <c r="K1091" i="2"/>
  <c r="A2458" i="2"/>
  <c r="K2619" i="2"/>
  <c r="J4900" i="2"/>
  <c r="K3780" i="2"/>
  <c r="K1180" i="2"/>
  <c r="J3240" i="2"/>
  <c r="J4980" i="2"/>
  <c r="J1719" i="2"/>
  <c r="A1049" i="2"/>
  <c r="K2460" i="2"/>
  <c r="K4599" i="2"/>
  <c r="A3998" i="2"/>
  <c r="D109" i="16"/>
  <c r="J2300" i="2"/>
  <c r="D40" i="16"/>
  <c r="B116" i="3"/>
  <c r="G68" i="2"/>
  <c r="D16" i="16"/>
  <c r="K2499" i="2"/>
  <c r="K4139" i="2"/>
  <c r="G728" i="2"/>
  <c r="J2380" i="2"/>
  <c r="J2320" i="2"/>
  <c r="K1539" i="2"/>
  <c r="K2140" i="2"/>
  <c r="J2499" i="2"/>
  <c r="K3399" i="2"/>
  <c r="G888" i="2"/>
  <c r="A1318" i="2"/>
  <c r="G708" i="2"/>
  <c r="K1520" i="2"/>
  <c r="G288" i="2"/>
  <c r="J3319" i="2"/>
  <c r="I208" i="2"/>
  <c r="A1818" i="2"/>
  <c r="J5639" i="2"/>
  <c r="K3420" i="2"/>
  <c r="A5258" i="2"/>
  <c r="K5660" i="2"/>
  <c r="G108" i="2"/>
  <c r="J5500" i="2"/>
  <c r="K2400" i="2"/>
  <c r="A1438" i="2"/>
  <c r="K2019" i="2"/>
  <c r="J5099" i="2"/>
  <c r="A3698" i="2"/>
  <c r="J5720" i="2"/>
  <c r="A1298" i="2"/>
  <c r="J1131" i="2"/>
  <c r="J1859" i="2"/>
  <c r="J3279" i="2"/>
  <c r="B96" i="13"/>
  <c r="A2778" i="2"/>
  <c r="A3258" i="2"/>
  <c r="K1479" i="2"/>
  <c r="K5500" i="2"/>
  <c r="K4539" i="2"/>
  <c r="A1278" i="2"/>
  <c r="J2800" i="2"/>
  <c r="A1834" i="2"/>
  <c r="A1069" i="2"/>
  <c r="J4220" i="2"/>
  <c r="J1800" i="2"/>
  <c r="J3460" i="2"/>
  <c r="A3738" i="2"/>
  <c r="K4179" i="2"/>
  <c r="A2598" i="2"/>
  <c r="K5679" i="2"/>
  <c r="A2618" i="2"/>
  <c r="J4580" i="2"/>
  <c r="K4559" i="2"/>
  <c r="I728" i="2"/>
  <c r="G328" i="2"/>
  <c r="A1398" i="2"/>
  <c r="J5180" i="2"/>
  <c r="A2178" i="2"/>
  <c r="A2158" i="2"/>
  <c r="K4359" i="2"/>
  <c r="G928" i="2"/>
  <c r="J1699" i="2"/>
  <c r="K5220" i="2"/>
  <c r="K1780" i="2"/>
  <c r="J4480" i="2"/>
  <c r="A4318" i="2"/>
  <c r="J3619" i="2"/>
  <c r="J1479" i="2"/>
  <c r="K2459" i="2"/>
  <c r="J3339" i="2"/>
  <c r="K2299" i="2"/>
  <c r="A5298" i="2"/>
  <c r="D24" i="16"/>
  <c r="K4920" i="2"/>
  <c r="K4740" i="2"/>
  <c r="K3419" i="2"/>
  <c r="K5780" i="2"/>
  <c r="K5600" i="2"/>
  <c r="K2079" i="2"/>
  <c r="J5800" i="2"/>
  <c r="J4519" i="2"/>
  <c r="K3200" i="2"/>
  <c r="K4419" i="2"/>
  <c r="A1558" i="2"/>
  <c r="A1358" i="2"/>
  <c r="K5420" i="2"/>
  <c r="K5560" i="2"/>
  <c r="K5539" i="2"/>
  <c r="K5039" i="2"/>
  <c r="K952" i="2"/>
  <c r="K1619" i="2"/>
  <c r="A5998" i="2"/>
  <c r="G508" i="2"/>
  <c r="A5678" i="2"/>
  <c r="K1599" i="2"/>
  <c r="D5" i="16"/>
  <c r="A4238" i="2"/>
  <c r="J3580" i="2"/>
  <c r="A5698" i="2"/>
  <c r="K1400" i="2"/>
  <c r="J3540" i="2"/>
  <c r="I868" i="2"/>
  <c r="J2360" i="2"/>
  <c r="K4860" i="2"/>
  <c r="K5319" i="2"/>
  <c r="J1840" i="2"/>
  <c r="J1780" i="2"/>
  <c r="K1440" i="2"/>
  <c r="K2960" i="2"/>
  <c r="J3780" i="2"/>
  <c r="G788" i="2"/>
  <c r="D27" i="16"/>
  <c r="J4699" i="2"/>
  <c r="J1759" i="2"/>
  <c r="J1860" i="2"/>
  <c r="J2339" i="2"/>
  <c r="J2699" i="2"/>
  <c r="I288" i="2"/>
  <c r="K4900" i="2"/>
  <c r="A1128" i="2"/>
  <c r="A5338" i="2"/>
  <c r="K1070" i="2"/>
  <c r="K2000" i="2"/>
  <c r="K3460" i="2"/>
  <c r="J5279" i="2"/>
  <c r="J992" i="2"/>
  <c r="K3140" i="2"/>
  <c r="J3099" i="2"/>
  <c r="J4899" i="2"/>
  <c r="A1090" i="2"/>
  <c r="K2300" i="2"/>
  <c r="K971" i="2"/>
  <c r="K2660" i="2"/>
  <c r="J3280" i="2"/>
  <c r="J3320" i="2"/>
  <c r="K3520" i="2"/>
  <c r="A1478" i="2"/>
  <c r="K3880" i="2"/>
  <c r="A4338" i="2"/>
  <c r="J2620" i="2"/>
  <c r="K4840" i="2"/>
  <c r="K1111" i="2"/>
  <c r="K2900" i="2"/>
  <c r="K1159" i="2"/>
  <c r="A5798" i="2"/>
  <c r="J2759" i="2"/>
  <c r="K5399" i="2"/>
  <c r="J5380" i="2"/>
  <c r="J2760" i="2"/>
  <c r="A3958" i="2"/>
  <c r="K3540" i="2"/>
  <c r="J1779" i="2"/>
  <c r="D8" i="16"/>
  <c r="K2120" i="2"/>
  <c r="K2719" i="2"/>
  <c r="K4499" i="2"/>
  <c r="K1299" i="2"/>
  <c r="A51" i="6"/>
  <c r="K1860" i="2"/>
  <c r="J2419" i="2"/>
  <c r="K2760" i="2"/>
  <c r="J4879" i="2"/>
  <c r="B96" i="11"/>
  <c r="K4259" i="2"/>
  <c r="J4760" i="2"/>
  <c r="J4119" i="2"/>
  <c r="J3399" i="2"/>
  <c r="A3598" i="2"/>
  <c r="J2579" i="2"/>
  <c r="K5839" i="2"/>
  <c r="A2838" i="2"/>
  <c r="A4258" i="2"/>
  <c r="J3760" i="2"/>
  <c r="K5240" i="2"/>
  <c r="K1320" i="2"/>
  <c r="A2498" i="2"/>
  <c r="A2758" i="2"/>
  <c r="J4140" i="2"/>
  <c r="K3479" i="2"/>
  <c r="K5700" i="2"/>
  <c r="K1999" i="2"/>
  <c r="K3339" i="2"/>
  <c r="K2539" i="2"/>
  <c r="G368" i="2"/>
  <c r="K2100" i="2"/>
  <c r="A1488" i="2"/>
  <c r="K4600" i="2"/>
  <c r="B136" i="9"/>
  <c r="K5040" i="2"/>
  <c r="K3619" i="2"/>
  <c r="J5960" i="2"/>
  <c r="K5159" i="2"/>
  <c r="J3539" i="2"/>
  <c r="K4760" i="2"/>
  <c r="K1092" i="2"/>
  <c r="G408" i="2"/>
  <c r="D28" i="16"/>
  <c r="A1958" i="2"/>
  <c r="K3659" i="2"/>
  <c r="J3999" i="2"/>
  <c r="J2739" i="2"/>
  <c r="A1168" i="2"/>
  <c r="J3679" i="2"/>
  <c r="I688" i="2"/>
  <c r="J1480" i="2"/>
  <c r="I888" i="2"/>
  <c r="J2979" i="2"/>
  <c r="J2700" i="2"/>
  <c r="J4360" i="2"/>
  <c r="J3499" i="2"/>
  <c r="K1339" i="2"/>
  <c r="J3459" i="2"/>
  <c r="J5039" i="2"/>
  <c r="K3340" i="2"/>
  <c r="K1820" i="2"/>
  <c r="K3579" i="2"/>
  <c r="J5959" i="2"/>
  <c r="K4759" i="2"/>
  <c r="J1360" i="2"/>
  <c r="D74" i="16"/>
  <c r="J4859" i="2"/>
  <c r="K3519" i="2"/>
  <c r="I628" i="2"/>
  <c r="K972" i="2"/>
  <c r="A3518" i="2"/>
  <c r="J1820" i="2"/>
  <c r="A1838" i="2"/>
  <c r="A1598" i="2"/>
  <c r="K1420" i="2"/>
  <c r="J4279" i="2"/>
  <c r="K4980" i="2"/>
  <c r="I128" i="2"/>
  <c r="J1280" i="2"/>
  <c r="J5479" i="2"/>
  <c r="A5358" i="2"/>
  <c r="J3480" i="2"/>
  <c r="D47" i="16"/>
  <c r="J1380" i="2"/>
  <c r="D51" i="16"/>
  <c r="K1739" i="2"/>
  <c r="K3919" i="2"/>
  <c r="J4840" i="2"/>
  <c r="K2600" i="2"/>
  <c r="J5740" i="2"/>
  <c r="K2040" i="2"/>
  <c r="J5179" i="2"/>
  <c r="B96" i="7"/>
  <c r="K3759" i="2"/>
  <c r="K4299" i="2"/>
  <c r="K4979" i="2"/>
  <c r="K3680" i="2"/>
  <c r="A5078" i="2"/>
  <c r="K3819" i="2"/>
  <c r="K4119" i="2"/>
  <c r="K3040" i="2"/>
  <c r="K1459" i="2"/>
  <c r="J1980" i="2"/>
  <c r="K5540" i="2"/>
  <c r="J5260" i="2"/>
  <c r="K3279" i="2"/>
  <c r="K4999" i="2"/>
  <c r="K4420" i="2"/>
  <c r="K1880" i="2"/>
  <c r="A2538" i="2"/>
  <c r="A5878" i="2"/>
  <c r="K4039" i="2"/>
  <c r="K4399" i="2"/>
  <c r="A5118" i="2"/>
  <c r="J2180" i="2"/>
  <c r="K1920" i="2"/>
  <c r="K2320" i="2"/>
  <c r="J3720" i="2"/>
  <c r="K2700" i="2"/>
  <c r="J1110" i="2"/>
  <c r="K4780" i="2"/>
  <c r="K3660" i="2"/>
  <c r="I568" i="2"/>
  <c r="J5820" i="2"/>
  <c r="K3940" i="2"/>
  <c r="J1160" i="2"/>
  <c r="K2999" i="2"/>
  <c r="J3259" i="2"/>
  <c r="K1031" i="2"/>
  <c r="K5000" i="2"/>
  <c r="K4280" i="2"/>
  <c r="J5000" i="2"/>
  <c r="A4458" i="2"/>
  <c r="K2800" i="2"/>
  <c r="J1660" i="2"/>
  <c r="K2039" i="2"/>
  <c r="A5278" i="2"/>
  <c r="K1779" i="2"/>
  <c r="J5640" i="2"/>
  <c r="G628" i="2"/>
  <c r="K3080" i="2"/>
  <c r="K5379" i="2"/>
  <c r="J1340" i="2"/>
  <c r="A3798" i="2"/>
  <c r="K1280" i="2"/>
  <c r="K2840" i="2"/>
  <c r="A4178" i="2"/>
  <c r="I8" i="2"/>
  <c r="K5999" i="2"/>
  <c r="J3220" i="2"/>
  <c r="J1640" i="2"/>
  <c r="K4939" i="2"/>
  <c r="J1500" i="2"/>
  <c r="J4019" i="2"/>
  <c r="J3520" i="2"/>
  <c r="A1458" i="2"/>
  <c r="J4200" i="2"/>
  <c r="A1178" i="2"/>
  <c r="J3920" i="2"/>
  <c r="A3158" i="2"/>
  <c r="K5019" i="2"/>
  <c r="J3919" i="2"/>
  <c r="J2439" i="2"/>
  <c r="A2378" i="2"/>
  <c r="A2638" i="2"/>
  <c r="K3440" i="2"/>
  <c r="J1600" i="2"/>
  <c r="J4400" i="2"/>
  <c r="J3200" i="2"/>
  <c r="K2260" i="2"/>
  <c r="J2839" i="2"/>
  <c r="D4" i="16"/>
  <c r="K2740" i="2"/>
  <c r="J1999" i="2"/>
  <c r="J3159" i="2"/>
  <c r="J4120" i="2"/>
  <c r="D52" i="16"/>
  <c r="A5778" i="2"/>
  <c r="K5400" i="2"/>
  <c r="J3379" i="2"/>
  <c r="A3578" i="2"/>
  <c r="A4678" i="2"/>
  <c r="K4960" i="2"/>
  <c r="A2318" i="2"/>
  <c r="J1299" i="2"/>
  <c r="K2599" i="2"/>
  <c r="J5419" i="2"/>
  <c r="K5080" i="2"/>
  <c r="K2620" i="2"/>
  <c r="A1854" i="2"/>
  <c r="J3860" i="2"/>
  <c r="J3439" i="2"/>
  <c r="J2799" i="2"/>
  <c r="K1759" i="2"/>
  <c r="J3839" i="2"/>
  <c r="J1379" i="2"/>
  <c r="J4599" i="2"/>
  <c r="A5478" i="2"/>
  <c r="K3019" i="2"/>
  <c r="I368" i="2"/>
  <c r="K3359" i="2"/>
  <c r="J1879" i="2"/>
  <c r="J4259" i="2"/>
  <c r="K3020" i="2"/>
  <c r="A3358" i="2"/>
  <c r="A4958" i="2"/>
  <c r="I768" i="2"/>
  <c r="K1560" i="2"/>
  <c r="J1240" i="2"/>
  <c r="J951" i="2"/>
  <c r="J2420" i="2"/>
  <c r="K3499" i="2"/>
  <c r="A5758" i="2"/>
  <c r="G768" i="2"/>
  <c r="K1110" i="2"/>
  <c r="J4659" i="2"/>
  <c r="K1340" i="2"/>
  <c r="K4819" i="2"/>
  <c r="J2820" i="2"/>
  <c r="A2358" i="2"/>
  <c r="J1880" i="2"/>
  <c r="A5458" i="2"/>
  <c r="K1840" i="2"/>
  <c r="J2020" i="2"/>
  <c r="K1699" i="2"/>
  <c r="J5859" i="2"/>
  <c r="J5659" i="2"/>
  <c r="K5260" i="2"/>
  <c r="A4558" i="2"/>
  <c r="B35" i="6"/>
  <c r="K2679" i="2"/>
  <c r="A3298" i="2"/>
  <c r="J3899" i="2"/>
  <c r="A1778" i="2"/>
  <c r="D37" i="16"/>
  <c r="K3000" i="2"/>
  <c r="K3119" i="2"/>
  <c r="J3959" i="2"/>
  <c r="K3260" i="2"/>
  <c r="A5178" i="2"/>
  <c r="K3459" i="2"/>
  <c r="A2438" i="2"/>
  <c r="J4240" i="2"/>
  <c r="J1539" i="2"/>
  <c r="K2319" i="2"/>
  <c r="K5799" i="2"/>
  <c r="J2659" i="2"/>
  <c r="K5100" i="2"/>
  <c r="A1738" i="2"/>
  <c r="J5480" i="2"/>
  <c r="A1338" i="2"/>
  <c r="I908" i="2"/>
  <c r="J4159" i="2"/>
  <c r="J2260" i="2"/>
  <c r="K2060" i="2"/>
  <c r="K5219" i="2"/>
  <c r="A3218" i="2"/>
  <c r="A4898" i="2"/>
  <c r="J1900" i="2"/>
  <c r="J3660" i="2"/>
  <c r="J3100" i="2"/>
  <c r="J2459" i="2"/>
  <c r="A4698" i="2"/>
  <c r="K5640" i="2"/>
  <c r="K4439" i="2"/>
  <c r="K4859" i="2"/>
  <c r="A4718" i="2"/>
  <c r="J3939" i="2"/>
  <c r="K3220" i="2"/>
  <c r="G448" i="2"/>
  <c r="K3120" i="2"/>
  <c r="A3758" i="2"/>
  <c r="J4660" i="2"/>
  <c r="K2879" i="2"/>
  <c r="J4960" i="2"/>
  <c r="K1030" i="2"/>
  <c r="J5679" i="2"/>
  <c r="J2520" i="2"/>
  <c r="J4880" i="2"/>
  <c r="J4700" i="2"/>
  <c r="K3840" i="2"/>
  <c r="J6000" i="2"/>
  <c r="K4580" i="2"/>
  <c r="J5980" i="2"/>
  <c r="J5840" i="2"/>
  <c r="J2480" i="2"/>
  <c r="J1819" i="2"/>
  <c r="J1579" i="2"/>
  <c r="J2959" i="2"/>
  <c r="J2960" i="2"/>
  <c r="J1459" i="2"/>
  <c r="J3340" i="2"/>
  <c r="K4620" i="2"/>
  <c r="J3840" i="2"/>
  <c r="K3999" i="2"/>
  <c r="K4839" i="2"/>
  <c r="A4158" i="2"/>
  <c r="K3600" i="2"/>
  <c r="J1130" i="2"/>
  <c r="K1359" i="2"/>
  <c r="A3898" i="2"/>
  <c r="A5638" i="2"/>
  <c r="K1540" i="2"/>
  <c r="I528" i="2"/>
  <c r="J4499" i="2"/>
  <c r="K2180" i="2"/>
  <c r="K5499" i="2"/>
  <c r="K3060" i="2"/>
  <c r="I408" i="2"/>
  <c r="D15" i="16"/>
  <c r="A5058" i="2"/>
  <c r="A5658" i="2"/>
  <c r="K1051" i="2"/>
  <c r="K2720" i="2"/>
  <c r="J5280" i="2"/>
  <c r="G548" i="2"/>
  <c r="D14" i="16"/>
  <c r="A5578" i="2"/>
  <c r="K3559" i="2"/>
  <c r="K4099" i="2"/>
  <c r="J4299" i="2"/>
  <c r="J3440" i="2"/>
  <c r="A4838" i="2"/>
  <c r="J971" i="2"/>
  <c r="J5839" i="2"/>
  <c r="J4619" i="2"/>
  <c r="A3838" i="2"/>
  <c r="K4340" i="2"/>
  <c r="J1959" i="2"/>
  <c r="J4559" i="2"/>
  <c r="J3739" i="2"/>
  <c r="K1559" i="2"/>
  <c r="J2679" i="2"/>
  <c r="J3680" i="2"/>
  <c r="A3118" i="2"/>
  <c r="J1460" i="2"/>
  <c r="K1800" i="2"/>
  <c r="J2019" i="2"/>
  <c r="J2780" i="2"/>
  <c r="G8" i="2"/>
  <c r="J1439" i="2"/>
  <c r="A3418" i="2"/>
  <c r="J5660" i="2"/>
  <c r="J2660" i="2"/>
  <c r="K4679" i="2"/>
  <c r="K4360" i="2"/>
  <c r="B116" i="12"/>
  <c r="J1420" i="2"/>
  <c r="K1500" i="2"/>
  <c r="K2919" i="2"/>
  <c r="J1179" i="2"/>
  <c r="J3239" i="2"/>
  <c r="J3419" i="2"/>
  <c r="A2998" i="2"/>
  <c r="D58" i="16"/>
  <c r="J2400" i="2"/>
  <c r="I828" i="2"/>
  <c r="D30" i="16"/>
  <c r="K2580" i="2"/>
  <c r="B96" i="9"/>
  <c r="K4060" i="2"/>
  <c r="A2478" i="2"/>
  <c r="I48" i="2"/>
  <c r="G208" i="2"/>
  <c r="J4959" i="2"/>
  <c r="K1220" i="2"/>
  <c r="K2239" i="2"/>
  <c r="K4919" i="2"/>
  <c r="A1198" i="2"/>
  <c r="J1440" i="2"/>
  <c r="K4660" i="2"/>
  <c r="K2780" i="2"/>
  <c r="J4060" i="2"/>
  <c r="J5220" i="2"/>
  <c r="J3219" i="2"/>
  <c r="K4880" i="2"/>
  <c r="J5760" i="2"/>
  <c r="G308" i="2"/>
  <c r="J5399" i="2"/>
  <c r="J3040" i="2"/>
  <c r="J1220" i="2"/>
  <c r="J3579" i="2"/>
  <c r="K2259" i="2"/>
  <c r="J5939" i="2"/>
  <c r="K3539" i="2"/>
  <c r="J5599" i="2"/>
  <c r="K3500" i="2"/>
  <c r="J3560" i="2"/>
  <c r="J5600" i="2"/>
  <c r="J5359" i="2"/>
  <c r="J3180" i="2"/>
  <c r="G488" i="2"/>
  <c r="K4479" i="2"/>
  <c r="K5460" i="2"/>
  <c r="K1360" i="2"/>
  <c r="J5580" i="2"/>
  <c r="K2059" i="2"/>
  <c r="J1339" i="2"/>
  <c r="J4420" i="2"/>
  <c r="K4639" i="2"/>
  <c r="K1050" i="2"/>
  <c r="A2798" i="2"/>
  <c r="J4099" i="2"/>
  <c r="J3940" i="2"/>
  <c r="G168" i="2"/>
  <c r="J5159" i="2"/>
  <c r="K5120" i="2"/>
  <c r="K3900" i="2"/>
  <c r="J5160" i="2"/>
  <c r="K2779" i="2"/>
  <c r="I548" i="2"/>
  <c r="K1300" i="2"/>
  <c r="B96" i="12"/>
  <c r="G568" i="2"/>
  <c r="A1758" i="2"/>
  <c r="J4860" i="2"/>
  <c r="B96" i="8"/>
  <c r="K2519" i="2"/>
  <c r="A1418" i="2"/>
  <c r="J3359" i="2"/>
  <c r="A4358" i="2"/>
  <c r="D25" i="16"/>
  <c r="A2518" i="2"/>
  <c r="G729" i="2" l="1"/>
  <c r="G730" i="2" s="1"/>
  <c r="G49" i="2"/>
  <c r="G50" i="2" s="1"/>
  <c r="G51" i="2" s="1"/>
  <c r="I409" i="2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G169" i="2"/>
  <c r="G170" i="2" s="1"/>
  <c r="G149" i="2"/>
  <c r="G150" i="2" s="1"/>
  <c r="G151" i="2" s="1"/>
  <c r="G369" i="2"/>
  <c r="G569" i="2"/>
  <c r="G570" i="2" s="1"/>
  <c r="G571" i="2" s="1"/>
  <c r="G529" i="2"/>
  <c r="G530" i="2" s="1"/>
  <c r="G531" i="2" s="1"/>
  <c r="I929" i="2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G809" i="2"/>
  <c r="G810" i="2" s="1"/>
  <c r="I269" i="2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449" i="2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89" i="2"/>
  <c r="G789" i="2"/>
  <c r="G790" i="2" s="1"/>
  <c r="G791" i="2" s="1"/>
  <c r="G329" i="2"/>
  <c r="G330" i="2" s="1"/>
  <c r="G549" i="2"/>
  <c r="G550" i="2" s="1"/>
  <c r="G551" i="2" s="1"/>
  <c r="G669" i="2"/>
  <c r="G670" i="2" s="1"/>
  <c r="G671" i="2" s="1"/>
  <c r="G449" i="2"/>
  <c r="G450" i="2" s="1"/>
  <c r="G451" i="2" s="1"/>
  <c r="I749" i="2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329" i="2"/>
  <c r="G429" i="2"/>
  <c r="G430" i="2" s="1"/>
  <c r="G431" i="2" s="1"/>
  <c r="I249" i="2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649" i="2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G69" i="2"/>
  <c r="G70" i="2" s="1"/>
  <c r="G71" i="2" s="1"/>
  <c r="G269" i="2"/>
  <c r="G270" i="2" s="1"/>
  <c r="I789" i="2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G409" i="2"/>
  <c r="I109" i="2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G769" i="2"/>
  <c r="G770" i="2" s="1"/>
  <c r="G771" i="2" s="1"/>
  <c r="I189" i="2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149" i="2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909" i="2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629" i="2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G309" i="2"/>
  <c r="G310" i="2" s="1"/>
  <c r="I229" i="2"/>
  <c r="G349" i="2"/>
  <c r="G350" i="2" s="1"/>
  <c r="I489" i="2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609" i="2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769" i="2"/>
  <c r="I29" i="2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G929" i="2"/>
  <c r="G930" i="2" s="1"/>
  <c r="G609" i="2"/>
  <c r="G610" i="2" s="1"/>
  <c r="G611" i="2" s="1"/>
  <c r="G909" i="2"/>
  <c r="I529" i="2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849" i="2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89" i="2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369" i="2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G709" i="2"/>
  <c r="G710" i="2" s="1"/>
  <c r="G711" i="2" s="1"/>
  <c r="I209" i="2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G189" i="2"/>
  <c r="G190" i="2" s="1"/>
  <c r="I829" i="2"/>
  <c r="G89" i="2"/>
  <c r="G90" i="2" s="1"/>
  <c r="G209" i="2"/>
  <c r="G210" i="2" s="1"/>
  <c r="G211" i="2" s="1"/>
  <c r="G212" i="2" s="1"/>
  <c r="G689" i="2"/>
  <c r="G690" i="2" s="1"/>
  <c r="I729" i="2"/>
  <c r="I309" i="2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709" i="2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G849" i="2"/>
  <c r="G850" i="2" s="1"/>
  <c r="G289" i="2"/>
  <c r="I509" i="2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G869" i="2"/>
  <c r="G870" i="2" s="1"/>
  <c r="G871" i="2" s="1"/>
  <c r="G389" i="2"/>
  <c r="G390" i="2" s="1"/>
  <c r="G391" i="2" s="1"/>
  <c r="G469" i="2"/>
  <c r="I429" i="2"/>
  <c r="I430" i="2" s="1"/>
  <c r="I689" i="2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169" i="2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G589" i="2"/>
  <c r="I389" i="2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129" i="2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G829" i="2"/>
  <c r="G830" i="2" s="1"/>
  <c r="G831" i="2" s="1"/>
  <c r="G832" i="2" s="1"/>
  <c r="G649" i="2"/>
  <c r="G29" i="2"/>
  <c r="G30" i="2" s="1"/>
  <c r="G31" i="2" s="1"/>
  <c r="I809" i="2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349" i="2"/>
  <c r="G109" i="2"/>
  <c r="G110" i="2" s="1"/>
  <c r="I549" i="2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49" i="2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G489" i="2"/>
  <c r="G490" i="2" s="1"/>
  <c r="G491" i="2" s="1"/>
  <c r="G492" i="2" s="1"/>
  <c r="G889" i="2"/>
  <c r="G629" i="2"/>
  <c r="G630" i="2" s="1"/>
  <c r="G631" i="2" s="1"/>
  <c r="I569" i="2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869" i="2"/>
  <c r="I289" i="2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589" i="2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G129" i="2"/>
  <c r="G130" i="2" s="1"/>
  <c r="G131" i="2" s="1"/>
  <c r="G509" i="2"/>
  <c r="G510" i="2" s="1"/>
  <c r="G511" i="2" s="1"/>
  <c r="I669" i="2"/>
  <c r="G749" i="2"/>
  <c r="G750" i="2" s="1"/>
  <c r="G751" i="2" s="1"/>
  <c r="G752" i="2" s="1"/>
  <c r="G249" i="2"/>
  <c r="I469" i="2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69" i="2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G229" i="2"/>
  <c r="G230" i="2" s="1"/>
  <c r="G231" i="2" s="1"/>
  <c r="G1033" i="2"/>
  <c r="G1113" i="2"/>
  <c r="G1053" i="2"/>
  <c r="G1133" i="2"/>
  <c r="G1073" i="2"/>
  <c r="G994" i="2"/>
  <c r="G954" i="2"/>
  <c r="G974" i="2"/>
  <c r="G1014" i="2"/>
  <c r="G1094" i="2"/>
  <c r="G5583" i="2"/>
  <c r="G4843" i="2"/>
  <c r="G4763" i="2"/>
  <c r="G5263" i="2"/>
  <c r="G5543" i="2"/>
  <c r="G3663" i="2"/>
  <c r="G4943" i="2"/>
  <c r="G1183" i="2"/>
  <c r="G4023" i="2"/>
  <c r="G2043" i="2"/>
  <c r="G1363" i="2"/>
  <c r="G4603" i="2"/>
  <c r="G5803" i="2"/>
  <c r="G5063" i="2"/>
  <c r="G3803" i="2"/>
  <c r="G5743" i="2"/>
  <c r="G5963" i="2"/>
  <c r="G2123" i="2"/>
  <c r="G4003" i="2"/>
  <c r="G4883" i="2"/>
  <c r="G3363" i="2"/>
  <c r="G5883" i="2"/>
  <c r="G1303" i="2"/>
  <c r="G5103" i="2"/>
  <c r="G3883" i="2"/>
  <c r="G2263" i="2"/>
  <c r="G2743" i="2"/>
  <c r="G3963" i="2"/>
  <c r="G2143" i="2"/>
  <c r="G1863" i="2"/>
  <c r="G4343" i="2"/>
  <c r="G4683" i="2"/>
  <c r="G5363" i="2"/>
  <c r="G4223" i="2"/>
  <c r="G4083" i="2"/>
  <c r="G4423" i="2"/>
  <c r="G1163" i="2"/>
  <c r="G1903" i="2"/>
  <c r="G3563" i="2"/>
  <c r="G5383" i="2"/>
  <c r="G2583" i="2"/>
  <c r="G3943" i="2"/>
  <c r="G4263" i="2"/>
  <c r="G4623" i="2"/>
  <c r="G5083" i="2"/>
  <c r="G1343" i="2"/>
  <c r="G1743" i="2"/>
  <c r="G4143" i="2"/>
  <c r="G2803" i="2"/>
  <c r="G5423" i="2"/>
  <c r="G4503" i="2"/>
  <c r="G1463" i="2"/>
  <c r="G1643" i="2"/>
  <c r="G2963" i="2"/>
  <c r="G2843" i="2"/>
  <c r="G1683" i="2"/>
  <c r="G3823" i="2"/>
  <c r="G5943" i="2"/>
  <c r="G2363" i="2"/>
  <c r="G5243" i="2"/>
  <c r="G1923" i="2"/>
  <c r="G5163" i="2"/>
  <c r="G5403" i="2"/>
  <c r="G3103" i="2"/>
  <c r="G3703" i="2"/>
  <c r="G5003" i="2"/>
  <c r="G1243" i="2"/>
  <c r="G2983" i="2"/>
  <c r="G3503" i="2"/>
  <c r="G1783" i="2"/>
  <c r="G3783" i="2"/>
  <c r="G4703" i="2"/>
  <c r="G3983" i="2"/>
  <c r="G4063" i="2"/>
  <c r="G2703" i="2"/>
  <c r="G3403" i="2"/>
  <c r="G1763" i="2"/>
  <c r="G4383" i="2"/>
  <c r="G5923" i="2"/>
  <c r="G3343" i="2"/>
  <c r="G5903" i="2"/>
  <c r="G2563" i="2"/>
  <c r="G4403" i="2"/>
  <c r="G1983" i="2"/>
  <c r="G3163" i="2"/>
  <c r="G2763" i="2"/>
  <c r="G4323" i="2"/>
  <c r="G4203" i="2"/>
  <c r="G2163" i="2"/>
  <c r="G1263" i="2"/>
  <c r="G3903" i="2"/>
  <c r="G5723" i="2"/>
  <c r="G4983" i="2"/>
  <c r="G5843" i="2"/>
  <c r="G2863" i="2"/>
  <c r="G2823" i="2"/>
  <c r="G1403" i="2"/>
  <c r="G2003" i="2"/>
  <c r="G5283" i="2"/>
  <c r="G2883" i="2"/>
  <c r="G3383" i="2"/>
  <c r="G5563" i="2"/>
  <c r="G3543" i="2"/>
  <c r="G4363" i="2"/>
  <c r="G3603" i="2"/>
  <c r="G1723" i="2"/>
  <c r="G3683" i="2"/>
  <c r="G5043" i="2"/>
  <c r="G4243" i="2"/>
  <c r="G5203" i="2"/>
  <c r="G5223" i="2"/>
  <c r="G1823" i="2"/>
  <c r="G4963" i="2"/>
  <c r="G5483" i="2"/>
  <c r="G1883" i="2"/>
  <c r="G4283" i="2"/>
  <c r="G2903" i="2"/>
  <c r="G4903" i="2"/>
  <c r="G5523" i="2"/>
  <c r="G2683" i="2"/>
  <c r="G1803" i="2"/>
  <c r="G3583" i="2"/>
  <c r="G5603" i="2"/>
  <c r="G4123" i="2"/>
  <c r="G5983" i="2"/>
  <c r="G1703" i="2"/>
  <c r="G2343" i="2"/>
  <c r="G1663" i="2"/>
  <c r="G3303" i="2"/>
  <c r="G3263" i="2"/>
  <c r="G1563" i="2"/>
  <c r="G3723" i="2"/>
  <c r="G5183" i="2"/>
  <c r="G5763" i="2"/>
  <c r="G5023" i="2"/>
  <c r="G5623" i="2"/>
  <c r="G1843" i="2"/>
  <c r="G2623" i="2"/>
  <c r="G2283" i="2"/>
  <c r="G1443" i="2"/>
  <c r="G5643" i="2"/>
  <c r="G3763" i="2"/>
  <c r="G5503" i="2"/>
  <c r="G5683" i="2"/>
  <c r="G2443" i="2"/>
  <c r="G2543" i="2"/>
  <c r="G4803" i="2"/>
  <c r="G2083" i="2"/>
  <c r="G1543" i="2"/>
  <c r="G2023" i="2"/>
  <c r="G3223" i="2"/>
  <c r="G4743" i="2"/>
  <c r="G1383" i="2"/>
  <c r="G2383" i="2"/>
  <c r="G1483" i="2"/>
  <c r="G3063" i="2"/>
  <c r="G1603" i="2"/>
  <c r="G2463" i="2"/>
  <c r="G2423" i="2"/>
  <c r="G3183" i="2"/>
  <c r="G5823" i="2"/>
  <c r="G4163" i="2"/>
  <c r="G3743" i="2"/>
  <c r="G2923" i="2"/>
  <c r="G4523" i="2"/>
  <c r="G2483" i="2"/>
  <c r="G2643" i="2"/>
  <c r="G3863" i="2"/>
  <c r="G3043" i="2"/>
  <c r="G4923" i="2"/>
  <c r="G3323" i="2"/>
  <c r="G1943" i="2"/>
  <c r="G2783" i="2"/>
  <c r="G2663" i="2"/>
  <c r="G3123" i="2"/>
  <c r="G4643" i="2"/>
  <c r="G3623" i="2"/>
  <c r="G2323" i="2"/>
  <c r="G2223" i="2"/>
  <c r="G3923" i="2"/>
  <c r="G4043" i="2"/>
  <c r="G4663" i="2"/>
  <c r="G5343" i="2"/>
  <c r="G4483" i="2"/>
  <c r="G3463" i="2"/>
  <c r="G3283" i="2"/>
  <c r="G4443" i="2"/>
  <c r="G2723" i="2"/>
  <c r="G5783" i="2"/>
  <c r="G5323" i="2"/>
  <c r="G4103" i="2"/>
  <c r="G2503" i="2"/>
  <c r="G2603" i="2"/>
  <c r="G1963" i="2"/>
  <c r="G1423" i="2"/>
  <c r="G4183" i="2"/>
  <c r="G4303" i="2"/>
  <c r="G2523" i="2"/>
  <c r="G2303" i="2"/>
  <c r="G2063" i="2"/>
  <c r="G3083" i="2"/>
  <c r="G4723" i="2"/>
  <c r="G2243" i="2"/>
  <c r="G3203" i="2"/>
  <c r="G3003" i="2"/>
  <c r="G4543" i="2"/>
  <c r="G2203" i="2"/>
  <c r="G1623" i="2"/>
  <c r="G3143" i="2"/>
  <c r="G3423" i="2"/>
  <c r="G1503" i="2"/>
  <c r="G3643" i="2"/>
  <c r="G2183" i="2"/>
  <c r="G4563" i="2"/>
  <c r="G5663" i="2"/>
  <c r="G1223" i="2"/>
  <c r="G3023" i="2"/>
  <c r="G1523" i="2"/>
  <c r="G5443" i="2"/>
  <c r="G3843" i="2"/>
  <c r="G3243" i="2"/>
  <c r="G5303" i="2"/>
  <c r="G5863" i="2"/>
  <c r="G5703" i="2"/>
  <c r="G1283" i="2"/>
  <c r="G4823" i="2"/>
  <c r="G5463" i="2"/>
  <c r="G3523" i="2"/>
  <c r="G4783" i="2"/>
  <c r="G1323" i="2"/>
  <c r="G2103" i="2"/>
  <c r="G5143" i="2"/>
  <c r="G1203" i="2"/>
  <c r="G1583" i="2"/>
  <c r="G4583" i="2"/>
  <c r="G2943" i="2"/>
  <c r="G4463" i="2"/>
  <c r="G5123" i="2"/>
  <c r="G2403" i="2"/>
  <c r="G3483" i="2"/>
  <c r="G3443" i="2"/>
  <c r="G4863" i="2"/>
  <c r="G731" i="2"/>
  <c r="G351" i="2"/>
  <c r="G352" i="2" s="1"/>
  <c r="G811" i="2"/>
  <c r="G271" i="2"/>
  <c r="G191" i="2"/>
  <c r="G931" i="2"/>
  <c r="G331" i="2"/>
  <c r="G311" i="2"/>
  <c r="G851" i="2"/>
  <c r="G171" i="2"/>
  <c r="G91" i="2"/>
  <c r="G111" i="2"/>
  <c r="G52" i="2"/>
  <c r="G672" i="2"/>
  <c r="G452" i="2"/>
  <c r="G612" i="2"/>
  <c r="L20" i="1"/>
  <c r="K21" i="1"/>
  <c r="K22" i="1" s="1"/>
  <c r="K23" i="1" s="1"/>
  <c r="M9" i="1"/>
  <c r="L10" i="1"/>
  <c r="L11" i="1" s="1"/>
  <c r="L9" i="8"/>
  <c r="K10" i="8"/>
  <c r="K11" i="8" s="1"/>
  <c r="L20" i="8"/>
  <c r="K21" i="8"/>
  <c r="K22" i="8" s="1"/>
  <c r="L20" i="7"/>
  <c r="K21" i="7"/>
  <c r="K22" i="7" s="1"/>
  <c r="L9" i="7"/>
  <c r="K10" i="7"/>
  <c r="K11" i="7" s="1"/>
  <c r="M20" i="3"/>
  <c r="L21" i="3"/>
  <c r="L22" i="3" s="1"/>
  <c r="L23" i="3" s="1"/>
  <c r="N9" i="3"/>
  <c r="M10" i="3"/>
  <c r="M11" i="3" s="1"/>
  <c r="L20" i="14"/>
  <c r="K21" i="14"/>
  <c r="K22" i="14" s="1"/>
  <c r="M9" i="14"/>
  <c r="L10" i="14"/>
  <c r="L11" i="14" s="1"/>
  <c r="L9" i="13"/>
  <c r="K10" i="13"/>
  <c r="K11" i="13" s="1"/>
  <c r="K23" i="13" s="1"/>
  <c r="L20" i="13"/>
  <c r="K21" i="13"/>
  <c r="M9" i="12"/>
  <c r="L10" i="12"/>
  <c r="L11" i="12" s="1"/>
  <c r="M20" i="12"/>
  <c r="L21" i="12"/>
  <c r="L22" i="12" s="1"/>
  <c r="L23" i="12" s="1"/>
  <c r="M9" i="11"/>
  <c r="L10" i="11"/>
  <c r="L11" i="11" s="1"/>
  <c r="L20" i="11"/>
  <c r="K21" i="11"/>
  <c r="K22" i="11" s="1"/>
  <c r="K23" i="11" s="1"/>
  <c r="L9" i="10"/>
  <c r="K10" i="10"/>
  <c r="K11" i="10" s="1"/>
  <c r="L20" i="10"/>
  <c r="K21" i="10"/>
  <c r="K22" i="10" s="1"/>
  <c r="L21" i="9"/>
  <c r="L22" i="9" s="1"/>
  <c r="M10" i="9"/>
  <c r="M11" i="9" s="1"/>
  <c r="N2" i="9"/>
  <c r="D76" i="16"/>
  <c r="A1513" i="2"/>
  <c r="J2701" i="2"/>
  <c r="A3580" i="2"/>
  <c r="J3702" i="2"/>
  <c r="J3322" i="2"/>
  <c r="A948" i="2"/>
  <c r="A3620" i="2"/>
  <c r="J5082" i="2"/>
  <c r="J189" i="2"/>
  <c r="K1941" i="2"/>
  <c r="K1161" i="2"/>
  <c r="A3879" i="2"/>
  <c r="J4961" i="2"/>
  <c r="K5322" i="2"/>
  <c r="A3419" i="2"/>
  <c r="K3581" i="2"/>
  <c r="K4642" i="2"/>
  <c r="A949" i="2"/>
  <c r="K110" i="2"/>
  <c r="K2981" i="2"/>
  <c r="J170" i="2"/>
  <c r="K4981" i="2"/>
  <c r="A2979" i="2"/>
  <c r="K88" i="2"/>
  <c r="K3002" i="2"/>
  <c r="K3921" i="2"/>
  <c r="J5402" i="2"/>
  <c r="K3902" i="2"/>
  <c r="J4281" i="2"/>
  <c r="A4520" i="2"/>
  <c r="K4621" i="2"/>
  <c r="A2174" i="2"/>
  <c r="A1739" i="2"/>
  <c r="J5702" i="2"/>
  <c r="J4142" i="2"/>
  <c r="J4761" i="2"/>
  <c r="J5721" i="2"/>
  <c r="K2481" i="2"/>
  <c r="B156" i="12"/>
  <c r="K4941" i="2"/>
  <c r="J4682" i="2"/>
  <c r="J1481" i="2"/>
  <c r="K1762" i="2"/>
  <c r="A2279" i="2"/>
  <c r="J929" i="2"/>
  <c r="A2980" i="2"/>
  <c r="J3922" i="2"/>
  <c r="K588" i="2"/>
  <c r="A3899" i="2"/>
  <c r="J5541" i="2"/>
  <c r="J5962" i="2"/>
  <c r="A2440" i="2"/>
  <c r="J1342" i="2"/>
  <c r="A5139" i="2"/>
  <c r="A1960" i="2"/>
  <c r="J5401" i="2"/>
  <c r="K2261" i="2"/>
  <c r="J609" i="2"/>
  <c r="J1802" i="2"/>
  <c r="J209" i="2"/>
  <c r="A4700" i="2"/>
  <c r="K2162" i="2"/>
  <c r="K2622" i="2"/>
  <c r="A4839" i="2"/>
  <c r="A5280" i="2"/>
  <c r="J3501" i="2"/>
  <c r="K148" i="2"/>
  <c r="J4701" i="2"/>
  <c r="K3462" i="2"/>
  <c r="J4922" i="2"/>
  <c r="K3141" i="2"/>
  <c r="J2561" i="2"/>
  <c r="J1032" i="2"/>
  <c r="A4960" i="2"/>
  <c r="A3860" i="2"/>
  <c r="J5042" i="2"/>
  <c r="A1699" i="2"/>
  <c r="A4219" i="2"/>
  <c r="J5961" i="2"/>
  <c r="K1261" i="2"/>
  <c r="J3382" i="2"/>
  <c r="A3759" i="2"/>
  <c r="K28" i="2"/>
  <c r="K5481" i="2"/>
  <c r="K5681" i="2"/>
  <c r="J5801" i="2"/>
  <c r="K108" i="2"/>
  <c r="A1479" i="2"/>
  <c r="J109" i="2"/>
  <c r="J1882" i="2"/>
  <c r="J228" i="2"/>
  <c r="A2779" i="2"/>
  <c r="A2739" i="2"/>
  <c r="A3259" i="2"/>
  <c r="A5939" i="2"/>
  <c r="K5201" i="2"/>
  <c r="K5361" i="2"/>
  <c r="J5201" i="2"/>
  <c r="J3822" i="2"/>
  <c r="J3441" i="2"/>
  <c r="A3460" i="2"/>
  <c r="A1600" i="2"/>
  <c r="K3582" i="2"/>
  <c r="K809" i="2"/>
  <c r="J1461" i="2"/>
  <c r="J5522" i="2"/>
  <c r="A2020" i="2"/>
  <c r="A5159" i="2"/>
  <c r="J1881" i="2"/>
  <c r="J5861" i="2"/>
  <c r="K2901" i="2"/>
  <c r="A3000" i="2"/>
  <c r="A4500" i="2"/>
  <c r="K3561" i="2"/>
  <c r="K2301" i="2"/>
  <c r="K510" i="2"/>
  <c r="J4802" i="2"/>
  <c r="K4361" i="2"/>
  <c r="A3680" i="2"/>
  <c r="A4940" i="2"/>
  <c r="A3020" i="2"/>
  <c r="A5120" i="2"/>
  <c r="K748" i="2"/>
  <c r="J5461" i="2"/>
  <c r="A1008" i="2"/>
  <c r="A2899" i="2"/>
  <c r="K450" i="2"/>
  <c r="K3721" i="2"/>
  <c r="K1013" i="2"/>
  <c r="J2082" i="2"/>
  <c r="B136" i="8"/>
  <c r="K5641" i="2"/>
  <c r="J2521" i="2"/>
  <c r="A5820" i="2"/>
  <c r="K1262" i="2"/>
  <c r="J3622" i="2"/>
  <c r="J2821" i="2"/>
  <c r="A2840" i="2"/>
  <c r="K4562" i="2"/>
  <c r="J708" i="2"/>
  <c r="A3740" i="2"/>
  <c r="J3422" i="2"/>
  <c r="A4360" i="2"/>
  <c r="K5241" i="2"/>
  <c r="K2582" i="2"/>
  <c r="A1580" i="2"/>
  <c r="J2241" i="2"/>
  <c r="K3801" i="2"/>
  <c r="J2502" i="2"/>
  <c r="J2261" i="2"/>
  <c r="A4260" i="2"/>
  <c r="A4640" i="2"/>
  <c r="K3822" i="2"/>
  <c r="K3722" i="2"/>
  <c r="A2780" i="2"/>
  <c r="A3819" i="2"/>
  <c r="A4259" i="2"/>
  <c r="B136" i="3"/>
  <c r="A4180" i="2"/>
  <c r="J3722" i="2"/>
  <c r="K3381" i="2"/>
  <c r="J1361" i="2"/>
  <c r="K2341" i="2"/>
  <c r="J5741" i="2"/>
  <c r="J5302" i="2"/>
  <c r="J4302" i="2"/>
  <c r="K788" i="2"/>
  <c r="J2682" i="2"/>
  <c r="J2722" i="2"/>
  <c r="J5822" i="2"/>
  <c r="A4380" i="2"/>
  <c r="J4942" i="2"/>
  <c r="J1682" i="2"/>
  <c r="J4062" i="2"/>
  <c r="A1009" i="2"/>
  <c r="J4461" i="2"/>
  <c r="A2839" i="2"/>
  <c r="A4320" i="2"/>
  <c r="A1540" i="2"/>
  <c r="A1339" i="2"/>
  <c r="K1961" i="2"/>
  <c r="B116" i="13"/>
  <c r="K2621" i="2"/>
  <c r="K908" i="2"/>
  <c r="K5182" i="2"/>
  <c r="A3079" i="2"/>
  <c r="A5180" i="2"/>
  <c r="K810" i="2"/>
  <c r="K3361" i="2"/>
  <c r="K888" i="2"/>
  <c r="K2201" i="2"/>
  <c r="J4482" i="2"/>
  <c r="A3619" i="2"/>
  <c r="K4801" i="2"/>
  <c r="A4720" i="2"/>
  <c r="J2801" i="2"/>
  <c r="A4179" i="2"/>
  <c r="A2859" i="2"/>
  <c r="K4921" i="2"/>
  <c r="J4862" i="2"/>
  <c r="J108" i="2"/>
  <c r="A1360" i="2"/>
  <c r="K5221" i="2"/>
  <c r="K5702" i="2"/>
  <c r="J1981" i="2"/>
  <c r="J2262" i="2"/>
  <c r="K1582" i="2"/>
  <c r="A4600" i="2"/>
  <c r="J449" i="2"/>
  <c r="K1561" i="2"/>
  <c r="A5340" i="2"/>
  <c r="A5699" i="2"/>
  <c r="A3499" i="2"/>
  <c r="K5741" i="2"/>
  <c r="J1182" i="2"/>
  <c r="A5619" i="2"/>
  <c r="A3459" i="2"/>
  <c r="A3040" i="2"/>
  <c r="A1680" i="2"/>
  <c r="K4241" i="2"/>
  <c r="K4842" i="2"/>
  <c r="K1861" i="2"/>
  <c r="A5819" i="2"/>
  <c r="K2581" i="2"/>
  <c r="A4639" i="2"/>
  <c r="K2241" i="2"/>
  <c r="A2099" i="2"/>
  <c r="J3402" i="2"/>
  <c r="K3342" i="2"/>
  <c r="K3401" i="2"/>
  <c r="A4279" i="2"/>
  <c r="J4202" i="2"/>
  <c r="K4182" i="2"/>
  <c r="A2939" i="2"/>
  <c r="A4619" i="2"/>
  <c r="K3101" i="2"/>
  <c r="A1514" i="2"/>
  <c r="J2401" i="2"/>
  <c r="A2340" i="2"/>
  <c r="K3102" i="2"/>
  <c r="A989" i="2"/>
  <c r="K1901" i="2"/>
  <c r="K2022" i="2"/>
  <c r="A5540" i="2"/>
  <c r="J368" i="2"/>
  <c r="K4402" i="2"/>
  <c r="K2662" i="2"/>
  <c r="K2822" i="2"/>
  <c r="J2162" i="2"/>
  <c r="A2120" i="2"/>
  <c r="B116" i="7"/>
  <c r="K4161" i="2"/>
  <c r="K2501" i="2"/>
  <c r="K5341" i="2"/>
  <c r="K648" i="2"/>
  <c r="J3321" i="2"/>
  <c r="A5160" i="2"/>
  <c r="J128" i="2"/>
  <c r="J5882" i="2"/>
  <c r="K928" i="2"/>
  <c r="J5362" i="2"/>
  <c r="A1313" i="2"/>
  <c r="J3201" i="2"/>
  <c r="A2219" i="2"/>
  <c r="A5880" i="2"/>
  <c r="J5282" i="2"/>
  <c r="A3760" i="2"/>
  <c r="A1240" i="2"/>
  <c r="A2259" i="2"/>
  <c r="A1619" i="2"/>
  <c r="A5659" i="2"/>
  <c r="J1861" i="2"/>
  <c r="J1762" i="2"/>
  <c r="J2002" i="2"/>
  <c r="J2661" i="2"/>
  <c r="K1661" i="2"/>
  <c r="J3701" i="2"/>
  <c r="J2302" i="2"/>
  <c r="K4362" i="2"/>
  <c r="A3940" i="2"/>
  <c r="K528" i="2"/>
  <c r="K408" i="2"/>
  <c r="A2599" i="2"/>
  <c r="K2181" i="2"/>
  <c r="K389" i="2"/>
  <c r="A950" i="2"/>
  <c r="A1919" i="2"/>
  <c r="K1442" i="2"/>
  <c r="K4522" i="2"/>
  <c r="K3601" i="2"/>
  <c r="K4401" i="2"/>
  <c r="A5639" i="2"/>
  <c r="K1241" i="2"/>
  <c r="K2121" i="2"/>
  <c r="K1072" i="2"/>
  <c r="J2761" i="2"/>
  <c r="A5700" i="2"/>
  <c r="J68" i="2"/>
  <c r="A1110" i="2"/>
  <c r="A3720" i="2"/>
  <c r="K1722" i="2"/>
  <c r="K4681" i="2"/>
  <c r="K1642" i="2"/>
  <c r="A4980" i="2"/>
  <c r="A5559" i="2"/>
  <c r="J4001" i="2"/>
  <c r="J3902" i="2"/>
  <c r="J1242" i="2"/>
  <c r="J3181" i="2"/>
  <c r="A1640" i="2"/>
  <c r="A1820" i="2"/>
  <c r="J5021" i="2"/>
  <c r="A2500" i="2"/>
  <c r="A5100" i="2"/>
  <c r="A4599" i="2"/>
  <c r="K5901" i="2"/>
  <c r="K2741" i="2"/>
  <c r="J3581" i="2"/>
  <c r="A3820" i="2"/>
  <c r="A5259" i="2"/>
  <c r="K2602" i="2"/>
  <c r="A4100" i="2"/>
  <c r="J1562" i="2"/>
  <c r="J4901" i="2"/>
  <c r="K1621" i="2"/>
  <c r="K3461" i="2"/>
  <c r="K3962" i="2"/>
  <c r="J5321" i="2"/>
  <c r="K2801" i="2"/>
  <c r="B176" i="3"/>
  <c r="K2561" i="2"/>
  <c r="A3579" i="2"/>
  <c r="A1499" i="2"/>
  <c r="J1112" i="2"/>
  <c r="K3201" i="2"/>
  <c r="K4121" i="2"/>
  <c r="J510" i="2"/>
  <c r="K1542" i="2"/>
  <c r="A2960" i="2"/>
  <c r="J468" i="2"/>
  <c r="K2421" i="2"/>
  <c r="A2280" i="2"/>
  <c r="A2019" i="2"/>
  <c r="K5802" i="2"/>
  <c r="J3962" i="2"/>
  <c r="J5542" i="2"/>
  <c r="J4541" i="2"/>
  <c r="K2941" i="2"/>
  <c r="A3980" i="2"/>
  <c r="K4122" i="2"/>
  <c r="J2202" i="2"/>
  <c r="J4282" i="2"/>
  <c r="A3139" i="2"/>
  <c r="K3981" i="2"/>
  <c r="K2842" i="2"/>
  <c r="A4499" i="2"/>
  <c r="A3679" i="2"/>
  <c r="A3979" i="2"/>
  <c r="J3142" i="2"/>
  <c r="K5282" i="2"/>
  <c r="K5301" i="2"/>
  <c r="A1068" i="2"/>
  <c r="A4060" i="2"/>
  <c r="A2580" i="2"/>
  <c r="J4121" i="2"/>
  <c r="J1261" i="2"/>
  <c r="J88" i="2"/>
  <c r="A2660" i="2"/>
  <c r="J1262" i="2"/>
  <c r="K2962" i="2"/>
  <c r="A4780" i="2"/>
  <c r="K5222" i="2"/>
  <c r="J2861" i="2"/>
  <c r="A4459" i="2"/>
  <c r="J1521" i="2"/>
  <c r="J2182" i="2"/>
  <c r="A3240" i="2"/>
  <c r="A5520" i="2"/>
  <c r="J2342" i="2"/>
  <c r="J548" i="2"/>
  <c r="J5221" i="2"/>
  <c r="K5081" i="2"/>
  <c r="J5942" i="2"/>
  <c r="K3502" i="2"/>
  <c r="J4741" i="2"/>
  <c r="K4882" i="2"/>
  <c r="A4979" i="2"/>
  <c r="J4962" i="2"/>
  <c r="J2121" i="2"/>
  <c r="A3700" i="2"/>
  <c r="K4422" i="2"/>
  <c r="K5421" i="2"/>
  <c r="A1051" i="2"/>
  <c r="A3119" i="2"/>
  <c r="K3781" i="2"/>
  <c r="A4779" i="2"/>
  <c r="K4382" i="2"/>
  <c r="A3800" i="2"/>
  <c r="J408" i="2"/>
  <c r="K5441" i="2"/>
  <c r="A2919" i="2"/>
  <c r="A5780" i="2"/>
  <c r="A2900" i="2"/>
  <c r="K5822" i="2"/>
  <c r="K5281" i="2"/>
  <c r="K5061" i="2"/>
  <c r="J2181" i="2"/>
  <c r="K4202" i="2"/>
  <c r="K5142" i="2"/>
  <c r="K1302" i="2"/>
  <c r="A3519" i="2"/>
  <c r="A5679" i="2"/>
  <c r="J2562" i="2"/>
  <c r="J1502" i="2"/>
  <c r="J2921" i="2"/>
  <c r="A1253" i="2"/>
  <c r="A3219" i="2"/>
  <c r="A5140" i="2"/>
  <c r="A2520" i="2"/>
  <c r="A1880" i="2"/>
  <c r="A2160" i="2"/>
  <c r="K4881" i="2"/>
  <c r="K3501" i="2"/>
  <c r="J4042" i="2"/>
  <c r="J51" i="2"/>
  <c r="J790" i="2"/>
  <c r="A1833" i="2"/>
  <c r="K4281" i="2"/>
  <c r="J2042" i="2"/>
  <c r="A1480" i="2"/>
  <c r="A4239" i="2"/>
  <c r="J3081" i="2"/>
  <c r="K4342" i="2"/>
  <c r="K2762" i="2"/>
  <c r="A990" i="2"/>
  <c r="J1561" i="2"/>
  <c r="K1521" i="2"/>
  <c r="J1542" i="2"/>
  <c r="J3881" i="2"/>
  <c r="J5181" i="2"/>
  <c r="J4641" i="2"/>
  <c r="K1132" i="2"/>
  <c r="A4840" i="2"/>
  <c r="K5982" i="2"/>
  <c r="A5500" i="2"/>
  <c r="B136" i="7"/>
  <c r="J1093" i="2"/>
  <c r="A1194" i="2"/>
  <c r="J288" i="2"/>
  <c r="K2041" i="2"/>
  <c r="A2040" i="2"/>
  <c r="A5439" i="2"/>
  <c r="K4242" i="2"/>
  <c r="A1613" i="2"/>
  <c r="K3602" i="2"/>
  <c r="A1679" i="2"/>
  <c r="K5941" i="2"/>
  <c r="K2961" i="2"/>
  <c r="J809" i="2"/>
  <c r="K4101" i="2"/>
  <c r="A2460" i="2"/>
  <c r="K5021" i="2"/>
  <c r="J5602" i="2"/>
  <c r="A1091" i="2"/>
  <c r="K4042" i="2"/>
  <c r="K190" i="2"/>
  <c r="J2022" i="2"/>
  <c r="A2180" i="2"/>
  <c r="K4462" i="2"/>
  <c r="A3279" i="2"/>
  <c r="A4740" i="2"/>
  <c r="A2539" i="2"/>
  <c r="K168" i="2"/>
  <c r="J5921" i="2"/>
  <c r="K448" i="2"/>
  <c r="K4081" i="2"/>
  <c r="K1801" i="2"/>
  <c r="J2141" i="2"/>
  <c r="K2242" i="2"/>
  <c r="K1401" i="2"/>
  <c r="A4460" i="2"/>
  <c r="A3339" i="2"/>
  <c r="A1160" i="2"/>
  <c r="J208" i="2"/>
  <c r="A4760" i="2"/>
  <c r="A3399" i="2"/>
  <c r="A3060" i="2"/>
  <c r="K4502" i="2"/>
  <c r="J5761" i="2"/>
  <c r="J4041" i="2"/>
  <c r="K1641" i="2"/>
  <c r="A5519" i="2"/>
  <c r="K5861" i="2"/>
  <c r="A3340" i="2"/>
  <c r="A3420" i="2"/>
  <c r="J3721" i="2"/>
  <c r="A5599" i="2"/>
  <c r="K5422" i="2"/>
  <c r="J1442" i="2"/>
  <c r="J5901" i="2"/>
  <c r="J4702" i="2"/>
  <c r="K449" i="2"/>
  <c r="K2562" i="2"/>
  <c r="J2341" i="2"/>
  <c r="K5082" i="2"/>
  <c r="K2702" i="2"/>
  <c r="J2501" i="2"/>
  <c r="A2480" i="2"/>
  <c r="K1202" i="2"/>
  <c r="J1222" i="2"/>
  <c r="K5981" i="2"/>
  <c r="A5960" i="2"/>
  <c r="J4882" i="2"/>
  <c r="J1322" i="2"/>
  <c r="A4900" i="2"/>
  <c r="K4341" i="2"/>
  <c r="K4181" i="2"/>
  <c r="J5581" i="2"/>
  <c r="K3042" i="2"/>
  <c r="A4879" i="2"/>
  <c r="J1181" i="2"/>
  <c r="K4062" i="2"/>
  <c r="K3922" i="2"/>
  <c r="J3102" i="2"/>
  <c r="J1052" i="2"/>
  <c r="A1219" i="2"/>
  <c r="K4322" i="2"/>
  <c r="J3042" i="2"/>
  <c r="K3901" i="2"/>
  <c r="A2260" i="2"/>
  <c r="J3621" i="2"/>
  <c r="K3961" i="2"/>
  <c r="J3082" i="2"/>
  <c r="J248" i="2"/>
  <c r="K3562" i="2"/>
  <c r="K1112" i="2"/>
  <c r="J1401" i="2"/>
  <c r="A5199" i="2"/>
  <c r="K4661" i="2"/>
  <c r="K3881" i="2"/>
  <c r="A4159" i="2"/>
  <c r="J2021" i="2"/>
  <c r="A5660" i="2"/>
  <c r="A969" i="2"/>
  <c r="J188" i="2"/>
  <c r="A3439" i="2"/>
  <c r="A4959" i="2"/>
  <c r="A1940" i="2"/>
  <c r="J5582" i="2"/>
  <c r="J5102" i="2"/>
  <c r="A3559" i="2"/>
  <c r="J5981" i="2"/>
  <c r="K4321" i="2"/>
  <c r="J3662" i="2"/>
  <c r="K728" i="2"/>
  <c r="A1199" i="2"/>
  <c r="A3360" i="2"/>
  <c r="K4721" i="2"/>
  <c r="K4742" i="2"/>
  <c r="J4462" i="2"/>
  <c r="A5319" i="2"/>
  <c r="J5682" i="2"/>
  <c r="A1599" i="2"/>
  <c r="K1862" i="2"/>
  <c r="A2339" i="2"/>
  <c r="J4081" i="2"/>
  <c r="A1979" i="2"/>
  <c r="K2001" i="2"/>
  <c r="K5922" i="2"/>
  <c r="K4041" i="2"/>
  <c r="A1359" i="2"/>
  <c r="J5902" i="2"/>
  <c r="K4682" i="2"/>
  <c r="J2061" i="2"/>
  <c r="J1661" i="2"/>
  <c r="A1859" i="2"/>
  <c r="A4079" i="2"/>
  <c r="J528" i="2"/>
  <c r="B156" i="1"/>
  <c r="K2682" i="2"/>
  <c r="B136" i="11"/>
  <c r="K5462" i="2"/>
  <c r="A4340" i="2"/>
  <c r="K5762" i="2"/>
  <c r="A3380" i="2"/>
  <c r="A5719" i="2"/>
  <c r="K4141" i="2"/>
  <c r="K3742" i="2"/>
  <c r="K5202" i="2"/>
  <c r="J3861" i="2"/>
  <c r="A1920" i="2"/>
  <c r="J1581" i="2"/>
  <c r="J4481" i="2"/>
  <c r="A4820" i="2"/>
  <c r="J5601" i="2"/>
  <c r="K953" i="2"/>
  <c r="J1441" i="2"/>
  <c r="J1221" i="2"/>
  <c r="A2659" i="2"/>
  <c r="A1579" i="2"/>
  <c r="J5782" i="2"/>
  <c r="K4421" i="2"/>
  <c r="J5381" i="2"/>
  <c r="J3101" i="2"/>
  <c r="A3179" i="2"/>
  <c r="A5459" i="2"/>
  <c r="K1342" i="2"/>
  <c r="A2300" i="2"/>
  <c r="J2441" i="2"/>
  <c r="A2360" i="2"/>
  <c r="B116" i="10"/>
  <c r="J2581" i="2"/>
  <c r="J2982" i="2"/>
  <c r="A2140" i="2"/>
  <c r="A1559" i="2"/>
  <c r="A4379" i="2"/>
  <c r="K3661" i="2"/>
  <c r="K5482" i="2"/>
  <c r="K2542" i="2"/>
  <c r="K3441" i="2"/>
  <c r="K3941" i="2"/>
  <c r="A3059" i="2"/>
  <c r="K2082" i="2"/>
  <c r="A3640" i="2"/>
  <c r="K4841" i="2"/>
  <c r="A4339" i="2"/>
  <c r="K1382" i="2"/>
  <c r="J3202" i="2"/>
  <c r="A5799" i="2"/>
  <c r="J4602" i="2"/>
  <c r="J1821" i="2"/>
  <c r="J5821" i="2"/>
  <c r="K2402" i="2"/>
  <c r="J2822" i="2"/>
  <c r="J689" i="2"/>
  <c r="B176" i="9"/>
  <c r="K2002" i="2"/>
  <c r="K3402" i="2"/>
  <c r="K1841" i="2"/>
  <c r="J5482" i="2"/>
  <c r="K4381" i="2"/>
  <c r="K4601" i="2"/>
  <c r="K5001" i="2"/>
  <c r="K3481" i="2"/>
  <c r="K128" i="2"/>
  <c r="K2821" i="2"/>
  <c r="K3262" i="2"/>
  <c r="A4300" i="2"/>
  <c r="A3659" i="2"/>
  <c r="J4601" i="2"/>
  <c r="J2782" i="2"/>
  <c r="J5241" i="2"/>
  <c r="K1681" i="2"/>
  <c r="J2721" i="2"/>
  <c r="K1282" i="2"/>
  <c r="A2179" i="2"/>
  <c r="K3641" i="2"/>
  <c r="J3461" i="2"/>
  <c r="K428" i="2"/>
  <c r="J509" i="2"/>
  <c r="A2359" i="2"/>
  <c r="K1922" i="2"/>
  <c r="K4982" i="2"/>
  <c r="K2442" i="2"/>
  <c r="K5402" i="2"/>
  <c r="J4322" i="2"/>
  <c r="K5642" i="2"/>
  <c r="J3141" i="2"/>
  <c r="J5342" i="2"/>
  <c r="J2122" i="2"/>
  <c r="A2299" i="2"/>
  <c r="J1921" i="2"/>
  <c r="J1602" i="2"/>
  <c r="K5161" i="2"/>
  <c r="K5962" i="2"/>
  <c r="A4799" i="2"/>
  <c r="J2882" i="2"/>
  <c r="K228" i="2"/>
  <c r="J4221" i="2"/>
  <c r="K3281" i="2"/>
  <c r="A3859" i="2"/>
  <c r="A4559" i="2"/>
  <c r="A4240" i="2"/>
  <c r="K1602" i="2"/>
  <c r="A1900" i="2"/>
  <c r="A4399" i="2"/>
  <c r="K4662" i="2"/>
  <c r="K5502" i="2"/>
  <c r="K5601" i="2"/>
  <c r="K5522" i="2"/>
  <c r="A3440" i="2"/>
  <c r="A5239" i="2"/>
  <c r="K2601" i="2"/>
  <c r="K973" i="2"/>
  <c r="A4579" i="2"/>
  <c r="J3122" i="2"/>
  <c r="A5840" i="2"/>
  <c r="A5959" i="2"/>
  <c r="A2759" i="2"/>
  <c r="A1780" i="2"/>
  <c r="J4762" i="2"/>
  <c r="A4759" i="2"/>
  <c r="K4082" i="2"/>
  <c r="K3321" i="2"/>
  <c r="J4242" i="2"/>
  <c r="J3381" i="2"/>
  <c r="K1461" i="2"/>
  <c r="A5999" i="2"/>
  <c r="A1700" i="2"/>
  <c r="K3081" i="2"/>
  <c r="A1560" i="2"/>
  <c r="A4139" i="2"/>
  <c r="A1299" i="2"/>
  <c r="K548" i="2"/>
  <c r="K1902" i="2"/>
  <c r="K2401" i="2"/>
  <c r="A6000" i="2"/>
  <c r="J148" i="2"/>
  <c r="J1321" i="2"/>
  <c r="K5742" i="2"/>
  <c r="K2882" i="2"/>
  <c r="K4561" i="2"/>
  <c r="A1460" i="2"/>
  <c r="A3280" i="2"/>
  <c r="A3359" i="2"/>
  <c r="A4400" i="2"/>
  <c r="K4261" i="2"/>
  <c r="A1180" i="2"/>
  <c r="A3520" i="2"/>
  <c r="K5961" i="2"/>
  <c r="J1941" i="2"/>
  <c r="K189" i="2"/>
  <c r="K4962" i="2"/>
  <c r="A3739" i="2"/>
  <c r="K4902" i="2"/>
  <c r="A3220" i="2"/>
  <c r="A4439" i="2"/>
  <c r="A1071" i="2"/>
  <c r="A5859" i="2"/>
  <c r="A3540" i="2"/>
  <c r="J4662" i="2"/>
  <c r="K2862" i="2"/>
  <c r="J768" i="2"/>
  <c r="K2321" i="2"/>
  <c r="K2342" i="2"/>
  <c r="J1982" i="2"/>
  <c r="K4222" i="2"/>
  <c r="A1539" i="2"/>
  <c r="A5119" i="2"/>
  <c r="A1300" i="2"/>
  <c r="J5842" i="2"/>
  <c r="J953" i="2"/>
  <c r="A4280" i="2"/>
  <c r="J2962" i="2"/>
  <c r="K1093" i="2"/>
  <c r="J4201" i="2"/>
  <c r="J2841" i="2"/>
  <c r="J2142" i="2"/>
  <c r="J5502" i="2"/>
  <c r="A1111" i="2"/>
  <c r="K2202" i="2"/>
  <c r="K1781" i="2"/>
  <c r="J3182" i="2"/>
  <c r="J4622" i="2"/>
  <c r="J2941" i="2"/>
  <c r="K2361" i="2"/>
  <c r="A5579" i="2"/>
  <c r="J4182" i="2"/>
  <c r="K4942" i="2"/>
  <c r="A1379" i="2"/>
  <c r="J5701" i="2"/>
  <c r="K2921" i="2"/>
  <c r="A5099" i="2"/>
  <c r="J5562" i="2"/>
  <c r="A2400" i="2"/>
  <c r="A3100" i="2"/>
  <c r="J5301" i="2"/>
  <c r="K4761" i="2"/>
  <c r="J748" i="2"/>
  <c r="A2940" i="2"/>
  <c r="J4822" i="2"/>
  <c r="J3761" i="2"/>
  <c r="J3462" i="2"/>
  <c r="K468" i="2"/>
  <c r="J4902" i="2"/>
  <c r="J3121" i="2"/>
  <c r="A5879" i="2"/>
  <c r="J1902" i="2"/>
  <c r="A3379" i="2"/>
  <c r="K3341" i="2"/>
  <c r="J3262" i="2"/>
  <c r="J268" i="2"/>
  <c r="J868" i="2"/>
  <c r="K5902" i="2"/>
  <c r="K3642" i="2"/>
  <c r="A1131" i="2"/>
  <c r="J3741" i="2"/>
  <c r="K2461" i="2"/>
  <c r="K828" i="2"/>
  <c r="J2222" i="2"/>
  <c r="K3681" i="2"/>
  <c r="A3959" i="2"/>
  <c r="A4480" i="2"/>
  <c r="A3140" i="2"/>
  <c r="J2321" i="2"/>
  <c r="J5041" i="2"/>
  <c r="K5381" i="2"/>
  <c r="J3341" i="2"/>
  <c r="K3302" i="2"/>
  <c r="K4541" i="2"/>
  <c r="J2362" i="2"/>
  <c r="A5080" i="2"/>
  <c r="K3542" i="2"/>
  <c r="A5499" i="2"/>
  <c r="K4782" i="2"/>
  <c r="J1701" i="2"/>
  <c r="A1179" i="2"/>
  <c r="K4741" i="2"/>
  <c r="A4679" i="2"/>
  <c r="K1822" i="2"/>
  <c r="A3539" i="2"/>
  <c r="K3041" i="2"/>
  <c r="K2282" i="2"/>
  <c r="J4502" i="2"/>
  <c r="J4941" i="2"/>
  <c r="K3022" i="2"/>
  <c r="K4622" i="2"/>
  <c r="J4681" i="2"/>
  <c r="J4021" i="2"/>
  <c r="A3260" i="2"/>
  <c r="K5682" i="2"/>
  <c r="K1052" i="2"/>
  <c r="K1581" i="2"/>
  <c r="J4181" i="2"/>
  <c r="K4001" i="2"/>
  <c r="J4801" i="2"/>
  <c r="K4282" i="2"/>
  <c r="K1322" i="2"/>
  <c r="J3301" i="2"/>
  <c r="J4561" i="2"/>
  <c r="J1422" i="2"/>
  <c r="J1161" i="2"/>
  <c r="J2482" i="2"/>
  <c r="K708" i="2"/>
  <c r="K5801" i="2"/>
  <c r="A5899" i="2"/>
  <c r="J3942" i="2"/>
  <c r="A1200" i="2"/>
  <c r="A4540" i="2"/>
  <c r="K1662" i="2"/>
  <c r="A1860" i="2"/>
  <c r="K2482" i="2"/>
  <c r="A3660" i="2"/>
  <c r="K5541" i="2"/>
  <c r="J1381" i="2"/>
  <c r="J3221" i="2"/>
  <c r="A2080" i="2"/>
  <c r="J3001" i="2"/>
  <c r="A3160" i="2"/>
  <c r="A2559" i="2"/>
  <c r="K2742" i="2"/>
  <c r="J3602" i="2"/>
  <c r="A5040" i="2"/>
  <c r="K2322" i="2"/>
  <c r="A5339" i="2"/>
  <c r="A5800" i="2"/>
  <c r="J4382" i="2"/>
  <c r="K1881" i="2"/>
  <c r="A2060" i="2"/>
  <c r="J451" i="2"/>
  <c r="A2860" i="2"/>
  <c r="J1402" i="2"/>
  <c r="J928" i="2"/>
  <c r="K390" i="2"/>
  <c r="A1740" i="2"/>
  <c r="J3021" i="2"/>
  <c r="K1502" i="2"/>
  <c r="A5460" i="2"/>
  <c r="K1981" i="2"/>
  <c r="K1701" i="2"/>
  <c r="A5480" i="2"/>
  <c r="J2742" i="2"/>
  <c r="J4262" i="2"/>
  <c r="A4040" i="2"/>
  <c r="A5759" i="2"/>
  <c r="J5442" i="2"/>
  <c r="J3641" i="2"/>
  <c r="K4442" i="2"/>
  <c r="J3681" i="2"/>
  <c r="A1980" i="2"/>
  <c r="A2039" i="2"/>
  <c r="J2442" i="2"/>
  <c r="K4302" i="2"/>
  <c r="A2419" i="2"/>
  <c r="J190" i="2"/>
  <c r="A2152" i="2"/>
  <c r="K2221" i="2"/>
  <c r="J1241" i="2"/>
  <c r="B136" i="12"/>
  <c r="A1720" i="2"/>
  <c r="A2479" i="2"/>
  <c r="K1562" i="2"/>
  <c r="J850" i="2"/>
  <c r="K4201" i="2"/>
  <c r="K5102" i="2"/>
  <c r="J3061" i="2"/>
  <c r="K1182" i="2"/>
  <c r="A3039" i="2"/>
  <c r="K568" i="2"/>
  <c r="K3001" i="2"/>
  <c r="J5941" i="2"/>
  <c r="K1622" i="2"/>
  <c r="J5681" i="2"/>
  <c r="K848" i="2"/>
  <c r="A2059" i="2"/>
  <c r="J3661" i="2"/>
  <c r="J3762" i="2"/>
  <c r="K1501" i="2"/>
  <c r="J4642" i="2"/>
  <c r="J4522" i="2"/>
  <c r="K1321" i="2"/>
  <c r="A4140" i="2"/>
  <c r="K4501" i="2"/>
  <c r="K1441" i="2"/>
  <c r="J4401" i="2"/>
  <c r="A2820" i="2"/>
  <c r="K4822" i="2"/>
  <c r="J2881" i="2"/>
  <c r="A1070" i="2"/>
  <c r="J4421" i="2"/>
  <c r="A5680" i="2"/>
  <c r="J1501" i="2"/>
  <c r="K5401" i="2"/>
  <c r="K1181" i="2"/>
  <c r="B156" i="3"/>
  <c r="A3920" i="2"/>
  <c r="J5341" i="2"/>
  <c r="A1660" i="2"/>
  <c r="K2102" i="2"/>
  <c r="A2420" i="2"/>
  <c r="K5761" i="2"/>
  <c r="A5779" i="2"/>
  <c r="A4220" i="2"/>
  <c r="K5442" i="2"/>
  <c r="J5561" i="2"/>
  <c r="A1879" i="2"/>
  <c r="A1400" i="2"/>
  <c r="J1721" i="2"/>
  <c r="K348" i="2"/>
  <c r="K3862" i="2"/>
  <c r="J249" i="2"/>
  <c r="A2199" i="2"/>
  <c r="A1130" i="2"/>
  <c r="J610" i="2"/>
  <c r="K2721" i="2"/>
  <c r="K3182" i="2"/>
  <c r="A5640" i="2"/>
  <c r="J3261" i="2"/>
  <c r="A2139" i="2"/>
  <c r="A2619" i="2"/>
  <c r="J5781" i="2"/>
  <c r="J2702" i="2"/>
  <c r="K5042" i="2"/>
  <c r="K1702" i="2"/>
  <c r="J4301" i="2"/>
  <c r="K3221" i="2"/>
  <c r="K5302" i="2"/>
  <c r="K4301" i="2"/>
  <c r="J5641" i="2"/>
  <c r="A5980" i="2"/>
  <c r="A5320" i="2"/>
  <c r="K1421" i="2"/>
  <c r="K3442" i="2"/>
  <c r="A1659" i="2"/>
  <c r="A3480" i="2"/>
  <c r="K488" i="2"/>
  <c r="K3202" i="2"/>
  <c r="A2540" i="2"/>
  <c r="K4061" i="2"/>
  <c r="A2800" i="2"/>
  <c r="J788" i="2"/>
  <c r="K4162" i="2"/>
  <c r="J5862" i="2"/>
  <c r="J3981" i="2"/>
  <c r="K1481" i="2"/>
  <c r="A4199" i="2"/>
  <c r="K4461" i="2"/>
  <c r="J2602" i="2"/>
  <c r="K1462" i="2"/>
  <c r="J3522" i="2"/>
  <c r="K4521" i="2"/>
  <c r="J169" i="2"/>
  <c r="K4022" i="2"/>
  <c r="J2582" i="2"/>
  <c r="K5661" i="2"/>
  <c r="K2541" i="2"/>
  <c r="B156" i="9"/>
  <c r="J5762" i="2"/>
  <c r="K3821" i="2"/>
  <c r="J4542" i="2"/>
  <c r="A4359" i="2"/>
  <c r="J4102" i="2"/>
  <c r="J2361" i="2"/>
  <c r="J2381" i="2"/>
  <c r="K2061" i="2"/>
  <c r="A4859" i="2"/>
  <c r="A2819" i="2"/>
  <c r="A4519" i="2"/>
  <c r="A2719" i="2"/>
  <c r="K5262" i="2"/>
  <c r="J789" i="2"/>
  <c r="A1419" i="2"/>
  <c r="A5380" i="2"/>
  <c r="J4101" i="2"/>
  <c r="J2901" i="2"/>
  <c r="J3582" i="2"/>
  <c r="J4782" i="2"/>
  <c r="A5920" i="2"/>
  <c r="A3939" i="2"/>
  <c r="A2999" i="2"/>
  <c r="K5362" i="2"/>
  <c r="A1172" i="2"/>
  <c r="J4422" i="2"/>
  <c r="K930" i="2"/>
  <c r="K2881" i="2"/>
  <c r="A2560" i="2"/>
  <c r="K2522" i="2"/>
  <c r="J269" i="2"/>
  <c r="J3342" i="2"/>
  <c r="J2762" i="2"/>
  <c r="K3122" i="2"/>
  <c r="J4442" i="2"/>
  <c r="K1482" i="2"/>
  <c r="K3541" i="2"/>
  <c r="A1459" i="2"/>
  <c r="J1162" i="2"/>
  <c r="A3600" i="2"/>
  <c r="A5200" i="2"/>
  <c r="A4020" i="2"/>
  <c r="J2481" i="2"/>
  <c r="J348" i="2"/>
  <c r="J270" i="2"/>
  <c r="J3862" i="2"/>
  <c r="J1601" i="2"/>
  <c r="K2182" i="2"/>
  <c r="A1800" i="2"/>
  <c r="A1719" i="2"/>
  <c r="J2961" i="2"/>
  <c r="J808" i="2"/>
  <c r="J2741" i="2"/>
  <c r="J4781" i="2"/>
  <c r="K1201" i="2"/>
  <c r="A4660" i="2"/>
  <c r="K5842" i="2"/>
  <c r="K5321" i="2"/>
  <c r="J2922" i="2"/>
  <c r="A4800" i="2"/>
  <c r="J3282" i="2"/>
  <c r="J389" i="2"/>
  <c r="K270" i="2"/>
  <c r="A3699" i="2"/>
  <c r="A4680" i="2"/>
  <c r="B157" i="11"/>
  <c r="K3061" i="2"/>
  <c r="K5841" i="2"/>
  <c r="J3161" i="2"/>
  <c r="K2062" i="2"/>
  <c r="K248" i="2"/>
  <c r="J1462" i="2"/>
  <c r="J4342" i="2"/>
  <c r="A3919" i="2"/>
  <c r="K3621" i="2"/>
  <c r="K1962" i="2"/>
  <c r="K2081" i="2"/>
  <c r="A5760" i="2"/>
  <c r="J4002" i="2"/>
  <c r="A3999" i="2"/>
  <c r="J668" i="2"/>
  <c r="K2942" i="2"/>
  <c r="A1999" i="2"/>
  <c r="J5642" i="2"/>
  <c r="A3200" i="2"/>
  <c r="J2301" i="2"/>
  <c r="K1402" i="2"/>
  <c r="K2802" i="2"/>
  <c r="K1782" i="2"/>
  <c r="K1541" i="2"/>
  <c r="K668" i="2"/>
  <c r="A4580" i="2"/>
  <c r="A5220" i="2"/>
  <c r="A1239" i="2"/>
  <c r="J5061" i="2"/>
  <c r="K3362" i="2"/>
  <c r="J1842" i="2"/>
  <c r="A5379" i="2"/>
  <c r="K4262" i="2"/>
  <c r="A4000" i="2"/>
  <c r="K4862" i="2"/>
  <c r="J1641" i="2"/>
  <c r="J1742" i="2"/>
  <c r="J308" i="2"/>
  <c r="J3481" i="2"/>
  <c r="K4602" i="2"/>
  <c r="K5501" i="2"/>
  <c r="K5701" i="2"/>
  <c r="A5539" i="2"/>
  <c r="A1259" i="2"/>
  <c r="J1282" i="2"/>
  <c r="K2521" i="2"/>
  <c r="K868" i="2"/>
  <c r="A1048" i="2"/>
  <c r="J5022" i="2"/>
  <c r="A5360" i="2"/>
  <c r="J4861" i="2"/>
  <c r="K5461" i="2"/>
  <c r="J5441" i="2"/>
  <c r="J1072" i="2"/>
  <c r="A5479" i="2"/>
  <c r="K609" i="2"/>
  <c r="A5020" i="2"/>
  <c r="A1320" i="2"/>
  <c r="J1201" i="2"/>
  <c r="A3120" i="2"/>
  <c r="A2519" i="2"/>
  <c r="A3180" i="2"/>
  <c r="A1280" i="2"/>
  <c r="J973" i="2"/>
  <c r="A4299" i="2"/>
  <c r="A2514" i="2"/>
  <c r="A4739" i="2"/>
  <c r="J3361" i="2"/>
  <c r="A3400" i="2"/>
  <c r="J3801" i="2"/>
  <c r="J2242" i="2"/>
  <c r="J5142" i="2"/>
  <c r="A2200" i="2"/>
  <c r="J1722" i="2"/>
  <c r="J4222" i="2"/>
  <c r="J888" i="2"/>
  <c r="J2102" i="2"/>
  <c r="A4999" i="2"/>
  <c r="K5821" i="2"/>
  <c r="A2879" i="2"/>
  <c r="K5562" i="2"/>
  <c r="A1760" i="2"/>
  <c r="J2101" i="2"/>
  <c r="A1439" i="2"/>
  <c r="J488" i="2"/>
  <c r="J2942" i="2"/>
  <c r="J2862" i="2"/>
  <c r="K2021" i="2"/>
  <c r="K3142" i="2"/>
  <c r="K3161" i="2"/>
  <c r="A4620" i="2"/>
  <c r="B156" i="11"/>
  <c r="J1362" i="2"/>
  <c r="J4562" i="2"/>
  <c r="A3900" i="2"/>
  <c r="J2062" i="2"/>
  <c r="A3719" i="2"/>
  <c r="A1279" i="2"/>
  <c r="K1921" i="2"/>
  <c r="A4420" i="2"/>
  <c r="J2402" i="2"/>
  <c r="J3821" i="2"/>
  <c r="A2220" i="2"/>
  <c r="K4802" i="2"/>
  <c r="A2079" i="2"/>
  <c r="K3261" i="2"/>
  <c r="J48" i="2"/>
  <c r="A2720" i="2"/>
  <c r="J3562" i="2"/>
  <c r="A5739" i="2"/>
  <c r="K4221" i="2"/>
  <c r="A1420" i="2"/>
  <c r="J2001" i="2"/>
  <c r="J1782" i="2"/>
  <c r="A1380" i="2"/>
  <c r="K3382" i="2"/>
  <c r="J3601" i="2"/>
  <c r="J168" i="2"/>
  <c r="J3882" i="2"/>
  <c r="B136" i="13"/>
  <c r="K628" i="2"/>
  <c r="A1029" i="2"/>
  <c r="K3282" i="2"/>
  <c r="A4880" i="2"/>
  <c r="J4742" i="2"/>
  <c r="J5501" i="2"/>
  <c r="J4441" i="2"/>
  <c r="K388" i="2"/>
  <c r="K5602" i="2"/>
  <c r="K2761" i="2"/>
  <c r="J1962" i="2"/>
  <c r="J3682" i="2"/>
  <c r="K3422" i="2"/>
  <c r="J1013" i="2"/>
  <c r="J828" i="2"/>
  <c r="A2380" i="2"/>
  <c r="A2100" i="2"/>
  <c r="K5521" i="2"/>
  <c r="J3421" i="2"/>
  <c r="J3222" i="2"/>
  <c r="J5521" i="2"/>
  <c r="J2902" i="2"/>
  <c r="J1421" i="2"/>
  <c r="A2740" i="2"/>
  <c r="K368" i="2"/>
  <c r="K1222" i="2"/>
  <c r="J5281" i="2"/>
  <c r="K2681" i="2"/>
  <c r="K2722" i="2"/>
  <c r="A3880" i="2"/>
  <c r="K1422" i="2"/>
  <c r="K508" i="2"/>
  <c r="J1922" i="2"/>
  <c r="J2382" i="2"/>
  <c r="J5481" i="2"/>
  <c r="J5382" i="2"/>
  <c r="K4142" i="2"/>
  <c r="J3281" i="2"/>
  <c r="K4922" i="2"/>
  <c r="A4819" i="2"/>
  <c r="A2699" i="2"/>
  <c r="A1620" i="2"/>
  <c r="A4120" i="2"/>
  <c r="K3982" i="2"/>
  <c r="J3162" i="2"/>
  <c r="A2399" i="2"/>
  <c r="K1341" i="2"/>
  <c r="K3942" i="2"/>
  <c r="A5400" i="2"/>
  <c r="J3642" i="2"/>
  <c r="K530" i="2"/>
  <c r="K4021" i="2"/>
  <c r="J1582" i="2"/>
  <c r="A1399" i="2"/>
  <c r="A2959" i="2"/>
  <c r="J2541" i="2"/>
  <c r="A4319" i="2"/>
  <c r="K2641" i="2"/>
  <c r="K3522" i="2"/>
  <c r="J2041" i="2"/>
  <c r="K5022" i="2"/>
  <c r="A5900" i="2"/>
  <c r="K5881" i="2"/>
  <c r="A1193" i="2"/>
  <c r="A1939" i="2"/>
  <c r="A3799" i="2"/>
  <c r="K1301" i="2"/>
  <c r="J4061" i="2"/>
  <c r="K269" i="2"/>
  <c r="A2880" i="2"/>
  <c r="K3861" i="2"/>
  <c r="A4440" i="2"/>
  <c r="K4441" i="2"/>
  <c r="A4659" i="2"/>
  <c r="J5922" i="2"/>
  <c r="K1742" i="2"/>
  <c r="A4019" i="2"/>
  <c r="A1819" i="2"/>
  <c r="J5081" i="2"/>
  <c r="J5662" i="2"/>
  <c r="J5101" i="2"/>
  <c r="A1050" i="2"/>
  <c r="K4641" i="2"/>
  <c r="J2662" i="2"/>
  <c r="K3082" i="2"/>
  <c r="A1159" i="2"/>
  <c r="A2494" i="2"/>
  <c r="A4920" i="2"/>
  <c r="A4899" i="2"/>
  <c r="K4722" i="2"/>
  <c r="B136" i="14"/>
  <c r="K5581" i="2"/>
  <c r="A1519" i="2"/>
  <c r="J3782" i="2"/>
  <c r="B156" i="14"/>
  <c r="J5242" i="2"/>
  <c r="J5182" i="2"/>
  <c r="J5141" i="2"/>
  <c r="J1841" i="2"/>
  <c r="J3062" i="2"/>
  <c r="K2701" i="2"/>
  <c r="A4939" i="2"/>
  <c r="K1162" i="2"/>
  <c r="J3742" i="2"/>
  <c r="B136" i="1"/>
  <c r="J390" i="2"/>
  <c r="A5600" i="2"/>
  <c r="K109" i="2"/>
  <c r="A5740" i="2"/>
  <c r="J28" i="2"/>
  <c r="J3542" i="2"/>
  <c r="A2679" i="2"/>
  <c r="A3199" i="2"/>
  <c r="A5580" i="2"/>
  <c r="J2461" i="2"/>
  <c r="K1242" i="2"/>
  <c r="J4582" i="2"/>
  <c r="J1281" i="2"/>
  <c r="J5202" i="2"/>
  <c r="K5181" i="2"/>
  <c r="J728" i="2"/>
  <c r="J2601" i="2"/>
  <c r="A968" i="2"/>
  <c r="K1522" i="2"/>
  <c r="K3702" i="2"/>
  <c r="J5422" i="2"/>
  <c r="J3521" i="2"/>
  <c r="J5622" i="2"/>
  <c r="A5860" i="2"/>
  <c r="A3560" i="2"/>
  <c r="A3019" i="2"/>
  <c r="K1982" i="2"/>
  <c r="A1440" i="2"/>
  <c r="K208" i="2"/>
  <c r="A4919" i="2"/>
  <c r="A1319" i="2"/>
  <c r="K2781" i="2"/>
  <c r="K2042" i="2"/>
  <c r="K3222" i="2"/>
  <c r="J1662" i="2"/>
  <c r="K288" i="2"/>
  <c r="K5622" i="2"/>
  <c r="K1882" i="2"/>
  <c r="K5542" i="2"/>
  <c r="K2142" i="2"/>
  <c r="K1221" i="2"/>
  <c r="K2661" i="2"/>
  <c r="J908" i="2"/>
  <c r="A5060" i="2"/>
  <c r="A5079" i="2"/>
  <c r="J1961" i="2"/>
  <c r="K5721" i="2"/>
  <c r="K5722" i="2"/>
  <c r="J810" i="2"/>
  <c r="J1482" i="2"/>
  <c r="K4762" i="2"/>
  <c r="A3500" i="2"/>
  <c r="A2600" i="2"/>
  <c r="K5141" i="2"/>
  <c r="J4261" i="2"/>
  <c r="J3541" i="2"/>
  <c r="J5261" i="2"/>
  <c r="J3362" i="2"/>
  <c r="K5041" i="2"/>
  <c r="J3842" i="2"/>
  <c r="A5260" i="2"/>
  <c r="J4022" i="2"/>
  <c r="K5561" i="2"/>
  <c r="K2222" i="2"/>
  <c r="A1500" i="2"/>
  <c r="J4141" i="2"/>
  <c r="K1802" i="2"/>
  <c r="K5582" i="2"/>
  <c r="J388" i="2"/>
  <c r="J2981" i="2"/>
  <c r="J688" i="2"/>
  <c r="K3842" i="2"/>
  <c r="A2799" i="2"/>
  <c r="A4200" i="2"/>
  <c r="A3299" i="2"/>
  <c r="K993" i="2"/>
  <c r="K610" i="2"/>
  <c r="A2620" i="2"/>
  <c r="K4861" i="2"/>
  <c r="J4122" i="2"/>
  <c r="J4661" i="2"/>
  <c r="A5839" i="2"/>
  <c r="A4059" i="2"/>
  <c r="K5122" i="2"/>
  <c r="J4321" i="2"/>
  <c r="K1942" i="2"/>
  <c r="J2281" i="2"/>
  <c r="J1621" i="2"/>
  <c r="J751" i="2"/>
  <c r="J5722" i="2"/>
  <c r="A5240" i="2"/>
  <c r="K1721" i="2"/>
  <c r="J450" i="2"/>
  <c r="K491" i="2"/>
  <c r="K3162" i="2"/>
  <c r="K4702" i="2"/>
  <c r="J4981" i="2"/>
  <c r="A4560" i="2"/>
  <c r="K1362" i="2"/>
  <c r="A2320" i="2"/>
  <c r="J3982" i="2"/>
  <c r="A3300" i="2"/>
  <c r="K3882" i="2"/>
  <c r="K2502" i="2"/>
  <c r="J5001" i="2"/>
  <c r="K3421" i="2"/>
  <c r="J5421" i="2"/>
  <c r="K2642" i="2"/>
  <c r="K3121" i="2"/>
  <c r="J3482" i="2"/>
  <c r="A3599" i="2"/>
  <c r="J648" i="2"/>
  <c r="J4241" i="2"/>
  <c r="A1220" i="2"/>
  <c r="J1622" i="2"/>
  <c r="J5121" i="2"/>
  <c r="A5019" i="2"/>
  <c r="A5720" i="2"/>
  <c r="J994" i="2"/>
  <c r="K5162" i="2"/>
  <c r="A3319" i="2"/>
  <c r="K3242" i="2"/>
  <c r="J3781" i="2"/>
  <c r="A2459" i="2"/>
  <c r="J2842" i="2"/>
  <c r="K1361" i="2"/>
  <c r="A1799" i="2"/>
  <c r="A4039" i="2"/>
  <c r="K429" i="2"/>
  <c r="J2522" i="2"/>
  <c r="K1601" i="2"/>
  <c r="K3301" i="2"/>
  <c r="K5121" i="2"/>
  <c r="K5002" i="2"/>
  <c r="J588" i="2"/>
  <c r="A2240" i="2"/>
  <c r="K5782" i="2"/>
  <c r="J5262" i="2"/>
  <c r="K3482" i="2"/>
  <c r="J628" i="2"/>
  <c r="K5662" i="2"/>
  <c r="J4162" i="2"/>
  <c r="A5399" i="2"/>
  <c r="J4821" i="2"/>
  <c r="J4881" i="2"/>
  <c r="K169" i="2"/>
  <c r="A1340" i="2"/>
  <c r="K2101" i="2"/>
  <c r="J3002" i="2"/>
  <c r="A4539" i="2"/>
  <c r="J1822" i="2"/>
  <c r="J5982" i="2"/>
  <c r="A3239" i="2"/>
  <c r="K768" i="2"/>
  <c r="K2122" i="2"/>
  <c r="K5382" i="2"/>
  <c r="K328" i="2"/>
  <c r="K2982" i="2"/>
  <c r="A5279" i="2"/>
  <c r="J1901" i="2"/>
  <c r="K2262" i="2"/>
  <c r="J3921" i="2"/>
  <c r="J5742" i="2"/>
  <c r="J4841" i="2"/>
  <c r="K3802" i="2"/>
  <c r="A3099" i="2"/>
  <c r="A3159" i="2"/>
  <c r="K5101" i="2"/>
  <c r="A5219" i="2"/>
  <c r="A2239" i="2"/>
  <c r="J4722" i="2"/>
  <c r="J3302" i="2"/>
  <c r="K5781" i="2"/>
  <c r="K4581" i="2"/>
  <c r="J3442" i="2"/>
  <c r="A4860" i="2"/>
  <c r="J1132" i="2"/>
  <c r="J1382" i="2"/>
  <c r="A5059" i="2"/>
  <c r="J5222" i="2"/>
  <c r="K2841" i="2"/>
  <c r="J5802" i="2"/>
  <c r="J4921" i="2"/>
  <c r="J5162" i="2"/>
  <c r="K1842" i="2"/>
  <c r="K4901" i="2"/>
  <c r="J3901" i="2"/>
  <c r="A1759" i="2"/>
  <c r="J5661" i="2"/>
  <c r="J2081" i="2"/>
  <c r="J1541" i="2"/>
  <c r="A5940" i="2"/>
  <c r="A3639" i="2"/>
  <c r="K3761" i="2"/>
  <c r="A2680" i="2"/>
  <c r="J3242" i="2"/>
  <c r="J1801" i="2"/>
  <c r="K5242" i="2"/>
  <c r="J2161" i="2"/>
  <c r="A5919" i="2"/>
  <c r="K649" i="2"/>
  <c r="A5039" i="2"/>
  <c r="A2119" i="2"/>
  <c r="J4842" i="2"/>
  <c r="K5921" i="2"/>
  <c r="J2622" i="2"/>
  <c r="K4542" i="2"/>
  <c r="K4582" i="2"/>
  <c r="J3841" i="2"/>
  <c r="J3041" i="2"/>
  <c r="K68" i="2"/>
  <c r="J4581" i="2"/>
  <c r="K1032" i="2"/>
  <c r="J4341" i="2"/>
  <c r="J5322" i="2"/>
  <c r="J4361" i="2"/>
  <c r="J2621" i="2"/>
  <c r="K929" i="2"/>
  <c r="J2802" i="2"/>
  <c r="K1761" i="2"/>
  <c r="J1862" i="2"/>
  <c r="K3662" i="2"/>
  <c r="J2781" i="2"/>
  <c r="K2281" i="2"/>
  <c r="J2282" i="2"/>
  <c r="J5841" i="2"/>
  <c r="K3021" i="2"/>
  <c r="K4701" i="2"/>
  <c r="J669" i="2"/>
  <c r="J3022" i="2"/>
  <c r="K3181" i="2"/>
  <c r="A5560" i="2"/>
  <c r="K3241" i="2"/>
  <c r="J4521" i="2"/>
  <c r="J749" i="2"/>
  <c r="K2782" i="2"/>
  <c r="J2681" i="2"/>
  <c r="A5979" i="2"/>
  <c r="J1341" i="2"/>
  <c r="K4481" i="2"/>
  <c r="A2579" i="2"/>
  <c r="A5440" i="2"/>
  <c r="A5000" i="2"/>
  <c r="A2379" i="2"/>
  <c r="A2439" i="2"/>
  <c r="J4721" i="2"/>
  <c r="J1302" i="2"/>
  <c r="K3741" i="2"/>
  <c r="K5942" i="2"/>
  <c r="A5620" i="2"/>
  <c r="K188" i="2"/>
  <c r="K5621" i="2"/>
  <c r="J993" i="2"/>
  <c r="A2760" i="2"/>
  <c r="J5161" i="2"/>
  <c r="K509" i="2"/>
  <c r="K1281" i="2"/>
  <c r="K1381" i="2"/>
  <c r="K5261" i="2"/>
  <c r="A1779" i="2"/>
  <c r="A5359" i="2"/>
  <c r="A2920" i="2"/>
  <c r="K89" i="2"/>
  <c r="A1840" i="2"/>
  <c r="J5881" i="2"/>
  <c r="A1520" i="2"/>
  <c r="B136" i="10"/>
  <c r="A1959" i="2"/>
  <c r="K808" i="2"/>
  <c r="J3802" i="2"/>
  <c r="J1741" i="2"/>
  <c r="A5419" i="2"/>
  <c r="A4479" i="2"/>
  <c r="K3701" i="2"/>
  <c r="A5299" i="2"/>
  <c r="K2462" i="2"/>
  <c r="K790" i="2"/>
  <c r="A5300" i="2"/>
  <c r="J5002" i="2"/>
  <c r="A2639" i="2"/>
  <c r="A1839" i="2"/>
  <c r="J1202" i="2"/>
  <c r="K2362" i="2"/>
  <c r="A4699" i="2"/>
  <c r="K4821" i="2"/>
  <c r="A988" i="2"/>
  <c r="J1522" i="2"/>
  <c r="J5062" i="2"/>
  <c r="J4362" i="2"/>
  <c r="A2319" i="2"/>
  <c r="J328" i="2"/>
  <c r="K2861" i="2"/>
  <c r="J3941" i="2"/>
  <c r="J4082" i="2"/>
  <c r="B177" i="11"/>
  <c r="J3502" i="2"/>
  <c r="A4099" i="2"/>
  <c r="A1899" i="2"/>
  <c r="K4002" i="2"/>
  <c r="J1681" i="2"/>
  <c r="J608" i="2"/>
  <c r="A2640" i="2"/>
  <c r="A2700" i="2"/>
  <c r="K789" i="2"/>
  <c r="K4781" i="2"/>
  <c r="K451" i="2"/>
  <c r="J2642" i="2"/>
  <c r="K308" i="2"/>
  <c r="A1639" i="2"/>
  <c r="A3479" i="2"/>
  <c r="K608" i="2"/>
  <c r="A3080" i="2"/>
  <c r="A3960" i="2"/>
  <c r="A5420" i="2"/>
  <c r="J3401" i="2"/>
  <c r="K3782" i="2"/>
  <c r="J2221" i="2"/>
  <c r="J2421" i="2"/>
  <c r="K4482" i="2"/>
  <c r="J4501" i="2"/>
  <c r="K689" i="2"/>
  <c r="A1260" i="2"/>
  <c r="J5122" i="2"/>
  <c r="J4161" i="2"/>
  <c r="K4102" i="2"/>
  <c r="B116" i="8"/>
  <c r="J508" i="2"/>
  <c r="J3241" i="2"/>
  <c r="J2201" i="2"/>
  <c r="J4402" i="2"/>
  <c r="K2381" i="2"/>
  <c r="K5862" i="2"/>
  <c r="J1942" i="2"/>
  <c r="A3839" i="2"/>
  <c r="K3322" i="2"/>
  <c r="A4119" i="2"/>
  <c r="K48" i="2"/>
  <c r="A4719" i="2"/>
  <c r="A2159" i="2"/>
  <c r="A3780" i="2"/>
  <c r="K4961" i="2"/>
  <c r="K2441" i="2"/>
  <c r="J3561" i="2"/>
  <c r="J5361" i="2"/>
  <c r="A4419" i="2"/>
  <c r="K5342" i="2"/>
  <c r="K2141" i="2"/>
  <c r="K3062" i="2"/>
  <c r="J1781" i="2"/>
  <c r="J4621" i="2"/>
  <c r="K3622" i="2"/>
  <c r="K3682" i="2"/>
  <c r="J1761" i="2"/>
  <c r="J5462" i="2"/>
  <c r="K1682" i="2"/>
  <c r="K3521" i="2"/>
  <c r="K2302" i="2"/>
  <c r="J568" i="2"/>
  <c r="J5621" i="2"/>
  <c r="A4080" i="2"/>
  <c r="J448" i="2"/>
  <c r="A3840" i="2"/>
  <c r="J848" i="2"/>
  <c r="J428" i="2"/>
  <c r="K2422" i="2"/>
  <c r="A5179" i="2"/>
  <c r="K1821" i="2"/>
  <c r="K2902" i="2"/>
  <c r="J2462" i="2"/>
  <c r="J1702" i="2"/>
  <c r="J930" i="2"/>
  <c r="J2322" i="2"/>
  <c r="K3762" i="2"/>
  <c r="A3779" i="2"/>
  <c r="A1028" i="2"/>
  <c r="J2542" i="2"/>
  <c r="K170" i="2"/>
  <c r="K5062" i="2"/>
  <c r="A2000" i="2"/>
  <c r="A2499" i="2"/>
  <c r="K1741" i="2"/>
  <c r="J110" i="2"/>
  <c r="J2641" i="2"/>
  <c r="K688" i="2"/>
  <c r="J4381" i="2"/>
  <c r="J1301" i="2"/>
  <c r="K2922" i="2"/>
  <c r="J2422" i="2"/>
  <c r="J4982" i="2"/>
  <c r="J1642" i="2"/>
  <c r="K2382" i="2"/>
  <c r="K268" i="2"/>
  <c r="A4160" i="2"/>
  <c r="J3961" i="2"/>
  <c r="K5882" i="2"/>
  <c r="K2161" i="2"/>
  <c r="A3320" i="2"/>
  <c r="K3841" i="2"/>
  <c r="I670" i="2" l="1"/>
  <c r="G890" i="2"/>
  <c r="G650" i="2"/>
  <c r="G470" i="2"/>
  <c r="I730" i="2"/>
  <c r="I770" i="2"/>
  <c r="I431" i="2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G370" i="2"/>
  <c r="I90" i="2"/>
  <c r="I330" i="2"/>
  <c r="G590" i="2"/>
  <c r="G290" i="2"/>
  <c r="I830" i="2"/>
  <c r="G910" i="2"/>
  <c r="I230" i="2"/>
  <c r="G410" i="2"/>
  <c r="I870" i="2"/>
  <c r="I350" i="2"/>
  <c r="G250" i="2"/>
  <c r="G1134" i="2"/>
  <c r="G1034" i="2"/>
  <c r="G1054" i="2"/>
  <c r="G1074" i="2"/>
  <c r="G1114" i="2"/>
  <c r="G691" i="2"/>
  <c r="G1095" i="2"/>
  <c r="G955" i="2"/>
  <c r="G1015" i="2"/>
  <c r="G995" i="2"/>
  <c r="G975" i="2"/>
  <c r="G3444" i="2"/>
  <c r="G5304" i="2"/>
  <c r="G3844" i="2"/>
  <c r="G3024" i="2"/>
  <c r="G4544" i="2"/>
  <c r="G3924" i="2"/>
  <c r="G3624" i="2"/>
  <c r="G2664" i="2"/>
  <c r="G1944" i="2"/>
  <c r="G3044" i="2"/>
  <c r="G1384" i="2"/>
  <c r="G2024" i="2"/>
  <c r="G2444" i="2"/>
  <c r="G3764" i="2"/>
  <c r="G1444" i="2"/>
  <c r="G2344" i="2"/>
  <c r="G3584" i="2"/>
  <c r="G5524" i="2"/>
  <c r="G1884" i="2"/>
  <c r="G3604" i="2"/>
  <c r="G2164" i="2"/>
  <c r="G5904" i="2"/>
  <c r="G5924" i="2"/>
  <c r="G3404" i="2"/>
  <c r="G3504" i="2"/>
  <c r="G1344" i="2"/>
  <c r="G1904" i="2"/>
  <c r="G4084" i="2"/>
  <c r="G2744" i="2"/>
  <c r="G5064" i="2"/>
  <c r="G3664" i="2"/>
  <c r="G4764" i="2"/>
  <c r="G5584" i="2"/>
  <c r="G4784" i="2"/>
  <c r="G2404" i="2"/>
  <c r="G1204" i="2"/>
  <c r="G1324" i="2"/>
  <c r="G5444" i="2"/>
  <c r="G4564" i="2"/>
  <c r="G3144" i="2"/>
  <c r="G2244" i="2"/>
  <c r="G3084" i="2"/>
  <c r="G2524" i="2"/>
  <c r="G2604" i="2"/>
  <c r="G5324" i="2"/>
  <c r="G4444" i="2"/>
  <c r="G2224" i="2"/>
  <c r="G3324" i="2"/>
  <c r="G2484" i="2"/>
  <c r="G2464" i="2"/>
  <c r="G3304" i="2"/>
  <c r="G4124" i="2"/>
  <c r="G5044" i="2"/>
  <c r="G1404" i="2"/>
  <c r="G4064" i="2"/>
  <c r="G3784" i="2"/>
  <c r="G5004" i="2"/>
  <c r="G4264" i="2"/>
  <c r="G5384" i="2"/>
  <c r="G4684" i="2"/>
  <c r="G1864" i="2"/>
  <c r="G5744" i="2"/>
  <c r="G1184" i="2"/>
  <c r="G2104" i="2"/>
  <c r="G3484" i="2"/>
  <c r="G5124" i="2"/>
  <c r="G5464" i="2"/>
  <c r="G5704" i="2"/>
  <c r="G1224" i="2"/>
  <c r="G1504" i="2"/>
  <c r="G1424" i="2"/>
  <c r="G4484" i="2"/>
  <c r="G4664" i="2"/>
  <c r="G3864" i="2"/>
  <c r="G3744" i="2"/>
  <c r="G1484" i="2"/>
  <c r="G4804" i="2"/>
  <c r="G2284" i="2"/>
  <c r="G5764" i="2"/>
  <c r="G1564" i="2"/>
  <c r="G2904" i="2"/>
  <c r="G1824" i="2"/>
  <c r="G3684" i="2"/>
  <c r="G5564" i="2"/>
  <c r="G5284" i="2"/>
  <c r="G4404" i="2"/>
  <c r="G5404" i="2"/>
  <c r="G5944" i="2"/>
  <c r="G4504" i="2"/>
  <c r="G1164" i="2"/>
  <c r="G2144" i="2"/>
  <c r="G5104" i="2"/>
  <c r="G4004" i="2"/>
  <c r="G5804" i="2"/>
  <c r="G1364" i="2"/>
  <c r="G4464" i="2"/>
  <c r="G4584" i="2"/>
  <c r="G5144" i="2"/>
  <c r="G3244" i="2"/>
  <c r="G2184" i="2"/>
  <c r="G1624" i="2"/>
  <c r="G2064" i="2"/>
  <c r="G2504" i="2"/>
  <c r="G4644" i="2"/>
  <c r="G2784" i="2"/>
  <c r="G4524" i="2"/>
  <c r="G3184" i="2"/>
  <c r="G5624" i="2"/>
  <c r="G1664" i="2"/>
  <c r="G1804" i="2"/>
  <c r="G4904" i="2"/>
  <c r="G5484" i="2"/>
  <c r="G5204" i="2"/>
  <c r="G4364" i="2"/>
  <c r="G5844" i="2"/>
  <c r="G3904" i="2"/>
  <c r="G4204" i="2"/>
  <c r="G2764" i="2"/>
  <c r="G3344" i="2"/>
  <c r="G4384" i="2"/>
  <c r="G2984" i="2"/>
  <c r="G3704" i="2"/>
  <c r="G5244" i="2"/>
  <c r="G1644" i="2"/>
  <c r="G4144" i="2"/>
  <c r="G5084" i="2"/>
  <c r="G3944" i="2"/>
  <c r="G2264" i="2"/>
  <c r="G5544" i="2"/>
  <c r="G4844" i="2"/>
  <c r="G3004" i="2"/>
  <c r="G1964" i="2"/>
  <c r="G5784" i="2"/>
  <c r="G4044" i="2"/>
  <c r="G2324" i="2"/>
  <c r="G4924" i="2"/>
  <c r="G1604" i="2"/>
  <c r="G2384" i="2"/>
  <c r="G4744" i="2"/>
  <c r="G2544" i="2"/>
  <c r="G5684" i="2"/>
  <c r="G5644" i="2"/>
  <c r="G2624" i="2"/>
  <c r="G5184" i="2"/>
  <c r="G5604" i="2"/>
  <c r="G4284" i="2"/>
  <c r="G5224" i="2"/>
  <c r="G3384" i="2"/>
  <c r="G2824" i="2"/>
  <c r="G4984" i="2"/>
  <c r="G3164" i="2"/>
  <c r="G1764" i="2"/>
  <c r="G3984" i="2"/>
  <c r="G3824" i="2"/>
  <c r="G2844" i="2"/>
  <c r="G3564" i="2"/>
  <c r="G4224" i="2"/>
  <c r="G1304" i="2"/>
  <c r="G3364" i="2"/>
  <c r="G3804" i="2"/>
  <c r="G4864" i="2"/>
  <c r="G1584" i="2"/>
  <c r="G1524" i="2"/>
  <c r="G5664" i="2"/>
  <c r="G3424" i="2"/>
  <c r="G2204" i="2"/>
  <c r="G4724" i="2"/>
  <c r="G2304" i="2"/>
  <c r="G4304" i="2"/>
  <c r="G3284" i="2"/>
  <c r="G2644" i="2"/>
  <c r="G2424" i="2"/>
  <c r="G1544" i="2"/>
  <c r="G3264" i="2"/>
  <c r="G1704" i="2"/>
  <c r="G1724" i="2"/>
  <c r="G2004" i="2"/>
  <c r="G2564" i="2"/>
  <c r="G2704" i="2"/>
  <c r="G1244" i="2"/>
  <c r="G5164" i="2"/>
  <c r="G5424" i="2"/>
  <c r="G2124" i="2"/>
  <c r="G4604" i="2"/>
  <c r="G2044" i="2"/>
  <c r="G4944" i="2"/>
  <c r="G5864" i="2"/>
  <c r="G2944" i="2"/>
  <c r="G3524" i="2"/>
  <c r="G4824" i="2"/>
  <c r="G3644" i="2"/>
  <c r="G4184" i="2"/>
  <c r="G4104" i="2"/>
  <c r="G2724" i="2"/>
  <c r="G3124" i="2"/>
  <c r="G4164" i="2"/>
  <c r="G2084" i="2"/>
  <c r="G5024" i="2"/>
  <c r="G3724" i="2"/>
  <c r="G5984" i="2"/>
  <c r="G4244" i="2"/>
  <c r="G3544" i="2"/>
  <c r="G2864" i="2"/>
  <c r="G4324" i="2"/>
  <c r="G1784" i="2"/>
  <c r="G3104" i="2"/>
  <c r="G2364" i="2"/>
  <c r="G1684" i="2"/>
  <c r="G1464" i="2"/>
  <c r="G2804" i="2"/>
  <c r="G1744" i="2"/>
  <c r="G4624" i="2"/>
  <c r="G2584" i="2"/>
  <c r="G5364" i="2"/>
  <c r="G4344" i="2"/>
  <c r="G3964" i="2"/>
  <c r="G5964" i="2"/>
  <c r="G4024" i="2"/>
  <c r="G1284" i="2"/>
  <c r="G3204" i="2"/>
  <c r="G3464" i="2"/>
  <c r="G5344" i="2"/>
  <c r="G2924" i="2"/>
  <c r="G5824" i="2"/>
  <c r="G3064" i="2"/>
  <c r="G3224" i="2"/>
  <c r="G5504" i="2"/>
  <c r="G1844" i="2"/>
  <c r="G2684" i="2"/>
  <c r="G4964" i="2"/>
  <c r="G2884" i="2"/>
  <c r="G5724" i="2"/>
  <c r="G1264" i="2"/>
  <c r="G1984" i="2"/>
  <c r="G4704" i="2"/>
  <c r="G1924" i="2"/>
  <c r="G2964" i="2"/>
  <c r="G4424" i="2"/>
  <c r="G3884" i="2"/>
  <c r="G5884" i="2"/>
  <c r="G4884" i="2"/>
  <c r="G5264" i="2"/>
  <c r="G192" i="2"/>
  <c r="G812" i="2"/>
  <c r="G312" i="2"/>
  <c r="G732" i="2"/>
  <c r="G272" i="2"/>
  <c r="G852" i="2"/>
  <c r="G932" i="2"/>
  <c r="G532" i="2"/>
  <c r="G712" i="2"/>
  <c r="G152" i="2"/>
  <c r="G332" i="2"/>
  <c r="G172" i="2"/>
  <c r="G32" i="2"/>
  <c r="G92" i="2"/>
  <c r="G572" i="2"/>
  <c r="G232" i="2"/>
  <c r="G872" i="2"/>
  <c r="G392" i="2"/>
  <c r="G552" i="2"/>
  <c r="G112" i="2"/>
  <c r="G72" i="2"/>
  <c r="G772" i="2"/>
  <c r="G792" i="2"/>
  <c r="G632" i="2"/>
  <c r="G512" i="2"/>
  <c r="G132" i="2"/>
  <c r="G432" i="2"/>
  <c r="G213" i="2"/>
  <c r="G53" i="2"/>
  <c r="G753" i="2"/>
  <c r="G353" i="2"/>
  <c r="G453" i="2"/>
  <c r="G613" i="2"/>
  <c r="G673" i="2"/>
  <c r="G493" i="2"/>
  <c r="G833" i="2"/>
  <c r="M20" i="1"/>
  <c r="L21" i="1"/>
  <c r="L22" i="1" s="1"/>
  <c r="L23" i="1" s="1"/>
  <c r="N9" i="1"/>
  <c r="M10" i="1"/>
  <c r="M11" i="1" s="1"/>
  <c r="M9" i="8"/>
  <c r="L10" i="8"/>
  <c r="L11" i="8" s="1"/>
  <c r="M20" i="8"/>
  <c r="L21" i="8"/>
  <c r="L22" i="8" s="1"/>
  <c r="M20" i="7"/>
  <c r="L21" i="7"/>
  <c r="L22" i="7" s="1"/>
  <c r="M9" i="7"/>
  <c r="L10" i="7"/>
  <c r="L11" i="7" s="1"/>
  <c r="O9" i="3"/>
  <c r="O10" i="3" s="1"/>
  <c r="O11" i="3" s="1"/>
  <c r="N10" i="3"/>
  <c r="N11" i="3" s="1"/>
  <c r="N20" i="3"/>
  <c r="M21" i="3"/>
  <c r="M22" i="3" s="1"/>
  <c r="M23" i="3" s="1"/>
  <c r="N9" i="14"/>
  <c r="M10" i="14"/>
  <c r="M11" i="14" s="1"/>
  <c r="M20" i="14"/>
  <c r="L21" i="14"/>
  <c r="L22" i="14" s="1"/>
  <c r="M20" i="13"/>
  <c r="L21" i="13"/>
  <c r="L22" i="13" s="1"/>
  <c r="M9" i="13"/>
  <c r="L10" i="13"/>
  <c r="L11" i="13" s="1"/>
  <c r="N9" i="12"/>
  <c r="M10" i="12"/>
  <c r="M11" i="12" s="1"/>
  <c r="N20" i="12"/>
  <c r="M21" i="12"/>
  <c r="M22" i="12" s="1"/>
  <c r="M23" i="12" s="1"/>
  <c r="M20" i="11"/>
  <c r="L21" i="11"/>
  <c r="L22" i="11" s="1"/>
  <c r="L23" i="11" s="1"/>
  <c r="N9" i="11"/>
  <c r="M10" i="11"/>
  <c r="M11" i="11" s="1"/>
  <c r="M20" i="10"/>
  <c r="L21" i="10"/>
  <c r="L22" i="10" s="1"/>
  <c r="M9" i="10"/>
  <c r="L10" i="10"/>
  <c r="L11" i="10" s="1"/>
  <c r="M21" i="9"/>
  <c r="M22" i="9" s="1"/>
  <c r="N10" i="9"/>
  <c r="N11" i="9" s="1"/>
  <c r="O2" i="9"/>
  <c r="O10" i="9" s="1"/>
  <c r="O11" i="9" s="1"/>
  <c r="J469" i="2"/>
  <c r="K569" i="2"/>
  <c r="K710" i="2"/>
  <c r="A810" i="2"/>
  <c r="K3963" i="2"/>
  <c r="J5683" i="2"/>
  <c r="K2703" i="2"/>
  <c r="J2403" i="2"/>
  <c r="A5521" i="2"/>
  <c r="J5783" i="2"/>
  <c r="K1443" i="2"/>
  <c r="K69" i="2"/>
  <c r="J3383" i="2"/>
  <c r="K4143" i="2"/>
  <c r="J5363" i="2"/>
  <c r="A1202" i="2"/>
  <c r="K4583" i="2"/>
  <c r="J1503" i="2"/>
  <c r="A189" i="2"/>
  <c r="A2361" i="2"/>
  <c r="A790" i="2"/>
  <c r="J3063" i="2"/>
  <c r="J3603" i="2"/>
  <c r="A4161" i="2"/>
  <c r="K50" i="2"/>
  <c r="J2843" i="2"/>
  <c r="A5242" i="2"/>
  <c r="A2281" i="2"/>
  <c r="K3223" i="2"/>
  <c r="A2821" i="2"/>
  <c r="A5361" i="2"/>
  <c r="A3121" i="2"/>
  <c r="K2583" i="2"/>
  <c r="K5883" i="2"/>
  <c r="K3083" i="2"/>
  <c r="J3703" i="2"/>
  <c r="A1182" i="2"/>
  <c r="A308" i="2"/>
  <c r="A3622" i="2"/>
  <c r="A248" i="2"/>
  <c r="A228" i="2"/>
  <c r="K409" i="2"/>
  <c r="A848" i="2"/>
  <c r="J529" i="2"/>
  <c r="K70" i="2"/>
  <c r="A1502" i="2"/>
  <c r="K51" i="2"/>
  <c r="A4741" i="2"/>
  <c r="A4081" i="2"/>
  <c r="J5823" i="2"/>
  <c r="K5743" i="2"/>
  <c r="A3721" i="2"/>
  <c r="K311" i="2"/>
  <c r="K994" i="2"/>
  <c r="K3483" i="2"/>
  <c r="A668" i="2"/>
  <c r="A4622" i="2"/>
  <c r="A3402" i="2"/>
  <c r="A4882" i="2"/>
  <c r="A88" i="2"/>
  <c r="J690" i="2"/>
  <c r="K531" i="2"/>
  <c r="A610" i="2"/>
  <c r="A1722" i="2"/>
  <c r="A5741" i="2"/>
  <c r="A4142" i="2"/>
  <c r="A510" i="2"/>
  <c r="J4143" i="2"/>
  <c r="A1093" i="2"/>
  <c r="A5781" i="2"/>
  <c r="K5203" i="2"/>
  <c r="J4783" i="2"/>
  <c r="K1014" i="2"/>
  <c r="J4983" i="2"/>
  <c r="A808" i="2"/>
  <c r="J4343" i="2"/>
  <c r="J3923" i="2"/>
  <c r="A5562" i="2"/>
  <c r="J369" i="2"/>
  <c r="A1382" i="2"/>
  <c r="A1561" i="2"/>
  <c r="J851" i="2"/>
  <c r="A2502" i="2"/>
  <c r="J829" i="2"/>
  <c r="J1363" i="2"/>
  <c r="K5523" i="2"/>
  <c r="A3522" i="2"/>
  <c r="K3123" i="2"/>
  <c r="A2562" i="2"/>
  <c r="J3143" i="2"/>
  <c r="A4021" i="2"/>
  <c r="K4363" i="2"/>
  <c r="A2302" i="2"/>
  <c r="K1743" i="2"/>
  <c r="A1482" i="2"/>
  <c r="A5201" i="2"/>
  <c r="J5643" i="2"/>
  <c r="A5161" i="2"/>
  <c r="J3623" i="2"/>
  <c r="A4261" i="2"/>
  <c r="J52" i="2"/>
  <c r="A3682" i="2"/>
  <c r="K430" i="2"/>
  <c r="A5502" i="2"/>
  <c r="A1962" i="2"/>
  <c r="J149" i="2"/>
  <c r="A5742" i="2"/>
  <c r="K4043" i="2"/>
  <c r="A2602" i="2"/>
  <c r="J5763" i="2"/>
  <c r="A5482" i="2"/>
  <c r="K529" i="2"/>
  <c r="K3923" i="2"/>
  <c r="K630" i="2"/>
  <c r="A5221" i="2"/>
  <c r="K1983" i="2"/>
  <c r="A4961" i="2"/>
  <c r="J3823" i="2"/>
  <c r="K4543" i="2"/>
  <c r="J3723" i="2"/>
  <c r="J131" i="2"/>
  <c r="A3282" i="2"/>
  <c r="K4443" i="2"/>
  <c r="A1901" i="2"/>
  <c r="A2721" i="2"/>
  <c r="A5661" i="2"/>
  <c r="A4782" i="2"/>
  <c r="K4883" i="2"/>
  <c r="A4222" i="2"/>
  <c r="K1133" i="2"/>
  <c r="A2661" i="2"/>
  <c r="A4041" i="2"/>
  <c r="J4683" i="2"/>
  <c r="K2823" i="2"/>
  <c r="A4701" i="2"/>
  <c r="A4642" i="2"/>
  <c r="A2382" i="2"/>
  <c r="J4043" i="2"/>
  <c r="K611" i="2"/>
  <c r="A3662" i="2"/>
  <c r="K1503" i="2"/>
  <c r="A1701" i="2"/>
  <c r="A2522" i="2"/>
  <c r="A2041" i="2"/>
  <c r="K2343" i="2"/>
  <c r="J4203" i="2"/>
  <c r="A3061" i="2"/>
  <c r="J710" i="2"/>
  <c r="J4843" i="2"/>
  <c r="J5063" i="2"/>
  <c r="A448" i="2"/>
  <c r="K3103" i="2"/>
  <c r="J5403" i="2"/>
  <c r="A2182" i="2"/>
  <c r="J1243" i="2"/>
  <c r="J310" i="2"/>
  <c r="J309" i="2"/>
  <c r="K2023" i="2"/>
  <c r="J3523" i="2"/>
  <c r="A2521" i="2"/>
  <c r="A5301" i="2"/>
  <c r="A3141" i="2"/>
  <c r="J4303" i="2"/>
  <c r="K150" i="2"/>
  <c r="A5901" i="2"/>
  <c r="J5943" i="2"/>
  <c r="K1563" i="2"/>
  <c r="A5982" i="2"/>
  <c r="B156" i="13"/>
  <c r="K5083" i="2"/>
  <c r="A450" i="2"/>
  <c r="J2603" i="2"/>
  <c r="A1641" i="2"/>
  <c r="A451" i="2"/>
  <c r="A2461" i="2"/>
  <c r="J4803" i="2"/>
  <c r="J811" i="2"/>
  <c r="A5821" i="2"/>
  <c r="A4002" i="2"/>
  <c r="A5722" i="2"/>
  <c r="A5942" i="2"/>
  <c r="B196" i="3"/>
  <c r="A3901" i="2"/>
  <c r="A68" i="2"/>
  <c r="K2923" i="2"/>
  <c r="A3761" i="2"/>
  <c r="K1543" i="2"/>
  <c r="K669" i="2"/>
  <c r="K469" i="2"/>
  <c r="K570" i="2"/>
  <c r="A1642" i="2"/>
  <c r="A3681" i="2"/>
  <c r="A5682" i="2"/>
  <c r="K1203" i="2"/>
  <c r="A4381" i="2"/>
  <c r="J1033" i="2"/>
  <c r="J1323" i="2"/>
  <c r="J931" i="2"/>
  <c r="A488" i="2"/>
  <c r="K4383" i="2"/>
  <c r="A5062" i="2"/>
  <c r="K2403" i="2"/>
  <c r="A5061" i="2"/>
  <c r="A3962" i="2"/>
  <c r="A4482" i="2"/>
  <c r="A4601" i="2"/>
  <c r="K2603" i="2"/>
  <c r="A930" i="2"/>
  <c r="A5441" i="2"/>
  <c r="A4262" i="2"/>
  <c r="A3101" i="2"/>
  <c r="A3082" i="2"/>
  <c r="A1161" i="2"/>
  <c r="J549" i="2"/>
  <c r="J4023" i="2"/>
  <c r="K5683" i="2"/>
  <c r="A4902" i="2"/>
  <c r="A4242" i="2"/>
  <c r="J5283" i="2"/>
  <c r="K3863" i="2"/>
  <c r="K2323" i="2"/>
  <c r="K1423" i="2"/>
  <c r="A5402" i="2"/>
  <c r="A2981" i="2"/>
  <c r="A28" i="2"/>
  <c r="K5063" i="2"/>
  <c r="A4082" i="2"/>
  <c r="J5563" i="2"/>
  <c r="A3462" i="2"/>
  <c r="J5923" i="2"/>
  <c r="A689" i="2"/>
  <c r="J4723" i="2"/>
  <c r="K1183" i="2"/>
  <c r="A1882" i="2"/>
  <c r="K850" i="2"/>
  <c r="A3521" i="2"/>
  <c r="J3423" i="2"/>
  <c r="A1262" i="2"/>
  <c r="J1423" i="2"/>
  <c r="A688" i="2"/>
  <c r="A1181" i="2"/>
  <c r="K5703" i="2"/>
  <c r="A3542" i="2"/>
  <c r="A2722" i="2"/>
  <c r="A970" i="2"/>
  <c r="A3461" i="2"/>
  <c r="A648" i="2"/>
  <c r="A4721" i="2"/>
  <c r="J2903" i="2"/>
  <c r="A3781" i="2"/>
  <c r="A5261" i="2"/>
  <c r="J5443" i="2"/>
  <c r="A4462" i="2"/>
  <c r="J612" i="2"/>
  <c r="K3423" i="2"/>
  <c r="A5962" i="2"/>
  <c r="A2122" i="2"/>
  <c r="J5323" i="2"/>
  <c r="J1183" i="2"/>
  <c r="A1601" i="2"/>
  <c r="A2161" i="2"/>
  <c r="J4583" i="2"/>
  <c r="K5903" i="2"/>
  <c r="K2103" i="2"/>
  <c r="A4341" i="2"/>
  <c r="K1463" i="2"/>
  <c r="A1422" i="2"/>
  <c r="A2181" i="2"/>
  <c r="J4923" i="2"/>
  <c r="J1283" i="2"/>
  <c r="K4703" i="2"/>
  <c r="J5003" i="2"/>
  <c r="J5343" i="2"/>
  <c r="A2902" i="2"/>
  <c r="K751" i="2"/>
  <c r="A1401" i="2"/>
  <c r="A2802" i="2"/>
  <c r="A4202" i="2"/>
  <c r="J3843" i="2"/>
  <c r="J3443" i="2"/>
  <c r="J4863" i="2"/>
  <c r="K4303" i="2"/>
  <c r="J1053" i="2"/>
  <c r="J430" i="2"/>
  <c r="A1662" i="2"/>
  <c r="A1112" i="2"/>
  <c r="J5303" i="2"/>
  <c r="B156" i="7"/>
  <c r="A468" i="2"/>
  <c r="A51" i="2"/>
  <c r="J1823" i="2"/>
  <c r="A408" i="2"/>
  <c r="A1521" i="2"/>
  <c r="J530" i="2"/>
  <c r="J50" i="2"/>
  <c r="K3203" i="2"/>
  <c r="A5041" i="2"/>
  <c r="A5401" i="2"/>
  <c r="A4182" i="2"/>
  <c r="J5023" i="2"/>
  <c r="A4061" i="2"/>
  <c r="K4943" i="2"/>
  <c r="K5943" i="2"/>
  <c r="A5802" i="2"/>
  <c r="J1883" i="2"/>
  <c r="A2642" i="2"/>
  <c r="A1981" i="2"/>
  <c r="A2941" i="2"/>
  <c r="A1282" i="2"/>
  <c r="J4263" i="2"/>
  <c r="K4903" i="2"/>
  <c r="K1283" i="2"/>
  <c r="J3963" i="2"/>
  <c r="K3323" i="2"/>
  <c r="K3623" i="2"/>
  <c r="K4723" i="2"/>
  <c r="J630" i="2"/>
  <c r="J4483" i="2"/>
  <c r="J490" i="2"/>
  <c r="J191" i="2"/>
  <c r="K2003" i="2"/>
  <c r="J5863" i="2"/>
  <c r="K2643" i="2"/>
  <c r="J3363" i="2"/>
  <c r="K551" i="2"/>
  <c r="K1823" i="2"/>
  <c r="J2683" i="2"/>
  <c r="A5622" i="2"/>
  <c r="A4862" i="2"/>
  <c r="J2103" i="2"/>
  <c r="J1483" i="2"/>
  <c r="A4702" i="2"/>
  <c r="A5142" i="2"/>
  <c r="J3543" i="2"/>
  <c r="A4781" i="2"/>
  <c r="J4823" i="2"/>
  <c r="A1342" i="2"/>
  <c r="A2342" i="2"/>
  <c r="K2943" i="2"/>
  <c r="K3743" i="2"/>
  <c r="J2863" i="2"/>
  <c r="J869" i="2"/>
  <c r="A2141" i="2"/>
  <c r="K909" i="2"/>
  <c r="A5782" i="2"/>
  <c r="A3842" i="2"/>
  <c r="A608" i="2"/>
  <c r="K2363" i="2"/>
  <c r="A2402" i="2"/>
  <c r="J5183" i="2"/>
  <c r="A2541" i="2"/>
  <c r="J4643" i="2"/>
  <c r="J1303" i="2"/>
  <c r="J2203" i="2"/>
  <c r="A868" i="2"/>
  <c r="A3421" i="2"/>
  <c r="K3043" i="2"/>
  <c r="K5103" i="2"/>
  <c r="K2263" i="2"/>
  <c r="J3123" i="2"/>
  <c r="J909" i="2"/>
  <c r="K5663" i="2"/>
  <c r="K811" i="2"/>
  <c r="A5202" i="2"/>
  <c r="A5281" i="2"/>
  <c r="A3882" i="2"/>
  <c r="K1403" i="2"/>
  <c r="K5823" i="2"/>
  <c r="J3263" i="2"/>
  <c r="J391" i="2"/>
  <c r="J271" i="2"/>
  <c r="A3342" i="2"/>
  <c r="J1523" i="2"/>
  <c r="J5483" i="2"/>
  <c r="A3362" i="2"/>
  <c r="K1073" i="2"/>
  <c r="A509" i="2"/>
  <c r="J2343" i="2"/>
  <c r="J5043" i="2"/>
  <c r="K329" i="2"/>
  <c r="A5021" i="2"/>
  <c r="K2503" i="2"/>
  <c r="K4163" i="2"/>
  <c r="K1903" i="2"/>
  <c r="J4943" i="2"/>
  <c r="A5322" i="2"/>
  <c r="J2803" i="2"/>
  <c r="A1322" i="2"/>
  <c r="A1621" i="2"/>
  <c r="J5463" i="2"/>
  <c r="J89" i="2"/>
  <c r="J1113" i="2"/>
  <c r="A3782" i="2"/>
  <c r="K1623" i="2"/>
  <c r="A1862" i="2"/>
  <c r="A789" i="2"/>
  <c r="J2923" i="2"/>
  <c r="A3921" i="2"/>
  <c r="J2883" i="2"/>
  <c r="A1781" i="2"/>
  <c r="K4663" i="2"/>
  <c r="J4323" i="2"/>
  <c r="A2622" i="2"/>
  <c r="A3201" i="2"/>
  <c r="J3183" i="2"/>
  <c r="A2042" i="2"/>
  <c r="A2201" i="2"/>
  <c r="A5162" i="2"/>
  <c r="J5503" i="2"/>
  <c r="A269" i="2"/>
  <c r="K3263" i="2"/>
  <c r="J4503" i="2"/>
  <c r="A1821" i="2"/>
  <c r="A4421" i="2"/>
  <c r="K2183" i="2"/>
  <c r="A3222" i="2"/>
  <c r="A3242" i="2"/>
  <c r="K1094" i="2"/>
  <c r="A4321" i="2"/>
  <c r="K30" i="2"/>
  <c r="A4281" i="2"/>
  <c r="J2123" i="2"/>
  <c r="K1843" i="2"/>
  <c r="A3022" i="2"/>
  <c r="A3502" i="2"/>
  <c r="K229" i="2"/>
  <c r="A1941" i="2"/>
  <c r="K289" i="2"/>
  <c r="J1743" i="2"/>
  <c r="A5501" i="2"/>
  <c r="A4562" i="2"/>
  <c r="A5861" i="2"/>
  <c r="K3583" i="2"/>
  <c r="K2663" i="2"/>
  <c r="K2523" i="2"/>
  <c r="K2483" i="2"/>
  <c r="A5862" i="2"/>
  <c r="A2242" i="2"/>
  <c r="K4243" i="2"/>
  <c r="A5462" i="2"/>
  <c r="K5003" i="2"/>
  <c r="J5723" i="2"/>
  <c r="A929" i="2"/>
  <c r="A2682" i="2"/>
  <c r="J5103" i="2"/>
  <c r="J2023" i="2"/>
  <c r="K1053" i="2"/>
  <c r="K3363" i="2"/>
  <c r="K849" i="2"/>
  <c r="J3303" i="2"/>
  <c r="B176" i="14"/>
  <c r="A1302" i="2"/>
  <c r="A5642" i="2"/>
  <c r="A928" i="2"/>
  <c r="J631" i="2"/>
  <c r="K3903" i="2"/>
  <c r="A1982" i="2"/>
  <c r="A809" i="2"/>
  <c r="A5241" i="2"/>
  <c r="K4343" i="2"/>
  <c r="A1961" i="2"/>
  <c r="A2761" i="2"/>
  <c r="J69" i="2"/>
  <c r="A3181" i="2"/>
  <c r="A2901" i="2"/>
  <c r="A1741" i="2"/>
  <c r="K1303" i="2"/>
  <c r="A1942" i="2"/>
  <c r="A3361" i="2"/>
  <c r="K310" i="2"/>
  <c r="A2173" i="2"/>
  <c r="A5282" i="2"/>
  <c r="J2763" i="2"/>
  <c r="J5843" i="2"/>
  <c r="A3041" i="2"/>
  <c r="A3942" i="2"/>
  <c r="K2443" i="2"/>
  <c r="A388" i="2"/>
  <c r="A4162" i="2"/>
  <c r="A991" i="2"/>
  <c r="A669" i="2"/>
  <c r="K749" i="2"/>
  <c r="A3841" i="2"/>
  <c r="J4623" i="2"/>
  <c r="J2523" i="2"/>
  <c r="A2861" i="2"/>
  <c r="J211" i="2"/>
  <c r="K3563" i="2"/>
  <c r="K690" i="2"/>
  <c r="K309" i="2"/>
  <c r="K131" i="2"/>
  <c r="J2383" i="2"/>
  <c r="K2303" i="2"/>
  <c r="J791" i="2"/>
  <c r="A1402" i="2"/>
  <c r="J1983" i="2"/>
  <c r="A5602" i="2"/>
  <c r="J2283" i="2"/>
  <c r="A2101" i="2"/>
  <c r="K4483" i="2"/>
  <c r="A5182" i="2"/>
  <c r="B176" i="1"/>
  <c r="A3482" i="2"/>
  <c r="A3641" i="2"/>
  <c r="J3763" i="2"/>
  <c r="K211" i="2"/>
  <c r="A108" i="2"/>
  <c r="A1822" i="2"/>
  <c r="J329" i="2"/>
  <c r="K1383" i="2"/>
  <c r="J49" i="2"/>
  <c r="J3223" i="2"/>
  <c r="A2102" i="2"/>
  <c r="A5022" i="2"/>
  <c r="A4941" i="2"/>
  <c r="K5723" i="2"/>
  <c r="K5463" i="2"/>
  <c r="A5701" i="2"/>
  <c r="J4543" i="2"/>
  <c r="K5343" i="2"/>
  <c r="A2822" i="2"/>
  <c r="K750" i="2"/>
  <c r="A5222" i="2"/>
  <c r="K5183" i="2"/>
  <c r="A5762" i="2"/>
  <c r="J4223" i="2"/>
  <c r="A1321" i="2"/>
  <c r="A708" i="2"/>
  <c r="J5883" i="2"/>
  <c r="K2223" i="2"/>
  <c r="K3543" i="2"/>
  <c r="K511" i="2"/>
  <c r="A1442" i="2"/>
  <c r="K4203" i="2"/>
  <c r="J229" i="2"/>
  <c r="K2143" i="2"/>
  <c r="J1703" i="2"/>
  <c r="K1343" i="2"/>
  <c r="J2223" i="2"/>
  <c r="A1581" i="2"/>
  <c r="K954" i="2"/>
  <c r="K629" i="2"/>
  <c r="A2781" i="2"/>
  <c r="J3783" i="2"/>
  <c r="K3443" i="2"/>
  <c r="J750" i="2"/>
  <c r="K3763" i="2"/>
  <c r="A1682" i="2"/>
  <c r="A4502" i="2"/>
  <c r="J2723" i="2"/>
  <c r="A5362" i="2"/>
  <c r="A4241" i="2"/>
  <c r="A3021" i="2"/>
  <c r="A5702" i="2"/>
  <c r="J3003" i="2"/>
  <c r="K4003" i="2"/>
  <c r="J5983" i="2"/>
  <c r="A5841" i="2"/>
  <c r="K209" i="2"/>
  <c r="A209" i="2" s="1"/>
  <c r="A1361" i="2"/>
  <c r="K111" i="2"/>
  <c r="J1133" i="2"/>
  <c r="A1301" i="2"/>
  <c r="A1362" i="2"/>
  <c r="A4521" i="2"/>
  <c r="J5663" i="2"/>
  <c r="K5963" i="2"/>
  <c r="J849" i="2"/>
  <c r="J4003" i="2"/>
  <c r="K889" i="2"/>
  <c r="K729" i="2"/>
  <c r="J570" i="2"/>
  <c r="A5122" i="2"/>
  <c r="J1343" i="2"/>
  <c r="J3663" i="2"/>
  <c r="A2202" i="2"/>
  <c r="A3701" i="2"/>
  <c r="J4743" i="2"/>
  <c r="A5961" i="2"/>
  <c r="J2983" i="2"/>
  <c r="A4302" i="2"/>
  <c r="K4983" i="2"/>
  <c r="J289" i="2"/>
  <c r="K974" i="2"/>
  <c r="J1843" i="2"/>
  <c r="K271" i="2"/>
  <c r="K5383" i="2"/>
  <c r="A1562" i="2"/>
  <c r="K5583" i="2"/>
  <c r="A4102" i="2"/>
  <c r="A4441" i="2"/>
  <c r="J4163" i="2"/>
  <c r="A4661" i="2"/>
  <c r="K3383" i="2"/>
  <c r="K151" i="2"/>
  <c r="A3501" i="2"/>
  <c r="A4062" i="2"/>
  <c r="A5262" i="2"/>
  <c r="K1683" i="2"/>
  <c r="K711" i="2"/>
  <c r="J5603" i="2"/>
  <c r="K2683" i="2"/>
  <c r="K2383" i="2"/>
  <c r="A3002" i="2"/>
  <c r="A128" i="2"/>
  <c r="A1794" i="2"/>
  <c r="A4942" i="2"/>
  <c r="J2143" i="2"/>
  <c r="A1241" i="2"/>
  <c r="A2641" i="2"/>
  <c r="A2621" i="2"/>
  <c r="B156" i="10"/>
  <c r="A4001" i="2"/>
  <c r="A5001" i="2"/>
  <c r="K3823" i="2"/>
  <c r="A5721" i="2"/>
  <c r="K2243" i="2"/>
  <c r="A5881" i="2"/>
  <c r="J3463" i="2"/>
  <c r="A3081" i="2"/>
  <c r="K2963" i="2"/>
  <c r="A1721" i="2"/>
  <c r="A2062" i="2"/>
  <c r="A3821" i="2"/>
  <c r="A2962" i="2"/>
  <c r="J5263" i="2"/>
  <c r="J2703" i="2"/>
  <c r="A4042" i="2"/>
  <c r="J589" i="2"/>
  <c r="A1801" i="2"/>
  <c r="A3661" i="2"/>
  <c r="A5621" i="2"/>
  <c r="A2782" i="2"/>
  <c r="K752" i="2"/>
  <c r="A5842" i="2"/>
  <c r="A5341" i="2"/>
  <c r="A3262" i="2"/>
  <c r="K5763" i="2"/>
  <c r="J489" i="2"/>
  <c r="J2043" i="2"/>
  <c r="A270" i="2"/>
  <c r="K2623" i="2"/>
  <c r="A3442" i="2"/>
  <c r="A3982" i="2"/>
  <c r="A2121" i="2"/>
  <c r="A4821" i="2"/>
  <c r="K4063" i="2"/>
  <c r="K1483" i="2"/>
  <c r="J1443" i="2"/>
  <c r="K2163" i="2"/>
  <c r="A5382" i="2"/>
  <c r="A5561" i="2"/>
  <c r="A5822" i="2"/>
  <c r="A2561" i="2"/>
  <c r="J1163" i="2"/>
  <c r="A1861" i="2"/>
  <c r="A4361" i="2"/>
  <c r="K4963" i="2"/>
  <c r="A3202" i="2"/>
  <c r="A3062" i="2"/>
  <c r="A4582" i="2"/>
  <c r="J111" i="2"/>
  <c r="A3801" i="2"/>
  <c r="J5083" i="2"/>
  <c r="A3742" i="2"/>
  <c r="J4603" i="2"/>
  <c r="K3603" i="2"/>
  <c r="A1742" i="2"/>
  <c r="J30" i="2"/>
  <c r="A1841" i="2"/>
  <c r="K2123" i="2"/>
  <c r="J5163" i="2"/>
  <c r="K5123" i="2"/>
  <c r="A4982" i="2"/>
  <c r="K2763" i="2"/>
  <c r="K3883" i="2"/>
  <c r="K5363" i="2"/>
  <c r="J1463" i="2"/>
  <c r="K4803" i="2"/>
  <c r="J2263" i="2"/>
  <c r="A3161" i="2"/>
  <c r="K4523" i="2"/>
  <c r="A5541" i="2"/>
  <c r="J3803" i="2"/>
  <c r="A3322" i="2"/>
  <c r="J3283" i="2"/>
  <c r="A4662" i="2"/>
  <c r="A5922" i="2"/>
  <c r="A2501" i="2"/>
  <c r="K2063" i="2"/>
  <c r="K5163" i="2"/>
  <c r="J4363" i="2"/>
  <c r="A3281" i="2"/>
  <c r="K191" i="2"/>
  <c r="K931" i="2"/>
  <c r="J431" i="2"/>
  <c r="A5981" i="2"/>
  <c r="J5203" i="2"/>
  <c r="A3142" i="2"/>
  <c r="K130" i="2"/>
  <c r="K5263" i="2"/>
  <c r="A5641" i="2"/>
  <c r="A4282" i="2"/>
  <c r="K3063" i="2"/>
  <c r="J4123" i="2"/>
  <c r="K550" i="2"/>
  <c r="K2463" i="2"/>
  <c r="K709" i="2"/>
  <c r="A2742" i="2"/>
  <c r="K2043" i="2"/>
  <c r="A5342" i="2"/>
  <c r="A1902" i="2"/>
  <c r="J3903" i="2"/>
  <c r="A3741" i="2"/>
  <c r="K4183" i="2"/>
  <c r="J31" i="2"/>
  <c r="K1243" i="2"/>
  <c r="A3302" i="2"/>
  <c r="K1763" i="2"/>
  <c r="K3003" i="2"/>
  <c r="J349" i="2"/>
  <c r="A5902" i="2"/>
  <c r="A3182" i="2"/>
  <c r="A3822" i="2"/>
  <c r="A449" i="2"/>
  <c r="K4403" i="2"/>
  <c r="J571" i="2"/>
  <c r="J4703" i="2"/>
  <c r="A5681" i="2"/>
  <c r="A190" i="2"/>
  <c r="A4522" i="2"/>
  <c r="A1842" i="2"/>
  <c r="A4742" i="2"/>
  <c r="B156" i="8"/>
  <c r="K2283" i="2"/>
  <c r="A3382" i="2"/>
  <c r="J5903" i="2"/>
  <c r="A2482" i="2"/>
  <c r="J3683" i="2"/>
  <c r="J2823" i="2"/>
  <c r="A3581" i="2"/>
  <c r="A4362" i="2"/>
  <c r="J2503" i="2"/>
  <c r="A4542" i="2"/>
  <c r="A1542" i="2"/>
  <c r="A4322" i="2"/>
  <c r="A3642" i="2"/>
  <c r="J4083" i="2"/>
  <c r="J5963" i="2"/>
  <c r="A4962" i="2"/>
  <c r="A768" i="2"/>
  <c r="K2903" i="2"/>
  <c r="J1803" i="2"/>
  <c r="A4802" i="2"/>
  <c r="K4283" i="2"/>
  <c r="J3743" i="2"/>
  <c r="A2601" i="2"/>
  <c r="K5403" i="2"/>
  <c r="A4602" i="2"/>
  <c r="A3601" i="2"/>
  <c r="K3303" i="2"/>
  <c r="A4461" i="2"/>
  <c r="K1643" i="2"/>
  <c r="A5761" i="2"/>
  <c r="J752" i="2"/>
  <c r="J4103" i="2"/>
  <c r="A4541" i="2"/>
  <c r="J889" i="2"/>
  <c r="J729" i="2"/>
  <c r="A2493" i="2"/>
  <c r="A2702" i="2"/>
  <c r="J2743" i="2"/>
  <c r="K5863" i="2"/>
  <c r="K1033" i="2"/>
  <c r="K3283" i="2"/>
  <c r="A4682" i="2"/>
  <c r="A2701" i="2"/>
  <c r="A4681" i="2"/>
  <c r="J2583" i="2"/>
  <c r="K3183" i="2"/>
  <c r="A268" i="2"/>
  <c r="A5801" i="2"/>
  <c r="A1602" i="2"/>
  <c r="A2022" i="2"/>
  <c r="K4763" i="2"/>
  <c r="A4442" i="2"/>
  <c r="K1363" i="2"/>
  <c r="A951" i="2"/>
  <c r="A3541" i="2"/>
  <c r="A2881" i="2"/>
  <c r="K212" i="2"/>
  <c r="J4523" i="2"/>
  <c r="A3602" i="2"/>
  <c r="J1963" i="2"/>
  <c r="A5101" i="2"/>
  <c r="J1263" i="2"/>
  <c r="A3562" i="2"/>
  <c r="K4023" i="2"/>
  <c r="J5383" i="2"/>
  <c r="J5543" i="2"/>
  <c r="A5481" i="2"/>
  <c r="J171" i="2"/>
  <c r="A2301" i="2"/>
  <c r="K5503" i="2"/>
  <c r="A1201" i="2"/>
  <c r="J4903" i="2"/>
  <c r="J4443" i="2"/>
  <c r="J1863" i="2"/>
  <c r="J1203" i="2"/>
  <c r="A368" i="2"/>
  <c r="A5321" i="2"/>
  <c r="A3702" i="2"/>
  <c r="A3961" i="2"/>
  <c r="A1761" i="2"/>
  <c r="K3703" i="2"/>
  <c r="A3301" i="2"/>
  <c r="J3163" i="2"/>
  <c r="J71" i="2"/>
  <c r="A4881" i="2"/>
  <c r="A2162" i="2"/>
  <c r="K1963" i="2"/>
  <c r="K2423" i="2"/>
  <c r="A5461" i="2"/>
  <c r="A4762" i="2"/>
  <c r="A5882" i="2"/>
  <c r="A1421" i="2"/>
  <c r="K1663" i="2"/>
  <c r="A2221" i="2"/>
  <c r="K1113" i="2"/>
  <c r="J5243" i="2"/>
  <c r="A2322" i="2"/>
  <c r="J2063" i="2"/>
  <c r="A2082" i="2"/>
  <c r="K2783" i="2"/>
  <c r="K1523" i="2"/>
  <c r="J3863" i="2"/>
  <c r="J2943" i="2"/>
  <c r="K489" i="2"/>
  <c r="K391" i="2"/>
  <c r="K369" i="2"/>
  <c r="J1683" i="2"/>
  <c r="A3981" i="2"/>
  <c r="K1723" i="2"/>
  <c r="J4063" i="2"/>
  <c r="K4623" i="2"/>
  <c r="A1921" i="2"/>
  <c r="K1803" i="2"/>
  <c r="K4783" i="2"/>
  <c r="A728" i="2"/>
  <c r="K589" i="2"/>
  <c r="A5141" i="2"/>
  <c r="K5423" i="2"/>
  <c r="A5941" i="2"/>
  <c r="A4981" i="2"/>
  <c r="A1762" i="2"/>
  <c r="A5522" i="2"/>
  <c r="A4402" i="2"/>
  <c r="K791" i="2"/>
  <c r="A3802" i="2"/>
  <c r="K49" i="2"/>
  <c r="A4801" i="2"/>
  <c r="A1010" i="2"/>
  <c r="J2563" i="2"/>
  <c r="A2942" i="2"/>
  <c r="J2463" i="2"/>
  <c r="A3941" i="2"/>
  <c r="K5643" i="2"/>
  <c r="K1863" i="2"/>
  <c r="A2001" i="2"/>
  <c r="A5581" i="2"/>
  <c r="K2543" i="2"/>
  <c r="A2021" i="2"/>
  <c r="A2762" i="2"/>
  <c r="J1643" i="2"/>
  <c r="K490" i="2"/>
  <c r="A4481" i="2"/>
  <c r="A110" i="2"/>
  <c r="J3323" i="2"/>
  <c r="A2681" i="2"/>
  <c r="A5921" i="2"/>
  <c r="A2922" i="2"/>
  <c r="J551" i="2"/>
  <c r="A2442" i="2"/>
  <c r="A5542" i="2"/>
  <c r="J4383" i="2"/>
  <c r="J3043" i="2"/>
  <c r="A3762" i="2"/>
  <c r="J5583" i="2"/>
  <c r="K5043" i="2"/>
  <c r="J70" i="2"/>
  <c r="K492" i="2"/>
  <c r="J2963" i="2"/>
  <c r="J212" i="2"/>
  <c r="A5582" i="2"/>
  <c r="J2643" i="2"/>
  <c r="A3053" i="2"/>
  <c r="K5783" i="2"/>
  <c r="K5923" i="2"/>
  <c r="A2961" i="2"/>
  <c r="A2261" i="2"/>
  <c r="K1583" i="2"/>
  <c r="A4921" i="2"/>
  <c r="J2163" i="2"/>
  <c r="J3563" i="2"/>
  <c r="A1582" i="2"/>
  <c r="K2803" i="2"/>
  <c r="A4841" i="2"/>
  <c r="J3203" i="2"/>
  <c r="K4463" i="2"/>
  <c r="J3403" i="2"/>
  <c r="K631" i="2"/>
  <c r="A5082" i="2"/>
  <c r="J3483" i="2"/>
  <c r="A3422" i="2"/>
  <c r="J1383" i="2"/>
  <c r="A548" i="2"/>
  <c r="A609" i="2"/>
  <c r="A5081" i="2"/>
  <c r="A1261" i="2"/>
  <c r="K1603" i="2"/>
  <c r="A3561" i="2"/>
  <c r="J1663" i="2"/>
  <c r="A5302" i="2"/>
  <c r="J1603" i="2"/>
  <c r="A2662" i="2"/>
  <c r="A2142" i="2"/>
  <c r="K2723" i="2"/>
  <c r="A4141" i="2"/>
  <c r="K52" i="2"/>
  <c r="A1242" i="2"/>
  <c r="K4503" i="2"/>
  <c r="K4103" i="2"/>
  <c r="J974" i="2"/>
  <c r="K3343" i="2"/>
  <c r="J550" i="2"/>
  <c r="K612" i="2"/>
  <c r="A2422" i="2"/>
  <c r="J2003" i="2"/>
  <c r="K5143" i="2"/>
  <c r="K3663" i="2"/>
  <c r="J4423" i="2"/>
  <c r="J129" i="2"/>
  <c r="J1094" i="2"/>
  <c r="K4083" i="2"/>
  <c r="K29" i="2"/>
  <c r="K1923" i="2"/>
  <c r="K869" i="2"/>
  <c r="J3583" i="2"/>
  <c r="J4563" i="2"/>
  <c r="A508" i="2"/>
  <c r="A5002" i="2"/>
  <c r="A5381" i="2"/>
  <c r="K3843" i="2"/>
  <c r="K431" i="2"/>
  <c r="A4922" i="2"/>
  <c r="A748" i="2"/>
  <c r="K2083" i="2"/>
  <c r="K1323" i="2"/>
  <c r="K4263" i="2"/>
  <c r="A1221" i="2"/>
  <c r="K5243" i="2"/>
  <c r="A2481" i="2"/>
  <c r="J770" i="2"/>
  <c r="A3881" i="2"/>
  <c r="J3883" i="2"/>
  <c r="J5703" i="2"/>
  <c r="K4123" i="2"/>
  <c r="J5623" i="2"/>
  <c r="J29" i="2"/>
  <c r="J511" i="2"/>
  <c r="A528" i="2"/>
  <c r="A628" i="2"/>
  <c r="A390" i="2"/>
  <c r="J4243" i="2"/>
  <c r="A3321" i="2"/>
  <c r="K5283" i="2"/>
  <c r="K3503" i="2"/>
  <c r="J4963" i="2"/>
  <c r="K4603" i="2"/>
  <c r="J1943" i="2"/>
  <c r="J452" i="2"/>
  <c r="A348" i="2"/>
  <c r="A3221" i="2"/>
  <c r="A3381" i="2"/>
  <c r="A1681" i="2"/>
  <c r="K3463" i="2"/>
  <c r="A5421" i="2"/>
  <c r="J3023" i="2"/>
  <c r="A2362" i="2"/>
  <c r="J1923" i="2"/>
  <c r="K549" i="2"/>
  <c r="A2801" i="2"/>
  <c r="K2843" i="2"/>
  <c r="K5303" i="2"/>
  <c r="K571" i="2"/>
  <c r="K3643" i="2"/>
  <c r="A5102" i="2"/>
  <c r="J1583" i="2"/>
  <c r="A1030" i="2"/>
  <c r="A2401" i="2"/>
  <c r="J2323" i="2"/>
  <c r="A4641" i="2"/>
  <c r="A288" i="2"/>
  <c r="J4403" i="2"/>
  <c r="K1163" i="2"/>
  <c r="J5523" i="2"/>
  <c r="A2002" i="2"/>
  <c r="J5423" i="2"/>
  <c r="J1723" i="2"/>
  <c r="A4101" i="2"/>
  <c r="A2222" i="2"/>
  <c r="K5443" i="2"/>
  <c r="K349" i="2"/>
  <c r="K851" i="2"/>
  <c r="K1943" i="2"/>
  <c r="A1481" i="2"/>
  <c r="A4221" i="2"/>
  <c r="A4201" i="2"/>
  <c r="J3083" i="2"/>
  <c r="J5143" i="2"/>
  <c r="K3783" i="2"/>
  <c r="A3862" i="2"/>
  <c r="A1622" i="2"/>
  <c r="J1623" i="2"/>
  <c r="A4342" i="2"/>
  <c r="J1223" i="2"/>
  <c r="J569" i="2"/>
  <c r="J150" i="2"/>
  <c r="A2241" i="2"/>
  <c r="K5223" i="2"/>
  <c r="K2203" i="2"/>
  <c r="K5983" i="2"/>
  <c r="J1903" i="2"/>
  <c r="K3523" i="2"/>
  <c r="A5442" i="2"/>
  <c r="K2883" i="2"/>
  <c r="J4463" i="2"/>
  <c r="A389" i="2"/>
  <c r="J2443" i="2"/>
  <c r="K71" i="2"/>
  <c r="A1281" i="2"/>
  <c r="A2381" i="2"/>
  <c r="A1501" i="2"/>
  <c r="K5843" i="2"/>
  <c r="A48" i="2"/>
  <c r="K3143" i="2"/>
  <c r="A1661" i="2"/>
  <c r="A568" i="2"/>
  <c r="B176" i="11"/>
  <c r="J2363" i="2"/>
  <c r="K4743" i="2"/>
  <c r="J711" i="2"/>
  <c r="K3803" i="2"/>
  <c r="A1381" i="2"/>
  <c r="J3983" i="2"/>
  <c r="K4923" i="2"/>
  <c r="J3943" i="2"/>
  <c r="J649" i="2"/>
  <c r="J769" i="2"/>
  <c r="K210" i="2"/>
  <c r="A4861" i="2"/>
  <c r="A3722" i="2"/>
  <c r="A4722" i="2"/>
  <c r="A4181" i="2"/>
  <c r="J1543" i="2"/>
  <c r="A888" i="2"/>
  <c r="J954" i="2"/>
  <c r="K1883" i="2"/>
  <c r="A4401" i="2"/>
  <c r="J1783" i="2"/>
  <c r="J5803" i="2"/>
  <c r="K3243" i="2"/>
  <c r="K1783" i="2"/>
  <c r="A2842" i="2"/>
  <c r="B176" i="12"/>
  <c r="A3621" i="2"/>
  <c r="K249" i="2"/>
  <c r="A2441" i="2"/>
  <c r="K5543" i="2"/>
  <c r="K2983" i="2"/>
  <c r="A2921" i="2"/>
  <c r="K5623" i="2"/>
  <c r="J491" i="2"/>
  <c r="A2421" i="2"/>
  <c r="A3042" i="2"/>
  <c r="A3401" i="2"/>
  <c r="J3243" i="2"/>
  <c r="A148" i="2"/>
  <c r="J1073" i="2"/>
  <c r="A1441" i="2"/>
  <c r="A1541" i="2"/>
  <c r="K3943" i="2"/>
  <c r="J1763" i="2"/>
  <c r="A4822" i="2"/>
  <c r="A4581" i="2"/>
  <c r="J2423" i="2"/>
  <c r="J151" i="2"/>
  <c r="A4301" i="2"/>
  <c r="A1881" i="2"/>
  <c r="K5563" i="2"/>
  <c r="A828" i="2"/>
  <c r="A5422" i="2"/>
  <c r="A2081" i="2"/>
  <c r="K129" i="2"/>
  <c r="A1162" i="2"/>
  <c r="A2882" i="2"/>
  <c r="A3902" i="2"/>
  <c r="A4121" i="2"/>
  <c r="A1922" i="2"/>
  <c r="J2243" i="2"/>
  <c r="A428" i="2"/>
  <c r="A3861" i="2"/>
  <c r="K5603" i="2"/>
  <c r="A5181" i="2"/>
  <c r="A1341" i="2"/>
  <c r="A3102" i="2"/>
  <c r="A3582" i="2"/>
  <c r="J429" i="2"/>
  <c r="A788" i="2"/>
  <c r="J2083" i="2"/>
  <c r="A4501" i="2"/>
  <c r="A588" i="2"/>
  <c r="A5601" i="2"/>
  <c r="A1702" i="2"/>
  <c r="J2303" i="2"/>
  <c r="J2663" i="2"/>
  <c r="A2542" i="2"/>
  <c r="K31" i="2"/>
  <c r="A4422" i="2"/>
  <c r="A4842" i="2"/>
  <c r="A2462" i="2"/>
  <c r="A1462" i="2"/>
  <c r="A5121" i="2"/>
  <c r="A2982" i="2"/>
  <c r="K3163" i="2"/>
  <c r="A2262" i="2"/>
  <c r="A5042" i="2"/>
  <c r="A109" i="2"/>
  <c r="K452" i="2"/>
  <c r="J4763" i="2"/>
  <c r="J3343" i="2"/>
  <c r="J611" i="2"/>
  <c r="A2321" i="2"/>
  <c r="J2543" i="2"/>
  <c r="K3723" i="2"/>
  <c r="J2483" i="2"/>
  <c r="J5123" i="2"/>
  <c r="K769" i="2"/>
  <c r="J3643" i="2"/>
  <c r="A188" i="2"/>
  <c r="J709" i="2"/>
  <c r="K2563" i="2"/>
  <c r="K5023" i="2"/>
  <c r="J4883" i="2"/>
  <c r="K4823" i="2"/>
  <c r="A3481" i="2"/>
  <c r="A4901" i="2"/>
  <c r="B197" i="11"/>
  <c r="K5803" i="2"/>
  <c r="J1563" i="2"/>
  <c r="A1461" i="2"/>
  <c r="J2623" i="2"/>
  <c r="A4761" i="2"/>
  <c r="A3261" i="2"/>
  <c r="J3503" i="2"/>
  <c r="J4283" i="2"/>
  <c r="A3441" i="2"/>
  <c r="K4683" i="2"/>
  <c r="K1223" i="2"/>
  <c r="J4663" i="2"/>
  <c r="K3023" i="2"/>
  <c r="K4843" i="2"/>
  <c r="J629" i="2"/>
  <c r="A3162" i="2"/>
  <c r="K4323" i="2"/>
  <c r="J1403" i="2"/>
  <c r="J311" i="2"/>
  <c r="J2783" i="2"/>
  <c r="A2582" i="2"/>
  <c r="A3341" i="2"/>
  <c r="A3241" i="2"/>
  <c r="K1263" i="2"/>
  <c r="K5323" i="2"/>
  <c r="J1014" i="2"/>
  <c r="K90" i="2"/>
  <c r="A4122" i="2"/>
  <c r="J531" i="2"/>
  <c r="K5483" i="2"/>
  <c r="A3001" i="2"/>
  <c r="K171" i="2"/>
  <c r="A908" i="2"/>
  <c r="A2341" i="2"/>
  <c r="J492" i="2"/>
  <c r="A1222" i="2"/>
  <c r="A1522" i="2"/>
  <c r="K4563" i="2"/>
  <c r="A1782" i="2"/>
  <c r="K3403" i="2"/>
  <c r="J5743" i="2"/>
  <c r="K2743" i="2"/>
  <c r="A3922" i="2"/>
  <c r="J210" i="2"/>
  <c r="A4621" i="2"/>
  <c r="A2581" i="2"/>
  <c r="A4382" i="2"/>
  <c r="A2282" i="2"/>
  <c r="A2741" i="2"/>
  <c r="J5223" i="2"/>
  <c r="A1802" i="2"/>
  <c r="K1703" i="2"/>
  <c r="J2183" i="2"/>
  <c r="A3122" i="2"/>
  <c r="A4561" i="2"/>
  <c r="A4022" i="2"/>
  <c r="K829" i="2"/>
  <c r="J4183" i="2"/>
  <c r="A2862" i="2"/>
  <c r="K4223" i="2"/>
  <c r="K4643" i="2"/>
  <c r="K149" i="2"/>
  <c r="K3683" i="2"/>
  <c r="J409" i="2"/>
  <c r="B196" i="9"/>
  <c r="A5662" i="2"/>
  <c r="A2061" i="2"/>
  <c r="K3983" i="2"/>
  <c r="J130" i="2"/>
  <c r="K4423" i="2"/>
  <c r="K2863" i="2"/>
  <c r="B176" i="8"/>
  <c r="J3103" i="2"/>
  <c r="K4863" i="2"/>
  <c r="A2841" i="2"/>
  <c r="G471" i="2" l="1"/>
  <c r="I771" i="2"/>
  <c r="G651" i="2"/>
  <c r="I731" i="2"/>
  <c r="G891" i="2"/>
  <c r="I671" i="2"/>
  <c r="I231" i="2"/>
  <c r="G291" i="2"/>
  <c r="I871" i="2"/>
  <c r="G911" i="2"/>
  <c r="G371" i="2"/>
  <c r="G251" i="2"/>
  <c r="G591" i="2"/>
  <c r="I91" i="2"/>
  <c r="G411" i="2"/>
  <c r="I351" i="2"/>
  <c r="I831" i="2"/>
  <c r="I331" i="2"/>
  <c r="G1115" i="2"/>
  <c r="G1075" i="2"/>
  <c r="G1035" i="2"/>
  <c r="G1135" i="2"/>
  <c r="G1055" i="2"/>
  <c r="G996" i="2"/>
  <c r="G1096" i="2"/>
  <c r="G1016" i="2"/>
  <c r="G976" i="2"/>
  <c r="G956" i="2"/>
  <c r="G692" i="2"/>
  <c r="L23" i="13"/>
  <c r="G4425" i="2"/>
  <c r="G1925" i="2"/>
  <c r="G4965" i="2"/>
  <c r="G5345" i="2"/>
  <c r="G5965" i="2"/>
  <c r="G5365" i="2"/>
  <c r="G4245" i="2"/>
  <c r="G5025" i="2"/>
  <c r="G4825" i="2"/>
  <c r="G5425" i="2"/>
  <c r="G4725" i="2"/>
  <c r="G3365" i="2"/>
  <c r="G4285" i="2"/>
  <c r="G4845" i="2"/>
  <c r="G5245" i="2"/>
  <c r="G4385" i="2"/>
  <c r="G5485" i="2"/>
  <c r="G4645" i="2"/>
  <c r="G3245" i="2"/>
  <c r="G4465" i="2"/>
  <c r="G2145" i="2"/>
  <c r="G5945" i="2"/>
  <c r="G4665" i="2"/>
  <c r="G1425" i="2"/>
  <c r="G4685" i="2"/>
  <c r="G5005" i="2"/>
  <c r="G4125" i="2"/>
  <c r="G2225" i="2"/>
  <c r="G5585" i="2"/>
  <c r="G3845" i="2"/>
  <c r="G3445" i="2"/>
  <c r="G4705" i="2"/>
  <c r="G5505" i="2"/>
  <c r="G3065" i="2"/>
  <c r="G1285" i="2"/>
  <c r="G1465" i="2"/>
  <c r="G3125" i="2"/>
  <c r="G4105" i="2"/>
  <c r="G5865" i="2"/>
  <c r="G2005" i="2"/>
  <c r="G2425" i="2"/>
  <c r="G3165" i="2"/>
  <c r="G3385" i="2"/>
  <c r="G2625" i="2"/>
  <c r="G2545" i="2"/>
  <c r="G3945" i="2"/>
  <c r="G1665" i="2"/>
  <c r="G4005" i="2"/>
  <c r="G2905" i="2"/>
  <c r="G1485" i="2"/>
  <c r="G1505" i="2"/>
  <c r="G3485" i="2"/>
  <c r="G4445" i="2"/>
  <c r="G2245" i="2"/>
  <c r="G3505" i="2"/>
  <c r="G3605" i="2"/>
  <c r="G5885" i="2"/>
  <c r="G1745" i="2"/>
  <c r="G3105" i="2"/>
  <c r="G2865" i="2"/>
  <c r="G4185" i="2"/>
  <c r="G2705" i="2"/>
  <c r="G4865" i="2"/>
  <c r="G3565" i="2"/>
  <c r="G3985" i="2"/>
  <c r="G2325" i="2"/>
  <c r="G1965" i="2"/>
  <c r="G5545" i="2"/>
  <c r="G4525" i="2"/>
  <c r="G1625" i="2"/>
  <c r="G5145" i="2"/>
  <c r="G1165" i="2"/>
  <c r="G4405" i="2"/>
  <c r="G2285" i="2"/>
  <c r="G5465" i="2"/>
  <c r="G1405" i="2"/>
  <c r="G3305" i="2"/>
  <c r="G2485" i="2"/>
  <c r="G5445" i="2"/>
  <c r="G5065" i="2"/>
  <c r="G1905" i="2"/>
  <c r="G2345" i="2"/>
  <c r="G1385" i="2"/>
  <c r="G5725" i="2"/>
  <c r="G3965" i="2"/>
  <c r="G1685" i="2"/>
  <c r="G4605" i="2"/>
  <c r="G5165" i="2"/>
  <c r="G1725" i="2"/>
  <c r="G3265" i="2"/>
  <c r="G4305" i="2"/>
  <c r="G2205" i="2"/>
  <c r="G5665" i="2"/>
  <c r="G4985" i="2"/>
  <c r="G5605" i="2"/>
  <c r="G5645" i="2"/>
  <c r="G4045" i="2"/>
  <c r="G5085" i="2"/>
  <c r="G1645" i="2"/>
  <c r="G3705" i="2"/>
  <c r="G3345" i="2"/>
  <c r="G4205" i="2"/>
  <c r="G4365" i="2"/>
  <c r="G4905" i="2"/>
  <c r="G2505" i="2"/>
  <c r="G1365" i="2"/>
  <c r="G5405" i="2"/>
  <c r="G5745" i="2"/>
  <c r="G3145" i="2"/>
  <c r="G5905" i="2"/>
  <c r="G3045" i="2"/>
  <c r="G2665" i="2"/>
  <c r="G5265" i="2"/>
  <c r="G2965" i="2"/>
  <c r="G1985" i="2"/>
  <c r="G2685" i="2"/>
  <c r="G3225" i="2"/>
  <c r="G5825" i="2"/>
  <c r="G3465" i="2"/>
  <c r="G5985" i="2"/>
  <c r="G2085" i="2"/>
  <c r="G4945" i="2"/>
  <c r="G2565" i="2"/>
  <c r="G2645" i="2"/>
  <c r="G5225" i="2"/>
  <c r="G4745" i="2"/>
  <c r="G1605" i="2"/>
  <c r="G3005" i="2"/>
  <c r="G3905" i="2"/>
  <c r="G5105" i="2"/>
  <c r="G5285" i="2"/>
  <c r="G3685" i="2"/>
  <c r="G4805" i="2"/>
  <c r="G3745" i="2"/>
  <c r="G1865" i="2"/>
  <c r="G5385" i="2"/>
  <c r="G3325" i="2"/>
  <c r="G5325" i="2"/>
  <c r="G2525" i="2"/>
  <c r="G2405" i="2"/>
  <c r="G4765" i="2"/>
  <c r="G2165" i="2"/>
  <c r="G5525" i="2"/>
  <c r="G1445" i="2"/>
  <c r="G2445" i="2"/>
  <c r="G4545" i="2"/>
  <c r="G3885" i="2"/>
  <c r="G4025" i="2"/>
  <c r="G2585" i="2"/>
  <c r="G2805" i="2"/>
  <c r="G1785" i="2"/>
  <c r="G3545" i="2"/>
  <c r="G2725" i="2"/>
  <c r="G3525" i="2"/>
  <c r="G2125" i="2"/>
  <c r="G2305" i="2"/>
  <c r="G1305" i="2"/>
  <c r="G5185" i="2"/>
  <c r="G5625" i="2"/>
  <c r="G2785" i="2"/>
  <c r="G4585" i="2"/>
  <c r="G4505" i="2"/>
  <c r="G1825" i="2"/>
  <c r="G1565" i="2"/>
  <c r="G4485" i="2"/>
  <c r="G1225" i="2"/>
  <c r="G2105" i="2"/>
  <c r="G4265" i="2"/>
  <c r="G3785" i="2"/>
  <c r="G5045" i="2"/>
  <c r="G2465" i="2"/>
  <c r="G3085" i="2"/>
  <c r="G1325" i="2"/>
  <c r="G4785" i="2"/>
  <c r="G3405" i="2"/>
  <c r="G1885" i="2"/>
  <c r="G3625" i="2"/>
  <c r="G5305" i="2"/>
  <c r="G2885" i="2"/>
  <c r="G3205" i="2"/>
  <c r="G4625" i="2"/>
  <c r="G3725" i="2"/>
  <c r="G4165" i="2"/>
  <c r="G3645" i="2"/>
  <c r="G1705" i="2"/>
  <c r="G1545" i="2"/>
  <c r="G3425" i="2"/>
  <c r="G1525" i="2"/>
  <c r="G4225" i="2"/>
  <c r="G2845" i="2"/>
  <c r="G1765" i="2"/>
  <c r="G5685" i="2"/>
  <c r="G5785" i="2"/>
  <c r="G2265" i="2"/>
  <c r="G4145" i="2"/>
  <c r="G2985" i="2"/>
  <c r="G2765" i="2"/>
  <c r="G5205" i="2"/>
  <c r="G2185" i="2"/>
  <c r="G5765" i="2"/>
  <c r="G3865" i="2"/>
  <c r="G5125" i="2"/>
  <c r="G1185" i="2"/>
  <c r="G4065" i="2"/>
  <c r="G4565" i="2"/>
  <c r="G2745" i="2"/>
  <c r="G5925" i="2"/>
  <c r="G1945" i="2"/>
  <c r="G4885" i="2"/>
  <c r="G1265" i="2"/>
  <c r="G1845" i="2"/>
  <c r="G2925" i="2"/>
  <c r="G4345" i="2"/>
  <c r="G2365" i="2"/>
  <c r="G4325" i="2"/>
  <c r="G2945" i="2"/>
  <c r="G2045" i="2"/>
  <c r="G1245" i="2"/>
  <c r="G3285" i="2"/>
  <c r="G1585" i="2"/>
  <c r="G3805" i="2"/>
  <c r="G3825" i="2"/>
  <c r="G2825" i="2"/>
  <c r="G2385" i="2"/>
  <c r="G4925" i="2"/>
  <c r="G5845" i="2"/>
  <c r="G1805" i="2"/>
  <c r="G3185" i="2"/>
  <c r="G2065" i="2"/>
  <c r="G5805" i="2"/>
  <c r="G5565" i="2"/>
  <c r="G5705" i="2"/>
  <c r="G2605" i="2"/>
  <c r="G1205" i="2"/>
  <c r="G3665" i="2"/>
  <c r="G4085" i="2"/>
  <c r="G1345" i="2"/>
  <c r="G3585" i="2"/>
  <c r="G3765" i="2"/>
  <c r="G2025" i="2"/>
  <c r="G3925" i="2"/>
  <c r="G3025" i="2"/>
  <c r="G633" i="2"/>
  <c r="G193" i="2"/>
  <c r="G133" i="2"/>
  <c r="G533" i="2"/>
  <c r="G433" i="2"/>
  <c r="G553" i="2"/>
  <c r="G93" i="2"/>
  <c r="G33" i="2"/>
  <c r="G333" i="2"/>
  <c r="G173" i="2"/>
  <c r="G853" i="2"/>
  <c r="G733" i="2"/>
  <c r="G393" i="2"/>
  <c r="G713" i="2"/>
  <c r="G933" i="2"/>
  <c r="G313" i="2"/>
  <c r="G793" i="2"/>
  <c r="G113" i="2"/>
  <c r="G233" i="2"/>
  <c r="G153" i="2"/>
  <c r="G273" i="2"/>
  <c r="G513" i="2"/>
  <c r="G773" i="2"/>
  <c r="G73" i="2"/>
  <c r="G873" i="2"/>
  <c r="G573" i="2"/>
  <c r="G813" i="2"/>
  <c r="G454" i="2"/>
  <c r="G54" i="2"/>
  <c r="G834" i="2"/>
  <c r="G754" i="2"/>
  <c r="G354" i="2"/>
  <c r="G214" i="2"/>
  <c r="G494" i="2"/>
  <c r="G674" i="2"/>
  <c r="G614" i="2"/>
  <c r="O9" i="1"/>
  <c r="O10" i="1" s="1"/>
  <c r="O11" i="1" s="1"/>
  <c r="N10" i="1"/>
  <c r="N11" i="1" s="1"/>
  <c r="N20" i="1"/>
  <c r="M21" i="1"/>
  <c r="M22" i="1" s="1"/>
  <c r="M23" i="1" s="1"/>
  <c r="N9" i="8"/>
  <c r="M10" i="8"/>
  <c r="M11" i="8" s="1"/>
  <c r="N20" i="8"/>
  <c r="M21" i="8"/>
  <c r="M22" i="8" s="1"/>
  <c r="N20" i="7"/>
  <c r="M21" i="7"/>
  <c r="M22" i="7" s="1"/>
  <c r="N9" i="7"/>
  <c r="M10" i="7"/>
  <c r="M11" i="7" s="1"/>
  <c r="O20" i="3"/>
  <c r="O21" i="3" s="1"/>
  <c r="O22" i="3" s="1"/>
  <c r="O23" i="3" s="1"/>
  <c r="N21" i="3"/>
  <c r="N22" i="3" s="1"/>
  <c r="N23" i="3" s="1"/>
  <c r="N20" i="14"/>
  <c r="M21" i="14"/>
  <c r="M22" i="14" s="1"/>
  <c r="O9" i="14"/>
  <c r="O10" i="14" s="1"/>
  <c r="O11" i="14" s="1"/>
  <c r="N10" i="14"/>
  <c r="N11" i="14" s="1"/>
  <c r="N20" i="13"/>
  <c r="M21" i="13"/>
  <c r="M22" i="13" s="1"/>
  <c r="N9" i="13"/>
  <c r="M10" i="13"/>
  <c r="M11" i="13" s="1"/>
  <c r="O20" i="12"/>
  <c r="O21" i="12" s="1"/>
  <c r="O22" i="12" s="1"/>
  <c r="O23" i="12" s="1"/>
  <c r="N21" i="12"/>
  <c r="N22" i="12" s="1"/>
  <c r="N23" i="12" s="1"/>
  <c r="O9" i="12"/>
  <c r="O10" i="12" s="1"/>
  <c r="O11" i="12" s="1"/>
  <c r="N10" i="12"/>
  <c r="N11" i="12" s="1"/>
  <c r="N20" i="11"/>
  <c r="M21" i="11"/>
  <c r="M22" i="11" s="1"/>
  <c r="M23" i="11" s="1"/>
  <c r="O9" i="11"/>
  <c r="O10" i="11" s="1"/>
  <c r="O11" i="11" s="1"/>
  <c r="N10" i="11"/>
  <c r="N11" i="11" s="1"/>
  <c r="N9" i="10"/>
  <c r="M10" i="10"/>
  <c r="M11" i="10" s="1"/>
  <c r="N20" i="10"/>
  <c r="M21" i="10"/>
  <c r="M22" i="10" s="1"/>
  <c r="N21" i="9"/>
  <c r="N22" i="9" s="1"/>
  <c r="O21" i="9"/>
  <c r="O22" i="9" s="1"/>
  <c r="A769" i="2"/>
  <c r="A469" i="2"/>
  <c r="K650" i="2"/>
  <c r="J670" i="2"/>
  <c r="K5544" i="2"/>
  <c r="A2443" i="2"/>
  <c r="J2424" i="2"/>
  <c r="K2504" i="2"/>
  <c r="J3944" i="2"/>
  <c r="B196" i="11"/>
  <c r="J3984" i="2"/>
  <c r="J1824" i="2"/>
  <c r="J932" i="2"/>
  <c r="J3124" i="2"/>
  <c r="J2604" i="2"/>
  <c r="J4564" i="2"/>
  <c r="J2004" i="2"/>
  <c r="J5324" i="2"/>
  <c r="A2703" i="2"/>
  <c r="J312" i="2"/>
  <c r="J2624" i="2"/>
  <c r="J2804" i="2"/>
  <c r="J955" i="2"/>
  <c r="J3304" i="2"/>
  <c r="J453" i="2"/>
  <c r="A4283" i="2"/>
  <c r="K2764" i="2"/>
  <c r="A711" i="2"/>
  <c r="A2923" i="2"/>
  <c r="A1423" i="2"/>
  <c r="K3204" i="2"/>
  <c r="A5823" i="2"/>
  <c r="J4384" i="2"/>
  <c r="K3504" i="2"/>
  <c r="J3504" i="2"/>
  <c r="A5103" i="2"/>
  <c r="J3164" i="2"/>
  <c r="J4304" i="2"/>
  <c r="A3603" i="2"/>
  <c r="K2024" i="2"/>
  <c r="J1095" i="2"/>
  <c r="K5784" i="2"/>
  <c r="J3464" i="2"/>
  <c r="K4304" i="2"/>
  <c r="A3643" i="2"/>
  <c r="K1034" i="2"/>
  <c r="K4064" i="2"/>
  <c r="A4943" i="2"/>
  <c r="A5623" i="2"/>
  <c r="J1664" i="2"/>
  <c r="A2083" i="2"/>
  <c r="K2584" i="2"/>
  <c r="K3804" i="2"/>
  <c r="A5323" i="2"/>
  <c r="J1284" i="2"/>
  <c r="A1303" i="2"/>
  <c r="K5524" i="2"/>
  <c r="K5264" i="2"/>
  <c r="J4424" i="2"/>
  <c r="K1524" i="2"/>
  <c r="K2484" i="2"/>
  <c r="A549" i="2"/>
  <c r="J2924" i="2"/>
  <c r="J3144" i="2"/>
  <c r="A2583" i="2"/>
  <c r="J2444" i="2"/>
  <c r="A3843" i="2"/>
  <c r="K2904" i="2"/>
  <c r="K5304" i="2"/>
  <c r="K3044" i="2"/>
  <c r="A2143" i="2"/>
  <c r="J4084" i="2"/>
  <c r="A1283" i="2"/>
  <c r="K5764" i="2"/>
  <c r="A5703" i="2"/>
  <c r="A1053" i="2"/>
  <c r="K2344" i="2"/>
  <c r="J1074" i="2"/>
  <c r="K453" i="2"/>
  <c r="A1493" i="2"/>
  <c r="A1663" i="2"/>
  <c r="A4803" i="2"/>
  <c r="K1784" i="2"/>
  <c r="K4184" i="2"/>
  <c r="A1533" i="2"/>
  <c r="K3664" i="2"/>
  <c r="J1764" i="2"/>
  <c r="K2804" i="2"/>
  <c r="J2344" i="2"/>
  <c r="J2084" i="2"/>
  <c r="A5123" i="2"/>
  <c r="A2743" i="2"/>
  <c r="K4924" i="2"/>
  <c r="J5924" i="2"/>
  <c r="J4024" i="2"/>
  <c r="K4324" i="2"/>
  <c r="J2144" i="2"/>
  <c r="K3684" i="2"/>
  <c r="A1883" i="2"/>
  <c r="K1344" i="2"/>
  <c r="J4204" i="2"/>
  <c r="J5404" i="2"/>
  <c r="K613" i="2"/>
  <c r="K3184" i="2"/>
  <c r="J1204" i="2"/>
  <c r="B176" i="7"/>
  <c r="J712" i="2"/>
  <c r="K2964" i="2"/>
  <c r="J1114" i="2"/>
  <c r="A2523" i="2"/>
  <c r="A4003" i="2"/>
  <c r="J2064" i="2"/>
  <c r="J2504" i="2"/>
  <c r="A4363" i="2"/>
  <c r="J3404" i="2"/>
  <c r="K4544" i="2"/>
  <c r="A1723" i="2"/>
  <c r="A5523" i="2"/>
  <c r="J792" i="2"/>
  <c r="J4644" i="2"/>
  <c r="J4144" i="2"/>
  <c r="K572" i="2"/>
  <c r="A750" i="2"/>
  <c r="K32" i="2"/>
  <c r="K3604" i="2"/>
  <c r="A4303" i="2"/>
  <c r="K3704" i="2"/>
  <c r="J3244" i="2"/>
  <c r="K5144" i="2"/>
  <c r="K2564" i="2"/>
  <c r="A4963" i="2"/>
  <c r="K3164" i="2"/>
  <c r="A829" i="2"/>
  <c r="A649" i="2"/>
  <c r="K670" i="2"/>
  <c r="K2444" i="2"/>
  <c r="K3524" i="2"/>
  <c r="K3324" i="2"/>
  <c r="A3863" i="2"/>
  <c r="A2863" i="2"/>
  <c r="A3983" i="2"/>
  <c r="K1944" i="2"/>
  <c r="A1583" i="2"/>
  <c r="A2783" i="2"/>
  <c r="J5524" i="2"/>
  <c r="K5744" i="2"/>
  <c r="A4423" i="2"/>
  <c r="J172" i="2"/>
  <c r="A1683" i="2"/>
  <c r="J1504" i="2"/>
  <c r="K3244" i="2"/>
  <c r="A1503" i="2"/>
  <c r="K3364" i="2"/>
  <c r="J3864" i="2"/>
  <c r="J975" i="2"/>
  <c r="J5964" i="2"/>
  <c r="A4163" i="2"/>
  <c r="J3684" i="2"/>
  <c r="J5144" i="2"/>
  <c r="J2184" i="2"/>
  <c r="K2924" i="2"/>
  <c r="A5363" i="2"/>
  <c r="K4104" i="2"/>
  <c r="A3963" i="2"/>
  <c r="A1763" i="2"/>
  <c r="K2164" i="2"/>
  <c r="A4723" i="2"/>
  <c r="A1031" i="2"/>
  <c r="K1804" i="2"/>
  <c r="K4804" i="2"/>
  <c r="K1404" i="2"/>
  <c r="K5344" i="2"/>
  <c r="J4124" i="2"/>
  <c r="A4543" i="2"/>
  <c r="A409" i="2"/>
  <c r="A5163" i="2"/>
  <c r="K4404" i="2"/>
  <c r="A1383" i="2"/>
  <c r="A1094" i="2"/>
  <c r="J3804" i="2"/>
  <c r="J1224" i="2"/>
  <c r="J2944" i="2"/>
  <c r="K5504" i="2"/>
  <c r="A3283" i="2"/>
  <c r="J1984" i="2"/>
  <c r="K852" i="2"/>
  <c r="J5304" i="2"/>
  <c r="K2064" i="2"/>
  <c r="K2224" i="2"/>
  <c r="A2063" i="2"/>
  <c r="A1823" i="2"/>
  <c r="A709" i="2"/>
  <c r="A2103" i="2"/>
  <c r="K830" i="2"/>
  <c r="K410" i="2"/>
  <c r="J4404" i="2"/>
  <c r="J4824" i="2"/>
  <c r="A2243" i="2"/>
  <c r="J613" i="2"/>
  <c r="A4823" i="2"/>
  <c r="K1564" i="2"/>
  <c r="K3404" i="2"/>
  <c r="K1864" i="2"/>
  <c r="K2524" i="2"/>
  <c r="K4344" i="2"/>
  <c r="K4464" i="2"/>
  <c r="A4063" i="2"/>
  <c r="J5784" i="2"/>
  <c r="K1484" i="2"/>
  <c r="K312" i="2"/>
  <c r="K5424" i="2"/>
  <c r="J2644" i="2"/>
  <c r="J691" i="2"/>
  <c r="J3524" i="2"/>
  <c r="A1603" i="2"/>
  <c r="A3123" i="2"/>
  <c r="A3103" i="2"/>
  <c r="J5564" i="2"/>
  <c r="A309" i="2"/>
  <c r="K2144" i="2"/>
  <c r="K53" i="2"/>
  <c r="J4164" i="2"/>
  <c r="A5423" i="2"/>
  <c r="A611" i="2"/>
  <c r="A749" i="2"/>
  <c r="K1204" i="2"/>
  <c r="K1284" i="2"/>
  <c r="A5283" i="2"/>
  <c r="J90" i="2"/>
  <c r="J4064" i="2"/>
  <c r="A1243" i="2"/>
  <c r="J3924" i="2"/>
  <c r="K2124" i="2"/>
  <c r="A5303" i="2"/>
  <c r="A5983" i="2"/>
  <c r="K5284" i="2"/>
  <c r="J1054" i="2"/>
  <c r="K3424" i="2"/>
  <c r="A4023" i="2"/>
  <c r="J2864" i="2"/>
  <c r="J5424" i="2"/>
  <c r="K5984" i="2"/>
  <c r="A2403" i="2"/>
  <c r="K4944" i="2"/>
  <c r="K3924" i="2"/>
  <c r="K812" i="2"/>
  <c r="K1684" i="2"/>
  <c r="J350" i="2"/>
  <c r="J3064" i="2"/>
  <c r="A2723" i="2"/>
  <c r="K1504" i="2"/>
  <c r="A5763" i="2"/>
  <c r="J4804" i="2"/>
  <c r="A2543" i="2"/>
  <c r="A2023" i="2"/>
  <c r="A5723" i="2"/>
  <c r="A3083" i="2"/>
  <c r="A4123" i="2"/>
  <c r="K4624" i="2"/>
  <c r="K72" i="2"/>
  <c r="K2724" i="2"/>
  <c r="K432" i="2"/>
  <c r="A5083" i="2"/>
  <c r="K3384" i="2"/>
  <c r="K3904" i="2"/>
  <c r="J5124" i="2"/>
  <c r="A569" i="2"/>
  <c r="J470" i="2"/>
  <c r="K730" i="2"/>
  <c r="K213" i="2"/>
  <c r="J5664" i="2"/>
  <c r="K350" i="2"/>
  <c r="A4243" i="2"/>
  <c r="A1011" i="2"/>
  <c r="J4664" i="2"/>
  <c r="A629" i="2"/>
  <c r="K3744" i="2"/>
  <c r="J3424" i="2"/>
  <c r="A3583" i="2"/>
  <c r="A3943" i="2"/>
  <c r="A151" i="2"/>
  <c r="A1963" i="2"/>
  <c r="J290" i="2"/>
  <c r="A311" i="2"/>
  <c r="J32" i="2"/>
  <c r="A191" i="2"/>
  <c r="K2004" i="2"/>
  <c r="K3944" i="2"/>
  <c r="J4544" i="2"/>
  <c r="K5804" i="2"/>
  <c r="A4883" i="2"/>
  <c r="A431" i="2"/>
  <c r="K3124" i="2"/>
  <c r="J1404" i="2"/>
  <c r="K1264" i="2"/>
  <c r="K632" i="2"/>
  <c r="A3303" i="2"/>
  <c r="A4143" i="2"/>
  <c r="J2384" i="2"/>
  <c r="A3523" i="2"/>
  <c r="A3043" i="2"/>
  <c r="K5564" i="2"/>
  <c r="J1444" i="2"/>
  <c r="K2424" i="2"/>
  <c r="K3984" i="2"/>
  <c r="K1844" i="2"/>
  <c r="K5624" i="2"/>
  <c r="K3264" i="2"/>
  <c r="A3903" i="2"/>
  <c r="K1324" i="2"/>
  <c r="A69" i="2"/>
  <c r="K5004" i="2"/>
  <c r="J1624" i="2"/>
  <c r="K5204" i="2"/>
  <c r="A211" i="2"/>
  <c r="A2183" i="2"/>
  <c r="J1864" i="2"/>
  <c r="J5004" i="2"/>
  <c r="A1073" i="2"/>
  <c r="K4864" i="2"/>
  <c r="K3644" i="2"/>
  <c r="J1784" i="2"/>
  <c r="J4504" i="2"/>
  <c r="A5343" i="2"/>
  <c r="J3604" i="2"/>
  <c r="K4284" i="2"/>
  <c r="J5484" i="2"/>
  <c r="J5204" i="2"/>
  <c r="A4783" i="2"/>
  <c r="A1463" i="2"/>
  <c r="A71" i="2"/>
  <c r="J132" i="2"/>
  <c r="K5024" i="2"/>
  <c r="J250" i="2"/>
  <c r="K1134" i="2"/>
  <c r="K392" i="2"/>
  <c r="A29" i="2"/>
  <c r="K4984" i="2"/>
  <c r="K4004" i="2"/>
  <c r="A3223" i="2"/>
  <c r="K2604" i="2"/>
  <c r="B236" i="3"/>
  <c r="K1904" i="2"/>
  <c r="J1244" i="2"/>
  <c r="A149" i="2"/>
  <c r="J3884" i="2"/>
  <c r="J532" i="2"/>
  <c r="A229" i="2"/>
  <c r="B216" i="3"/>
  <c r="A1843" i="2"/>
  <c r="K5584" i="2"/>
  <c r="K1095" i="2"/>
  <c r="A3723" i="2"/>
  <c r="K5084" i="2"/>
  <c r="J3104" i="2"/>
  <c r="K172" i="2"/>
  <c r="K2184" i="2"/>
  <c r="A4443" i="2"/>
  <c r="A3363" i="2"/>
  <c r="A150" i="2"/>
  <c r="K2284" i="2"/>
  <c r="K5384" i="2"/>
  <c r="J4244" i="2"/>
  <c r="J5464" i="2"/>
  <c r="J1964" i="2"/>
  <c r="A2903" i="2"/>
  <c r="A690" i="2"/>
  <c r="K272" i="2"/>
  <c r="A869" i="2"/>
  <c r="J5364" i="2"/>
  <c r="A3423" i="2"/>
  <c r="A2503" i="2"/>
  <c r="K1544" i="2"/>
  <c r="A171" i="2"/>
  <c r="A5463" i="2"/>
  <c r="K4524" i="2"/>
  <c r="J2984" i="2"/>
  <c r="J5644" i="2"/>
  <c r="K1744" i="2"/>
  <c r="K2644" i="2"/>
  <c r="K4844" i="2"/>
  <c r="A5963" i="2"/>
  <c r="K5364" i="2"/>
  <c r="A3883" i="2"/>
  <c r="J2264" i="2"/>
  <c r="K5124" i="2"/>
  <c r="K3304" i="2"/>
  <c r="K192" i="2"/>
  <c r="K4084" i="2"/>
  <c r="J2104" i="2"/>
  <c r="J3344" i="2"/>
  <c r="K5644" i="2"/>
  <c r="K1054" i="2"/>
  <c r="A1703" i="2"/>
  <c r="J5444" i="2"/>
  <c r="J5864" i="2"/>
  <c r="J5824" i="2"/>
  <c r="K4604" i="2"/>
  <c r="A729" i="2"/>
  <c r="K470" i="2"/>
  <c r="J730" i="2"/>
  <c r="J2744" i="2"/>
  <c r="J812" i="2"/>
  <c r="K4444" i="2"/>
  <c r="J5724" i="2"/>
  <c r="K4264" i="2"/>
  <c r="J5384" i="2"/>
  <c r="J4044" i="2"/>
  <c r="A909" i="2"/>
  <c r="K2944" i="2"/>
  <c r="J4784" i="2"/>
  <c r="K5184" i="2"/>
  <c r="K5164" i="2"/>
  <c r="K1184" i="2"/>
  <c r="A1163" i="2"/>
  <c r="B176" i="13"/>
  <c r="K493" i="2"/>
  <c r="A3383" i="2"/>
  <c r="A4463" i="2"/>
  <c r="J2684" i="2"/>
  <c r="J5104" i="2"/>
  <c r="K3284" i="2"/>
  <c r="A1943" i="2"/>
  <c r="J3824" i="2"/>
  <c r="A3063" i="2"/>
  <c r="A349" i="2"/>
  <c r="K4024" i="2"/>
  <c r="A5643" i="2"/>
  <c r="K4744" i="2"/>
  <c r="K1644" i="2"/>
  <c r="K5604" i="2"/>
  <c r="A49" i="2"/>
  <c r="J4864" i="2"/>
  <c r="K152" i="2"/>
  <c r="K2664" i="2"/>
  <c r="A5883" i="2"/>
  <c r="A4183" i="2"/>
  <c r="J213" i="2"/>
  <c r="A3323" i="2"/>
  <c r="A2763" i="2"/>
  <c r="K5044" i="2"/>
  <c r="J5684" i="2"/>
  <c r="K1724" i="2"/>
  <c r="A31" i="2"/>
  <c r="K3024" i="2"/>
  <c r="J1844" i="2"/>
  <c r="A489" i="2"/>
  <c r="A2463" i="2"/>
  <c r="A3263" i="2"/>
  <c r="J2664" i="2"/>
  <c r="J272" i="2"/>
  <c r="A851" i="2"/>
  <c r="K3624" i="2"/>
  <c r="A2883" i="2"/>
  <c r="J1324" i="2"/>
  <c r="K4224" i="2"/>
  <c r="J1524" i="2"/>
  <c r="K532" i="2"/>
  <c r="A2323" i="2"/>
  <c r="J1684" i="2"/>
  <c r="A1803" i="2"/>
  <c r="J852" i="2"/>
  <c r="J3644" i="2"/>
  <c r="K3724" i="2"/>
  <c r="J5704" i="2"/>
  <c r="A3483" i="2"/>
  <c r="J1604" i="2"/>
  <c r="J2044" i="2"/>
  <c r="B216" i="9"/>
  <c r="A530" i="2"/>
  <c r="K2984" i="2"/>
  <c r="J53" i="2"/>
  <c r="K2884" i="2"/>
  <c r="J4904" i="2"/>
  <c r="J2284" i="2"/>
  <c r="A249" i="2"/>
  <c r="K1244" i="2"/>
  <c r="J2704" i="2"/>
  <c r="A2983" i="2"/>
  <c r="K3824" i="2"/>
  <c r="K5864" i="2"/>
  <c r="K3564" i="2"/>
  <c r="J2524" i="2"/>
  <c r="K1364" i="2"/>
  <c r="A4763" i="2"/>
  <c r="J4264" i="2"/>
  <c r="K2704" i="2"/>
  <c r="A429" i="2"/>
  <c r="J2024" i="2"/>
  <c r="J590" i="2"/>
  <c r="J4444" i="2"/>
  <c r="A1783" i="2"/>
  <c r="J4224" i="2"/>
  <c r="J3264" i="2"/>
  <c r="J2304" i="2"/>
  <c r="K3544" i="2"/>
  <c r="A1543" i="2"/>
  <c r="A1903" i="2"/>
  <c r="A2663" i="2"/>
  <c r="J3624" i="2"/>
  <c r="A4323" i="2"/>
  <c r="J3084" i="2"/>
  <c r="J1804" i="2"/>
  <c r="K3084" i="2"/>
  <c r="K230" i="2"/>
  <c r="J632" i="2"/>
  <c r="J5584" i="2"/>
  <c r="K1015" i="2"/>
  <c r="K2364" i="2"/>
  <c r="K552" i="2"/>
  <c r="A4683" i="2"/>
  <c r="J192" i="2"/>
  <c r="K590" i="2"/>
  <c r="K4384" i="2"/>
  <c r="A2303" i="2"/>
  <c r="B217" i="11"/>
  <c r="K1444" i="2"/>
  <c r="A5383" i="2"/>
  <c r="A1923" i="2"/>
  <c r="K4884" i="2"/>
  <c r="A5663" i="2"/>
  <c r="J1944" i="2"/>
  <c r="A5043" i="2"/>
  <c r="J552" i="2"/>
  <c r="A3543" i="2"/>
  <c r="A1793" i="2"/>
  <c r="A2283" i="2"/>
  <c r="A1743" i="2"/>
  <c r="J5844" i="2"/>
  <c r="J4724" i="2"/>
  <c r="A30" i="2"/>
  <c r="K2864" i="2"/>
  <c r="K5064" i="2"/>
  <c r="A889" i="2"/>
  <c r="A4503" i="2"/>
  <c r="K1114" i="2"/>
  <c r="A5743" i="2"/>
  <c r="K512" i="2"/>
  <c r="J1344" i="2"/>
  <c r="K112" i="2"/>
  <c r="K5924" i="2"/>
  <c r="K5684" i="2"/>
  <c r="A4263" i="2"/>
  <c r="A4203" i="2"/>
  <c r="K2244" i="2"/>
  <c r="A3563" i="2"/>
  <c r="A4863" i="2"/>
  <c r="J432" i="2"/>
  <c r="A2803" i="2"/>
  <c r="A4583" i="2"/>
  <c r="J5284" i="2"/>
  <c r="K995" i="2"/>
  <c r="K691" i="2"/>
  <c r="A631" i="2"/>
  <c r="J2844" i="2"/>
  <c r="A571" i="2"/>
  <c r="A3763" i="2"/>
  <c r="A2823" i="2"/>
  <c r="J1564" i="2"/>
  <c r="J4684" i="2"/>
  <c r="J4324" i="2"/>
  <c r="K5884" i="2"/>
  <c r="A3663" i="2"/>
  <c r="J1134" i="2"/>
  <c r="A129" i="2"/>
  <c r="A2003" i="2"/>
  <c r="K975" i="2"/>
  <c r="K1664" i="2"/>
  <c r="A2263" i="2"/>
  <c r="J1184" i="2"/>
  <c r="A4743" i="2"/>
  <c r="K2084" i="2"/>
  <c r="A5583" i="2"/>
  <c r="A4563" i="2"/>
  <c r="J1364" i="2"/>
  <c r="J5164" i="2"/>
  <c r="K4164" i="2"/>
  <c r="J2784" i="2"/>
  <c r="K4584" i="2"/>
  <c r="A5203" i="2"/>
  <c r="A3443" i="2"/>
  <c r="K5464" i="2"/>
  <c r="J5184" i="2"/>
  <c r="A2043" i="2"/>
  <c r="A1523" i="2"/>
  <c r="A289" i="2"/>
  <c r="B196" i="14"/>
  <c r="K3464" i="2"/>
  <c r="K3444" i="2"/>
  <c r="A2843" i="2"/>
  <c r="A791" i="2"/>
  <c r="A4483" i="2"/>
  <c r="J4184" i="2"/>
  <c r="A50" i="2"/>
  <c r="K1424" i="2"/>
  <c r="J2884" i="2"/>
  <c r="J1424" i="2"/>
  <c r="A2563" i="2"/>
  <c r="A2423" i="2"/>
  <c r="J3024" i="2"/>
  <c r="A5903" i="2"/>
  <c r="K3764" i="2"/>
  <c r="A2163" i="2"/>
  <c r="J5244" i="2"/>
  <c r="A89" i="2"/>
  <c r="J2204" i="2"/>
  <c r="K1224" i="2"/>
  <c r="A5563" i="2"/>
  <c r="A310" i="2"/>
  <c r="J4344" i="2"/>
  <c r="J3764" i="2"/>
  <c r="A3243" i="2"/>
  <c r="J4984" i="2"/>
  <c r="J1034" i="2"/>
  <c r="K330" i="2"/>
  <c r="J4284" i="2"/>
  <c r="K5844" i="2"/>
  <c r="K5704" i="2"/>
  <c r="A5503" i="2"/>
  <c r="A329" i="2"/>
  <c r="K5904" i="2"/>
  <c r="K3344" i="2"/>
  <c r="J1724" i="2"/>
  <c r="J4604" i="2"/>
  <c r="K1824" i="2"/>
  <c r="A550" i="2"/>
  <c r="J1015" i="2"/>
  <c r="A3163" i="2"/>
  <c r="A1113" i="2"/>
  <c r="J5504" i="2"/>
  <c r="A3003" i="2"/>
  <c r="A4643" i="2"/>
  <c r="A5143" i="2"/>
  <c r="K2744" i="2"/>
  <c r="J4964" i="2"/>
  <c r="A570" i="2"/>
  <c r="K770" i="2"/>
  <c r="A770" i="2" s="1"/>
  <c r="J890" i="2"/>
  <c r="J2404" i="2"/>
  <c r="J3324" i="2"/>
  <c r="J2244" i="2"/>
  <c r="J1264" i="2"/>
  <c r="A4843" i="2"/>
  <c r="A1403" i="2"/>
  <c r="A589" i="2"/>
  <c r="K1074" i="2"/>
  <c r="J3204" i="2"/>
  <c r="J112" i="2"/>
  <c r="J370" i="2"/>
  <c r="A5063" i="2"/>
  <c r="J4764" i="2"/>
  <c r="J5624" i="2"/>
  <c r="J3744" i="2"/>
  <c r="K5244" i="2"/>
  <c r="K2204" i="2"/>
  <c r="A1863" i="2"/>
  <c r="K2464" i="2"/>
  <c r="J3384" i="2"/>
  <c r="A5183" i="2"/>
  <c r="A1483" i="2"/>
  <c r="K870" i="2"/>
  <c r="K4504" i="2"/>
  <c r="J5264" i="2"/>
  <c r="K3144" i="2"/>
  <c r="J2164" i="2"/>
  <c r="K2684" i="2"/>
  <c r="A4923" i="2"/>
  <c r="K4144" i="2"/>
  <c r="J512" i="2"/>
  <c r="J4464" i="2"/>
  <c r="J1744" i="2"/>
  <c r="J1484" i="2"/>
  <c r="K5444" i="2"/>
  <c r="K290" i="2"/>
  <c r="J2904" i="2"/>
  <c r="J5224" i="2"/>
  <c r="K1164" i="2"/>
  <c r="J4884" i="2"/>
  <c r="J753" i="2"/>
  <c r="A2223" i="2"/>
  <c r="A531" i="2"/>
  <c r="K4684" i="2"/>
  <c r="A4623" i="2"/>
  <c r="J5804" i="2"/>
  <c r="J572" i="2"/>
  <c r="A2483" i="2"/>
  <c r="K370" i="2"/>
  <c r="A1643" i="2"/>
  <c r="K3884" i="2"/>
  <c r="J830" i="2"/>
  <c r="A3503" i="2"/>
  <c r="A511" i="2"/>
  <c r="K5484" i="2"/>
  <c r="J4484" i="2"/>
  <c r="J1544" i="2"/>
  <c r="A491" i="2"/>
  <c r="A5843" i="2"/>
  <c r="A551" i="2"/>
  <c r="K3484" i="2"/>
  <c r="J2824" i="2"/>
  <c r="A4083" i="2"/>
  <c r="J2224" i="2"/>
  <c r="J1304" i="2"/>
  <c r="K2784" i="2"/>
  <c r="J910" i="2"/>
  <c r="J995" i="2"/>
  <c r="A391" i="2"/>
  <c r="A4903" i="2"/>
  <c r="K5104" i="2"/>
  <c r="J2464" i="2"/>
  <c r="A2203" i="2"/>
  <c r="J2724" i="2"/>
  <c r="J2764" i="2"/>
  <c r="J4524" i="2"/>
  <c r="J1644" i="2"/>
  <c r="A3403" i="2"/>
  <c r="A3823" i="2"/>
  <c r="J5024" i="2"/>
  <c r="K5824" i="2"/>
  <c r="J2584" i="2"/>
  <c r="J2484" i="2"/>
  <c r="K2384" i="2"/>
  <c r="A3183" i="2"/>
  <c r="J4104" i="2"/>
  <c r="K1584" i="2"/>
  <c r="J4944" i="2"/>
  <c r="K4424" i="2"/>
  <c r="J4924" i="2"/>
  <c r="A4523" i="2"/>
  <c r="K4124" i="2"/>
  <c r="K1624" i="2"/>
  <c r="A2683" i="2"/>
  <c r="A1183" i="2"/>
  <c r="K4364" i="2"/>
  <c r="J5744" i="2"/>
  <c r="J1384" i="2"/>
  <c r="J2364" i="2"/>
  <c r="K2264" i="2"/>
  <c r="A130" i="2"/>
  <c r="K2404" i="2"/>
  <c r="J4364" i="2"/>
  <c r="K2304" i="2"/>
  <c r="J4584" i="2"/>
  <c r="A1263" i="2"/>
  <c r="K712" i="2"/>
  <c r="K932" i="2"/>
  <c r="A5243" i="2"/>
  <c r="K2044" i="2"/>
  <c r="A2363" i="2"/>
  <c r="K2624" i="2"/>
  <c r="A971" i="2"/>
  <c r="J650" i="2"/>
  <c r="A849" i="2"/>
  <c r="J493" i="2"/>
  <c r="K1964" i="2"/>
  <c r="A4403" i="2"/>
  <c r="A5863" i="2"/>
  <c r="J3844" i="2"/>
  <c r="A1223" i="2"/>
  <c r="K4244" i="2"/>
  <c r="K3104" i="2"/>
  <c r="A3203" i="2"/>
  <c r="K5224" i="2"/>
  <c r="A5263" i="2"/>
  <c r="J1904" i="2"/>
  <c r="J870" i="2"/>
  <c r="A3803" i="2"/>
  <c r="B236" i="9"/>
  <c r="J5044" i="2"/>
  <c r="J5084" i="2"/>
  <c r="A4043" i="2"/>
  <c r="A3743" i="2"/>
  <c r="A4343" i="2"/>
  <c r="A1443" i="2"/>
  <c r="K5664" i="2"/>
  <c r="K910" i="2"/>
  <c r="J4704" i="2"/>
  <c r="K3844" i="2"/>
  <c r="A5483" i="2"/>
  <c r="K4764" i="2"/>
  <c r="K4784" i="2"/>
  <c r="A811" i="2"/>
  <c r="J152" i="2"/>
  <c r="A1203" i="2"/>
  <c r="K1924" i="2"/>
  <c r="A850" i="2"/>
  <c r="K890" i="2"/>
  <c r="K5724" i="2"/>
  <c r="K3584" i="2"/>
  <c r="A4983" i="2"/>
  <c r="K4044" i="2"/>
  <c r="J410" i="2"/>
  <c r="J1164" i="2"/>
  <c r="K5324" i="2"/>
  <c r="A3023" i="2"/>
  <c r="A4663" i="2"/>
  <c r="K4644" i="2"/>
  <c r="J3284" i="2"/>
  <c r="A1623" i="2"/>
  <c r="J3904" i="2"/>
  <c r="A210" i="2"/>
  <c r="A2623" i="2"/>
  <c r="K2844" i="2"/>
  <c r="J4744" i="2"/>
  <c r="K250" i="2"/>
  <c r="K5404" i="2"/>
  <c r="K1604" i="2"/>
  <c r="J3044" i="2"/>
  <c r="J330" i="2"/>
  <c r="K4904" i="2"/>
  <c r="J2124" i="2"/>
  <c r="A2943" i="2"/>
  <c r="A1563" i="2"/>
  <c r="K1704" i="2"/>
  <c r="A2343" i="2"/>
  <c r="A5403" i="2"/>
  <c r="A5223" i="2"/>
  <c r="K4204" i="2"/>
  <c r="A5943" i="2"/>
  <c r="K753" i="2"/>
  <c r="A5443" i="2"/>
  <c r="K4964" i="2"/>
  <c r="K1464" i="2"/>
  <c r="A931" i="2"/>
  <c r="J2564" i="2"/>
  <c r="A4103" i="2"/>
  <c r="J1704" i="2"/>
  <c r="J72" i="2"/>
  <c r="K3224" i="2"/>
  <c r="A2643" i="2"/>
  <c r="A2963" i="2"/>
  <c r="J3364" i="2"/>
  <c r="J1924" i="2"/>
  <c r="A630" i="2"/>
  <c r="J5544" i="2"/>
  <c r="K2544" i="2"/>
  <c r="K2104" i="2"/>
  <c r="K3964" i="2"/>
  <c r="A5803" i="2"/>
  <c r="J3184" i="2"/>
  <c r="A111" i="2"/>
  <c r="A5923" i="2"/>
  <c r="B196" i="12"/>
  <c r="A1983" i="2"/>
  <c r="A529" i="2"/>
  <c r="A3923" i="2"/>
  <c r="A2123" i="2"/>
  <c r="J3964" i="2"/>
  <c r="A4603" i="2"/>
  <c r="A131" i="2"/>
  <c r="J392" i="2"/>
  <c r="A1323" i="2"/>
  <c r="J5984" i="2"/>
  <c r="J5884" i="2"/>
  <c r="J2964" i="2"/>
  <c r="A5783" i="2"/>
  <c r="A2603" i="2"/>
  <c r="J3784" i="2"/>
  <c r="K3004" i="2"/>
  <c r="A4383" i="2"/>
  <c r="J5064" i="2"/>
  <c r="J3584" i="2"/>
  <c r="K4664" i="2"/>
  <c r="J1584" i="2"/>
  <c r="J2544" i="2"/>
  <c r="B176" i="10"/>
  <c r="J3724" i="2"/>
  <c r="A5023" i="2"/>
  <c r="K2324" i="2"/>
  <c r="K1764" i="2"/>
  <c r="J4844" i="2"/>
  <c r="J3484" i="2"/>
  <c r="K792" i="2"/>
  <c r="J3544" i="2"/>
  <c r="A3343" i="2"/>
  <c r="J1884" i="2"/>
  <c r="A2383" i="2"/>
  <c r="K4724" i="2"/>
  <c r="J3224" i="2"/>
  <c r="J4004" i="2"/>
  <c r="A1363" i="2"/>
  <c r="K4484" i="2"/>
  <c r="A369" i="2"/>
  <c r="A3683" i="2"/>
  <c r="J2324" i="2"/>
  <c r="J5904" i="2"/>
  <c r="J3444" i="2"/>
  <c r="K2824" i="2"/>
  <c r="K4564" i="2"/>
  <c r="A710" i="2"/>
  <c r="K4704" i="2"/>
  <c r="A4223" i="2"/>
  <c r="A3143" i="2"/>
  <c r="J3664" i="2"/>
  <c r="J5944" i="2"/>
  <c r="A1343" i="2"/>
  <c r="B196" i="1"/>
  <c r="A1853" i="2"/>
  <c r="K1884" i="2"/>
  <c r="A3703" i="2"/>
  <c r="K3864" i="2"/>
  <c r="A3783" i="2"/>
  <c r="A271" i="2"/>
  <c r="K955" i="2"/>
  <c r="J4624" i="2"/>
  <c r="A751" i="2"/>
  <c r="A3623" i="2"/>
  <c r="K5944" i="2"/>
  <c r="A430" i="2"/>
  <c r="J5764" i="2"/>
  <c r="J5344" i="2"/>
  <c r="K1304" i="2"/>
  <c r="A4703" i="2"/>
  <c r="A70" i="2"/>
  <c r="K1384" i="2"/>
  <c r="A5543" i="2"/>
  <c r="J1464" i="2"/>
  <c r="A5603" i="2"/>
  <c r="K3784" i="2"/>
  <c r="K3064" i="2"/>
  <c r="K132" i="2"/>
  <c r="J3004" i="2"/>
  <c r="A5003" i="2"/>
  <c r="J3704" i="2"/>
  <c r="A3463" i="2"/>
  <c r="A5683" i="2"/>
  <c r="K1984" i="2"/>
  <c r="K4824" i="2"/>
  <c r="J5604" i="2"/>
  <c r="J230" i="2"/>
  <c r="J3564" i="2"/>
  <c r="K5964" i="2"/>
  <c r="I672" i="2" l="1"/>
  <c r="G652" i="2"/>
  <c r="G892" i="2"/>
  <c r="I772" i="2"/>
  <c r="I732" i="2"/>
  <c r="G472" i="2"/>
  <c r="I352" i="2"/>
  <c r="G912" i="2"/>
  <c r="I332" i="2"/>
  <c r="G412" i="2"/>
  <c r="G252" i="2"/>
  <c r="I232" i="2"/>
  <c r="I872" i="2"/>
  <c r="I92" i="2"/>
  <c r="G372" i="2"/>
  <c r="I832" i="2"/>
  <c r="G592" i="2"/>
  <c r="G292" i="2"/>
  <c r="G1136" i="2"/>
  <c r="G1116" i="2"/>
  <c r="G1036" i="2"/>
  <c r="G1056" i="2"/>
  <c r="G1076" i="2"/>
  <c r="G977" i="2"/>
  <c r="G997" i="2"/>
  <c r="G1017" i="2"/>
  <c r="G1097" i="2"/>
  <c r="G693" i="2"/>
  <c r="G957" i="2"/>
  <c r="M23" i="13"/>
  <c r="G3926" i="2"/>
  <c r="G3586" i="2"/>
  <c r="G4086" i="2"/>
  <c r="G5806" i="2"/>
  <c r="G4886" i="2"/>
  <c r="G2746" i="2"/>
  <c r="G1546" i="2"/>
  <c r="G3406" i="2"/>
  <c r="G5046" i="2"/>
  <c r="G4506" i="2"/>
  <c r="G5626" i="2"/>
  <c r="G3526" i="2"/>
  <c r="G1786" i="2"/>
  <c r="G4766" i="2"/>
  <c r="G1866" i="2"/>
  <c r="G5106" i="2"/>
  <c r="G5986" i="2"/>
  <c r="G1646" i="2"/>
  <c r="G4986" i="2"/>
  <c r="G1686" i="2"/>
  <c r="G1906" i="2"/>
  <c r="G5446" i="2"/>
  <c r="G5146" i="2"/>
  <c r="G5886" i="2"/>
  <c r="G3486" i="2"/>
  <c r="G2906" i="2"/>
  <c r="G2426" i="2"/>
  <c r="G3126" i="2"/>
  <c r="G3066" i="2"/>
  <c r="G4686" i="2"/>
  <c r="G3666" i="2"/>
  <c r="G3826" i="2"/>
  <c r="G2366" i="2"/>
  <c r="G3866" i="2"/>
  <c r="G2186" i="2"/>
  <c r="G2986" i="2"/>
  <c r="G1526" i="2"/>
  <c r="G4166" i="2"/>
  <c r="G2106" i="2"/>
  <c r="G1566" i="2"/>
  <c r="G3006" i="2"/>
  <c r="G5646" i="2"/>
  <c r="G5666" i="2"/>
  <c r="G5166" i="2"/>
  <c r="G3966" i="2"/>
  <c r="G2486" i="2"/>
  <c r="G1626" i="2"/>
  <c r="G3986" i="2"/>
  <c r="G2246" i="2"/>
  <c r="G2626" i="2"/>
  <c r="G4126" i="2"/>
  <c r="G1426" i="2"/>
  <c r="G5946" i="2"/>
  <c r="G4386" i="2"/>
  <c r="G4846" i="2"/>
  <c r="G4726" i="2"/>
  <c r="G5366" i="2"/>
  <c r="G4966" i="2"/>
  <c r="G2026" i="2"/>
  <c r="G3286" i="2"/>
  <c r="G2946" i="2"/>
  <c r="G1946" i="2"/>
  <c r="G5766" i="2"/>
  <c r="G1766" i="2"/>
  <c r="G1706" i="2"/>
  <c r="G3206" i="2"/>
  <c r="G3626" i="2"/>
  <c r="G3786" i="2"/>
  <c r="G2306" i="2"/>
  <c r="G2446" i="2"/>
  <c r="G5526" i="2"/>
  <c r="G2406" i="2"/>
  <c r="G3686" i="2"/>
  <c r="G4946" i="2"/>
  <c r="G3226" i="2"/>
  <c r="G2666" i="2"/>
  <c r="G3146" i="2"/>
  <c r="G4906" i="2"/>
  <c r="G3346" i="2"/>
  <c r="G3266" i="2"/>
  <c r="G5466" i="2"/>
  <c r="G4406" i="2"/>
  <c r="G3106" i="2"/>
  <c r="G1506" i="2"/>
  <c r="G1466" i="2"/>
  <c r="G3446" i="2"/>
  <c r="G3246" i="2"/>
  <c r="G5026" i="2"/>
  <c r="G5966" i="2"/>
  <c r="G1346" i="2"/>
  <c r="G1806" i="2"/>
  <c r="G2386" i="2"/>
  <c r="G3806" i="2"/>
  <c r="G4346" i="2"/>
  <c r="G1846" i="2"/>
  <c r="G4566" i="2"/>
  <c r="G1186" i="2"/>
  <c r="G3726" i="2"/>
  <c r="G4786" i="2"/>
  <c r="G3086" i="2"/>
  <c r="G4586" i="2"/>
  <c r="G2726" i="2"/>
  <c r="G2806" i="2"/>
  <c r="G4026" i="2"/>
  <c r="G3746" i="2"/>
  <c r="G3906" i="2"/>
  <c r="G1606" i="2"/>
  <c r="G5226" i="2"/>
  <c r="G3466" i="2"/>
  <c r="G2966" i="2"/>
  <c r="G3046" i="2"/>
  <c r="G1366" i="2"/>
  <c r="G5086" i="2"/>
  <c r="G2346" i="2"/>
  <c r="G3566" i="2"/>
  <c r="G2706" i="2"/>
  <c r="G3946" i="2"/>
  <c r="G5866" i="2"/>
  <c r="G5586" i="2"/>
  <c r="G3026" i="2"/>
  <c r="G1206" i="2"/>
  <c r="G5706" i="2"/>
  <c r="G5846" i="2"/>
  <c r="G1266" i="2"/>
  <c r="G5206" i="2"/>
  <c r="G4146" i="2"/>
  <c r="G5786" i="2"/>
  <c r="G2846" i="2"/>
  <c r="G2886" i="2"/>
  <c r="G1826" i="2"/>
  <c r="G5186" i="2"/>
  <c r="G2126" i="2"/>
  <c r="G3886" i="2"/>
  <c r="G2166" i="2"/>
  <c r="G2526" i="2"/>
  <c r="G3326" i="2"/>
  <c r="G2686" i="2"/>
  <c r="G5746" i="2"/>
  <c r="G3706" i="2"/>
  <c r="G1966" i="2"/>
  <c r="G3606" i="2"/>
  <c r="G4006" i="2"/>
  <c r="G3386" i="2"/>
  <c r="G4106" i="2"/>
  <c r="G5506" i="2"/>
  <c r="G5006" i="2"/>
  <c r="G2146" i="2"/>
  <c r="G4646" i="2"/>
  <c r="G4286" i="2"/>
  <c r="G5426" i="2"/>
  <c r="G2066" i="2"/>
  <c r="G2826" i="2"/>
  <c r="G5926" i="2"/>
  <c r="G5126" i="2"/>
  <c r="G5686" i="2"/>
  <c r="G3426" i="2"/>
  <c r="G3646" i="2"/>
  <c r="G2466" i="2"/>
  <c r="G1226" i="2"/>
  <c r="G3546" i="2"/>
  <c r="G5386" i="2"/>
  <c r="G2646" i="2"/>
  <c r="G2086" i="2"/>
  <c r="G2506" i="2"/>
  <c r="G4366" i="2"/>
  <c r="G4046" i="2"/>
  <c r="G5606" i="2"/>
  <c r="G4606" i="2"/>
  <c r="G5726" i="2"/>
  <c r="G5066" i="2"/>
  <c r="G3306" i="2"/>
  <c r="G2286" i="2"/>
  <c r="G1166" i="2"/>
  <c r="G2546" i="2"/>
  <c r="G3846" i="2"/>
  <c r="G4666" i="2"/>
  <c r="G4466" i="2"/>
  <c r="G5246" i="2"/>
  <c r="G3366" i="2"/>
  <c r="G4246" i="2"/>
  <c r="G1926" i="2"/>
  <c r="G3766" i="2"/>
  <c r="G5566" i="2"/>
  <c r="G3186" i="2"/>
  <c r="G1246" i="2"/>
  <c r="G2766" i="2"/>
  <c r="G4226" i="2"/>
  <c r="G4626" i="2"/>
  <c r="G1326" i="2"/>
  <c r="G4486" i="2"/>
  <c r="G2786" i="2"/>
  <c r="G1306" i="2"/>
  <c r="G1446" i="2"/>
  <c r="G5286" i="2"/>
  <c r="G5826" i="2"/>
  <c r="G5266" i="2"/>
  <c r="G5906" i="2"/>
  <c r="G4206" i="2"/>
  <c r="G2206" i="2"/>
  <c r="G4526" i="2"/>
  <c r="G2326" i="2"/>
  <c r="G4866" i="2"/>
  <c r="G4186" i="2"/>
  <c r="G1746" i="2"/>
  <c r="G3506" i="2"/>
  <c r="G4446" i="2"/>
  <c r="G1486" i="2"/>
  <c r="G2006" i="2"/>
  <c r="G1286" i="2"/>
  <c r="G4706" i="2"/>
  <c r="G2226" i="2"/>
  <c r="G5346" i="2"/>
  <c r="G4426" i="2"/>
  <c r="G2606" i="2"/>
  <c r="G4926" i="2"/>
  <c r="G1586" i="2"/>
  <c r="G2046" i="2"/>
  <c r="G4326" i="2"/>
  <c r="G2926" i="2"/>
  <c r="G4066" i="2"/>
  <c r="G2266" i="2"/>
  <c r="G5306" i="2"/>
  <c r="G1886" i="2"/>
  <c r="G4266" i="2"/>
  <c r="G2586" i="2"/>
  <c r="G4546" i="2"/>
  <c r="G5326" i="2"/>
  <c r="G4806" i="2"/>
  <c r="G4746" i="2"/>
  <c r="G2566" i="2"/>
  <c r="G1986" i="2"/>
  <c r="G5406" i="2"/>
  <c r="G4306" i="2"/>
  <c r="G1726" i="2"/>
  <c r="G1386" i="2"/>
  <c r="G1406" i="2"/>
  <c r="G5546" i="2"/>
  <c r="G2866" i="2"/>
  <c r="G1666" i="2"/>
  <c r="G3166" i="2"/>
  <c r="G5486" i="2"/>
  <c r="G4826" i="2"/>
  <c r="G574" i="2"/>
  <c r="G274" i="2"/>
  <c r="G314" i="2"/>
  <c r="G854" i="2"/>
  <c r="G534" i="2"/>
  <c r="G174" i="2"/>
  <c r="G794" i="2"/>
  <c r="G714" i="2"/>
  <c r="G554" i="2"/>
  <c r="G634" i="2"/>
  <c r="G234" i="2"/>
  <c r="G74" i="2"/>
  <c r="G34" i="2"/>
  <c r="G154" i="2"/>
  <c r="G434" i="2"/>
  <c r="G134" i="2"/>
  <c r="G114" i="2"/>
  <c r="G734" i="2"/>
  <c r="G194" i="2"/>
  <c r="G774" i="2"/>
  <c r="G394" i="2"/>
  <c r="G334" i="2"/>
  <c r="G94" i="2"/>
  <c r="G514" i="2"/>
  <c r="G814" i="2"/>
  <c r="G874" i="2"/>
  <c r="G934" i="2"/>
  <c r="G455" i="2"/>
  <c r="G495" i="2"/>
  <c r="G755" i="2"/>
  <c r="G55" i="2"/>
  <c r="G615" i="2"/>
  <c r="G215" i="2"/>
  <c r="G675" i="2"/>
  <c r="G355" i="2"/>
  <c r="G835" i="2"/>
  <c r="O20" i="1"/>
  <c r="O21" i="1" s="1"/>
  <c r="O22" i="1" s="1"/>
  <c r="O23" i="1" s="1"/>
  <c r="N21" i="1"/>
  <c r="N22" i="1" s="1"/>
  <c r="N23" i="1" s="1"/>
  <c r="O9" i="8"/>
  <c r="O10" i="8" s="1"/>
  <c r="O11" i="8" s="1"/>
  <c r="N10" i="8"/>
  <c r="N11" i="8" s="1"/>
  <c r="O20" i="8"/>
  <c r="O21" i="8" s="1"/>
  <c r="O22" i="8" s="1"/>
  <c r="N21" i="8"/>
  <c r="N22" i="8" s="1"/>
  <c r="O9" i="7"/>
  <c r="O10" i="7" s="1"/>
  <c r="O11" i="7" s="1"/>
  <c r="N10" i="7"/>
  <c r="N11" i="7" s="1"/>
  <c r="O20" i="7"/>
  <c r="O21" i="7" s="1"/>
  <c r="O22" i="7" s="1"/>
  <c r="N21" i="7"/>
  <c r="N22" i="7" s="1"/>
  <c r="O20" i="14"/>
  <c r="O21" i="14" s="1"/>
  <c r="O22" i="14" s="1"/>
  <c r="N21" i="14"/>
  <c r="N22" i="14" s="1"/>
  <c r="O9" i="13"/>
  <c r="O10" i="13" s="1"/>
  <c r="O11" i="13" s="1"/>
  <c r="N10" i="13"/>
  <c r="N11" i="13" s="1"/>
  <c r="O20" i="13"/>
  <c r="O21" i="13" s="1"/>
  <c r="O22" i="13" s="1"/>
  <c r="N21" i="13"/>
  <c r="N22" i="13" s="1"/>
  <c r="O20" i="11"/>
  <c r="O21" i="11" s="1"/>
  <c r="O22" i="11" s="1"/>
  <c r="O23" i="11" s="1"/>
  <c r="N21" i="11"/>
  <c r="N22" i="11" s="1"/>
  <c r="N23" i="11" s="1"/>
  <c r="O20" i="10"/>
  <c r="O21" i="10" s="1"/>
  <c r="O22" i="10" s="1"/>
  <c r="N21" i="10"/>
  <c r="N22" i="10" s="1"/>
  <c r="O9" i="10"/>
  <c r="O10" i="10" s="1"/>
  <c r="O11" i="10" s="1"/>
  <c r="N10" i="10"/>
  <c r="N11" i="10" s="1"/>
  <c r="A650" i="2"/>
  <c r="K771" i="2"/>
  <c r="J371" i="2"/>
  <c r="K231" i="2"/>
  <c r="K976" i="2"/>
  <c r="A870" i="2"/>
  <c r="A1095" i="2"/>
  <c r="A910" i="2"/>
  <c r="K1096" i="2"/>
  <c r="J956" i="2"/>
  <c r="J996" i="2"/>
  <c r="A290" i="2"/>
  <c r="A890" i="2"/>
  <c r="J651" i="2"/>
  <c r="A1134" i="2"/>
  <c r="K956" i="2"/>
  <c r="A1114" i="2"/>
  <c r="J91" i="2"/>
  <c r="J911" i="2"/>
  <c r="A230" i="2"/>
  <c r="K831" i="2"/>
  <c r="K1135" i="2"/>
  <c r="A730" i="2"/>
  <c r="K651" i="2"/>
  <c r="K731" i="2"/>
  <c r="A1054" i="2"/>
  <c r="K996" i="2"/>
  <c r="K1075" i="2"/>
  <c r="A250" i="2"/>
  <c r="K351" i="2"/>
  <c r="A830" i="2"/>
  <c r="A1074" i="2"/>
  <c r="J251" i="2"/>
  <c r="K331" i="2"/>
  <c r="J831" i="2"/>
  <c r="A470" i="2"/>
  <c r="J731" i="2"/>
  <c r="K1055" i="2"/>
  <c r="K251" i="2"/>
  <c r="A410" i="2"/>
  <c r="K91" i="2"/>
  <c r="J1035" i="2"/>
  <c r="A350" i="2"/>
  <c r="K871" i="2"/>
  <c r="J1016" i="2"/>
  <c r="J1115" i="2"/>
  <c r="A670" i="2"/>
  <c r="K891" i="2"/>
  <c r="J471" i="2"/>
  <c r="K1115" i="2"/>
  <c r="A90" i="2"/>
  <c r="K371" i="2"/>
  <c r="J591" i="2"/>
  <c r="K692" i="2"/>
  <c r="K411" i="2"/>
  <c r="J1075" i="2"/>
  <c r="J891" i="2"/>
  <c r="A590" i="2"/>
  <c r="K1016" i="2"/>
  <c r="J1135" i="2"/>
  <c r="K911" i="2"/>
  <c r="J231" i="2"/>
  <c r="K291" i="2"/>
  <c r="J411" i="2"/>
  <c r="J692" i="2"/>
  <c r="J771" i="2"/>
  <c r="J1055" i="2"/>
  <c r="J1096" i="2"/>
  <c r="J671" i="2"/>
  <c r="K471" i="2"/>
  <c r="A2833" i="2"/>
  <c r="K591" i="2"/>
  <c r="K1035" i="2"/>
  <c r="A370" i="2"/>
  <c r="A691" i="2"/>
  <c r="J871" i="2"/>
  <c r="J351" i="2"/>
  <c r="J291" i="2"/>
  <c r="K671" i="2"/>
  <c r="J331" i="2"/>
  <c r="J976" i="2"/>
  <c r="I773" i="2" l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G473" i="2"/>
  <c r="G474" i="2" s="1"/>
  <c r="I673" i="2"/>
  <c r="G893" i="2"/>
  <c r="G894" i="2" s="1"/>
  <c r="I733" i="2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G653" i="2"/>
  <c r="I833" i="2"/>
  <c r="G913" i="2"/>
  <c r="I873" i="2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G293" i="2"/>
  <c r="G373" i="2"/>
  <c r="G374" i="2" s="1"/>
  <c r="G413" i="2"/>
  <c r="G414" i="2" s="1"/>
  <c r="G415" i="2" s="1"/>
  <c r="G253" i="2"/>
  <c r="G254" i="2" s="1"/>
  <c r="G255" i="2" s="1"/>
  <c r="G593" i="2"/>
  <c r="G594" i="2" s="1"/>
  <c r="G595" i="2" s="1"/>
  <c r="I353" i="2"/>
  <c r="I233" i="2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333" i="2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93" i="2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G1057" i="2"/>
  <c r="G1137" i="2"/>
  <c r="G1037" i="2"/>
  <c r="G1077" i="2"/>
  <c r="G1117" i="2"/>
  <c r="G958" i="2"/>
  <c r="G1018" i="2"/>
  <c r="G978" i="2"/>
  <c r="G1098" i="2"/>
  <c r="G998" i="2"/>
  <c r="G694" i="2"/>
  <c r="G695" i="2" s="1"/>
  <c r="G696" i="2" s="1"/>
  <c r="O23" i="13"/>
  <c r="N23" i="13"/>
  <c r="G5487" i="2"/>
  <c r="G2927" i="2"/>
  <c r="G4667" i="2"/>
  <c r="G3707" i="2"/>
  <c r="G5187" i="2"/>
  <c r="G1607" i="2"/>
  <c r="G1187" i="2"/>
  <c r="G4347" i="2"/>
  <c r="G3447" i="2"/>
  <c r="G3227" i="2"/>
  <c r="G2247" i="2"/>
  <c r="G1987" i="2"/>
  <c r="G1887" i="2"/>
  <c r="G2007" i="2"/>
  <c r="G4227" i="2"/>
  <c r="G3187" i="2"/>
  <c r="G1927" i="2"/>
  <c r="G5607" i="2"/>
  <c r="G2647" i="2"/>
  <c r="G2467" i="2"/>
  <c r="G2147" i="2"/>
  <c r="G4107" i="2"/>
  <c r="G3327" i="2"/>
  <c r="G3027" i="2"/>
  <c r="G3567" i="2"/>
  <c r="G4027" i="2"/>
  <c r="G4787" i="2"/>
  <c r="G5027" i="2"/>
  <c r="G2407" i="2"/>
  <c r="G1947" i="2"/>
  <c r="G4727" i="2"/>
  <c r="G3987" i="2"/>
  <c r="G5667" i="2"/>
  <c r="G1567" i="2"/>
  <c r="G5887" i="2"/>
  <c r="G4987" i="2"/>
  <c r="G5627" i="2"/>
  <c r="G3407" i="2"/>
  <c r="G4007" i="2"/>
  <c r="G2027" i="2"/>
  <c r="G3007" i="2"/>
  <c r="G2747" i="2"/>
  <c r="G1667" i="2"/>
  <c r="G4307" i="2"/>
  <c r="G4807" i="2"/>
  <c r="G2587" i="2"/>
  <c r="G4327" i="2"/>
  <c r="G1587" i="2"/>
  <c r="G4427" i="2"/>
  <c r="G3507" i="2"/>
  <c r="G5907" i="2"/>
  <c r="G5287" i="2"/>
  <c r="G5247" i="2"/>
  <c r="G3307" i="2"/>
  <c r="G5687" i="2"/>
  <c r="G2827" i="2"/>
  <c r="G4287" i="2"/>
  <c r="G2847" i="2"/>
  <c r="G5207" i="2"/>
  <c r="G5847" i="2"/>
  <c r="G3947" i="2"/>
  <c r="G4587" i="2"/>
  <c r="G3807" i="2"/>
  <c r="G1807" i="2"/>
  <c r="G1467" i="2"/>
  <c r="G3267" i="2"/>
  <c r="G3147" i="2"/>
  <c r="G3627" i="2"/>
  <c r="G1767" i="2"/>
  <c r="G5947" i="2"/>
  <c r="G4127" i="2"/>
  <c r="G1527" i="2"/>
  <c r="G3827" i="2"/>
  <c r="G3067" i="2"/>
  <c r="G2427" i="2"/>
  <c r="G5107" i="2"/>
  <c r="G4887" i="2"/>
  <c r="G2187" i="2"/>
  <c r="G4707" i="2"/>
  <c r="G1327" i="2"/>
  <c r="G5567" i="2"/>
  <c r="G3847" i="2"/>
  <c r="G2547" i="2"/>
  <c r="G5727" i="2"/>
  <c r="G3547" i="2"/>
  <c r="G3647" i="2"/>
  <c r="G5127" i="2"/>
  <c r="G5007" i="2"/>
  <c r="G3607" i="2"/>
  <c r="G3887" i="2"/>
  <c r="G1827" i="2"/>
  <c r="G5707" i="2"/>
  <c r="G1367" i="2"/>
  <c r="G3907" i="2"/>
  <c r="G4567" i="2"/>
  <c r="G1347" i="2"/>
  <c r="G4407" i="2"/>
  <c r="G3207" i="2"/>
  <c r="G4967" i="2"/>
  <c r="G2627" i="2"/>
  <c r="G3967" i="2"/>
  <c r="G5647" i="2"/>
  <c r="G3867" i="2"/>
  <c r="G1907" i="2"/>
  <c r="G1787" i="2"/>
  <c r="G4507" i="2"/>
  <c r="G2607" i="2"/>
  <c r="G5827" i="2"/>
  <c r="G2727" i="2"/>
  <c r="G4067" i="2"/>
  <c r="G5347" i="2"/>
  <c r="G4867" i="2"/>
  <c r="G2207" i="2"/>
  <c r="G5267" i="2"/>
  <c r="G2767" i="2"/>
  <c r="G4247" i="2"/>
  <c r="G2507" i="2"/>
  <c r="G1227" i="2"/>
  <c r="G2067" i="2"/>
  <c r="G3387" i="2"/>
  <c r="G5747" i="2"/>
  <c r="G5787" i="2"/>
  <c r="G5587" i="2"/>
  <c r="G3467" i="2"/>
  <c r="G1847" i="2"/>
  <c r="G3247" i="2"/>
  <c r="G5527" i="2"/>
  <c r="G2307" i="2"/>
  <c r="G2947" i="2"/>
  <c r="G4847" i="2"/>
  <c r="G2907" i="2"/>
  <c r="G1647" i="2"/>
  <c r="G3587" i="2"/>
  <c r="G2227" i="2"/>
  <c r="G4527" i="2"/>
  <c r="G1307" i="2"/>
  <c r="G3767" i="2"/>
  <c r="G3107" i="2"/>
  <c r="G5307" i="2"/>
  <c r="G4827" i="2"/>
  <c r="G1387" i="2"/>
  <c r="G2567" i="2"/>
  <c r="G3167" i="2"/>
  <c r="G2867" i="2"/>
  <c r="G1747" i="2"/>
  <c r="G2327" i="2"/>
  <c r="G2787" i="2"/>
  <c r="G4627" i="2"/>
  <c r="G4467" i="2"/>
  <c r="G1167" i="2"/>
  <c r="G4047" i="2"/>
  <c r="G4647" i="2"/>
  <c r="G2527" i="2"/>
  <c r="G2347" i="2"/>
  <c r="G2807" i="2"/>
  <c r="G3087" i="2"/>
  <c r="G3727" i="2"/>
  <c r="G2667" i="2"/>
  <c r="G4947" i="2"/>
  <c r="G3787" i="2"/>
  <c r="G3287" i="2"/>
  <c r="G5167" i="2"/>
  <c r="G2107" i="2"/>
  <c r="G2987" i="2"/>
  <c r="G3667" i="2"/>
  <c r="G3127" i="2"/>
  <c r="G5147" i="2"/>
  <c r="G1687" i="2"/>
  <c r="G1867" i="2"/>
  <c r="G5807" i="2"/>
  <c r="G5927" i="2"/>
  <c r="G2167" i="2"/>
  <c r="G4927" i="2"/>
  <c r="G1487" i="2"/>
  <c r="G5327" i="2"/>
  <c r="G4267" i="2"/>
  <c r="G4447" i="2"/>
  <c r="G4207" i="2"/>
  <c r="G4487" i="2"/>
  <c r="G1247" i="2"/>
  <c r="G5067" i="2"/>
  <c r="G4607" i="2"/>
  <c r="G2087" i="2"/>
  <c r="G5387" i="2"/>
  <c r="G5507" i="2"/>
  <c r="G1967" i="2"/>
  <c r="G1267" i="2"/>
  <c r="G2707" i="2"/>
  <c r="G5087" i="2"/>
  <c r="G3047" i="2"/>
  <c r="G5227" i="2"/>
  <c r="G3747" i="2"/>
  <c r="G5967" i="2"/>
  <c r="G3347" i="2"/>
  <c r="G5767" i="2"/>
  <c r="G5367" i="2"/>
  <c r="G1427" i="2"/>
  <c r="G1627" i="2"/>
  <c r="G2367" i="2"/>
  <c r="G5987" i="2"/>
  <c r="G3527" i="2"/>
  <c r="G5047" i="2"/>
  <c r="G1547" i="2"/>
  <c r="G3927" i="2"/>
  <c r="G2687" i="2"/>
  <c r="G2967" i="2"/>
  <c r="G4087" i="2"/>
  <c r="G1407" i="2"/>
  <c r="G4747" i="2"/>
  <c r="G5547" i="2"/>
  <c r="G1727" i="2"/>
  <c r="G5407" i="2"/>
  <c r="G4547" i="2"/>
  <c r="G2267" i="2"/>
  <c r="G2047" i="2"/>
  <c r="G1287" i="2"/>
  <c r="G4187" i="2"/>
  <c r="G1447" i="2"/>
  <c r="G3367" i="2"/>
  <c r="G2287" i="2"/>
  <c r="G4367" i="2"/>
  <c r="G3427" i="2"/>
  <c r="G5427" i="2"/>
  <c r="G2127" i="2"/>
  <c r="G2887" i="2"/>
  <c r="G4147" i="2"/>
  <c r="G1207" i="2"/>
  <c r="G5867" i="2"/>
  <c r="G2387" i="2"/>
  <c r="G1507" i="2"/>
  <c r="G5467" i="2"/>
  <c r="G4907" i="2"/>
  <c r="G3687" i="2"/>
  <c r="G2447" i="2"/>
  <c r="G1707" i="2"/>
  <c r="G4387" i="2"/>
  <c r="G2487" i="2"/>
  <c r="G4167" i="2"/>
  <c r="G4687" i="2"/>
  <c r="G3487" i="2"/>
  <c r="G5447" i="2"/>
  <c r="G4767" i="2"/>
  <c r="G235" i="2"/>
  <c r="G715" i="2"/>
  <c r="G475" i="2"/>
  <c r="G775" i="2"/>
  <c r="G815" i="2"/>
  <c r="G175" i="2"/>
  <c r="G875" i="2"/>
  <c r="G95" i="2"/>
  <c r="G435" i="2"/>
  <c r="G35" i="2"/>
  <c r="G635" i="2"/>
  <c r="G515" i="2"/>
  <c r="G195" i="2"/>
  <c r="G155" i="2"/>
  <c r="G895" i="2"/>
  <c r="G75" i="2"/>
  <c r="G555" i="2"/>
  <c r="G795" i="2"/>
  <c r="G535" i="2"/>
  <c r="G315" i="2"/>
  <c r="G135" i="2"/>
  <c r="G855" i="2"/>
  <c r="G935" i="2"/>
  <c r="G395" i="2"/>
  <c r="G275" i="2"/>
  <c r="G575" i="2"/>
  <c r="G735" i="2"/>
  <c r="G335" i="2"/>
  <c r="G115" i="2"/>
  <c r="G836" i="2"/>
  <c r="G356" i="2"/>
  <c r="G56" i="2"/>
  <c r="G496" i="2"/>
  <c r="G616" i="2"/>
  <c r="G216" i="2"/>
  <c r="G676" i="2"/>
  <c r="G756" i="2"/>
  <c r="G456" i="2"/>
  <c r="A671" i="2"/>
  <c r="J772" i="2"/>
  <c r="K2785" i="2"/>
  <c r="A2104" i="2"/>
  <c r="A3564" i="2"/>
  <c r="K4166" i="2"/>
  <c r="K2605" i="2"/>
  <c r="B236" i="7"/>
  <c r="J3266" i="2"/>
  <c r="J1246" i="2"/>
  <c r="A1304" i="2"/>
  <c r="A2784" i="2"/>
  <c r="K5765" i="2"/>
  <c r="A4484" i="2"/>
  <c r="J3845" i="2"/>
  <c r="K5105" i="2"/>
  <c r="A2424" i="2"/>
  <c r="J1906" i="2"/>
  <c r="A2204" i="2"/>
  <c r="A5244" i="2"/>
  <c r="K1906" i="2"/>
  <c r="J455" i="2"/>
  <c r="J5266" i="2"/>
  <c r="K4506" i="2"/>
  <c r="J1725" i="2"/>
  <c r="K2405" i="2"/>
  <c r="A5164" i="2"/>
  <c r="K1366" i="2"/>
  <c r="K4805" i="2"/>
  <c r="A2144" i="2"/>
  <c r="J4145" i="2"/>
  <c r="K5446" i="2"/>
  <c r="J2766" i="2"/>
  <c r="K3106" i="2"/>
  <c r="J1017" i="2"/>
  <c r="K2006" i="2"/>
  <c r="J1645" i="2"/>
  <c r="K1485" i="2"/>
  <c r="K5946" i="2"/>
  <c r="J4046" i="2"/>
  <c r="J4266" i="2"/>
  <c r="J853" i="2"/>
  <c r="J1566" i="2"/>
  <c r="K5005" i="2"/>
  <c r="K1446" i="2"/>
  <c r="K2406" i="2"/>
  <c r="J2826" i="2"/>
  <c r="J2425" i="2"/>
  <c r="K873" i="2"/>
  <c r="J3126" i="2"/>
  <c r="J5946" i="2"/>
  <c r="K4525" i="2"/>
  <c r="K5845" i="2"/>
  <c r="J4825" i="2"/>
  <c r="J2526" i="2"/>
  <c r="K93" i="2"/>
  <c r="A5624" i="2"/>
  <c r="K333" i="2"/>
  <c r="K2145" i="2"/>
  <c r="J1985" i="2"/>
  <c r="K2686" i="2"/>
  <c r="A4044" i="2"/>
  <c r="K2545" i="2"/>
  <c r="J3746" i="2"/>
  <c r="K3526" i="2"/>
  <c r="A1096" i="2"/>
  <c r="A4264" i="2"/>
  <c r="J2466" i="2"/>
  <c r="K4545" i="2"/>
  <c r="J2865" i="2"/>
  <c r="A831" i="2"/>
  <c r="J5545" i="2"/>
  <c r="A5024" i="2"/>
  <c r="J3045" i="2"/>
  <c r="K633" i="2"/>
  <c r="K4846" i="2"/>
  <c r="K2025" i="2"/>
  <c r="K1386" i="2"/>
  <c r="K695" i="2"/>
  <c r="J2486" i="2"/>
  <c r="J2026" i="2"/>
  <c r="J5865" i="2"/>
  <c r="K3766" i="2"/>
  <c r="J4926" i="2"/>
  <c r="A1264" i="2"/>
  <c r="K832" i="2"/>
  <c r="K1097" i="2"/>
  <c r="J4985" i="2"/>
  <c r="J232" i="2"/>
  <c r="K3685" i="2"/>
  <c r="K2626" i="2"/>
  <c r="K1017" i="2"/>
  <c r="K2125" i="2"/>
  <c r="K414" i="2"/>
  <c r="A5424" i="2"/>
  <c r="K2105" i="2"/>
  <c r="K3086" i="2"/>
  <c r="K5846" i="2"/>
  <c r="K3945" i="2"/>
  <c r="J872" i="2"/>
  <c r="A5284" i="2"/>
  <c r="B236" i="12"/>
  <c r="K2765" i="2"/>
  <c r="J5285" i="2"/>
  <c r="J3526" i="2"/>
  <c r="K2726" i="2"/>
  <c r="J5346" i="2"/>
  <c r="A2124" i="2"/>
  <c r="J55" i="2"/>
  <c r="A152" i="2"/>
  <c r="J3546" i="2"/>
  <c r="J2905" i="2"/>
  <c r="K4726" i="2"/>
  <c r="J2845" i="2"/>
  <c r="A1704" i="2"/>
  <c r="J533" i="2"/>
  <c r="K1116" i="2"/>
  <c r="K5406" i="2"/>
  <c r="B196" i="8"/>
  <c r="J5385" i="2"/>
  <c r="K3785" i="2"/>
  <c r="A5844" i="2"/>
  <c r="J4905" i="2"/>
  <c r="K4266" i="2"/>
  <c r="J5205" i="2"/>
  <c r="A3224" i="2"/>
  <c r="K292" i="2"/>
  <c r="J4925" i="2"/>
  <c r="J2886" i="2"/>
  <c r="J352" i="2"/>
  <c r="K773" i="2"/>
  <c r="K5085" i="2"/>
  <c r="K2585" i="2"/>
  <c r="J5365" i="2"/>
  <c r="A2184" i="2"/>
  <c r="J4326" i="2"/>
  <c r="K4006" i="2"/>
  <c r="A2984" i="2"/>
  <c r="J5446" i="2"/>
  <c r="J414" i="2"/>
  <c r="A1984" i="2"/>
  <c r="A5324" i="2"/>
  <c r="A1764" i="2"/>
  <c r="K5905" i="2"/>
  <c r="J5646" i="2"/>
  <c r="K1646" i="2"/>
  <c r="J2825" i="2"/>
  <c r="A3884" i="2"/>
  <c r="K5645" i="2"/>
  <c r="J5166" i="2"/>
  <c r="K574" i="2"/>
  <c r="A591" i="2"/>
  <c r="K4465" i="2"/>
  <c r="J2065" i="2"/>
  <c r="K1625" i="2"/>
  <c r="K3005" i="2"/>
  <c r="A5004" i="2"/>
  <c r="A771" i="2"/>
  <c r="K892" i="2"/>
  <c r="J2686" i="2"/>
  <c r="A1444" i="2"/>
  <c r="J3905" i="2"/>
  <c r="K3686" i="2"/>
  <c r="A1504" i="2"/>
  <c r="K5685" i="2"/>
  <c r="J113" i="2"/>
  <c r="K273" i="2"/>
  <c r="K5426" i="2"/>
  <c r="J4085" i="2"/>
  <c r="A1864" i="2"/>
  <c r="K3566" i="2"/>
  <c r="K5626" i="2"/>
  <c r="K3666" i="2"/>
  <c r="J133" i="2"/>
  <c r="J1386" i="2"/>
  <c r="K5286" i="2"/>
  <c r="J774" i="2"/>
  <c r="J912" i="2"/>
  <c r="K5786" i="2"/>
  <c r="J4706" i="2"/>
  <c r="J1205" i="2"/>
  <c r="K2705" i="2"/>
  <c r="K474" i="2"/>
  <c r="K4586" i="2"/>
  <c r="K173" i="2"/>
  <c r="K5505" i="2"/>
  <c r="J4286" i="2"/>
  <c r="A4804" i="2"/>
  <c r="A5504" i="2"/>
  <c r="B196" i="13"/>
  <c r="J2166" i="2"/>
  <c r="J5466" i="2"/>
  <c r="B216" i="13"/>
  <c r="A4404" i="2"/>
  <c r="J1546" i="2"/>
  <c r="J5765" i="2"/>
  <c r="J1346" i="2"/>
  <c r="J4065" i="2"/>
  <c r="K2845" i="2"/>
  <c r="A5764" i="2"/>
  <c r="B196" i="7"/>
  <c r="K3546" i="2"/>
  <c r="A2004" i="2"/>
  <c r="J2225" i="2"/>
  <c r="A1744" i="2"/>
  <c r="J5966" i="2"/>
  <c r="J4485" i="2"/>
  <c r="K634" i="2"/>
  <c r="K1905" i="2"/>
  <c r="K4985" i="2"/>
  <c r="A291" i="2"/>
  <c r="K1726" i="2"/>
  <c r="J2205" i="2"/>
  <c r="K4106" i="2"/>
  <c r="J554" i="2"/>
  <c r="K4345" i="2"/>
  <c r="K3345" i="2"/>
  <c r="J5906" i="2"/>
  <c r="J2525" i="2"/>
  <c r="K2386" i="2"/>
  <c r="J412" i="2"/>
  <c r="K4826" i="2"/>
  <c r="A2024" i="2"/>
  <c r="J2705" i="2"/>
  <c r="J4565" i="2"/>
  <c r="K1805" i="2"/>
  <c r="A4984" i="2"/>
  <c r="J4805" i="2"/>
  <c r="J73" i="2"/>
  <c r="J5045" i="2"/>
  <c r="K5945" i="2"/>
  <c r="K4366" i="2"/>
  <c r="K1986" i="2"/>
  <c r="J4225" i="2"/>
  <c r="J334" i="2"/>
  <c r="J5445" i="2"/>
  <c r="K4406" i="2"/>
  <c r="K5326" i="2"/>
  <c r="K4426" i="2"/>
  <c r="K1286" i="2"/>
  <c r="J2306" i="2"/>
  <c r="A1075" i="2"/>
  <c r="B236" i="1"/>
  <c r="J2725" i="2"/>
  <c r="J4546" i="2"/>
  <c r="A2464" i="2"/>
  <c r="J5805" i="2"/>
  <c r="J1986" i="2"/>
  <c r="K74" i="2"/>
  <c r="K4046" i="2"/>
  <c r="J3965" i="2"/>
  <c r="A4004" i="2"/>
  <c r="K2606" i="2"/>
  <c r="J2406" i="2"/>
  <c r="J1485" i="2"/>
  <c r="A3424" i="2"/>
  <c r="K3405" i="2"/>
  <c r="A411" i="2"/>
  <c r="A2924" i="2"/>
  <c r="J2645" i="2"/>
  <c r="K3506" i="2"/>
  <c r="J1425" i="2"/>
  <c r="J2565" i="2"/>
  <c r="J3706" i="2"/>
  <c r="K5745" i="2"/>
  <c r="J3885" i="2"/>
  <c r="J873" i="2"/>
  <c r="J5265" i="2"/>
  <c r="J5106" i="2"/>
  <c r="J3366" i="2"/>
  <c r="J1846" i="2"/>
  <c r="J5506" i="2"/>
  <c r="A5044" i="2"/>
  <c r="J3846" i="2"/>
  <c r="A1012" i="2"/>
  <c r="K2806" i="2"/>
  <c r="K2185" i="2"/>
  <c r="K3645" i="2"/>
  <c r="J373" i="2"/>
  <c r="A4184" i="2"/>
  <c r="K2005" i="2"/>
  <c r="J1185" i="2"/>
  <c r="A4164" i="2"/>
  <c r="J3225" i="2"/>
  <c r="J3586" i="2"/>
  <c r="A4344" i="2"/>
  <c r="J893" i="2"/>
  <c r="K5266" i="2"/>
  <c r="K3406" i="2"/>
  <c r="J314" i="2"/>
  <c r="J4826" i="2"/>
  <c r="J4425" i="2"/>
  <c r="J4626" i="2"/>
  <c r="J2566" i="2"/>
  <c r="B216" i="12"/>
  <c r="K2205" i="2"/>
  <c r="J454" i="2"/>
  <c r="A4244" i="2"/>
  <c r="J2545" i="2"/>
  <c r="K813" i="2"/>
  <c r="K2246" i="2"/>
  <c r="K4746" i="2"/>
  <c r="A4084" i="2"/>
  <c r="K473" i="2"/>
  <c r="K5246" i="2"/>
  <c r="K5686" i="2"/>
  <c r="J4125" i="2"/>
  <c r="A5664" i="2"/>
  <c r="J4506" i="2"/>
  <c r="K1566" i="2"/>
  <c r="A5144" i="2"/>
  <c r="J894" i="2"/>
  <c r="K3605" i="2"/>
  <c r="K2226" i="2"/>
  <c r="K4885" i="2"/>
  <c r="J4366" i="2"/>
  <c r="J254" i="2"/>
  <c r="J473" i="2"/>
  <c r="A3804" i="2"/>
  <c r="B216" i="8"/>
  <c r="A4524" i="2"/>
  <c r="K1885" i="2"/>
  <c r="J4945" i="2"/>
  <c r="J514" i="2"/>
  <c r="K5466" i="2"/>
  <c r="J3206" i="2"/>
  <c r="J2445" i="2"/>
  <c r="K233" i="2"/>
  <c r="K4825" i="2"/>
  <c r="A5384" i="2"/>
  <c r="J5745" i="2"/>
  <c r="J2285" i="2"/>
  <c r="J3605" i="2"/>
  <c r="K2085" i="2"/>
  <c r="J4806" i="2"/>
  <c r="A2344" i="2"/>
  <c r="K5225" i="2"/>
  <c r="K2905" i="2"/>
  <c r="K4446" i="2"/>
  <c r="A2284" i="2"/>
  <c r="J74" i="2"/>
  <c r="K2945" i="2"/>
  <c r="K3525" i="2"/>
  <c r="K733" i="2"/>
  <c r="J5085" i="2"/>
  <c r="K4645" i="2"/>
  <c r="J3186" i="2"/>
  <c r="K4086" i="2"/>
  <c r="J1445" i="2"/>
  <c r="J2665" i="2"/>
  <c r="K2126" i="2"/>
  <c r="A1115" i="2"/>
  <c r="A2804" i="2"/>
  <c r="K4326" i="2"/>
  <c r="J3866" i="2"/>
  <c r="K5666" i="2"/>
  <c r="J5826" i="2"/>
  <c r="K4925" i="2"/>
  <c r="J1286" i="2"/>
  <c r="K3806" i="2"/>
  <c r="J5725" i="2"/>
  <c r="A4504" i="2"/>
  <c r="J5126" i="2"/>
  <c r="K332" i="2"/>
  <c r="J3745" i="2"/>
  <c r="J2365" i="2"/>
  <c r="A4844" i="2"/>
  <c r="K1225" i="2"/>
  <c r="J5486" i="2"/>
  <c r="J5185" i="2"/>
  <c r="J92" i="2"/>
  <c r="K4185" i="2"/>
  <c r="J4185" i="2"/>
  <c r="J3466" i="2"/>
  <c r="J1586" i="2"/>
  <c r="J2346" i="2"/>
  <c r="K1205" i="2"/>
  <c r="K2926" i="2"/>
  <c r="J4745" i="2"/>
  <c r="A1484" i="2"/>
  <c r="J1625" i="2"/>
  <c r="K5665" i="2"/>
  <c r="K1405" i="2"/>
  <c r="K4866" i="2"/>
  <c r="A5604" i="2"/>
  <c r="J733" i="2"/>
  <c r="K3746" i="2"/>
  <c r="A1604" i="2"/>
  <c r="J2326" i="2"/>
  <c r="J1385" i="2"/>
  <c r="A4684" i="2"/>
  <c r="A4064" i="2"/>
  <c r="J5565" i="2"/>
  <c r="A4424" i="2"/>
  <c r="K3425" i="2"/>
  <c r="J1186" i="2"/>
  <c r="A4224" i="2"/>
  <c r="J4245" i="2"/>
  <c r="K2065" i="2"/>
  <c r="A4944" i="2"/>
  <c r="K3646" i="2"/>
  <c r="J2105" i="2"/>
  <c r="A2704" i="2"/>
  <c r="K3486" i="2"/>
  <c r="K5866" i="2"/>
  <c r="J3166" i="2"/>
  <c r="K5306" i="2"/>
  <c r="A5724" i="2"/>
  <c r="A1384" i="2"/>
  <c r="A891" i="2"/>
  <c r="K472" i="2"/>
  <c r="J1605" i="2"/>
  <c r="K4206" i="2"/>
  <c r="J997" i="2"/>
  <c r="K5145" i="2"/>
  <c r="J2226" i="2"/>
  <c r="J2145" i="2"/>
  <c r="J495" i="2"/>
  <c r="K4725" i="2"/>
  <c r="K2746" i="2"/>
  <c r="A5484" i="2"/>
  <c r="K5025" i="2"/>
  <c r="J153" i="2"/>
  <c r="K3225" i="2"/>
  <c r="A4884" i="2"/>
  <c r="A2624" i="2"/>
  <c r="A3044" i="2"/>
  <c r="K3326" i="2"/>
  <c r="K2426" i="2"/>
  <c r="A3064" i="2"/>
  <c r="J3385" i="2"/>
  <c r="A1464" i="2"/>
  <c r="J3065" i="2"/>
  <c r="A2764" i="2"/>
  <c r="A1584" i="2"/>
  <c r="J4005" i="2"/>
  <c r="K4165" i="2"/>
  <c r="J1466" i="2"/>
  <c r="K153" i="2"/>
  <c r="K1305" i="2"/>
  <c r="K3706" i="2"/>
  <c r="J5666" i="2"/>
  <c r="J2446" i="2"/>
  <c r="K372" i="2"/>
  <c r="K413" i="2"/>
  <c r="B236" i="10"/>
  <c r="K3105" i="2"/>
  <c r="A3284" i="2"/>
  <c r="J3146" i="2"/>
  <c r="J1925" i="2"/>
  <c r="A1184" i="2"/>
  <c r="J4846" i="2"/>
  <c r="J3985" i="2"/>
  <c r="A2564" i="2"/>
  <c r="K5805" i="2"/>
  <c r="J832" i="2"/>
  <c r="K3426" i="2"/>
  <c r="J4345" i="2"/>
  <c r="K3606" i="2"/>
  <c r="J2025" i="2"/>
  <c r="J2505" i="2"/>
  <c r="J2885" i="2"/>
  <c r="J3606" i="2"/>
  <c r="K5126" i="2"/>
  <c r="K1165" i="2"/>
  <c r="J4406" i="2"/>
  <c r="J3165" i="2"/>
  <c r="J3125" i="2"/>
  <c r="J3285" i="2"/>
  <c r="K3946" i="2"/>
  <c r="K3866" i="2"/>
  <c r="J854" i="2"/>
  <c r="J694" i="2"/>
  <c r="K254" i="2"/>
  <c r="K3965" i="2"/>
  <c r="K4025" i="2"/>
  <c r="A3784" i="2"/>
  <c r="J1966" i="2"/>
  <c r="J957" i="2"/>
  <c r="K2305" i="2"/>
  <c r="K3205" i="2"/>
  <c r="J1945" i="2"/>
  <c r="K4385" i="2"/>
  <c r="J4625" i="2"/>
  <c r="A5644" i="2"/>
  <c r="K4605" i="2"/>
  <c r="J4665" i="2"/>
  <c r="K5186" i="2"/>
  <c r="K4705" i="2"/>
  <c r="K1166" i="2"/>
  <c r="A5064" i="2"/>
  <c r="J3486" i="2"/>
  <c r="J755" i="2"/>
  <c r="K4745" i="2"/>
  <c r="A3204" i="2"/>
  <c r="K5565" i="2"/>
  <c r="K4126" i="2"/>
  <c r="A3344" i="2"/>
  <c r="K1985" i="2"/>
  <c r="K2485" i="2"/>
  <c r="K1766" i="2"/>
  <c r="J332" i="2"/>
  <c r="J5965" i="2"/>
  <c r="K412" i="2"/>
  <c r="J494" i="2"/>
  <c r="K4946" i="2"/>
  <c r="J4686" i="2"/>
  <c r="K3545" i="2"/>
  <c r="K2206" i="2"/>
  <c r="K4085" i="2"/>
  <c r="K5965" i="2"/>
  <c r="K2586" i="2"/>
  <c r="K1925" i="2"/>
  <c r="A1164" i="2"/>
  <c r="J1525" i="2"/>
  <c r="J1325" i="2"/>
  <c r="K513" i="2"/>
  <c r="K2445" i="2"/>
  <c r="J3805" i="2"/>
  <c r="A5864" i="2"/>
  <c r="A4824" i="2"/>
  <c r="J2625" i="2"/>
  <c r="K4886" i="2"/>
  <c r="J3425" i="2"/>
  <c r="K4906" i="2"/>
  <c r="J5726" i="2"/>
  <c r="J5066" i="2"/>
  <c r="J573" i="2"/>
  <c r="A3604" i="2"/>
  <c r="J1326" i="2"/>
  <c r="J3365" i="2"/>
  <c r="J633" i="2"/>
  <c r="J4886" i="2"/>
  <c r="A3744" i="2"/>
  <c r="J5286" i="2"/>
  <c r="J4045" i="2"/>
  <c r="A2324" i="2"/>
  <c r="K4565" i="2"/>
  <c r="K495" i="2"/>
  <c r="J1785" i="2"/>
  <c r="K3045" i="2"/>
  <c r="K2366" i="2"/>
  <c r="J5986" i="2"/>
  <c r="J5225" i="2"/>
  <c r="J534" i="2"/>
  <c r="K3765" i="2"/>
  <c r="K2186" i="2"/>
  <c r="K3245" i="2"/>
  <c r="K3226" i="2"/>
  <c r="J4106" i="2"/>
  <c r="J1426" i="2"/>
  <c r="J3006" i="2"/>
  <c r="K3365" i="2"/>
  <c r="J2586" i="2"/>
  <c r="J33" i="2"/>
  <c r="J4726" i="2"/>
  <c r="J2685" i="2"/>
  <c r="K3845" i="2"/>
  <c r="A2304" i="2"/>
  <c r="K553" i="2"/>
  <c r="J5785" i="2"/>
  <c r="K2525" i="2"/>
  <c r="K5185" i="2"/>
  <c r="J2305" i="2"/>
  <c r="K2946" i="2"/>
  <c r="J4365" i="2"/>
  <c r="A3764" i="2"/>
  <c r="J5625" i="2"/>
  <c r="J4346" i="2"/>
  <c r="A1644" i="2"/>
  <c r="J3505" i="2"/>
  <c r="J4006" i="2"/>
  <c r="J5546" i="2"/>
  <c r="J3705" i="2"/>
  <c r="J2866" i="2"/>
  <c r="J5845" i="2"/>
  <c r="J814" i="2"/>
  <c r="K3285" i="2"/>
  <c r="J5746" i="2"/>
  <c r="A2364" i="2"/>
  <c r="A3104" i="2"/>
  <c r="K4005" i="2"/>
  <c r="J4205" i="2"/>
  <c r="J2746" i="2"/>
  <c r="A4724" i="2"/>
  <c r="K5585" i="2"/>
  <c r="K1425" i="2"/>
  <c r="K1136" i="2"/>
  <c r="J1685" i="2"/>
  <c r="K73" i="2"/>
  <c r="A871" i="2"/>
  <c r="J2726" i="2"/>
  <c r="A1844" i="2"/>
  <c r="J4605" i="2"/>
  <c r="K5646" i="2"/>
  <c r="K3206" i="2"/>
  <c r="J5006" i="2"/>
  <c r="J4105" i="2"/>
  <c r="K534" i="2"/>
  <c r="K1546" i="2"/>
  <c r="J2646" i="2"/>
  <c r="J3265" i="2"/>
  <c r="A1284" i="2"/>
  <c r="J2325" i="2"/>
  <c r="J2745" i="2"/>
  <c r="J4206" i="2"/>
  <c r="J114" i="2"/>
  <c r="K393" i="2"/>
  <c r="J1866" i="2"/>
  <c r="A471" i="2"/>
  <c r="J472" i="2"/>
  <c r="J732" i="2"/>
  <c r="J4566" i="2"/>
  <c r="K2365" i="2"/>
  <c r="J773" i="2"/>
  <c r="J433" i="2"/>
  <c r="J1666" i="2"/>
  <c r="J2546" i="2"/>
  <c r="A3724" i="2"/>
  <c r="J592" i="2"/>
  <c r="K1465" i="2"/>
  <c r="J1786" i="2"/>
  <c r="A4624" i="2"/>
  <c r="J2085" i="2"/>
  <c r="J2626" i="2"/>
  <c r="J1226" i="2"/>
  <c r="J5645" i="2"/>
  <c r="J274" i="2"/>
  <c r="K573" i="2"/>
  <c r="J2945" i="2"/>
  <c r="K1705" i="2"/>
  <c r="J4505" i="2"/>
  <c r="J93" i="2"/>
  <c r="J2846" i="2"/>
  <c r="A3184" i="2"/>
  <c r="K3726" i="2"/>
  <c r="A2084" i="2"/>
  <c r="J2906" i="2"/>
  <c r="J3386" i="2"/>
  <c r="A5984" i="2"/>
  <c r="A3644" i="2"/>
  <c r="A3324" i="2"/>
  <c r="K352" i="2"/>
  <c r="A5364" i="2"/>
  <c r="K755" i="2"/>
  <c r="B216" i="7"/>
  <c r="J134" i="2"/>
  <c r="K3485" i="2"/>
  <c r="J1465" i="2"/>
  <c r="K274" i="2"/>
  <c r="A4584" i="2"/>
  <c r="K2465" i="2"/>
  <c r="K4386" i="2"/>
  <c r="A3844" i="2"/>
  <c r="J3786" i="2"/>
  <c r="K5065" i="2"/>
  <c r="J3925" i="2"/>
  <c r="K3885" i="2"/>
  <c r="J94" i="2"/>
  <c r="K5386" i="2"/>
  <c r="K5606" i="2"/>
  <c r="K3145" i="2"/>
  <c r="J4025" i="2"/>
  <c r="A4864" i="2"/>
  <c r="A4464" i="2"/>
  <c r="K1686" i="2"/>
  <c r="J2005" i="2"/>
  <c r="A4604" i="2"/>
  <c r="K34" i="2"/>
  <c r="A1924" i="2"/>
  <c r="K1406" i="2"/>
  <c r="K2906" i="2"/>
  <c r="J3286" i="2"/>
  <c r="J3106" i="2"/>
  <c r="A1784" i="2"/>
  <c r="J1606" i="2"/>
  <c r="A1684" i="2"/>
  <c r="J333" i="2"/>
  <c r="K2245" i="2"/>
  <c r="K234" i="2"/>
  <c r="K4065" i="2"/>
  <c r="K614" i="2"/>
  <c r="K2706" i="2"/>
  <c r="K5146" i="2"/>
  <c r="K494" i="2"/>
  <c r="K3465" i="2"/>
  <c r="J413" i="2"/>
  <c r="J3645" i="2"/>
  <c r="B216" i="1"/>
  <c r="J1965" i="2"/>
  <c r="J3246" i="2"/>
  <c r="A5804" i="2"/>
  <c r="J434" i="2"/>
  <c r="J1265" i="2"/>
  <c r="A1224" i="2"/>
  <c r="A3584" i="2"/>
  <c r="J4845" i="2"/>
  <c r="J695" i="2"/>
  <c r="J5526" i="2"/>
  <c r="A4924" i="2"/>
  <c r="A4784" i="2"/>
  <c r="A1344" i="2"/>
  <c r="J713" i="2"/>
  <c r="K5026" i="2"/>
  <c r="J5465" i="2"/>
  <c r="K853" i="2"/>
  <c r="K977" i="2"/>
  <c r="J3806" i="2"/>
  <c r="K4365" i="2"/>
  <c r="K2165" i="2"/>
  <c r="K1605" i="2"/>
  <c r="J1056" i="2"/>
  <c r="J4866" i="2"/>
  <c r="K2685" i="2"/>
  <c r="K2546" i="2"/>
  <c r="K214" i="2"/>
  <c r="K4425" i="2"/>
  <c r="A1884" i="2"/>
  <c r="K1965" i="2"/>
  <c r="K5526" i="2"/>
  <c r="K1825" i="2"/>
  <c r="J4186" i="2"/>
  <c r="J1285" i="2"/>
  <c r="J2366" i="2"/>
  <c r="K5245" i="2"/>
  <c r="K3386" i="2"/>
  <c r="J1018" i="2"/>
  <c r="A3524" i="2"/>
  <c r="J1076" i="2"/>
  <c r="A5124" i="2"/>
  <c r="J5866" i="2"/>
  <c r="J3685" i="2"/>
  <c r="A3504" i="2"/>
  <c r="A4124" i="2"/>
  <c r="J1225" i="2"/>
  <c r="K1385" i="2"/>
  <c r="K334" i="2"/>
  <c r="J4685" i="2"/>
  <c r="J5605" i="2"/>
  <c r="K3265" i="2"/>
  <c r="A3684" i="2"/>
  <c r="K3286" i="2"/>
  <c r="A3364" i="2"/>
  <c r="A1724" i="2"/>
  <c r="A1664" i="2"/>
  <c r="A2504" i="2"/>
  <c r="K113" i="2"/>
  <c r="J3465" i="2"/>
  <c r="K5366" i="2"/>
  <c r="A3704" i="2"/>
  <c r="J1686" i="2"/>
  <c r="J3446" i="2"/>
  <c r="J1206" i="2"/>
  <c r="J5525" i="2"/>
  <c r="K4405" i="2"/>
  <c r="K1886" i="2"/>
  <c r="K5206" i="2"/>
  <c r="K4806" i="2"/>
  <c r="A911" i="2"/>
  <c r="A2404" i="2"/>
  <c r="J4666" i="2"/>
  <c r="J3326" i="2"/>
  <c r="A3084" i="2"/>
  <c r="J2805" i="2"/>
  <c r="J5606" i="2"/>
  <c r="J5425" i="2"/>
  <c r="J2246" i="2"/>
  <c r="J2786" i="2"/>
  <c r="J1486" i="2"/>
  <c r="K54" i="2"/>
  <c r="K793" i="2"/>
  <c r="J5586" i="2"/>
  <c r="J5125" i="2"/>
  <c r="J5846" i="2"/>
  <c r="J2125" i="2"/>
  <c r="J2086" i="2"/>
  <c r="A1033" i="2"/>
  <c r="K2486" i="2"/>
  <c r="K5726" i="2"/>
  <c r="K533" i="2"/>
  <c r="J813" i="2"/>
  <c r="J3785" i="2"/>
  <c r="A3404" i="2"/>
  <c r="J4906" i="2"/>
  <c r="K3065" i="2"/>
  <c r="K3366" i="2"/>
  <c r="K3186" i="2"/>
  <c r="K2986" i="2"/>
  <c r="K4306" i="2"/>
  <c r="K5425" i="2"/>
  <c r="J5585" i="2"/>
  <c r="J5145" i="2"/>
  <c r="J614" i="2"/>
  <c r="K4646" i="2"/>
  <c r="J3545" i="2"/>
  <c r="K854" i="2"/>
  <c r="J3105" i="2"/>
  <c r="A5464" i="2"/>
  <c r="J3826" i="2"/>
  <c r="J154" i="2"/>
  <c r="J5905" i="2"/>
  <c r="J4705" i="2"/>
  <c r="K1505" i="2"/>
  <c r="J3406" i="2"/>
  <c r="K1865" i="2"/>
  <c r="K957" i="2"/>
  <c r="B236" i="11"/>
  <c r="K5826" i="2"/>
  <c r="K3266" i="2"/>
  <c r="K2506" i="2"/>
  <c r="J4086" i="2"/>
  <c r="K3305" i="2"/>
  <c r="A3964" i="2"/>
  <c r="K1466" i="2"/>
  <c r="K2146" i="2"/>
  <c r="J1266" i="2"/>
  <c r="J1705" i="2"/>
  <c r="K5525" i="2"/>
  <c r="A3904" i="2"/>
  <c r="K1185" i="2"/>
  <c r="A1032" i="2"/>
  <c r="A5964" i="2"/>
  <c r="A1944" i="2"/>
  <c r="J934" i="2"/>
  <c r="A4644" i="2"/>
  <c r="J1365" i="2"/>
  <c r="A3264" i="2"/>
  <c r="J5305" i="2"/>
  <c r="K1746" i="2"/>
  <c r="K2966" i="2"/>
  <c r="K5445" i="2"/>
  <c r="J693" i="2"/>
  <c r="K894" i="2"/>
  <c r="K394" i="2"/>
  <c r="K4666" i="2"/>
  <c r="J2606" i="2"/>
  <c r="J4446" i="2"/>
  <c r="J4386" i="2"/>
  <c r="J34" i="2"/>
  <c r="A4304" i="2"/>
  <c r="A5084" i="2"/>
  <c r="J4285" i="2"/>
  <c r="K4325" i="2"/>
  <c r="K1626" i="2"/>
  <c r="K4706" i="2"/>
  <c r="K1846" i="2"/>
  <c r="J3765" i="2"/>
  <c r="K193" i="2"/>
  <c r="J2485" i="2"/>
  <c r="K713" i="2"/>
  <c r="K5045" i="2"/>
  <c r="K3805" i="2"/>
  <c r="K1845" i="2"/>
  <c r="A2864" i="2"/>
  <c r="J2506" i="2"/>
  <c r="K4226" i="2"/>
  <c r="B216" i="14"/>
  <c r="J1036" i="2"/>
  <c r="J3066" i="2"/>
  <c r="J3865" i="2"/>
  <c r="J1165" i="2"/>
  <c r="K4265" i="2"/>
  <c r="J3445" i="2"/>
  <c r="K4865" i="2"/>
  <c r="J4946" i="2"/>
  <c r="A731" i="2"/>
  <c r="K732" i="2"/>
  <c r="K4606" i="2"/>
  <c r="K2786" i="2"/>
  <c r="K5545" i="2"/>
  <c r="A2544" i="2"/>
  <c r="A4144" i="2"/>
  <c r="A1055" i="2"/>
  <c r="K2225" i="2"/>
  <c r="J3986" i="2"/>
  <c r="J2045" i="2"/>
  <c r="J3226" i="2"/>
  <c r="J5086" i="2"/>
  <c r="J1865" i="2"/>
  <c r="K2385" i="2"/>
  <c r="K1966" i="2"/>
  <c r="J1166" i="2"/>
  <c r="K1226" i="2"/>
  <c r="J2785" i="2"/>
  <c r="K3985" i="2"/>
  <c r="A1324" i="2"/>
  <c r="K1445" i="2"/>
  <c r="K2285" i="2"/>
  <c r="A5104" i="2"/>
  <c r="K4766" i="2"/>
  <c r="A5784" i="2"/>
  <c r="J3565" i="2"/>
  <c r="K774" i="2"/>
  <c r="K1585" i="2"/>
  <c r="J2426" i="2"/>
  <c r="A5204" i="2"/>
  <c r="A4544" i="2"/>
  <c r="J1825" i="2"/>
  <c r="J5165" i="2"/>
  <c r="K5325" i="2"/>
  <c r="A5924" i="2"/>
  <c r="K1076" i="2"/>
  <c r="K4505" i="2"/>
  <c r="J2206" i="2"/>
  <c r="A994" i="2"/>
  <c r="J2706" i="2"/>
  <c r="K1266" i="2"/>
  <c r="K2286" i="2"/>
  <c r="K754" i="2"/>
  <c r="J4146" i="2"/>
  <c r="K4245" i="2"/>
  <c r="K3085" i="2"/>
  <c r="K1325" i="2"/>
  <c r="K734" i="2"/>
  <c r="A2513" i="2"/>
  <c r="J234" i="2"/>
  <c r="A651" i="2"/>
  <c r="J672" i="2"/>
  <c r="K4066" i="2"/>
  <c r="K194" i="2"/>
  <c r="K92" i="2"/>
  <c r="K3986" i="2"/>
  <c r="K3385" i="2"/>
  <c r="J1746" i="2"/>
  <c r="K3906" i="2"/>
  <c r="J3665" i="2"/>
  <c r="K5885" i="2"/>
  <c r="A91" i="2"/>
  <c r="K4225" i="2"/>
  <c r="J3926" i="2"/>
  <c r="K1946" i="2"/>
  <c r="K4965" i="2"/>
  <c r="K4765" i="2"/>
  <c r="K5066" i="2"/>
  <c r="J574" i="2"/>
  <c r="K4566" i="2"/>
  <c r="J3766" i="2"/>
  <c r="K2846" i="2"/>
  <c r="K1565" i="2"/>
  <c r="K3886" i="2"/>
  <c r="J292" i="2"/>
  <c r="J4785" i="2"/>
  <c r="J4525" i="2"/>
  <c r="K1545" i="2"/>
  <c r="A3824" i="2"/>
  <c r="J372" i="2"/>
  <c r="J1505" i="2"/>
  <c r="K1426" i="2"/>
  <c r="J1806" i="2"/>
  <c r="J2666" i="2"/>
  <c r="J793" i="2"/>
  <c r="K694" i="2"/>
  <c r="K4285" i="2"/>
  <c r="A5884" i="2"/>
  <c r="J2465" i="2"/>
  <c r="K4585" i="2"/>
  <c r="A4284" i="2"/>
  <c r="J2345" i="2"/>
  <c r="A3484" i="2"/>
  <c r="K2725" i="2"/>
  <c r="B236" i="8"/>
  <c r="J273" i="2"/>
  <c r="K2306" i="2"/>
  <c r="K2645" i="2"/>
  <c r="K2665" i="2"/>
  <c r="K1506" i="2"/>
  <c r="K1525" i="2"/>
  <c r="J5345" i="2"/>
  <c r="J3185" i="2"/>
  <c r="J4986" i="2"/>
  <c r="A1424" i="2"/>
  <c r="K912" i="2"/>
  <c r="K1036" i="2"/>
  <c r="K3865" i="2"/>
  <c r="J4865" i="2"/>
  <c r="J3966" i="2"/>
  <c r="J3585" i="2"/>
  <c r="J215" i="2"/>
  <c r="J5626" i="2"/>
  <c r="J1136" i="2"/>
  <c r="J1245" i="2"/>
  <c r="K1945" i="2"/>
  <c r="K4626" i="2"/>
  <c r="A231" i="2"/>
  <c r="J4965" i="2"/>
  <c r="K3445" i="2"/>
  <c r="K2866" i="2"/>
  <c r="J4426" i="2"/>
  <c r="A1244" i="2"/>
  <c r="A2644" i="2"/>
  <c r="J3825" i="2"/>
  <c r="K455" i="2"/>
  <c r="A3624" i="2"/>
  <c r="K5825" i="2"/>
  <c r="A5544" i="2"/>
  <c r="J3046" i="2"/>
  <c r="J5406" i="2"/>
  <c r="J2926" i="2"/>
  <c r="K3925" i="2"/>
  <c r="J3906" i="2"/>
  <c r="J3886" i="2"/>
  <c r="K2526" i="2"/>
  <c r="J2266" i="2"/>
  <c r="J5306" i="2"/>
  <c r="B216" i="11"/>
  <c r="A3464" i="2"/>
  <c r="A2904" i="2"/>
  <c r="K5706" i="2"/>
  <c r="A2944" i="2"/>
  <c r="A2064" i="2"/>
  <c r="A3924" i="2"/>
  <c r="K1186" i="2"/>
  <c r="K4845" i="2"/>
  <c r="A1564" i="2"/>
  <c r="A2724" i="2"/>
  <c r="K374" i="2"/>
  <c r="K4785" i="2"/>
  <c r="J5246" i="2"/>
  <c r="K3046" i="2"/>
  <c r="K1586" i="2"/>
  <c r="K5485" i="2"/>
  <c r="J5885" i="2"/>
  <c r="J4486" i="2"/>
  <c r="A5584" i="2"/>
  <c r="J4445" i="2"/>
  <c r="K5506" i="2"/>
  <c r="J4165" i="2"/>
  <c r="K3505" i="2"/>
  <c r="J1845" i="2"/>
  <c r="A2264" i="2"/>
  <c r="K2965" i="2"/>
  <c r="J615" i="2"/>
  <c r="J3085" i="2"/>
  <c r="K5986" i="2"/>
  <c r="K2825" i="2"/>
  <c r="A5564" i="2"/>
  <c r="K314" i="2"/>
  <c r="A3664" i="2"/>
  <c r="J3325" i="2"/>
  <c r="A1524" i="2"/>
  <c r="K3325" i="2"/>
  <c r="K5086" i="2"/>
  <c r="J874" i="2"/>
  <c r="K2045" i="2"/>
  <c r="J1306" i="2"/>
  <c r="K4145" i="2"/>
  <c r="J3245" i="2"/>
  <c r="J1097" i="2"/>
  <c r="K5046" i="2"/>
  <c r="J5786" i="2"/>
  <c r="A3384" i="2"/>
  <c r="J2186" i="2"/>
  <c r="A1404" i="2"/>
  <c r="J3566" i="2"/>
  <c r="K94" i="2"/>
  <c r="K3146" i="2"/>
  <c r="K5926" i="2"/>
  <c r="K5006" i="2"/>
  <c r="J5105" i="2"/>
  <c r="K4466" i="2"/>
  <c r="J4226" i="2"/>
  <c r="K5125" i="2"/>
  <c r="J5985" i="2"/>
  <c r="J253" i="2"/>
  <c r="K2066" i="2"/>
  <c r="J5326" i="2"/>
  <c r="K2425" i="2"/>
  <c r="A5904" i="2"/>
  <c r="K5586" i="2"/>
  <c r="J2986" i="2"/>
  <c r="J313" i="2"/>
  <c r="K4246" i="2"/>
  <c r="J4885" i="2"/>
  <c r="K1786" i="2"/>
  <c r="A1204" i="2"/>
  <c r="J5026" i="2"/>
  <c r="K3725" i="2"/>
  <c r="K3346" i="2"/>
  <c r="J4325" i="2"/>
  <c r="J4966" i="2"/>
  <c r="K5725" i="2"/>
  <c r="J5665" i="2"/>
  <c r="K4986" i="2"/>
  <c r="K5365" i="2"/>
  <c r="J2006" i="2"/>
  <c r="J3005" i="2"/>
  <c r="K814" i="2"/>
  <c r="A4704" i="2"/>
  <c r="J5926" i="2"/>
  <c r="A2824" i="2"/>
  <c r="K2745" i="2"/>
  <c r="K215" i="2"/>
  <c r="K1645" i="2"/>
  <c r="J214" i="2"/>
  <c r="J5925" i="2"/>
  <c r="A2844" i="2"/>
  <c r="A4964" i="2"/>
  <c r="J3686" i="2"/>
  <c r="J5405" i="2"/>
  <c r="J892" i="2"/>
  <c r="J652" i="2"/>
  <c r="J5046" i="2"/>
  <c r="K1526" i="2"/>
  <c r="J4466" i="2"/>
  <c r="K2805" i="2"/>
  <c r="K2166" i="2"/>
  <c r="K55" i="2"/>
  <c r="J513" i="2"/>
  <c r="J4586" i="2"/>
  <c r="J2106" i="2"/>
  <c r="A5744" i="2"/>
  <c r="K3246" i="2"/>
  <c r="J3485" i="2"/>
  <c r="K5566" i="2"/>
  <c r="K1285" i="2"/>
  <c r="K3586" i="2"/>
  <c r="J5426" i="2"/>
  <c r="K5906" i="2"/>
  <c r="K3165" i="2"/>
  <c r="K2565" i="2"/>
  <c r="J5245" i="2"/>
  <c r="K3166" i="2"/>
  <c r="K434" i="2"/>
  <c r="J4545" i="2"/>
  <c r="K3306" i="2"/>
  <c r="K3926" i="2"/>
  <c r="A4764" i="2"/>
  <c r="K5746" i="2"/>
  <c r="A5264" i="2"/>
  <c r="J3026" i="2"/>
  <c r="J4166" i="2"/>
  <c r="K2265" i="2"/>
  <c r="J1646" i="2"/>
  <c r="J5325" i="2"/>
  <c r="K4205" i="2"/>
  <c r="A2584" i="2"/>
  <c r="J173" i="2"/>
  <c r="A3004" i="2"/>
  <c r="K3025" i="2"/>
  <c r="J5685" i="2"/>
  <c r="K433" i="2"/>
  <c r="K3745" i="2"/>
  <c r="A1904" i="2"/>
  <c r="A2744" i="2"/>
  <c r="K693" i="2"/>
  <c r="J2985" i="2"/>
  <c r="K3966" i="2"/>
  <c r="K1765" i="2"/>
  <c r="K5106" i="2"/>
  <c r="K3125" i="2"/>
  <c r="J4646" i="2"/>
  <c r="K933" i="2"/>
  <c r="K3446" i="2"/>
  <c r="J54" i="2"/>
  <c r="J5065" i="2"/>
  <c r="A3864" i="2"/>
  <c r="J4746" i="2"/>
  <c r="K1326" i="2"/>
  <c r="K114" i="2"/>
  <c r="J4306" i="2"/>
  <c r="A1135" i="2"/>
  <c r="A5944" i="2"/>
  <c r="K133" i="2"/>
  <c r="A5344" i="2"/>
  <c r="K672" i="2"/>
  <c r="K652" i="2"/>
  <c r="J3945" i="2"/>
  <c r="A4384" i="2"/>
  <c r="K5285" i="2"/>
  <c r="J5566" i="2"/>
  <c r="J2066" i="2"/>
  <c r="K5546" i="2"/>
  <c r="J1405" i="2"/>
  <c r="J194" i="2"/>
  <c r="J1626" i="2"/>
  <c r="K2086" i="2"/>
  <c r="A3024" i="2"/>
  <c r="A4024" i="2"/>
  <c r="J2966" i="2"/>
  <c r="K5345" i="2"/>
  <c r="J5025" i="2"/>
  <c r="J1766" i="2"/>
  <c r="K4045" i="2"/>
  <c r="K3626" i="2"/>
  <c r="J2165" i="2"/>
  <c r="K253" i="2"/>
  <c r="K592" i="2"/>
  <c r="K1666" i="2"/>
  <c r="J5146" i="2"/>
  <c r="J2046" i="2"/>
  <c r="A371" i="2"/>
  <c r="J1116" i="2"/>
  <c r="A4744" i="2"/>
  <c r="J1345" i="2"/>
  <c r="J1526" i="2"/>
  <c r="A3144" i="2"/>
  <c r="A5704" i="2"/>
  <c r="K934" i="2"/>
  <c r="J3405" i="2"/>
  <c r="K3066" i="2"/>
  <c r="A1824" i="2"/>
  <c r="A1804" i="2"/>
  <c r="K2325" i="2"/>
  <c r="J393" i="2"/>
  <c r="K2865" i="2"/>
  <c r="K514" i="2"/>
  <c r="J2806" i="2"/>
  <c r="K615" i="2"/>
  <c r="J3525" i="2"/>
  <c r="K1206" i="2"/>
  <c r="A2224" i="2"/>
  <c r="J1665" i="2"/>
  <c r="K5785" i="2"/>
  <c r="J2925" i="2"/>
  <c r="K4786" i="2"/>
  <c r="A2244" i="2"/>
  <c r="A3244" i="2"/>
  <c r="K2046" i="2"/>
  <c r="K1606" i="2"/>
  <c r="K2346" i="2"/>
  <c r="K4926" i="2"/>
  <c r="J4526" i="2"/>
  <c r="A251" i="2"/>
  <c r="A5304" i="2"/>
  <c r="J5366" i="2"/>
  <c r="J3626" i="2"/>
  <c r="J714" i="2"/>
  <c r="B237" i="11"/>
  <c r="K3826" i="2"/>
  <c r="A2384" i="2"/>
  <c r="K4686" i="2"/>
  <c r="J3725" i="2"/>
  <c r="J4765" i="2"/>
  <c r="K1866" i="2"/>
  <c r="K2985" i="2"/>
  <c r="K4346" i="2"/>
  <c r="J4385" i="2"/>
  <c r="K3825" i="2"/>
  <c r="K4665" i="2"/>
  <c r="K2566" i="2"/>
  <c r="J5226" i="2"/>
  <c r="K4486" i="2"/>
  <c r="K5405" i="2"/>
  <c r="J1726" i="2"/>
  <c r="K5465" i="2"/>
  <c r="K4966" i="2"/>
  <c r="J977" i="2"/>
  <c r="A1364" i="2"/>
  <c r="J5686" i="2"/>
  <c r="A4204" i="2"/>
  <c r="K3905" i="2"/>
  <c r="K1785" i="2"/>
  <c r="K5305" i="2"/>
  <c r="K1265" i="2"/>
  <c r="A3164" i="2"/>
  <c r="J233" i="2"/>
  <c r="J4126" i="2"/>
  <c r="J1926" i="2"/>
  <c r="K5886" i="2"/>
  <c r="J1585" i="2"/>
  <c r="J3346" i="2"/>
  <c r="K1745" i="2"/>
  <c r="K2026" i="2"/>
  <c r="A3444" i="2"/>
  <c r="K4526" i="2"/>
  <c r="J933" i="2"/>
  <c r="K5385" i="2"/>
  <c r="A5524" i="2"/>
  <c r="K5766" i="2"/>
  <c r="K4905" i="2"/>
  <c r="J1805" i="2"/>
  <c r="J3726" i="2"/>
  <c r="A5224" i="2"/>
  <c r="A72" i="2"/>
  <c r="J474" i="2"/>
  <c r="A351" i="2"/>
  <c r="A2884" i="2"/>
  <c r="J252" i="2"/>
  <c r="K3585" i="2"/>
  <c r="K874" i="2"/>
  <c r="K4146" i="2"/>
  <c r="K3126" i="2"/>
  <c r="K2826" i="2"/>
  <c r="J2265" i="2"/>
  <c r="J5485" i="2"/>
  <c r="K893" i="2"/>
  <c r="J2585" i="2"/>
  <c r="K134" i="2"/>
  <c r="K4625" i="2"/>
  <c r="A4904" i="2"/>
  <c r="J5945" i="2"/>
  <c r="A2664" i="2"/>
  <c r="J3946" i="2"/>
  <c r="A4564" i="2"/>
  <c r="K554" i="2"/>
  <c r="J4465" i="2"/>
  <c r="A2444" i="2"/>
  <c r="A2684" i="2"/>
  <c r="J5886" i="2"/>
  <c r="K1246" i="2"/>
  <c r="K5806" i="2"/>
  <c r="K4026" i="2"/>
  <c r="J3625" i="2"/>
  <c r="K33" i="2"/>
  <c r="A3984" i="2"/>
  <c r="K4186" i="2"/>
  <c r="K4445" i="2"/>
  <c r="K5865" i="2"/>
  <c r="K1706" i="2"/>
  <c r="K3185" i="2"/>
  <c r="A2164" i="2"/>
  <c r="K2266" i="2"/>
  <c r="A3124" i="2"/>
  <c r="J5505" i="2"/>
  <c r="A2604" i="2"/>
  <c r="K4125" i="2"/>
  <c r="J1545" i="2"/>
  <c r="A5404" i="2"/>
  <c r="J4405" i="2"/>
  <c r="K1725" i="2"/>
  <c r="J3086" i="2"/>
  <c r="J1886" i="2"/>
  <c r="J3646" i="2"/>
  <c r="J1506" i="2"/>
  <c r="A2044" i="2"/>
  <c r="J193" i="2"/>
  <c r="J374" i="2"/>
  <c r="J1305" i="2"/>
  <c r="K1365" i="2"/>
  <c r="K997" i="2"/>
  <c r="J4026" i="2"/>
  <c r="K5346" i="2"/>
  <c r="J1946" i="2"/>
  <c r="A2484" i="2"/>
  <c r="A3544" i="2"/>
  <c r="K1056" i="2"/>
  <c r="J1745" i="2"/>
  <c r="K4945" i="2"/>
  <c r="J2946" i="2"/>
  <c r="K5486" i="2"/>
  <c r="J553" i="2"/>
  <c r="J794" i="2"/>
  <c r="J5705" i="2"/>
  <c r="J4786" i="2"/>
  <c r="A1624" i="2"/>
  <c r="K3565" i="2"/>
  <c r="J174" i="2"/>
  <c r="J5186" i="2"/>
  <c r="J5766" i="2"/>
  <c r="K772" i="2"/>
  <c r="K2466" i="2"/>
  <c r="K2646" i="2"/>
  <c r="K714" i="2"/>
  <c r="J2765" i="2"/>
  <c r="J5386" i="2"/>
  <c r="A4444" i="2"/>
  <c r="J2245" i="2"/>
  <c r="K1665" i="2"/>
  <c r="J1406" i="2"/>
  <c r="K3006" i="2"/>
  <c r="A5684" i="2"/>
  <c r="J1765" i="2"/>
  <c r="K2505" i="2"/>
  <c r="K154" i="2"/>
  <c r="K3026" i="2"/>
  <c r="J4725" i="2"/>
  <c r="K3625" i="2"/>
  <c r="J3025" i="2"/>
  <c r="J3205" i="2"/>
  <c r="K2766" i="2"/>
  <c r="K2925" i="2"/>
  <c r="A3304" i="2"/>
  <c r="K3705" i="2"/>
  <c r="J754" i="2"/>
  <c r="J2386" i="2"/>
  <c r="K174" i="2"/>
  <c r="A1964" i="2"/>
  <c r="K1685" i="2"/>
  <c r="J3306" i="2"/>
  <c r="J1366" i="2"/>
  <c r="K1806" i="2"/>
  <c r="J5825" i="2"/>
  <c r="J2126" i="2"/>
  <c r="K1346" i="2"/>
  <c r="J2605" i="2"/>
  <c r="J3305" i="2"/>
  <c r="K4105" i="2"/>
  <c r="J2405" i="2"/>
  <c r="J1446" i="2"/>
  <c r="J1826" i="2"/>
  <c r="K794" i="2"/>
  <c r="J2185" i="2"/>
  <c r="K872" i="2"/>
  <c r="J3426" i="2"/>
  <c r="K5625" i="2"/>
  <c r="A1013" i="2"/>
  <c r="J3345" i="2"/>
  <c r="J4766" i="2"/>
  <c r="B236" i="14"/>
  <c r="K5205" i="2"/>
  <c r="J4305" i="2"/>
  <c r="J5706" i="2"/>
  <c r="A5824" i="2"/>
  <c r="J4585" i="2"/>
  <c r="K4485" i="2"/>
  <c r="K2885" i="2"/>
  <c r="K5165" i="2"/>
  <c r="K4546" i="2"/>
  <c r="K5925" i="2"/>
  <c r="J3666" i="2"/>
  <c r="J1885" i="2"/>
  <c r="K2666" i="2"/>
  <c r="K2625" i="2"/>
  <c r="J394" i="2"/>
  <c r="J1565" i="2"/>
  <c r="J3145" i="2"/>
  <c r="J4606" i="2"/>
  <c r="K1245" i="2"/>
  <c r="J4265" i="2"/>
  <c r="J1706" i="2"/>
  <c r="K1306" i="2"/>
  <c r="K2106" i="2"/>
  <c r="B216" i="10"/>
  <c r="J4645" i="2"/>
  <c r="A3944" i="2"/>
  <c r="K3466" i="2"/>
  <c r="A4664" i="2"/>
  <c r="K2326" i="2"/>
  <c r="A2524" i="2"/>
  <c r="K313" i="2"/>
  <c r="A954" i="2"/>
  <c r="K5605" i="2"/>
  <c r="K252" i="2"/>
  <c r="K2446" i="2"/>
  <c r="K5705" i="2"/>
  <c r="K3786" i="2"/>
  <c r="K5985" i="2"/>
  <c r="A4364" i="2"/>
  <c r="A1544" i="2"/>
  <c r="K1926" i="2"/>
  <c r="K5226" i="2"/>
  <c r="K5966" i="2"/>
  <c r="K4305" i="2"/>
  <c r="K1826" i="2"/>
  <c r="A5184" i="2"/>
  <c r="J734" i="2"/>
  <c r="J2385" i="2"/>
  <c r="J634" i="2"/>
  <c r="A4104" i="2"/>
  <c r="B196" i="10"/>
  <c r="K978" i="2"/>
  <c r="K3665" i="2"/>
  <c r="B236" i="13"/>
  <c r="J5206" i="2"/>
  <c r="J5005" i="2"/>
  <c r="A2964" i="2"/>
  <c r="J2286" i="2"/>
  <c r="J3506" i="2"/>
  <c r="K232" i="2"/>
  <c r="A5444" i="2"/>
  <c r="K3846" i="2"/>
  <c r="K1486" i="2"/>
  <c r="J2965" i="2"/>
  <c r="J1905" i="2"/>
  <c r="K1345" i="2"/>
  <c r="K5166" i="2"/>
  <c r="K454" i="2"/>
  <c r="K4685" i="2"/>
  <c r="J4066" i="2"/>
  <c r="K2345" i="2"/>
  <c r="J5806" i="2"/>
  <c r="J2146" i="2"/>
  <c r="K4286" i="2"/>
  <c r="K2886" i="2"/>
  <c r="A4324" i="2"/>
  <c r="K5265" i="2"/>
  <c r="J4246" i="2"/>
  <c r="G654" i="2" l="1"/>
  <c r="I674" i="2"/>
  <c r="G914" i="2"/>
  <c r="G294" i="2"/>
  <c r="I354" i="2"/>
  <c r="I834" i="2"/>
  <c r="G375" i="2"/>
  <c r="G376" i="2" s="1"/>
  <c r="G1078" i="2"/>
  <c r="G1058" i="2"/>
  <c r="G1038" i="2"/>
  <c r="G1118" i="2"/>
  <c r="G1138" i="2"/>
  <c r="G999" i="2"/>
  <c r="G1019" i="2"/>
  <c r="G1099" i="2"/>
  <c r="G959" i="2"/>
  <c r="G979" i="2"/>
  <c r="G116" i="2"/>
  <c r="G576" i="2"/>
  <c r="G316" i="2"/>
  <c r="G76" i="2"/>
  <c r="G196" i="2"/>
  <c r="G716" i="2"/>
  <c r="G96" i="2"/>
  <c r="G736" i="2"/>
  <c r="G136" i="2"/>
  <c r="G796" i="2"/>
  <c r="G896" i="2"/>
  <c r="G436" i="2"/>
  <c r="G536" i="2"/>
  <c r="G276" i="2"/>
  <c r="G876" i="2"/>
  <c r="G816" i="2"/>
  <c r="G856" i="2"/>
  <c r="G936" i="2"/>
  <c r="G636" i="2"/>
  <c r="G256" i="2"/>
  <c r="G596" i="2"/>
  <c r="G776" i="2"/>
  <c r="G416" i="2"/>
  <c r="G156" i="2"/>
  <c r="G516" i="2"/>
  <c r="G176" i="2"/>
  <c r="G236" i="2"/>
  <c r="G336" i="2"/>
  <c r="G36" i="2"/>
  <c r="G396" i="2"/>
  <c r="G556" i="2"/>
  <c r="G476" i="2"/>
  <c r="G757" i="2"/>
  <c r="G677" i="2"/>
  <c r="G697" i="2"/>
  <c r="G217" i="2"/>
  <c r="G497" i="2"/>
  <c r="G357" i="2"/>
  <c r="G57" i="2"/>
  <c r="G837" i="2"/>
  <c r="G457" i="2"/>
  <c r="G617" i="2"/>
  <c r="A672" i="2"/>
  <c r="A3946" i="2"/>
  <c r="A2165" i="2"/>
  <c r="A3866" i="2"/>
  <c r="A1785" i="2"/>
  <c r="K4687" i="2"/>
  <c r="A4345" i="2"/>
  <c r="K3167" i="2"/>
  <c r="A1886" i="2"/>
  <c r="J1827" i="2"/>
  <c r="J833" i="2"/>
  <c r="A2106" i="2"/>
  <c r="A3445" i="2"/>
  <c r="A1705" i="2"/>
  <c r="J2567" i="2"/>
  <c r="J3787" i="2"/>
  <c r="A2785" i="2"/>
  <c r="A2086" i="2"/>
  <c r="K5487" i="2"/>
  <c r="A5166" i="2"/>
  <c r="K2667" i="2"/>
  <c r="A5786" i="2"/>
  <c r="A1666" i="2"/>
  <c r="A5086" i="2"/>
  <c r="K115" i="2"/>
  <c r="K3647" i="2"/>
  <c r="J4027" i="2"/>
  <c r="A1865" i="2"/>
  <c r="A2105" i="2"/>
  <c r="A2945" i="2"/>
  <c r="A394" i="2"/>
  <c r="A3105" i="2"/>
  <c r="K1187" i="2"/>
  <c r="J3847" i="2"/>
  <c r="A5245" i="2"/>
  <c r="A2386" i="2"/>
  <c r="A3865" i="2"/>
  <c r="A3166" i="2"/>
  <c r="A3326" i="2"/>
  <c r="K3427" i="2"/>
  <c r="A3885" i="2"/>
  <c r="J4807" i="2"/>
  <c r="J4627" i="2"/>
  <c r="J1907" i="2"/>
  <c r="J2367" i="2"/>
  <c r="K2607" i="2"/>
  <c r="J3387" i="2"/>
  <c r="A4745" i="2"/>
  <c r="A4066" i="2"/>
  <c r="A4805" i="2"/>
  <c r="A1056" i="2"/>
  <c r="A1645" i="2"/>
  <c r="A4466" i="2"/>
  <c r="J2107" i="2"/>
  <c r="A794" i="2"/>
  <c r="K1827" i="2"/>
  <c r="A4365" i="2"/>
  <c r="A2546" i="2"/>
  <c r="K1407" i="2"/>
  <c r="K696" i="2"/>
  <c r="A2406" i="2"/>
  <c r="K1307" i="2"/>
  <c r="A3766" i="2"/>
  <c r="K75" i="2"/>
  <c r="J535" i="2"/>
  <c r="A2205" i="2"/>
  <c r="J593" i="2"/>
  <c r="K4487" i="2"/>
  <c r="K5607" i="2"/>
  <c r="J3547" i="2"/>
  <c r="A414" i="2"/>
  <c r="K2707" i="2"/>
  <c r="K5167" i="2"/>
  <c r="A3405" i="2"/>
  <c r="A3526" i="2"/>
  <c r="K1867" i="2"/>
  <c r="J5307" i="2"/>
  <c r="K1267" i="2"/>
  <c r="K2047" i="2"/>
  <c r="A2826" i="2"/>
  <c r="A174" i="2"/>
  <c r="K4807" i="2"/>
  <c r="J496" i="2"/>
  <c r="J715" i="2"/>
  <c r="J555" i="2"/>
  <c r="A2665" i="2"/>
  <c r="K4307" i="2"/>
  <c r="K496" i="2"/>
  <c r="A5565" i="2"/>
  <c r="K4387" i="2"/>
  <c r="K1077" i="2"/>
  <c r="A2506" i="2"/>
  <c r="K5407" i="2"/>
  <c r="K3067" i="2"/>
  <c r="J4467" i="2"/>
  <c r="A1546" i="2"/>
  <c r="A5985" i="2"/>
  <c r="A894" i="2"/>
  <c r="A2946" i="2"/>
  <c r="A2006" i="2"/>
  <c r="A4385" i="2"/>
  <c r="K4267" i="2"/>
  <c r="A4126" i="2"/>
  <c r="A4926" i="2"/>
  <c r="K535" i="2"/>
  <c r="K5587" i="2"/>
  <c r="J5167" i="2"/>
  <c r="A2286" i="2"/>
  <c r="A3286" i="2"/>
  <c r="A4286" i="2"/>
  <c r="A4206" i="2"/>
  <c r="A4825" i="2"/>
  <c r="K1037" i="2"/>
  <c r="J3367" i="2"/>
  <c r="J3807" i="2"/>
  <c r="A4145" i="2"/>
  <c r="J756" i="2"/>
  <c r="J1647" i="2"/>
  <c r="K1927" i="2"/>
  <c r="K1367" i="2"/>
  <c r="A5745" i="2"/>
  <c r="J5267" i="2"/>
  <c r="A774" i="2"/>
  <c r="A2166" i="2"/>
  <c r="A5146" i="2"/>
  <c r="K4247" i="2"/>
  <c r="A5386" i="2"/>
  <c r="K2107" i="2"/>
  <c r="A1116" i="2"/>
  <c r="J2507" i="2"/>
  <c r="K5207" i="2"/>
  <c r="J3407" i="2"/>
  <c r="A634" i="2"/>
  <c r="A1606" i="2"/>
  <c r="J4867" i="2"/>
  <c r="J375" i="2"/>
  <c r="J2007" i="2"/>
  <c r="A5426" i="2"/>
  <c r="A5406" i="2"/>
  <c r="K5147" i="2"/>
  <c r="J3727" i="2"/>
  <c r="K2367" i="2"/>
  <c r="A4405" i="2"/>
  <c r="K4527" i="2"/>
  <c r="J4327" i="2"/>
  <c r="K2127" i="2"/>
  <c r="A5506" i="2"/>
  <c r="K4587" i="2"/>
  <c r="K3547" i="2"/>
  <c r="J3207" i="2"/>
  <c r="K5907" i="2"/>
  <c r="A1605" i="2"/>
  <c r="J2767" i="2"/>
  <c r="A2886" i="2"/>
  <c r="K4127" i="2"/>
  <c r="K2227" i="2"/>
  <c r="J2387" i="2"/>
  <c r="A3225" i="2"/>
  <c r="J3147" i="2"/>
  <c r="A1246" i="2"/>
  <c r="J4607" i="2"/>
  <c r="J1567" i="2"/>
  <c r="A1646" i="2"/>
  <c r="A5006" i="2"/>
  <c r="J5907" i="2"/>
  <c r="J696" i="2"/>
  <c r="A2566" i="2"/>
  <c r="A2865" i="2"/>
  <c r="K5627" i="2"/>
  <c r="K3967" i="2"/>
  <c r="K5007" i="2"/>
  <c r="K2927" i="2"/>
  <c r="A2545" i="2"/>
  <c r="A4425" i="2"/>
  <c r="J3747" i="2"/>
  <c r="J56" i="2"/>
  <c r="A4766" i="2"/>
  <c r="A454" i="2"/>
  <c r="A2966" i="2"/>
  <c r="A5785" i="2"/>
  <c r="K3027" i="2"/>
  <c r="J1707" i="2"/>
  <c r="A4246" i="2"/>
  <c r="K735" i="2"/>
  <c r="A4386" i="2"/>
  <c r="K4167" i="2"/>
  <c r="K5467" i="2"/>
  <c r="K4027" i="2"/>
  <c r="A4966" i="2"/>
  <c r="A4266" i="2"/>
  <c r="K1098" i="2"/>
  <c r="A5306" i="2"/>
  <c r="A254" i="2"/>
  <c r="K4787" i="2"/>
  <c r="K4567" i="2"/>
  <c r="A214" i="2"/>
  <c r="K315" i="2"/>
  <c r="J5487" i="2"/>
  <c r="A4726" i="2"/>
  <c r="A4305" i="2"/>
  <c r="K5747" i="2"/>
  <c r="K1747" i="2"/>
  <c r="K415" i="2"/>
  <c r="A1866" i="2"/>
  <c r="K4867" i="2"/>
  <c r="A5886" i="2"/>
  <c r="K3867" i="2"/>
  <c r="A4486" i="2"/>
  <c r="A4325" i="2"/>
  <c r="A74" i="2"/>
  <c r="K1847" i="2"/>
  <c r="A3546" i="2"/>
  <c r="A3685" i="2"/>
  <c r="J1547" i="2"/>
  <c r="J5707" i="2"/>
  <c r="A2266" i="2"/>
  <c r="K3447" i="2"/>
  <c r="J2787" i="2"/>
  <c r="J875" i="2"/>
  <c r="K3347" i="2"/>
  <c r="A695" i="2"/>
  <c r="J1887" i="2"/>
  <c r="K4827" i="2"/>
  <c r="J4707" i="2"/>
  <c r="J2647" i="2"/>
  <c r="K3487" i="2"/>
  <c r="J216" i="2"/>
  <c r="J4787" i="2"/>
  <c r="K2147" i="2"/>
  <c r="J2307" i="2"/>
  <c r="A974" i="2"/>
  <c r="A4945" i="2"/>
  <c r="K2827" i="2"/>
  <c r="K5187" i="2"/>
  <c r="K56" i="2"/>
  <c r="A5966" i="2"/>
  <c r="J3767" i="2"/>
  <c r="J1137" i="2"/>
  <c r="K4967" i="2"/>
  <c r="J594" i="2"/>
  <c r="A3965" i="2"/>
  <c r="J2247" i="2"/>
  <c r="J5327" i="2"/>
  <c r="J5067" i="2"/>
  <c r="J5827" i="2"/>
  <c r="J5587" i="2"/>
  <c r="A2346" i="2"/>
  <c r="J2607" i="2"/>
  <c r="J3927" i="2"/>
  <c r="A4005" i="2"/>
  <c r="K4607" i="2"/>
  <c r="K2327" i="2"/>
  <c r="A1825" i="2"/>
  <c r="A4866" i="2"/>
  <c r="A4946" i="2"/>
  <c r="A1926" i="2"/>
  <c r="A2985" i="2"/>
  <c r="J235" i="2"/>
  <c r="K2567" i="2"/>
  <c r="A4506" i="2"/>
  <c r="J4587" i="2"/>
  <c r="J4007" i="2"/>
  <c r="A3826" i="2"/>
  <c r="A1486" i="2"/>
  <c r="A1076" i="2"/>
  <c r="A2765" i="2"/>
  <c r="A1386" i="2"/>
  <c r="J3327" i="2"/>
  <c r="A474" i="2"/>
  <c r="J2267" i="2"/>
  <c r="K1167" i="2"/>
  <c r="A274" i="2"/>
  <c r="A3926" i="2"/>
  <c r="K4887" i="2"/>
  <c r="K3987" i="2"/>
  <c r="K1227" i="2"/>
  <c r="A1685" i="2"/>
  <c r="A2965" i="2"/>
  <c r="K1587" i="2"/>
  <c r="K5427" i="2"/>
  <c r="A1405" i="2"/>
  <c r="K3947" i="2"/>
  <c r="J415" i="2"/>
  <c r="J5227" i="2"/>
  <c r="K2187" i="2"/>
  <c r="K855" i="2"/>
  <c r="A5726" i="2"/>
  <c r="A1965" i="2"/>
  <c r="K2847" i="2"/>
  <c r="A234" i="2"/>
  <c r="J978" i="2"/>
  <c r="J2087" i="2"/>
  <c r="J2067" i="2"/>
  <c r="K5807" i="2"/>
  <c r="K2547" i="2"/>
  <c r="A4925" i="2"/>
  <c r="A1885" i="2"/>
  <c r="K2307" i="2"/>
  <c r="A1946" i="2"/>
  <c r="K2027" i="2"/>
  <c r="J2407" i="2"/>
  <c r="J195" i="2"/>
  <c r="J4667" i="2"/>
  <c r="K3047" i="2"/>
  <c r="A3426" i="2"/>
  <c r="J4507" i="2"/>
  <c r="A4326" i="2"/>
  <c r="A1686" i="2"/>
  <c r="K1967" i="2"/>
  <c r="A2866" i="2"/>
  <c r="J1967" i="2"/>
  <c r="K2287" i="2"/>
  <c r="K635" i="2"/>
  <c r="J3647" i="2"/>
  <c r="J2587" i="2"/>
  <c r="K5687" i="2"/>
  <c r="A1305" i="2"/>
  <c r="K833" i="2"/>
  <c r="A5865" i="2"/>
  <c r="A3146" i="2"/>
  <c r="K1287" i="2"/>
  <c r="A153" i="2"/>
  <c r="A3486" i="2"/>
  <c r="A4245" i="2"/>
  <c r="K2487" i="2"/>
  <c r="A4906" i="2"/>
  <c r="K3627" i="2"/>
  <c r="A455" i="2"/>
  <c r="J1077" i="2"/>
  <c r="K4047" i="2"/>
  <c r="A5205" i="2"/>
  <c r="A4526" i="2"/>
  <c r="J1947" i="2"/>
  <c r="K3387" i="2"/>
  <c r="K195" i="2"/>
  <c r="J4427" i="2"/>
  <c r="J4247" i="2"/>
  <c r="K1117" i="2"/>
  <c r="A3205" i="2"/>
  <c r="A2345" i="2"/>
  <c r="K2727" i="2"/>
  <c r="J4187" i="2"/>
  <c r="K1807" i="2"/>
  <c r="J5187" i="2"/>
  <c r="A3145" i="2"/>
  <c r="A5125" i="2"/>
  <c r="K1787" i="2"/>
  <c r="J1487" i="2"/>
  <c r="J2167" i="2"/>
  <c r="K2587" i="2"/>
  <c r="K4087" i="2"/>
  <c r="A4586" i="2"/>
  <c r="K5307" i="2"/>
  <c r="J4827" i="2"/>
  <c r="J2147" i="2"/>
  <c r="K3407" i="2"/>
  <c r="A4205" i="2"/>
  <c r="A4845" i="2"/>
  <c r="K3087" i="2"/>
  <c r="A5585" i="2"/>
  <c r="J315" i="2"/>
  <c r="A494" i="2"/>
  <c r="J3067" i="2"/>
  <c r="K4147" i="2"/>
  <c r="A1346" i="2"/>
  <c r="J2187" i="2"/>
  <c r="K3467" i="2"/>
  <c r="J2827" i="2"/>
  <c r="A4965" i="2"/>
  <c r="A1505" i="2"/>
  <c r="K3607" i="2"/>
  <c r="A4865" i="2"/>
  <c r="J4487" i="2"/>
  <c r="K958" i="2"/>
  <c r="A4125" i="2"/>
  <c r="A4585" i="2"/>
  <c r="K1627" i="2"/>
  <c r="J2687" i="2"/>
  <c r="J4747" i="2"/>
  <c r="A3566" i="2"/>
  <c r="A3585" i="2"/>
  <c r="K5547" i="2"/>
  <c r="K5327" i="2"/>
  <c r="K5287" i="2"/>
  <c r="A1406" i="2"/>
  <c r="A4646" i="2"/>
  <c r="A1245" i="2"/>
  <c r="K175" i="2"/>
  <c r="J5007" i="2"/>
  <c r="A1906" i="2"/>
  <c r="A514" i="2"/>
  <c r="A2466" i="2"/>
  <c r="A3605" i="2"/>
  <c r="A1206" i="2"/>
  <c r="A5845" i="2"/>
  <c r="A3686" i="2"/>
  <c r="K3107" i="2"/>
  <c r="J4367" i="2"/>
  <c r="A2146" i="2"/>
  <c r="J2807" i="2"/>
  <c r="A5986" i="2"/>
  <c r="A615" i="2"/>
  <c r="A3465" i="2"/>
  <c r="A2225" i="2"/>
  <c r="A1805" i="2"/>
  <c r="J3007" i="2"/>
  <c r="J1467" i="2"/>
  <c r="K815" i="2"/>
  <c r="J2867" i="2"/>
  <c r="A3505" i="2"/>
  <c r="K5667" i="2"/>
  <c r="J4927" i="2"/>
  <c r="J2127" i="2"/>
  <c r="A5186" i="2"/>
  <c r="A4085" i="2"/>
  <c r="J2207" i="2"/>
  <c r="A5666" i="2"/>
  <c r="A734" i="2"/>
  <c r="A3406" i="2"/>
  <c r="K4627" i="2"/>
  <c r="J5787" i="2"/>
  <c r="K5567" i="2"/>
  <c r="J3567" i="2"/>
  <c r="A754" i="2"/>
  <c r="J735" i="2"/>
  <c r="A1565" i="2"/>
  <c r="A5005" i="2"/>
  <c r="J3967" i="2"/>
  <c r="J5127" i="2"/>
  <c r="J2847" i="2"/>
  <c r="J5407" i="2"/>
  <c r="J2947" i="2"/>
  <c r="A5465" i="2"/>
  <c r="J475" i="2"/>
  <c r="J5567" i="2"/>
  <c r="J5967" i="2"/>
  <c r="A4046" i="2"/>
  <c r="J3667" i="2"/>
  <c r="J4267" i="2"/>
  <c r="J5107" i="2"/>
  <c r="A1166" i="2"/>
  <c r="J1227" i="2"/>
  <c r="A4546" i="2"/>
  <c r="A1266" i="2"/>
  <c r="A4225" i="2"/>
  <c r="K4427" i="2"/>
  <c r="A4806" i="2"/>
  <c r="K4507" i="2"/>
  <c r="J293" i="2"/>
  <c r="K515" i="2"/>
  <c r="J4127" i="2"/>
  <c r="K2967" i="2"/>
  <c r="A2125" i="2"/>
  <c r="J653" i="2"/>
  <c r="A5625" i="2"/>
  <c r="K875" i="2"/>
  <c r="K5387" i="2"/>
  <c r="A4826" i="2"/>
  <c r="A3506" i="2"/>
  <c r="K2627" i="2"/>
  <c r="A334" i="2"/>
  <c r="K155" i="2"/>
  <c r="K1907" i="2"/>
  <c r="A4025" i="2"/>
  <c r="J35" i="2"/>
  <c r="J3127" i="2"/>
  <c r="K1667" i="2"/>
  <c r="A3086" i="2"/>
  <c r="A5645" i="2"/>
  <c r="A5965" i="2"/>
  <c r="A1585" i="2"/>
  <c r="A1945" i="2"/>
  <c r="A4685" i="2"/>
  <c r="K4367" i="2"/>
  <c r="J1037" i="2"/>
  <c r="A5746" i="2"/>
  <c r="A4165" i="2"/>
  <c r="A1306" i="2"/>
  <c r="K2527" i="2"/>
  <c r="K335" i="2"/>
  <c r="A3265" i="2"/>
  <c r="A3625" i="2"/>
  <c r="A2425" i="2"/>
  <c r="A4886" i="2"/>
  <c r="J595" i="2"/>
  <c r="J4907" i="2"/>
  <c r="K353" i="2"/>
  <c r="A2245" i="2"/>
  <c r="A2306" i="2"/>
  <c r="A3186" i="2"/>
  <c r="K5967" i="2"/>
  <c r="A1425" i="2"/>
  <c r="A4465" i="2"/>
  <c r="J5747" i="2"/>
  <c r="J935" i="2"/>
  <c r="A5926" i="2"/>
  <c r="A3245" i="2"/>
  <c r="A194" i="2"/>
  <c r="J958" i="2"/>
  <c r="K756" i="2"/>
  <c r="A1265" i="2"/>
  <c r="J1687" i="2"/>
  <c r="A3125" i="2"/>
  <c r="J1747" i="2"/>
  <c r="K795" i="2"/>
  <c r="A1806" i="2"/>
  <c r="K1607" i="2"/>
  <c r="A2605" i="2"/>
  <c r="K4347" i="2"/>
  <c r="A154" i="2"/>
  <c r="J5507" i="2"/>
  <c r="A874" i="2"/>
  <c r="K1467" i="2"/>
  <c r="A3925" i="2"/>
  <c r="A5025" i="2"/>
  <c r="K1887" i="2"/>
  <c r="A3606" i="2"/>
  <c r="A5545" i="2"/>
  <c r="J4227" i="2"/>
  <c r="J1387" i="2"/>
  <c r="J5087" i="2"/>
  <c r="K1647" i="2"/>
  <c r="J2467" i="2"/>
  <c r="J4567" i="2"/>
  <c r="A2285" i="2"/>
  <c r="A2625" i="2"/>
  <c r="J5727" i="2"/>
  <c r="J1057" i="2"/>
  <c r="K3887" i="2"/>
  <c r="A3365" i="2"/>
  <c r="J1587" i="2"/>
  <c r="K293" i="2"/>
  <c r="K5127" i="2"/>
  <c r="A4026" i="2"/>
  <c r="K5987" i="2"/>
  <c r="J4047" i="2"/>
  <c r="K5267" i="2"/>
  <c r="A2845" i="2"/>
  <c r="K3147" i="2"/>
  <c r="K2867" i="2"/>
  <c r="K1527" i="2"/>
  <c r="J3167" i="2"/>
  <c r="J3227" i="2"/>
  <c r="A5546" i="2"/>
  <c r="K2647" i="2"/>
  <c r="J4547" i="2"/>
  <c r="A2126" i="2"/>
  <c r="K4287" i="2"/>
  <c r="A5525" i="2"/>
  <c r="A4846" i="2"/>
  <c r="A1225" i="2"/>
  <c r="K2067" i="2"/>
  <c r="A4185" i="2"/>
  <c r="A2465" i="2"/>
  <c r="K2247" i="2"/>
  <c r="K4767" i="2"/>
  <c r="A5026" i="2"/>
  <c r="K2767" i="2"/>
  <c r="A2005" i="2"/>
  <c r="K3827" i="2"/>
  <c r="A3666" i="2"/>
  <c r="J95" i="2"/>
  <c r="J635" i="2"/>
  <c r="A1765" i="2"/>
  <c r="J3467" i="2"/>
  <c r="K653" i="2"/>
  <c r="A2885" i="2"/>
  <c r="A5646" i="2"/>
  <c r="K775" i="2"/>
  <c r="K375" i="2"/>
  <c r="A2825" i="2"/>
  <c r="J1098" i="2"/>
  <c r="A4746" i="2"/>
  <c r="A1745" i="2"/>
  <c r="J1987" i="2"/>
  <c r="K5827" i="2"/>
  <c r="J2547" i="2"/>
  <c r="K1987" i="2"/>
  <c r="J2927" i="2"/>
  <c r="J1767" i="2"/>
  <c r="A5945" i="2"/>
  <c r="A5065" i="2"/>
  <c r="A1905" i="2"/>
  <c r="J4207" i="2"/>
  <c r="J1267" i="2"/>
  <c r="K3807" i="2"/>
  <c r="A3066" i="2"/>
  <c r="A1925" i="2"/>
  <c r="A2025" i="2"/>
  <c r="A2405" i="2"/>
  <c r="K3787" i="2"/>
  <c r="J435" i="2"/>
  <c r="K3207" i="2"/>
  <c r="J2327" i="2"/>
  <c r="J175" i="2"/>
  <c r="A2045" i="2"/>
  <c r="J5347" i="2"/>
  <c r="K475" i="2"/>
  <c r="A854" i="2"/>
  <c r="A5685" i="2"/>
  <c r="J3827" i="2"/>
  <c r="A3345" i="2"/>
  <c r="K5867" i="2"/>
  <c r="A3026" i="2"/>
  <c r="A5045" i="2"/>
  <c r="A2766" i="2"/>
  <c r="A2786" i="2"/>
  <c r="A4086" i="2"/>
  <c r="A2525" i="2"/>
  <c r="A4346" i="2"/>
  <c r="A3785" i="2"/>
  <c r="A1014" i="2"/>
  <c r="K5447" i="2"/>
  <c r="J5367" i="2"/>
  <c r="J1507" i="2"/>
  <c r="A3886" i="2"/>
  <c r="J1367" i="2"/>
  <c r="J5247" i="2"/>
  <c r="A4446" i="2"/>
  <c r="K1427" i="2"/>
  <c r="A3905" i="2"/>
  <c r="A3545" i="2"/>
  <c r="A2026" i="2"/>
  <c r="A5765" i="2"/>
  <c r="J815" i="2"/>
  <c r="J2747" i="2"/>
  <c r="A3246" i="2"/>
  <c r="K2947" i="2"/>
  <c r="A3226" i="2"/>
  <c r="A3126" i="2"/>
  <c r="J5607" i="2"/>
  <c r="K4327" i="2"/>
  <c r="A2186" i="2"/>
  <c r="K2447" i="2"/>
  <c r="A1966" i="2"/>
  <c r="J255" i="2"/>
  <c r="A1986" i="2"/>
  <c r="J2287" i="2"/>
  <c r="A2586" i="2"/>
  <c r="A5305" i="2"/>
  <c r="A4045" i="2"/>
  <c r="J5647" i="2"/>
  <c r="A3106" i="2"/>
  <c r="A3325" i="2"/>
  <c r="A5425" i="2"/>
  <c r="K5927" i="2"/>
  <c r="K3927" i="2"/>
  <c r="A2085" i="2"/>
  <c r="J3287" i="2"/>
  <c r="A3385" i="2"/>
  <c r="K275" i="2"/>
  <c r="J4447" i="2"/>
  <c r="A5206" i="2"/>
  <c r="J1167" i="2"/>
  <c r="J1287" i="2"/>
  <c r="K5227" i="2"/>
  <c r="A1286" i="2"/>
  <c r="J4967" i="2"/>
  <c r="K3127" i="2"/>
  <c r="A3565" i="2"/>
  <c r="K1487" i="2"/>
  <c r="J2527" i="2"/>
  <c r="A5325" i="2"/>
  <c r="K4067" i="2"/>
  <c r="J4647" i="2"/>
  <c r="J5767" i="2"/>
  <c r="A3185" i="2"/>
  <c r="K395" i="2"/>
  <c r="A1466" i="2"/>
  <c r="A2646" i="2"/>
  <c r="A1325" i="2"/>
  <c r="A4106" i="2"/>
  <c r="K1018" i="2"/>
  <c r="A3746" i="2"/>
  <c r="K435" i="2"/>
  <c r="J1347" i="2"/>
  <c r="A5445" i="2"/>
  <c r="K3687" i="2"/>
  <c r="A5165" i="2"/>
  <c r="A5606" i="2"/>
  <c r="K5247" i="2"/>
  <c r="K4847" i="2"/>
  <c r="J5887" i="2"/>
  <c r="A3906" i="2"/>
  <c r="K1507" i="2"/>
  <c r="A1165" i="2"/>
  <c r="K4927" i="2"/>
  <c r="A2846" i="2"/>
  <c r="K3227" i="2"/>
  <c r="A1766" i="2"/>
  <c r="A2685" i="2"/>
  <c r="K2267" i="2"/>
  <c r="A434" i="2"/>
  <c r="J4167" i="2"/>
  <c r="J395" i="2"/>
  <c r="A4265" i="2"/>
  <c r="K4667" i="2"/>
  <c r="A2305" i="2"/>
  <c r="A4366" i="2"/>
  <c r="A995" i="2"/>
  <c r="K5027" i="2"/>
  <c r="J3047" i="2"/>
  <c r="A1445" i="2"/>
  <c r="A5145" i="2"/>
  <c r="A5346" i="2"/>
  <c r="A5505" i="2"/>
  <c r="K2407" i="2"/>
  <c r="A5345" i="2"/>
  <c r="J5427" i="2"/>
  <c r="A3085" i="2"/>
  <c r="A5605" i="2"/>
  <c r="J1427" i="2"/>
  <c r="A5265" i="2"/>
  <c r="J5207" i="2"/>
  <c r="A5805" i="2"/>
  <c r="K3367" i="2"/>
  <c r="K5047" i="2"/>
  <c r="A3346" i="2"/>
  <c r="K95" i="2"/>
  <c r="A3706" i="2"/>
  <c r="A3046" i="2"/>
  <c r="J1207" i="2"/>
  <c r="A4445" i="2"/>
  <c r="A5946" i="2"/>
  <c r="A1034" i="2"/>
  <c r="A3646" i="2"/>
  <c r="A3045" i="2"/>
  <c r="A5326" i="2"/>
  <c r="K2167" i="2"/>
  <c r="A2065" i="2"/>
  <c r="K895" i="2"/>
  <c r="K4547" i="2"/>
  <c r="K594" i="2"/>
  <c r="K4207" i="2"/>
  <c r="J115" i="2"/>
  <c r="K3567" i="2"/>
  <c r="K4647" i="2"/>
  <c r="K2387" i="2"/>
  <c r="K1767" i="2"/>
  <c r="J5447" i="2"/>
  <c r="A2046" i="2"/>
  <c r="A3626" i="2"/>
  <c r="A2705" i="2"/>
  <c r="K5947" i="2"/>
  <c r="K3707" i="2"/>
  <c r="J3707" i="2"/>
  <c r="A3386" i="2"/>
  <c r="J3687" i="2"/>
  <c r="A2645" i="2"/>
  <c r="J2887" i="2"/>
  <c r="J3867" i="2"/>
  <c r="K1547" i="2"/>
  <c r="K2427" i="2"/>
  <c r="A1426" i="2"/>
  <c r="A3266" i="2"/>
  <c r="K4707" i="2"/>
  <c r="J1927" i="2"/>
  <c r="J3527" i="2"/>
  <c r="A3006" i="2"/>
  <c r="A2585" i="2"/>
  <c r="K135" i="2"/>
  <c r="K4907" i="2"/>
  <c r="A1366" i="2"/>
  <c r="A1746" i="2"/>
  <c r="A4566" i="2"/>
  <c r="A5725" i="2"/>
  <c r="J1807" i="2"/>
  <c r="A955" i="2"/>
  <c r="A2385" i="2"/>
  <c r="A614" i="2"/>
  <c r="K1137" i="2"/>
  <c r="K3747" i="2"/>
  <c r="K1727" i="2"/>
  <c r="A4545" i="2"/>
  <c r="A1545" i="2"/>
  <c r="A814" i="2"/>
  <c r="J5387" i="2"/>
  <c r="A4885" i="2"/>
  <c r="J4087" i="2"/>
  <c r="J575" i="2"/>
  <c r="A5626" i="2"/>
  <c r="J1447" i="2"/>
  <c r="A5285" i="2"/>
  <c r="A1985" i="2"/>
  <c r="J5927" i="2"/>
  <c r="A2706" i="2"/>
  <c r="K35" i="2"/>
  <c r="A2906" i="2"/>
  <c r="J275" i="2"/>
  <c r="A3306" i="2"/>
  <c r="A3986" i="2"/>
  <c r="A714" i="2"/>
  <c r="A2925" i="2"/>
  <c r="A2725" i="2"/>
  <c r="K3727" i="2"/>
  <c r="A3786" i="2"/>
  <c r="K998" i="2"/>
  <c r="K3507" i="2"/>
  <c r="A3985" i="2"/>
  <c r="A4986" i="2"/>
  <c r="K4947" i="2"/>
  <c r="K5087" i="2"/>
  <c r="A5185" i="2"/>
  <c r="A1525" i="2"/>
  <c r="A1485" i="2"/>
  <c r="J3267" i="2"/>
  <c r="A5766" i="2"/>
  <c r="A5106" i="2"/>
  <c r="K5507" i="2"/>
  <c r="J1867" i="2"/>
  <c r="A2446" i="2"/>
  <c r="J5667" i="2"/>
  <c r="A1285" i="2"/>
  <c r="A3485" i="2"/>
  <c r="A4406" i="2"/>
  <c r="A4146" i="2"/>
  <c r="A5405" i="2"/>
  <c r="A5246" i="2"/>
  <c r="J1527" i="2"/>
  <c r="K616" i="2"/>
  <c r="A215" i="2"/>
  <c r="A4285" i="2"/>
  <c r="A3466" i="2"/>
  <c r="J3627" i="2"/>
  <c r="K3667" i="2"/>
  <c r="A5826" i="2"/>
  <c r="K1057" i="2"/>
  <c r="J3427" i="2"/>
  <c r="K2007" i="2"/>
  <c r="A1185" i="2"/>
  <c r="A4665" i="2"/>
  <c r="K5647" i="2"/>
  <c r="A2905" i="2"/>
  <c r="A5906" i="2"/>
  <c r="K5707" i="2"/>
  <c r="K5367" i="2"/>
  <c r="J2027" i="2"/>
  <c r="A4226" i="2"/>
  <c r="J616" i="2"/>
  <c r="K3267" i="2"/>
  <c r="K4987" i="2"/>
  <c r="J155" i="2"/>
  <c r="J3947" i="2"/>
  <c r="K593" i="2"/>
  <c r="J5847" i="2"/>
  <c r="J2227" i="2"/>
  <c r="A5366" i="2"/>
  <c r="A4105" i="2"/>
  <c r="A2606" i="2"/>
  <c r="A2426" i="2"/>
  <c r="K3287" i="2"/>
  <c r="K5347" i="2"/>
  <c r="K255" i="2"/>
  <c r="K5767" i="2"/>
  <c r="K3247" i="2"/>
  <c r="J1307" i="2"/>
  <c r="A1205" i="2"/>
  <c r="K575" i="2"/>
  <c r="J4107" i="2"/>
  <c r="J5807" i="2"/>
  <c r="J5687" i="2"/>
  <c r="A5485" i="2"/>
  <c r="A554" i="2"/>
  <c r="A4485" i="2"/>
  <c r="A2666" i="2"/>
  <c r="A2325" i="2"/>
  <c r="A3305" i="2"/>
  <c r="A4306" i="2"/>
  <c r="A2326" i="2"/>
  <c r="A3446" i="2"/>
  <c r="A3825" i="2"/>
  <c r="J895" i="2"/>
  <c r="A2526" i="2"/>
  <c r="A73" i="2"/>
  <c r="J4387" i="2"/>
  <c r="J3027" i="2"/>
  <c r="J1847" i="2"/>
  <c r="A4606" i="2"/>
  <c r="A1506" i="2"/>
  <c r="J5287" i="2"/>
  <c r="A2805" i="2"/>
  <c r="A2206" i="2"/>
  <c r="A2505" i="2"/>
  <c r="K1247" i="2"/>
  <c r="A1826" i="2"/>
  <c r="A3645" i="2"/>
  <c r="A3525" i="2"/>
  <c r="J353" i="2"/>
  <c r="K4407" i="2"/>
  <c r="A1626" i="2"/>
  <c r="J515" i="2"/>
  <c r="J1187" i="2"/>
  <c r="A3705" i="2"/>
  <c r="J5867" i="2"/>
  <c r="K3327" i="2"/>
  <c r="K235" i="2"/>
  <c r="J1327" i="2"/>
  <c r="J5027" i="2"/>
  <c r="A3005" i="2"/>
  <c r="A1226" i="2"/>
  <c r="A5226" i="2"/>
  <c r="K3007" i="2"/>
  <c r="A694" i="2"/>
  <c r="A3725" i="2"/>
  <c r="J1407" i="2"/>
  <c r="J2727" i="2"/>
  <c r="K1947" i="2"/>
  <c r="J3187" i="2"/>
  <c r="A1726" i="2"/>
  <c r="A5566" i="2"/>
  <c r="K4187" i="2"/>
  <c r="A5885" i="2"/>
  <c r="A2365" i="2"/>
  <c r="J4147" i="2"/>
  <c r="K2747" i="2"/>
  <c r="A374" i="2"/>
  <c r="J4987" i="2"/>
  <c r="A5665" i="2"/>
  <c r="K2207" i="2"/>
  <c r="A2265" i="2"/>
  <c r="A4525" i="2"/>
  <c r="J913" i="2"/>
  <c r="A4686" i="2"/>
  <c r="A495" i="2"/>
  <c r="A1136" i="2"/>
  <c r="A2726" i="2"/>
  <c r="K3187" i="2"/>
  <c r="J5047" i="2"/>
  <c r="A4426" i="2"/>
  <c r="K555" i="2"/>
  <c r="K5067" i="2"/>
  <c r="J3307" i="2"/>
  <c r="A1725" i="2"/>
  <c r="A2485" i="2"/>
  <c r="K456" i="2"/>
  <c r="A5286" i="2"/>
  <c r="A4605" i="2"/>
  <c r="J3607" i="2"/>
  <c r="K1387" i="2"/>
  <c r="J75" i="2"/>
  <c r="A4785" i="2"/>
  <c r="K5847" i="2"/>
  <c r="A2745" i="2"/>
  <c r="A3025" i="2"/>
  <c r="J4067" i="2"/>
  <c r="J4887" i="2"/>
  <c r="K3767" i="2"/>
  <c r="K3847" i="2"/>
  <c r="K1707" i="2"/>
  <c r="A5806" i="2"/>
  <c r="J2427" i="2"/>
  <c r="K3587" i="2"/>
  <c r="A5066" i="2"/>
  <c r="A5586" i="2"/>
  <c r="A4166" i="2"/>
  <c r="A1586" i="2"/>
  <c r="A2565" i="2"/>
  <c r="K1567" i="2"/>
  <c r="J3587" i="2"/>
  <c r="J3987" i="2"/>
  <c r="J4347" i="2"/>
  <c r="K595" i="2"/>
  <c r="A5085" i="2"/>
  <c r="K4727" i="2"/>
  <c r="J4767" i="2"/>
  <c r="J1667" i="2"/>
  <c r="J5627" i="2"/>
  <c r="J2487" i="2"/>
  <c r="K4467" i="2"/>
  <c r="A1846" i="2"/>
  <c r="J4947" i="2"/>
  <c r="A4725" i="2"/>
  <c r="J5547" i="2"/>
  <c r="K673" i="2"/>
  <c r="A5705" i="2"/>
  <c r="A4765" i="2"/>
  <c r="A5126" i="2"/>
  <c r="J4287" i="2"/>
  <c r="J2447" i="2"/>
  <c r="A1345" i="2"/>
  <c r="K1327" i="2"/>
  <c r="J3107" i="2"/>
  <c r="A1526" i="2"/>
  <c r="K1347" i="2"/>
  <c r="K1447" i="2"/>
  <c r="J1727" i="2"/>
  <c r="J1627" i="2"/>
  <c r="A5385" i="2"/>
  <c r="A3065" i="2"/>
  <c r="A4645" i="2"/>
  <c r="A2185" i="2"/>
  <c r="A3425" i="2"/>
  <c r="A3805" i="2"/>
  <c r="A3845" i="2"/>
  <c r="J3487" i="2"/>
  <c r="J5467" i="2"/>
  <c r="A1665" i="2"/>
  <c r="A1706" i="2"/>
  <c r="J1117" i="2"/>
  <c r="A4625" i="2"/>
  <c r="J3887" i="2"/>
  <c r="K3907" i="2"/>
  <c r="A755" i="2"/>
  <c r="A1786" i="2"/>
  <c r="A934" i="2"/>
  <c r="J2707" i="2"/>
  <c r="A1385" i="2"/>
  <c r="K216" i="2"/>
  <c r="A2806" i="2"/>
  <c r="A1446" i="2"/>
  <c r="A2366" i="2"/>
  <c r="A3846" i="2"/>
  <c r="K373" i="2"/>
  <c r="A3966" i="2"/>
  <c r="A3665" i="2"/>
  <c r="A2226" i="2"/>
  <c r="K3307" i="2"/>
  <c r="J3447" i="2"/>
  <c r="J2987" i="2"/>
  <c r="J855" i="2"/>
  <c r="J2907" i="2"/>
  <c r="A2145" i="2"/>
  <c r="A2626" i="2"/>
  <c r="A1845" i="2"/>
  <c r="A2926" i="2"/>
  <c r="A4065" i="2"/>
  <c r="K2907" i="2"/>
  <c r="J998" i="2"/>
  <c r="J2627" i="2"/>
  <c r="A4786" i="2"/>
  <c r="A3726" i="2"/>
  <c r="K4747" i="2"/>
  <c r="A3586" i="2"/>
  <c r="A5466" i="2"/>
  <c r="A2986" i="2"/>
  <c r="K4447" i="2"/>
  <c r="J795" i="2"/>
  <c r="K1687" i="2"/>
  <c r="A4186" i="2"/>
  <c r="A4985" i="2"/>
  <c r="A3806" i="2"/>
  <c r="K2347" i="2"/>
  <c r="J4407" i="2"/>
  <c r="A5825" i="2"/>
  <c r="K5787" i="2"/>
  <c r="K3527" i="2"/>
  <c r="A5526" i="2"/>
  <c r="K1207" i="2"/>
  <c r="A5905" i="2"/>
  <c r="J5147" i="2"/>
  <c r="A4505" i="2"/>
  <c r="K5887" i="2"/>
  <c r="A2246" i="2"/>
  <c r="A3285" i="2"/>
  <c r="K2787" i="2"/>
  <c r="J4847" i="2"/>
  <c r="A5105" i="2"/>
  <c r="K2887" i="2"/>
  <c r="J4527" i="2"/>
  <c r="K2507" i="2"/>
  <c r="K935" i="2"/>
  <c r="J1607" i="2"/>
  <c r="K2987" i="2"/>
  <c r="A4705" i="2"/>
  <c r="J2967" i="2"/>
  <c r="A1097" i="2"/>
  <c r="K4227" i="2"/>
  <c r="A2686" i="2"/>
  <c r="A1365" i="2"/>
  <c r="A5706" i="2"/>
  <c r="A5686" i="2"/>
  <c r="J2667" i="2"/>
  <c r="A5486" i="2"/>
  <c r="A5225" i="2"/>
  <c r="A4706" i="2"/>
  <c r="K5107" i="2"/>
  <c r="A1465" i="2"/>
  <c r="A4905" i="2"/>
  <c r="A3206" i="2"/>
  <c r="A3945" i="2"/>
  <c r="K4007" i="2"/>
  <c r="A3765" i="2"/>
  <c r="J5947" i="2"/>
  <c r="A5846" i="2"/>
  <c r="A1186" i="2"/>
  <c r="A5266" i="2"/>
  <c r="J4727" i="2"/>
  <c r="A5046" i="2"/>
  <c r="A4626" i="2"/>
  <c r="K2087" i="2"/>
  <c r="A5866" i="2"/>
  <c r="J3087" i="2"/>
  <c r="J5987" i="2"/>
  <c r="A2066" i="2"/>
  <c r="J3347" i="2"/>
  <c r="A5925" i="2"/>
  <c r="A2445" i="2"/>
  <c r="A3366" i="2"/>
  <c r="A5446" i="2"/>
  <c r="A3745" i="2"/>
  <c r="J5527" i="2"/>
  <c r="A1625" i="2"/>
  <c r="J1247" i="2"/>
  <c r="J1787" i="2"/>
  <c r="J775" i="2"/>
  <c r="A2746" i="2"/>
  <c r="A4565" i="2"/>
  <c r="K2467" i="2"/>
  <c r="A3165" i="2"/>
  <c r="K2807" i="2"/>
  <c r="J4307" i="2"/>
  <c r="K4107" i="2"/>
  <c r="K5727" i="2"/>
  <c r="J3907" i="2"/>
  <c r="K715" i="2"/>
  <c r="A1566" i="2"/>
  <c r="A4666" i="2"/>
  <c r="K913" i="2"/>
  <c r="J4687" i="2"/>
  <c r="J2347" i="2"/>
  <c r="J335" i="2"/>
  <c r="J456" i="2"/>
  <c r="J135" i="2"/>
  <c r="A2486" i="2"/>
  <c r="A4006" i="2"/>
  <c r="J3507" i="2"/>
  <c r="J3247" i="2"/>
  <c r="K5527" i="2"/>
  <c r="A574" i="2"/>
  <c r="A534" i="2"/>
  <c r="A5365" i="2"/>
  <c r="J673" i="2"/>
  <c r="A1326" i="2"/>
  <c r="K2687" i="2"/>
  <c r="J2047" i="2"/>
  <c r="A314" i="2"/>
  <c r="I675" i="2" l="1"/>
  <c r="G655" i="2"/>
  <c r="I355" i="2"/>
  <c r="G295" i="2"/>
  <c r="I835" i="2"/>
  <c r="G915" i="2"/>
  <c r="G1119" i="2"/>
  <c r="G1079" i="2"/>
  <c r="G1039" i="2"/>
  <c r="G1139" i="2"/>
  <c r="G1059" i="2"/>
  <c r="G980" i="2"/>
  <c r="G1020" i="2"/>
  <c r="G960" i="2"/>
  <c r="G1000" i="2"/>
  <c r="G1100" i="2"/>
  <c r="G737" i="2"/>
  <c r="G37" i="2"/>
  <c r="G397" i="2"/>
  <c r="G637" i="2"/>
  <c r="G857" i="2"/>
  <c r="G817" i="2"/>
  <c r="G97" i="2"/>
  <c r="G437" i="2"/>
  <c r="G237" i="2"/>
  <c r="G177" i="2"/>
  <c r="G537" i="2"/>
  <c r="G897" i="2"/>
  <c r="G317" i="2"/>
  <c r="G117" i="2"/>
  <c r="G157" i="2"/>
  <c r="G577" i="2"/>
  <c r="G417" i="2"/>
  <c r="G257" i="2"/>
  <c r="G937" i="2"/>
  <c r="G877" i="2"/>
  <c r="G277" i="2"/>
  <c r="G477" i="2"/>
  <c r="G597" i="2"/>
  <c r="G197" i="2"/>
  <c r="G557" i="2"/>
  <c r="G337" i="2"/>
  <c r="G517" i="2"/>
  <c r="G377" i="2"/>
  <c r="G137" i="2"/>
  <c r="G777" i="2"/>
  <c r="G797" i="2"/>
  <c r="G717" i="2"/>
  <c r="G77" i="2"/>
  <c r="G458" i="2"/>
  <c r="G58" i="2"/>
  <c r="G678" i="2"/>
  <c r="G838" i="2"/>
  <c r="G498" i="2"/>
  <c r="G618" i="2"/>
  <c r="G218" i="2"/>
  <c r="G698" i="2"/>
  <c r="G758" i="2"/>
  <c r="G358" i="2"/>
  <c r="A673" i="2"/>
  <c r="A3987" i="2"/>
  <c r="A3387" i="2"/>
  <c r="A1627" i="2"/>
  <c r="J716" i="2"/>
  <c r="A2207" i="2"/>
  <c r="A5807" i="2"/>
  <c r="J294" i="2"/>
  <c r="A2287" i="2"/>
  <c r="K617" i="2"/>
  <c r="A5827" i="2"/>
  <c r="A2627" i="2"/>
  <c r="A2387" i="2"/>
  <c r="A216" i="2"/>
  <c r="K1058" i="2"/>
  <c r="J1118" i="2"/>
  <c r="A895" i="2"/>
  <c r="A5567" i="2"/>
  <c r="A2647" i="2"/>
  <c r="K457" i="2"/>
  <c r="A4807" i="2"/>
  <c r="K1099" i="2"/>
  <c r="A2027" i="2"/>
  <c r="A4447" i="2"/>
  <c r="A3187" i="2"/>
  <c r="A1907" i="2"/>
  <c r="A1035" i="2"/>
  <c r="A2587" i="2"/>
  <c r="J497" i="2"/>
  <c r="A1287" i="2"/>
  <c r="J1038" i="2"/>
  <c r="A456" i="2"/>
  <c r="A2867" i="2"/>
  <c r="A1098" i="2"/>
  <c r="A4607" i="2"/>
  <c r="A5907" i="2"/>
  <c r="J757" i="2"/>
  <c r="A3107" i="2"/>
  <c r="A3007" i="2"/>
  <c r="J196" i="2"/>
  <c r="A5507" i="2"/>
  <c r="A2907" i="2"/>
  <c r="K1138" i="2"/>
  <c r="A1507" i="2"/>
  <c r="A3967" i="2"/>
  <c r="A1447" i="2"/>
  <c r="J57" i="2"/>
  <c r="A375" i="2"/>
  <c r="A4287" i="2"/>
  <c r="A4007" i="2"/>
  <c r="J896" i="2"/>
  <c r="A2407" i="2"/>
  <c r="K736" i="2"/>
  <c r="A555" i="2"/>
  <c r="A3627" i="2"/>
  <c r="A3407" i="2"/>
  <c r="K176" i="2"/>
  <c r="A3367" i="2"/>
  <c r="A5667" i="2"/>
  <c r="A1387" i="2"/>
  <c r="A2507" i="2"/>
  <c r="A235" i="2"/>
  <c r="A2887" i="2"/>
  <c r="J936" i="2"/>
  <c r="J999" i="2"/>
  <c r="A855" i="2"/>
  <c r="A4647" i="2"/>
  <c r="A5887" i="2"/>
  <c r="A635" i="2"/>
  <c r="A2047" i="2"/>
  <c r="K497" i="2"/>
  <c r="K876" i="2"/>
  <c r="J96" i="2"/>
  <c r="K796" i="2"/>
  <c r="A4347" i="2"/>
  <c r="A2527" i="2"/>
  <c r="A5687" i="2"/>
  <c r="K316" i="2"/>
  <c r="A5727" i="2"/>
  <c r="J617" i="2"/>
  <c r="A1427" i="2"/>
  <c r="A3867" i="2"/>
  <c r="A1137" i="2"/>
  <c r="A4547" i="2"/>
  <c r="A1707" i="2"/>
  <c r="J1099" i="2"/>
  <c r="A2767" i="2"/>
  <c r="A4767" i="2"/>
  <c r="A5107" i="2"/>
  <c r="K336" i="2"/>
  <c r="A1947" i="2"/>
  <c r="A2927" i="2"/>
  <c r="A1887" i="2"/>
  <c r="A1347" i="2"/>
  <c r="A5347" i="2"/>
  <c r="A1587" i="2"/>
  <c r="K354" i="2"/>
  <c r="A3567" i="2"/>
  <c r="A1267" i="2"/>
  <c r="A595" i="2"/>
  <c r="A3467" i="2"/>
  <c r="A3947" i="2"/>
  <c r="A5007" i="2"/>
  <c r="A1767" i="2"/>
  <c r="A2787" i="2"/>
  <c r="A1547" i="2"/>
  <c r="A255" i="2"/>
  <c r="A5127" i="2"/>
  <c r="A4387" i="2"/>
  <c r="J697" i="2"/>
  <c r="A5167" i="2"/>
  <c r="A4747" i="2"/>
  <c r="A435" i="2"/>
  <c r="A1727" i="2"/>
  <c r="J816" i="2"/>
  <c r="A2847" i="2"/>
  <c r="A1747" i="2"/>
  <c r="A2087" i="2"/>
  <c r="K256" i="2"/>
  <c r="A3727" i="2"/>
  <c r="K674" i="2"/>
  <c r="J876" i="2"/>
  <c r="A3527" i="2"/>
  <c r="J36" i="2"/>
  <c r="A5607" i="2"/>
  <c r="A3507" i="2"/>
  <c r="A496" i="2"/>
  <c r="A2007" i="2"/>
  <c r="A5427" i="2"/>
  <c r="A1807" i="2"/>
  <c r="J1019" i="2"/>
  <c r="A2367" i="2"/>
  <c r="A195" i="2"/>
  <c r="A715" i="2"/>
  <c r="A535" i="2"/>
  <c r="J1138" i="2"/>
  <c r="A2947" i="2"/>
  <c r="A1987" i="2"/>
  <c r="A3647" i="2"/>
  <c r="A1867" i="2"/>
  <c r="A2547" i="2"/>
  <c r="A3167" i="2"/>
  <c r="A3127" i="2"/>
  <c r="A5327" i="2"/>
  <c r="A795" i="2"/>
  <c r="A4327" i="2"/>
  <c r="A4487" i="2"/>
  <c r="A2987" i="2"/>
  <c r="A335" i="2"/>
  <c r="A2067" i="2"/>
  <c r="A2167" i="2"/>
  <c r="A4407" i="2"/>
  <c r="A1527" i="2"/>
  <c r="A1187" i="2"/>
  <c r="A3827" i="2"/>
  <c r="K57" i="2"/>
  <c r="K834" i="2"/>
  <c r="A616" i="2"/>
  <c r="A5787" i="2"/>
  <c r="K914" i="2"/>
  <c r="A956" i="2"/>
  <c r="A3347" i="2"/>
  <c r="J457" i="2"/>
  <c r="J336" i="2"/>
  <c r="A4067" i="2"/>
  <c r="K217" i="2"/>
  <c r="A175" i="2"/>
  <c r="A4427" i="2"/>
  <c r="A4627" i="2"/>
  <c r="A5627" i="2"/>
  <c r="K999" i="2"/>
  <c r="J796" i="2"/>
  <c r="A975" i="2"/>
  <c r="J674" i="2"/>
  <c r="J556" i="2"/>
  <c r="A4967" i="2"/>
  <c r="A1687" i="2"/>
  <c r="A1117" i="2"/>
  <c r="A4567" i="2"/>
  <c r="A1077" i="2"/>
  <c r="A315" i="2"/>
  <c r="A735" i="2"/>
  <c r="A1847" i="2"/>
  <c r="A4367" i="2"/>
  <c r="A5487" i="2"/>
  <c r="J354" i="2"/>
  <c r="A3067" i="2"/>
  <c r="K1078" i="2"/>
  <c r="A5867" i="2"/>
  <c r="A996" i="2"/>
  <c r="A5947" i="2"/>
  <c r="A415" i="2"/>
  <c r="K576" i="2"/>
  <c r="A3307" i="2"/>
  <c r="A475" i="2"/>
  <c r="K416" i="2"/>
  <c r="A2227" i="2"/>
  <c r="K596" i="2"/>
  <c r="A3147" i="2"/>
  <c r="K156" i="2"/>
  <c r="A4247" i="2"/>
  <c r="J436" i="2"/>
  <c r="A155" i="2"/>
  <c r="K556" i="2"/>
  <c r="A4847" i="2"/>
  <c r="A3227" i="2"/>
  <c r="A5407" i="2"/>
  <c r="K536" i="2"/>
  <c r="K116" i="2"/>
  <c r="A1607" i="2"/>
  <c r="A4167" i="2"/>
  <c r="K516" i="2"/>
  <c r="A3667" i="2"/>
  <c r="A2147" i="2"/>
  <c r="K396" i="2"/>
  <c r="A1227" i="2"/>
  <c r="J776" i="2"/>
  <c r="J536" i="2"/>
  <c r="A3707" i="2"/>
  <c r="A1367" i="2"/>
  <c r="A4587" i="2"/>
  <c r="A3767" i="2"/>
  <c r="A2307" i="2"/>
  <c r="A2807" i="2"/>
  <c r="A1167" i="2"/>
  <c r="A2487" i="2"/>
  <c r="J116" i="2"/>
  <c r="K654" i="2"/>
  <c r="K979" i="2"/>
  <c r="J316" i="2"/>
  <c r="J834" i="2"/>
  <c r="A3447" i="2"/>
  <c r="A875" i="2"/>
  <c r="A5367" i="2"/>
  <c r="A2707" i="2"/>
  <c r="J914" i="2"/>
  <c r="A696" i="2"/>
  <c r="J979" i="2"/>
  <c r="A4667" i="2"/>
  <c r="A4107" i="2"/>
  <c r="A4907" i="2"/>
  <c r="A3207" i="2"/>
  <c r="A3747" i="2"/>
  <c r="A5467" i="2"/>
  <c r="A4987" i="2"/>
  <c r="A3787" i="2"/>
  <c r="A1967" i="2"/>
  <c r="K476" i="2"/>
  <c r="A4867" i="2"/>
  <c r="J1058" i="2"/>
  <c r="A275" i="2"/>
  <c r="K436" i="2"/>
  <c r="J636" i="2"/>
  <c r="K376" i="2"/>
  <c r="A1567" i="2"/>
  <c r="A4207" i="2"/>
  <c r="A4187" i="2"/>
  <c r="A5287" i="2"/>
  <c r="K276" i="2"/>
  <c r="A515" i="2"/>
  <c r="A3607" i="2"/>
  <c r="A5247" i="2"/>
  <c r="A4887" i="2"/>
  <c r="A3287" i="2"/>
  <c r="K136" i="2"/>
  <c r="J736" i="2"/>
  <c r="K96" i="2"/>
  <c r="K1038" i="2"/>
  <c r="K896" i="2"/>
  <c r="A3927" i="2"/>
  <c r="J76" i="2"/>
  <c r="J256" i="2"/>
  <c r="A2747" i="2"/>
  <c r="A3487" i="2"/>
  <c r="A2107" i="2"/>
  <c r="A3327" i="2"/>
  <c r="A2267" i="2"/>
  <c r="A5087" i="2"/>
  <c r="A3047" i="2"/>
  <c r="A2687" i="2"/>
  <c r="A4267" i="2"/>
  <c r="A2607" i="2"/>
  <c r="A395" i="2"/>
  <c r="A3807" i="2"/>
  <c r="J476" i="2"/>
  <c r="A2247" i="2"/>
  <c r="A4147" i="2"/>
  <c r="A2427" i="2"/>
  <c r="J176" i="2"/>
  <c r="A2347" i="2"/>
  <c r="J596" i="2"/>
  <c r="A4307" i="2"/>
  <c r="A1207" i="2"/>
  <c r="A4687" i="2"/>
  <c r="K959" i="2"/>
  <c r="K1019" i="2"/>
  <c r="A4087" i="2"/>
  <c r="K757" i="2"/>
  <c r="K1118" i="2"/>
  <c r="A4947" i="2"/>
  <c r="A3887" i="2"/>
  <c r="J236" i="2"/>
  <c r="A75" i="2"/>
  <c r="A594" i="2"/>
  <c r="A1015" i="2"/>
  <c r="A2187" i="2"/>
  <c r="K294" i="2"/>
  <c r="A2447" i="2"/>
  <c r="K36" i="2"/>
  <c r="J376" i="2"/>
  <c r="A4027" i="2"/>
  <c r="J416" i="2"/>
  <c r="J576" i="2"/>
  <c r="A5967" i="2"/>
  <c r="A2567" i="2"/>
  <c r="J156" i="2"/>
  <c r="A5527" i="2"/>
  <c r="A4787" i="2"/>
  <c r="K936" i="2"/>
  <c r="K636" i="2"/>
  <c r="A3547" i="2"/>
  <c r="A4927" i="2"/>
  <c r="K697" i="2"/>
  <c r="A4467" i="2"/>
  <c r="A2827" i="2"/>
  <c r="A5927" i="2"/>
  <c r="A3427" i="2"/>
  <c r="A5447" i="2"/>
  <c r="A3247" i="2"/>
  <c r="J396" i="2"/>
  <c r="K856" i="2"/>
  <c r="A3267" i="2"/>
  <c r="A815" i="2"/>
  <c r="A4727" i="2"/>
  <c r="J136" i="2"/>
  <c r="J1078" i="2"/>
  <c r="A5307" i="2"/>
  <c r="A1927" i="2"/>
  <c r="A1327" i="2"/>
  <c r="J217" i="2"/>
  <c r="A1307" i="2"/>
  <c r="J654" i="2"/>
  <c r="A575" i="2"/>
  <c r="A2327" i="2"/>
  <c r="A5387" i="2"/>
  <c r="A5767" i="2"/>
  <c r="A935" i="2"/>
  <c r="A3587" i="2"/>
  <c r="A2967" i="2"/>
  <c r="A5067" i="2"/>
  <c r="A3907" i="2"/>
  <c r="A5227" i="2"/>
  <c r="A5987" i="2"/>
  <c r="A4047" i="2"/>
  <c r="A5147" i="2"/>
  <c r="A5707" i="2"/>
  <c r="J276" i="2"/>
  <c r="A1057" i="2"/>
  <c r="A2727" i="2"/>
  <c r="A756" i="2"/>
  <c r="A2467" i="2"/>
  <c r="A3087" i="2"/>
  <c r="A4127" i="2"/>
  <c r="K76" i="2"/>
  <c r="A3847" i="2"/>
  <c r="K816" i="2"/>
  <c r="A5047" i="2"/>
  <c r="K236" i="2"/>
  <c r="A5267" i="2"/>
  <c r="A3027" i="2"/>
  <c r="A5847" i="2"/>
  <c r="A1787" i="2"/>
  <c r="K776" i="2"/>
  <c r="A4227" i="2"/>
  <c r="A5187" i="2"/>
  <c r="A5647" i="2"/>
  <c r="A5587" i="2"/>
  <c r="A1827" i="2"/>
  <c r="A1487" i="2"/>
  <c r="A775" i="2"/>
  <c r="J856" i="2"/>
  <c r="J959" i="2"/>
  <c r="A1667" i="2"/>
  <c r="K196" i="2"/>
  <c r="A1407" i="2"/>
  <c r="A1467" i="2"/>
  <c r="A4707" i="2"/>
  <c r="A4827" i="2"/>
  <c r="A5547" i="2"/>
  <c r="A3687" i="2"/>
  <c r="A2127" i="2"/>
  <c r="A1247" i="2"/>
  <c r="A2667" i="2"/>
  <c r="A5207" i="2"/>
  <c r="A5027" i="2"/>
  <c r="A1647" i="2"/>
  <c r="A4507" i="2"/>
  <c r="J516" i="2"/>
  <c r="A4527" i="2"/>
  <c r="K716" i="2"/>
  <c r="A5747" i="2"/>
  <c r="G656" i="2" l="1"/>
  <c r="I676" i="2"/>
  <c r="I836" i="2"/>
  <c r="G296" i="2"/>
  <c r="G916" i="2"/>
  <c r="I356" i="2"/>
  <c r="G1140" i="2"/>
  <c r="G1120" i="2"/>
  <c r="G1040" i="2"/>
  <c r="G1060" i="2"/>
  <c r="G1080" i="2"/>
  <c r="G1021" i="2"/>
  <c r="G1101" i="2"/>
  <c r="G1001" i="2"/>
  <c r="G981" i="2"/>
  <c r="G961" i="2"/>
  <c r="G158" i="2"/>
  <c r="G98" i="2"/>
  <c r="G378" i="2"/>
  <c r="G198" i="2"/>
  <c r="G278" i="2"/>
  <c r="G538" i="2"/>
  <c r="G858" i="2"/>
  <c r="G638" i="2"/>
  <c r="G78" i="2"/>
  <c r="G778" i="2"/>
  <c r="G518" i="2"/>
  <c r="G598" i="2"/>
  <c r="G478" i="2"/>
  <c r="G418" i="2"/>
  <c r="G578" i="2"/>
  <c r="G798" i="2"/>
  <c r="G338" i="2"/>
  <c r="G178" i="2"/>
  <c r="G938" i="2"/>
  <c r="G238" i="2"/>
  <c r="G38" i="2"/>
  <c r="G878" i="2"/>
  <c r="G118" i="2"/>
  <c r="G898" i="2"/>
  <c r="G258" i="2"/>
  <c r="G318" i="2"/>
  <c r="G718" i="2"/>
  <c r="G138" i="2"/>
  <c r="G558" i="2"/>
  <c r="G438" i="2"/>
  <c r="G818" i="2"/>
  <c r="G398" i="2"/>
  <c r="G738" i="2"/>
  <c r="G219" i="2"/>
  <c r="G59" i="2"/>
  <c r="G359" i="2"/>
  <c r="G699" i="2"/>
  <c r="G499" i="2"/>
  <c r="G679" i="2"/>
  <c r="G839" i="2"/>
  <c r="G759" i="2"/>
  <c r="G619" i="2"/>
  <c r="G459" i="2"/>
  <c r="A654" i="2"/>
  <c r="K618" i="2"/>
  <c r="K1039" i="2"/>
  <c r="A156" i="2"/>
  <c r="K877" i="2"/>
  <c r="J877" i="2"/>
  <c r="A436" i="2"/>
  <c r="K758" i="2"/>
  <c r="K897" i="2"/>
  <c r="A856" i="2"/>
  <c r="A76" i="2"/>
  <c r="A1058" i="2"/>
  <c r="J557" i="2"/>
  <c r="J1119" i="2"/>
  <c r="A636" i="2"/>
  <c r="J177" i="2"/>
  <c r="A176" i="2"/>
  <c r="K458" i="2"/>
  <c r="J458" i="2"/>
  <c r="A1016" i="2"/>
  <c r="K177" i="2"/>
  <c r="K537" i="2"/>
  <c r="J377" i="2"/>
  <c r="A1078" i="2"/>
  <c r="K557" i="2"/>
  <c r="K737" i="2"/>
  <c r="J337" i="2"/>
  <c r="A674" i="2"/>
  <c r="K355" i="2"/>
  <c r="A276" i="2"/>
  <c r="J637" i="2"/>
  <c r="A997" i="2"/>
  <c r="J1020" i="2"/>
  <c r="A416" i="2"/>
  <c r="K1100" i="2"/>
  <c r="A516" i="2"/>
  <c r="A957" i="2"/>
  <c r="A1118" i="2"/>
  <c r="J477" i="2"/>
  <c r="J517" i="2"/>
  <c r="K717" i="2"/>
  <c r="K257" i="2"/>
  <c r="J797" i="2"/>
  <c r="J777" i="2"/>
  <c r="A596" i="2"/>
  <c r="K97" i="2"/>
  <c r="J717" i="2"/>
  <c r="A396" i="2"/>
  <c r="J218" i="2"/>
  <c r="A294" i="2"/>
  <c r="J857" i="2"/>
  <c r="K857" i="2"/>
  <c r="J758" i="2"/>
  <c r="K1119" i="2"/>
  <c r="K58" i="2"/>
  <c r="J737" i="2"/>
  <c r="A376" i="2"/>
  <c r="A476" i="2"/>
  <c r="K277" i="2"/>
  <c r="K137" i="2"/>
  <c r="A236" i="2"/>
  <c r="K797" i="2"/>
  <c r="K295" i="2"/>
  <c r="J655" i="2"/>
  <c r="A256" i="2"/>
  <c r="K980" i="2"/>
  <c r="A796" i="2"/>
  <c r="K437" i="2"/>
  <c r="A816" i="2"/>
  <c r="J1100" i="2"/>
  <c r="J937" i="2"/>
  <c r="A57" i="2"/>
  <c r="J1039" i="2"/>
  <c r="J1000" i="2"/>
  <c r="A976" i="2"/>
  <c r="J597" i="2"/>
  <c r="A1099" i="2"/>
  <c r="A736" i="2"/>
  <c r="K117" i="2"/>
  <c r="J355" i="2"/>
  <c r="A834" i="2"/>
  <c r="K915" i="2"/>
  <c r="A697" i="2"/>
  <c r="A757" i="2"/>
  <c r="K1079" i="2"/>
  <c r="K337" i="2"/>
  <c r="J1059" i="2"/>
  <c r="A776" i="2"/>
  <c r="A217" i="2"/>
  <c r="J295" i="2"/>
  <c r="A336" i="2"/>
  <c r="K498" i="2"/>
  <c r="J277" i="2"/>
  <c r="A457" i="2"/>
  <c r="K655" i="2"/>
  <c r="J915" i="2"/>
  <c r="J77" i="2"/>
  <c r="A576" i="2"/>
  <c r="K417" i="2"/>
  <c r="K1020" i="2"/>
  <c r="K157" i="2"/>
  <c r="J897" i="2"/>
  <c r="A536" i="2"/>
  <c r="J835" i="2"/>
  <c r="K777" i="2"/>
  <c r="J618" i="2"/>
  <c r="K377" i="2"/>
  <c r="A196" i="2"/>
  <c r="J960" i="2"/>
  <c r="K517" i="2"/>
  <c r="A556" i="2"/>
  <c r="J97" i="2"/>
  <c r="J397" i="2"/>
  <c r="K237" i="2"/>
  <c r="A936" i="2"/>
  <c r="J37" i="2"/>
  <c r="K77" i="2"/>
  <c r="J498" i="2"/>
  <c r="J577" i="2"/>
  <c r="K218" i="2"/>
  <c r="K1000" i="2"/>
  <c r="K835" i="2"/>
  <c r="J437" i="2"/>
  <c r="A876" i="2"/>
  <c r="A354" i="2"/>
  <c r="A1138" i="2"/>
  <c r="J58" i="2"/>
  <c r="J537" i="2"/>
  <c r="A497" i="2"/>
  <c r="J698" i="2"/>
  <c r="J417" i="2"/>
  <c r="K698" i="2"/>
  <c r="J317" i="2"/>
  <c r="A617" i="2"/>
  <c r="A316" i="2"/>
  <c r="A1036" i="2"/>
  <c r="K197" i="2"/>
  <c r="K675" i="2"/>
  <c r="K477" i="2"/>
  <c r="A716" i="2"/>
  <c r="A914" i="2"/>
  <c r="K1139" i="2"/>
  <c r="J1139" i="2"/>
  <c r="K597" i="2"/>
  <c r="J980" i="2"/>
  <c r="J817" i="2"/>
  <c r="K397" i="2"/>
  <c r="K37" i="2"/>
  <c r="K960" i="2"/>
  <c r="K937" i="2"/>
  <c r="J157" i="2"/>
  <c r="J117" i="2"/>
  <c r="K317" i="2"/>
  <c r="K577" i="2"/>
  <c r="J197" i="2"/>
  <c r="A896" i="2"/>
  <c r="J1079" i="2"/>
  <c r="K817" i="2"/>
  <c r="J675" i="2"/>
  <c r="K637" i="2"/>
  <c r="J237" i="2"/>
  <c r="J137" i="2"/>
  <c r="K1059" i="2"/>
  <c r="J257" i="2"/>
  <c r="I677" i="2" l="1"/>
  <c r="G657" i="2"/>
  <c r="G297" i="2"/>
  <c r="I837" i="2"/>
  <c r="G917" i="2"/>
  <c r="I357" i="2"/>
  <c r="G1061" i="2"/>
  <c r="G1141" i="2"/>
  <c r="G1041" i="2"/>
  <c r="G1081" i="2"/>
  <c r="G1121" i="2"/>
  <c r="G962" i="2"/>
  <c r="G1102" i="2"/>
  <c r="G982" i="2"/>
  <c r="G1022" i="2"/>
  <c r="G1002" i="2"/>
  <c r="G39" i="2"/>
  <c r="G859" i="2"/>
  <c r="G99" i="2"/>
  <c r="G159" i="2"/>
  <c r="G479" i="2"/>
  <c r="G819" i="2"/>
  <c r="G139" i="2"/>
  <c r="G899" i="2"/>
  <c r="G179" i="2"/>
  <c r="G339" i="2"/>
  <c r="G579" i="2"/>
  <c r="G599" i="2"/>
  <c r="G379" i="2"/>
  <c r="G559" i="2"/>
  <c r="G879" i="2"/>
  <c r="G539" i="2"/>
  <c r="G199" i="2"/>
  <c r="G739" i="2"/>
  <c r="G719" i="2"/>
  <c r="G319" i="2"/>
  <c r="G239" i="2"/>
  <c r="G779" i="2"/>
  <c r="G119" i="2"/>
  <c r="G439" i="2"/>
  <c r="G799" i="2"/>
  <c r="G419" i="2"/>
  <c r="G79" i="2"/>
  <c r="G639" i="2"/>
  <c r="G279" i="2"/>
  <c r="G399" i="2"/>
  <c r="G259" i="2"/>
  <c r="G939" i="2"/>
  <c r="G519" i="2"/>
  <c r="G840" i="2"/>
  <c r="G360" i="2"/>
  <c r="G700" i="2"/>
  <c r="G620" i="2"/>
  <c r="G60" i="2"/>
  <c r="G460" i="2"/>
  <c r="G500" i="2"/>
  <c r="G760" i="2"/>
  <c r="G680" i="2"/>
  <c r="G220" i="2"/>
  <c r="A675" i="2"/>
  <c r="J1001" i="2"/>
  <c r="A977" i="2"/>
  <c r="K138" i="2"/>
  <c r="A377" i="2"/>
  <c r="K598" i="2"/>
  <c r="K499" i="2"/>
  <c r="A618" i="2"/>
  <c r="K1060" i="2"/>
  <c r="A517" i="2"/>
  <c r="K219" i="2"/>
  <c r="A1037" i="2"/>
  <c r="J158" i="2"/>
  <c r="A1079" i="2"/>
  <c r="J258" i="2"/>
  <c r="J718" i="2"/>
  <c r="K356" i="2"/>
  <c r="A117" i="2"/>
  <c r="K738" i="2"/>
  <c r="J619" i="2"/>
  <c r="A835" i="2"/>
  <c r="K1040" i="2"/>
  <c r="A758" i="2"/>
  <c r="A597" i="2"/>
  <c r="J836" i="2"/>
  <c r="K198" i="2"/>
  <c r="K858" i="2"/>
  <c r="K1120" i="2"/>
  <c r="J558" i="2"/>
  <c r="A655" i="2"/>
  <c r="A717" i="2"/>
  <c r="K518" i="2"/>
  <c r="A537" i="2"/>
  <c r="A477" i="2"/>
  <c r="A437" i="2"/>
  <c r="A998" i="2"/>
  <c r="K278" i="2"/>
  <c r="J778" i="2"/>
  <c r="A177" i="2"/>
  <c r="A237" i="2"/>
  <c r="A1119" i="2"/>
  <c r="A1059" i="2"/>
  <c r="K158" i="2"/>
  <c r="J356" i="2"/>
  <c r="J1040" i="2"/>
  <c r="K98" i="2"/>
  <c r="K1080" i="2"/>
  <c r="K296" i="2"/>
  <c r="K59" i="2"/>
  <c r="A277" i="2"/>
  <c r="A218" i="2"/>
  <c r="A637" i="2"/>
  <c r="K1140" i="2"/>
  <c r="A557" i="2"/>
  <c r="K961" i="2"/>
  <c r="K459" i="2"/>
  <c r="A958" i="2"/>
  <c r="J818" i="2"/>
  <c r="A417" i="2"/>
  <c r="A197" i="2"/>
  <c r="K558" i="2"/>
  <c r="J398" i="2"/>
  <c r="K538" i="2"/>
  <c r="A97" i="2"/>
  <c r="A797" i="2"/>
  <c r="J219" i="2"/>
  <c r="A295" i="2"/>
  <c r="A817" i="2"/>
  <c r="K178" i="2"/>
  <c r="J296" i="2"/>
  <c r="J738" i="2"/>
  <c r="K438" i="2"/>
  <c r="J318" i="2"/>
  <c r="K238" i="2"/>
  <c r="J938" i="2"/>
  <c r="J378" i="2"/>
  <c r="A458" i="2"/>
  <c r="J676" i="2"/>
  <c r="J338" i="2"/>
  <c r="J59" i="2"/>
  <c r="J1140" i="2"/>
  <c r="J1120" i="2"/>
  <c r="A698" i="2"/>
  <c r="J138" i="2"/>
  <c r="J1021" i="2"/>
  <c r="J98" i="2"/>
  <c r="J499" i="2"/>
  <c r="A355" i="2"/>
  <c r="K118" i="2"/>
  <c r="K676" i="2"/>
  <c r="J578" i="2"/>
  <c r="A1017" i="2"/>
  <c r="J518" i="2"/>
  <c r="J78" i="2"/>
  <c r="A397" i="2"/>
  <c r="K1021" i="2"/>
  <c r="A897" i="2"/>
  <c r="J238" i="2"/>
  <c r="K398" i="2"/>
  <c r="A317" i="2"/>
  <c r="K318" i="2"/>
  <c r="J118" i="2"/>
  <c r="J1101" i="2"/>
  <c r="J438" i="2"/>
  <c r="K1001" i="2"/>
  <c r="J478" i="2"/>
  <c r="K699" i="2"/>
  <c r="A577" i="2"/>
  <c r="K981" i="2"/>
  <c r="A1100" i="2"/>
  <c r="A58" i="2"/>
  <c r="J1080" i="2"/>
  <c r="K916" i="2"/>
  <c r="K938" i="2"/>
  <c r="K378" i="2"/>
  <c r="K1101" i="2"/>
  <c r="J961" i="2"/>
  <c r="J656" i="2"/>
  <c r="J278" i="2"/>
  <c r="K798" i="2"/>
  <c r="A257" i="2"/>
  <c r="A937" i="2"/>
  <c r="J878" i="2"/>
  <c r="J898" i="2"/>
  <c r="J178" i="2"/>
  <c r="K78" i="2"/>
  <c r="A915" i="2"/>
  <c r="J1060" i="2"/>
  <c r="J538" i="2"/>
  <c r="J798" i="2"/>
  <c r="J459" i="2"/>
  <c r="K818" i="2"/>
  <c r="A157" i="2"/>
  <c r="K619" i="2"/>
  <c r="J198" i="2"/>
  <c r="J759" i="2"/>
  <c r="K478" i="2"/>
  <c r="K38" i="2"/>
  <c r="A137" i="2"/>
  <c r="K898" i="2"/>
  <c r="A877" i="2"/>
  <c r="A337" i="2"/>
  <c r="J916" i="2"/>
  <c r="J38" i="2"/>
  <c r="A1139" i="2"/>
  <c r="A777" i="2"/>
  <c r="K759" i="2"/>
  <c r="K258" i="2"/>
  <c r="J418" i="2"/>
  <c r="A498" i="2"/>
  <c r="K338" i="2"/>
  <c r="K718" i="2"/>
  <c r="A737" i="2"/>
  <c r="K418" i="2"/>
  <c r="A37" i="2"/>
  <c r="K656" i="2"/>
  <c r="K578" i="2"/>
  <c r="J638" i="2"/>
  <c r="A77" i="2"/>
  <c r="J858" i="2"/>
  <c r="A857" i="2"/>
  <c r="J699" i="2"/>
  <c r="K638" i="2"/>
  <c r="K836" i="2"/>
  <c r="K878" i="2"/>
  <c r="J598" i="2"/>
  <c r="K778" i="2"/>
  <c r="J981" i="2"/>
  <c r="G658" i="2" l="1"/>
  <c r="I678" i="2"/>
  <c r="I838" i="2"/>
  <c r="I358" i="2"/>
  <c r="G298" i="2"/>
  <c r="G918" i="2"/>
  <c r="G1082" i="2"/>
  <c r="G1062" i="2"/>
  <c r="G1042" i="2"/>
  <c r="G1122" i="2"/>
  <c r="G1142" i="2"/>
  <c r="G1103" i="2"/>
  <c r="G1003" i="2"/>
  <c r="G1023" i="2"/>
  <c r="G963" i="2"/>
  <c r="G983" i="2"/>
  <c r="G900" i="2"/>
  <c r="G140" i="2"/>
  <c r="G260" i="2"/>
  <c r="G400" i="2"/>
  <c r="G420" i="2"/>
  <c r="G240" i="2"/>
  <c r="G200" i="2"/>
  <c r="G180" i="2"/>
  <c r="G380" i="2"/>
  <c r="G480" i="2"/>
  <c r="G860" i="2"/>
  <c r="G800" i="2"/>
  <c r="G440" i="2"/>
  <c r="G580" i="2"/>
  <c r="G160" i="2"/>
  <c r="G40" i="2"/>
  <c r="G520" i="2"/>
  <c r="G600" i="2"/>
  <c r="G880" i="2"/>
  <c r="G280" i="2"/>
  <c r="G780" i="2"/>
  <c r="G740" i="2"/>
  <c r="G540" i="2"/>
  <c r="G560" i="2"/>
  <c r="G640" i="2"/>
  <c r="G940" i="2"/>
  <c r="G720" i="2"/>
  <c r="G340" i="2"/>
  <c r="G820" i="2"/>
  <c r="G80" i="2"/>
  <c r="G120" i="2"/>
  <c r="G320" i="2"/>
  <c r="G100" i="2"/>
  <c r="G61" i="2"/>
  <c r="G701" i="2"/>
  <c r="G501" i="2"/>
  <c r="G621" i="2"/>
  <c r="G681" i="2"/>
  <c r="G461" i="2"/>
  <c r="G361" i="2"/>
  <c r="G841" i="2"/>
  <c r="G221" i="2"/>
  <c r="G761" i="2"/>
  <c r="A656" i="2"/>
  <c r="K982" i="2"/>
  <c r="J519" i="2"/>
  <c r="J419" i="2"/>
  <c r="K1081" i="2"/>
  <c r="J917" i="2"/>
  <c r="J539" i="2"/>
  <c r="K859" i="2"/>
  <c r="A718" i="2"/>
  <c r="A418" i="2"/>
  <c r="K419" i="2"/>
  <c r="A258" i="2"/>
  <c r="A1080" i="2"/>
  <c r="K500" i="2"/>
  <c r="K79" i="2"/>
  <c r="A38" i="2"/>
  <c r="B55" i="11"/>
  <c r="K439" i="2"/>
  <c r="K739" i="2"/>
  <c r="J620" i="2"/>
  <c r="A59" i="2"/>
  <c r="K319" i="2"/>
  <c r="J500" i="2"/>
  <c r="A1018" i="2"/>
  <c r="K719" i="2"/>
  <c r="J1121" i="2"/>
  <c r="J159" i="2"/>
  <c r="K700" i="2"/>
  <c r="A676" i="2"/>
  <c r="K1061" i="2"/>
  <c r="A978" i="2"/>
  <c r="K879" i="2"/>
  <c r="A558" i="2"/>
  <c r="A98" i="2"/>
  <c r="K760" i="2"/>
  <c r="J1102" i="2"/>
  <c r="A219" i="2"/>
  <c r="K60" i="2"/>
  <c r="K1002" i="2"/>
  <c r="J279" i="2"/>
  <c r="A1060" i="2"/>
  <c r="A178" i="2"/>
  <c r="K799" i="2"/>
  <c r="A296" i="2"/>
  <c r="K599" i="2"/>
  <c r="J1002" i="2"/>
  <c r="A999" i="2"/>
  <c r="A378" i="2"/>
  <c r="J379" i="2"/>
  <c r="J639" i="2"/>
  <c r="A638" i="2"/>
  <c r="J60" i="2"/>
  <c r="B55" i="10"/>
  <c r="J1022" i="2"/>
  <c r="K357" i="2"/>
  <c r="K559" i="2"/>
  <c r="A118" i="2"/>
  <c r="B55" i="8"/>
  <c r="K1141" i="2"/>
  <c r="A198" i="2"/>
  <c r="J579" i="2"/>
  <c r="A916" i="2"/>
  <c r="A898" i="2"/>
  <c r="J982" i="2"/>
  <c r="J139" i="2"/>
  <c r="A699" i="2"/>
  <c r="K279" i="2"/>
  <c r="K917" i="2"/>
  <c r="K139" i="2"/>
  <c r="K1022" i="2"/>
  <c r="K819" i="2"/>
  <c r="K579" i="2"/>
  <c r="K1121" i="2"/>
  <c r="A598" i="2"/>
  <c r="A238" i="2"/>
  <c r="K779" i="2"/>
  <c r="K939" i="2"/>
  <c r="J657" i="2"/>
  <c r="J939" i="2"/>
  <c r="J399" i="2"/>
  <c r="K99" i="2"/>
  <c r="J259" i="2"/>
  <c r="J179" i="2"/>
  <c r="K1041" i="2"/>
  <c r="A478" i="2"/>
  <c r="A738" i="2"/>
  <c r="J779" i="2"/>
  <c r="K1102" i="2"/>
  <c r="B55" i="9"/>
  <c r="A356" i="2"/>
  <c r="K657" i="2"/>
  <c r="K620" i="2"/>
  <c r="K339" i="2"/>
  <c r="J439" i="2"/>
  <c r="B55" i="12"/>
  <c r="A78" i="2"/>
  <c r="J962" i="2"/>
  <c r="J79" i="2"/>
  <c r="A1038" i="2"/>
  <c r="A818" i="2"/>
  <c r="A798" i="2"/>
  <c r="K239" i="2"/>
  <c r="A878" i="2"/>
  <c r="K379" i="2"/>
  <c r="A518" i="2"/>
  <c r="A158" i="2"/>
  <c r="J1061" i="2"/>
  <c r="J39" i="2"/>
  <c r="J700" i="2"/>
  <c r="A538" i="2"/>
  <c r="J339" i="2"/>
  <c r="A1140" i="2"/>
  <c r="K639" i="2"/>
  <c r="A138" i="2"/>
  <c r="K297" i="2"/>
  <c r="A459" i="2"/>
  <c r="K119" i="2"/>
  <c r="J859" i="2"/>
  <c r="J479" i="2"/>
  <c r="J220" i="2"/>
  <c r="J199" i="2"/>
  <c r="A1101" i="2"/>
  <c r="J760" i="2"/>
  <c r="J357" i="2"/>
  <c r="A398" i="2"/>
  <c r="A499" i="2"/>
  <c r="K479" i="2"/>
  <c r="J559" i="2"/>
  <c r="J1041" i="2"/>
  <c r="J739" i="2"/>
  <c r="J460" i="2"/>
  <c r="A278" i="2"/>
  <c r="K39" i="2"/>
  <c r="A759" i="2"/>
  <c r="K539" i="2"/>
  <c r="J319" i="2"/>
  <c r="J1141" i="2"/>
  <c r="J719" i="2"/>
  <c r="B55" i="13"/>
  <c r="J1081" i="2"/>
  <c r="K677" i="2"/>
  <c r="K199" i="2"/>
  <c r="K519" i="2"/>
  <c r="K460" i="2"/>
  <c r="A836" i="2"/>
  <c r="J119" i="2"/>
  <c r="J819" i="2"/>
  <c r="A619" i="2"/>
  <c r="K837" i="2"/>
  <c r="J99" i="2"/>
  <c r="A778" i="2"/>
  <c r="K179" i="2"/>
  <c r="A56" i="1"/>
  <c r="A438" i="2"/>
  <c r="K399" i="2"/>
  <c r="K899" i="2"/>
  <c r="K962" i="2"/>
  <c r="A858" i="2"/>
  <c r="J837" i="2"/>
  <c r="J799" i="2"/>
  <c r="K159" i="2"/>
  <c r="K220" i="2"/>
  <c r="A1120" i="2"/>
  <c r="J677" i="2"/>
  <c r="J599" i="2"/>
  <c r="A318" i="2"/>
  <c r="A959" i="2"/>
  <c r="A578" i="2"/>
  <c r="J899" i="2"/>
  <c r="A938" i="2"/>
  <c r="J239" i="2"/>
  <c r="K259" i="2"/>
  <c r="J297" i="2"/>
  <c r="J879" i="2"/>
  <c r="I679" i="2" l="1"/>
  <c r="G659" i="2"/>
  <c r="I359" i="2"/>
  <c r="G919" i="2"/>
  <c r="G299" i="2"/>
  <c r="I839" i="2"/>
  <c r="G1083" i="2"/>
  <c r="G1123" i="2"/>
  <c r="G1043" i="2"/>
  <c r="G1143" i="2"/>
  <c r="G1063" i="2"/>
  <c r="G1004" i="2"/>
  <c r="G984" i="2"/>
  <c r="G964" i="2"/>
  <c r="G1104" i="2"/>
  <c r="G1024" i="2"/>
  <c r="G381" i="2"/>
  <c r="G801" i="2"/>
  <c r="G41" i="2"/>
  <c r="G421" i="2"/>
  <c r="G781" i="2"/>
  <c r="G181" i="2"/>
  <c r="G901" i="2"/>
  <c r="G821" i="2"/>
  <c r="G581" i="2"/>
  <c r="G321" i="2"/>
  <c r="G541" i="2"/>
  <c r="G121" i="2"/>
  <c r="G721" i="2"/>
  <c r="G741" i="2"/>
  <c r="G281" i="2"/>
  <c r="G341" i="2"/>
  <c r="G941" i="2"/>
  <c r="G861" i="2"/>
  <c r="G241" i="2"/>
  <c r="G401" i="2"/>
  <c r="G81" i="2"/>
  <c r="G261" i="2"/>
  <c r="G641" i="2"/>
  <c r="G561" i="2"/>
  <c r="G481" i="2"/>
  <c r="G101" i="2"/>
  <c r="G881" i="2"/>
  <c r="G601" i="2"/>
  <c r="G521" i="2"/>
  <c r="G161" i="2"/>
  <c r="G441" i="2"/>
  <c r="G201" i="2"/>
  <c r="G141" i="2"/>
  <c r="G762" i="2"/>
  <c r="G622" i="2"/>
  <c r="G362" i="2"/>
  <c r="G62" i="2"/>
  <c r="G222" i="2"/>
  <c r="G682" i="2"/>
  <c r="G502" i="2"/>
  <c r="G462" i="2"/>
  <c r="G842" i="2"/>
  <c r="G702" i="2"/>
  <c r="A677" i="2"/>
  <c r="K520" i="2"/>
  <c r="K280" i="2"/>
  <c r="A439" i="2"/>
  <c r="K221" i="2"/>
  <c r="K800" i="2"/>
  <c r="A199" i="2"/>
  <c r="A1141" i="2"/>
  <c r="K761" i="2"/>
  <c r="K1082" i="2"/>
  <c r="A279" i="2"/>
  <c r="K900" i="2"/>
  <c r="K440" i="2"/>
  <c r="J358" i="2"/>
  <c r="A917" i="2"/>
  <c r="K1062" i="2"/>
  <c r="A837" i="2"/>
  <c r="J800" i="2"/>
  <c r="K358" i="2"/>
  <c r="A139" i="2"/>
  <c r="J918" i="2"/>
  <c r="K120" i="2"/>
  <c r="J838" i="2"/>
  <c r="J320" i="2"/>
  <c r="J440" i="2"/>
  <c r="A60" i="2"/>
  <c r="A657" i="2"/>
  <c r="A460" i="2"/>
  <c r="A519" i="2"/>
  <c r="A859" i="2"/>
  <c r="J298" i="2"/>
  <c r="K918" i="2"/>
  <c r="K461" i="2"/>
  <c r="J540" i="2"/>
  <c r="J501" i="2"/>
  <c r="J640" i="2"/>
  <c r="J720" i="2"/>
  <c r="J120" i="2"/>
  <c r="A1039" i="2"/>
  <c r="J100" i="2"/>
  <c r="A39" i="2"/>
  <c r="K983" i="2"/>
  <c r="A599" i="2"/>
  <c r="K1103" i="2"/>
  <c r="J420" i="2"/>
  <c r="J963" i="2"/>
  <c r="A579" i="2"/>
  <c r="K420" i="2"/>
  <c r="K298" i="2"/>
  <c r="A1061" i="2"/>
  <c r="K560" i="2"/>
  <c r="J1103" i="2"/>
  <c r="K621" i="2"/>
  <c r="J520" i="2"/>
  <c r="J740" i="2"/>
  <c r="K740" i="2"/>
  <c r="J701" i="2"/>
  <c r="J983" i="2"/>
  <c r="J780" i="2"/>
  <c r="J240" i="2"/>
  <c r="A159" i="2"/>
  <c r="K340" i="2"/>
  <c r="J1042" i="2"/>
  <c r="A979" i="2"/>
  <c r="K540" i="2"/>
  <c r="K200" i="2"/>
  <c r="A700" i="2"/>
  <c r="J1142" i="2"/>
  <c r="A119" i="2"/>
  <c r="J200" i="2"/>
  <c r="K678" i="2"/>
  <c r="J140" i="2"/>
  <c r="A939" i="2"/>
  <c r="A1102" i="2"/>
  <c r="J600" i="2"/>
  <c r="K640" i="2"/>
  <c r="A179" i="2"/>
  <c r="K380" i="2"/>
  <c r="J560" i="2"/>
  <c r="J1023" i="2"/>
  <c r="J621" i="2"/>
  <c r="K860" i="2"/>
  <c r="K838" i="2"/>
  <c r="A220" i="2"/>
  <c r="A339" i="2"/>
  <c r="K40" i="2"/>
  <c r="A79" i="2"/>
  <c r="K480" i="2"/>
  <c r="J761" i="2"/>
  <c r="K501" i="2"/>
  <c r="K160" i="2"/>
  <c r="A452" i="2"/>
  <c r="B75" i="11"/>
  <c r="J400" i="2"/>
  <c r="J900" i="2"/>
  <c r="A539" i="2"/>
  <c r="A819" i="2"/>
  <c r="A392" i="2"/>
  <c r="J40" i="2"/>
  <c r="K260" i="2"/>
  <c r="K580" i="2"/>
  <c r="K720" i="2"/>
  <c r="J380" i="2"/>
  <c r="A620" i="2"/>
  <c r="J180" i="2"/>
  <c r="J678" i="2"/>
  <c r="K880" i="2"/>
  <c r="K80" i="2"/>
  <c r="B75" i="10"/>
  <c r="J260" i="2"/>
  <c r="B95" i="9"/>
  <c r="A99" i="2"/>
  <c r="K940" i="2"/>
  <c r="K180" i="2"/>
  <c r="J1122" i="2"/>
  <c r="A639" i="2"/>
  <c r="J860" i="2"/>
  <c r="J340" i="2"/>
  <c r="A1121" i="2"/>
  <c r="A352" i="2"/>
  <c r="A357" i="2"/>
  <c r="K320" i="2"/>
  <c r="K1122" i="2"/>
  <c r="K100" i="2"/>
  <c r="A472" i="2"/>
  <c r="A379" i="2"/>
  <c r="A259" i="2"/>
  <c r="K1003" i="2"/>
  <c r="A1000" i="2"/>
  <c r="A319" i="2"/>
  <c r="B75" i="8"/>
  <c r="A372" i="2"/>
  <c r="J580" i="2"/>
  <c r="J1062" i="2"/>
  <c r="A412" i="2"/>
  <c r="K1142" i="2"/>
  <c r="A1081" i="2"/>
  <c r="K1042" i="2"/>
  <c r="J1082" i="2"/>
  <c r="A559" i="2"/>
  <c r="A879" i="2"/>
  <c r="A739" i="2"/>
  <c r="J160" i="2"/>
  <c r="K1023" i="2"/>
  <c r="A799" i="2"/>
  <c r="A719" i="2"/>
  <c r="A1019" i="2"/>
  <c r="A479" i="2"/>
  <c r="A239" i="2"/>
  <c r="K140" i="2"/>
  <c r="K658" i="2"/>
  <c r="K240" i="2"/>
  <c r="A899" i="2"/>
  <c r="K820" i="2"/>
  <c r="J880" i="2"/>
  <c r="J1003" i="2"/>
  <c r="B75" i="13"/>
  <c r="A419" i="2"/>
  <c r="A760" i="2"/>
  <c r="K701" i="2"/>
  <c r="J480" i="2"/>
  <c r="B75" i="9"/>
  <c r="A297" i="2"/>
  <c r="K400" i="2"/>
  <c r="K780" i="2"/>
  <c r="A399" i="2"/>
  <c r="J820" i="2"/>
  <c r="A500" i="2"/>
  <c r="J61" i="2"/>
  <c r="A779" i="2"/>
  <c r="J221" i="2"/>
  <c r="J940" i="2"/>
  <c r="K600" i="2"/>
  <c r="J461" i="2"/>
  <c r="J658" i="2"/>
  <c r="K61" i="2"/>
  <c r="B75" i="12"/>
  <c r="K963" i="2"/>
  <c r="A960" i="2"/>
  <c r="J80" i="2"/>
  <c r="J280" i="2"/>
  <c r="A1732" i="2"/>
  <c r="G660" i="2" l="1"/>
  <c r="I680" i="2"/>
  <c r="I840" i="2"/>
  <c r="G300" i="2"/>
  <c r="I360" i="2"/>
  <c r="G920" i="2"/>
  <c r="G1144" i="2"/>
  <c r="G1084" i="2"/>
  <c r="G1044" i="2"/>
  <c r="G1064" i="2"/>
  <c r="G1124" i="2"/>
  <c r="G1025" i="2"/>
  <c r="G985" i="2"/>
  <c r="G1105" i="2"/>
  <c r="G1005" i="2"/>
  <c r="G965" i="2"/>
  <c r="G162" i="2"/>
  <c r="G402" i="2"/>
  <c r="G822" i="2"/>
  <c r="G382" i="2"/>
  <c r="G882" i="2"/>
  <c r="G82" i="2"/>
  <c r="G942" i="2"/>
  <c r="G722" i="2"/>
  <c r="G322" i="2"/>
  <c r="G42" i="2"/>
  <c r="G522" i="2"/>
  <c r="G742" i="2"/>
  <c r="G182" i="2"/>
  <c r="G802" i="2"/>
  <c r="G202" i="2"/>
  <c r="G102" i="2"/>
  <c r="G142" i="2"/>
  <c r="G342" i="2"/>
  <c r="G902" i="2"/>
  <c r="G782" i="2"/>
  <c r="G542" i="2"/>
  <c r="G642" i="2"/>
  <c r="G862" i="2"/>
  <c r="G282" i="2"/>
  <c r="G442" i="2"/>
  <c r="G602" i="2"/>
  <c r="G482" i="2"/>
  <c r="G562" i="2"/>
  <c r="G242" i="2"/>
  <c r="G582" i="2"/>
  <c r="G262" i="2"/>
  <c r="G122" i="2"/>
  <c r="G422" i="2"/>
  <c r="G63" i="2"/>
  <c r="G683" i="2"/>
  <c r="G703" i="2"/>
  <c r="G503" i="2"/>
  <c r="G623" i="2"/>
  <c r="G843" i="2"/>
  <c r="G463" i="2"/>
  <c r="G763" i="2"/>
  <c r="G223" i="2"/>
  <c r="G363" i="2"/>
  <c r="B33" i="9"/>
  <c r="B32" i="9"/>
  <c r="A32" i="9"/>
  <c r="A658" i="2"/>
  <c r="J679" i="2"/>
  <c r="K441" i="2"/>
  <c r="K919" i="2"/>
  <c r="K1063" i="2"/>
  <c r="K1024" i="2"/>
  <c r="A61" i="2"/>
  <c r="A1020" i="2"/>
  <c r="A480" i="2"/>
  <c r="A520" i="2"/>
  <c r="J62" i="2"/>
  <c r="K1043" i="2"/>
  <c r="K502" i="2"/>
  <c r="K941" i="2"/>
  <c r="A912" i="2"/>
  <c r="J161" i="2"/>
  <c r="A200" i="2"/>
  <c r="A160" i="2"/>
  <c r="A1103" i="2"/>
  <c r="J881" i="2"/>
  <c r="A972" i="2"/>
  <c r="K1004" i="2"/>
  <c r="J381" i="2"/>
  <c r="B95" i="13"/>
  <c r="J281" i="2"/>
  <c r="A501" i="2"/>
  <c r="K1123" i="2"/>
  <c r="K781" i="2"/>
  <c r="A940" i="2"/>
  <c r="A612" i="2"/>
  <c r="A140" i="2"/>
  <c r="A40" i="2"/>
  <c r="J1063" i="2"/>
  <c r="J541" i="2"/>
  <c r="A678" i="2"/>
  <c r="A260" i="2"/>
  <c r="A1082" i="2"/>
  <c r="J141" i="2"/>
  <c r="K41" i="2"/>
  <c r="B115" i="9"/>
  <c r="A860" i="2"/>
  <c r="J81" i="2"/>
  <c r="A1142" i="2"/>
  <c r="K881" i="2"/>
  <c r="A621" i="2"/>
  <c r="K121" i="2"/>
  <c r="K581" i="2"/>
  <c r="K601" i="2"/>
  <c r="J781" i="2"/>
  <c r="A2712" i="2"/>
  <c r="K721" i="2"/>
  <c r="A560" i="2"/>
  <c r="A440" i="2"/>
  <c r="J1104" i="2"/>
  <c r="K702" i="2"/>
  <c r="K622" i="2"/>
  <c r="J441" i="2"/>
  <c r="J964" i="2"/>
  <c r="J941" i="2"/>
  <c r="K521" i="2"/>
  <c r="J462" i="2"/>
  <c r="A880" i="2"/>
  <c r="J1043" i="2"/>
  <c r="A900" i="2"/>
  <c r="K839" i="2"/>
  <c r="J299" i="2"/>
  <c r="A532" i="2"/>
  <c r="J984" i="2"/>
  <c r="A572" i="2"/>
  <c r="J421" i="2"/>
  <c r="K101" i="2"/>
  <c r="A320" i="2"/>
  <c r="J481" i="2"/>
  <c r="A331" i="2"/>
  <c r="A240" i="2"/>
  <c r="K81" i="2"/>
  <c r="A358" i="2"/>
  <c r="K359" i="2"/>
  <c r="A180" i="2"/>
  <c r="A740" i="2"/>
  <c r="A820" i="2"/>
  <c r="A838" i="2"/>
  <c r="A632" i="2"/>
  <c r="J341" i="2"/>
  <c r="A169" i="2"/>
  <c r="K241" i="2"/>
  <c r="A461" i="2"/>
  <c r="K659" i="2"/>
  <c r="K222" i="2"/>
  <c r="A780" i="2"/>
  <c r="K181" i="2"/>
  <c r="A701" i="2"/>
  <c r="J1123" i="2"/>
  <c r="K141" i="2"/>
  <c r="A492" i="2"/>
  <c r="A640" i="2"/>
  <c r="A400" i="2"/>
  <c r="A120" i="2"/>
  <c r="K462" i="2"/>
  <c r="K1083" i="2"/>
  <c r="A221" i="2"/>
  <c r="K341" i="2"/>
  <c r="K62" i="2"/>
  <c r="K741" i="2"/>
  <c r="J222" i="2"/>
  <c r="J861" i="2"/>
  <c r="A512" i="2"/>
  <c r="K299" i="2"/>
  <c r="J821" i="2"/>
  <c r="K561" i="2"/>
  <c r="J101" i="2"/>
  <c r="J1024" i="2"/>
  <c r="A380" i="2"/>
  <c r="A812" i="2"/>
  <c r="J201" i="2"/>
  <c r="A980" i="2"/>
  <c r="J919" i="2"/>
  <c r="A340" i="2"/>
  <c r="J741" i="2"/>
  <c r="B95" i="11"/>
  <c r="J901" i="2"/>
  <c r="J561" i="2"/>
  <c r="K201" i="2"/>
  <c r="J839" i="2"/>
  <c r="B95" i="12"/>
  <c r="A1040" i="2"/>
  <c r="K641" i="2"/>
  <c r="J241" i="2"/>
  <c r="K421" i="2"/>
  <c r="B95" i="10"/>
  <c r="K541" i="2"/>
  <c r="K381" i="2"/>
  <c r="A540" i="2"/>
  <c r="J659" i="2"/>
  <c r="A600" i="2"/>
  <c r="K1104" i="2"/>
  <c r="K321" i="2"/>
  <c r="J721" i="2"/>
  <c r="K161" i="2"/>
  <c r="A1122" i="2"/>
  <c r="K964" i="2"/>
  <c r="A280" i="2"/>
  <c r="J801" i="2"/>
  <c r="K984" i="2"/>
  <c r="B95" i="8"/>
  <c r="A761" i="2"/>
  <c r="A1001" i="2"/>
  <c r="K861" i="2"/>
  <c r="J581" i="2"/>
  <c r="K401" i="2"/>
  <c r="J321" i="2"/>
  <c r="J762" i="2"/>
  <c r="J601" i="2"/>
  <c r="J1004" i="2"/>
  <c r="A552" i="2"/>
  <c r="K801" i="2"/>
  <c r="A80" i="2"/>
  <c r="K901" i="2"/>
  <c r="J502" i="2"/>
  <c r="K762" i="2"/>
  <c r="K261" i="2"/>
  <c r="A170" i="2"/>
  <c r="A420" i="2"/>
  <c r="A918" i="2"/>
  <c r="J359" i="2"/>
  <c r="A100" i="2"/>
  <c r="K281" i="2"/>
  <c r="J641" i="2"/>
  <c r="J1083" i="2"/>
  <c r="J702" i="2"/>
  <c r="A720" i="2"/>
  <c r="J261" i="2"/>
  <c r="A961" i="2"/>
  <c r="A580" i="2"/>
  <c r="K1143" i="2"/>
  <c r="J41" i="2"/>
  <c r="J181" i="2"/>
  <c r="K679" i="2"/>
  <c r="J401" i="2"/>
  <c r="J521" i="2"/>
  <c r="A800" i="2"/>
  <c r="A298" i="2"/>
  <c r="J1143" i="2"/>
  <c r="A1062" i="2"/>
  <c r="J622" i="2"/>
  <c r="A338" i="2"/>
  <c r="K481" i="2"/>
  <c r="J121" i="2"/>
  <c r="K821" i="2"/>
  <c r="I681" i="2" l="1"/>
  <c r="G661" i="2"/>
  <c r="G921" i="2"/>
  <c r="I841" i="2"/>
  <c r="I361" i="2"/>
  <c r="G301" i="2"/>
  <c r="G1065" i="2"/>
  <c r="G1145" i="2"/>
  <c r="G1045" i="2"/>
  <c r="G1125" i="2"/>
  <c r="G1085" i="2"/>
  <c r="G966" i="2"/>
  <c r="G986" i="2"/>
  <c r="G1006" i="2"/>
  <c r="G1026" i="2"/>
  <c r="G1106" i="2"/>
  <c r="B213" i="9"/>
  <c r="B133" i="9"/>
  <c r="B53" i="9"/>
  <c r="B233" i="9"/>
  <c r="B153" i="9"/>
  <c r="B73" i="9"/>
  <c r="B173" i="9"/>
  <c r="B93" i="9"/>
  <c r="B113" i="9"/>
  <c r="B193" i="9"/>
  <c r="G783" i="2"/>
  <c r="G563" i="2"/>
  <c r="G863" i="2"/>
  <c r="G803" i="2"/>
  <c r="G743" i="2"/>
  <c r="G523" i="2"/>
  <c r="G163" i="2"/>
  <c r="G723" i="2"/>
  <c r="G83" i="2"/>
  <c r="G823" i="2"/>
  <c r="G423" i="2"/>
  <c r="G483" i="2"/>
  <c r="G903" i="2"/>
  <c r="G323" i="2"/>
  <c r="G603" i="2"/>
  <c r="G123" i="2"/>
  <c r="G343" i="2"/>
  <c r="G103" i="2"/>
  <c r="G883" i="2"/>
  <c r="G543" i="2"/>
  <c r="G403" i="2"/>
  <c r="G143" i="2"/>
  <c r="G203" i="2"/>
  <c r="G263" i="2"/>
  <c r="G443" i="2"/>
  <c r="G643" i="2"/>
  <c r="G943" i="2"/>
  <c r="G583" i="2"/>
  <c r="G243" i="2"/>
  <c r="G283" i="2"/>
  <c r="G183" i="2"/>
  <c r="G43" i="2"/>
  <c r="G383" i="2"/>
  <c r="G684" i="2"/>
  <c r="G364" i="2"/>
  <c r="G224" i="2"/>
  <c r="G464" i="2"/>
  <c r="G704" i="2"/>
  <c r="G64" i="2"/>
  <c r="G764" i="2"/>
  <c r="G844" i="2"/>
  <c r="G624" i="2"/>
  <c r="G504" i="2"/>
  <c r="A659" i="2"/>
  <c r="J342" i="2"/>
  <c r="K623" i="2"/>
  <c r="K463" i="2"/>
  <c r="J1025" i="2"/>
  <c r="A901" i="2"/>
  <c r="A341" i="2"/>
  <c r="J642" i="2"/>
  <c r="K1144" i="2"/>
  <c r="B115" i="8"/>
  <c r="K402" i="2"/>
  <c r="A981" i="2"/>
  <c r="A541" i="2"/>
  <c r="K522" i="2"/>
  <c r="A741" i="2"/>
  <c r="K1084" i="2"/>
  <c r="A1083" i="2"/>
  <c r="J202" i="2"/>
  <c r="A121" i="2"/>
  <c r="J382" i="2"/>
  <c r="K965" i="2"/>
  <c r="J782" i="2"/>
  <c r="A381" i="2"/>
  <c r="J722" i="2"/>
  <c r="A622" i="2"/>
  <c r="J322" i="2"/>
  <c r="A679" i="2"/>
  <c r="J1144" i="2"/>
  <c r="J442" i="2"/>
  <c r="K122" i="2"/>
  <c r="J902" i="2"/>
  <c r="J742" i="2"/>
  <c r="K985" i="2"/>
  <c r="A81" i="2"/>
  <c r="K542" i="2"/>
  <c r="K482" i="2"/>
  <c r="K322" i="2"/>
  <c r="K223" i="2"/>
  <c r="A881" i="2"/>
  <c r="B115" i="13"/>
  <c r="J102" i="2"/>
  <c r="J242" i="2"/>
  <c r="K782" i="2"/>
  <c r="K642" i="2"/>
  <c r="A1104" i="2"/>
  <c r="A222" i="2"/>
  <c r="B115" i="10"/>
  <c r="J1084" i="2"/>
  <c r="J282" i="2"/>
  <c r="K342" i="2"/>
  <c r="K742" i="2"/>
  <c r="K422" i="2"/>
  <c r="J463" i="2"/>
  <c r="A941" i="2"/>
  <c r="K300" i="2"/>
  <c r="A299" i="2"/>
  <c r="J840" i="2"/>
  <c r="K182" i="2"/>
  <c r="J402" i="2"/>
  <c r="A261" i="2"/>
  <c r="A601" i="2"/>
  <c r="K202" i="2"/>
  <c r="A441" i="2"/>
  <c r="A281" i="2"/>
  <c r="K360" i="2"/>
  <c r="A641" i="2"/>
  <c r="A1041" i="2"/>
  <c r="A1063" i="2"/>
  <c r="J822" i="2"/>
  <c r="A401" i="2"/>
  <c r="J602" i="2"/>
  <c r="K822" i="2"/>
  <c r="J522" i="2"/>
  <c r="J920" i="2"/>
  <c r="A241" i="2"/>
  <c r="J122" i="2"/>
  <c r="A181" i="2"/>
  <c r="K42" i="2"/>
  <c r="A781" i="2"/>
  <c r="A861" i="2"/>
  <c r="A952" i="2"/>
  <c r="J862" i="2"/>
  <c r="J680" i="2"/>
  <c r="A821" i="2"/>
  <c r="J182" i="2"/>
  <c r="K703" i="2"/>
  <c r="J542" i="2"/>
  <c r="J262" i="2"/>
  <c r="J882" i="2"/>
  <c r="J162" i="2"/>
  <c r="J82" i="2"/>
  <c r="K1005" i="2"/>
  <c r="K802" i="2"/>
  <c r="K262" i="2"/>
  <c r="J1124" i="2"/>
  <c r="A321" i="2"/>
  <c r="A801" i="2"/>
  <c r="K840" i="2"/>
  <c r="A762" i="2"/>
  <c r="J1064" i="2"/>
  <c r="J1105" i="2"/>
  <c r="A41" i="2"/>
  <c r="A1021" i="2"/>
  <c r="A702" i="2"/>
  <c r="K680" i="2"/>
  <c r="K82" i="2"/>
  <c r="K382" i="2"/>
  <c r="K942" i="2"/>
  <c r="J965" i="2"/>
  <c r="A1143" i="2"/>
  <c r="A839" i="2"/>
  <c r="J422" i="2"/>
  <c r="A201" i="2"/>
  <c r="J142" i="2"/>
  <c r="K142" i="2"/>
  <c r="K920" i="2"/>
  <c r="J1005" i="2"/>
  <c r="K102" i="2"/>
  <c r="A502" i="2"/>
  <c r="B135" i="9"/>
  <c r="K1044" i="2"/>
  <c r="J562" i="2"/>
  <c r="A141" i="2"/>
  <c r="J63" i="2"/>
  <c r="A1002" i="2"/>
  <c r="J802" i="2"/>
  <c r="A161" i="2"/>
  <c r="A462" i="2"/>
  <c r="K562" i="2"/>
  <c r="A101" i="2"/>
  <c r="K722" i="2"/>
  <c r="K63" i="2"/>
  <c r="K242" i="2"/>
  <c r="J300" i="2"/>
  <c r="J985" i="2"/>
  <c r="A421" i="2"/>
  <c r="J360" i="2"/>
  <c r="A521" i="2"/>
  <c r="K503" i="2"/>
  <c r="K582" i="2"/>
  <c r="J942" i="2"/>
  <c r="A359" i="2"/>
  <c r="A561" i="2"/>
  <c r="A490" i="2"/>
  <c r="A330" i="2"/>
  <c r="J703" i="2"/>
  <c r="J42" i="2"/>
  <c r="K763" i="2"/>
  <c r="K282" i="2"/>
  <c r="K660" i="2"/>
  <c r="J482" i="2"/>
  <c r="A481" i="2"/>
  <c r="A962" i="2"/>
  <c r="A581" i="2"/>
  <c r="J623" i="2"/>
  <c r="B115" i="12"/>
  <c r="K1064" i="2"/>
  <c r="K1105" i="2"/>
  <c r="J503" i="2"/>
  <c r="K162" i="2"/>
  <c r="J582" i="2"/>
  <c r="A721" i="2"/>
  <c r="J763" i="2"/>
  <c r="K602" i="2"/>
  <c r="K882" i="2"/>
  <c r="K902" i="2"/>
  <c r="A1123" i="2"/>
  <c r="J1044" i="2"/>
  <c r="B115" i="11"/>
  <c r="A919" i="2"/>
  <c r="A62" i="2"/>
  <c r="J223" i="2"/>
  <c r="J660" i="2"/>
  <c r="K1124" i="2"/>
  <c r="K862" i="2"/>
  <c r="K442" i="2"/>
  <c r="K1025" i="2"/>
  <c r="G662" i="2" l="1"/>
  <c r="I682" i="2"/>
  <c r="G302" i="2"/>
  <c r="G922" i="2"/>
  <c r="I842" i="2"/>
  <c r="I362" i="2"/>
  <c r="G1066" i="2"/>
  <c r="G1126" i="2"/>
  <c r="G1046" i="2"/>
  <c r="G1086" i="2"/>
  <c r="G1146" i="2"/>
  <c r="G987" i="2"/>
  <c r="G1107" i="2"/>
  <c r="G1027" i="2"/>
  <c r="G967" i="2"/>
  <c r="G1007" i="2"/>
  <c r="G184" i="2"/>
  <c r="G284" i="2"/>
  <c r="G584" i="2"/>
  <c r="G644" i="2"/>
  <c r="G404" i="2"/>
  <c r="G164" i="2"/>
  <c r="G944" i="2"/>
  <c r="G204" i="2"/>
  <c r="G884" i="2"/>
  <c r="G824" i="2"/>
  <c r="G524" i="2"/>
  <c r="G804" i="2"/>
  <c r="G104" i="2"/>
  <c r="G424" i="2"/>
  <c r="G444" i="2"/>
  <c r="G544" i="2"/>
  <c r="G344" i="2"/>
  <c r="G724" i="2"/>
  <c r="G864" i="2"/>
  <c r="G124" i="2"/>
  <c r="G384" i="2"/>
  <c r="G264" i="2"/>
  <c r="G144" i="2"/>
  <c r="G604" i="2"/>
  <c r="G904" i="2"/>
  <c r="G484" i="2"/>
  <c r="G744" i="2"/>
  <c r="G784" i="2"/>
  <c r="G244" i="2"/>
  <c r="G84" i="2"/>
  <c r="G564" i="2"/>
  <c r="G44" i="2"/>
  <c r="G324" i="2"/>
  <c r="G765" i="2"/>
  <c r="G465" i="2"/>
  <c r="G225" i="2"/>
  <c r="G505" i="2"/>
  <c r="G65" i="2"/>
  <c r="G685" i="2"/>
  <c r="G625" i="2"/>
  <c r="G705" i="2"/>
  <c r="G845" i="2"/>
  <c r="G365" i="2"/>
  <c r="A660" i="2"/>
  <c r="A920" i="2"/>
  <c r="K483" i="2"/>
  <c r="J83" i="2"/>
  <c r="A360" i="2"/>
  <c r="K383" i="2"/>
  <c r="K764" i="2"/>
  <c r="A840" i="2"/>
  <c r="K64" i="2"/>
  <c r="A1105" i="2"/>
  <c r="J383" i="2"/>
  <c r="J823" i="2"/>
  <c r="J163" i="2"/>
  <c r="K123" i="2"/>
  <c r="K743" i="2"/>
  <c r="K203" i="2"/>
  <c r="K403" i="2"/>
  <c r="A122" i="2"/>
  <c r="J723" i="2"/>
  <c r="J883" i="2"/>
  <c r="A602" i="2"/>
  <c r="K986" i="2"/>
  <c r="J263" i="2"/>
  <c r="K966" i="2"/>
  <c r="A1252" i="2"/>
  <c r="K1006" i="2"/>
  <c r="A742" i="2"/>
  <c r="J283" i="2"/>
  <c r="A402" i="2"/>
  <c r="K1085" i="2"/>
  <c r="J361" i="2"/>
  <c r="J43" i="2"/>
  <c r="A680" i="2"/>
  <c r="A282" i="2"/>
  <c r="A1042" i="2"/>
  <c r="A262" i="2"/>
  <c r="K1065" i="2"/>
  <c r="J1006" i="2"/>
  <c r="K943" i="2"/>
  <c r="J624" i="2"/>
  <c r="J1106" i="2"/>
  <c r="J523" i="2"/>
  <c r="A202" i="2"/>
  <c r="J403" i="2"/>
  <c r="A463" i="2"/>
  <c r="J464" i="2"/>
  <c r="A1144" i="2"/>
  <c r="K643" i="2"/>
  <c r="J1145" i="2"/>
  <c r="A1192" i="2"/>
  <c r="B135" i="12"/>
  <c r="J764" i="2"/>
  <c r="A1003" i="2"/>
  <c r="J943" i="2"/>
  <c r="A503" i="2"/>
  <c r="A1212" i="2"/>
  <c r="K343" i="2"/>
  <c r="A1084" i="2"/>
  <c r="J1085" i="2"/>
  <c r="A722" i="2"/>
  <c r="K921" i="2"/>
  <c r="A1512" i="2"/>
  <c r="J1045" i="2"/>
  <c r="K723" i="2"/>
  <c r="A162" i="2"/>
  <c r="B135" i="11"/>
  <c r="J903" i="2"/>
  <c r="A623" i="2"/>
  <c r="K1145" i="2"/>
  <c r="K361" i="2"/>
  <c r="A862" i="2"/>
  <c r="J483" i="2"/>
  <c r="K143" i="2"/>
  <c r="A822" i="2"/>
  <c r="J1125" i="2"/>
  <c r="K183" i="2"/>
  <c r="J323" i="2"/>
  <c r="J1026" i="2"/>
  <c r="K83" i="2"/>
  <c r="A102" i="2"/>
  <c r="J243" i="2"/>
  <c r="K224" i="2"/>
  <c r="J986" i="2"/>
  <c r="A82" i="2"/>
  <c r="A382" i="2"/>
  <c r="K464" i="2"/>
  <c r="K841" i="2"/>
  <c r="A482" i="2"/>
  <c r="A522" i="2"/>
  <c r="A942" i="2"/>
  <c r="A882" i="2"/>
  <c r="A802" i="2"/>
  <c r="A1022" i="2"/>
  <c r="K661" i="2"/>
  <c r="J504" i="2"/>
  <c r="K243" i="2"/>
  <c r="J583" i="2"/>
  <c r="B155" i="9"/>
  <c r="K563" i="2"/>
  <c r="K583" i="2"/>
  <c r="K323" i="2"/>
  <c r="K43" i="2"/>
  <c r="J224" i="2"/>
  <c r="A63" i="2"/>
  <c r="A782" i="2"/>
  <c r="K704" i="2"/>
  <c r="J921" i="2"/>
  <c r="K523" i="2"/>
  <c r="A242" i="2"/>
  <c r="A642" i="2"/>
  <c r="A963" i="2"/>
  <c r="J966" i="2"/>
  <c r="J863" i="2"/>
  <c r="A1612" i="2"/>
  <c r="K1125" i="2"/>
  <c r="J183" i="2"/>
  <c r="J203" i="2"/>
  <c r="J661" i="2"/>
  <c r="B135" i="10"/>
  <c r="J803" i="2"/>
  <c r="A442" i="2"/>
  <c r="K783" i="2"/>
  <c r="J64" i="2"/>
  <c r="J743" i="2"/>
  <c r="J841" i="2"/>
  <c r="A322" i="2"/>
  <c r="A582" i="2"/>
  <c r="A763" i="2"/>
  <c r="J443" i="2"/>
  <c r="A1312" i="2"/>
  <c r="A1064" i="2"/>
  <c r="A422" i="2"/>
  <c r="J1065" i="2"/>
  <c r="J423" i="2"/>
  <c r="A342" i="2"/>
  <c r="J123" i="2"/>
  <c r="A300" i="2"/>
  <c r="A902" i="2"/>
  <c r="J563" i="2"/>
  <c r="J301" i="2"/>
  <c r="K1106" i="2"/>
  <c r="K681" i="2"/>
  <c r="J343" i="2"/>
  <c r="K603" i="2"/>
  <c r="J643" i="2"/>
  <c r="A42" i="2"/>
  <c r="J681" i="2"/>
  <c r="A1124" i="2"/>
  <c r="K263" i="2"/>
  <c r="A1832" i="2"/>
  <c r="K543" i="2"/>
  <c r="K624" i="2"/>
  <c r="A182" i="2"/>
  <c r="K504" i="2"/>
  <c r="A542" i="2"/>
  <c r="K823" i="2"/>
  <c r="B135" i="13"/>
  <c r="A562" i="2"/>
  <c r="J783" i="2"/>
  <c r="K301" i="2"/>
  <c r="A142" i="2"/>
  <c r="B135" i="8"/>
  <c r="J543" i="2"/>
  <c r="K283" i="2"/>
  <c r="K1026" i="2"/>
  <c r="K163" i="2"/>
  <c r="A703" i="2"/>
  <c r="K423" i="2"/>
  <c r="J103" i="2"/>
  <c r="A223" i="2"/>
  <c r="K103" i="2"/>
  <c r="J704" i="2"/>
  <c r="J143" i="2"/>
  <c r="A982" i="2"/>
  <c r="J603" i="2"/>
  <c r="K883" i="2"/>
  <c r="K443" i="2"/>
  <c r="K803" i="2"/>
  <c r="K903" i="2"/>
  <c r="K1045" i="2"/>
  <c r="K863" i="2"/>
  <c r="I683" i="2" l="1"/>
  <c r="G663" i="2"/>
  <c r="G923" i="2"/>
  <c r="G303" i="2"/>
  <c r="I363" i="2"/>
  <c r="I843" i="2"/>
  <c r="G1087" i="2"/>
  <c r="G1067" i="2"/>
  <c r="G1047" i="2"/>
  <c r="G1147" i="2"/>
  <c r="G1127" i="2"/>
  <c r="G565" i="2"/>
  <c r="G545" i="2"/>
  <c r="G885" i="2"/>
  <c r="G585" i="2"/>
  <c r="G45" i="2"/>
  <c r="G485" i="2"/>
  <c r="G265" i="2"/>
  <c r="G445" i="2"/>
  <c r="G105" i="2"/>
  <c r="G805" i="2"/>
  <c r="G825" i="2"/>
  <c r="G245" i="2"/>
  <c r="G905" i="2"/>
  <c r="G205" i="2"/>
  <c r="G165" i="2"/>
  <c r="G645" i="2"/>
  <c r="G725" i="2"/>
  <c r="G325" i="2"/>
  <c r="G785" i="2"/>
  <c r="G385" i="2"/>
  <c r="G865" i="2"/>
  <c r="G285" i="2"/>
  <c r="G85" i="2"/>
  <c r="G145" i="2"/>
  <c r="G125" i="2"/>
  <c r="G525" i="2"/>
  <c r="G185" i="2"/>
  <c r="G745" i="2"/>
  <c r="G345" i="2"/>
  <c r="G945" i="2"/>
  <c r="G605" i="2"/>
  <c r="G425" i="2"/>
  <c r="G405" i="2"/>
  <c r="G366" i="2"/>
  <c r="G686" i="2"/>
  <c r="G466" i="2"/>
  <c r="G766" i="2"/>
  <c r="G846" i="2"/>
  <c r="G626" i="2"/>
  <c r="G66" i="2"/>
  <c r="G506" i="2"/>
  <c r="G706" i="2"/>
  <c r="G226" i="2"/>
  <c r="H36" i="9"/>
  <c r="H33" i="9"/>
  <c r="H32" i="9"/>
  <c r="AC21" i="14"/>
  <c r="AC22" i="14" s="1"/>
  <c r="Q21" i="14"/>
  <c r="Q22" i="14" s="1"/>
  <c r="G21" i="14"/>
  <c r="G22" i="14" s="1"/>
  <c r="F21" i="14"/>
  <c r="F22" i="14" s="1"/>
  <c r="E21" i="14"/>
  <c r="E22" i="14" s="1"/>
  <c r="AC10" i="14"/>
  <c r="AC11" i="14" s="1"/>
  <c r="Q10" i="14"/>
  <c r="Q11" i="14" s="1"/>
  <c r="G10" i="14"/>
  <c r="G11" i="14" s="1"/>
  <c r="F10" i="14"/>
  <c r="F11" i="14" s="1"/>
  <c r="E10" i="14"/>
  <c r="E11" i="14" s="1"/>
  <c r="AC21" i="13"/>
  <c r="AC22" i="13" s="1"/>
  <c r="Q21" i="13"/>
  <c r="Q22" i="13" s="1"/>
  <c r="G21" i="13"/>
  <c r="G22" i="13" s="1"/>
  <c r="F21" i="13"/>
  <c r="F22" i="13" s="1"/>
  <c r="E21" i="13"/>
  <c r="E22" i="13" s="1"/>
  <c r="AC10" i="13"/>
  <c r="AC11" i="13" s="1"/>
  <c r="Q10" i="13"/>
  <c r="Q11" i="13" s="1"/>
  <c r="G10" i="13"/>
  <c r="G11" i="13" s="1"/>
  <c r="F10" i="13"/>
  <c r="F11" i="13" s="1"/>
  <c r="E10" i="13"/>
  <c r="E11" i="13" s="1"/>
  <c r="Q21" i="12"/>
  <c r="Q22" i="12" s="1"/>
  <c r="G21" i="12"/>
  <c r="G22" i="12" s="1"/>
  <c r="F21" i="12"/>
  <c r="F22" i="12" s="1"/>
  <c r="E21" i="12"/>
  <c r="E22" i="12" s="1"/>
  <c r="Q10" i="12"/>
  <c r="Q11" i="12" s="1"/>
  <c r="G10" i="12"/>
  <c r="G11" i="12" s="1"/>
  <c r="F10" i="12"/>
  <c r="F11" i="12" s="1"/>
  <c r="E10" i="12"/>
  <c r="E11" i="12" s="1"/>
  <c r="AC21" i="11"/>
  <c r="AC22" i="11" s="1"/>
  <c r="Q21" i="11"/>
  <c r="Q22" i="11" s="1"/>
  <c r="G21" i="11"/>
  <c r="F21" i="11"/>
  <c r="F22" i="11" s="1"/>
  <c r="E21" i="11"/>
  <c r="E22" i="11" s="1"/>
  <c r="AC10" i="11"/>
  <c r="AC11" i="11" s="1"/>
  <c r="Q10" i="11"/>
  <c r="Q11" i="11" s="1"/>
  <c r="G10" i="11"/>
  <c r="F10" i="11"/>
  <c r="F11" i="11" s="1"/>
  <c r="E10" i="11"/>
  <c r="E11" i="11" s="1"/>
  <c r="AC21" i="10"/>
  <c r="AC22" i="10" s="1"/>
  <c r="Q21" i="10"/>
  <c r="Q22" i="10" s="1"/>
  <c r="G21" i="10"/>
  <c r="G22" i="10" s="1"/>
  <c r="F21" i="10"/>
  <c r="F22" i="10" s="1"/>
  <c r="E21" i="10"/>
  <c r="E22" i="10" s="1"/>
  <c r="AC10" i="10"/>
  <c r="AC11" i="10" s="1"/>
  <c r="Q10" i="10"/>
  <c r="Q11" i="10" s="1"/>
  <c r="G10" i="10"/>
  <c r="G11" i="10" s="1"/>
  <c r="F10" i="10"/>
  <c r="F11" i="10" s="1"/>
  <c r="E10" i="10"/>
  <c r="E11" i="10" s="1"/>
  <c r="AC21" i="9"/>
  <c r="AC22" i="9" s="1"/>
  <c r="Q21" i="9"/>
  <c r="Q22" i="9" s="1"/>
  <c r="G21" i="9"/>
  <c r="G22" i="9" s="1"/>
  <c r="F21" i="9"/>
  <c r="F22" i="9" s="1"/>
  <c r="E21" i="9"/>
  <c r="E22" i="9" s="1"/>
  <c r="AC10" i="9"/>
  <c r="AC11" i="9" s="1"/>
  <c r="Q10" i="9"/>
  <c r="Q11" i="9" s="1"/>
  <c r="G10" i="9"/>
  <c r="G11" i="9" s="1"/>
  <c r="F10" i="9"/>
  <c r="F11" i="9" s="1"/>
  <c r="E10" i="9"/>
  <c r="E11" i="9" s="1"/>
  <c r="AC21" i="8"/>
  <c r="AC22" i="8" s="1"/>
  <c r="Q21" i="8"/>
  <c r="Q22" i="8" s="1"/>
  <c r="G21" i="8"/>
  <c r="G22" i="8" s="1"/>
  <c r="F21" i="8"/>
  <c r="F22" i="8" s="1"/>
  <c r="E21" i="8"/>
  <c r="E22" i="8" s="1"/>
  <c r="AC10" i="8"/>
  <c r="AC11" i="8" s="1"/>
  <c r="Q10" i="8"/>
  <c r="Q11" i="8" s="1"/>
  <c r="G10" i="8"/>
  <c r="G11" i="8" s="1"/>
  <c r="F10" i="8"/>
  <c r="F11" i="8" s="1"/>
  <c r="E10" i="8"/>
  <c r="E11" i="8" s="1"/>
  <c r="AE11" i="5"/>
  <c r="AE12" i="5" s="1"/>
  <c r="A681" i="2"/>
  <c r="J705" i="2"/>
  <c r="B155" i="11"/>
  <c r="K884" i="2"/>
  <c r="K225" i="2"/>
  <c r="K344" i="2"/>
  <c r="A143" i="2"/>
  <c r="K324" i="2"/>
  <c r="K544" i="2"/>
  <c r="A624" i="2"/>
  <c r="K644" i="2"/>
  <c r="J1107" i="2"/>
  <c r="J225" i="2"/>
  <c r="J184" i="2"/>
  <c r="A301" i="2"/>
  <c r="K424" i="2"/>
  <c r="B155" i="8"/>
  <c r="J164" i="2"/>
  <c r="J84" i="2"/>
  <c r="J864" i="2"/>
  <c r="J484" i="2"/>
  <c r="J384" i="2"/>
  <c r="A583" i="2"/>
  <c r="J1066" i="2"/>
  <c r="J324" i="2"/>
  <c r="J544" i="2"/>
  <c r="K284" i="2"/>
  <c r="J884" i="2"/>
  <c r="K65" i="2"/>
  <c r="A841" i="2"/>
  <c r="J724" i="2"/>
  <c r="A661" i="2"/>
  <c r="J604" i="2"/>
  <c r="J524" i="2"/>
  <c r="A723" i="2"/>
  <c r="A383" i="2"/>
  <c r="A203" i="2"/>
  <c r="A1065" i="2"/>
  <c r="A224" i="2"/>
  <c r="A183" i="2"/>
  <c r="K1126" i="2"/>
  <c r="K1027" i="2"/>
  <c r="K625" i="2"/>
  <c r="J1046" i="2"/>
  <c r="A643" i="2"/>
  <c r="J1086" i="2"/>
  <c r="J124" i="2"/>
  <c r="J922" i="2"/>
  <c r="K1066" i="2"/>
  <c r="A743" i="2"/>
  <c r="K1086" i="2"/>
  <c r="K362" i="2"/>
  <c r="J264" i="2"/>
  <c r="A163" i="2"/>
  <c r="A504" i="2"/>
  <c r="J104" i="2"/>
  <c r="J465" i="2"/>
  <c r="J204" i="2"/>
  <c r="A43" i="2"/>
  <c r="A543" i="2"/>
  <c r="J904" i="2"/>
  <c r="A2732" i="2"/>
  <c r="A883" i="2"/>
  <c r="J404" i="2"/>
  <c r="A123" i="2"/>
  <c r="J744" i="2"/>
  <c r="J505" i="2"/>
  <c r="J824" i="2"/>
  <c r="J784" i="2"/>
  <c r="K524" i="2"/>
  <c r="K444" i="2"/>
  <c r="A863" i="2"/>
  <c r="K164" i="2"/>
  <c r="A1106" i="2"/>
  <c r="K804" i="2"/>
  <c r="J284" i="2"/>
  <c r="K784" i="2"/>
  <c r="J144" i="2"/>
  <c r="A803" i="2"/>
  <c r="K967" i="2"/>
  <c r="K144" i="2"/>
  <c r="A823" i="2"/>
  <c r="J44" i="2"/>
  <c r="J765" i="2"/>
  <c r="A523" i="2"/>
  <c r="K904" i="2"/>
  <c r="A764" i="2"/>
  <c r="K682" i="2"/>
  <c r="A361" i="2"/>
  <c r="J1146" i="2"/>
  <c r="A103" i="2"/>
  <c r="A921" i="2"/>
  <c r="A243" i="2"/>
  <c r="K302" i="2"/>
  <c r="A36" i="9"/>
  <c r="J362" i="2"/>
  <c r="K604" i="2"/>
  <c r="J625" i="2"/>
  <c r="K705" i="2"/>
  <c r="A563" i="2"/>
  <c r="J987" i="2"/>
  <c r="K505" i="2"/>
  <c r="J65" i="2"/>
  <c r="A464" i="2"/>
  <c r="K1107" i="2"/>
  <c r="A1145" i="2"/>
  <c r="B155" i="13"/>
  <c r="A1043" i="2"/>
  <c r="A903" i="2"/>
  <c r="A323" i="2"/>
  <c r="K104" i="2"/>
  <c r="K84" i="2"/>
  <c r="K864" i="2"/>
  <c r="K987" i="2"/>
  <c r="A943" i="2"/>
  <c r="J682" i="2"/>
  <c r="K724" i="2"/>
  <c r="K264" i="2"/>
  <c r="J244" i="2"/>
  <c r="J967" i="2"/>
  <c r="A983" i="2"/>
  <c r="A64" i="2"/>
  <c r="A603" i="2"/>
  <c r="J1027" i="2"/>
  <c r="J584" i="2"/>
  <c r="K1007" i="2"/>
  <c r="J444" i="2"/>
  <c r="A343" i="2"/>
  <c r="J644" i="2"/>
  <c r="A783" i="2"/>
  <c r="A31" i="9"/>
  <c r="K465" i="2"/>
  <c r="K484" i="2"/>
  <c r="K184" i="2"/>
  <c r="B155" i="10"/>
  <c r="A403" i="2"/>
  <c r="J564" i="2"/>
  <c r="J344" i="2"/>
  <c r="J804" i="2"/>
  <c r="K404" i="2"/>
  <c r="K204" i="2"/>
  <c r="J662" i="2"/>
  <c r="J1126" i="2"/>
  <c r="A704" i="2"/>
  <c r="J1007" i="2"/>
  <c r="A1023" i="2"/>
  <c r="A3052" i="2"/>
  <c r="B155" i="12"/>
  <c r="J302" i="2"/>
  <c r="A83" i="2"/>
  <c r="K744" i="2"/>
  <c r="K824" i="2"/>
  <c r="A1004" i="2"/>
  <c r="J944" i="2"/>
  <c r="K922" i="2"/>
  <c r="K44" i="2"/>
  <c r="A1085" i="2"/>
  <c r="A1125" i="2"/>
  <c r="A483" i="2"/>
  <c r="J842" i="2"/>
  <c r="K584" i="2"/>
  <c r="K384" i="2"/>
  <c r="K244" i="2"/>
  <c r="K1046" i="2"/>
  <c r="A423" i="2"/>
  <c r="A283" i="2"/>
  <c r="K842" i="2"/>
  <c r="K564" i="2"/>
  <c r="K662" i="2"/>
  <c r="K765" i="2"/>
  <c r="K1146" i="2"/>
  <c r="A964" i="2"/>
  <c r="J424" i="2"/>
  <c r="K124" i="2"/>
  <c r="A263" i="2"/>
  <c r="B175" i="9"/>
  <c r="A443" i="2"/>
  <c r="K944" i="2"/>
  <c r="A2492" i="2"/>
  <c r="G664" i="2" l="1"/>
  <c r="I684" i="2"/>
  <c r="I844" i="2"/>
  <c r="G924" i="2"/>
  <c r="I364" i="2"/>
  <c r="G304" i="2"/>
  <c r="G606" i="2"/>
  <c r="G746" i="2"/>
  <c r="G186" i="2"/>
  <c r="G526" i="2"/>
  <c r="G866" i="2"/>
  <c r="G906" i="2"/>
  <c r="G46" i="2"/>
  <c r="G566" i="2"/>
  <c r="G86" i="2"/>
  <c r="G946" i="2"/>
  <c r="G786" i="2"/>
  <c r="G726" i="2"/>
  <c r="G166" i="2"/>
  <c r="G106" i="2"/>
  <c r="G266" i="2"/>
  <c r="G486" i="2"/>
  <c r="G886" i="2"/>
  <c r="G206" i="2"/>
  <c r="G346" i="2"/>
  <c r="G386" i="2"/>
  <c r="G406" i="2"/>
  <c r="G126" i="2"/>
  <c r="G286" i="2"/>
  <c r="G246" i="2"/>
  <c r="G326" i="2"/>
  <c r="G826" i="2"/>
  <c r="G586" i="2"/>
  <c r="G426" i="2"/>
  <c r="G146" i="2"/>
  <c r="G646" i="2"/>
  <c r="G806" i="2"/>
  <c r="G446" i="2"/>
  <c r="G546" i="2"/>
  <c r="G227" i="2"/>
  <c r="G67" i="2"/>
  <c r="G707" i="2"/>
  <c r="G767" i="2"/>
  <c r="G507" i="2"/>
  <c r="G367" i="2"/>
  <c r="G627" i="2"/>
  <c r="G687" i="2"/>
  <c r="G847" i="2"/>
  <c r="G467" i="2"/>
  <c r="Q23" i="8"/>
  <c r="G11" i="11"/>
  <c r="G22" i="11"/>
  <c r="Q23" i="11"/>
  <c r="AC23" i="14"/>
  <c r="Q23" i="14"/>
  <c r="Q23" i="13"/>
  <c r="AC23" i="13"/>
  <c r="Q23" i="12"/>
  <c r="Q23" i="9"/>
  <c r="AC23" i="11"/>
  <c r="Q23" i="10"/>
  <c r="AC23" i="10"/>
  <c r="AC23" i="9"/>
  <c r="AC23" i="8"/>
  <c r="AC21" i="7"/>
  <c r="AC22" i="7" s="1"/>
  <c r="Q21" i="7"/>
  <c r="Q22" i="7" s="1"/>
  <c r="G21" i="7"/>
  <c r="G22" i="7" s="1"/>
  <c r="F21" i="7"/>
  <c r="F22" i="7" s="1"/>
  <c r="E21" i="7"/>
  <c r="E22" i="7" s="1"/>
  <c r="AC10" i="7"/>
  <c r="AC11" i="7" s="1"/>
  <c r="Q10" i="7"/>
  <c r="Q11" i="7" s="1"/>
  <c r="G10" i="7"/>
  <c r="G11" i="7" s="1"/>
  <c r="F10" i="7"/>
  <c r="F11" i="7" s="1"/>
  <c r="E10" i="7"/>
  <c r="E11" i="7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Y11" i="6"/>
  <c r="AB11" i="6"/>
  <c r="Y12" i="6"/>
  <c r="AB12" i="6"/>
  <c r="F9" i="6"/>
  <c r="I9" i="6" s="1"/>
  <c r="L9" i="6" s="1"/>
  <c r="O9" i="6" s="1"/>
  <c r="R9" i="6" s="1"/>
  <c r="U9" i="6" s="1"/>
  <c r="X9" i="6" s="1"/>
  <c r="AA9" i="6" s="1"/>
  <c r="F8" i="6"/>
  <c r="I8" i="6" s="1"/>
  <c r="L8" i="6" s="1"/>
  <c r="O8" i="6" s="1"/>
  <c r="R8" i="6" s="1"/>
  <c r="U8" i="6" s="1"/>
  <c r="X8" i="6" s="1"/>
  <c r="AA8" i="6" s="1"/>
  <c r="F7" i="6"/>
  <c r="I7" i="6" s="1"/>
  <c r="L7" i="6" s="1"/>
  <c r="O7" i="6" s="1"/>
  <c r="R7" i="6" s="1"/>
  <c r="U7" i="6" s="1"/>
  <c r="X7" i="6" s="1"/>
  <c r="AA7" i="6" s="1"/>
  <c r="F6" i="6"/>
  <c r="I6" i="6" s="1"/>
  <c r="O6" i="6" s="1"/>
  <c r="R6" i="6" s="1"/>
  <c r="U6" i="6" s="1"/>
  <c r="X6" i="6" s="1"/>
  <c r="AA6" i="6" s="1"/>
  <c r="F5" i="6"/>
  <c r="I5" i="6" s="1"/>
  <c r="L5" i="6" s="1"/>
  <c r="O5" i="6" s="1"/>
  <c r="R5" i="6" s="1"/>
  <c r="U5" i="6" s="1"/>
  <c r="X5" i="6" s="1"/>
  <c r="AA5" i="6" s="1"/>
  <c r="F4" i="6"/>
  <c r="I4" i="6" s="1"/>
  <c r="L4" i="6" s="1"/>
  <c r="O4" i="6" s="1"/>
  <c r="R4" i="6" s="1"/>
  <c r="U4" i="6" s="1"/>
  <c r="X4" i="6" s="1"/>
  <c r="AA4" i="6" s="1"/>
  <c r="F3" i="6"/>
  <c r="I3" i="6" s="1"/>
  <c r="L3" i="6" s="1"/>
  <c r="O3" i="6" s="1"/>
  <c r="R3" i="6" s="1"/>
  <c r="U3" i="6" s="1"/>
  <c r="X3" i="6" s="1"/>
  <c r="AA3" i="6" s="1"/>
  <c r="F2" i="6"/>
  <c r="I2" i="6" s="1"/>
  <c r="L2" i="6" s="1"/>
  <c r="O2" i="6" s="1"/>
  <c r="R2" i="6" s="1"/>
  <c r="U2" i="6" s="1"/>
  <c r="X2" i="6" s="1"/>
  <c r="AA2" i="6" s="1"/>
  <c r="AB11" i="5"/>
  <c r="AB12" i="5" s="1"/>
  <c r="Y11" i="5"/>
  <c r="Y12" i="5" s="1"/>
  <c r="V11" i="6"/>
  <c r="V12" i="6" s="1"/>
  <c r="S11" i="6"/>
  <c r="S12" i="6" s="1"/>
  <c r="P11" i="6"/>
  <c r="P12" i="6" s="1"/>
  <c r="M11" i="6"/>
  <c r="M12" i="6" s="1"/>
  <c r="J11" i="6"/>
  <c r="J12" i="6" s="1"/>
  <c r="G11" i="6"/>
  <c r="G12" i="6" s="1"/>
  <c r="D11" i="6"/>
  <c r="D12" i="6" s="1"/>
  <c r="F3" i="5"/>
  <c r="I3" i="5" s="1"/>
  <c r="L3" i="5" s="1"/>
  <c r="O3" i="5" s="1"/>
  <c r="R3" i="5" s="1"/>
  <c r="U3" i="5" s="1"/>
  <c r="X3" i="5" s="1"/>
  <c r="AA3" i="5" s="1"/>
  <c r="AD3" i="5" s="1"/>
  <c r="F4" i="5"/>
  <c r="I4" i="5" s="1"/>
  <c r="L4" i="5" s="1"/>
  <c r="O4" i="5" s="1"/>
  <c r="R4" i="5" s="1"/>
  <c r="U4" i="5" s="1"/>
  <c r="X4" i="5" s="1"/>
  <c r="AA4" i="5" s="1"/>
  <c r="AD4" i="5" s="1"/>
  <c r="F5" i="5"/>
  <c r="I5" i="5" s="1"/>
  <c r="L5" i="5" s="1"/>
  <c r="O5" i="5" s="1"/>
  <c r="R5" i="5" s="1"/>
  <c r="U5" i="5" s="1"/>
  <c r="X5" i="5" s="1"/>
  <c r="AA5" i="5" s="1"/>
  <c r="AD5" i="5" s="1"/>
  <c r="F6" i="5"/>
  <c r="I6" i="5" s="1"/>
  <c r="L6" i="5" s="1"/>
  <c r="O6" i="5" s="1"/>
  <c r="R6" i="5" s="1"/>
  <c r="U6" i="5" s="1"/>
  <c r="X6" i="5" s="1"/>
  <c r="AA6" i="5" s="1"/>
  <c r="AD6" i="5" s="1"/>
  <c r="I7" i="5"/>
  <c r="L7" i="5" s="1"/>
  <c r="O7" i="5" s="1"/>
  <c r="R7" i="5" s="1"/>
  <c r="U7" i="5" s="1"/>
  <c r="X7" i="5" s="1"/>
  <c r="AA7" i="5" s="1"/>
  <c r="AD7" i="5" s="1"/>
  <c r="F8" i="5"/>
  <c r="I8" i="5" s="1"/>
  <c r="L8" i="5" s="1"/>
  <c r="O8" i="5" s="1"/>
  <c r="R8" i="5" s="1"/>
  <c r="U8" i="5" s="1"/>
  <c r="X8" i="5" s="1"/>
  <c r="AA8" i="5" s="1"/>
  <c r="AD8" i="5" s="1"/>
  <c r="F9" i="5"/>
  <c r="I9" i="5" s="1"/>
  <c r="L9" i="5" s="1"/>
  <c r="O9" i="5" s="1"/>
  <c r="R9" i="5" s="1"/>
  <c r="U9" i="5" s="1"/>
  <c r="X9" i="5" s="1"/>
  <c r="AA9" i="5" s="1"/>
  <c r="AD9" i="5" s="1"/>
  <c r="I2" i="5"/>
  <c r="L2" i="5" s="1"/>
  <c r="O2" i="5" s="1"/>
  <c r="R2" i="5" s="1"/>
  <c r="U2" i="5" s="1"/>
  <c r="X2" i="5" s="1"/>
  <c r="AA2" i="5" s="1"/>
  <c r="AD2" i="5" s="1"/>
  <c r="V11" i="5"/>
  <c r="V12" i="5" s="1"/>
  <c r="S11" i="5"/>
  <c r="S12" i="5" s="1"/>
  <c r="P11" i="5"/>
  <c r="P12" i="5" s="1"/>
  <c r="M11" i="5"/>
  <c r="M12" i="5" s="1"/>
  <c r="J11" i="5"/>
  <c r="J12" i="5" s="1"/>
  <c r="G11" i="5"/>
  <c r="G12" i="5" s="1"/>
  <c r="D11" i="5"/>
  <c r="D12" i="5" s="1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J11" i="4"/>
  <c r="J12" i="4" s="1"/>
  <c r="G11" i="4"/>
  <c r="G12" i="4" s="1"/>
  <c r="D11" i="4"/>
  <c r="D12" i="4" s="1"/>
  <c r="A662" i="2"/>
  <c r="A793" i="2"/>
  <c r="J303" i="2"/>
  <c r="A584" i="2"/>
  <c r="K923" i="2"/>
  <c r="A832" i="2"/>
  <c r="A604" i="2"/>
  <c r="J165" i="2"/>
  <c r="B35" i="8"/>
  <c r="B36" i="9"/>
  <c r="K485" i="2"/>
  <c r="K725" i="2"/>
  <c r="A652" i="2"/>
  <c r="A864" i="2"/>
  <c r="K565" i="2"/>
  <c r="A313" i="2"/>
  <c r="A1107" i="2"/>
  <c r="A84" i="2"/>
  <c r="K285" i="2"/>
  <c r="J725" i="2"/>
  <c r="A804" i="2"/>
  <c r="J1047" i="2"/>
  <c r="K363" i="2"/>
  <c r="A644" i="2"/>
  <c r="J945" i="2"/>
  <c r="A444" i="2"/>
  <c r="A984" i="2"/>
  <c r="A892" i="2"/>
  <c r="B56" i="11"/>
  <c r="J565" i="2"/>
  <c r="K843" i="2"/>
  <c r="K445" i="2"/>
  <c r="B175" i="12"/>
  <c r="A682" i="2"/>
  <c r="A1852" i="2"/>
  <c r="A944" i="2"/>
  <c r="A705" i="2"/>
  <c r="A424" i="2"/>
  <c r="A965" i="2"/>
  <c r="K466" i="2"/>
  <c r="A302" i="2"/>
  <c r="A1412" i="2"/>
  <c r="B35" i="12"/>
  <c r="K745" i="2"/>
  <c r="A465" i="2"/>
  <c r="A1005" i="2"/>
  <c r="B56" i="12"/>
  <c r="J1087" i="2"/>
  <c r="K245" i="2"/>
  <c r="J145" i="2"/>
  <c r="A124" i="2"/>
  <c r="A853" i="2"/>
  <c r="K105" i="2"/>
  <c r="J485" i="2"/>
  <c r="K405" i="2"/>
  <c r="K185" i="2"/>
  <c r="B35" i="11"/>
  <c r="J825" i="2"/>
  <c r="J445" i="2"/>
  <c r="A842" i="2"/>
  <c r="A692" i="2"/>
  <c r="K766" i="2"/>
  <c r="K645" i="2"/>
  <c r="B175" i="8"/>
  <c r="J345" i="2"/>
  <c r="J385" i="2"/>
  <c r="J663" i="2"/>
  <c r="J506" i="2"/>
  <c r="J466" i="2"/>
  <c r="A724" i="2"/>
  <c r="K525" i="2"/>
  <c r="A1492" i="2"/>
  <c r="K1047" i="2"/>
  <c r="A233" i="2"/>
  <c r="K805" i="2"/>
  <c r="A404" i="2"/>
  <c r="A765" i="2"/>
  <c r="K706" i="2"/>
  <c r="A284" i="2"/>
  <c r="K1147" i="2"/>
  <c r="B76" i="13"/>
  <c r="K125" i="2"/>
  <c r="B56" i="13"/>
  <c r="A324" i="2"/>
  <c r="A625" i="2"/>
  <c r="D10" i="16"/>
  <c r="J923" i="2"/>
  <c r="K66" i="2"/>
  <c r="J785" i="2"/>
  <c r="A904" i="2"/>
  <c r="A104" i="2"/>
  <c r="A1752" i="2"/>
  <c r="A362" i="2"/>
  <c r="J125" i="2"/>
  <c r="J265" i="2"/>
  <c r="A1086" i="2"/>
  <c r="K45" i="2"/>
  <c r="B56" i="8"/>
  <c r="J325" i="2"/>
  <c r="K626" i="2"/>
  <c r="J843" i="2"/>
  <c r="A208" i="2"/>
  <c r="J745" i="2"/>
  <c r="J205" i="2"/>
  <c r="J885" i="2"/>
  <c r="J85" i="2"/>
  <c r="D18" i="16"/>
  <c r="A1044" i="2"/>
  <c r="A505" i="2"/>
  <c r="A884" i="2"/>
  <c r="A1066" i="2"/>
  <c r="J706" i="2"/>
  <c r="K585" i="2"/>
  <c r="J645" i="2"/>
  <c r="J363" i="2"/>
  <c r="J226" i="2"/>
  <c r="K825" i="2"/>
  <c r="J105" i="2"/>
  <c r="J626" i="2"/>
  <c r="J525" i="2"/>
  <c r="A2392" i="2"/>
  <c r="K1067" i="2"/>
  <c r="J585" i="2"/>
  <c r="K885" i="2"/>
  <c r="A484" i="2"/>
  <c r="A144" i="2"/>
  <c r="K165" i="2"/>
  <c r="B56" i="10"/>
  <c r="A65" i="2"/>
  <c r="K265" i="2"/>
  <c r="K545" i="2"/>
  <c r="A2172" i="2"/>
  <c r="J45" i="2"/>
  <c r="A264" i="2"/>
  <c r="K663" i="2"/>
  <c r="K1087" i="2"/>
  <c r="A784" i="2"/>
  <c r="A1072" i="2"/>
  <c r="A852" i="2"/>
  <c r="A1532" i="2"/>
  <c r="K303" i="2"/>
  <c r="A712" i="2"/>
  <c r="A592" i="2"/>
  <c r="K865" i="2"/>
  <c r="A1452" i="2"/>
  <c r="A244" i="2"/>
  <c r="A1792" i="2"/>
  <c r="B56" i="9"/>
  <c r="K145" i="2"/>
  <c r="A225" i="2"/>
  <c r="A1146" i="2"/>
  <c r="K506" i="2"/>
  <c r="A1213" i="2"/>
  <c r="J245" i="2"/>
  <c r="A168" i="2"/>
  <c r="B76" i="10"/>
  <c r="J1147" i="2"/>
  <c r="D12" i="16"/>
  <c r="B175" i="10"/>
  <c r="K605" i="2"/>
  <c r="A44" i="2"/>
  <c r="A524" i="2"/>
  <c r="K1127" i="2"/>
  <c r="K785" i="2"/>
  <c r="B35" i="9"/>
  <c r="A184" i="2"/>
  <c r="B76" i="14"/>
  <c r="K905" i="2"/>
  <c r="B56" i="14"/>
  <c r="A1092" i="2"/>
  <c r="K226" i="2"/>
  <c r="K85" i="2"/>
  <c r="J766" i="2"/>
  <c r="A544" i="2"/>
  <c r="K385" i="2"/>
  <c r="K325" i="2"/>
  <c r="J805" i="2"/>
  <c r="J1127" i="2"/>
  <c r="K425" i="2"/>
  <c r="J425" i="2"/>
  <c r="J1067" i="2"/>
  <c r="K683" i="2"/>
  <c r="J605" i="2"/>
  <c r="B76" i="8"/>
  <c r="J545" i="2"/>
  <c r="B175" i="11"/>
  <c r="K205" i="2"/>
  <c r="B195" i="9"/>
  <c r="A564" i="2"/>
  <c r="B175" i="13"/>
  <c r="J185" i="2"/>
  <c r="J405" i="2"/>
  <c r="A204" i="2"/>
  <c r="A1024" i="2"/>
  <c r="J66" i="2"/>
  <c r="A1126" i="2"/>
  <c r="J285" i="2"/>
  <c r="B76" i="9"/>
  <c r="A164" i="2"/>
  <c r="A824" i="2"/>
  <c r="A384" i="2"/>
  <c r="J865" i="2"/>
  <c r="A744" i="2"/>
  <c r="B35" i="13"/>
  <c r="A344" i="2"/>
  <c r="K345" i="2"/>
  <c r="A922" i="2"/>
  <c r="J683" i="2"/>
  <c r="K945" i="2"/>
  <c r="J905" i="2"/>
  <c r="A752" i="2"/>
  <c r="B76" i="12"/>
  <c r="A328" i="2"/>
  <c r="I685" i="2" l="1"/>
  <c r="G665" i="2"/>
  <c r="E24" i="8"/>
  <c r="G305" i="2"/>
  <c r="G925" i="2"/>
  <c r="I845" i="2"/>
  <c r="I365" i="2"/>
  <c r="E24" i="13"/>
  <c r="E24" i="12"/>
  <c r="E24" i="11"/>
  <c r="G947" i="2"/>
  <c r="G527" i="2"/>
  <c r="G747" i="2"/>
  <c r="G147" i="2"/>
  <c r="G407" i="2"/>
  <c r="G347" i="2"/>
  <c r="G207" i="2"/>
  <c r="G727" i="2"/>
  <c r="G47" i="2"/>
  <c r="G907" i="2"/>
  <c r="G447" i="2"/>
  <c r="G247" i="2"/>
  <c r="G127" i="2"/>
  <c r="G487" i="2"/>
  <c r="G107" i="2"/>
  <c r="G567" i="2"/>
  <c r="G327" i="2"/>
  <c r="G647" i="2"/>
  <c r="G167" i="2"/>
  <c r="G787" i="2"/>
  <c r="G87" i="2"/>
  <c r="G187" i="2"/>
  <c r="G887" i="2"/>
  <c r="G607" i="2"/>
  <c r="G807" i="2"/>
  <c r="G587" i="2"/>
  <c r="G427" i="2"/>
  <c r="G827" i="2"/>
  <c r="G387" i="2"/>
  <c r="G267" i="2"/>
  <c r="G547" i="2"/>
  <c r="G287" i="2"/>
  <c r="G867" i="2"/>
  <c r="G24" i="2"/>
  <c r="G25" i="2" s="1"/>
  <c r="G26" i="2" s="1"/>
  <c r="G27" i="2" s="1"/>
  <c r="I24" i="2"/>
  <c r="Q23" i="7"/>
  <c r="AC23" i="7"/>
  <c r="AC21" i="3"/>
  <c r="AC22" i="3" s="1"/>
  <c r="Q21" i="3"/>
  <c r="Q22" i="3" s="1"/>
  <c r="G21" i="3"/>
  <c r="G22" i="3" s="1"/>
  <c r="F21" i="3"/>
  <c r="F22" i="3" s="1"/>
  <c r="E21" i="3"/>
  <c r="E22" i="3" s="1"/>
  <c r="AC10" i="3"/>
  <c r="AC11" i="3" s="1"/>
  <c r="Q10" i="3"/>
  <c r="Q11" i="3" s="1"/>
  <c r="G10" i="3"/>
  <c r="G11" i="3" s="1"/>
  <c r="F10" i="3"/>
  <c r="F11" i="3" s="1"/>
  <c r="E10" i="3"/>
  <c r="E11" i="3" s="1"/>
  <c r="Q21" i="1"/>
  <c r="Q22" i="1" s="1"/>
  <c r="AC21" i="1"/>
  <c r="AC22" i="1" s="1"/>
  <c r="Q10" i="1"/>
  <c r="Q11" i="1" s="1"/>
  <c r="AC10" i="1"/>
  <c r="AC11" i="1" s="1"/>
  <c r="AO10" i="1"/>
  <c r="AO11" i="1" s="1"/>
  <c r="G21" i="1"/>
  <c r="G22" i="1" s="1"/>
  <c r="G10" i="1"/>
  <c r="G11" i="1" s="1"/>
  <c r="F21" i="1"/>
  <c r="F22" i="1" s="1"/>
  <c r="E21" i="1"/>
  <c r="E22" i="1" s="1"/>
  <c r="F10" i="1"/>
  <c r="F11" i="1" s="1"/>
  <c r="E10" i="1"/>
  <c r="E11" i="1" s="1"/>
  <c r="A683" i="2"/>
  <c r="A693" i="2"/>
  <c r="K11" i="2"/>
  <c r="A825" i="2"/>
  <c r="K364" i="2"/>
  <c r="K19" i="2"/>
  <c r="K924" i="2"/>
  <c r="J386" i="2"/>
  <c r="K486" i="2"/>
  <c r="A385" i="2"/>
  <c r="A312" i="2"/>
  <c r="K767" i="2"/>
  <c r="A85" i="2"/>
  <c r="A713" i="2"/>
  <c r="K386" i="2"/>
  <c r="J606" i="2"/>
  <c r="K826" i="2"/>
  <c r="K346" i="2"/>
  <c r="A792" i="2"/>
  <c r="J166" i="2"/>
  <c r="J746" i="2"/>
  <c r="A333" i="2"/>
  <c r="J11" i="2"/>
  <c r="J886" i="2"/>
  <c r="K17" i="2"/>
  <c r="K606" i="2"/>
  <c r="J266" i="2"/>
  <c r="J10" i="2"/>
  <c r="J486" i="2"/>
  <c r="A325" i="2"/>
  <c r="B195" i="13"/>
  <c r="A165" i="2"/>
  <c r="J844" i="2"/>
  <c r="A473" i="2"/>
  <c r="A432" i="2"/>
  <c r="A265" i="2"/>
  <c r="A413" i="2"/>
  <c r="J16" i="2"/>
  <c r="A213" i="2"/>
  <c r="A663" i="2"/>
  <c r="A985" i="2"/>
  <c r="A865" i="2"/>
  <c r="J17" i="2"/>
  <c r="J826" i="2"/>
  <c r="A226" i="2"/>
  <c r="A923" i="2"/>
  <c r="A633" i="2"/>
  <c r="K12" i="2"/>
  <c r="A293" i="2"/>
  <c r="J286" i="2"/>
  <c r="A772" i="2"/>
  <c r="A1006" i="2"/>
  <c r="J146" i="2"/>
  <c r="J566" i="2"/>
  <c r="A172" i="2"/>
  <c r="J20" i="2"/>
  <c r="A813" i="2"/>
  <c r="K13" i="2"/>
  <c r="J206" i="2"/>
  <c r="K23" i="2"/>
  <c r="A1045" i="2"/>
  <c r="J13" i="2"/>
  <c r="A843" i="2"/>
  <c r="A553" i="2"/>
  <c r="A966" i="2"/>
  <c r="A373" i="2"/>
  <c r="J246" i="2"/>
  <c r="A613" i="2"/>
  <c r="K844" i="2"/>
  <c r="J21" i="2"/>
  <c r="A1067" i="2"/>
  <c r="A1087" i="2"/>
  <c r="K227" i="2"/>
  <c r="A2832" i="2"/>
  <c r="B76" i="11"/>
  <c r="A253" i="2"/>
  <c r="J627" i="2"/>
  <c r="J526" i="2"/>
  <c r="A192" i="2"/>
  <c r="A706" i="2"/>
  <c r="A193" i="2"/>
  <c r="A1147" i="2"/>
  <c r="J364" i="2"/>
  <c r="A1052" i="2"/>
  <c r="J406" i="2"/>
  <c r="A565" i="2"/>
  <c r="B76" i="7"/>
  <c r="K16" i="2"/>
  <c r="J304" i="2"/>
  <c r="A345" i="2"/>
  <c r="A105" i="2"/>
  <c r="A593" i="2"/>
  <c r="A645" i="2"/>
  <c r="A1127" i="2"/>
  <c r="A232" i="2"/>
  <c r="K266" i="2"/>
  <c r="A445" i="2"/>
  <c r="K646" i="2"/>
  <c r="A2073" i="2"/>
  <c r="A303" i="2"/>
  <c r="K246" i="2"/>
  <c r="A753" i="2"/>
  <c r="J467" i="2"/>
  <c r="K8" i="2"/>
  <c r="A785" i="2"/>
  <c r="A833" i="2"/>
  <c r="J924" i="2"/>
  <c r="A945" i="2"/>
  <c r="B215" i="9"/>
  <c r="K304" i="2"/>
  <c r="K886" i="2"/>
  <c r="K106" i="2"/>
  <c r="J684" i="2"/>
  <c r="A125" i="2"/>
  <c r="A2733" i="2"/>
  <c r="A466" i="2"/>
  <c r="A626" i="2"/>
  <c r="K726" i="2"/>
  <c r="B56" i="7"/>
  <c r="K166" i="2"/>
  <c r="J906" i="2"/>
  <c r="A1733" i="2"/>
  <c r="A873" i="2"/>
  <c r="K126" i="2"/>
  <c r="K746" i="2"/>
  <c r="A453" i="2"/>
  <c r="A353" i="2"/>
  <c r="A205" i="2"/>
  <c r="J106" i="2"/>
  <c r="A393" i="2"/>
  <c r="K406" i="2"/>
  <c r="K22" i="2"/>
  <c r="B195" i="12"/>
  <c r="J726" i="2"/>
  <c r="A66" i="2"/>
  <c r="A513" i="2"/>
  <c r="K67" i="2"/>
  <c r="K206" i="2"/>
  <c r="A425" i="2"/>
  <c r="A1025" i="2"/>
  <c r="A405" i="2"/>
  <c r="A885" i="2"/>
  <c r="J586" i="2"/>
  <c r="A725" i="2"/>
  <c r="A525" i="2"/>
  <c r="J507" i="2"/>
  <c r="J126" i="2"/>
  <c r="K507" i="2"/>
  <c r="J46" i="2"/>
  <c r="K146" i="2"/>
  <c r="J426" i="2"/>
  <c r="K684" i="2"/>
  <c r="A2072" i="2"/>
  <c r="J767" i="2"/>
  <c r="A585" i="2"/>
  <c r="A745" i="2"/>
  <c r="J546" i="2"/>
  <c r="A732" i="2"/>
  <c r="K786" i="2"/>
  <c r="J806" i="2"/>
  <c r="A245" i="2"/>
  <c r="K9" i="2"/>
  <c r="A905" i="2"/>
  <c r="J326" i="2"/>
  <c r="A185" i="2"/>
  <c r="A2512" i="2"/>
  <c r="A45" i="2"/>
  <c r="K866" i="2"/>
  <c r="K186" i="2"/>
  <c r="K707" i="2"/>
  <c r="A272" i="2"/>
  <c r="J12" i="2"/>
  <c r="K664" i="2"/>
  <c r="A433" i="2"/>
  <c r="K18" i="2"/>
  <c r="A773" i="2"/>
  <c r="A953" i="2"/>
  <c r="A1132" i="2"/>
  <c r="A485" i="2"/>
  <c r="J866" i="2"/>
  <c r="B195" i="11"/>
  <c r="B195" i="8"/>
  <c r="J23" i="2"/>
  <c r="A872" i="2"/>
  <c r="K86" i="2"/>
  <c r="A2713" i="2"/>
  <c r="J227" i="2"/>
  <c r="K627" i="2"/>
  <c r="K15" i="2"/>
  <c r="K546" i="2"/>
  <c r="J9" i="2"/>
  <c r="K286" i="2"/>
  <c r="K20" i="2"/>
  <c r="J15" i="2"/>
  <c r="J946" i="2"/>
  <c r="A493" i="2"/>
  <c r="A212" i="2"/>
  <c r="A285" i="2"/>
  <c r="K526" i="2"/>
  <c r="J346" i="2"/>
  <c r="J14" i="2"/>
  <c r="A506" i="2"/>
  <c r="J707" i="2"/>
  <c r="A805" i="2"/>
  <c r="K586" i="2"/>
  <c r="A273" i="2"/>
  <c r="J646" i="2"/>
  <c r="K21" i="2"/>
  <c r="J19" i="2"/>
  <c r="K906" i="2"/>
  <c r="J18" i="2"/>
  <c r="A363" i="2"/>
  <c r="K10" i="2"/>
  <c r="K46" i="2"/>
  <c r="A173" i="2"/>
  <c r="K806" i="2"/>
  <c r="K326" i="2"/>
  <c r="B195" i="10"/>
  <c r="A252" i="2"/>
  <c r="J786" i="2"/>
  <c r="J186" i="2"/>
  <c r="A653" i="2"/>
  <c r="A332" i="2"/>
  <c r="K946" i="2"/>
  <c r="J8" i="2"/>
  <c r="A145" i="2"/>
  <c r="A545" i="2"/>
  <c r="A1753" i="2"/>
  <c r="A1133" i="2"/>
  <c r="J86" i="2"/>
  <c r="K14" i="2"/>
  <c r="K446" i="2"/>
  <c r="A292" i="2"/>
  <c r="J67" i="2"/>
  <c r="J22" i="2"/>
  <c r="A766" i="2"/>
  <c r="J664" i="2"/>
  <c r="K566" i="2"/>
  <c r="A605" i="2"/>
  <c r="K426" i="2"/>
  <c r="A733" i="2"/>
  <c r="K467" i="2"/>
  <c r="J446" i="2"/>
  <c r="G666" i="2" l="1"/>
  <c r="I686" i="2"/>
  <c r="I366" i="2"/>
  <c r="G306" i="2"/>
  <c r="I846" i="2"/>
  <c r="G926" i="2"/>
  <c r="E23" i="1"/>
  <c r="I25" i="2"/>
  <c r="F23" i="1"/>
  <c r="G23" i="1"/>
  <c r="Q23" i="3"/>
  <c r="AC23" i="3"/>
  <c r="AC23" i="1"/>
  <c r="E25" i="1" s="1"/>
  <c r="Q23" i="1"/>
  <c r="BA23" i="1"/>
  <c r="E27" i="1" s="1"/>
  <c r="AO23" i="1"/>
  <c r="E26" i="1" s="1"/>
  <c r="A664" i="2"/>
  <c r="A446" i="2"/>
  <c r="A946" i="2"/>
  <c r="K427" i="2"/>
  <c r="A973" i="2"/>
  <c r="A46" i="2"/>
  <c r="A266" i="2"/>
  <c r="A52" i="2"/>
  <c r="J647" i="2"/>
  <c r="B215" i="12"/>
  <c r="K907" i="2"/>
  <c r="K267" i="2"/>
  <c r="A893" i="2"/>
  <c r="A1046" i="2"/>
  <c r="A606" i="2"/>
  <c r="J347" i="2"/>
  <c r="K327" i="2"/>
  <c r="J787" i="2"/>
  <c r="K607" i="2"/>
  <c r="K665" i="2"/>
  <c r="A467" i="2"/>
  <c r="A586" i="2"/>
  <c r="K127" i="2"/>
  <c r="A8" i="2"/>
  <c r="J827" i="2"/>
  <c r="A486" i="2"/>
  <c r="A906" i="2"/>
  <c r="K24" i="2"/>
  <c r="J387" i="2"/>
  <c r="A227" i="2"/>
  <c r="J665" i="2"/>
  <c r="J747" i="2"/>
  <c r="A11" i="2"/>
  <c r="A627" i="2"/>
  <c r="J327" i="2"/>
  <c r="J365" i="2"/>
  <c r="K187" i="2"/>
  <c r="K487" i="2"/>
  <c r="J287" i="2"/>
  <c r="J527" i="2"/>
  <c r="A786" i="2"/>
  <c r="A126" i="2"/>
  <c r="A364" i="2"/>
  <c r="A406" i="2"/>
  <c r="J587" i="2"/>
  <c r="K407" i="2"/>
  <c r="J47" i="2"/>
  <c r="B55" i="1"/>
  <c r="J567" i="2"/>
  <c r="A14" i="2"/>
  <c r="A186" i="2"/>
  <c r="K167" i="2"/>
  <c r="A746" i="2"/>
  <c r="J247" i="2"/>
  <c r="B56" i="1"/>
  <c r="J887" i="2"/>
  <c r="J907" i="2"/>
  <c r="J24" i="2"/>
  <c r="A18" i="2"/>
  <c r="K647" i="2"/>
  <c r="K807" i="2"/>
  <c r="A646" i="2"/>
  <c r="A707" i="2"/>
  <c r="J407" i="2"/>
  <c r="J267" i="2"/>
  <c r="A23" i="2"/>
  <c r="K787" i="2"/>
  <c r="J487" i="2"/>
  <c r="J427" i="2"/>
  <c r="A1007" i="2"/>
  <c r="A986" i="2"/>
  <c r="A20" i="2"/>
  <c r="K827" i="2"/>
  <c r="J107" i="2"/>
  <c r="K447" i="2"/>
  <c r="K87" i="2"/>
  <c r="A806" i="2"/>
  <c r="B235" i="9"/>
  <c r="A886" i="2"/>
  <c r="A924" i="2"/>
  <c r="A866" i="2"/>
  <c r="A346" i="2"/>
  <c r="A2393" i="2"/>
  <c r="A112" i="2"/>
  <c r="K107" i="2"/>
  <c r="K387" i="2"/>
  <c r="A15" i="2"/>
  <c r="K347" i="2"/>
  <c r="K727" i="2"/>
  <c r="A304" i="2"/>
  <c r="A913" i="2"/>
  <c r="A246" i="2"/>
  <c r="A526" i="2"/>
  <c r="J207" i="2"/>
  <c r="K845" i="2"/>
  <c r="A17" i="2"/>
  <c r="A507" i="2"/>
  <c r="A684" i="2"/>
  <c r="K747" i="2"/>
  <c r="A1413" i="2"/>
  <c r="K567" i="2"/>
  <c r="K887" i="2"/>
  <c r="A86" i="2"/>
  <c r="K587" i="2"/>
  <c r="K867" i="2"/>
  <c r="A546" i="2"/>
  <c r="J147" i="2"/>
  <c r="J87" i="2"/>
  <c r="K547" i="2"/>
  <c r="J447" i="2"/>
  <c r="J807" i="2"/>
  <c r="K305" i="2"/>
  <c r="A844" i="2"/>
  <c r="K685" i="2"/>
  <c r="A386" i="2"/>
  <c r="K287" i="2"/>
  <c r="A326" i="2"/>
  <c r="A9" i="2"/>
  <c r="B215" i="11"/>
  <c r="J187" i="2"/>
  <c r="B215" i="13"/>
  <c r="A106" i="2"/>
  <c r="A22" i="2"/>
  <c r="K247" i="2"/>
  <c r="J845" i="2"/>
  <c r="A826" i="2"/>
  <c r="K527" i="2"/>
  <c r="A10" i="2"/>
  <c r="A166" i="2"/>
  <c r="A426" i="2"/>
  <c r="K925" i="2"/>
  <c r="A206" i="2"/>
  <c r="A286" i="2"/>
  <c r="A67" i="2"/>
  <c r="J685" i="2"/>
  <c r="B215" i="10"/>
  <c r="J547" i="2"/>
  <c r="J925" i="2"/>
  <c r="A53" i="2"/>
  <c r="A726" i="2"/>
  <c r="J305" i="2"/>
  <c r="A967" i="2"/>
  <c r="A19" i="2"/>
  <c r="A533" i="2"/>
  <c r="J867" i="2"/>
  <c r="A16" i="2"/>
  <c r="A21" i="2"/>
  <c r="A146" i="2"/>
  <c r="A573" i="2"/>
  <c r="J127" i="2"/>
  <c r="K47" i="2"/>
  <c r="A566" i="2"/>
  <c r="K207" i="2"/>
  <c r="K365" i="2"/>
  <c r="K947" i="2"/>
  <c r="K147" i="2"/>
  <c r="A132" i="2"/>
  <c r="A767" i="2"/>
  <c r="J947" i="2"/>
  <c r="A92" i="2"/>
  <c r="J727" i="2"/>
  <c r="J167" i="2"/>
  <c r="A1026" i="2"/>
  <c r="J607" i="2"/>
  <c r="B215" i="8"/>
  <c r="I687" i="2" l="1"/>
  <c r="G667" i="2"/>
  <c r="G927" i="2"/>
  <c r="I367" i="2"/>
  <c r="I847" i="2"/>
  <c r="G307" i="2"/>
  <c r="E24" i="1"/>
  <c r="I26" i="2"/>
  <c r="A32" i="2"/>
  <c r="A35" i="2"/>
  <c r="J686" i="2"/>
  <c r="A827" i="2"/>
  <c r="A547" i="2"/>
  <c r="A93" i="2"/>
  <c r="A127" i="2"/>
  <c r="A1027" i="2"/>
  <c r="A13" i="2"/>
  <c r="A987" i="2"/>
  <c r="A147" i="2"/>
  <c r="A96" i="2"/>
  <c r="B235" i="8"/>
  <c r="B235" i="12"/>
  <c r="A427" i="2"/>
  <c r="B235" i="11"/>
  <c r="J926" i="2"/>
  <c r="A305" i="2"/>
  <c r="A933" i="2"/>
  <c r="A56" i="2"/>
  <c r="A925" i="2"/>
  <c r="A287" i="2"/>
  <c r="A33" i="2"/>
  <c r="A55" i="2"/>
  <c r="A992" i="2"/>
  <c r="J666" i="2"/>
  <c r="A867" i="2"/>
  <c r="A887" i="2"/>
  <c r="A133" i="2"/>
  <c r="A95" i="2"/>
  <c r="A747" i="2"/>
  <c r="A24" i="2"/>
  <c r="A807" i="2"/>
  <c r="B235" i="10"/>
  <c r="K926" i="2"/>
  <c r="K366" i="2"/>
  <c r="A647" i="2"/>
  <c r="A114" i="2"/>
  <c r="A787" i="2"/>
  <c r="A116" i="2"/>
  <c r="A207" i="2"/>
  <c r="A685" i="2"/>
  <c r="A136" i="2"/>
  <c r="A34" i="2"/>
  <c r="A587" i="2"/>
  <c r="A567" i="2"/>
  <c r="A527" i="2"/>
  <c r="A387" i="2"/>
  <c r="A94" i="2"/>
  <c r="A947" i="2"/>
  <c r="A135" i="2"/>
  <c r="K25" i="2"/>
  <c r="A487" i="2"/>
  <c r="K686" i="2"/>
  <c r="A247" i="2"/>
  <c r="A12" i="2"/>
  <c r="A845" i="2"/>
  <c r="A347" i="2"/>
  <c r="A36" i="2"/>
  <c r="A993" i="2"/>
  <c r="A907" i="2"/>
  <c r="A113" i="2"/>
  <c r="A187" i="2"/>
  <c r="A267" i="2"/>
  <c r="K846" i="2"/>
  <c r="A87" i="2"/>
  <c r="J306" i="2"/>
  <c r="K666" i="2"/>
  <c r="K306" i="2"/>
  <c r="J366" i="2"/>
  <c r="A607" i="2"/>
  <c r="A115" i="2"/>
  <c r="B235" i="13"/>
  <c r="J25" i="2"/>
  <c r="A47" i="2"/>
  <c r="A447" i="2"/>
  <c r="A665" i="2"/>
  <c r="A407" i="2"/>
  <c r="A167" i="2"/>
  <c r="A327" i="2"/>
  <c r="A1047" i="2"/>
  <c r="A727" i="2"/>
  <c r="A107" i="2"/>
  <c r="A134" i="2"/>
  <c r="A932" i="2"/>
  <c r="A365" i="2"/>
  <c r="A54" i="2"/>
  <c r="J846" i="2"/>
  <c r="I27" i="2" l="1"/>
  <c r="K667" i="2"/>
  <c r="A366" i="2"/>
  <c r="A926" i="2"/>
  <c r="J307" i="2"/>
  <c r="A666" i="2"/>
  <c r="A686" i="2"/>
  <c r="J927" i="2"/>
  <c r="J667" i="2"/>
  <c r="K847" i="2"/>
  <c r="K367" i="2"/>
  <c r="A306" i="2"/>
  <c r="K927" i="2"/>
  <c r="J847" i="2"/>
  <c r="J687" i="2"/>
  <c r="A25" i="2"/>
  <c r="K26" i="2"/>
  <c r="A846" i="2"/>
  <c r="J26" i="2"/>
  <c r="K307" i="2"/>
  <c r="K27" i="2"/>
  <c r="J367" i="2"/>
  <c r="J27" i="2"/>
  <c r="K687" i="2"/>
  <c r="A847" i="2"/>
  <c r="A367" i="2"/>
  <c r="A667" i="2"/>
  <c r="A27" i="2"/>
  <c r="A687" i="2"/>
  <c r="A927" i="2"/>
  <c r="A307" i="2"/>
  <c r="A26" i="2"/>
</calcChain>
</file>

<file path=xl/sharedStrings.xml><?xml version="1.0" encoding="utf-8"?>
<sst xmlns="http://schemas.openxmlformats.org/spreadsheetml/2006/main" count="3153" uniqueCount="460">
  <si>
    <t>Port+pin</t>
  </si>
  <si>
    <t>port</t>
  </si>
  <si>
    <t>wartość safe</t>
  </si>
  <si>
    <t>opis pinu</t>
  </si>
  <si>
    <t>GPA</t>
  </si>
  <si>
    <t>GPB</t>
  </si>
  <si>
    <t>GPIO_Exp_Reset0</t>
  </si>
  <si>
    <t>GPIO_Exp_Reset1</t>
  </si>
  <si>
    <t>GPIO_Exp_Reset2</t>
  </si>
  <si>
    <t>Reset_ExpSupp</t>
  </si>
  <si>
    <t>PWR_ExtIO_Reset</t>
  </si>
  <si>
    <t>SFP_Reset</t>
  </si>
  <si>
    <t>RST_Bridge</t>
  </si>
  <si>
    <t>Reset_Bridge_Exp</t>
  </si>
  <si>
    <t>Enable_CLK</t>
  </si>
  <si>
    <t>none</t>
  </si>
  <si>
    <t>hex</t>
  </si>
  <si>
    <t>pins_pull_up</t>
  </si>
  <si>
    <t>i2c_addr</t>
  </si>
  <si>
    <t>etap 2</t>
  </si>
  <si>
    <t>czas  pomiędzy wartość safe a krok 1 [ms]</t>
  </si>
  <si>
    <t>etap 1</t>
  </si>
  <si>
    <t>komentarz</t>
  </si>
  <si>
    <t>reset dla ekspanderów wyjść z grupy I2c_Expander_0x</t>
  </si>
  <si>
    <t>nie podłączone</t>
  </si>
  <si>
    <t>niepodłączone</t>
  </si>
  <si>
    <t>reset expandera w sekcji zasilania dystrybutorów zegara</t>
  </si>
  <si>
    <t xml:space="preserve">reset expandera w sekcji zasilania </t>
  </si>
  <si>
    <t>reset expandera w sekcji SFP</t>
  </si>
  <si>
    <t>reset bridge'a w sekcji SFP</t>
  </si>
  <si>
    <t>aktywacja dystrybutorów zegarów</t>
  </si>
  <si>
    <t>reset bridge'a w sekcji GPIO</t>
  </si>
  <si>
    <t># generator wpisów konfigurujących płytę MB</t>
  </si>
  <si>
    <t># aktywacja głónego expandera</t>
  </si>
  <si>
    <t xml:space="preserve"># clear mio_2_72 </t>
  </si>
  <si>
    <t># wpis początkowy dla expandera glownego</t>
  </si>
  <si>
    <t>MCP23017</t>
  </si>
  <si>
    <t>Czas pomiędzy etap 1, a etap 2</t>
  </si>
  <si>
    <t xml:space="preserve">pins_mode 0 - out </t>
  </si>
  <si>
    <t>pins_pull_up 1 - enable</t>
  </si>
  <si>
    <t xml:space="preserve">Pin_def_state </t>
  </si>
  <si>
    <t>etap 3</t>
  </si>
  <si>
    <t># nazwa układu</t>
  </si>
  <si>
    <t>Czas pomiędzy etap 2, a etap 3</t>
  </si>
  <si>
    <t>opis pinu na schemacie</t>
  </si>
  <si>
    <t>PG_PS_LTC6952_1</t>
  </si>
  <si>
    <t>EN_PS_LTC6952_1</t>
  </si>
  <si>
    <t>PG_PS_LN_3.3V</t>
  </si>
  <si>
    <t>EN_PS_LN_3.3V</t>
  </si>
  <si>
    <t>PG_PS_LTC6952_2</t>
  </si>
  <si>
    <t>EN_PS_LTC6952_2</t>
  </si>
  <si>
    <t>PG_PS_LTC6952_3</t>
  </si>
  <si>
    <t>EN_PS_LTC6952_3</t>
  </si>
  <si>
    <t>PG_PS_CP_5V0_1</t>
  </si>
  <si>
    <t>Enable_TPS7A88_1</t>
  </si>
  <si>
    <t>Enable_TPS7A88_2</t>
  </si>
  <si>
    <t>PG_TPS7A88_1</t>
  </si>
  <si>
    <t>PG_TPS7A88_2</t>
  </si>
  <si>
    <t>sygnał zwrotny dotyczący poprawnej pracy zasilacza dystrybutora LTC6952_1</t>
  </si>
  <si>
    <t>uruchamianie zasilacza dystrybutora LTC6952_1</t>
  </si>
  <si>
    <t>sygnał zwrotny dotyczący poprawnej pracy zasilacza dystrybutora LTC6952_2</t>
  </si>
  <si>
    <t>uruchamianie zasilacza dystrybutora LTC6952_2</t>
  </si>
  <si>
    <t>sygnał zwrotny dotyczący sygnały niskoszumnego dla dystrybutorów zegara</t>
  </si>
  <si>
    <t>włączanie zasilania niskoszumnego dla dystrybutorów zasilania</t>
  </si>
  <si>
    <t>sygnał powrotny z niesterowanego zasilacza niskoszumnego na 5V dla DAC-a oraz pompy na dystrybutorze LTC6952_1</t>
  </si>
  <si>
    <t>włączanie zasilania dla dystrybutora WR</t>
  </si>
  <si>
    <t>potwierdzenie poprawności uruchomienia zasilacza WR</t>
  </si>
  <si>
    <t>bridge</t>
  </si>
  <si>
    <t>TCA9548</t>
  </si>
  <si>
    <t>I2C_Bridge_GPIO</t>
  </si>
  <si>
    <t>ctrl_reg</t>
  </si>
  <si>
    <t>Enable channel 0</t>
  </si>
  <si>
    <t>1 - enable</t>
  </si>
  <si>
    <t>Enable channel 1</t>
  </si>
  <si>
    <t>Enable channel 2</t>
  </si>
  <si>
    <t>Enable channel 3</t>
  </si>
  <si>
    <t>Enable channel 4</t>
  </si>
  <si>
    <t>Enable channel 5</t>
  </si>
  <si>
    <t>Enable channel 6</t>
  </si>
  <si>
    <t>Enable channel 7</t>
  </si>
  <si>
    <t>wylacz</t>
  </si>
  <si>
    <t>exp_group_1x</t>
  </si>
  <si>
    <t>exp_group_0x</t>
  </si>
  <si>
    <t>JEŻELI('2C_Expander_Main_Rst'!A33 &lt;&gt;"";ZŁĄCZ.TEKSTY('2C_Expander_Main_Rst'!A33;" = ";'2C_Expander_Main_Rst'!B33);"")</t>
  </si>
  <si>
    <t>I2C_Expander_Main_Rst</t>
  </si>
  <si>
    <t>I2C_Expander_PWR_CLK</t>
  </si>
  <si>
    <t>I2C_Bridge_SFP</t>
  </si>
  <si>
    <t>i2c_0</t>
  </si>
  <si>
    <t>SFP1</t>
  </si>
  <si>
    <t>SFP3</t>
  </si>
  <si>
    <t>SFP0</t>
  </si>
  <si>
    <t>SFP2</t>
  </si>
  <si>
    <t>IMU</t>
  </si>
  <si>
    <t>Curr_Volt_Meas</t>
  </si>
  <si>
    <t>PCIE_Bridge</t>
  </si>
  <si>
    <t>I2C_Expander_SFP</t>
  </si>
  <si>
    <t>PCIE3</t>
  </si>
  <si>
    <t>PCIE0</t>
  </si>
  <si>
    <t>Pomiar_pradu_napiecia_PCIE_3</t>
  </si>
  <si>
    <t>SD/SC0</t>
  </si>
  <si>
    <t>SD/SC1</t>
  </si>
  <si>
    <t>SD/SC2</t>
  </si>
  <si>
    <t>SD/SC3</t>
  </si>
  <si>
    <t>SD/SC4</t>
  </si>
  <si>
    <t>SD/SC5</t>
  </si>
  <si>
    <t>SD/SC6</t>
  </si>
  <si>
    <t>SD/SC7</t>
  </si>
  <si>
    <t>Pomiar_pradu_napiecia_PCIE_4 / Pomiar_pradu_napiecia_PCIE_1</t>
  </si>
  <si>
    <t>PCIE1</t>
  </si>
  <si>
    <t>PCIE2</t>
  </si>
  <si>
    <t>PCIE4</t>
  </si>
  <si>
    <t>Pomiar_pradu_napiecia_PCIE_0 / Pomiar_pradu_napiecia_PCIE_2</t>
  </si>
  <si>
    <t>I2C_Bridge_PCIE</t>
  </si>
  <si>
    <t>Exp_PCIE</t>
  </si>
  <si>
    <t>wolne</t>
  </si>
  <si>
    <t>I2C_Expander_PWR_Distr</t>
  </si>
  <si>
    <t>PWR_PowerAlert0</t>
  </si>
  <si>
    <t>PWR_PowerAlert1</t>
  </si>
  <si>
    <t>nc</t>
  </si>
  <si>
    <t>Power_Status.S0</t>
  </si>
  <si>
    <t>Power_Status.S1</t>
  </si>
  <si>
    <t>Power_Status.S2</t>
  </si>
  <si>
    <t>PG_3V3_14A_EXP</t>
  </si>
  <si>
    <t>PG_5V_10A_EXP</t>
  </si>
  <si>
    <t>PG_12_8A_EXP</t>
  </si>
  <si>
    <t>En_Switch1</t>
  </si>
  <si>
    <t>En_Switch2</t>
  </si>
  <si>
    <t>Switch1_Flag</t>
  </si>
  <si>
    <t>Switch2_Flag</t>
  </si>
  <si>
    <t>PG_48_20V</t>
  </si>
  <si>
    <t>Przekroczenie prądu na wejściu 1</t>
  </si>
  <si>
    <t>Przekroczenie prądu na wejściu 2</t>
  </si>
  <si>
    <t>Status przełącznika źródeł nr 0</t>
  </si>
  <si>
    <t>Status przełącznika źródeł nr 1</t>
  </si>
  <si>
    <t>Status przełącznika źródeł nr 2</t>
  </si>
  <si>
    <t>Sygnał potwierdzający poprawne zasilanie 3.3V 14A</t>
  </si>
  <si>
    <t>Sygnał potwierdzający poprawne zasilanie 5V 10A</t>
  </si>
  <si>
    <t>Sygnał potwierdzający poprawne zasilanie 12V 8A</t>
  </si>
  <si>
    <t>aktywacja przekaźnika 1 do ładowania baterii</t>
  </si>
  <si>
    <t>Potwierdzenie poprawnej pracy przekażnika 1</t>
  </si>
  <si>
    <t>Potwierdzenie poprawnej pracy przekażnika 2</t>
  </si>
  <si>
    <t>aktywacja przekaźnika 2 do ładowania baterii</t>
  </si>
  <si>
    <t>Informacja o poprawnym zasilaniu 20V pochodzacym od POE</t>
  </si>
  <si>
    <t>Exp_SFP</t>
  </si>
  <si>
    <t>SFP_Digit3.TF_Fault</t>
  </si>
  <si>
    <t>SFP_Digit3.TX_Disable</t>
  </si>
  <si>
    <t>SFP_Digit3.LOS</t>
  </si>
  <si>
    <t>SFP_Digit1.TF_Fault</t>
  </si>
  <si>
    <t>SFP_Digit1.TX_Disable</t>
  </si>
  <si>
    <t>SFP_Digit1.LOS</t>
  </si>
  <si>
    <t>SFP_Digit2.TF_Fault</t>
  </si>
  <si>
    <t>SFP_Digit2.TX_Disable</t>
  </si>
  <si>
    <t>SFP_Digit2.LOS</t>
  </si>
  <si>
    <t>SFP_Digit0.TF_Fault</t>
  </si>
  <si>
    <t>SFP_Digit0.TX_Disable</t>
  </si>
  <si>
    <t>SFP_Digit0.LOS</t>
  </si>
  <si>
    <t>I2C_Expander_00</t>
  </si>
  <si>
    <t>PG_1V0_1.5A_ETH</t>
  </si>
  <si>
    <t>PG_1V8_1.5A_ETH</t>
  </si>
  <si>
    <t>InSel_05028.InSel_00</t>
  </si>
  <si>
    <t>InSel_05028.InSel_01</t>
  </si>
  <si>
    <t>InSel_05028.InSel_11</t>
  </si>
  <si>
    <t>InSel_05028.InSel_10</t>
  </si>
  <si>
    <t>wlązanie 12V dla karty  w złączu PCIE_4</t>
  </si>
  <si>
    <t>potwierdzenie poprawności zasilania dla serializera Ethernetu</t>
  </si>
  <si>
    <t>USB_OVC</t>
  </si>
  <si>
    <t>przeciążenie na szynie USB</t>
  </si>
  <si>
    <t>Periph_GPIO.eMMC_PG2</t>
  </si>
  <si>
    <t>Periph_GPIO.eMMC_PG1</t>
  </si>
  <si>
    <t>potwierdzenie zasilania pamięci eMMC sekcji 1</t>
  </si>
  <si>
    <t>PCIE_Resets.PCIE_Resets_0</t>
  </si>
  <si>
    <t>sygnał reset dla karty w złączu 0</t>
  </si>
  <si>
    <t>wyłączanie komunikacji z kartą podłączoną do PCIE_2</t>
  </si>
  <si>
    <t>Ctrl_Pwr_4HiSpeed.EN_PWR_PCIE_4</t>
  </si>
  <si>
    <t>Ctrl_Pwr_4HiSpeed.EN_PWR_PCIE_3</t>
  </si>
  <si>
    <t>wlązanie 12V dla karty  w złączu PCIE_3</t>
  </si>
  <si>
    <t>Reset_Bridge_I2C_PCIE</t>
  </si>
  <si>
    <t>reset dla mostka I2C_Bridge_PCIE</t>
  </si>
  <si>
    <t>PCIE_Resets.PCIE_Resets_2</t>
  </si>
  <si>
    <t>sygnał reset dla karty w złączu 2</t>
  </si>
  <si>
    <t>PCIE_Resets.PCIE_Resets_3</t>
  </si>
  <si>
    <t>sygnał reset dla karty w złączu 3</t>
  </si>
  <si>
    <t>wyłączanie komunikacji z kartą podłączoną do PCIE_3</t>
  </si>
  <si>
    <t>PG_VTT_RAM</t>
  </si>
  <si>
    <t>potwierdzenie poprawnego działania zasilania</t>
  </si>
  <si>
    <t>wyłączanie komunikacji z kartą podłączoną do PCIE_0</t>
  </si>
  <si>
    <t>Ctrl_Pwr_4HiSpeed.EN_PWR_PCIE_2</t>
  </si>
  <si>
    <t>Ctrl_Pwr_4HiSpeed.EN_PWR_PCIE_0</t>
  </si>
  <si>
    <t>Periph_GPIO.ETH_Reset</t>
  </si>
  <si>
    <t>reset serializera dla ethernetu</t>
  </si>
  <si>
    <t>CTRL_SPI_B.En_SPI_Q2</t>
  </si>
  <si>
    <t>wyłączanie komunikacji z dystrybutorem LTC6952_1</t>
  </si>
  <si>
    <t>CTRL_SPI_B.En_SPI_Q3</t>
  </si>
  <si>
    <t>wyłączanie komunikacji z DAC-em</t>
  </si>
  <si>
    <t>Digit_05028.GPIO4</t>
  </si>
  <si>
    <t>Ctrl_SPI_A.EN_SPI_Q3</t>
  </si>
  <si>
    <t>Ctrl_SPI_A.EN_SPI_Q0</t>
  </si>
  <si>
    <t>włączenie 12V dla karty  w złączu PCIE_2</t>
  </si>
  <si>
    <t>włączenie 12V dla karty  w złączu PCIE_0</t>
  </si>
  <si>
    <t>CTRL_SPI_A.En_SPI_Q2</t>
  </si>
  <si>
    <t>cygnał cyfrowy dystrybutora WR, nie używać</t>
  </si>
  <si>
    <t>I2C_Expander_01</t>
  </si>
  <si>
    <t>I2C_Expander_02</t>
  </si>
  <si>
    <t>I2C_Expander_10</t>
  </si>
  <si>
    <t>I2C_Expander_11</t>
  </si>
  <si>
    <t>I2C_Expander_12</t>
  </si>
  <si>
    <t>i2c_num</t>
  </si>
  <si>
    <t>0xE6</t>
  </si>
  <si>
    <t>device</t>
  </si>
  <si>
    <t>#pins_int</t>
  </si>
  <si>
    <t>#pins_def_val</t>
  </si>
  <si>
    <t>addr</t>
  </si>
  <si>
    <t>time</t>
  </si>
  <si>
    <t>0x24</t>
  </si>
  <si>
    <t>ZŁĄCZ.TEKSTY($B$16;" ";$C$16;" ";ADR.POŚR(H32))</t>
  </si>
  <si>
    <t>pins_state</t>
  </si>
  <si>
    <t>pins_mode</t>
  </si>
  <si>
    <t>/dev/i2c-1</t>
  </si>
  <si>
    <t>0x73</t>
  </si>
  <si>
    <t>0x70</t>
  </si>
  <si>
    <t>0x71</t>
  </si>
  <si>
    <t>0x20</t>
  </si>
  <si>
    <t>0x21</t>
  </si>
  <si>
    <t>0x22</t>
  </si>
  <si>
    <t>0x26</t>
  </si>
  <si>
    <t>LTC6952_0</t>
  </si>
  <si>
    <t>spi_num</t>
  </si>
  <si>
    <t>path_cfg</t>
  </si>
  <si>
    <t>/dev/spidev0.0</t>
  </si>
  <si>
    <t>./device_config_files/LTC6952_1.cfg</t>
  </si>
  <si>
    <t>LTC6952</t>
  </si>
  <si>
    <t xml:space="preserve"> configuration</t>
  </si>
  <si>
    <t>#LTC6952 1</t>
  </si>
  <si>
    <t>./device_config_files/LTC6952_1_0.cfg</t>
  </si>
  <si>
    <t>./device_config_files/LTC6952_1_1.cfg</t>
  </si>
  <si>
    <t>./device_config_files/LTC6952_1_2.cfg</t>
  </si>
  <si>
    <t>./device_config_files/LTC6952_1_3.cfg</t>
  </si>
  <si>
    <t>./device_config_files/LTC6952_1_4.cfg</t>
  </si>
  <si>
    <t>./device_config_files/LTC6952_1_5.cfg</t>
  </si>
  <si>
    <t>./device_config_files/LTC6952_1_6.cfg</t>
  </si>
  <si>
    <t>etap 4</t>
  </si>
  <si>
    <t>etap 5</t>
  </si>
  <si>
    <t>etap 6</t>
  </si>
  <si>
    <t>etap 7</t>
  </si>
  <si>
    <t>etap 8</t>
  </si>
  <si>
    <t>etap 9</t>
  </si>
  <si>
    <t>etap 10</t>
  </si>
  <si>
    <t>urządzenie</t>
  </si>
  <si>
    <t>stopień</t>
  </si>
  <si>
    <t>etap 0</t>
  </si>
  <si>
    <t>etap 11</t>
  </si>
  <si>
    <t>linia</t>
  </si>
  <si>
    <t>opis</t>
  </si>
  <si>
    <t>Bridge_SFP:Port 5</t>
  </si>
  <si>
    <t>Bridge_SFP:Port 6</t>
  </si>
  <si>
    <t>LTC6952_1</t>
  </si>
  <si>
    <t>#LTC6952_Config_Safe</t>
  </si>
  <si>
    <t>LTC6952_2</t>
  </si>
  <si>
    <t>LMK05028</t>
  </si>
  <si>
    <t>DAC1220</t>
  </si>
  <si>
    <t>konfig</t>
  </si>
  <si>
    <t>#DAC1220 configuration</t>
  </si>
  <si>
    <t>./device_config_files/DAC1220.cfg</t>
  </si>
  <si>
    <t>./device_config_files/LTC6952_2.cfg</t>
  </si>
  <si>
    <t>./device_config_files/LMK05028.cfg</t>
  </si>
  <si>
    <t>#LMK05028_Config_Safe</t>
  </si>
  <si>
    <t>d24</t>
  </si>
  <si>
    <t>d23</t>
  </si>
  <si>
    <t xml:space="preserve">pins_mode safe 0 - out </t>
  </si>
  <si>
    <t>pins_mode etap1</t>
  </si>
  <si>
    <t>pins_mode etap2</t>
  </si>
  <si>
    <t>pins_mode etap3</t>
  </si>
  <si>
    <t>pins_mode etap4</t>
  </si>
  <si>
    <t>pins_mode etap5</t>
  </si>
  <si>
    <t>pins_mode etap6</t>
  </si>
  <si>
    <t>pins_mode etap7</t>
  </si>
  <si>
    <t>pins_mode etap8</t>
  </si>
  <si>
    <t>pins_mode etap9</t>
  </si>
  <si>
    <t>pins_mode etap10</t>
  </si>
  <si>
    <t>pins_pull_up safe 1 - enable</t>
  </si>
  <si>
    <t>pins_pull_up etap 1</t>
  </si>
  <si>
    <t>pins_pull_up etap 2</t>
  </si>
  <si>
    <t>pins_pull_up etap 3</t>
  </si>
  <si>
    <t>pins_pull_up etap 4</t>
  </si>
  <si>
    <t>pins_pull_up etap 5</t>
  </si>
  <si>
    <t>pins_pull_up etap 6</t>
  </si>
  <si>
    <t>pins_pull_up etap 7</t>
  </si>
  <si>
    <t>pins_pull_up etap 8</t>
  </si>
  <si>
    <t>pins_pull_up etap 9</t>
  </si>
  <si>
    <t>pins_pull_up etap 10</t>
  </si>
  <si>
    <t>GPA0</t>
  </si>
  <si>
    <t>GPA1</t>
  </si>
  <si>
    <t>GPA2</t>
  </si>
  <si>
    <t>GPA3</t>
  </si>
  <si>
    <t>GPA4</t>
  </si>
  <si>
    <t>GPA5</t>
  </si>
  <si>
    <t>GPA6</t>
  </si>
  <si>
    <t>GPA7</t>
  </si>
  <si>
    <t>GPB0</t>
  </si>
  <si>
    <t>GPB1</t>
  </si>
  <si>
    <t>GPB2</t>
  </si>
  <si>
    <t>GPB3</t>
  </si>
  <si>
    <t>GPB4</t>
  </si>
  <si>
    <t>GPB5</t>
  </si>
  <si>
    <t>GPB6</t>
  </si>
  <si>
    <t>GPB7</t>
  </si>
  <si>
    <t>d25</t>
  </si>
  <si>
    <t>pin_int safe 1 - enable</t>
  </si>
  <si>
    <t>pin_int etap 1</t>
  </si>
  <si>
    <t>pin_int etap 2</t>
  </si>
  <si>
    <t>pin_int etap 3</t>
  </si>
  <si>
    <t>pin_int etap 4</t>
  </si>
  <si>
    <t>pin_int etap 5</t>
  </si>
  <si>
    <t>pin_int etap 6</t>
  </si>
  <si>
    <t>pin_int etap 7</t>
  </si>
  <si>
    <t>pin_int etap 8</t>
  </si>
  <si>
    <t>pin_int etap 9</t>
  </si>
  <si>
    <t>pin_int etap 10</t>
  </si>
  <si>
    <t>d26</t>
  </si>
  <si>
    <t>d27</t>
  </si>
  <si>
    <t>PIN</t>
  </si>
  <si>
    <t>v</t>
  </si>
  <si>
    <t>CTRL_SPI_A.En_SPI_Q1</t>
  </si>
  <si>
    <t>wyłączanie komunikacji z kartą podłączoną do PCIE_1</t>
  </si>
  <si>
    <t>PCIE_Resets.PCIE_Resets_1</t>
  </si>
  <si>
    <t>sygnał reset dla karty w złączu 1</t>
  </si>
  <si>
    <t>Ctrl_Pwr_4HiSpeed.EN_PWR_PCIE_1</t>
  </si>
  <si>
    <t>wlązanie 12V dla karty  w złączu PCIE_1</t>
  </si>
  <si>
    <t>CTRL_SPI_B.En_SPI_Q0</t>
  </si>
  <si>
    <t>wyłączanie komunikacji z buforami dla kart PCIE</t>
  </si>
  <si>
    <t>CTRL_SPI_B.En_SPI_Q1</t>
  </si>
  <si>
    <t>wyłączanie komunikacji z dystrybutorem LTC6952_2</t>
  </si>
  <si>
    <t>PDN_LMK05028</t>
  </si>
  <si>
    <t>CTRL_SPI_A.En_SPI_Q4</t>
  </si>
  <si>
    <t>wyłączanie komunikacji z kartą podłączoną do PCIE_4</t>
  </si>
  <si>
    <t>PCIE_Resets.PCIE_Resets_4</t>
  </si>
  <si>
    <t>sygnał reset dla karty w złączu 4</t>
  </si>
  <si>
    <t>CTRL_SPI_B.En_SPI_Q4</t>
  </si>
  <si>
    <t>wyłączanie komunikacji z dystrybutorem LMK05028</t>
  </si>
  <si>
    <t>HW_Conf_05028</t>
  </si>
  <si>
    <t>ustalanie konfigu</t>
  </si>
  <si>
    <t>charge_Cap</t>
  </si>
  <si>
    <t>FTDI_En_Buff.EN_JTAG_FPGA</t>
  </si>
  <si>
    <t>tylko odczyt</t>
  </si>
  <si>
    <t>Digit_05028.GPIO6</t>
  </si>
  <si>
    <t>pozostawić otwartym</t>
  </si>
  <si>
    <t>Digit_05028.GPIO5</t>
  </si>
  <si>
    <t>Digit_05028.Status1</t>
  </si>
  <si>
    <t>Digit_05028.Status0</t>
  </si>
  <si>
    <t>Digit_05028.GPIO3</t>
  </si>
  <si>
    <t>Digit_05028.GPIO0</t>
  </si>
  <si>
    <t>podciągnąć</t>
  </si>
  <si>
    <t>En_Detect</t>
  </si>
  <si>
    <t>PG_DCDC_LowCurr</t>
  </si>
  <si>
    <t>poprawne uruchomienie przetwornicy niskoprądowej</t>
  </si>
  <si>
    <t>etap 2 - SFP tx enable</t>
  </si>
  <si>
    <t>I2C_Expander SFP</t>
  </si>
  <si>
    <t>etap -disable clocks</t>
  </si>
  <si>
    <t>etap 3- poweroff WR</t>
  </si>
  <si>
    <t>power of all clk</t>
  </si>
  <si>
    <t>0x27</t>
  </si>
  <si>
    <t>En_RF_P_2</t>
  </si>
  <si>
    <t>RST_RF_P_2</t>
  </si>
  <si>
    <t>ATT_330_V1</t>
  </si>
  <si>
    <t>ATT_330_V2</t>
  </si>
  <si>
    <t>ATT_330_V3</t>
  </si>
  <si>
    <t>ATT_330_V4</t>
  </si>
  <si>
    <t>ATT_330_V5</t>
  </si>
  <si>
    <t>ATT_330_V6</t>
  </si>
  <si>
    <t>En_RF_P_1</t>
  </si>
  <si>
    <t>RST_RF_P_1</t>
  </si>
  <si>
    <t>włączanie peak detect toru 330</t>
  </si>
  <si>
    <t>Reset peack detect toru 330</t>
  </si>
  <si>
    <t>wyłączanie tłumienia V1</t>
  </si>
  <si>
    <t>wyłączanie tłumienia V2</t>
  </si>
  <si>
    <t>wyłączanie tłumienia V3</t>
  </si>
  <si>
    <t>wyłączanie tłumienia V4</t>
  </si>
  <si>
    <t>wyłączanie tłumienia V5</t>
  </si>
  <si>
    <t>wyłączanie tłumienia V6</t>
  </si>
  <si>
    <t>włączanie peak detect toru 110</t>
  </si>
  <si>
    <t>Reset peack detect toru 110</t>
  </si>
  <si>
    <t>En_BGA616_HMC</t>
  </si>
  <si>
    <t>EN_POWER_LTC2122</t>
  </si>
  <si>
    <t>ALERT_Cur_volt</t>
  </si>
  <si>
    <t>PG_LTC2122</t>
  </si>
  <si>
    <t>nEN_LTC_SPI</t>
  </si>
  <si>
    <t>nEN_LMK_SPI</t>
  </si>
  <si>
    <t>LMK_CLK_SEL</t>
  </si>
  <si>
    <t>4610_Stat0</t>
  </si>
  <si>
    <t>Nreset</t>
  </si>
  <si>
    <t>Q1</t>
  </si>
  <si>
    <t>Q2</t>
  </si>
  <si>
    <t>PG_LMK_3v3</t>
  </si>
  <si>
    <t>EN_LMK_3v3</t>
  </si>
  <si>
    <t>EN_LMK_1v8</t>
  </si>
  <si>
    <t>PG_LMK_1v8</t>
  </si>
  <si>
    <t>włączanie wzmacniacza bga616</t>
  </si>
  <si>
    <t>włączanie przetwornika LTM2122</t>
  </si>
  <si>
    <t>alarm mernika prądu</t>
  </si>
  <si>
    <t>informacja o prawidłowym zasilaniu</t>
  </si>
  <si>
    <t>wyłączanie komunikacji z LTC</t>
  </si>
  <si>
    <t>wyłączanie komunikacji z lmk</t>
  </si>
  <si>
    <t>selektor wejść zegarowych dla LMK</t>
  </si>
  <si>
    <t>LMK pin stat 0</t>
  </si>
  <si>
    <t>reset płyty</t>
  </si>
  <si>
    <t>wyjście peack detectora</t>
  </si>
  <si>
    <t>nwyjście peack detectora</t>
  </si>
  <si>
    <t>potwierdzenie poprawności zasilania LMK</t>
  </si>
  <si>
    <t>włączanie zsilania ukłądu LMK</t>
  </si>
  <si>
    <t>etap 4- LMK</t>
  </si>
  <si>
    <t>etap 5 LTC</t>
  </si>
  <si>
    <t>RadioCard_ILS_Exp2</t>
  </si>
  <si>
    <t>RadioCard_ILS_Exp1</t>
  </si>
  <si>
    <t xml:space="preserve">./device_config_files/radio_config_files/radiocard_ILS/LTC2122.cfg </t>
  </si>
  <si>
    <t>LMK04610</t>
  </si>
  <si>
    <t>LTC2122</t>
  </si>
  <si>
    <t>Programowanie kart</t>
  </si>
  <si>
    <t>karta 0 ILS</t>
  </si>
  <si>
    <t>etap 5- Karty</t>
  </si>
  <si>
    <t>RadioCard_ILS_Devices</t>
  </si>
  <si>
    <t>#LTC2122_ILS</t>
  </si>
  <si>
    <t>#LMK04610_ILS</t>
  </si>
  <si>
    <t>karta 1 ILS</t>
  </si>
  <si>
    <t>karta 2 TETRA</t>
  </si>
  <si>
    <t>etap 6- En_SPI_PCIE1</t>
  </si>
  <si>
    <t>etap 4 En_SPI_PCIE0</t>
  </si>
  <si>
    <t>RadioCard_TETRA_Exp1</t>
  </si>
  <si>
    <t>RadioCard_TETRA_Exp2</t>
  </si>
  <si>
    <t>RadioCard_TETRA_Devices</t>
  </si>
  <si>
    <t>karta 3 TETRA</t>
  </si>
  <si>
    <t>etap 5 En_SPI_PCIE3</t>
  </si>
  <si>
    <t>etap 7 En_PCIE4</t>
  </si>
  <si>
    <t>karta4 GNSS_L1</t>
  </si>
  <si>
    <t>RadioCard_GNSS_L1_Exp1</t>
  </si>
  <si>
    <t>#LTC2122_TETRA</t>
  </si>
  <si>
    <t>#LMK04610_TETRA</t>
  </si>
  <si>
    <t>./device_config_files/radio_config_files/radiocard_TETRA/LMK04610.txt</t>
  </si>
  <si>
    <t xml:space="preserve">./device_config_files/radio_config_files/radiocard_TETRA/LTC2122.cfg </t>
  </si>
  <si>
    <t>./device_config_files/radio_config_files/radiocard_ILS/LMK04610.txt</t>
  </si>
  <si>
    <t xml:space="preserve">./device_config_files/radio_config_files/radiocard_L1/LTC2122.cfg </t>
  </si>
  <si>
    <t>./device_config_files/radio_config_files/radiocard_L1/LMK04610.txt</t>
  </si>
  <si>
    <t>AD9690</t>
  </si>
  <si>
    <t>#ad9690_L1</t>
  </si>
  <si>
    <t>#LMK04610_L1</t>
  </si>
  <si>
    <t>etap 4 złacze En_SPI_PCIE2</t>
  </si>
  <si>
    <t>RESET PEAK DET</t>
  </si>
  <si>
    <t>EN_RF_P_1</t>
  </si>
  <si>
    <t>EN-PEAK DET</t>
  </si>
  <si>
    <t>ATT_TETRA_V1</t>
  </si>
  <si>
    <t>PIN V1-16dB</t>
  </si>
  <si>
    <t>ATT_TETRA_V2</t>
  </si>
  <si>
    <t>PIN V2-8dB</t>
  </si>
  <si>
    <t>ATT_TETRA_V3</t>
  </si>
  <si>
    <t>PIN V3-4dB</t>
  </si>
  <si>
    <t>ATT_TETRA_V4</t>
  </si>
  <si>
    <t>PIN V4-2dB</t>
  </si>
  <si>
    <t>ATT_TETRA_V5</t>
  </si>
  <si>
    <t>PIN V5-1dB</t>
  </si>
  <si>
    <t>ATT_TETRA_V6</t>
  </si>
  <si>
    <t>PIN V6-0dB5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</si>
</sst>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theme="0" tint="-0.1499984740745262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/>
    <xf numFmtId="0" fontId="0" fillId="2" borderId="0" xfId="0" applyFill="1" applyAlignme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3" borderId="0" xfId="0" applyFont="1" applyFill="1" applyAlignment="1"/>
    <xf numFmtId="0" fontId="0" fillId="3" borderId="0" xfId="0" applyFill="1" applyProtection="1"/>
    <xf numFmtId="0" fontId="0" fillId="0" borderId="0" xfId="0" applyProtection="1">
      <protection locked="0"/>
    </xf>
    <xf numFmtId="0" fontId="0" fillId="0" borderId="0" xfId="0" applyAlignment="1" applyProtection="1">
      <protection locked="0"/>
    </xf>
    <xf numFmtId="0" fontId="0" fillId="0" borderId="0" xfId="0" quotePrefix="1"/>
    <xf numFmtId="0" fontId="0" fillId="0" borderId="0" xfId="0" applyAlignment="1">
      <alignment horizontal="right"/>
    </xf>
    <xf numFmtId="0" fontId="0" fillId="2" borderId="0" xfId="0" applyFill="1" applyAlignment="1" applyProtection="1">
      <protection locked="0"/>
    </xf>
    <xf numFmtId="0" fontId="1" fillId="4" borderId="0" xfId="0" applyFont="1" applyFill="1"/>
    <xf numFmtId="0" fontId="1" fillId="4" borderId="0" xfId="0" applyFont="1" applyFill="1" applyBorder="1"/>
  </cellXfs>
  <cellStyles count="1">
    <cellStyle name="Normalny" xfId="0" builtinId="0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28575</xdr:rowOff>
    </xdr:from>
    <xdr:to>
      <xdr:col>35</xdr:col>
      <xdr:colOff>228600</xdr:colOff>
      <xdr:row>91</xdr:row>
      <xdr:rowOff>180975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4575"/>
          <a:ext cx="21564600" cy="1520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62"/>
  <sheetViews>
    <sheetView workbookViewId="0">
      <selection activeCell="B60" sqref="B60"/>
    </sheetView>
  </sheetViews>
  <sheetFormatPr defaultRowHeight="15" x14ac:dyDescent="0.25"/>
  <cols>
    <col min="1" max="1" width="27" style="10" bestFit="1" customWidth="1"/>
    <col min="2" max="2" width="9.140625" style="10"/>
    <col min="3" max="3" width="9.140625" style="9"/>
    <col min="4" max="4" width="33.85546875" style="9" bestFit="1" customWidth="1"/>
    <col min="5" max="5" width="9.140625" style="9"/>
    <col min="6" max="6" width="9.140625" style="7"/>
    <col min="7" max="16" width="9.140625" style="6"/>
    <col min="17" max="23" width="9.140625" style="7"/>
    <col min="24" max="38" width="9.140625" style="6"/>
  </cols>
  <sheetData>
    <row r="1" spans="1:23" x14ac:dyDescent="0.25">
      <c r="A1" s="10" t="s">
        <v>247</v>
      </c>
      <c r="B1" s="10" t="s">
        <v>248</v>
      </c>
      <c r="C1" s="9" t="s">
        <v>251</v>
      </c>
      <c r="D1" s="9" t="s">
        <v>252</v>
      </c>
    </row>
    <row r="2" spans="1:23" x14ac:dyDescent="0.25">
      <c r="A2" s="10" t="s">
        <v>84</v>
      </c>
      <c r="B2" s="10">
        <v>0</v>
      </c>
      <c r="C2" s="9">
        <f>20*B2+31</f>
        <v>31</v>
      </c>
      <c r="D2" s="9" t="str">
        <f ca="1">INDIRECT(ADDRESS(C2,1,4,1,A2))</f>
        <v>#I2C_Expander_Main_Rst:wartość safe</v>
      </c>
      <c r="F2" s="7" t="str">
        <f>ADDRESS(C2,1,4,1,A2)</f>
        <v>I2C_Expander_Main_Rst!A31</v>
      </c>
      <c r="R2" s="8"/>
      <c r="S2" s="7">
        <f>R2-R3</f>
        <v>-31</v>
      </c>
      <c r="W2" s="7">
        <f>V2-V3</f>
        <v>-31</v>
      </c>
    </row>
    <row r="3" spans="1:23" x14ac:dyDescent="0.25">
      <c r="A3" s="10" t="s">
        <v>84</v>
      </c>
      <c r="B3" s="10">
        <v>1</v>
      </c>
      <c r="C3" s="9">
        <f t="shared" ref="C3:C58" si="0">20*B3+31</f>
        <v>51</v>
      </c>
      <c r="D3" s="9" t="str">
        <f t="shared" ref="D3:D58" ca="1" si="1">INDIRECT(ADDRESS(C3,1,4,1,A3))</f>
        <v>#I2C_Expander_Main_Rst:etap 1</v>
      </c>
      <c r="F3" s="7" t="str">
        <f t="shared" ref="F3:F58" si="2">ADDRESS(C3,1,4,1,A3)</f>
        <v>I2C_Expander_Main_Rst!A51</v>
      </c>
      <c r="Q3" s="7" t="s">
        <v>249</v>
      </c>
      <c r="R3" s="7">
        <v>31</v>
      </c>
      <c r="S3" s="7">
        <f>R3-R4</f>
        <v>-20</v>
      </c>
      <c r="U3" s="7">
        <v>0</v>
      </c>
      <c r="V3" s="7">
        <f>(U3*11)+31</f>
        <v>31</v>
      </c>
      <c r="W3" s="7">
        <f>V3-V4</f>
        <v>-7</v>
      </c>
    </row>
    <row r="4" spans="1:23" x14ac:dyDescent="0.25">
      <c r="A4" s="10" t="s">
        <v>84</v>
      </c>
      <c r="B4" s="10">
        <v>4</v>
      </c>
      <c r="C4" s="9">
        <f t="shared" si="0"/>
        <v>111</v>
      </c>
      <c r="D4" s="9" t="str">
        <f t="shared" ca="1" si="1"/>
        <v>#I2C_Expander_Main_Rst:etap -disable clocks</v>
      </c>
      <c r="F4" s="7" t="str">
        <f t="shared" si="2"/>
        <v>I2C_Expander_Main_Rst!A111</v>
      </c>
      <c r="Q4" s="7" t="s">
        <v>21</v>
      </c>
      <c r="R4" s="7">
        <v>51</v>
      </c>
      <c r="S4" s="7">
        <f t="shared" ref="S4:S14" si="3">R4-R5</f>
        <v>-20</v>
      </c>
      <c r="U4" s="7">
        <v>1</v>
      </c>
      <c r="V4" s="7">
        <f>(U4*11)+27</f>
        <v>38</v>
      </c>
      <c r="W4" s="7">
        <f t="shared" ref="W4:W14" si="4">V4-V5</f>
        <v>-11</v>
      </c>
    </row>
    <row r="5" spans="1:23" x14ac:dyDescent="0.25">
      <c r="A5" s="10" t="s">
        <v>86</v>
      </c>
      <c r="B5" s="10">
        <v>1</v>
      </c>
      <c r="C5" s="9">
        <f t="shared" si="0"/>
        <v>51</v>
      </c>
      <c r="D5" s="9" t="str">
        <f t="shared" ca="1" si="1"/>
        <v>#I2C_Bridge_SFP:Exp_PCIE</v>
      </c>
      <c r="F5" s="7" t="str">
        <f t="shared" si="2"/>
        <v>I2C_Bridge_SFP!A51</v>
      </c>
      <c r="Q5" s="7" t="s">
        <v>19</v>
      </c>
      <c r="R5" s="7">
        <v>71</v>
      </c>
      <c r="S5" s="7">
        <f t="shared" si="3"/>
        <v>-20</v>
      </c>
      <c r="U5" s="7">
        <v>2</v>
      </c>
      <c r="V5" s="7">
        <f t="shared" ref="V5:V14" si="5">(U5*11)+27</f>
        <v>49</v>
      </c>
      <c r="W5" s="7">
        <f t="shared" si="4"/>
        <v>-11</v>
      </c>
    </row>
    <row r="6" spans="1:23" x14ac:dyDescent="0.25">
      <c r="A6" s="10" t="s">
        <v>85</v>
      </c>
      <c r="B6" s="10">
        <v>1</v>
      </c>
      <c r="C6" s="9">
        <f t="shared" si="0"/>
        <v>51</v>
      </c>
      <c r="D6" s="9" t="str">
        <f t="shared" ca="1" si="1"/>
        <v>#I2C_Expander_PWR_CLK:etap 1</v>
      </c>
      <c r="F6" s="7" t="str">
        <f t="shared" si="2"/>
        <v>I2C_Expander_PWR_CLK!A51</v>
      </c>
      <c r="Q6" s="7" t="s">
        <v>41</v>
      </c>
      <c r="R6" s="7">
        <v>91</v>
      </c>
      <c r="S6" s="7">
        <f t="shared" si="3"/>
        <v>-20</v>
      </c>
      <c r="U6" s="7">
        <v>3</v>
      </c>
      <c r="V6" s="7">
        <f t="shared" si="5"/>
        <v>60</v>
      </c>
      <c r="W6" s="7">
        <f t="shared" si="4"/>
        <v>-11</v>
      </c>
    </row>
    <row r="7" spans="1:23" x14ac:dyDescent="0.25">
      <c r="A7" s="10" t="s">
        <v>85</v>
      </c>
      <c r="B7" s="10">
        <v>2</v>
      </c>
      <c r="C7" s="9">
        <f t="shared" si="0"/>
        <v>71</v>
      </c>
      <c r="D7" s="9" t="str">
        <f t="shared" ca="1" si="1"/>
        <v>#I2C_Expander_PWR_CLK:etap 2</v>
      </c>
      <c r="F7" s="7" t="str">
        <f t="shared" si="2"/>
        <v>I2C_Expander_PWR_CLK!A71</v>
      </c>
      <c r="Q7" s="7" t="s">
        <v>240</v>
      </c>
      <c r="R7" s="7">
        <v>111</v>
      </c>
      <c r="S7" s="7">
        <f t="shared" si="3"/>
        <v>-20</v>
      </c>
      <c r="U7" s="7">
        <v>4</v>
      </c>
      <c r="V7" s="7">
        <f t="shared" si="5"/>
        <v>71</v>
      </c>
      <c r="W7" s="7">
        <f t="shared" si="4"/>
        <v>-11</v>
      </c>
    </row>
    <row r="8" spans="1:23" x14ac:dyDescent="0.25">
      <c r="A8" s="10" t="s">
        <v>85</v>
      </c>
      <c r="B8" s="10">
        <v>3</v>
      </c>
      <c r="C8" s="9">
        <f t="shared" si="0"/>
        <v>91</v>
      </c>
      <c r="D8" s="9" t="str">
        <f t="shared" ca="1" si="1"/>
        <v>#I2C_Expander_PWR_CLK:etap 3- poweroff WR</v>
      </c>
      <c r="F8" s="7" t="str">
        <f t="shared" si="2"/>
        <v>I2C_Expander_PWR_CLK!A91</v>
      </c>
      <c r="Q8" s="7" t="s">
        <v>241</v>
      </c>
      <c r="R8" s="7">
        <v>131</v>
      </c>
      <c r="S8" s="7">
        <f t="shared" si="3"/>
        <v>-20</v>
      </c>
      <c r="U8" s="7">
        <v>5</v>
      </c>
      <c r="V8" s="7">
        <f t="shared" si="5"/>
        <v>82</v>
      </c>
      <c r="W8" s="7">
        <f t="shared" si="4"/>
        <v>-11</v>
      </c>
    </row>
    <row r="9" spans="1:23" x14ac:dyDescent="0.25">
      <c r="A9" s="10" t="s">
        <v>86</v>
      </c>
      <c r="B9" s="10">
        <v>0</v>
      </c>
      <c r="C9" s="9">
        <f t="shared" si="0"/>
        <v>31</v>
      </c>
      <c r="D9" s="9" t="str">
        <f t="shared" ca="1" si="1"/>
        <v>#I2C_Bridge_SFP:wylacz</v>
      </c>
      <c r="F9" s="7" t="str">
        <f t="shared" si="2"/>
        <v>I2C_Bridge_SFP!A31</v>
      </c>
      <c r="Q9" s="7" t="s">
        <v>242</v>
      </c>
      <c r="R9" s="7">
        <v>151</v>
      </c>
      <c r="S9" s="7">
        <f t="shared" si="3"/>
        <v>-20</v>
      </c>
      <c r="U9" s="7">
        <v>6</v>
      </c>
      <c r="V9" s="7">
        <f t="shared" si="5"/>
        <v>93</v>
      </c>
      <c r="W9" s="7">
        <f t="shared" si="4"/>
        <v>-11</v>
      </c>
    </row>
    <row r="10" spans="1:23" x14ac:dyDescent="0.25">
      <c r="A10" s="10" t="s">
        <v>69</v>
      </c>
      <c r="B10" s="10">
        <v>1</v>
      </c>
      <c r="C10" s="9">
        <f t="shared" si="0"/>
        <v>51</v>
      </c>
      <c r="D10" s="9" t="str">
        <f t="shared" ca="1" si="1"/>
        <v>#I2C_Bridge_GPIO:exp_group_0x</v>
      </c>
      <c r="F10" s="7" t="str">
        <f t="shared" si="2"/>
        <v>I2C_Bridge_GPIO!A51</v>
      </c>
      <c r="Q10" s="7" t="s">
        <v>243</v>
      </c>
      <c r="R10" s="7">
        <v>171</v>
      </c>
      <c r="S10" s="7">
        <f t="shared" si="3"/>
        <v>-20</v>
      </c>
      <c r="U10" s="7">
        <v>7</v>
      </c>
      <c r="V10" s="7">
        <f t="shared" si="5"/>
        <v>104</v>
      </c>
      <c r="W10" s="7">
        <f t="shared" si="4"/>
        <v>-11</v>
      </c>
    </row>
    <row r="11" spans="1:23" x14ac:dyDescent="0.25">
      <c r="A11" s="10" t="s">
        <v>69</v>
      </c>
      <c r="B11" s="10">
        <v>1</v>
      </c>
      <c r="C11" s="9">
        <f t="shared" si="0"/>
        <v>51</v>
      </c>
      <c r="D11" s="9" t="str">
        <f t="shared" ca="1" si="1"/>
        <v>#I2C_Bridge_GPIO:exp_group_0x</v>
      </c>
      <c r="F11" s="7" t="str">
        <f t="shared" si="2"/>
        <v>I2C_Bridge_GPIO!A51</v>
      </c>
      <c r="Q11" s="7" t="s">
        <v>244</v>
      </c>
      <c r="R11" s="7">
        <v>191</v>
      </c>
      <c r="S11" s="7">
        <f t="shared" si="3"/>
        <v>-20</v>
      </c>
      <c r="U11" s="7">
        <v>8</v>
      </c>
      <c r="V11" s="7">
        <f t="shared" si="5"/>
        <v>115</v>
      </c>
      <c r="W11" s="7">
        <f t="shared" si="4"/>
        <v>-11</v>
      </c>
    </row>
    <row r="12" spans="1:23" x14ac:dyDescent="0.25">
      <c r="A12" s="10" t="s">
        <v>156</v>
      </c>
      <c r="B12" s="10">
        <v>0</v>
      </c>
      <c r="C12" s="9">
        <f t="shared" si="0"/>
        <v>31</v>
      </c>
      <c r="D12" s="9" t="str">
        <f t="shared" ca="1" si="1"/>
        <v>#I2C_Expander_00:wartość safe</v>
      </c>
      <c r="F12" s="7" t="str">
        <f t="shared" si="2"/>
        <v>I2C_Expander_00!A31</v>
      </c>
      <c r="Q12" s="7" t="s">
        <v>245</v>
      </c>
      <c r="R12" s="7">
        <v>211</v>
      </c>
      <c r="S12" s="7">
        <f t="shared" si="3"/>
        <v>-20</v>
      </c>
      <c r="U12" s="7">
        <v>9</v>
      </c>
      <c r="V12" s="7">
        <f t="shared" si="5"/>
        <v>126</v>
      </c>
      <c r="W12" s="7">
        <f t="shared" si="4"/>
        <v>-11</v>
      </c>
    </row>
    <row r="13" spans="1:23" x14ac:dyDescent="0.25">
      <c r="A13" s="10" t="s">
        <v>201</v>
      </c>
      <c r="B13" s="10">
        <v>0</v>
      </c>
      <c r="C13" s="9">
        <f t="shared" si="0"/>
        <v>31</v>
      </c>
      <c r="D13" s="9" t="str">
        <f t="shared" ca="1" si="1"/>
        <v>#I2C_Expander_01:wartość safe</v>
      </c>
      <c r="F13" s="7" t="str">
        <f t="shared" si="2"/>
        <v>I2C_Expander_01!A31</v>
      </c>
      <c r="Q13" s="7" t="s">
        <v>246</v>
      </c>
      <c r="R13" s="7">
        <v>231</v>
      </c>
      <c r="S13" s="7">
        <f t="shared" si="3"/>
        <v>-20</v>
      </c>
      <c r="U13" s="7">
        <v>10</v>
      </c>
      <c r="V13" s="7">
        <f t="shared" si="5"/>
        <v>137</v>
      </c>
      <c r="W13" s="7">
        <f t="shared" si="4"/>
        <v>-11</v>
      </c>
    </row>
    <row r="14" spans="1:23" x14ac:dyDescent="0.25">
      <c r="A14" s="10" t="s">
        <v>202</v>
      </c>
      <c r="B14" s="10">
        <v>0</v>
      </c>
      <c r="C14" s="9">
        <f t="shared" si="0"/>
        <v>31</v>
      </c>
      <c r="D14" s="9" t="str">
        <f t="shared" ca="1" si="1"/>
        <v>#I2C_Expander_02:wartość safe</v>
      </c>
      <c r="F14" s="7" t="str">
        <f t="shared" si="2"/>
        <v>I2C_Expander_02!A31</v>
      </c>
      <c r="Q14" s="7" t="s">
        <v>250</v>
      </c>
      <c r="R14" s="7">
        <v>251</v>
      </c>
      <c r="S14" s="7">
        <f t="shared" si="3"/>
        <v>251</v>
      </c>
      <c r="U14" s="7">
        <v>11</v>
      </c>
      <c r="V14" s="7">
        <f t="shared" si="5"/>
        <v>148</v>
      </c>
      <c r="W14" s="7">
        <f t="shared" si="4"/>
        <v>148</v>
      </c>
    </row>
    <row r="15" spans="1:23" x14ac:dyDescent="0.25">
      <c r="A15" s="10" t="s">
        <v>69</v>
      </c>
      <c r="B15" s="10">
        <v>2</v>
      </c>
      <c r="C15" s="9">
        <f t="shared" si="0"/>
        <v>71</v>
      </c>
      <c r="D15" s="9" t="str">
        <f t="shared" ca="1" si="1"/>
        <v>#I2C_Bridge_GPIO:exp_group_1x</v>
      </c>
      <c r="F15" s="7" t="str">
        <f t="shared" si="2"/>
        <v>I2C_Bridge_GPIO!A71</v>
      </c>
    </row>
    <row r="16" spans="1:23" x14ac:dyDescent="0.25">
      <c r="A16" s="10" t="s">
        <v>203</v>
      </c>
      <c r="B16" s="10">
        <v>0</v>
      </c>
      <c r="C16" s="9">
        <f t="shared" si="0"/>
        <v>31</v>
      </c>
      <c r="D16" s="9" t="str">
        <f t="shared" ca="1" si="1"/>
        <v>#I2C_Expander_10:wartość safe</v>
      </c>
      <c r="F16" s="7" t="str">
        <f t="shared" si="2"/>
        <v>I2C_Expander_10!A31</v>
      </c>
    </row>
    <row r="17" spans="1:6" x14ac:dyDescent="0.25">
      <c r="A17" s="10" t="s">
        <v>204</v>
      </c>
      <c r="B17" s="10">
        <v>0</v>
      </c>
      <c r="C17" s="9">
        <f t="shared" si="0"/>
        <v>31</v>
      </c>
      <c r="D17" s="9" t="str">
        <f t="shared" ca="1" si="1"/>
        <v>#I2C_Expander_11:wartość safe</v>
      </c>
      <c r="F17" s="7" t="str">
        <f t="shared" si="2"/>
        <v>I2C_Expander_11!A31</v>
      </c>
    </row>
    <row r="18" spans="1:6" x14ac:dyDescent="0.25">
      <c r="A18" s="10" t="s">
        <v>205</v>
      </c>
      <c r="B18" s="10">
        <v>0</v>
      </c>
      <c r="C18" s="9">
        <f t="shared" si="0"/>
        <v>31</v>
      </c>
      <c r="D18" s="9" t="str">
        <f t="shared" ca="1" si="1"/>
        <v>#I2C_Expander_12:wartość safe</v>
      </c>
      <c r="F18" s="7" t="str">
        <f t="shared" si="2"/>
        <v>I2C_Expander_12!A31</v>
      </c>
    </row>
    <row r="19" spans="1:6" x14ac:dyDescent="0.25">
      <c r="A19" s="10" t="s">
        <v>69</v>
      </c>
      <c r="B19" s="10">
        <v>1</v>
      </c>
      <c r="C19" s="9">
        <f t="shared" si="0"/>
        <v>51</v>
      </c>
      <c r="D19" s="9" t="str">
        <f t="shared" ca="1" si="1"/>
        <v>#I2C_Bridge_GPIO:exp_group_0x</v>
      </c>
      <c r="F19" s="7" t="str">
        <f t="shared" si="2"/>
        <v>I2C_Bridge_GPIO!A51</v>
      </c>
    </row>
    <row r="20" spans="1:6" x14ac:dyDescent="0.25">
      <c r="A20" s="10" t="s">
        <v>156</v>
      </c>
      <c r="B20" s="10">
        <v>1</v>
      </c>
      <c r="C20" s="9">
        <f t="shared" si="0"/>
        <v>51</v>
      </c>
      <c r="D20" s="9" t="str">
        <f t="shared" ca="1" si="1"/>
        <v>#I2C_Expander_00:etap 1</v>
      </c>
      <c r="F20" s="7" t="str">
        <f t="shared" si="2"/>
        <v>I2C_Expander_00!A51</v>
      </c>
    </row>
    <row r="21" spans="1:6" x14ac:dyDescent="0.25">
      <c r="A21" s="10" t="s">
        <v>201</v>
      </c>
      <c r="B21" s="10">
        <v>1</v>
      </c>
      <c r="C21" s="9">
        <f t="shared" si="0"/>
        <v>51</v>
      </c>
      <c r="D21" s="9" t="str">
        <f t="shared" ca="1" si="1"/>
        <v>#I2C_Expander_01:etap 1</v>
      </c>
      <c r="F21" s="7" t="str">
        <f t="shared" si="2"/>
        <v>I2C_Expander_01!A51</v>
      </c>
    </row>
    <row r="22" spans="1:6" x14ac:dyDescent="0.25">
      <c r="A22" s="10" t="s">
        <v>202</v>
      </c>
      <c r="B22" s="10">
        <v>1</v>
      </c>
      <c r="C22" s="9">
        <f t="shared" si="0"/>
        <v>51</v>
      </c>
      <c r="D22" s="9" t="str">
        <f t="shared" ca="1" si="1"/>
        <v>#I2C_Expander_02:etap 1</v>
      </c>
      <c r="F22" s="7" t="str">
        <f t="shared" si="2"/>
        <v>I2C_Expander_02!A51</v>
      </c>
    </row>
    <row r="23" spans="1:6" x14ac:dyDescent="0.25">
      <c r="A23" s="10" t="s">
        <v>69</v>
      </c>
      <c r="B23" s="10">
        <v>2</v>
      </c>
      <c r="C23" s="9">
        <f t="shared" si="0"/>
        <v>71</v>
      </c>
      <c r="D23" s="9" t="str">
        <f t="shared" ca="1" si="1"/>
        <v>#I2C_Bridge_GPIO:exp_group_1x</v>
      </c>
      <c r="F23" s="7" t="str">
        <f t="shared" si="2"/>
        <v>I2C_Bridge_GPIO!A71</v>
      </c>
    </row>
    <row r="24" spans="1:6" x14ac:dyDescent="0.25">
      <c r="A24" s="10" t="s">
        <v>203</v>
      </c>
      <c r="B24" s="10">
        <v>1</v>
      </c>
      <c r="C24" s="9">
        <f t="shared" si="0"/>
        <v>51</v>
      </c>
      <c r="D24" s="9" t="str">
        <f t="shared" ca="1" si="1"/>
        <v>#I2C_Expander_10:etap 1</v>
      </c>
      <c r="F24" s="7" t="str">
        <f t="shared" si="2"/>
        <v>I2C_Expander_10!A51</v>
      </c>
    </row>
    <row r="25" spans="1:6" x14ac:dyDescent="0.25">
      <c r="A25" s="10" t="s">
        <v>204</v>
      </c>
      <c r="B25" s="10">
        <v>1</v>
      </c>
      <c r="C25" s="9">
        <f t="shared" si="0"/>
        <v>51</v>
      </c>
      <c r="D25" s="9" t="str">
        <f t="shared" ca="1" si="1"/>
        <v>#I2C_Expander_11:etap 1</v>
      </c>
      <c r="F25" s="7" t="str">
        <f t="shared" si="2"/>
        <v>I2C_Expander_11!A51</v>
      </c>
    </row>
    <row r="26" spans="1:6" x14ac:dyDescent="0.25">
      <c r="A26" s="10" t="s">
        <v>205</v>
      </c>
      <c r="B26" s="10">
        <v>1</v>
      </c>
      <c r="C26" s="9">
        <f t="shared" si="0"/>
        <v>51</v>
      </c>
      <c r="D26" s="9" t="str">
        <f t="shared" ca="1" si="1"/>
        <v>#I2C_Expander_12:etap 1</v>
      </c>
      <c r="F26" s="7" t="str">
        <f t="shared" si="2"/>
        <v>I2C_Expander_12!A51</v>
      </c>
    </row>
    <row r="27" spans="1:6" x14ac:dyDescent="0.25">
      <c r="A27" s="10" t="s">
        <v>69</v>
      </c>
      <c r="B27" s="10">
        <v>1</v>
      </c>
      <c r="C27" s="9">
        <f t="shared" si="0"/>
        <v>51</v>
      </c>
      <c r="D27" s="9" t="str">
        <f t="shared" ca="1" si="1"/>
        <v>#I2C_Bridge_GPIO:exp_group_0x</v>
      </c>
      <c r="F27" s="7" t="str">
        <f t="shared" si="2"/>
        <v>I2C_Bridge_GPIO!A51</v>
      </c>
    </row>
    <row r="28" spans="1:6" x14ac:dyDescent="0.25">
      <c r="A28" s="10" t="s">
        <v>156</v>
      </c>
      <c r="B28" s="10">
        <v>2</v>
      </c>
      <c r="C28" s="9">
        <f t="shared" si="0"/>
        <v>71</v>
      </c>
      <c r="D28" s="9" t="str">
        <f t="shared" ca="1" si="1"/>
        <v>#I2C_Expander_00:etap 2</v>
      </c>
      <c r="F28" s="7" t="str">
        <f t="shared" si="2"/>
        <v>I2C_Expander_00!A71</v>
      </c>
    </row>
    <row r="29" spans="1:6" x14ac:dyDescent="0.25">
      <c r="A29" s="10" t="s">
        <v>201</v>
      </c>
      <c r="B29" s="10">
        <v>2</v>
      </c>
      <c r="C29" s="9">
        <f t="shared" si="0"/>
        <v>71</v>
      </c>
      <c r="D29" s="9" t="str">
        <f t="shared" ca="1" si="1"/>
        <v>#I2C_Expander_01:etap 2</v>
      </c>
      <c r="F29" s="7" t="str">
        <f t="shared" si="2"/>
        <v>I2C_Expander_01!A71</v>
      </c>
    </row>
    <row r="30" spans="1:6" x14ac:dyDescent="0.25">
      <c r="A30" s="10" t="s">
        <v>202</v>
      </c>
      <c r="B30" s="10">
        <v>2</v>
      </c>
      <c r="C30" s="9">
        <f t="shared" si="0"/>
        <v>71</v>
      </c>
      <c r="D30" s="9" t="str">
        <f t="shared" ca="1" si="1"/>
        <v>#I2C_Expander_02:etap 2</v>
      </c>
      <c r="F30" s="7" t="str">
        <f t="shared" si="2"/>
        <v>I2C_Expander_02!A71</v>
      </c>
    </row>
    <row r="31" spans="1:6" x14ac:dyDescent="0.25">
      <c r="A31" s="10" t="s">
        <v>69</v>
      </c>
      <c r="B31" s="10">
        <v>2</v>
      </c>
      <c r="C31" s="9">
        <f t="shared" si="0"/>
        <v>71</v>
      </c>
      <c r="D31" s="9" t="str">
        <f t="shared" ca="1" si="1"/>
        <v>#I2C_Bridge_GPIO:exp_group_1x</v>
      </c>
      <c r="F31" s="7" t="str">
        <f t="shared" si="2"/>
        <v>I2C_Bridge_GPIO!A71</v>
      </c>
    </row>
    <row r="32" spans="1:6" x14ac:dyDescent="0.25">
      <c r="A32" s="10" t="s">
        <v>203</v>
      </c>
      <c r="B32" s="10">
        <v>2</v>
      </c>
      <c r="C32" s="9">
        <f t="shared" si="0"/>
        <v>71</v>
      </c>
      <c r="D32" s="9" t="str">
        <f t="shared" ca="1" si="1"/>
        <v>#I2C_Expander_10:etap 2</v>
      </c>
      <c r="F32" s="7" t="str">
        <f t="shared" si="2"/>
        <v>I2C_Expander_10!A71</v>
      </c>
    </row>
    <row r="33" spans="1:6" x14ac:dyDescent="0.25">
      <c r="A33" s="10" t="s">
        <v>204</v>
      </c>
      <c r="B33" s="10">
        <v>2</v>
      </c>
      <c r="C33" s="9">
        <f t="shared" si="0"/>
        <v>71</v>
      </c>
      <c r="D33" s="9" t="str">
        <f t="shared" ca="1" si="1"/>
        <v>#I2C_Expander_11:etap 2</v>
      </c>
      <c r="F33" s="7" t="str">
        <f t="shared" si="2"/>
        <v>I2C_Expander_11!A71</v>
      </c>
    </row>
    <row r="34" spans="1:6" x14ac:dyDescent="0.25">
      <c r="A34" s="10" t="s">
        <v>205</v>
      </c>
      <c r="B34" s="10">
        <v>2</v>
      </c>
      <c r="C34" s="9">
        <f t="shared" si="0"/>
        <v>71</v>
      </c>
      <c r="D34" s="9" t="str">
        <f t="shared" ca="1" si="1"/>
        <v>#I2C_Expander_12:etap 2</v>
      </c>
      <c r="F34" s="7" t="str">
        <f t="shared" si="2"/>
        <v>I2C_Expander_12!A71</v>
      </c>
    </row>
    <row r="35" spans="1:6" x14ac:dyDescent="0.25">
      <c r="A35" s="10" t="s">
        <v>69</v>
      </c>
      <c r="B35" s="10">
        <v>1</v>
      </c>
      <c r="C35" s="9">
        <f t="shared" si="0"/>
        <v>51</v>
      </c>
      <c r="D35" s="9" t="str">
        <f t="shared" ca="1" si="1"/>
        <v>#I2C_Bridge_GPIO:exp_group_0x</v>
      </c>
      <c r="F35" s="7" t="str">
        <f t="shared" si="2"/>
        <v>I2C_Bridge_GPIO!A51</v>
      </c>
    </row>
    <row r="36" spans="1:6" x14ac:dyDescent="0.25">
      <c r="A36" s="10" t="s">
        <v>201</v>
      </c>
      <c r="B36" s="10">
        <v>3</v>
      </c>
      <c r="C36" s="9">
        <f t="shared" si="0"/>
        <v>91</v>
      </c>
      <c r="D36" s="9" t="str">
        <f t="shared" ca="1" si="1"/>
        <v>#I2C_Expander_01:LTC6952_1</v>
      </c>
      <c r="F36" s="7" t="str">
        <f t="shared" si="2"/>
        <v>I2C_Expander_01!A91</v>
      </c>
    </row>
    <row r="37" spans="1:6" x14ac:dyDescent="0.25">
      <c r="A37" s="10" t="s">
        <v>225</v>
      </c>
      <c r="B37" s="10">
        <v>0</v>
      </c>
      <c r="C37" s="9">
        <f t="shared" si="0"/>
        <v>31</v>
      </c>
      <c r="D37" s="9" t="str">
        <f t="shared" ca="1" si="1"/>
        <v>#LTC6952_Config_Safe</v>
      </c>
      <c r="F37" s="7" t="str">
        <f t="shared" si="2"/>
        <v>LTC6952_0!A31</v>
      </c>
    </row>
    <row r="38" spans="1:6" x14ac:dyDescent="0.25">
      <c r="A38" s="10" t="s">
        <v>201</v>
      </c>
      <c r="B38" s="10">
        <v>2</v>
      </c>
      <c r="C38" s="9">
        <f t="shared" si="0"/>
        <v>71</v>
      </c>
      <c r="D38" s="9" t="str">
        <f t="shared" ca="1" si="1"/>
        <v>#I2C_Expander_01:etap 2</v>
      </c>
      <c r="F38" s="7" t="str">
        <f t="shared" si="2"/>
        <v>I2C_Expander_01!A71</v>
      </c>
    </row>
    <row r="39" spans="1:6" x14ac:dyDescent="0.25">
      <c r="A39" s="10" t="s">
        <v>84</v>
      </c>
      <c r="B39" s="10">
        <v>3</v>
      </c>
      <c r="C39" s="9">
        <f t="shared" si="0"/>
        <v>91</v>
      </c>
      <c r="D39" s="9" t="str">
        <f t="shared" ca="1" si="1"/>
        <v>#I2C_Expander_Main_Rst:etap 3</v>
      </c>
      <c r="F39" s="7" t="str">
        <f t="shared" si="2"/>
        <v>I2C_Expander_Main_Rst!A91</v>
      </c>
    </row>
    <row r="40" spans="1:6" x14ac:dyDescent="0.25">
      <c r="A40" s="10" t="s">
        <v>69</v>
      </c>
      <c r="B40" s="10">
        <v>2</v>
      </c>
      <c r="C40" s="9">
        <f t="shared" si="0"/>
        <v>71</v>
      </c>
      <c r="D40" s="9" t="str">
        <f t="shared" ca="1" si="1"/>
        <v>#I2C_Bridge_GPIO:exp_group_1x</v>
      </c>
      <c r="F40" s="7" t="str">
        <f t="shared" si="2"/>
        <v>I2C_Bridge_GPIO!A71</v>
      </c>
    </row>
    <row r="41" spans="1:6" x14ac:dyDescent="0.25">
      <c r="A41" s="10" t="s">
        <v>204</v>
      </c>
      <c r="B41" s="10">
        <v>3</v>
      </c>
      <c r="C41" s="9">
        <f t="shared" si="0"/>
        <v>91</v>
      </c>
      <c r="D41" s="9" t="str">
        <f t="shared" ca="1" si="1"/>
        <v>#I2C_Expander_11:LTC6952_2</v>
      </c>
      <c r="F41" s="7" t="str">
        <f t="shared" si="2"/>
        <v>I2C_Expander_11!A91</v>
      </c>
    </row>
    <row r="42" spans="1:6" x14ac:dyDescent="0.25">
      <c r="A42" s="10" t="s">
        <v>255</v>
      </c>
      <c r="B42" s="10">
        <v>0</v>
      </c>
      <c r="C42" s="9">
        <f t="shared" si="0"/>
        <v>31</v>
      </c>
      <c r="D42" s="9" t="str">
        <f t="shared" ca="1" si="1"/>
        <v>#LTC6952_Config_Safe</v>
      </c>
      <c r="F42" s="7" t="str">
        <f t="shared" si="2"/>
        <v>LTC6952_1!A31</v>
      </c>
    </row>
    <row r="43" spans="1:6" x14ac:dyDescent="0.25">
      <c r="A43" s="10" t="s">
        <v>204</v>
      </c>
      <c r="B43" s="10">
        <v>4</v>
      </c>
      <c r="C43" s="9">
        <f t="shared" si="0"/>
        <v>111</v>
      </c>
      <c r="D43" s="9" t="str">
        <f t="shared" ca="1" si="1"/>
        <v>#I2C_Expander_11:LMK05028</v>
      </c>
      <c r="F43" s="7" t="str">
        <f t="shared" si="2"/>
        <v>I2C_Expander_11!A111</v>
      </c>
    </row>
    <row r="44" spans="1:6" x14ac:dyDescent="0.25">
      <c r="A44" s="10" t="s">
        <v>84</v>
      </c>
      <c r="B44" s="10">
        <v>3</v>
      </c>
      <c r="C44" s="9">
        <f t="shared" si="0"/>
        <v>91</v>
      </c>
      <c r="D44" s="9" t="str">
        <f t="shared" ca="1" si="1"/>
        <v>#I2C_Expander_Main_Rst:etap 3</v>
      </c>
      <c r="F44" s="7" t="str">
        <f t="shared" si="2"/>
        <v>I2C_Expander_Main_Rst!A91</v>
      </c>
    </row>
    <row r="45" spans="1:6" x14ac:dyDescent="0.25">
      <c r="A45" s="10" t="s">
        <v>204</v>
      </c>
      <c r="B45" s="10">
        <v>4</v>
      </c>
      <c r="C45" s="9">
        <f t="shared" si="0"/>
        <v>111</v>
      </c>
      <c r="D45" s="9" t="str">
        <f t="shared" ca="1" si="1"/>
        <v>#I2C_Expander_11:LMK05028</v>
      </c>
      <c r="F45" s="7" t="str">
        <f t="shared" si="2"/>
        <v>I2C_Expander_11!A111</v>
      </c>
    </row>
    <row r="46" spans="1:6" x14ac:dyDescent="0.25">
      <c r="A46" s="10" t="s">
        <v>258</v>
      </c>
      <c r="B46" s="10">
        <v>1</v>
      </c>
      <c r="C46" s="9">
        <f t="shared" si="0"/>
        <v>51</v>
      </c>
      <c r="D46" s="9">
        <f t="shared" ca="1" si="1"/>
        <v>0</v>
      </c>
      <c r="F46" s="7" t="str">
        <f t="shared" si="2"/>
        <v>'LMK05028'!A51</v>
      </c>
    </row>
    <row r="47" spans="1:6" x14ac:dyDescent="0.25">
      <c r="A47" s="10" t="s">
        <v>204</v>
      </c>
      <c r="B47" s="10">
        <v>2</v>
      </c>
      <c r="C47" s="9">
        <f t="shared" si="0"/>
        <v>71</v>
      </c>
      <c r="D47" s="9" t="str">
        <f t="shared" ca="1" si="1"/>
        <v>#I2C_Expander_11:etap 2</v>
      </c>
      <c r="F47" s="7" t="str">
        <f t="shared" si="2"/>
        <v>I2C_Expander_11!A71</v>
      </c>
    </row>
    <row r="48" spans="1:6" x14ac:dyDescent="0.25">
      <c r="A48" s="10" t="s">
        <v>69</v>
      </c>
      <c r="B48" s="10">
        <v>1</v>
      </c>
      <c r="C48" s="9">
        <f t="shared" si="0"/>
        <v>51</v>
      </c>
      <c r="D48" s="9" t="str">
        <f t="shared" ca="1" si="1"/>
        <v>#I2C_Bridge_GPIO:exp_group_0x</v>
      </c>
      <c r="F48" s="7" t="str">
        <f t="shared" si="2"/>
        <v>I2C_Bridge_GPIO!A51</v>
      </c>
    </row>
    <row r="49" spans="1:6" x14ac:dyDescent="0.25">
      <c r="A49" s="10" t="s">
        <v>202</v>
      </c>
      <c r="B49" s="10">
        <v>3</v>
      </c>
      <c r="C49" s="9">
        <f t="shared" si="0"/>
        <v>91</v>
      </c>
      <c r="D49" s="9" t="str">
        <f t="shared" ca="1" si="1"/>
        <v>#I2C_Expander_02:DAC1220</v>
      </c>
      <c r="F49" s="7" t="str">
        <f t="shared" si="2"/>
        <v>I2C_Expander_02!A91</v>
      </c>
    </row>
    <row r="50" spans="1:6" x14ac:dyDescent="0.25">
      <c r="A50" s="10" t="s">
        <v>259</v>
      </c>
      <c r="B50" s="10">
        <v>0</v>
      </c>
      <c r="C50" s="9">
        <f t="shared" si="0"/>
        <v>31</v>
      </c>
      <c r="D50" s="9" t="str">
        <f t="shared" ca="1" si="1"/>
        <v>#DAC1220 configuration</v>
      </c>
      <c r="F50" s="7" t="str">
        <f t="shared" si="2"/>
        <v>'DAC1220'!A31</v>
      </c>
    </row>
    <row r="51" spans="1:6" x14ac:dyDescent="0.25">
      <c r="A51" s="10" t="s">
        <v>202</v>
      </c>
      <c r="B51" s="10">
        <v>2</v>
      </c>
      <c r="C51" s="9">
        <f t="shared" si="0"/>
        <v>71</v>
      </c>
      <c r="D51" s="9" t="str">
        <f t="shared" ca="1" si="1"/>
        <v>#I2C_Expander_02:etap 2</v>
      </c>
      <c r="F51" s="7" t="str">
        <f t="shared" si="2"/>
        <v>I2C_Expander_02!A71</v>
      </c>
    </row>
    <row r="52" spans="1:6" x14ac:dyDescent="0.25">
      <c r="A52" s="10" t="s">
        <v>86</v>
      </c>
      <c r="B52" s="10">
        <v>0</v>
      </c>
      <c r="C52" s="9">
        <f t="shared" si="0"/>
        <v>31</v>
      </c>
      <c r="D52" s="9" t="str">
        <f t="shared" ca="1" si="1"/>
        <v>#I2C_Bridge_SFP:wylacz</v>
      </c>
      <c r="F52" s="7" t="str">
        <f t="shared" si="2"/>
        <v>I2C_Bridge_SFP!A31</v>
      </c>
    </row>
    <row r="53" spans="1:6" x14ac:dyDescent="0.25">
      <c r="A53" s="10" t="s">
        <v>84</v>
      </c>
      <c r="B53" s="10">
        <v>3</v>
      </c>
      <c r="C53" s="9">
        <f t="shared" si="0"/>
        <v>91</v>
      </c>
      <c r="D53" s="9" t="str">
        <f t="shared" ca="1" si="1"/>
        <v>#I2C_Expander_Main_Rst:etap 3</v>
      </c>
      <c r="F53" s="7" t="str">
        <f t="shared" si="2"/>
        <v>I2C_Expander_Main_Rst!A91</v>
      </c>
    </row>
    <row r="54" spans="1:6" x14ac:dyDescent="0.25">
      <c r="A54" s="10" t="s">
        <v>416</v>
      </c>
      <c r="C54" s="9">
        <f t="shared" si="0"/>
        <v>31</v>
      </c>
      <c r="D54" s="9" t="e">
        <f t="shared" ca="1" si="1"/>
        <v>#REF!</v>
      </c>
      <c r="F54" s="7" t="str">
        <f t="shared" si="2"/>
        <v>'Programowanie kart'!A31</v>
      </c>
    </row>
    <row r="55" spans="1:6" x14ac:dyDescent="0.25">
      <c r="A55" s="10" t="s">
        <v>69</v>
      </c>
      <c r="B55" s="10">
        <v>2</v>
      </c>
      <c r="C55" s="9">
        <f t="shared" si="0"/>
        <v>71</v>
      </c>
      <c r="D55" s="9" t="str">
        <f t="shared" ca="1" si="1"/>
        <v>#I2C_Bridge_GPIO:exp_group_1x</v>
      </c>
      <c r="F55" s="7" t="str">
        <f t="shared" si="2"/>
        <v>I2C_Bridge_GPIO!A71</v>
      </c>
    </row>
    <row r="56" spans="1:6" x14ac:dyDescent="0.25">
      <c r="A56" s="10" t="s">
        <v>204</v>
      </c>
      <c r="B56" s="10">
        <v>5</v>
      </c>
      <c r="C56" s="9">
        <f t="shared" si="0"/>
        <v>131</v>
      </c>
      <c r="D56" s="9" t="str">
        <f t="shared" ca="1" si="1"/>
        <v>#I2C_Expander_11:etap 5- Karty</v>
      </c>
      <c r="F56" s="7" t="str">
        <f t="shared" si="2"/>
        <v>I2C_Expander_11!A131</v>
      </c>
    </row>
    <row r="57" spans="1:6" x14ac:dyDescent="0.25">
      <c r="A57" s="10" t="s">
        <v>86</v>
      </c>
      <c r="B57" s="10">
        <v>2</v>
      </c>
      <c r="C57" s="9">
        <f t="shared" si="0"/>
        <v>71</v>
      </c>
      <c r="D57" s="9" t="str">
        <f t="shared" ca="1" si="1"/>
        <v>#I2C_Bridge_SFP:I2C_Expander SFP</v>
      </c>
      <c r="F57" s="7" t="str">
        <f t="shared" si="2"/>
        <v>I2C_Bridge_SFP!A71</v>
      </c>
    </row>
    <row r="58" spans="1:6" x14ac:dyDescent="0.25">
      <c r="A58" s="10" t="s">
        <v>95</v>
      </c>
      <c r="B58" s="10">
        <v>2</v>
      </c>
      <c r="C58" s="9">
        <f t="shared" si="0"/>
        <v>71</v>
      </c>
      <c r="D58" s="9" t="str">
        <f t="shared" ca="1" si="1"/>
        <v>#I2C_Expander_SFP:etap 2 - SFP tx enable</v>
      </c>
      <c r="F58" s="7" t="str">
        <f t="shared" si="2"/>
        <v>I2C_Expander_SFP!A71</v>
      </c>
    </row>
    <row r="59" spans="1:6" x14ac:dyDescent="0.25">
      <c r="A59" s="10" t="s">
        <v>86</v>
      </c>
      <c r="B59" s="10">
        <v>3</v>
      </c>
      <c r="C59" s="9">
        <f t="shared" ref="C59:C122" si="6">20*B59+31</f>
        <v>91</v>
      </c>
      <c r="D59" s="9" t="str">
        <f t="shared" ref="D59:D122" ca="1" si="7">INDIRECT(ADDRESS(C59,1,4,1,A59))</f>
        <v>#I2C_Bridge_SFP:PCIE_Bridge</v>
      </c>
      <c r="F59" s="7" t="str">
        <f t="shared" ref="F59:F122" si="8">ADDRESS(C59,1,4,1,A59)</f>
        <v>I2C_Bridge_SFP!A91</v>
      </c>
    </row>
    <row r="60" spans="1:6" x14ac:dyDescent="0.25">
      <c r="C60" s="9">
        <f t="shared" si="6"/>
        <v>31</v>
      </c>
      <c r="D60" s="9" t="e">
        <f t="shared" ca="1" si="7"/>
        <v>#REF!</v>
      </c>
      <c r="F60" s="7" t="str">
        <f t="shared" si="8"/>
        <v>!A31</v>
      </c>
    </row>
    <row r="61" spans="1:6" x14ac:dyDescent="0.25">
      <c r="C61" s="9">
        <f t="shared" si="6"/>
        <v>31</v>
      </c>
      <c r="D61" s="9" t="e">
        <f t="shared" ca="1" si="7"/>
        <v>#REF!</v>
      </c>
      <c r="F61" s="7" t="str">
        <f t="shared" si="8"/>
        <v>!A31</v>
      </c>
    </row>
    <row r="62" spans="1:6" x14ac:dyDescent="0.25">
      <c r="C62" s="9">
        <f t="shared" si="6"/>
        <v>31</v>
      </c>
      <c r="D62" s="9" t="e">
        <f t="shared" ca="1" si="7"/>
        <v>#REF!</v>
      </c>
      <c r="F62" s="7" t="str">
        <f t="shared" si="8"/>
        <v>!A31</v>
      </c>
    </row>
    <row r="63" spans="1:6" x14ac:dyDescent="0.25">
      <c r="C63" s="9">
        <f t="shared" si="6"/>
        <v>31</v>
      </c>
      <c r="D63" s="9" t="e">
        <f t="shared" ca="1" si="7"/>
        <v>#REF!</v>
      </c>
      <c r="F63" s="7" t="str">
        <f t="shared" si="8"/>
        <v>!A31</v>
      </c>
    </row>
    <row r="64" spans="1:6" x14ac:dyDescent="0.25">
      <c r="C64" s="9">
        <f t="shared" si="6"/>
        <v>31</v>
      </c>
      <c r="D64" s="9" t="e">
        <f t="shared" ca="1" si="7"/>
        <v>#REF!</v>
      </c>
      <c r="F64" s="7" t="str">
        <f t="shared" si="8"/>
        <v>!A31</v>
      </c>
    </row>
    <row r="65" spans="1:6" x14ac:dyDescent="0.25">
      <c r="C65" s="9">
        <f t="shared" si="6"/>
        <v>31</v>
      </c>
      <c r="D65" s="9" t="e">
        <f t="shared" ca="1" si="7"/>
        <v>#REF!</v>
      </c>
      <c r="F65" s="7" t="str">
        <f t="shared" si="8"/>
        <v>!A31</v>
      </c>
    </row>
    <row r="66" spans="1:6" x14ac:dyDescent="0.25">
      <c r="C66" s="9">
        <f t="shared" si="6"/>
        <v>31</v>
      </c>
      <c r="D66" s="9" t="e">
        <f t="shared" ca="1" si="7"/>
        <v>#REF!</v>
      </c>
      <c r="F66" s="7" t="str">
        <f t="shared" si="8"/>
        <v>!A31</v>
      </c>
    </row>
    <row r="67" spans="1:6" x14ac:dyDescent="0.25">
      <c r="C67" s="9">
        <f t="shared" si="6"/>
        <v>31</v>
      </c>
      <c r="D67" s="9" t="e">
        <f t="shared" ca="1" si="7"/>
        <v>#REF!</v>
      </c>
      <c r="F67" s="7" t="str">
        <f t="shared" si="8"/>
        <v>!A31</v>
      </c>
    </row>
    <row r="68" spans="1:6" x14ac:dyDescent="0.25">
      <c r="A68" s="2"/>
      <c r="C68" s="9">
        <f t="shared" si="6"/>
        <v>31</v>
      </c>
      <c r="D68" s="9" t="e">
        <f t="shared" ca="1" si="7"/>
        <v>#REF!</v>
      </c>
      <c r="F68" s="7" t="str">
        <f t="shared" si="8"/>
        <v>!A31</v>
      </c>
    </row>
    <row r="69" spans="1:6" x14ac:dyDescent="0.25">
      <c r="C69" s="9">
        <f t="shared" si="6"/>
        <v>31</v>
      </c>
      <c r="D69" s="9" t="e">
        <f t="shared" ca="1" si="7"/>
        <v>#REF!</v>
      </c>
      <c r="F69" s="7" t="str">
        <f t="shared" si="8"/>
        <v>!A31</v>
      </c>
    </row>
    <row r="70" spans="1:6" x14ac:dyDescent="0.25">
      <c r="A70" s="2"/>
      <c r="C70" s="9">
        <f t="shared" si="6"/>
        <v>31</v>
      </c>
      <c r="D70" s="9" t="e">
        <f t="shared" ca="1" si="7"/>
        <v>#REF!</v>
      </c>
      <c r="F70" s="7" t="str">
        <f t="shared" si="8"/>
        <v>!A31</v>
      </c>
    </row>
    <row r="71" spans="1:6" x14ac:dyDescent="0.25">
      <c r="C71" s="9">
        <f t="shared" si="6"/>
        <v>31</v>
      </c>
      <c r="D71" s="9" t="e">
        <f t="shared" ca="1" si="7"/>
        <v>#REF!</v>
      </c>
      <c r="F71" s="7" t="str">
        <f t="shared" si="8"/>
        <v>!A31</v>
      </c>
    </row>
    <row r="72" spans="1:6" x14ac:dyDescent="0.25">
      <c r="C72" s="9">
        <f t="shared" si="6"/>
        <v>31</v>
      </c>
      <c r="D72" s="9" t="e">
        <f t="shared" ca="1" si="7"/>
        <v>#REF!</v>
      </c>
      <c r="F72" s="7" t="str">
        <f t="shared" si="8"/>
        <v>!A31</v>
      </c>
    </row>
    <row r="73" spans="1:6" x14ac:dyDescent="0.25">
      <c r="C73" s="9">
        <f t="shared" si="6"/>
        <v>31</v>
      </c>
      <c r="D73" s="9" t="e">
        <f t="shared" ca="1" si="7"/>
        <v>#REF!</v>
      </c>
      <c r="F73" s="7" t="str">
        <f t="shared" si="8"/>
        <v>!A31</v>
      </c>
    </row>
    <row r="74" spans="1:6" x14ac:dyDescent="0.25">
      <c r="A74" s="10" t="s">
        <v>417</v>
      </c>
      <c r="C74" s="9">
        <f t="shared" si="6"/>
        <v>31</v>
      </c>
      <c r="D74" s="9" t="e">
        <f t="shared" ca="1" si="7"/>
        <v>#REF!</v>
      </c>
      <c r="F74" s="7" t="str">
        <f t="shared" si="8"/>
        <v>'karta 0 ILS'!A31</v>
      </c>
    </row>
    <row r="75" spans="1:6" x14ac:dyDescent="0.25">
      <c r="A75" s="10" t="s">
        <v>69</v>
      </c>
      <c r="B75" s="10">
        <v>1</v>
      </c>
      <c r="C75" s="9">
        <f t="shared" si="6"/>
        <v>51</v>
      </c>
      <c r="D75" s="9" t="str">
        <f t="shared" ca="1" si="7"/>
        <v>#I2C_Bridge_GPIO:exp_group_0x</v>
      </c>
      <c r="F75" s="7" t="str">
        <f t="shared" si="8"/>
        <v>I2C_Bridge_GPIO!A51</v>
      </c>
    </row>
    <row r="76" spans="1:6" x14ac:dyDescent="0.25">
      <c r="A76" s="10" t="s">
        <v>112</v>
      </c>
      <c r="B76" s="10">
        <v>1</v>
      </c>
      <c r="C76" s="9">
        <f t="shared" si="6"/>
        <v>51</v>
      </c>
      <c r="D76" s="9" t="str">
        <f t="shared" ca="1" si="7"/>
        <v>#I2C_Bridge_PCIE:PCIE0</v>
      </c>
      <c r="F76" s="7" t="str">
        <f t="shared" si="8"/>
        <v>I2C_Bridge_PCIE!A51</v>
      </c>
    </row>
    <row r="77" spans="1:6" x14ac:dyDescent="0.25">
      <c r="A77" s="10" t="s">
        <v>202</v>
      </c>
      <c r="B77" s="10">
        <v>4</v>
      </c>
      <c r="C77" s="9">
        <f t="shared" si="6"/>
        <v>111</v>
      </c>
      <c r="D77" s="9" t="str">
        <f t="shared" ca="1" si="7"/>
        <v>#I2C_Expander_02:etap 4 En_SPI_PCIE0</v>
      </c>
      <c r="F77" s="7" t="str">
        <f t="shared" si="8"/>
        <v>I2C_Expander_02!A111</v>
      </c>
    </row>
    <row r="78" spans="1:6" x14ac:dyDescent="0.25">
      <c r="A78" s="10" t="s">
        <v>412</v>
      </c>
      <c r="B78" s="10">
        <v>1</v>
      </c>
      <c r="C78" s="9">
        <f t="shared" si="6"/>
        <v>51</v>
      </c>
      <c r="D78" s="9" t="str">
        <f t="shared" ca="1" si="7"/>
        <v>#RadioCard_ILS_Exp1:etap 1</v>
      </c>
      <c r="F78" s="7" t="str">
        <f t="shared" si="8"/>
        <v>RadioCard_ILS_Exp1!A51</v>
      </c>
    </row>
    <row r="79" spans="1:6" x14ac:dyDescent="0.25">
      <c r="A79" s="10" t="s">
        <v>411</v>
      </c>
      <c r="B79" s="10">
        <v>1</v>
      </c>
      <c r="C79" s="9">
        <f t="shared" si="6"/>
        <v>51</v>
      </c>
      <c r="D79" s="9" t="str">
        <f t="shared" ca="1" si="7"/>
        <v>#RadioCard_ILS_Exp1:etap 1</v>
      </c>
      <c r="F79" s="7" t="str">
        <f t="shared" si="8"/>
        <v>RadioCard_ILS_Exp2!A51</v>
      </c>
    </row>
    <row r="80" spans="1:6" x14ac:dyDescent="0.25">
      <c r="A80" s="10" t="s">
        <v>412</v>
      </c>
      <c r="B80" s="10">
        <v>1</v>
      </c>
      <c r="C80" s="9">
        <f t="shared" si="6"/>
        <v>51</v>
      </c>
      <c r="D80" s="9" t="str">
        <f t="shared" ca="1" si="7"/>
        <v>#RadioCard_ILS_Exp1:etap 1</v>
      </c>
      <c r="F80" s="7" t="str">
        <f t="shared" si="8"/>
        <v>RadioCard_ILS_Exp1!A51</v>
      </c>
    </row>
    <row r="81" spans="1:6" x14ac:dyDescent="0.25">
      <c r="A81" s="10" t="s">
        <v>411</v>
      </c>
      <c r="B81" s="10">
        <v>3</v>
      </c>
      <c r="C81" s="9">
        <f t="shared" si="6"/>
        <v>91</v>
      </c>
      <c r="D81" s="9" t="str">
        <f t="shared" ca="1" si="7"/>
        <v>#RadioCard_ILS_Exp1:etap 3</v>
      </c>
      <c r="F81" s="7" t="str">
        <f t="shared" si="8"/>
        <v>RadioCard_ILS_Exp2!A91</v>
      </c>
    </row>
    <row r="82" spans="1:6" x14ac:dyDescent="0.25">
      <c r="A82" s="10" t="s">
        <v>412</v>
      </c>
      <c r="B82" s="10">
        <v>3</v>
      </c>
      <c r="C82" s="9">
        <f t="shared" si="6"/>
        <v>91</v>
      </c>
      <c r="D82" s="9" t="str">
        <f t="shared" ca="1" si="7"/>
        <v>#RadioCard_ILS_Exp1:etap 3</v>
      </c>
      <c r="F82" s="7" t="str">
        <f t="shared" si="8"/>
        <v>RadioCard_ILS_Exp1!A91</v>
      </c>
    </row>
    <row r="83" spans="1:6" x14ac:dyDescent="0.25">
      <c r="A83" s="10" t="s">
        <v>411</v>
      </c>
      <c r="B83" s="10">
        <v>4</v>
      </c>
      <c r="C83" s="9">
        <f t="shared" si="6"/>
        <v>111</v>
      </c>
      <c r="D83" s="9" t="str">
        <f t="shared" ca="1" si="7"/>
        <v>#RadioCard_ILS_Exp1:etap 4- LMK</v>
      </c>
      <c r="F83" s="7" t="str">
        <f t="shared" si="8"/>
        <v>RadioCard_ILS_Exp2!A111</v>
      </c>
    </row>
    <row r="84" spans="1:6" x14ac:dyDescent="0.25">
      <c r="A84" s="2" t="s">
        <v>419</v>
      </c>
      <c r="B84" s="10">
        <v>1</v>
      </c>
      <c r="C84" s="9">
        <f t="shared" si="6"/>
        <v>51</v>
      </c>
      <c r="D84" s="9" t="str">
        <f t="shared" ca="1" si="7"/>
        <v>#LMK04610_ILS</v>
      </c>
      <c r="F84" s="7" t="str">
        <f t="shared" si="8"/>
        <v>RadioCard_ILS_Devices!A51</v>
      </c>
    </row>
    <row r="85" spans="1:6" x14ac:dyDescent="0.25">
      <c r="A85" s="10" t="s">
        <v>411</v>
      </c>
      <c r="B85" s="10">
        <v>5</v>
      </c>
      <c r="C85" s="9">
        <f t="shared" si="6"/>
        <v>131</v>
      </c>
      <c r="D85" s="9" t="str">
        <f t="shared" ca="1" si="7"/>
        <v>#RadioCard_ILS_Exp1:etap 5 LTC</v>
      </c>
      <c r="F85" s="7" t="str">
        <f t="shared" si="8"/>
        <v>RadioCard_ILS_Exp2!A131</v>
      </c>
    </row>
    <row r="86" spans="1:6" x14ac:dyDescent="0.25">
      <c r="A86" s="2" t="s">
        <v>419</v>
      </c>
      <c r="B86" s="10">
        <v>0</v>
      </c>
      <c r="C86" s="9">
        <f t="shared" si="6"/>
        <v>31</v>
      </c>
      <c r="D86" s="9" t="str">
        <f t="shared" ca="1" si="7"/>
        <v>#LTC2122_ILS</v>
      </c>
      <c r="F86" s="7" t="str">
        <f t="shared" si="8"/>
        <v>RadioCard_ILS_Devices!A31</v>
      </c>
    </row>
    <row r="87" spans="1:6" x14ac:dyDescent="0.25">
      <c r="A87" s="10" t="s">
        <v>411</v>
      </c>
      <c r="B87" s="10">
        <v>3</v>
      </c>
      <c r="C87" s="9">
        <f t="shared" si="6"/>
        <v>91</v>
      </c>
      <c r="D87" s="9" t="str">
        <f t="shared" ca="1" si="7"/>
        <v>#RadioCard_ILS_Exp1:etap 3</v>
      </c>
      <c r="F87" s="7" t="str">
        <f t="shared" si="8"/>
        <v>RadioCard_ILS_Exp2!A91</v>
      </c>
    </row>
    <row r="88" spans="1:6" x14ac:dyDescent="0.25">
      <c r="A88" s="10" t="s">
        <v>202</v>
      </c>
      <c r="B88" s="10">
        <v>2</v>
      </c>
      <c r="C88" s="9">
        <f t="shared" si="6"/>
        <v>71</v>
      </c>
      <c r="D88" s="9" t="str">
        <f t="shared" ca="1" si="7"/>
        <v>#I2C_Expander_02:etap 2</v>
      </c>
      <c r="F88" s="7" t="str">
        <f t="shared" si="8"/>
        <v>I2C_Expander_02!A71</v>
      </c>
    </row>
    <row r="89" spans="1:6" x14ac:dyDescent="0.25">
      <c r="C89" s="9">
        <f t="shared" si="6"/>
        <v>31</v>
      </c>
      <c r="D89" s="9" t="e">
        <f t="shared" ca="1" si="7"/>
        <v>#REF!</v>
      </c>
      <c r="F89" s="7" t="str">
        <f t="shared" si="8"/>
        <v>!A31</v>
      </c>
    </row>
    <row r="90" spans="1:6" x14ac:dyDescent="0.25">
      <c r="C90" s="9">
        <f t="shared" si="6"/>
        <v>31</v>
      </c>
      <c r="D90" s="9" t="e">
        <f t="shared" ca="1" si="7"/>
        <v>#REF!</v>
      </c>
      <c r="F90" s="7" t="str">
        <f t="shared" si="8"/>
        <v>!A31</v>
      </c>
    </row>
    <row r="91" spans="1:6" x14ac:dyDescent="0.25">
      <c r="A91" s="10" t="s">
        <v>422</v>
      </c>
      <c r="C91" s="9">
        <f t="shared" si="6"/>
        <v>31</v>
      </c>
      <c r="D91" s="9" t="e">
        <f t="shared" ca="1" si="7"/>
        <v>#REF!</v>
      </c>
      <c r="F91" s="7" t="str">
        <f t="shared" si="8"/>
        <v>'karta 1 ILS'!A31</v>
      </c>
    </row>
    <row r="92" spans="1:6" x14ac:dyDescent="0.25">
      <c r="A92" s="10" t="s">
        <v>69</v>
      </c>
      <c r="B92" s="10">
        <v>2</v>
      </c>
      <c r="C92" s="9">
        <f t="shared" si="6"/>
        <v>71</v>
      </c>
      <c r="D92" s="9" t="str">
        <f t="shared" ca="1" si="7"/>
        <v>#I2C_Bridge_GPIO:exp_group_1x</v>
      </c>
      <c r="F92" s="7" t="str">
        <f t="shared" si="8"/>
        <v>I2C_Bridge_GPIO!A71</v>
      </c>
    </row>
    <row r="93" spans="1:6" x14ac:dyDescent="0.25">
      <c r="A93" s="10" t="s">
        <v>112</v>
      </c>
      <c r="B93" s="10">
        <v>2</v>
      </c>
      <c r="C93" s="9">
        <f t="shared" si="6"/>
        <v>71</v>
      </c>
      <c r="D93" s="9" t="str">
        <f t="shared" ca="1" si="7"/>
        <v>#I2C_Bridge_PCIE:PCIE1</v>
      </c>
      <c r="F93" s="7" t="str">
        <f t="shared" si="8"/>
        <v>I2C_Bridge_PCIE!A71</v>
      </c>
    </row>
    <row r="94" spans="1:6" x14ac:dyDescent="0.25">
      <c r="A94" s="10" t="s">
        <v>204</v>
      </c>
      <c r="B94" s="10">
        <v>6</v>
      </c>
      <c r="C94" s="9">
        <f t="shared" si="6"/>
        <v>151</v>
      </c>
      <c r="D94" s="9" t="str">
        <f t="shared" ca="1" si="7"/>
        <v>#I2C_Expander_11:etap 6- En_SPI_PCIE1</v>
      </c>
      <c r="F94" s="7" t="str">
        <f t="shared" si="8"/>
        <v>I2C_Expander_11!A151</v>
      </c>
    </row>
    <row r="95" spans="1:6" x14ac:dyDescent="0.25">
      <c r="A95" s="10" t="s">
        <v>412</v>
      </c>
      <c r="B95" s="10">
        <v>1</v>
      </c>
      <c r="C95" s="9">
        <f t="shared" si="6"/>
        <v>51</v>
      </c>
      <c r="D95" s="9" t="str">
        <f t="shared" ca="1" si="7"/>
        <v>#RadioCard_ILS_Exp1:etap 1</v>
      </c>
      <c r="F95" s="7" t="str">
        <f t="shared" si="8"/>
        <v>RadioCard_ILS_Exp1!A51</v>
      </c>
    </row>
    <row r="96" spans="1:6" x14ac:dyDescent="0.25">
      <c r="A96" s="10" t="s">
        <v>411</v>
      </c>
      <c r="B96" s="10">
        <v>1</v>
      </c>
      <c r="C96" s="9">
        <f t="shared" si="6"/>
        <v>51</v>
      </c>
      <c r="D96" s="9" t="str">
        <f t="shared" ca="1" si="7"/>
        <v>#RadioCard_ILS_Exp1:etap 1</v>
      </c>
      <c r="F96" s="7" t="str">
        <f t="shared" si="8"/>
        <v>RadioCard_ILS_Exp2!A51</v>
      </c>
    </row>
    <row r="97" spans="1:6" x14ac:dyDescent="0.25">
      <c r="A97" s="10" t="s">
        <v>412</v>
      </c>
      <c r="B97" s="10">
        <v>1</v>
      </c>
      <c r="C97" s="9">
        <f t="shared" si="6"/>
        <v>51</v>
      </c>
      <c r="D97" s="9" t="str">
        <f t="shared" ca="1" si="7"/>
        <v>#RadioCard_ILS_Exp1:etap 1</v>
      </c>
      <c r="F97" s="7" t="str">
        <f t="shared" si="8"/>
        <v>RadioCard_ILS_Exp1!A51</v>
      </c>
    </row>
    <row r="98" spans="1:6" x14ac:dyDescent="0.25">
      <c r="A98" s="10" t="s">
        <v>411</v>
      </c>
      <c r="B98" s="10">
        <v>3</v>
      </c>
      <c r="C98" s="9">
        <f t="shared" si="6"/>
        <v>91</v>
      </c>
      <c r="D98" s="9" t="str">
        <f t="shared" ca="1" si="7"/>
        <v>#RadioCard_ILS_Exp1:etap 3</v>
      </c>
      <c r="F98" s="7" t="str">
        <f t="shared" si="8"/>
        <v>RadioCard_ILS_Exp2!A91</v>
      </c>
    </row>
    <row r="99" spans="1:6" x14ac:dyDescent="0.25">
      <c r="A99" s="10" t="s">
        <v>412</v>
      </c>
      <c r="B99" s="10">
        <v>3</v>
      </c>
      <c r="C99" s="9">
        <f t="shared" si="6"/>
        <v>91</v>
      </c>
      <c r="D99" s="9" t="str">
        <f t="shared" ca="1" si="7"/>
        <v>#RadioCard_ILS_Exp1:etap 3</v>
      </c>
      <c r="F99" s="7" t="str">
        <f t="shared" si="8"/>
        <v>RadioCard_ILS_Exp1!A91</v>
      </c>
    </row>
    <row r="100" spans="1:6" x14ac:dyDescent="0.25">
      <c r="A100" s="10" t="s">
        <v>411</v>
      </c>
      <c r="B100" s="10">
        <v>4</v>
      </c>
      <c r="C100" s="9">
        <f t="shared" si="6"/>
        <v>111</v>
      </c>
      <c r="D100" s="9" t="str">
        <f t="shared" ca="1" si="7"/>
        <v>#RadioCard_ILS_Exp1:etap 4- LMK</v>
      </c>
      <c r="F100" s="7" t="str">
        <f t="shared" si="8"/>
        <v>RadioCard_ILS_Exp2!A111</v>
      </c>
    </row>
    <row r="101" spans="1:6" x14ac:dyDescent="0.25">
      <c r="A101" s="2" t="s">
        <v>419</v>
      </c>
      <c r="B101" s="10">
        <v>1</v>
      </c>
      <c r="C101" s="9">
        <f t="shared" si="6"/>
        <v>51</v>
      </c>
      <c r="D101" s="9" t="str">
        <f t="shared" ca="1" si="7"/>
        <v>#LMK04610_ILS</v>
      </c>
      <c r="F101" s="7" t="str">
        <f t="shared" si="8"/>
        <v>RadioCard_ILS_Devices!A51</v>
      </c>
    </row>
    <row r="102" spans="1:6" x14ac:dyDescent="0.25">
      <c r="A102" s="10" t="s">
        <v>411</v>
      </c>
      <c r="B102" s="10">
        <v>5</v>
      </c>
      <c r="C102" s="9">
        <f t="shared" si="6"/>
        <v>131</v>
      </c>
      <c r="D102" s="9" t="str">
        <f t="shared" ca="1" si="7"/>
        <v>#RadioCard_ILS_Exp1:etap 5 LTC</v>
      </c>
      <c r="F102" s="7" t="str">
        <f t="shared" si="8"/>
        <v>RadioCard_ILS_Exp2!A131</v>
      </c>
    </row>
    <row r="103" spans="1:6" x14ac:dyDescent="0.25">
      <c r="A103" s="2" t="s">
        <v>419</v>
      </c>
      <c r="B103" s="10">
        <v>0</v>
      </c>
      <c r="C103" s="9">
        <f t="shared" si="6"/>
        <v>31</v>
      </c>
      <c r="D103" s="9" t="str">
        <f t="shared" ca="1" si="7"/>
        <v>#LTC2122_ILS</v>
      </c>
      <c r="F103" s="7" t="str">
        <f t="shared" si="8"/>
        <v>RadioCard_ILS_Devices!A31</v>
      </c>
    </row>
    <row r="104" spans="1:6" x14ac:dyDescent="0.25">
      <c r="A104" s="10" t="s">
        <v>411</v>
      </c>
      <c r="B104" s="10">
        <v>3</v>
      </c>
      <c r="C104" s="9">
        <f t="shared" si="6"/>
        <v>91</v>
      </c>
      <c r="D104" s="9" t="str">
        <f t="shared" ca="1" si="7"/>
        <v>#RadioCard_ILS_Exp1:etap 3</v>
      </c>
      <c r="F104" s="7" t="str">
        <f t="shared" si="8"/>
        <v>RadioCard_ILS_Exp2!A91</v>
      </c>
    </row>
    <row r="105" spans="1:6" x14ac:dyDescent="0.25">
      <c r="A105" s="10" t="s">
        <v>204</v>
      </c>
      <c r="B105" s="10">
        <v>5</v>
      </c>
      <c r="C105" s="9">
        <f t="shared" si="6"/>
        <v>131</v>
      </c>
      <c r="D105" s="9" t="str">
        <f t="shared" ca="1" si="7"/>
        <v>#I2C_Expander_11:etap 5- Karty</v>
      </c>
      <c r="F105" s="7" t="str">
        <f t="shared" si="8"/>
        <v>I2C_Expander_11!A131</v>
      </c>
    </row>
    <row r="106" spans="1:6" x14ac:dyDescent="0.25">
      <c r="C106" s="9">
        <f t="shared" si="6"/>
        <v>31</v>
      </c>
      <c r="D106" s="9" t="e">
        <f t="shared" ca="1" si="7"/>
        <v>#REF!</v>
      </c>
      <c r="F106" s="7" t="str">
        <f t="shared" si="8"/>
        <v>!A31</v>
      </c>
    </row>
    <row r="107" spans="1:6" x14ac:dyDescent="0.25">
      <c r="A107" s="10" t="s">
        <v>423</v>
      </c>
      <c r="C107" s="9">
        <f t="shared" si="6"/>
        <v>31</v>
      </c>
      <c r="D107" s="9" t="e">
        <f t="shared" ca="1" si="7"/>
        <v>#REF!</v>
      </c>
      <c r="F107" s="7" t="str">
        <f t="shared" si="8"/>
        <v>'karta 2 TETRA'!A31</v>
      </c>
    </row>
    <row r="108" spans="1:6" x14ac:dyDescent="0.25">
      <c r="A108" s="10" t="s">
        <v>69</v>
      </c>
      <c r="B108" s="10">
        <v>2</v>
      </c>
      <c r="C108" s="9">
        <f t="shared" si="6"/>
        <v>71</v>
      </c>
      <c r="D108" s="9" t="str">
        <f t="shared" ca="1" si="7"/>
        <v>#I2C_Bridge_GPIO:exp_group_1x</v>
      </c>
      <c r="F108" s="7" t="str">
        <f t="shared" si="8"/>
        <v>I2C_Bridge_GPIO!A71</v>
      </c>
    </row>
    <row r="109" spans="1:6" x14ac:dyDescent="0.25">
      <c r="A109" s="10" t="s">
        <v>112</v>
      </c>
      <c r="B109" s="10">
        <v>3</v>
      </c>
      <c r="C109" s="9">
        <f t="shared" si="6"/>
        <v>91</v>
      </c>
      <c r="D109" s="9" t="str">
        <f t="shared" ca="1" si="7"/>
        <v>#I2C_Bridge_PCIE:PCIE2</v>
      </c>
      <c r="F109" s="7" t="str">
        <f t="shared" si="8"/>
        <v>I2C_Bridge_PCIE!A91</v>
      </c>
    </row>
    <row r="110" spans="1:6" x14ac:dyDescent="0.25">
      <c r="A110" s="10" t="s">
        <v>203</v>
      </c>
      <c r="B110" s="10">
        <v>4</v>
      </c>
      <c r="C110" s="9">
        <f t="shared" si="6"/>
        <v>111</v>
      </c>
      <c r="D110" s="9" t="str">
        <f t="shared" ca="1" si="7"/>
        <v>#I2C_Expander_10:etap 4 złacze En_SPI_PCIE2</v>
      </c>
      <c r="F110" s="7" t="str">
        <f t="shared" si="8"/>
        <v>I2C_Expander_10!A111</v>
      </c>
    </row>
    <row r="111" spans="1:6" x14ac:dyDescent="0.25">
      <c r="A111" s="10" t="s">
        <v>426</v>
      </c>
      <c r="B111" s="10">
        <v>1</v>
      </c>
      <c r="C111" s="9">
        <f t="shared" si="6"/>
        <v>51</v>
      </c>
      <c r="D111" s="9" t="str">
        <f t="shared" ca="1" si="7"/>
        <v>#RadioCard_TETRA_Exp1:etap 1</v>
      </c>
      <c r="F111" s="7" t="str">
        <f t="shared" si="8"/>
        <v>RadioCard_TETRA_Exp1!A51</v>
      </c>
    </row>
    <row r="112" spans="1:6" x14ac:dyDescent="0.25">
      <c r="A112" s="10" t="s">
        <v>427</v>
      </c>
      <c r="B112" s="10">
        <v>1</v>
      </c>
      <c r="C112" s="9">
        <f t="shared" si="6"/>
        <v>51</v>
      </c>
      <c r="D112" s="9" t="str">
        <f t="shared" ca="1" si="7"/>
        <v>#RadioCard_TETRA_Exp1:etap 1</v>
      </c>
      <c r="F112" s="7" t="str">
        <f t="shared" si="8"/>
        <v>RadioCard_TETRA_Exp2!A51</v>
      </c>
    </row>
    <row r="113" spans="1:6" x14ac:dyDescent="0.25">
      <c r="A113" s="10" t="s">
        <v>426</v>
      </c>
      <c r="B113" s="10">
        <v>1</v>
      </c>
      <c r="C113" s="9">
        <f t="shared" si="6"/>
        <v>51</v>
      </c>
      <c r="D113" s="9" t="str">
        <f t="shared" ca="1" si="7"/>
        <v>#RadioCard_TETRA_Exp1:etap 1</v>
      </c>
      <c r="F113" s="7" t="str">
        <f t="shared" si="8"/>
        <v>RadioCard_TETRA_Exp1!A51</v>
      </c>
    </row>
    <row r="114" spans="1:6" x14ac:dyDescent="0.25">
      <c r="A114" s="10" t="s">
        <v>427</v>
      </c>
      <c r="B114" s="10">
        <v>2</v>
      </c>
      <c r="C114" s="9">
        <f t="shared" si="6"/>
        <v>71</v>
      </c>
      <c r="D114" s="9" t="str">
        <f t="shared" ca="1" si="7"/>
        <v>#RadioCard_TETRA_Exp1:etap 2</v>
      </c>
      <c r="F114" s="7" t="str">
        <f t="shared" si="8"/>
        <v>RadioCard_TETRA_Exp2!A71</v>
      </c>
    </row>
    <row r="115" spans="1:6" x14ac:dyDescent="0.25">
      <c r="A115" s="10" t="s">
        <v>426</v>
      </c>
      <c r="B115" s="10">
        <v>2</v>
      </c>
      <c r="C115" s="9">
        <f t="shared" si="6"/>
        <v>71</v>
      </c>
      <c r="D115" s="9" t="str">
        <f t="shared" ca="1" si="7"/>
        <v>#RadioCard_TETRA_Exp1:etap 2</v>
      </c>
      <c r="F115" s="7" t="str">
        <f t="shared" si="8"/>
        <v>RadioCard_TETRA_Exp1!A71</v>
      </c>
    </row>
    <row r="116" spans="1:6" x14ac:dyDescent="0.25">
      <c r="A116" s="10" t="s">
        <v>427</v>
      </c>
      <c r="B116" s="10">
        <v>4</v>
      </c>
      <c r="C116" s="9">
        <f t="shared" si="6"/>
        <v>111</v>
      </c>
      <c r="D116" s="9" t="str">
        <f t="shared" ca="1" si="7"/>
        <v>#RadioCard_TETRA_Exp1:etap 4- LMK</v>
      </c>
      <c r="F116" s="7" t="str">
        <f t="shared" si="8"/>
        <v>RadioCard_TETRA_Exp2!A111</v>
      </c>
    </row>
    <row r="117" spans="1:6" x14ac:dyDescent="0.25">
      <c r="A117" s="2" t="s">
        <v>428</v>
      </c>
      <c r="B117" s="10">
        <v>1</v>
      </c>
      <c r="C117" s="9">
        <f t="shared" si="6"/>
        <v>51</v>
      </c>
      <c r="D117" s="9" t="str">
        <f t="shared" ca="1" si="7"/>
        <v>#LMK04610_TETRA</v>
      </c>
      <c r="F117" s="7" t="str">
        <f t="shared" si="8"/>
        <v>RadioCard_TETRA_Devices!A51</v>
      </c>
    </row>
    <row r="118" spans="1:6" x14ac:dyDescent="0.25">
      <c r="A118" s="10" t="s">
        <v>427</v>
      </c>
      <c r="B118" s="10">
        <v>5</v>
      </c>
      <c r="C118" s="9">
        <f t="shared" si="6"/>
        <v>131</v>
      </c>
      <c r="D118" s="9" t="str">
        <f t="shared" ca="1" si="7"/>
        <v>#RadioCard_TETRA_Exp1:etap 5 LTC</v>
      </c>
      <c r="F118" s="7" t="str">
        <f t="shared" si="8"/>
        <v>RadioCard_TETRA_Exp2!A131</v>
      </c>
    </row>
    <row r="119" spans="1:6" x14ac:dyDescent="0.25">
      <c r="A119" s="2" t="s">
        <v>428</v>
      </c>
      <c r="B119" s="10">
        <v>0</v>
      </c>
      <c r="C119" s="9">
        <f t="shared" si="6"/>
        <v>31</v>
      </c>
      <c r="D119" s="9" t="str">
        <f t="shared" ca="1" si="7"/>
        <v>#LTC2122_TETRA</v>
      </c>
      <c r="F119" s="7" t="str">
        <f t="shared" si="8"/>
        <v>RadioCard_TETRA_Devices!A31</v>
      </c>
    </row>
    <row r="120" spans="1:6" x14ac:dyDescent="0.25">
      <c r="A120" s="10" t="s">
        <v>427</v>
      </c>
      <c r="B120" s="10">
        <v>3</v>
      </c>
      <c r="C120" s="9">
        <f t="shared" si="6"/>
        <v>91</v>
      </c>
      <c r="D120" s="9" t="str">
        <f t="shared" ca="1" si="7"/>
        <v>#RadioCard_TETRA_Exp1:etap 3</v>
      </c>
      <c r="F120" s="7" t="str">
        <f t="shared" si="8"/>
        <v>RadioCard_TETRA_Exp2!A91</v>
      </c>
    </row>
    <row r="121" spans="1:6" x14ac:dyDescent="0.25">
      <c r="A121" s="10" t="s">
        <v>203</v>
      </c>
      <c r="B121" s="10">
        <v>2</v>
      </c>
      <c r="C121" s="9">
        <f t="shared" si="6"/>
        <v>71</v>
      </c>
      <c r="D121" s="9" t="str">
        <f t="shared" ca="1" si="7"/>
        <v>#I2C_Expander_10:etap 2</v>
      </c>
      <c r="F121" s="7" t="str">
        <f t="shared" si="8"/>
        <v>I2C_Expander_10!A71</v>
      </c>
    </row>
    <row r="122" spans="1:6" x14ac:dyDescent="0.25">
      <c r="C122" s="9">
        <f t="shared" si="6"/>
        <v>31</v>
      </c>
      <c r="D122" s="9" t="e">
        <f t="shared" ca="1" si="7"/>
        <v>#REF!</v>
      </c>
      <c r="F122" s="7" t="str">
        <f t="shared" si="8"/>
        <v>!A31</v>
      </c>
    </row>
    <row r="123" spans="1:6" x14ac:dyDescent="0.25">
      <c r="A123" s="10" t="s">
        <v>429</v>
      </c>
      <c r="C123" s="9">
        <f t="shared" ref="C123:C186" si="9">20*B123+31</f>
        <v>31</v>
      </c>
      <c r="D123" s="9" t="e">
        <f t="shared" ref="D123:D186" ca="1" si="10">INDIRECT(ADDRESS(C123,1,4,1,A123))</f>
        <v>#REF!</v>
      </c>
      <c r="F123" s="7" t="str">
        <f t="shared" ref="F123:F186" si="11">ADDRESS(C123,1,4,1,A123)</f>
        <v>'karta 3 TETRA'!A31</v>
      </c>
    </row>
    <row r="124" spans="1:6" x14ac:dyDescent="0.25">
      <c r="A124" s="10" t="s">
        <v>69</v>
      </c>
      <c r="B124" s="10">
        <v>1</v>
      </c>
      <c r="C124" s="9">
        <f t="shared" si="9"/>
        <v>51</v>
      </c>
      <c r="D124" s="9" t="str">
        <f t="shared" ca="1" si="10"/>
        <v>#I2C_Bridge_GPIO:exp_group_0x</v>
      </c>
      <c r="F124" s="7" t="str">
        <f t="shared" si="11"/>
        <v>I2C_Bridge_GPIO!A51</v>
      </c>
    </row>
    <row r="125" spans="1:6" x14ac:dyDescent="0.25">
      <c r="A125" s="10" t="s">
        <v>112</v>
      </c>
      <c r="B125" s="10">
        <v>4</v>
      </c>
      <c r="C125" s="9">
        <f t="shared" si="9"/>
        <v>111</v>
      </c>
      <c r="D125" s="9" t="str">
        <f t="shared" ca="1" si="10"/>
        <v>#I2C_Bridge_PCIE:PCIE3</v>
      </c>
      <c r="F125" s="7" t="str">
        <f t="shared" si="11"/>
        <v>I2C_Bridge_PCIE!A111</v>
      </c>
    </row>
    <row r="126" spans="1:6" x14ac:dyDescent="0.25">
      <c r="A126" s="10" t="s">
        <v>202</v>
      </c>
      <c r="B126" s="10">
        <v>5</v>
      </c>
      <c r="C126" s="9">
        <f t="shared" si="9"/>
        <v>131</v>
      </c>
      <c r="D126" s="9" t="str">
        <f t="shared" ca="1" si="10"/>
        <v>#I2C_Expander_02:etap 5 En_SPI_PCIE3</v>
      </c>
      <c r="F126" s="7" t="str">
        <f t="shared" si="11"/>
        <v>I2C_Expander_02!A131</v>
      </c>
    </row>
    <row r="127" spans="1:6" x14ac:dyDescent="0.25">
      <c r="A127" s="10" t="s">
        <v>426</v>
      </c>
      <c r="B127" s="10">
        <v>1</v>
      </c>
      <c r="C127" s="9">
        <f t="shared" si="9"/>
        <v>51</v>
      </c>
      <c r="D127" s="9" t="str">
        <f t="shared" ca="1" si="10"/>
        <v>#RadioCard_TETRA_Exp1:etap 1</v>
      </c>
      <c r="F127" s="7" t="str">
        <f t="shared" si="11"/>
        <v>RadioCard_TETRA_Exp1!A51</v>
      </c>
    </row>
    <row r="128" spans="1:6" x14ac:dyDescent="0.25">
      <c r="A128" s="10" t="s">
        <v>427</v>
      </c>
      <c r="B128" s="10">
        <v>1</v>
      </c>
      <c r="C128" s="9">
        <f t="shared" si="9"/>
        <v>51</v>
      </c>
      <c r="D128" s="9" t="str">
        <f t="shared" ca="1" si="10"/>
        <v>#RadioCard_TETRA_Exp1:etap 1</v>
      </c>
      <c r="F128" s="7" t="str">
        <f t="shared" si="11"/>
        <v>RadioCard_TETRA_Exp2!A51</v>
      </c>
    </row>
    <row r="129" spans="1:6" x14ac:dyDescent="0.25">
      <c r="A129" s="10" t="s">
        <v>426</v>
      </c>
      <c r="B129" s="10">
        <v>1</v>
      </c>
      <c r="C129" s="9">
        <f t="shared" si="9"/>
        <v>51</v>
      </c>
      <c r="D129" s="9" t="str">
        <f t="shared" ca="1" si="10"/>
        <v>#RadioCard_TETRA_Exp1:etap 1</v>
      </c>
      <c r="F129" s="7" t="str">
        <f t="shared" si="11"/>
        <v>RadioCard_TETRA_Exp1!A51</v>
      </c>
    </row>
    <row r="130" spans="1:6" x14ac:dyDescent="0.25">
      <c r="A130" s="10" t="s">
        <v>427</v>
      </c>
      <c r="B130" s="10">
        <v>2</v>
      </c>
      <c r="C130" s="9">
        <f t="shared" si="9"/>
        <v>71</v>
      </c>
      <c r="D130" s="9" t="str">
        <f t="shared" ca="1" si="10"/>
        <v>#RadioCard_TETRA_Exp1:etap 2</v>
      </c>
      <c r="F130" s="7" t="str">
        <f t="shared" si="11"/>
        <v>RadioCard_TETRA_Exp2!A71</v>
      </c>
    </row>
    <row r="131" spans="1:6" x14ac:dyDescent="0.25">
      <c r="A131" s="10" t="s">
        <v>426</v>
      </c>
      <c r="B131" s="10">
        <v>2</v>
      </c>
      <c r="C131" s="9">
        <f t="shared" si="9"/>
        <v>71</v>
      </c>
      <c r="D131" s="9" t="str">
        <f t="shared" ca="1" si="10"/>
        <v>#RadioCard_TETRA_Exp1:etap 2</v>
      </c>
      <c r="F131" s="7" t="str">
        <f t="shared" si="11"/>
        <v>RadioCard_TETRA_Exp1!A71</v>
      </c>
    </row>
    <row r="132" spans="1:6" x14ac:dyDescent="0.25">
      <c r="A132" s="10" t="s">
        <v>427</v>
      </c>
      <c r="B132" s="10">
        <v>4</v>
      </c>
      <c r="C132" s="9">
        <f t="shared" si="9"/>
        <v>111</v>
      </c>
      <c r="D132" s="9" t="str">
        <f t="shared" ca="1" si="10"/>
        <v>#RadioCard_TETRA_Exp1:etap 4- LMK</v>
      </c>
      <c r="F132" s="7" t="str">
        <f t="shared" si="11"/>
        <v>RadioCard_TETRA_Exp2!A111</v>
      </c>
    </row>
    <row r="133" spans="1:6" x14ac:dyDescent="0.25">
      <c r="A133" s="2" t="s">
        <v>428</v>
      </c>
      <c r="B133" s="10">
        <v>1</v>
      </c>
      <c r="C133" s="9">
        <f t="shared" si="9"/>
        <v>51</v>
      </c>
      <c r="D133" s="9" t="str">
        <f t="shared" ca="1" si="10"/>
        <v>#LMK04610_TETRA</v>
      </c>
      <c r="F133" s="7" t="str">
        <f t="shared" si="11"/>
        <v>RadioCard_TETRA_Devices!A51</v>
      </c>
    </row>
    <row r="134" spans="1:6" x14ac:dyDescent="0.25">
      <c r="A134" s="10" t="s">
        <v>427</v>
      </c>
      <c r="B134" s="10">
        <v>5</v>
      </c>
      <c r="C134" s="9">
        <f t="shared" si="9"/>
        <v>131</v>
      </c>
      <c r="D134" s="9" t="str">
        <f t="shared" ca="1" si="10"/>
        <v>#RadioCard_TETRA_Exp1:etap 5 LTC</v>
      </c>
      <c r="F134" s="7" t="str">
        <f t="shared" si="11"/>
        <v>RadioCard_TETRA_Exp2!A131</v>
      </c>
    </row>
    <row r="135" spans="1:6" x14ac:dyDescent="0.25">
      <c r="A135" s="2" t="s">
        <v>428</v>
      </c>
      <c r="B135" s="10">
        <v>0</v>
      </c>
      <c r="C135" s="9">
        <f t="shared" si="9"/>
        <v>31</v>
      </c>
      <c r="D135" s="9" t="str">
        <f t="shared" ca="1" si="10"/>
        <v>#LTC2122_TETRA</v>
      </c>
      <c r="F135" s="7" t="str">
        <f t="shared" si="11"/>
        <v>RadioCard_TETRA_Devices!A31</v>
      </c>
    </row>
    <row r="136" spans="1:6" x14ac:dyDescent="0.25">
      <c r="A136" s="10" t="s">
        <v>427</v>
      </c>
      <c r="B136" s="10">
        <v>3</v>
      </c>
      <c r="C136" s="9">
        <f t="shared" si="9"/>
        <v>91</v>
      </c>
      <c r="D136" s="9" t="str">
        <f t="shared" ca="1" si="10"/>
        <v>#RadioCard_TETRA_Exp1:etap 3</v>
      </c>
      <c r="F136" s="7" t="str">
        <f t="shared" si="11"/>
        <v>RadioCard_TETRA_Exp2!A91</v>
      </c>
    </row>
    <row r="137" spans="1:6" x14ac:dyDescent="0.25">
      <c r="A137" s="10" t="s">
        <v>202</v>
      </c>
      <c r="B137" s="10">
        <v>2</v>
      </c>
      <c r="C137" s="9">
        <f t="shared" si="9"/>
        <v>71</v>
      </c>
      <c r="D137" s="9" t="str">
        <f t="shared" ca="1" si="10"/>
        <v>#I2C_Expander_02:etap 2</v>
      </c>
      <c r="F137" s="7" t="str">
        <f t="shared" si="11"/>
        <v>I2C_Expander_02!A71</v>
      </c>
    </row>
    <row r="138" spans="1:6" x14ac:dyDescent="0.25">
      <c r="C138" s="9">
        <f t="shared" si="9"/>
        <v>31</v>
      </c>
      <c r="D138" s="9" t="e">
        <f t="shared" ca="1" si="10"/>
        <v>#REF!</v>
      </c>
      <c r="F138" s="7" t="str">
        <f t="shared" si="11"/>
        <v>!A31</v>
      </c>
    </row>
    <row r="139" spans="1:6" x14ac:dyDescent="0.25">
      <c r="C139" s="9">
        <f t="shared" si="9"/>
        <v>31</v>
      </c>
      <c r="D139" s="9" t="e">
        <f t="shared" ca="1" si="10"/>
        <v>#REF!</v>
      </c>
      <c r="F139" s="7" t="str">
        <f t="shared" si="11"/>
        <v>!A31</v>
      </c>
    </row>
    <row r="140" spans="1:6" x14ac:dyDescent="0.25">
      <c r="A140" s="10" t="s">
        <v>432</v>
      </c>
      <c r="C140" s="9">
        <f t="shared" si="9"/>
        <v>31</v>
      </c>
      <c r="D140" s="9" t="e">
        <f t="shared" ca="1" si="10"/>
        <v>#REF!</v>
      </c>
      <c r="F140" s="7" t="str">
        <f t="shared" si="11"/>
        <v>'karta4 GNSS_L1'!A31</v>
      </c>
    </row>
    <row r="141" spans="1:6" x14ac:dyDescent="0.25">
      <c r="A141" s="10" t="s">
        <v>69</v>
      </c>
      <c r="B141" s="10">
        <v>2</v>
      </c>
      <c r="C141" s="9">
        <f t="shared" si="9"/>
        <v>71</v>
      </c>
      <c r="D141" s="9" t="str">
        <f t="shared" ca="1" si="10"/>
        <v>#I2C_Bridge_GPIO:exp_group_1x</v>
      </c>
      <c r="F141" s="7" t="str">
        <f t="shared" si="11"/>
        <v>I2C_Bridge_GPIO!A71</v>
      </c>
    </row>
    <row r="142" spans="1:6" x14ac:dyDescent="0.25">
      <c r="A142" s="10" t="s">
        <v>112</v>
      </c>
      <c r="B142" s="10">
        <v>5</v>
      </c>
      <c r="C142" s="9">
        <f t="shared" si="9"/>
        <v>131</v>
      </c>
      <c r="D142" s="9" t="str">
        <f t="shared" ca="1" si="10"/>
        <v>#I2C_Bridge_PCIE:PCIE4</v>
      </c>
      <c r="F142" s="7" t="str">
        <f t="shared" si="11"/>
        <v>I2C_Bridge_PCIE!A131</v>
      </c>
    </row>
    <row r="143" spans="1:6" x14ac:dyDescent="0.25">
      <c r="A143" s="10" t="s">
        <v>204</v>
      </c>
      <c r="B143" s="10">
        <v>7</v>
      </c>
      <c r="C143" s="9">
        <f t="shared" si="9"/>
        <v>171</v>
      </c>
      <c r="D143" s="9" t="str">
        <f t="shared" ca="1" si="10"/>
        <v>#I2C_Expander_11:etap 7 En_PCIE4</v>
      </c>
      <c r="F143" s="7" t="str">
        <f t="shared" si="11"/>
        <v>I2C_Expander_11!A171</v>
      </c>
    </row>
    <row r="144" spans="1:6" x14ac:dyDescent="0.25">
      <c r="A144" s="10" t="s">
        <v>426</v>
      </c>
      <c r="B144" s="10">
        <v>1</v>
      </c>
      <c r="C144" s="9">
        <f t="shared" si="9"/>
        <v>51</v>
      </c>
      <c r="D144" s="9" t="str">
        <f t="shared" ca="1" si="10"/>
        <v>#RadioCard_TETRA_Exp1:etap 1</v>
      </c>
      <c r="F144" s="7" t="str">
        <f t="shared" si="11"/>
        <v>RadioCard_TETRA_Exp1!A51</v>
      </c>
    </row>
    <row r="145" spans="1:6" x14ac:dyDescent="0.25">
      <c r="A145" s="10" t="s">
        <v>427</v>
      </c>
      <c r="B145" s="10">
        <v>1</v>
      </c>
      <c r="C145" s="9">
        <f t="shared" si="9"/>
        <v>51</v>
      </c>
      <c r="D145" s="9" t="str">
        <f t="shared" ca="1" si="10"/>
        <v>#RadioCard_TETRA_Exp1:etap 1</v>
      </c>
      <c r="F145" s="7" t="str">
        <f t="shared" si="11"/>
        <v>RadioCard_TETRA_Exp2!A51</v>
      </c>
    </row>
    <row r="146" spans="1:6" x14ac:dyDescent="0.25">
      <c r="A146" s="10" t="s">
        <v>426</v>
      </c>
      <c r="B146" s="10">
        <v>1</v>
      </c>
      <c r="C146" s="9">
        <f t="shared" si="9"/>
        <v>51</v>
      </c>
      <c r="D146" s="9" t="str">
        <f t="shared" ca="1" si="10"/>
        <v>#RadioCard_TETRA_Exp1:etap 1</v>
      </c>
      <c r="F146" s="7" t="str">
        <f t="shared" si="11"/>
        <v>RadioCard_TETRA_Exp1!A51</v>
      </c>
    </row>
    <row r="147" spans="1:6" x14ac:dyDescent="0.25">
      <c r="A147" s="10" t="s">
        <v>427</v>
      </c>
      <c r="B147" s="10">
        <v>2</v>
      </c>
      <c r="C147" s="9">
        <f t="shared" si="9"/>
        <v>71</v>
      </c>
      <c r="D147" s="9" t="str">
        <f t="shared" ca="1" si="10"/>
        <v>#RadioCard_TETRA_Exp1:etap 2</v>
      </c>
      <c r="F147" s="7" t="str">
        <f t="shared" si="11"/>
        <v>RadioCard_TETRA_Exp2!A71</v>
      </c>
    </row>
    <row r="148" spans="1:6" x14ac:dyDescent="0.25">
      <c r="A148" s="10" t="s">
        <v>426</v>
      </c>
      <c r="B148" s="10">
        <v>2</v>
      </c>
      <c r="C148" s="9">
        <f t="shared" si="9"/>
        <v>71</v>
      </c>
      <c r="D148" s="9" t="str">
        <f t="shared" ca="1" si="10"/>
        <v>#RadioCard_TETRA_Exp1:etap 2</v>
      </c>
      <c r="F148" s="7" t="str">
        <f t="shared" si="11"/>
        <v>RadioCard_TETRA_Exp1!A71</v>
      </c>
    </row>
    <row r="149" spans="1:6" x14ac:dyDescent="0.25">
      <c r="A149" s="10" t="s">
        <v>427</v>
      </c>
      <c r="B149" s="10">
        <v>4</v>
      </c>
      <c r="C149" s="9">
        <f t="shared" si="9"/>
        <v>111</v>
      </c>
      <c r="D149" s="9" t="str">
        <f t="shared" ca="1" si="10"/>
        <v>#RadioCard_TETRA_Exp1:etap 4- LMK</v>
      </c>
      <c r="F149" s="7" t="str">
        <f t="shared" si="11"/>
        <v>RadioCard_TETRA_Exp2!A111</v>
      </c>
    </row>
    <row r="150" spans="1:6" x14ac:dyDescent="0.25">
      <c r="A150" s="2" t="s">
        <v>428</v>
      </c>
      <c r="B150" s="10">
        <v>1</v>
      </c>
      <c r="C150" s="9">
        <f t="shared" si="9"/>
        <v>51</v>
      </c>
      <c r="D150" s="9" t="str">
        <f t="shared" ca="1" si="10"/>
        <v>#LMK04610_TETRA</v>
      </c>
      <c r="F150" s="7" t="str">
        <f t="shared" si="11"/>
        <v>RadioCard_TETRA_Devices!A51</v>
      </c>
    </row>
    <row r="151" spans="1:6" x14ac:dyDescent="0.25">
      <c r="A151" s="10" t="s">
        <v>427</v>
      </c>
      <c r="B151" s="10">
        <v>5</v>
      </c>
      <c r="C151" s="9">
        <f t="shared" si="9"/>
        <v>131</v>
      </c>
      <c r="D151" s="9" t="str">
        <f t="shared" ca="1" si="10"/>
        <v>#RadioCard_TETRA_Exp1:etap 5 LTC</v>
      </c>
      <c r="F151" s="7" t="str">
        <f t="shared" si="11"/>
        <v>RadioCard_TETRA_Exp2!A131</v>
      </c>
    </row>
    <row r="152" spans="1:6" x14ac:dyDescent="0.25">
      <c r="A152" s="2" t="s">
        <v>428</v>
      </c>
      <c r="B152" s="10">
        <v>0</v>
      </c>
      <c r="C152" s="9">
        <f t="shared" si="9"/>
        <v>31</v>
      </c>
      <c r="D152" s="9" t="str">
        <f t="shared" ca="1" si="10"/>
        <v>#LTC2122_TETRA</v>
      </c>
      <c r="F152" s="7" t="str">
        <f t="shared" si="11"/>
        <v>RadioCard_TETRA_Devices!A31</v>
      </c>
    </row>
    <row r="153" spans="1:6" x14ac:dyDescent="0.25">
      <c r="A153" s="10" t="s">
        <v>427</v>
      </c>
      <c r="B153" s="10">
        <v>3</v>
      </c>
      <c r="C153" s="9">
        <f t="shared" si="9"/>
        <v>91</v>
      </c>
      <c r="D153" s="9" t="str">
        <f t="shared" ca="1" si="10"/>
        <v>#RadioCard_TETRA_Exp1:etap 3</v>
      </c>
      <c r="F153" s="7" t="str">
        <f t="shared" si="11"/>
        <v>RadioCard_TETRA_Exp2!A91</v>
      </c>
    </row>
    <row r="154" spans="1:6" x14ac:dyDescent="0.25">
      <c r="A154" s="10" t="s">
        <v>204</v>
      </c>
      <c r="B154" s="10">
        <v>5</v>
      </c>
      <c r="C154" s="9">
        <f t="shared" si="9"/>
        <v>131</v>
      </c>
      <c r="D154" s="9" t="str">
        <f t="shared" ca="1" si="10"/>
        <v>#I2C_Expander_11:etap 5- Karty</v>
      </c>
      <c r="F154" s="7" t="str">
        <f t="shared" si="11"/>
        <v>I2C_Expander_11!A131</v>
      </c>
    </row>
    <row r="155" spans="1:6" x14ac:dyDescent="0.25">
      <c r="C155" s="9">
        <f t="shared" si="9"/>
        <v>31</v>
      </c>
      <c r="D155" s="9" t="e">
        <f t="shared" ca="1" si="10"/>
        <v>#REF!</v>
      </c>
      <c r="F155" s="7" t="str">
        <f t="shared" si="11"/>
        <v>!A31</v>
      </c>
    </row>
    <row r="156" spans="1:6" x14ac:dyDescent="0.25">
      <c r="A156" s="10" t="s">
        <v>69</v>
      </c>
      <c r="B156" s="10">
        <v>0</v>
      </c>
      <c r="C156" s="9">
        <f t="shared" si="9"/>
        <v>31</v>
      </c>
      <c r="D156" s="9" t="str">
        <f t="shared" ca="1" si="10"/>
        <v>#I2C_Bridge_GPIO:wylacz</v>
      </c>
      <c r="F156" s="7" t="str">
        <f t="shared" si="11"/>
        <v>I2C_Bridge_GPIO!A31</v>
      </c>
    </row>
    <row r="157" spans="1:6" x14ac:dyDescent="0.25">
      <c r="C157" s="9">
        <f t="shared" si="9"/>
        <v>31</v>
      </c>
      <c r="D157" s="9" t="e">
        <f t="shared" ca="1" si="10"/>
        <v>#REF!</v>
      </c>
      <c r="F157" s="7" t="str">
        <f t="shared" si="11"/>
        <v>!A31</v>
      </c>
    </row>
    <row r="158" spans="1:6" x14ac:dyDescent="0.25">
      <c r="C158" s="9">
        <f t="shared" si="9"/>
        <v>31</v>
      </c>
      <c r="D158" s="9" t="e">
        <f t="shared" ca="1" si="10"/>
        <v>#REF!</v>
      </c>
      <c r="F158" s="7" t="str">
        <f t="shared" si="11"/>
        <v>!A31</v>
      </c>
    </row>
    <row r="159" spans="1:6" x14ac:dyDescent="0.25">
      <c r="C159" s="9">
        <f t="shared" si="9"/>
        <v>31</v>
      </c>
      <c r="D159" s="9" t="e">
        <f t="shared" ca="1" si="10"/>
        <v>#REF!</v>
      </c>
      <c r="F159" s="7" t="str">
        <f t="shared" si="11"/>
        <v>!A31</v>
      </c>
    </row>
    <row r="160" spans="1:6" x14ac:dyDescent="0.25">
      <c r="C160" s="9">
        <f t="shared" si="9"/>
        <v>31</v>
      </c>
      <c r="D160" s="9" t="e">
        <f t="shared" ca="1" si="10"/>
        <v>#REF!</v>
      </c>
      <c r="F160" s="7" t="str">
        <f t="shared" si="11"/>
        <v>!A31</v>
      </c>
    </row>
    <row r="161" spans="3:6" x14ac:dyDescent="0.25">
      <c r="C161" s="9">
        <f t="shared" si="9"/>
        <v>31</v>
      </c>
      <c r="D161" s="9" t="e">
        <f t="shared" ca="1" si="10"/>
        <v>#REF!</v>
      </c>
      <c r="F161" s="7" t="str">
        <f t="shared" si="11"/>
        <v>!A31</v>
      </c>
    </row>
    <row r="162" spans="3:6" x14ac:dyDescent="0.25">
      <c r="C162" s="9">
        <f t="shared" si="9"/>
        <v>31</v>
      </c>
      <c r="D162" s="9" t="e">
        <f t="shared" ca="1" si="10"/>
        <v>#REF!</v>
      </c>
      <c r="F162" s="7" t="str">
        <f t="shared" si="11"/>
        <v>!A31</v>
      </c>
    </row>
    <row r="163" spans="3:6" x14ac:dyDescent="0.25">
      <c r="C163" s="9">
        <f t="shared" si="9"/>
        <v>31</v>
      </c>
      <c r="D163" s="9" t="e">
        <f t="shared" ca="1" si="10"/>
        <v>#REF!</v>
      </c>
      <c r="F163" s="7" t="str">
        <f t="shared" si="11"/>
        <v>!A31</v>
      </c>
    </row>
    <row r="164" spans="3:6" x14ac:dyDescent="0.25">
      <c r="C164" s="9">
        <f t="shared" si="9"/>
        <v>31</v>
      </c>
      <c r="D164" s="9" t="e">
        <f t="shared" ca="1" si="10"/>
        <v>#REF!</v>
      </c>
      <c r="F164" s="7" t="str">
        <f t="shared" si="11"/>
        <v>!A31</v>
      </c>
    </row>
    <row r="165" spans="3:6" x14ac:dyDescent="0.25">
      <c r="C165" s="9">
        <f t="shared" si="9"/>
        <v>31</v>
      </c>
      <c r="D165" s="9" t="e">
        <f t="shared" ca="1" si="10"/>
        <v>#REF!</v>
      </c>
      <c r="F165" s="7" t="str">
        <f t="shared" si="11"/>
        <v>!A31</v>
      </c>
    </row>
    <row r="166" spans="3:6" x14ac:dyDescent="0.25">
      <c r="C166" s="9">
        <f t="shared" si="9"/>
        <v>31</v>
      </c>
      <c r="D166" s="9" t="e">
        <f t="shared" ca="1" si="10"/>
        <v>#REF!</v>
      </c>
      <c r="F166" s="7" t="str">
        <f t="shared" si="11"/>
        <v>!A31</v>
      </c>
    </row>
    <row r="167" spans="3:6" x14ac:dyDescent="0.25">
      <c r="C167" s="9">
        <f t="shared" si="9"/>
        <v>31</v>
      </c>
      <c r="D167" s="9" t="e">
        <f t="shared" ca="1" si="10"/>
        <v>#REF!</v>
      </c>
      <c r="F167" s="7" t="str">
        <f t="shared" si="11"/>
        <v>!A31</v>
      </c>
    </row>
    <row r="168" spans="3:6" x14ac:dyDescent="0.25">
      <c r="C168" s="9">
        <f t="shared" si="9"/>
        <v>31</v>
      </c>
      <c r="D168" s="9" t="e">
        <f t="shared" ca="1" si="10"/>
        <v>#REF!</v>
      </c>
      <c r="F168" s="7" t="str">
        <f t="shared" si="11"/>
        <v>!A31</v>
      </c>
    </row>
    <row r="169" spans="3:6" x14ac:dyDescent="0.25">
      <c r="C169" s="9">
        <f t="shared" si="9"/>
        <v>31</v>
      </c>
      <c r="D169" s="9" t="e">
        <f t="shared" ca="1" si="10"/>
        <v>#REF!</v>
      </c>
      <c r="F169" s="7" t="str">
        <f t="shared" si="11"/>
        <v>!A31</v>
      </c>
    </row>
    <row r="170" spans="3:6" x14ac:dyDescent="0.25">
      <c r="C170" s="9">
        <f t="shared" si="9"/>
        <v>31</v>
      </c>
      <c r="D170" s="9" t="e">
        <f t="shared" ca="1" si="10"/>
        <v>#REF!</v>
      </c>
      <c r="F170" s="7" t="str">
        <f t="shared" si="11"/>
        <v>!A31</v>
      </c>
    </row>
    <row r="171" spans="3:6" x14ac:dyDescent="0.25">
      <c r="C171" s="9">
        <f t="shared" si="9"/>
        <v>31</v>
      </c>
      <c r="D171" s="9" t="e">
        <f t="shared" ca="1" si="10"/>
        <v>#REF!</v>
      </c>
      <c r="F171" s="7" t="str">
        <f t="shared" si="11"/>
        <v>!A31</v>
      </c>
    </row>
    <row r="172" spans="3:6" x14ac:dyDescent="0.25">
      <c r="C172" s="9">
        <f t="shared" si="9"/>
        <v>31</v>
      </c>
      <c r="D172" s="9" t="e">
        <f t="shared" ca="1" si="10"/>
        <v>#REF!</v>
      </c>
      <c r="F172" s="7" t="str">
        <f t="shared" si="11"/>
        <v>!A31</v>
      </c>
    </row>
    <row r="173" spans="3:6" x14ac:dyDescent="0.25">
      <c r="C173" s="9">
        <f t="shared" si="9"/>
        <v>31</v>
      </c>
      <c r="D173" s="9" t="e">
        <f t="shared" ca="1" si="10"/>
        <v>#REF!</v>
      </c>
      <c r="F173" s="7" t="str">
        <f t="shared" si="11"/>
        <v>!A31</v>
      </c>
    </row>
    <row r="174" spans="3:6" x14ac:dyDescent="0.25">
      <c r="C174" s="9">
        <f t="shared" si="9"/>
        <v>31</v>
      </c>
      <c r="D174" s="9" t="e">
        <f t="shared" ca="1" si="10"/>
        <v>#REF!</v>
      </c>
      <c r="F174" s="7" t="str">
        <f t="shared" si="11"/>
        <v>!A31</v>
      </c>
    </row>
    <row r="175" spans="3:6" x14ac:dyDescent="0.25">
      <c r="C175" s="9">
        <f t="shared" si="9"/>
        <v>31</v>
      </c>
      <c r="D175" s="9" t="e">
        <f t="shared" ca="1" si="10"/>
        <v>#REF!</v>
      </c>
      <c r="F175" s="7" t="str">
        <f t="shared" si="11"/>
        <v>!A31</v>
      </c>
    </row>
    <row r="176" spans="3:6" x14ac:dyDescent="0.25">
      <c r="C176" s="9">
        <f t="shared" si="9"/>
        <v>31</v>
      </c>
      <c r="D176" s="9" t="e">
        <f t="shared" ca="1" si="10"/>
        <v>#REF!</v>
      </c>
      <c r="F176" s="7" t="str">
        <f t="shared" si="11"/>
        <v>!A31</v>
      </c>
    </row>
    <row r="177" spans="3:6" x14ac:dyDescent="0.25">
      <c r="C177" s="9">
        <f t="shared" si="9"/>
        <v>31</v>
      </c>
      <c r="D177" s="9" t="e">
        <f t="shared" ca="1" si="10"/>
        <v>#REF!</v>
      </c>
      <c r="F177" s="7" t="str">
        <f t="shared" si="11"/>
        <v>!A31</v>
      </c>
    </row>
    <row r="178" spans="3:6" x14ac:dyDescent="0.25">
      <c r="C178" s="9">
        <f t="shared" si="9"/>
        <v>31</v>
      </c>
      <c r="D178" s="9" t="e">
        <f t="shared" ca="1" si="10"/>
        <v>#REF!</v>
      </c>
      <c r="F178" s="7" t="str">
        <f t="shared" si="11"/>
        <v>!A31</v>
      </c>
    </row>
    <row r="179" spans="3:6" x14ac:dyDescent="0.25">
      <c r="C179" s="9">
        <f t="shared" si="9"/>
        <v>31</v>
      </c>
      <c r="D179" s="9" t="e">
        <f t="shared" ca="1" si="10"/>
        <v>#REF!</v>
      </c>
      <c r="F179" s="7" t="str">
        <f t="shared" si="11"/>
        <v>!A31</v>
      </c>
    </row>
    <row r="180" spans="3:6" x14ac:dyDescent="0.25">
      <c r="C180" s="9">
        <f t="shared" si="9"/>
        <v>31</v>
      </c>
      <c r="D180" s="9" t="e">
        <f t="shared" ca="1" si="10"/>
        <v>#REF!</v>
      </c>
      <c r="F180" s="7" t="str">
        <f t="shared" si="11"/>
        <v>!A31</v>
      </c>
    </row>
    <row r="181" spans="3:6" x14ac:dyDescent="0.25">
      <c r="C181" s="9">
        <f t="shared" si="9"/>
        <v>31</v>
      </c>
      <c r="D181" s="9" t="e">
        <f t="shared" ca="1" si="10"/>
        <v>#REF!</v>
      </c>
      <c r="F181" s="7" t="str">
        <f t="shared" si="11"/>
        <v>!A31</v>
      </c>
    </row>
    <row r="182" spans="3:6" x14ac:dyDescent="0.25">
      <c r="C182" s="9">
        <f t="shared" si="9"/>
        <v>31</v>
      </c>
      <c r="D182" s="9" t="e">
        <f t="shared" ca="1" si="10"/>
        <v>#REF!</v>
      </c>
      <c r="F182" s="7" t="str">
        <f t="shared" si="11"/>
        <v>!A31</v>
      </c>
    </row>
    <row r="183" spans="3:6" x14ac:dyDescent="0.25">
      <c r="C183" s="9">
        <f t="shared" si="9"/>
        <v>31</v>
      </c>
      <c r="D183" s="9" t="e">
        <f t="shared" ca="1" si="10"/>
        <v>#REF!</v>
      </c>
      <c r="F183" s="7" t="str">
        <f t="shared" si="11"/>
        <v>!A31</v>
      </c>
    </row>
    <row r="184" spans="3:6" x14ac:dyDescent="0.25">
      <c r="C184" s="9">
        <f t="shared" si="9"/>
        <v>31</v>
      </c>
      <c r="D184" s="9" t="e">
        <f t="shared" ca="1" si="10"/>
        <v>#REF!</v>
      </c>
      <c r="F184" s="7" t="str">
        <f t="shared" si="11"/>
        <v>!A31</v>
      </c>
    </row>
    <row r="185" spans="3:6" x14ac:dyDescent="0.25">
      <c r="C185" s="9">
        <f t="shared" si="9"/>
        <v>31</v>
      </c>
      <c r="D185" s="9" t="e">
        <f t="shared" ca="1" si="10"/>
        <v>#REF!</v>
      </c>
      <c r="F185" s="7" t="str">
        <f t="shared" si="11"/>
        <v>!A31</v>
      </c>
    </row>
    <row r="186" spans="3:6" x14ac:dyDescent="0.25">
      <c r="C186" s="9">
        <f t="shared" si="9"/>
        <v>31</v>
      </c>
      <c r="D186" s="9" t="e">
        <f t="shared" ca="1" si="10"/>
        <v>#REF!</v>
      </c>
      <c r="F186" s="7" t="str">
        <f t="shared" si="11"/>
        <v>!A31</v>
      </c>
    </row>
    <row r="187" spans="3:6" x14ac:dyDescent="0.25">
      <c r="C187" s="9">
        <f t="shared" ref="C187:C250" si="12">20*B187+31</f>
        <v>31</v>
      </c>
      <c r="D187" s="9" t="e">
        <f t="shared" ref="D187:D250" ca="1" si="13">INDIRECT(ADDRESS(C187,1,4,1,A187))</f>
        <v>#REF!</v>
      </c>
      <c r="F187" s="7" t="str">
        <f t="shared" ref="F187:F250" si="14">ADDRESS(C187,1,4,1,A187)</f>
        <v>!A31</v>
      </c>
    </row>
    <row r="188" spans="3:6" x14ac:dyDescent="0.25">
      <c r="C188" s="9">
        <f t="shared" si="12"/>
        <v>31</v>
      </c>
      <c r="D188" s="9" t="e">
        <f t="shared" ca="1" si="13"/>
        <v>#REF!</v>
      </c>
      <c r="F188" s="7" t="str">
        <f t="shared" si="14"/>
        <v>!A31</v>
      </c>
    </row>
    <row r="189" spans="3:6" x14ac:dyDescent="0.25">
      <c r="C189" s="9">
        <f t="shared" si="12"/>
        <v>31</v>
      </c>
      <c r="D189" s="9" t="e">
        <f t="shared" ca="1" si="13"/>
        <v>#REF!</v>
      </c>
      <c r="F189" s="7" t="str">
        <f t="shared" si="14"/>
        <v>!A31</v>
      </c>
    </row>
    <row r="190" spans="3:6" x14ac:dyDescent="0.25">
      <c r="C190" s="9">
        <f t="shared" si="12"/>
        <v>31</v>
      </c>
      <c r="D190" s="9" t="e">
        <f t="shared" ca="1" si="13"/>
        <v>#REF!</v>
      </c>
      <c r="F190" s="7" t="str">
        <f t="shared" si="14"/>
        <v>!A31</v>
      </c>
    </row>
    <row r="191" spans="3:6" x14ac:dyDescent="0.25">
      <c r="C191" s="9">
        <f t="shared" si="12"/>
        <v>31</v>
      </c>
      <c r="D191" s="9" t="e">
        <f t="shared" ca="1" si="13"/>
        <v>#REF!</v>
      </c>
      <c r="F191" s="7" t="str">
        <f t="shared" si="14"/>
        <v>!A31</v>
      </c>
    </row>
    <row r="192" spans="3:6" x14ac:dyDescent="0.25">
      <c r="C192" s="9">
        <f t="shared" si="12"/>
        <v>31</v>
      </c>
      <c r="D192" s="9" t="e">
        <f t="shared" ca="1" si="13"/>
        <v>#REF!</v>
      </c>
      <c r="F192" s="7" t="str">
        <f t="shared" si="14"/>
        <v>!A31</v>
      </c>
    </row>
    <row r="193" spans="3:6" x14ac:dyDescent="0.25">
      <c r="C193" s="9">
        <f t="shared" si="12"/>
        <v>31</v>
      </c>
      <c r="D193" s="9" t="e">
        <f t="shared" ca="1" si="13"/>
        <v>#REF!</v>
      </c>
      <c r="F193" s="7" t="str">
        <f t="shared" si="14"/>
        <v>!A31</v>
      </c>
    </row>
    <row r="194" spans="3:6" x14ac:dyDescent="0.25">
      <c r="C194" s="9">
        <f t="shared" si="12"/>
        <v>31</v>
      </c>
      <c r="D194" s="9" t="e">
        <f t="shared" ca="1" si="13"/>
        <v>#REF!</v>
      </c>
      <c r="F194" s="7" t="str">
        <f t="shared" si="14"/>
        <v>!A31</v>
      </c>
    </row>
    <row r="195" spans="3:6" x14ac:dyDescent="0.25">
      <c r="C195" s="9">
        <f t="shared" si="12"/>
        <v>31</v>
      </c>
      <c r="D195" s="9" t="e">
        <f t="shared" ca="1" si="13"/>
        <v>#REF!</v>
      </c>
      <c r="F195" s="7" t="str">
        <f t="shared" si="14"/>
        <v>!A31</v>
      </c>
    </row>
    <row r="196" spans="3:6" x14ac:dyDescent="0.25">
      <c r="C196" s="9">
        <f t="shared" si="12"/>
        <v>31</v>
      </c>
      <c r="D196" s="9" t="e">
        <f t="shared" ca="1" si="13"/>
        <v>#REF!</v>
      </c>
      <c r="F196" s="7" t="str">
        <f t="shared" si="14"/>
        <v>!A31</v>
      </c>
    </row>
    <row r="197" spans="3:6" x14ac:dyDescent="0.25">
      <c r="C197" s="9">
        <f t="shared" si="12"/>
        <v>31</v>
      </c>
      <c r="D197" s="9" t="e">
        <f t="shared" ca="1" si="13"/>
        <v>#REF!</v>
      </c>
      <c r="F197" s="7" t="str">
        <f t="shared" si="14"/>
        <v>!A31</v>
      </c>
    </row>
    <row r="198" spans="3:6" x14ac:dyDescent="0.25">
      <c r="C198" s="9">
        <f t="shared" si="12"/>
        <v>31</v>
      </c>
      <c r="D198" s="9" t="e">
        <f t="shared" ca="1" si="13"/>
        <v>#REF!</v>
      </c>
      <c r="F198" s="7" t="str">
        <f t="shared" si="14"/>
        <v>!A31</v>
      </c>
    </row>
    <row r="199" spans="3:6" x14ac:dyDescent="0.25">
      <c r="C199" s="9">
        <f t="shared" si="12"/>
        <v>31</v>
      </c>
      <c r="D199" s="9" t="e">
        <f t="shared" ca="1" si="13"/>
        <v>#REF!</v>
      </c>
      <c r="F199" s="7" t="str">
        <f t="shared" si="14"/>
        <v>!A31</v>
      </c>
    </row>
    <row r="200" spans="3:6" x14ac:dyDescent="0.25">
      <c r="C200" s="9">
        <f t="shared" si="12"/>
        <v>31</v>
      </c>
      <c r="D200" s="9" t="e">
        <f t="shared" ca="1" si="13"/>
        <v>#REF!</v>
      </c>
      <c r="F200" s="7" t="str">
        <f t="shared" si="14"/>
        <v>!A31</v>
      </c>
    </row>
    <row r="201" spans="3:6" x14ac:dyDescent="0.25">
      <c r="C201" s="9">
        <f t="shared" si="12"/>
        <v>31</v>
      </c>
      <c r="D201" s="9" t="e">
        <f t="shared" ca="1" si="13"/>
        <v>#REF!</v>
      </c>
      <c r="F201" s="7" t="str">
        <f t="shared" si="14"/>
        <v>!A31</v>
      </c>
    </row>
    <row r="202" spans="3:6" x14ac:dyDescent="0.25">
      <c r="C202" s="9">
        <f t="shared" si="12"/>
        <v>31</v>
      </c>
      <c r="D202" s="9" t="e">
        <f t="shared" ca="1" si="13"/>
        <v>#REF!</v>
      </c>
      <c r="F202" s="7" t="str">
        <f t="shared" si="14"/>
        <v>!A31</v>
      </c>
    </row>
    <row r="203" spans="3:6" x14ac:dyDescent="0.25">
      <c r="C203" s="9">
        <f t="shared" si="12"/>
        <v>31</v>
      </c>
      <c r="D203" s="9" t="e">
        <f t="shared" ca="1" si="13"/>
        <v>#REF!</v>
      </c>
      <c r="F203" s="7" t="str">
        <f t="shared" si="14"/>
        <v>!A31</v>
      </c>
    </row>
    <row r="204" spans="3:6" x14ac:dyDescent="0.25">
      <c r="C204" s="9">
        <f t="shared" si="12"/>
        <v>31</v>
      </c>
      <c r="D204" s="9" t="e">
        <f t="shared" ca="1" si="13"/>
        <v>#REF!</v>
      </c>
      <c r="F204" s="7" t="str">
        <f t="shared" si="14"/>
        <v>!A31</v>
      </c>
    </row>
    <row r="205" spans="3:6" x14ac:dyDescent="0.25">
      <c r="C205" s="9">
        <f t="shared" si="12"/>
        <v>31</v>
      </c>
      <c r="D205" s="9" t="e">
        <f t="shared" ca="1" si="13"/>
        <v>#REF!</v>
      </c>
      <c r="F205" s="7" t="str">
        <f t="shared" si="14"/>
        <v>!A31</v>
      </c>
    </row>
    <row r="206" spans="3:6" x14ac:dyDescent="0.25">
      <c r="C206" s="9">
        <f t="shared" si="12"/>
        <v>31</v>
      </c>
      <c r="D206" s="9" t="e">
        <f t="shared" ca="1" si="13"/>
        <v>#REF!</v>
      </c>
      <c r="F206" s="7" t="str">
        <f t="shared" si="14"/>
        <v>!A31</v>
      </c>
    </row>
    <row r="207" spans="3:6" x14ac:dyDescent="0.25">
      <c r="C207" s="9">
        <f t="shared" si="12"/>
        <v>31</v>
      </c>
      <c r="D207" s="9" t="e">
        <f t="shared" ca="1" si="13"/>
        <v>#REF!</v>
      </c>
      <c r="F207" s="7" t="str">
        <f t="shared" si="14"/>
        <v>!A31</v>
      </c>
    </row>
    <row r="208" spans="3:6" x14ac:dyDescent="0.25">
      <c r="C208" s="9">
        <f t="shared" si="12"/>
        <v>31</v>
      </c>
      <c r="D208" s="9" t="e">
        <f t="shared" ca="1" si="13"/>
        <v>#REF!</v>
      </c>
      <c r="F208" s="7" t="str">
        <f t="shared" si="14"/>
        <v>!A31</v>
      </c>
    </row>
    <row r="209" spans="3:6" x14ac:dyDescent="0.25">
      <c r="C209" s="9">
        <f t="shared" si="12"/>
        <v>31</v>
      </c>
      <c r="D209" s="9" t="e">
        <f t="shared" ca="1" si="13"/>
        <v>#REF!</v>
      </c>
      <c r="F209" s="7" t="str">
        <f t="shared" si="14"/>
        <v>!A31</v>
      </c>
    </row>
    <row r="210" spans="3:6" x14ac:dyDescent="0.25">
      <c r="C210" s="9">
        <f t="shared" si="12"/>
        <v>31</v>
      </c>
      <c r="D210" s="9" t="e">
        <f t="shared" ca="1" si="13"/>
        <v>#REF!</v>
      </c>
      <c r="F210" s="7" t="str">
        <f t="shared" si="14"/>
        <v>!A31</v>
      </c>
    </row>
    <row r="211" spans="3:6" x14ac:dyDescent="0.25">
      <c r="C211" s="9">
        <f t="shared" si="12"/>
        <v>31</v>
      </c>
      <c r="D211" s="9" t="e">
        <f t="shared" ca="1" si="13"/>
        <v>#REF!</v>
      </c>
      <c r="F211" s="7" t="str">
        <f t="shared" si="14"/>
        <v>!A31</v>
      </c>
    </row>
    <row r="212" spans="3:6" x14ac:dyDescent="0.25">
      <c r="C212" s="9">
        <f t="shared" si="12"/>
        <v>31</v>
      </c>
      <c r="D212" s="9" t="e">
        <f t="shared" ca="1" si="13"/>
        <v>#REF!</v>
      </c>
      <c r="F212" s="7" t="str">
        <f t="shared" si="14"/>
        <v>!A31</v>
      </c>
    </row>
    <row r="213" spans="3:6" x14ac:dyDescent="0.25">
      <c r="C213" s="9">
        <f t="shared" si="12"/>
        <v>31</v>
      </c>
      <c r="D213" s="9" t="e">
        <f t="shared" ca="1" si="13"/>
        <v>#REF!</v>
      </c>
      <c r="F213" s="7" t="str">
        <f t="shared" si="14"/>
        <v>!A31</v>
      </c>
    </row>
    <row r="214" spans="3:6" x14ac:dyDescent="0.25">
      <c r="C214" s="9">
        <f t="shared" si="12"/>
        <v>31</v>
      </c>
      <c r="D214" s="9" t="e">
        <f t="shared" ca="1" si="13"/>
        <v>#REF!</v>
      </c>
      <c r="F214" s="7" t="str">
        <f t="shared" si="14"/>
        <v>!A31</v>
      </c>
    </row>
    <row r="215" spans="3:6" x14ac:dyDescent="0.25">
      <c r="C215" s="9">
        <f t="shared" si="12"/>
        <v>31</v>
      </c>
      <c r="D215" s="9" t="e">
        <f t="shared" ca="1" si="13"/>
        <v>#REF!</v>
      </c>
      <c r="F215" s="7" t="str">
        <f t="shared" si="14"/>
        <v>!A31</v>
      </c>
    </row>
    <row r="216" spans="3:6" x14ac:dyDescent="0.25">
      <c r="C216" s="9">
        <f t="shared" si="12"/>
        <v>31</v>
      </c>
      <c r="D216" s="9" t="e">
        <f t="shared" ca="1" si="13"/>
        <v>#REF!</v>
      </c>
      <c r="F216" s="7" t="str">
        <f t="shared" si="14"/>
        <v>!A31</v>
      </c>
    </row>
    <row r="217" spans="3:6" x14ac:dyDescent="0.25">
      <c r="C217" s="9">
        <f t="shared" si="12"/>
        <v>31</v>
      </c>
      <c r="D217" s="9" t="e">
        <f t="shared" ca="1" si="13"/>
        <v>#REF!</v>
      </c>
      <c r="F217" s="7" t="str">
        <f t="shared" si="14"/>
        <v>!A31</v>
      </c>
    </row>
    <row r="218" spans="3:6" x14ac:dyDescent="0.25">
      <c r="C218" s="9">
        <f t="shared" si="12"/>
        <v>31</v>
      </c>
      <c r="D218" s="9" t="e">
        <f t="shared" ca="1" si="13"/>
        <v>#REF!</v>
      </c>
      <c r="F218" s="7" t="str">
        <f t="shared" si="14"/>
        <v>!A31</v>
      </c>
    </row>
    <row r="219" spans="3:6" x14ac:dyDescent="0.25">
      <c r="C219" s="9">
        <f t="shared" si="12"/>
        <v>31</v>
      </c>
      <c r="D219" s="9" t="e">
        <f t="shared" ca="1" si="13"/>
        <v>#REF!</v>
      </c>
      <c r="F219" s="7" t="str">
        <f t="shared" si="14"/>
        <v>!A31</v>
      </c>
    </row>
    <row r="220" spans="3:6" x14ac:dyDescent="0.25">
      <c r="C220" s="9">
        <f t="shared" si="12"/>
        <v>31</v>
      </c>
      <c r="D220" s="9" t="e">
        <f t="shared" ca="1" si="13"/>
        <v>#REF!</v>
      </c>
      <c r="F220" s="7" t="str">
        <f t="shared" si="14"/>
        <v>!A31</v>
      </c>
    </row>
    <row r="221" spans="3:6" x14ac:dyDescent="0.25">
      <c r="C221" s="9">
        <f t="shared" si="12"/>
        <v>31</v>
      </c>
      <c r="D221" s="9" t="e">
        <f t="shared" ca="1" si="13"/>
        <v>#REF!</v>
      </c>
      <c r="F221" s="7" t="str">
        <f t="shared" si="14"/>
        <v>!A31</v>
      </c>
    </row>
    <row r="222" spans="3:6" x14ac:dyDescent="0.25">
      <c r="C222" s="9">
        <f t="shared" si="12"/>
        <v>31</v>
      </c>
      <c r="D222" s="9" t="e">
        <f t="shared" ca="1" si="13"/>
        <v>#REF!</v>
      </c>
      <c r="F222" s="7" t="str">
        <f t="shared" si="14"/>
        <v>!A31</v>
      </c>
    </row>
    <row r="223" spans="3:6" x14ac:dyDescent="0.25">
      <c r="C223" s="9">
        <f t="shared" si="12"/>
        <v>31</v>
      </c>
      <c r="D223" s="9" t="e">
        <f t="shared" ca="1" si="13"/>
        <v>#REF!</v>
      </c>
      <c r="F223" s="7" t="str">
        <f t="shared" si="14"/>
        <v>!A31</v>
      </c>
    </row>
    <row r="224" spans="3:6" x14ac:dyDescent="0.25">
      <c r="C224" s="9">
        <f t="shared" si="12"/>
        <v>31</v>
      </c>
      <c r="D224" s="9" t="e">
        <f t="shared" ca="1" si="13"/>
        <v>#REF!</v>
      </c>
      <c r="F224" s="7" t="str">
        <f t="shared" si="14"/>
        <v>!A31</v>
      </c>
    </row>
    <row r="225" spans="3:6" x14ac:dyDescent="0.25">
      <c r="C225" s="9">
        <f t="shared" si="12"/>
        <v>31</v>
      </c>
      <c r="D225" s="9" t="e">
        <f t="shared" ca="1" si="13"/>
        <v>#REF!</v>
      </c>
      <c r="F225" s="7" t="str">
        <f t="shared" si="14"/>
        <v>!A31</v>
      </c>
    </row>
    <row r="226" spans="3:6" x14ac:dyDescent="0.25">
      <c r="C226" s="9">
        <f t="shared" si="12"/>
        <v>31</v>
      </c>
      <c r="D226" s="9" t="e">
        <f t="shared" ca="1" si="13"/>
        <v>#REF!</v>
      </c>
      <c r="F226" s="7" t="str">
        <f t="shared" si="14"/>
        <v>!A31</v>
      </c>
    </row>
    <row r="227" spans="3:6" x14ac:dyDescent="0.25">
      <c r="C227" s="9">
        <f t="shared" si="12"/>
        <v>31</v>
      </c>
      <c r="D227" s="9" t="e">
        <f t="shared" ca="1" si="13"/>
        <v>#REF!</v>
      </c>
      <c r="F227" s="7" t="str">
        <f t="shared" si="14"/>
        <v>!A31</v>
      </c>
    </row>
    <row r="228" spans="3:6" x14ac:dyDescent="0.25">
      <c r="C228" s="9">
        <f t="shared" si="12"/>
        <v>31</v>
      </c>
      <c r="D228" s="9" t="e">
        <f t="shared" ca="1" si="13"/>
        <v>#REF!</v>
      </c>
      <c r="F228" s="7" t="str">
        <f t="shared" si="14"/>
        <v>!A31</v>
      </c>
    </row>
    <row r="229" spans="3:6" x14ac:dyDescent="0.25">
      <c r="C229" s="9">
        <f t="shared" si="12"/>
        <v>31</v>
      </c>
      <c r="D229" s="9" t="e">
        <f t="shared" ca="1" si="13"/>
        <v>#REF!</v>
      </c>
      <c r="F229" s="7" t="str">
        <f t="shared" si="14"/>
        <v>!A31</v>
      </c>
    </row>
    <row r="230" spans="3:6" x14ac:dyDescent="0.25">
      <c r="C230" s="9">
        <f t="shared" si="12"/>
        <v>31</v>
      </c>
      <c r="D230" s="9" t="e">
        <f t="shared" ca="1" si="13"/>
        <v>#REF!</v>
      </c>
      <c r="F230" s="7" t="str">
        <f t="shared" si="14"/>
        <v>!A31</v>
      </c>
    </row>
    <row r="231" spans="3:6" x14ac:dyDescent="0.25">
      <c r="C231" s="9">
        <f t="shared" si="12"/>
        <v>31</v>
      </c>
      <c r="D231" s="9" t="e">
        <f t="shared" ca="1" si="13"/>
        <v>#REF!</v>
      </c>
      <c r="F231" s="7" t="str">
        <f t="shared" si="14"/>
        <v>!A31</v>
      </c>
    </row>
    <row r="232" spans="3:6" x14ac:dyDescent="0.25">
      <c r="C232" s="9">
        <f t="shared" si="12"/>
        <v>31</v>
      </c>
      <c r="D232" s="9" t="e">
        <f t="shared" ca="1" si="13"/>
        <v>#REF!</v>
      </c>
      <c r="F232" s="7" t="str">
        <f t="shared" si="14"/>
        <v>!A31</v>
      </c>
    </row>
    <row r="233" spans="3:6" x14ac:dyDescent="0.25">
      <c r="C233" s="9">
        <f t="shared" si="12"/>
        <v>31</v>
      </c>
      <c r="D233" s="9" t="e">
        <f t="shared" ca="1" si="13"/>
        <v>#REF!</v>
      </c>
      <c r="F233" s="7" t="str">
        <f t="shared" si="14"/>
        <v>!A31</v>
      </c>
    </row>
    <row r="234" spans="3:6" x14ac:dyDescent="0.25">
      <c r="C234" s="9">
        <f t="shared" si="12"/>
        <v>31</v>
      </c>
      <c r="D234" s="9" t="e">
        <f t="shared" ca="1" si="13"/>
        <v>#REF!</v>
      </c>
      <c r="F234" s="7" t="str">
        <f t="shared" si="14"/>
        <v>!A31</v>
      </c>
    </row>
    <row r="235" spans="3:6" x14ac:dyDescent="0.25">
      <c r="C235" s="9">
        <f t="shared" si="12"/>
        <v>31</v>
      </c>
      <c r="D235" s="9" t="e">
        <f t="shared" ca="1" si="13"/>
        <v>#REF!</v>
      </c>
      <c r="F235" s="7" t="str">
        <f t="shared" si="14"/>
        <v>!A31</v>
      </c>
    </row>
    <row r="236" spans="3:6" x14ac:dyDescent="0.25">
      <c r="C236" s="9">
        <f t="shared" si="12"/>
        <v>31</v>
      </c>
      <c r="D236" s="9" t="e">
        <f t="shared" ca="1" si="13"/>
        <v>#REF!</v>
      </c>
      <c r="F236" s="7" t="str">
        <f t="shared" si="14"/>
        <v>!A31</v>
      </c>
    </row>
    <row r="237" spans="3:6" x14ac:dyDescent="0.25">
      <c r="C237" s="9">
        <f t="shared" si="12"/>
        <v>31</v>
      </c>
      <c r="D237" s="9" t="e">
        <f t="shared" ca="1" si="13"/>
        <v>#REF!</v>
      </c>
      <c r="F237" s="7" t="str">
        <f t="shared" si="14"/>
        <v>!A31</v>
      </c>
    </row>
    <row r="238" spans="3:6" x14ac:dyDescent="0.25">
      <c r="C238" s="9">
        <f t="shared" si="12"/>
        <v>31</v>
      </c>
      <c r="D238" s="9" t="e">
        <f t="shared" ca="1" si="13"/>
        <v>#REF!</v>
      </c>
      <c r="F238" s="7" t="str">
        <f t="shared" si="14"/>
        <v>!A31</v>
      </c>
    </row>
    <row r="239" spans="3:6" x14ac:dyDescent="0.25">
      <c r="C239" s="9">
        <f t="shared" si="12"/>
        <v>31</v>
      </c>
      <c r="D239" s="9" t="e">
        <f t="shared" ca="1" si="13"/>
        <v>#REF!</v>
      </c>
      <c r="F239" s="7" t="str">
        <f t="shared" si="14"/>
        <v>!A31</v>
      </c>
    </row>
    <row r="240" spans="3:6" x14ac:dyDescent="0.25">
      <c r="C240" s="9">
        <f t="shared" si="12"/>
        <v>31</v>
      </c>
      <c r="D240" s="9" t="e">
        <f t="shared" ca="1" si="13"/>
        <v>#REF!</v>
      </c>
      <c r="F240" s="7" t="str">
        <f t="shared" si="14"/>
        <v>!A31</v>
      </c>
    </row>
    <row r="241" spans="3:6" x14ac:dyDescent="0.25">
      <c r="C241" s="9">
        <f t="shared" si="12"/>
        <v>31</v>
      </c>
      <c r="D241" s="9" t="e">
        <f t="shared" ca="1" si="13"/>
        <v>#REF!</v>
      </c>
      <c r="F241" s="7" t="str">
        <f t="shared" si="14"/>
        <v>!A31</v>
      </c>
    </row>
    <row r="242" spans="3:6" x14ac:dyDescent="0.25">
      <c r="C242" s="9">
        <f t="shared" si="12"/>
        <v>31</v>
      </c>
      <c r="D242" s="9" t="e">
        <f t="shared" ca="1" si="13"/>
        <v>#REF!</v>
      </c>
      <c r="F242" s="7" t="str">
        <f t="shared" si="14"/>
        <v>!A31</v>
      </c>
    </row>
    <row r="243" spans="3:6" x14ac:dyDescent="0.25">
      <c r="C243" s="9">
        <f t="shared" si="12"/>
        <v>31</v>
      </c>
      <c r="D243" s="9" t="e">
        <f t="shared" ca="1" si="13"/>
        <v>#REF!</v>
      </c>
      <c r="F243" s="7" t="str">
        <f t="shared" si="14"/>
        <v>!A31</v>
      </c>
    </row>
    <row r="244" spans="3:6" x14ac:dyDescent="0.25">
      <c r="C244" s="9">
        <f t="shared" si="12"/>
        <v>31</v>
      </c>
      <c r="D244" s="9" t="e">
        <f t="shared" ca="1" si="13"/>
        <v>#REF!</v>
      </c>
      <c r="F244" s="7" t="str">
        <f t="shared" si="14"/>
        <v>!A31</v>
      </c>
    </row>
    <row r="245" spans="3:6" x14ac:dyDescent="0.25">
      <c r="C245" s="9">
        <f t="shared" si="12"/>
        <v>31</v>
      </c>
      <c r="D245" s="9" t="e">
        <f t="shared" ca="1" si="13"/>
        <v>#REF!</v>
      </c>
      <c r="F245" s="7" t="str">
        <f t="shared" si="14"/>
        <v>!A31</v>
      </c>
    </row>
    <row r="246" spans="3:6" x14ac:dyDescent="0.25">
      <c r="C246" s="9">
        <f t="shared" si="12"/>
        <v>31</v>
      </c>
      <c r="D246" s="9" t="e">
        <f t="shared" ca="1" si="13"/>
        <v>#REF!</v>
      </c>
      <c r="F246" s="7" t="str">
        <f t="shared" si="14"/>
        <v>!A31</v>
      </c>
    </row>
    <row r="247" spans="3:6" x14ac:dyDescent="0.25">
      <c r="C247" s="9">
        <f t="shared" si="12"/>
        <v>31</v>
      </c>
      <c r="D247" s="9" t="e">
        <f t="shared" ca="1" si="13"/>
        <v>#REF!</v>
      </c>
      <c r="F247" s="7" t="str">
        <f t="shared" si="14"/>
        <v>!A31</v>
      </c>
    </row>
    <row r="248" spans="3:6" x14ac:dyDescent="0.25">
      <c r="C248" s="9">
        <f t="shared" si="12"/>
        <v>31</v>
      </c>
      <c r="D248" s="9" t="e">
        <f t="shared" ca="1" si="13"/>
        <v>#REF!</v>
      </c>
      <c r="F248" s="7" t="str">
        <f t="shared" si="14"/>
        <v>!A31</v>
      </c>
    </row>
    <row r="249" spans="3:6" x14ac:dyDescent="0.25">
      <c r="C249" s="9">
        <f t="shared" si="12"/>
        <v>31</v>
      </c>
      <c r="D249" s="9" t="e">
        <f t="shared" ca="1" si="13"/>
        <v>#REF!</v>
      </c>
      <c r="F249" s="7" t="str">
        <f t="shared" si="14"/>
        <v>!A31</v>
      </c>
    </row>
    <row r="250" spans="3:6" x14ac:dyDescent="0.25">
      <c r="C250" s="9">
        <f t="shared" si="12"/>
        <v>31</v>
      </c>
      <c r="D250" s="9" t="e">
        <f t="shared" ca="1" si="13"/>
        <v>#REF!</v>
      </c>
      <c r="F250" s="7" t="str">
        <f t="shared" si="14"/>
        <v>!A31</v>
      </c>
    </row>
    <row r="251" spans="3:6" x14ac:dyDescent="0.25">
      <c r="C251" s="9">
        <f t="shared" ref="C251:C314" si="15">20*B251+31</f>
        <v>31</v>
      </c>
      <c r="D251" s="9" t="e">
        <f t="shared" ref="D251:D314" ca="1" si="16">INDIRECT(ADDRESS(C251,1,4,1,A251))</f>
        <v>#REF!</v>
      </c>
      <c r="F251" s="7" t="str">
        <f t="shared" ref="F251:F314" si="17">ADDRESS(C251,1,4,1,A251)</f>
        <v>!A31</v>
      </c>
    </row>
    <row r="252" spans="3:6" x14ac:dyDescent="0.25">
      <c r="C252" s="9">
        <f t="shared" si="15"/>
        <v>31</v>
      </c>
      <c r="D252" s="9" t="e">
        <f t="shared" ca="1" si="16"/>
        <v>#REF!</v>
      </c>
      <c r="F252" s="7" t="str">
        <f t="shared" si="17"/>
        <v>!A31</v>
      </c>
    </row>
    <row r="253" spans="3:6" x14ac:dyDescent="0.25">
      <c r="C253" s="9">
        <f t="shared" si="15"/>
        <v>31</v>
      </c>
      <c r="D253" s="9" t="e">
        <f t="shared" ca="1" si="16"/>
        <v>#REF!</v>
      </c>
      <c r="F253" s="7" t="str">
        <f t="shared" si="17"/>
        <v>!A31</v>
      </c>
    </row>
    <row r="254" spans="3:6" x14ac:dyDescent="0.25">
      <c r="C254" s="9">
        <f t="shared" si="15"/>
        <v>31</v>
      </c>
      <c r="D254" s="9" t="e">
        <f t="shared" ca="1" si="16"/>
        <v>#REF!</v>
      </c>
      <c r="F254" s="7" t="str">
        <f t="shared" si="17"/>
        <v>!A31</v>
      </c>
    </row>
    <row r="255" spans="3:6" x14ac:dyDescent="0.25">
      <c r="C255" s="9">
        <f t="shared" si="15"/>
        <v>31</v>
      </c>
      <c r="D255" s="9" t="e">
        <f t="shared" ca="1" si="16"/>
        <v>#REF!</v>
      </c>
      <c r="F255" s="7" t="str">
        <f t="shared" si="17"/>
        <v>!A31</v>
      </c>
    </row>
    <row r="256" spans="3:6" x14ac:dyDescent="0.25">
      <c r="C256" s="9">
        <f t="shared" si="15"/>
        <v>31</v>
      </c>
      <c r="D256" s="9" t="e">
        <f t="shared" ca="1" si="16"/>
        <v>#REF!</v>
      </c>
      <c r="F256" s="7" t="str">
        <f t="shared" si="17"/>
        <v>!A31</v>
      </c>
    </row>
    <row r="257" spans="3:6" x14ac:dyDescent="0.25">
      <c r="C257" s="9">
        <f t="shared" si="15"/>
        <v>31</v>
      </c>
      <c r="D257" s="9" t="e">
        <f t="shared" ca="1" si="16"/>
        <v>#REF!</v>
      </c>
      <c r="F257" s="7" t="str">
        <f t="shared" si="17"/>
        <v>!A31</v>
      </c>
    </row>
    <row r="258" spans="3:6" x14ac:dyDescent="0.25">
      <c r="C258" s="9">
        <f t="shared" si="15"/>
        <v>31</v>
      </c>
      <c r="D258" s="9" t="e">
        <f t="shared" ca="1" si="16"/>
        <v>#REF!</v>
      </c>
      <c r="F258" s="7" t="str">
        <f t="shared" si="17"/>
        <v>!A31</v>
      </c>
    </row>
    <row r="259" spans="3:6" x14ac:dyDescent="0.25">
      <c r="C259" s="9">
        <f t="shared" si="15"/>
        <v>31</v>
      </c>
      <c r="D259" s="9" t="e">
        <f t="shared" ca="1" si="16"/>
        <v>#REF!</v>
      </c>
      <c r="F259" s="7" t="str">
        <f t="shared" si="17"/>
        <v>!A31</v>
      </c>
    </row>
    <row r="260" spans="3:6" x14ac:dyDescent="0.25">
      <c r="C260" s="9">
        <f t="shared" si="15"/>
        <v>31</v>
      </c>
      <c r="D260" s="9" t="e">
        <f t="shared" ca="1" si="16"/>
        <v>#REF!</v>
      </c>
      <c r="F260" s="7" t="str">
        <f t="shared" si="17"/>
        <v>!A31</v>
      </c>
    </row>
    <row r="261" spans="3:6" x14ac:dyDescent="0.25">
      <c r="C261" s="9">
        <f t="shared" si="15"/>
        <v>31</v>
      </c>
      <c r="D261" s="9" t="e">
        <f t="shared" ca="1" si="16"/>
        <v>#REF!</v>
      </c>
      <c r="F261" s="7" t="str">
        <f t="shared" si="17"/>
        <v>!A31</v>
      </c>
    </row>
    <row r="262" spans="3:6" x14ac:dyDescent="0.25">
      <c r="C262" s="9">
        <f t="shared" si="15"/>
        <v>31</v>
      </c>
      <c r="D262" s="9" t="e">
        <f t="shared" ca="1" si="16"/>
        <v>#REF!</v>
      </c>
      <c r="F262" s="7" t="str">
        <f t="shared" si="17"/>
        <v>!A31</v>
      </c>
    </row>
    <row r="263" spans="3:6" x14ac:dyDescent="0.25">
      <c r="C263" s="9">
        <f t="shared" si="15"/>
        <v>31</v>
      </c>
      <c r="D263" s="9" t="e">
        <f t="shared" ca="1" si="16"/>
        <v>#REF!</v>
      </c>
      <c r="F263" s="7" t="str">
        <f t="shared" si="17"/>
        <v>!A31</v>
      </c>
    </row>
    <row r="264" spans="3:6" x14ac:dyDescent="0.25">
      <c r="C264" s="9">
        <f t="shared" si="15"/>
        <v>31</v>
      </c>
      <c r="D264" s="9" t="e">
        <f t="shared" ca="1" si="16"/>
        <v>#REF!</v>
      </c>
      <c r="F264" s="7" t="str">
        <f t="shared" si="17"/>
        <v>!A31</v>
      </c>
    </row>
    <row r="265" spans="3:6" x14ac:dyDescent="0.25">
      <c r="C265" s="9">
        <f t="shared" si="15"/>
        <v>31</v>
      </c>
      <c r="D265" s="9" t="e">
        <f t="shared" ca="1" si="16"/>
        <v>#REF!</v>
      </c>
      <c r="F265" s="7" t="str">
        <f t="shared" si="17"/>
        <v>!A31</v>
      </c>
    </row>
    <row r="266" spans="3:6" x14ac:dyDescent="0.25">
      <c r="C266" s="9">
        <f t="shared" si="15"/>
        <v>31</v>
      </c>
      <c r="D266" s="9" t="e">
        <f t="shared" ca="1" si="16"/>
        <v>#REF!</v>
      </c>
      <c r="F266" s="7" t="str">
        <f t="shared" si="17"/>
        <v>!A31</v>
      </c>
    </row>
    <row r="267" spans="3:6" x14ac:dyDescent="0.25">
      <c r="C267" s="9">
        <f t="shared" si="15"/>
        <v>31</v>
      </c>
      <c r="D267" s="9" t="e">
        <f t="shared" ca="1" si="16"/>
        <v>#REF!</v>
      </c>
      <c r="F267" s="7" t="str">
        <f t="shared" si="17"/>
        <v>!A31</v>
      </c>
    </row>
    <row r="268" spans="3:6" x14ac:dyDescent="0.25">
      <c r="C268" s="9">
        <f t="shared" si="15"/>
        <v>31</v>
      </c>
      <c r="D268" s="9" t="e">
        <f t="shared" ca="1" si="16"/>
        <v>#REF!</v>
      </c>
      <c r="F268" s="7" t="str">
        <f t="shared" si="17"/>
        <v>!A31</v>
      </c>
    </row>
    <row r="269" spans="3:6" x14ac:dyDescent="0.25">
      <c r="C269" s="9">
        <f t="shared" si="15"/>
        <v>31</v>
      </c>
      <c r="D269" s="9" t="e">
        <f t="shared" ca="1" si="16"/>
        <v>#REF!</v>
      </c>
      <c r="F269" s="7" t="str">
        <f t="shared" si="17"/>
        <v>!A31</v>
      </c>
    </row>
    <row r="270" spans="3:6" x14ac:dyDescent="0.25">
      <c r="C270" s="9">
        <f t="shared" si="15"/>
        <v>31</v>
      </c>
      <c r="D270" s="9" t="e">
        <f t="shared" ca="1" si="16"/>
        <v>#REF!</v>
      </c>
      <c r="F270" s="7" t="str">
        <f t="shared" si="17"/>
        <v>!A31</v>
      </c>
    </row>
    <row r="271" spans="3:6" x14ac:dyDescent="0.25">
      <c r="C271" s="9">
        <f t="shared" si="15"/>
        <v>31</v>
      </c>
      <c r="D271" s="9" t="e">
        <f t="shared" ca="1" si="16"/>
        <v>#REF!</v>
      </c>
      <c r="F271" s="7" t="str">
        <f t="shared" si="17"/>
        <v>!A31</v>
      </c>
    </row>
    <row r="272" spans="3:6" x14ac:dyDescent="0.25">
      <c r="C272" s="9">
        <f t="shared" si="15"/>
        <v>31</v>
      </c>
      <c r="D272" s="9" t="e">
        <f t="shared" ca="1" si="16"/>
        <v>#REF!</v>
      </c>
      <c r="F272" s="7" t="str">
        <f t="shared" si="17"/>
        <v>!A31</v>
      </c>
    </row>
    <row r="273" spans="3:6" x14ac:dyDescent="0.25">
      <c r="C273" s="9">
        <f t="shared" si="15"/>
        <v>31</v>
      </c>
      <c r="D273" s="9" t="e">
        <f t="shared" ca="1" si="16"/>
        <v>#REF!</v>
      </c>
      <c r="F273" s="7" t="str">
        <f t="shared" si="17"/>
        <v>!A31</v>
      </c>
    </row>
    <row r="274" spans="3:6" x14ac:dyDescent="0.25">
      <c r="C274" s="9">
        <f t="shared" si="15"/>
        <v>31</v>
      </c>
      <c r="D274" s="9" t="e">
        <f t="shared" ca="1" si="16"/>
        <v>#REF!</v>
      </c>
      <c r="F274" s="7" t="str">
        <f t="shared" si="17"/>
        <v>!A31</v>
      </c>
    </row>
    <row r="275" spans="3:6" x14ac:dyDescent="0.25">
      <c r="C275" s="9">
        <f t="shared" si="15"/>
        <v>31</v>
      </c>
      <c r="D275" s="9" t="e">
        <f t="shared" ca="1" si="16"/>
        <v>#REF!</v>
      </c>
      <c r="F275" s="7" t="str">
        <f t="shared" si="17"/>
        <v>!A31</v>
      </c>
    </row>
    <row r="276" spans="3:6" x14ac:dyDescent="0.25">
      <c r="C276" s="9">
        <f t="shared" si="15"/>
        <v>31</v>
      </c>
      <c r="D276" s="9" t="e">
        <f t="shared" ca="1" si="16"/>
        <v>#REF!</v>
      </c>
      <c r="F276" s="7" t="str">
        <f t="shared" si="17"/>
        <v>!A31</v>
      </c>
    </row>
    <row r="277" spans="3:6" x14ac:dyDescent="0.25">
      <c r="C277" s="9">
        <f t="shared" si="15"/>
        <v>31</v>
      </c>
      <c r="D277" s="9" t="e">
        <f t="shared" ca="1" si="16"/>
        <v>#REF!</v>
      </c>
      <c r="F277" s="7" t="str">
        <f t="shared" si="17"/>
        <v>!A31</v>
      </c>
    </row>
    <row r="278" spans="3:6" x14ac:dyDescent="0.25">
      <c r="C278" s="9">
        <f t="shared" si="15"/>
        <v>31</v>
      </c>
      <c r="D278" s="9" t="e">
        <f t="shared" ca="1" si="16"/>
        <v>#REF!</v>
      </c>
      <c r="F278" s="7" t="str">
        <f t="shared" si="17"/>
        <v>!A31</v>
      </c>
    </row>
    <row r="279" spans="3:6" x14ac:dyDescent="0.25">
      <c r="C279" s="9">
        <f t="shared" si="15"/>
        <v>31</v>
      </c>
      <c r="D279" s="9" t="e">
        <f t="shared" ca="1" si="16"/>
        <v>#REF!</v>
      </c>
      <c r="F279" s="7" t="str">
        <f t="shared" si="17"/>
        <v>!A31</v>
      </c>
    </row>
    <row r="280" spans="3:6" x14ac:dyDescent="0.25">
      <c r="C280" s="9">
        <f t="shared" si="15"/>
        <v>31</v>
      </c>
      <c r="D280" s="9" t="e">
        <f t="shared" ca="1" si="16"/>
        <v>#REF!</v>
      </c>
      <c r="F280" s="7" t="str">
        <f t="shared" si="17"/>
        <v>!A31</v>
      </c>
    </row>
    <row r="281" spans="3:6" x14ac:dyDescent="0.25">
      <c r="C281" s="9">
        <f t="shared" si="15"/>
        <v>31</v>
      </c>
      <c r="D281" s="9" t="e">
        <f t="shared" ca="1" si="16"/>
        <v>#REF!</v>
      </c>
      <c r="F281" s="7" t="str">
        <f t="shared" si="17"/>
        <v>!A31</v>
      </c>
    </row>
    <row r="282" spans="3:6" x14ac:dyDescent="0.25">
      <c r="C282" s="9">
        <f t="shared" si="15"/>
        <v>31</v>
      </c>
      <c r="D282" s="9" t="e">
        <f t="shared" ca="1" si="16"/>
        <v>#REF!</v>
      </c>
      <c r="F282" s="7" t="str">
        <f t="shared" si="17"/>
        <v>!A31</v>
      </c>
    </row>
    <row r="283" spans="3:6" x14ac:dyDescent="0.25">
      <c r="C283" s="9">
        <f t="shared" si="15"/>
        <v>31</v>
      </c>
      <c r="D283" s="9" t="e">
        <f t="shared" ca="1" si="16"/>
        <v>#REF!</v>
      </c>
      <c r="F283" s="7" t="str">
        <f t="shared" si="17"/>
        <v>!A31</v>
      </c>
    </row>
    <row r="284" spans="3:6" x14ac:dyDescent="0.25">
      <c r="C284" s="9">
        <f t="shared" si="15"/>
        <v>31</v>
      </c>
      <c r="D284" s="9" t="e">
        <f t="shared" ca="1" si="16"/>
        <v>#REF!</v>
      </c>
      <c r="F284" s="7" t="str">
        <f t="shared" si="17"/>
        <v>!A31</v>
      </c>
    </row>
    <row r="285" spans="3:6" x14ac:dyDescent="0.25">
      <c r="C285" s="9">
        <f t="shared" si="15"/>
        <v>31</v>
      </c>
      <c r="D285" s="9" t="e">
        <f t="shared" ca="1" si="16"/>
        <v>#REF!</v>
      </c>
      <c r="F285" s="7" t="str">
        <f t="shared" si="17"/>
        <v>!A31</v>
      </c>
    </row>
    <row r="286" spans="3:6" x14ac:dyDescent="0.25">
      <c r="C286" s="9">
        <f t="shared" si="15"/>
        <v>31</v>
      </c>
      <c r="D286" s="9" t="e">
        <f t="shared" ca="1" si="16"/>
        <v>#REF!</v>
      </c>
      <c r="F286" s="7" t="str">
        <f t="shared" si="17"/>
        <v>!A31</v>
      </c>
    </row>
    <row r="287" spans="3:6" x14ac:dyDescent="0.25">
      <c r="C287" s="9">
        <f t="shared" si="15"/>
        <v>31</v>
      </c>
      <c r="D287" s="9" t="e">
        <f t="shared" ca="1" si="16"/>
        <v>#REF!</v>
      </c>
      <c r="F287" s="7" t="str">
        <f t="shared" si="17"/>
        <v>!A31</v>
      </c>
    </row>
    <row r="288" spans="3:6" x14ac:dyDescent="0.25">
      <c r="C288" s="9">
        <f t="shared" si="15"/>
        <v>31</v>
      </c>
      <c r="D288" s="9" t="e">
        <f t="shared" ca="1" si="16"/>
        <v>#REF!</v>
      </c>
      <c r="F288" s="7" t="str">
        <f t="shared" si="17"/>
        <v>!A31</v>
      </c>
    </row>
    <row r="289" spans="3:6" x14ac:dyDescent="0.25">
      <c r="C289" s="9">
        <f t="shared" si="15"/>
        <v>31</v>
      </c>
      <c r="D289" s="9" t="e">
        <f t="shared" ca="1" si="16"/>
        <v>#REF!</v>
      </c>
      <c r="F289" s="7" t="str">
        <f t="shared" si="17"/>
        <v>!A31</v>
      </c>
    </row>
    <row r="290" spans="3:6" x14ac:dyDescent="0.25">
      <c r="C290" s="9">
        <f t="shared" si="15"/>
        <v>31</v>
      </c>
      <c r="D290" s="9" t="e">
        <f t="shared" ca="1" si="16"/>
        <v>#REF!</v>
      </c>
      <c r="F290" s="7" t="str">
        <f t="shared" si="17"/>
        <v>!A31</v>
      </c>
    </row>
    <row r="291" spans="3:6" x14ac:dyDescent="0.25">
      <c r="C291" s="9">
        <f t="shared" si="15"/>
        <v>31</v>
      </c>
      <c r="D291" s="9" t="e">
        <f t="shared" ca="1" si="16"/>
        <v>#REF!</v>
      </c>
      <c r="F291" s="7" t="str">
        <f t="shared" si="17"/>
        <v>!A31</v>
      </c>
    </row>
    <row r="292" spans="3:6" x14ac:dyDescent="0.25">
      <c r="C292" s="9">
        <f t="shared" si="15"/>
        <v>31</v>
      </c>
      <c r="D292" s="9" t="e">
        <f t="shared" ca="1" si="16"/>
        <v>#REF!</v>
      </c>
      <c r="F292" s="7" t="str">
        <f t="shared" si="17"/>
        <v>!A31</v>
      </c>
    </row>
    <row r="293" spans="3:6" x14ac:dyDescent="0.25">
      <c r="C293" s="9">
        <f t="shared" si="15"/>
        <v>31</v>
      </c>
      <c r="D293" s="9" t="e">
        <f t="shared" ca="1" si="16"/>
        <v>#REF!</v>
      </c>
      <c r="F293" s="7" t="str">
        <f t="shared" si="17"/>
        <v>!A31</v>
      </c>
    </row>
    <row r="294" spans="3:6" x14ac:dyDescent="0.25">
      <c r="C294" s="9">
        <f t="shared" si="15"/>
        <v>31</v>
      </c>
      <c r="D294" s="9" t="e">
        <f t="shared" ca="1" si="16"/>
        <v>#REF!</v>
      </c>
      <c r="F294" s="7" t="str">
        <f t="shared" si="17"/>
        <v>!A31</v>
      </c>
    </row>
    <row r="295" spans="3:6" x14ac:dyDescent="0.25">
      <c r="C295" s="9">
        <f t="shared" si="15"/>
        <v>31</v>
      </c>
      <c r="D295" s="9" t="e">
        <f t="shared" ca="1" si="16"/>
        <v>#REF!</v>
      </c>
      <c r="F295" s="7" t="str">
        <f t="shared" si="17"/>
        <v>!A31</v>
      </c>
    </row>
    <row r="296" spans="3:6" x14ac:dyDescent="0.25">
      <c r="C296" s="9">
        <f t="shared" si="15"/>
        <v>31</v>
      </c>
      <c r="D296" s="9" t="e">
        <f t="shared" ca="1" si="16"/>
        <v>#REF!</v>
      </c>
      <c r="F296" s="7" t="str">
        <f t="shared" si="17"/>
        <v>!A31</v>
      </c>
    </row>
    <row r="297" spans="3:6" x14ac:dyDescent="0.25">
      <c r="C297" s="9">
        <f t="shared" si="15"/>
        <v>31</v>
      </c>
      <c r="D297" s="9" t="e">
        <f t="shared" ca="1" si="16"/>
        <v>#REF!</v>
      </c>
      <c r="F297" s="7" t="str">
        <f t="shared" si="17"/>
        <v>!A31</v>
      </c>
    </row>
    <row r="298" spans="3:6" x14ac:dyDescent="0.25">
      <c r="C298" s="9">
        <f t="shared" si="15"/>
        <v>31</v>
      </c>
      <c r="D298" s="9" t="e">
        <f t="shared" ca="1" si="16"/>
        <v>#REF!</v>
      </c>
      <c r="F298" s="7" t="str">
        <f t="shared" si="17"/>
        <v>!A31</v>
      </c>
    </row>
    <row r="299" spans="3:6" x14ac:dyDescent="0.25">
      <c r="C299" s="9">
        <f t="shared" si="15"/>
        <v>31</v>
      </c>
      <c r="D299" s="9" t="e">
        <f t="shared" ca="1" si="16"/>
        <v>#REF!</v>
      </c>
      <c r="F299" s="7" t="str">
        <f t="shared" si="17"/>
        <v>!A31</v>
      </c>
    </row>
    <row r="300" spans="3:6" x14ac:dyDescent="0.25">
      <c r="C300" s="9">
        <f t="shared" si="15"/>
        <v>31</v>
      </c>
      <c r="D300" s="9" t="e">
        <f t="shared" ca="1" si="16"/>
        <v>#REF!</v>
      </c>
      <c r="F300" s="7" t="str">
        <f t="shared" si="17"/>
        <v>!A31</v>
      </c>
    </row>
    <row r="301" spans="3:6" x14ac:dyDescent="0.25">
      <c r="C301" s="9">
        <f t="shared" si="15"/>
        <v>31</v>
      </c>
      <c r="D301" s="9" t="e">
        <f t="shared" ca="1" si="16"/>
        <v>#REF!</v>
      </c>
      <c r="F301" s="7" t="str">
        <f t="shared" si="17"/>
        <v>!A31</v>
      </c>
    </row>
    <row r="302" spans="3:6" x14ac:dyDescent="0.25">
      <c r="C302" s="9">
        <f t="shared" si="15"/>
        <v>31</v>
      </c>
      <c r="D302" s="9" t="e">
        <f t="shared" ca="1" si="16"/>
        <v>#REF!</v>
      </c>
      <c r="F302" s="7" t="str">
        <f t="shared" si="17"/>
        <v>!A31</v>
      </c>
    </row>
    <row r="303" spans="3:6" x14ac:dyDescent="0.25">
      <c r="C303" s="9">
        <f t="shared" si="15"/>
        <v>31</v>
      </c>
      <c r="D303" s="9" t="e">
        <f t="shared" ca="1" si="16"/>
        <v>#REF!</v>
      </c>
      <c r="F303" s="7" t="str">
        <f t="shared" si="17"/>
        <v>!A31</v>
      </c>
    </row>
    <row r="304" spans="3:6" x14ac:dyDescent="0.25">
      <c r="C304" s="9">
        <f t="shared" si="15"/>
        <v>31</v>
      </c>
      <c r="D304" s="9" t="e">
        <f t="shared" ca="1" si="16"/>
        <v>#REF!</v>
      </c>
      <c r="F304" s="7" t="str">
        <f t="shared" si="17"/>
        <v>!A31</v>
      </c>
    </row>
    <row r="305" spans="3:6" x14ac:dyDescent="0.25">
      <c r="C305" s="9">
        <f t="shared" si="15"/>
        <v>31</v>
      </c>
      <c r="D305" s="9" t="e">
        <f t="shared" ca="1" si="16"/>
        <v>#REF!</v>
      </c>
      <c r="F305" s="7" t="str">
        <f t="shared" si="17"/>
        <v>!A31</v>
      </c>
    </row>
    <row r="306" spans="3:6" x14ac:dyDescent="0.25">
      <c r="C306" s="9">
        <f t="shared" si="15"/>
        <v>31</v>
      </c>
      <c r="D306" s="9" t="e">
        <f t="shared" ca="1" si="16"/>
        <v>#REF!</v>
      </c>
      <c r="F306" s="7" t="str">
        <f t="shared" si="17"/>
        <v>!A31</v>
      </c>
    </row>
    <row r="307" spans="3:6" x14ac:dyDescent="0.25">
      <c r="C307" s="9">
        <f t="shared" si="15"/>
        <v>31</v>
      </c>
      <c r="D307" s="9" t="e">
        <f t="shared" ca="1" si="16"/>
        <v>#REF!</v>
      </c>
      <c r="F307" s="7" t="str">
        <f t="shared" si="17"/>
        <v>!A31</v>
      </c>
    </row>
    <row r="308" spans="3:6" x14ac:dyDescent="0.25">
      <c r="C308" s="9">
        <f t="shared" si="15"/>
        <v>31</v>
      </c>
      <c r="D308" s="9" t="e">
        <f t="shared" ca="1" si="16"/>
        <v>#REF!</v>
      </c>
      <c r="F308" s="7" t="str">
        <f t="shared" si="17"/>
        <v>!A31</v>
      </c>
    </row>
    <row r="309" spans="3:6" x14ac:dyDescent="0.25">
      <c r="C309" s="9">
        <f t="shared" si="15"/>
        <v>31</v>
      </c>
      <c r="D309" s="9" t="e">
        <f t="shared" ca="1" si="16"/>
        <v>#REF!</v>
      </c>
      <c r="F309" s="7" t="str">
        <f t="shared" si="17"/>
        <v>!A31</v>
      </c>
    </row>
    <row r="310" spans="3:6" x14ac:dyDescent="0.25">
      <c r="C310" s="9">
        <f t="shared" si="15"/>
        <v>31</v>
      </c>
      <c r="D310" s="9" t="e">
        <f t="shared" ca="1" si="16"/>
        <v>#REF!</v>
      </c>
      <c r="F310" s="7" t="str">
        <f t="shared" si="17"/>
        <v>!A31</v>
      </c>
    </row>
    <row r="311" spans="3:6" x14ac:dyDescent="0.25">
      <c r="C311" s="9">
        <f t="shared" si="15"/>
        <v>31</v>
      </c>
      <c r="D311" s="9" t="e">
        <f t="shared" ca="1" si="16"/>
        <v>#REF!</v>
      </c>
      <c r="F311" s="7" t="str">
        <f t="shared" si="17"/>
        <v>!A31</v>
      </c>
    </row>
    <row r="312" spans="3:6" x14ac:dyDescent="0.25">
      <c r="C312" s="9">
        <f t="shared" si="15"/>
        <v>31</v>
      </c>
      <c r="D312" s="9" t="e">
        <f t="shared" ca="1" si="16"/>
        <v>#REF!</v>
      </c>
      <c r="F312" s="7" t="str">
        <f t="shared" si="17"/>
        <v>!A31</v>
      </c>
    </row>
    <row r="313" spans="3:6" x14ac:dyDescent="0.25">
      <c r="C313" s="9">
        <f t="shared" si="15"/>
        <v>31</v>
      </c>
      <c r="D313" s="9" t="e">
        <f t="shared" ca="1" si="16"/>
        <v>#REF!</v>
      </c>
      <c r="F313" s="7" t="str">
        <f t="shared" si="17"/>
        <v>!A31</v>
      </c>
    </row>
    <row r="314" spans="3:6" x14ac:dyDescent="0.25">
      <c r="C314" s="9">
        <f t="shared" si="15"/>
        <v>31</v>
      </c>
      <c r="D314" s="9" t="e">
        <f t="shared" ca="1" si="16"/>
        <v>#REF!</v>
      </c>
      <c r="F314" s="7" t="str">
        <f t="shared" si="17"/>
        <v>!A31</v>
      </c>
    </row>
    <row r="315" spans="3:6" x14ac:dyDescent="0.25">
      <c r="C315" s="9">
        <f t="shared" ref="C315:C378" si="18">20*B315+31</f>
        <v>31</v>
      </c>
      <c r="D315" s="9" t="e">
        <f t="shared" ref="D315:D378" ca="1" si="19">INDIRECT(ADDRESS(C315,1,4,1,A315))</f>
        <v>#REF!</v>
      </c>
      <c r="F315" s="7" t="str">
        <f t="shared" ref="F315:F378" si="20">ADDRESS(C315,1,4,1,A315)</f>
        <v>!A31</v>
      </c>
    </row>
    <row r="316" spans="3:6" x14ac:dyDescent="0.25">
      <c r="C316" s="9">
        <f t="shared" si="18"/>
        <v>31</v>
      </c>
      <c r="D316" s="9" t="e">
        <f t="shared" ca="1" si="19"/>
        <v>#REF!</v>
      </c>
      <c r="F316" s="7" t="str">
        <f t="shared" si="20"/>
        <v>!A31</v>
      </c>
    </row>
    <row r="317" spans="3:6" x14ac:dyDescent="0.25">
      <c r="C317" s="9">
        <f t="shared" si="18"/>
        <v>31</v>
      </c>
      <c r="D317" s="9" t="e">
        <f t="shared" ca="1" si="19"/>
        <v>#REF!</v>
      </c>
      <c r="F317" s="7" t="str">
        <f t="shared" si="20"/>
        <v>!A31</v>
      </c>
    </row>
    <row r="318" spans="3:6" x14ac:dyDescent="0.25">
      <c r="C318" s="9">
        <f t="shared" si="18"/>
        <v>31</v>
      </c>
      <c r="D318" s="9" t="e">
        <f t="shared" ca="1" si="19"/>
        <v>#REF!</v>
      </c>
      <c r="F318" s="7" t="str">
        <f t="shared" si="20"/>
        <v>!A31</v>
      </c>
    </row>
    <row r="319" spans="3:6" x14ac:dyDescent="0.25">
      <c r="C319" s="9">
        <f t="shared" si="18"/>
        <v>31</v>
      </c>
      <c r="D319" s="9" t="e">
        <f t="shared" ca="1" si="19"/>
        <v>#REF!</v>
      </c>
      <c r="F319" s="7" t="str">
        <f t="shared" si="20"/>
        <v>!A31</v>
      </c>
    </row>
    <row r="320" spans="3:6" x14ac:dyDescent="0.25">
      <c r="C320" s="9">
        <f t="shared" si="18"/>
        <v>31</v>
      </c>
      <c r="D320" s="9" t="e">
        <f t="shared" ca="1" si="19"/>
        <v>#REF!</v>
      </c>
      <c r="F320" s="7" t="str">
        <f t="shared" si="20"/>
        <v>!A31</v>
      </c>
    </row>
    <row r="321" spans="3:6" x14ac:dyDescent="0.25">
      <c r="C321" s="9">
        <f t="shared" si="18"/>
        <v>31</v>
      </c>
      <c r="D321" s="9" t="e">
        <f t="shared" ca="1" si="19"/>
        <v>#REF!</v>
      </c>
      <c r="F321" s="7" t="str">
        <f t="shared" si="20"/>
        <v>!A31</v>
      </c>
    </row>
    <row r="322" spans="3:6" x14ac:dyDescent="0.25">
      <c r="C322" s="9">
        <f t="shared" si="18"/>
        <v>31</v>
      </c>
      <c r="D322" s="9" t="e">
        <f t="shared" ca="1" si="19"/>
        <v>#REF!</v>
      </c>
      <c r="F322" s="7" t="str">
        <f t="shared" si="20"/>
        <v>!A31</v>
      </c>
    </row>
    <row r="323" spans="3:6" x14ac:dyDescent="0.25">
      <c r="C323" s="9">
        <f t="shared" si="18"/>
        <v>31</v>
      </c>
      <c r="D323" s="9" t="e">
        <f t="shared" ca="1" si="19"/>
        <v>#REF!</v>
      </c>
      <c r="F323" s="7" t="str">
        <f t="shared" si="20"/>
        <v>!A31</v>
      </c>
    </row>
    <row r="324" spans="3:6" x14ac:dyDescent="0.25">
      <c r="C324" s="9">
        <f t="shared" si="18"/>
        <v>31</v>
      </c>
      <c r="D324" s="9" t="e">
        <f t="shared" ca="1" si="19"/>
        <v>#REF!</v>
      </c>
      <c r="F324" s="7" t="str">
        <f t="shared" si="20"/>
        <v>!A31</v>
      </c>
    </row>
    <row r="325" spans="3:6" x14ac:dyDescent="0.25">
      <c r="C325" s="9">
        <f t="shared" si="18"/>
        <v>31</v>
      </c>
      <c r="D325" s="9" t="e">
        <f t="shared" ca="1" si="19"/>
        <v>#REF!</v>
      </c>
      <c r="F325" s="7" t="str">
        <f t="shared" si="20"/>
        <v>!A31</v>
      </c>
    </row>
    <row r="326" spans="3:6" x14ac:dyDescent="0.25">
      <c r="C326" s="9">
        <f t="shared" si="18"/>
        <v>31</v>
      </c>
      <c r="D326" s="9" t="e">
        <f t="shared" ca="1" si="19"/>
        <v>#REF!</v>
      </c>
      <c r="F326" s="7" t="str">
        <f t="shared" si="20"/>
        <v>!A31</v>
      </c>
    </row>
    <row r="327" spans="3:6" x14ac:dyDescent="0.25">
      <c r="C327" s="9">
        <f t="shared" si="18"/>
        <v>31</v>
      </c>
      <c r="D327" s="9" t="e">
        <f t="shared" ca="1" si="19"/>
        <v>#REF!</v>
      </c>
      <c r="F327" s="7" t="str">
        <f t="shared" si="20"/>
        <v>!A31</v>
      </c>
    </row>
    <row r="328" spans="3:6" x14ac:dyDescent="0.25">
      <c r="C328" s="9">
        <f t="shared" si="18"/>
        <v>31</v>
      </c>
      <c r="D328" s="9" t="e">
        <f t="shared" ca="1" si="19"/>
        <v>#REF!</v>
      </c>
      <c r="F328" s="7" t="str">
        <f t="shared" si="20"/>
        <v>!A31</v>
      </c>
    </row>
    <row r="329" spans="3:6" x14ac:dyDescent="0.25">
      <c r="C329" s="9">
        <f t="shared" si="18"/>
        <v>31</v>
      </c>
      <c r="D329" s="9" t="e">
        <f t="shared" ca="1" si="19"/>
        <v>#REF!</v>
      </c>
      <c r="F329" s="7" t="str">
        <f t="shared" si="20"/>
        <v>!A31</v>
      </c>
    </row>
    <row r="330" spans="3:6" x14ac:dyDescent="0.25">
      <c r="C330" s="9">
        <f t="shared" si="18"/>
        <v>31</v>
      </c>
      <c r="D330" s="9" t="e">
        <f t="shared" ca="1" si="19"/>
        <v>#REF!</v>
      </c>
      <c r="F330" s="7" t="str">
        <f t="shared" si="20"/>
        <v>!A31</v>
      </c>
    </row>
    <row r="331" spans="3:6" x14ac:dyDescent="0.25">
      <c r="C331" s="9">
        <f t="shared" si="18"/>
        <v>31</v>
      </c>
      <c r="D331" s="9" t="e">
        <f t="shared" ca="1" si="19"/>
        <v>#REF!</v>
      </c>
      <c r="F331" s="7" t="str">
        <f t="shared" si="20"/>
        <v>!A31</v>
      </c>
    </row>
    <row r="332" spans="3:6" x14ac:dyDescent="0.25">
      <c r="C332" s="9">
        <f t="shared" si="18"/>
        <v>31</v>
      </c>
      <c r="D332" s="9" t="e">
        <f t="shared" ca="1" si="19"/>
        <v>#REF!</v>
      </c>
      <c r="F332" s="7" t="str">
        <f t="shared" si="20"/>
        <v>!A31</v>
      </c>
    </row>
    <row r="333" spans="3:6" x14ac:dyDescent="0.25">
      <c r="C333" s="9">
        <f t="shared" si="18"/>
        <v>31</v>
      </c>
      <c r="D333" s="9" t="e">
        <f t="shared" ca="1" si="19"/>
        <v>#REF!</v>
      </c>
      <c r="F333" s="7" t="str">
        <f t="shared" si="20"/>
        <v>!A31</v>
      </c>
    </row>
    <row r="334" spans="3:6" x14ac:dyDescent="0.25">
      <c r="C334" s="9">
        <f t="shared" si="18"/>
        <v>31</v>
      </c>
      <c r="D334" s="9" t="e">
        <f t="shared" ca="1" si="19"/>
        <v>#REF!</v>
      </c>
      <c r="F334" s="7" t="str">
        <f t="shared" si="20"/>
        <v>!A31</v>
      </c>
    </row>
    <row r="335" spans="3:6" x14ac:dyDescent="0.25">
      <c r="C335" s="9">
        <f t="shared" si="18"/>
        <v>31</v>
      </c>
      <c r="D335" s="9" t="e">
        <f t="shared" ca="1" si="19"/>
        <v>#REF!</v>
      </c>
      <c r="F335" s="7" t="str">
        <f t="shared" si="20"/>
        <v>!A31</v>
      </c>
    </row>
    <row r="336" spans="3:6" x14ac:dyDescent="0.25">
      <c r="C336" s="9">
        <f t="shared" si="18"/>
        <v>31</v>
      </c>
      <c r="D336" s="9" t="e">
        <f t="shared" ca="1" si="19"/>
        <v>#REF!</v>
      </c>
      <c r="F336" s="7" t="str">
        <f t="shared" si="20"/>
        <v>!A31</v>
      </c>
    </row>
    <row r="337" spans="3:6" x14ac:dyDescent="0.25">
      <c r="C337" s="9">
        <f t="shared" si="18"/>
        <v>31</v>
      </c>
      <c r="D337" s="9" t="e">
        <f t="shared" ca="1" si="19"/>
        <v>#REF!</v>
      </c>
      <c r="F337" s="7" t="str">
        <f t="shared" si="20"/>
        <v>!A31</v>
      </c>
    </row>
    <row r="338" spans="3:6" x14ac:dyDescent="0.25">
      <c r="C338" s="9">
        <f t="shared" si="18"/>
        <v>31</v>
      </c>
      <c r="D338" s="9" t="e">
        <f t="shared" ca="1" si="19"/>
        <v>#REF!</v>
      </c>
      <c r="F338" s="7" t="str">
        <f t="shared" si="20"/>
        <v>!A31</v>
      </c>
    </row>
    <row r="339" spans="3:6" x14ac:dyDescent="0.25">
      <c r="C339" s="9">
        <f t="shared" si="18"/>
        <v>31</v>
      </c>
      <c r="D339" s="9" t="e">
        <f t="shared" ca="1" si="19"/>
        <v>#REF!</v>
      </c>
      <c r="F339" s="7" t="str">
        <f t="shared" si="20"/>
        <v>!A31</v>
      </c>
    </row>
    <row r="340" spans="3:6" x14ac:dyDescent="0.25">
      <c r="C340" s="9">
        <f t="shared" si="18"/>
        <v>31</v>
      </c>
      <c r="D340" s="9" t="e">
        <f t="shared" ca="1" si="19"/>
        <v>#REF!</v>
      </c>
      <c r="F340" s="7" t="str">
        <f t="shared" si="20"/>
        <v>!A31</v>
      </c>
    </row>
    <row r="341" spans="3:6" x14ac:dyDescent="0.25">
      <c r="C341" s="9">
        <f t="shared" si="18"/>
        <v>31</v>
      </c>
      <c r="D341" s="9" t="e">
        <f t="shared" ca="1" si="19"/>
        <v>#REF!</v>
      </c>
      <c r="F341" s="7" t="str">
        <f t="shared" si="20"/>
        <v>!A31</v>
      </c>
    </row>
    <row r="342" spans="3:6" x14ac:dyDescent="0.25">
      <c r="C342" s="9">
        <f t="shared" si="18"/>
        <v>31</v>
      </c>
      <c r="D342" s="9" t="e">
        <f t="shared" ca="1" si="19"/>
        <v>#REF!</v>
      </c>
      <c r="F342" s="7" t="str">
        <f t="shared" si="20"/>
        <v>!A31</v>
      </c>
    </row>
    <row r="343" spans="3:6" x14ac:dyDescent="0.25">
      <c r="C343" s="9">
        <f t="shared" si="18"/>
        <v>31</v>
      </c>
      <c r="D343" s="9" t="e">
        <f t="shared" ca="1" si="19"/>
        <v>#REF!</v>
      </c>
      <c r="F343" s="7" t="str">
        <f t="shared" si="20"/>
        <v>!A31</v>
      </c>
    </row>
    <row r="344" spans="3:6" x14ac:dyDescent="0.25">
      <c r="C344" s="9">
        <f t="shared" si="18"/>
        <v>31</v>
      </c>
      <c r="D344" s="9" t="e">
        <f t="shared" ca="1" si="19"/>
        <v>#REF!</v>
      </c>
      <c r="F344" s="7" t="str">
        <f t="shared" si="20"/>
        <v>!A31</v>
      </c>
    </row>
    <row r="345" spans="3:6" x14ac:dyDescent="0.25">
      <c r="C345" s="9">
        <f t="shared" si="18"/>
        <v>31</v>
      </c>
      <c r="D345" s="9" t="e">
        <f t="shared" ca="1" si="19"/>
        <v>#REF!</v>
      </c>
      <c r="F345" s="7" t="str">
        <f t="shared" si="20"/>
        <v>!A31</v>
      </c>
    </row>
    <row r="346" spans="3:6" x14ac:dyDescent="0.25">
      <c r="C346" s="9">
        <f t="shared" si="18"/>
        <v>31</v>
      </c>
      <c r="D346" s="9" t="e">
        <f t="shared" ca="1" si="19"/>
        <v>#REF!</v>
      </c>
      <c r="F346" s="7" t="str">
        <f t="shared" si="20"/>
        <v>!A31</v>
      </c>
    </row>
    <row r="347" spans="3:6" x14ac:dyDescent="0.25">
      <c r="C347" s="9">
        <f t="shared" si="18"/>
        <v>31</v>
      </c>
      <c r="D347" s="9" t="e">
        <f t="shared" ca="1" si="19"/>
        <v>#REF!</v>
      </c>
      <c r="F347" s="7" t="str">
        <f t="shared" si="20"/>
        <v>!A31</v>
      </c>
    </row>
    <row r="348" spans="3:6" x14ac:dyDescent="0.25">
      <c r="C348" s="9">
        <f t="shared" si="18"/>
        <v>31</v>
      </c>
      <c r="D348" s="9" t="e">
        <f t="shared" ca="1" si="19"/>
        <v>#REF!</v>
      </c>
      <c r="F348" s="7" t="str">
        <f t="shared" si="20"/>
        <v>!A31</v>
      </c>
    </row>
    <row r="349" spans="3:6" x14ac:dyDescent="0.25">
      <c r="C349" s="9">
        <f t="shared" si="18"/>
        <v>31</v>
      </c>
      <c r="D349" s="9" t="e">
        <f t="shared" ca="1" si="19"/>
        <v>#REF!</v>
      </c>
      <c r="F349" s="7" t="str">
        <f t="shared" si="20"/>
        <v>!A31</v>
      </c>
    </row>
    <row r="350" spans="3:6" x14ac:dyDescent="0.25">
      <c r="C350" s="9">
        <f t="shared" si="18"/>
        <v>31</v>
      </c>
      <c r="D350" s="9" t="e">
        <f t="shared" ca="1" si="19"/>
        <v>#REF!</v>
      </c>
      <c r="F350" s="7" t="str">
        <f t="shared" si="20"/>
        <v>!A31</v>
      </c>
    </row>
    <row r="351" spans="3:6" x14ac:dyDescent="0.25">
      <c r="C351" s="9">
        <f t="shared" si="18"/>
        <v>31</v>
      </c>
      <c r="D351" s="9" t="e">
        <f t="shared" ca="1" si="19"/>
        <v>#REF!</v>
      </c>
      <c r="F351" s="7" t="str">
        <f t="shared" si="20"/>
        <v>!A31</v>
      </c>
    </row>
    <row r="352" spans="3:6" x14ac:dyDescent="0.25">
      <c r="C352" s="9">
        <f t="shared" si="18"/>
        <v>31</v>
      </c>
      <c r="D352" s="9" t="e">
        <f t="shared" ca="1" si="19"/>
        <v>#REF!</v>
      </c>
      <c r="F352" s="7" t="str">
        <f t="shared" si="20"/>
        <v>!A31</v>
      </c>
    </row>
    <row r="353" spans="3:6" x14ac:dyDescent="0.25">
      <c r="C353" s="9">
        <f t="shared" si="18"/>
        <v>31</v>
      </c>
      <c r="D353" s="9" t="e">
        <f t="shared" ca="1" si="19"/>
        <v>#REF!</v>
      </c>
      <c r="F353" s="7" t="str">
        <f t="shared" si="20"/>
        <v>!A31</v>
      </c>
    </row>
    <row r="354" spans="3:6" x14ac:dyDescent="0.25">
      <c r="C354" s="9">
        <f t="shared" si="18"/>
        <v>31</v>
      </c>
      <c r="D354" s="9" t="e">
        <f t="shared" ca="1" si="19"/>
        <v>#REF!</v>
      </c>
      <c r="F354" s="7" t="str">
        <f t="shared" si="20"/>
        <v>!A31</v>
      </c>
    </row>
    <row r="355" spans="3:6" x14ac:dyDescent="0.25">
      <c r="C355" s="9">
        <f t="shared" si="18"/>
        <v>31</v>
      </c>
      <c r="D355" s="9" t="e">
        <f t="shared" ca="1" si="19"/>
        <v>#REF!</v>
      </c>
      <c r="F355" s="7" t="str">
        <f t="shared" si="20"/>
        <v>!A31</v>
      </c>
    </row>
    <row r="356" spans="3:6" x14ac:dyDescent="0.25">
      <c r="C356" s="9">
        <f t="shared" si="18"/>
        <v>31</v>
      </c>
      <c r="D356" s="9" t="e">
        <f t="shared" ca="1" si="19"/>
        <v>#REF!</v>
      </c>
      <c r="F356" s="7" t="str">
        <f t="shared" si="20"/>
        <v>!A31</v>
      </c>
    </row>
    <row r="357" spans="3:6" x14ac:dyDescent="0.25">
      <c r="C357" s="9">
        <f t="shared" si="18"/>
        <v>31</v>
      </c>
      <c r="D357" s="9" t="e">
        <f t="shared" ca="1" si="19"/>
        <v>#REF!</v>
      </c>
      <c r="F357" s="7" t="str">
        <f t="shared" si="20"/>
        <v>!A31</v>
      </c>
    </row>
    <row r="358" spans="3:6" x14ac:dyDescent="0.25">
      <c r="C358" s="9">
        <f t="shared" si="18"/>
        <v>31</v>
      </c>
      <c r="D358" s="9" t="e">
        <f t="shared" ca="1" si="19"/>
        <v>#REF!</v>
      </c>
      <c r="F358" s="7" t="str">
        <f t="shared" si="20"/>
        <v>!A31</v>
      </c>
    </row>
    <row r="359" spans="3:6" x14ac:dyDescent="0.25">
      <c r="C359" s="9">
        <f t="shared" si="18"/>
        <v>31</v>
      </c>
      <c r="D359" s="9" t="e">
        <f t="shared" ca="1" si="19"/>
        <v>#REF!</v>
      </c>
      <c r="F359" s="7" t="str">
        <f t="shared" si="20"/>
        <v>!A31</v>
      </c>
    </row>
    <row r="360" spans="3:6" x14ac:dyDescent="0.25">
      <c r="C360" s="9">
        <f t="shared" si="18"/>
        <v>31</v>
      </c>
      <c r="D360" s="9" t="e">
        <f t="shared" ca="1" si="19"/>
        <v>#REF!</v>
      </c>
      <c r="F360" s="7" t="str">
        <f t="shared" si="20"/>
        <v>!A31</v>
      </c>
    </row>
    <row r="361" spans="3:6" x14ac:dyDescent="0.25">
      <c r="C361" s="9">
        <f t="shared" si="18"/>
        <v>31</v>
      </c>
      <c r="D361" s="9" t="e">
        <f t="shared" ca="1" si="19"/>
        <v>#REF!</v>
      </c>
      <c r="F361" s="7" t="str">
        <f t="shared" si="20"/>
        <v>!A31</v>
      </c>
    </row>
    <row r="362" spans="3:6" x14ac:dyDescent="0.25">
      <c r="C362" s="9">
        <f t="shared" si="18"/>
        <v>31</v>
      </c>
      <c r="D362" s="9" t="e">
        <f t="shared" ca="1" si="19"/>
        <v>#REF!</v>
      </c>
      <c r="F362" s="7" t="str">
        <f t="shared" si="20"/>
        <v>!A31</v>
      </c>
    </row>
    <row r="363" spans="3:6" x14ac:dyDescent="0.25">
      <c r="C363" s="9">
        <f t="shared" si="18"/>
        <v>31</v>
      </c>
      <c r="D363" s="9" t="e">
        <f t="shared" ca="1" si="19"/>
        <v>#REF!</v>
      </c>
      <c r="F363" s="7" t="str">
        <f t="shared" si="20"/>
        <v>!A31</v>
      </c>
    </row>
    <row r="364" spans="3:6" x14ac:dyDescent="0.25">
      <c r="C364" s="9">
        <f t="shared" si="18"/>
        <v>31</v>
      </c>
      <c r="D364" s="9" t="e">
        <f t="shared" ca="1" si="19"/>
        <v>#REF!</v>
      </c>
      <c r="F364" s="7" t="str">
        <f t="shared" si="20"/>
        <v>!A31</v>
      </c>
    </row>
    <row r="365" spans="3:6" x14ac:dyDescent="0.25">
      <c r="C365" s="9">
        <f t="shared" si="18"/>
        <v>31</v>
      </c>
      <c r="D365" s="9" t="e">
        <f t="shared" ca="1" si="19"/>
        <v>#REF!</v>
      </c>
      <c r="F365" s="7" t="str">
        <f t="shared" si="20"/>
        <v>!A31</v>
      </c>
    </row>
    <row r="366" spans="3:6" x14ac:dyDescent="0.25">
      <c r="C366" s="9">
        <f t="shared" si="18"/>
        <v>31</v>
      </c>
      <c r="D366" s="9" t="e">
        <f t="shared" ca="1" si="19"/>
        <v>#REF!</v>
      </c>
      <c r="F366" s="7" t="str">
        <f t="shared" si="20"/>
        <v>!A31</v>
      </c>
    </row>
    <row r="367" spans="3:6" x14ac:dyDescent="0.25">
      <c r="C367" s="9">
        <f t="shared" si="18"/>
        <v>31</v>
      </c>
      <c r="D367" s="9" t="e">
        <f t="shared" ca="1" si="19"/>
        <v>#REF!</v>
      </c>
      <c r="F367" s="7" t="str">
        <f t="shared" si="20"/>
        <v>!A31</v>
      </c>
    </row>
    <row r="368" spans="3:6" x14ac:dyDescent="0.25">
      <c r="C368" s="9">
        <f t="shared" si="18"/>
        <v>31</v>
      </c>
      <c r="D368" s="9" t="e">
        <f t="shared" ca="1" si="19"/>
        <v>#REF!</v>
      </c>
      <c r="F368" s="7" t="str">
        <f t="shared" si="20"/>
        <v>!A31</v>
      </c>
    </row>
    <row r="369" spans="3:6" x14ac:dyDescent="0.25">
      <c r="C369" s="9">
        <f t="shared" si="18"/>
        <v>31</v>
      </c>
      <c r="D369" s="9" t="e">
        <f t="shared" ca="1" si="19"/>
        <v>#REF!</v>
      </c>
      <c r="F369" s="7" t="str">
        <f t="shared" si="20"/>
        <v>!A31</v>
      </c>
    </row>
    <row r="370" spans="3:6" x14ac:dyDescent="0.25">
      <c r="C370" s="9">
        <f t="shared" si="18"/>
        <v>31</v>
      </c>
      <c r="D370" s="9" t="e">
        <f t="shared" ca="1" si="19"/>
        <v>#REF!</v>
      </c>
      <c r="F370" s="7" t="str">
        <f t="shared" si="20"/>
        <v>!A31</v>
      </c>
    </row>
    <row r="371" spans="3:6" x14ac:dyDescent="0.25">
      <c r="C371" s="9">
        <f t="shared" si="18"/>
        <v>31</v>
      </c>
      <c r="D371" s="9" t="e">
        <f t="shared" ca="1" si="19"/>
        <v>#REF!</v>
      </c>
      <c r="F371" s="7" t="str">
        <f t="shared" si="20"/>
        <v>!A31</v>
      </c>
    </row>
    <row r="372" spans="3:6" x14ac:dyDescent="0.25">
      <c r="C372" s="9">
        <f t="shared" si="18"/>
        <v>31</v>
      </c>
      <c r="D372" s="9" t="e">
        <f t="shared" ca="1" si="19"/>
        <v>#REF!</v>
      </c>
      <c r="F372" s="7" t="str">
        <f t="shared" si="20"/>
        <v>!A31</v>
      </c>
    </row>
    <row r="373" spans="3:6" x14ac:dyDescent="0.25">
      <c r="C373" s="9">
        <f t="shared" si="18"/>
        <v>31</v>
      </c>
      <c r="D373" s="9" t="e">
        <f t="shared" ca="1" si="19"/>
        <v>#REF!</v>
      </c>
      <c r="F373" s="7" t="str">
        <f t="shared" si="20"/>
        <v>!A31</v>
      </c>
    </row>
    <row r="374" spans="3:6" x14ac:dyDescent="0.25">
      <c r="C374" s="9">
        <f t="shared" si="18"/>
        <v>31</v>
      </c>
      <c r="D374" s="9" t="e">
        <f t="shared" ca="1" si="19"/>
        <v>#REF!</v>
      </c>
      <c r="F374" s="7" t="str">
        <f t="shared" si="20"/>
        <v>!A31</v>
      </c>
    </row>
    <row r="375" spans="3:6" x14ac:dyDescent="0.25">
      <c r="C375" s="9">
        <f t="shared" si="18"/>
        <v>31</v>
      </c>
      <c r="D375" s="9" t="e">
        <f t="shared" ca="1" si="19"/>
        <v>#REF!</v>
      </c>
      <c r="F375" s="7" t="str">
        <f t="shared" si="20"/>
        <v>!A31</v>
      </c>
    </row>
    <row r="376" spans="3:6" x14ac:dyDescent="0.25">
      <c r="C376" s="9">
        <f t="shared" si="18"/>
        <v>31</v>
      </c>
      <c r="D376" s="9" t="e">
        <f t="shared" ca="1" si="19"/>
        <v>#REF!</v>
      </c>
      <c r="F376" s="7" t="str">
        <f t="shared" si="20"/>
        <v>!A31</v>
      </c>
    </row>
    <row r="377" spans="3:6" x14ac:dyDescent="0.25">
      <c r="C377" s="9">
        <f t="shared" si="18"/>
        <v>31</v>
      </c>
      <c r="D377" s="9" t="e">
        <f t="shared" ca="1" si="19"/>
        <v>#REF!</v>
      </c>
      <c r="F377" s="7" t="str">
        <f t="shared" si="20"/>
        <v>!A31</v>
      </c>
    </row>
    <row r="378" spans="3:6" x14ac:dyDescent="0.25">
      <c r="C378" s="9">
        <f t="shared" si="18"/>
        <v>31</v>
      </c>
      <c r="D378" s="9" t="e">
        <f t="shared" ca="1" si="19"/>
        <v>#REF!</v>
      </c>
      <c r="F378" s="7" t="str">
        <f t="shared" si="20"/>
        <v>!A31</v>
      </c>
    </row>
    <row r="379" spans="3:6" x14ac:dyDescent="0.25">
      <c r="C379" s="9">
        <f t="shared" ref="C379:C442" si="21">20*B379+31</f>
        <v>31</v>
      </c>
      <c r="D379" s="9" t="e">
        <f t="shared" ref="D379:D442" ca="1" si="22">INDIRECT(ADDRESS(C379,1,4,1,A379))</f>
        <v>#REF!</v>
      </c>
      <c r="F379" s="7" t="str">
        <f t="shared" ref="F379:F442" si="23">ADDRESS(C379,1,4,1,A379)</f>
        <v>!A31</v>
      </c>
    </row>
    <row r="380" spans="3:6" x14ac:dyDescent="0.25">
      <c r="C380" s="9">
        <f t="shared" si="21"/>
        <v>31</v>
      </c>
      <c r="D380" s="9" t="e">
        <f t="shared" ca="1" si="22"/>
        <v>#REF!</v>
      </c>
      <c r="F380" s="7" t="str">
        <f t="shared" si="23"/>
        <v>!A31</v>
      </c>
    </row>
    <row r="381" spans="3:6" x14ac:dyDescent="0.25">
      <c r="C381" s="9">
        <f t="shared" si="21"/>
        <v>31</v>
      </c>
      <c r="D381" s="9" t="e">
        <f t="shared" ca="1" si="22"/>
        <v>#REF!</v>
      </c>
      <c r="F381" s="7" t="str">
        <f t="shared" si="23"/>
        <v>!A31</v>
      </c>
    </row>
    <row r="382" spans="3:6" x14ac:dyDescent="0.25">
      <c r="C382" s="9">
        <f t="shared" si="21"/>
        <v>31</v>
      </c>
      <c r="D382" s="9" t="e">
        <f t="shared" ca="1" si="22"/>
        <v>#REF!</v>
      </c>
      <c r="F382" s="7" t="str">
        <f t="shared" si="23"/>
        <v>!A31</v>
      </c>
    </row>
    <row r="383" spans="3:6" x14ac:dyDescent="0.25">
      <c r="C383" s="9">
        <f t="shared" si="21"/>
        <v>31</v>
      </c>
      <c r="D383" s="9" t="e">
        <f t="shared" ca="1" si="22"/>
        <v>#REF!</v>
      </c>
      <c r="F383" s="7" t="str">
        <f t="shared" si="23"/>
        <v>!A31</v>
      </c>
    </row>
    <row r="384" spans="3:6" x14ac:dyDescent="0.25">
      <c r="C384" s="9">
        <f t="shared" si="21"/>
        <v>31</v>
      </c>
      <c r="D384" s="9" t="e">
        <f t="shared" ca="1" si="22"/>
        <v>#REF!</v>
      </c>
      <c r="F384" s="7" t="str">
        <f t="shared" si="23"/>
        <v>!A31</v>
      </c>
    </row>
    <row r="385" spans="3:6" x14ac:dyDescent="0.25">
      <c r="C385" s="9">
        <f t="shared" si="21"/>
        <v>31</v>
      </c>
      <c r="D385" s="9" t="e">
        <f t="shared" ca="1" si="22"/>
        <v>#REF!</v>
      </c>
      <c r="F385" s="7" t="str">
        <f t="shared" si="23"/>
        <v>!A31</v>
      </c>
    </row>
    <row r="386" spans="3:6" x14ac:dyDescent="0.25">
      <c r="C386" s="9">
        <f t="shared" si="21"/>
        <v>31</v>
      </c>
      <c r="D386" s="9" t="e">
        <f t="shared" ca="1" si="22"/>
        <v>#REF!</v>
      </c>
      <c r="F386" s="7" t="str">
        <f t="shared" si="23"/>
        <v>!A31</v>
      </c>
    </row>
    <row r="387" spans="3:6" x14ac:dyDescent="0.25">
      <c r="C387" s="9">
        <f t="shared" si="21"/>
        <v>31</v>
      </c>
      <c r="D387" s="9" t="e">
        <f t="shared" ca="1" si="22"/>
        <v>#REF!</v>
      </c>
      <c r="F387" s="7" t="str">
        <f t="shared" si="23"/>
        <v>!A31</v>
      </c>
    </row>
    <row r="388" spans="3:6" x14ac:dyDescent="0.25">
      <c r="C388" s="9">
        <f t="shared" si="21"/>
        <v>31</v>
      </c>
      <c r="D388" s="9" t="e">
        <f t="shared" ca="1" si="22"/>
        <v>#REF!</v>
      </c>
      <c r="F388" s="7" t="str">
        <f t="shared" si="23"/>
        <v>!A31</v>
      </c>
    </row>
    <row r="389" spans="3:6" x14ac:dyDescent="0.25">
      <c r="C389" s="9">
        <f t="shared" si="21"/>
        <v>31</v>
      </c>
      <c r="D389" s="9" t="e">
        <f t="shared" ca="1" si="22"/>
        <v>#REF!</v>
      </c>
      <c r="F389" s="7" t="str">
        <f t="shared" si="23"/>
        <v>!A31</v>
      </c>
    </row>
    <row r="390" spans="3:6" x14ac:dyDescent="0.25">
      <c r="C390" s="9">
        <f t="shared" si="21"/>
        <v>31</v>
      </c>
      <c r="D390" s="9" t="e">
        <f t="shared" ca="1" si="22"/>
        <v>#REF!</v>
      </c>
      <c r="F390" s="7" t="str">
        <f t="shared" si="23"/>
        <v>!A31</v>
      </c>
    </row>
    <row r="391" spans="3:6" x14ac:dyDescent="0.25">
      <c r="C391" s="9">
        <f t="shared" si="21"/>
        <v>31</v>
      </c>
      <c r="D391" s="9" t="e">
        <f t="shared" ca="1" si="22"/>
        <v>#REF!</v>
      </c>
      <c r="F391" s="7" t="str">
        <f t="shared" si="23"/>
        <v>!A31</v>
      </c>
    </row>
    <row r="392" spans="3:6" x14ac:dyDescent="0.25">
      <c r="C392" s="9">
        <f t="shared" si="21"/>
        <v>31</v>
      </c>
      <c r="D392" s="9" t="e">
        <f t="shared" ca="1" si="22"/>
        <v>#REF!</v>
      </c>
      <c r="F392" s="7" t="str">
        <f t="shared" si="23"/>
        <v>!A31</v>
      </c>
    </row>
    <row r="393" spans="3:6" x14ac:dyDescent="0.25">
      <c r="C393" s="9">
        <f t="shared" si="21"/>
        <v>31</v>
      </c>
      <c r="D393" s="9" t="e">
        <f t="shared" ca="1" si="22"/>
        <v>#REF!</v>
      </c>
      <c r="F393" s="7" t="str">
        <f t="shared" si="23"/>
        <v>!A31</v>
      </c>
    </row>
    <row r="394" spans="3:6" x14ac:dyDescent="0.25">
      <c r="C394" s="9">
        <f t="shared" si="21"/>
        <v>31</v>
      </c>
      <c r="D394" s="9" t="e">
        <f t="shared" ca="1" si="22"/>
        <v>#REF!</v>
      </c>
      <c r="F394" s="7" t="str">
        <f t="shared" si="23"/>
        <v>!A31</v>
      </c>
    </row>
    <row r="395" spans="3:6" x14ac:dyDescent="0.25">
      <c r="C395" s="9">
        <f t="shared" si="21"/>
        <v>31</v>
      </c>
      <c r="D395" s="9" t="e">
        <f t="shared" ca="1" si="22"/>
        <v>#REF!</v>
      </c>
      <c r="F395" s="7" t="str">
        <f t="shared" si="23"/>
        <v>!A31</v>
      </c>
    </row>
    <row r="396" spans="3:6" x14ac:dyDescent="0.25">
      <c r="C396" s="9">
        <f t="shared" si="21"/>
        <v>31</v>
      </c>
      <c r="D396" s="9" t="e">
        <f t="shared" ca="1" si="22"/>
        <v>#REF!</v>
      </c>
      <c r="F396" s="7" t="str">
        <f t="shared" si="23"/>
        <v>!A31</v>
      </c>
    </row>
    <row r="397" spans="3:6" x14ac:dyDescent="0.25">
      <c r="C397" s="9">
        <f t="shared" si="21"/>
        <v>31</v>
      </c>
      <c r="D397" s="9" t="e">
        <f t="shared" ca="1" si="22"/>
        <v>#REF!</v>
      </c>
      <c r="F397" s="7" t="str">
        <f t="shared" si="23"/>
        <v>!A31</v>
      </c>
    </row>
    <row r="398" spans="3:6" x14ac:dyDescent="0.25">
      <c r="C398" s="9">
        <f t="shared" si="21"/>
        <v>31</v>
      </c>
      <c r="D398" s="9" t="e">
        <f t="shared" ca="1" si="22"/>
        <v>#REF!</v>
      </c>
      <c r="F398" s="7" t="str">
        <f t="shared" si="23"/>
        <v>!A31</v>
      </c>
    </row>
    <row r="399" spans="3:6" x14ac:dyDescent="0.25">
      <c r="C399" s="9">
        <f t="shared" si="21"/>
        <v>31</v>
      </c>
      <c r="D399" s="9" t="e">
        <f t="shared" ca="1" si="22"/>
        <v>#REF!</v>
      </c>
      <c r="F399" s="7" t="str">
        <f t="shared" si="23"/>
        <v>!A31</v>
      </c>
    </row>
    <row r="400" spans="3:6" x14ac:dyDescent="0.25">
      <c r="C400" s="9">
        <f t="shared" si="21"/>
        <v>31</v>
      </c>
      <c r="D400" s="9" t="e">
        <f t="shared" ca="1" si="22"/>
        <v>#REF!</v>
      </c>
      <c r="F400" s="7" t="str">
        <f t="shared" si="23"/>
        <v>!A31</v>
      </c>
    </row>
    <row r="401" spans="3:6" x14ac:dyDescent="0.25">
      <c r="C401" s="9">
        <f t="shared" si="21"/>
        <v>31</v>
      </c>
      <c r="D401" s="9" t="e">
        <f t="shared" ca="1" si="22"/>
        <v>#REF!</v>
      </c>
      <c r="F401" s="7" t="str">
        <f t="shared" si="23"/>
        <v>!A31</v>
      </c>
    </row>
    <row r="402" spans="3:6" x14ac:dyDescent="0.25">
      <c r="C402" s="9">
        <f t="shared" si="21"/>
        <v>31</v>
      </c>
      <c r="D402" s="9" t="e">
        <f t="shared" ca="1" si="22"/>
        <v>#REF!</v>
      </c>
      <c r="F402" s="7" t="str">
        <f t="shared" si="23"/>
        <v>!A31</v>
      </c>
    </row>
    <row r="403" spans="3:6" x14ac:dyDescent="0.25">
      <c r="C403" s="9">
        <f t="shared" si="21"/>
        <v>31</v>
      </c>
      <c r="D403" s="9" t="e">
        <f t="shared" ca="1" si="22"/>
        <v>#REF!</v>
      </c>
      <c r="F403" s="7" t="str">
        <f t="shared" si="23"/>
        <v>!A31</v>
      </c>
    </row>
    <row r="404" spans="3:6" x14ac:dyDescent="0.25">
      <c r="C404" s="9">
        <f t="shared" si="21"/>
        <v>31</v>
      </c>
      <c r="D404" s="9" t="e">
        <f t="shared" ca="1" si="22"/>
        <v>#REF!</v>
      </c>
      <c r="F404" s="7" t="str">
        <f t="shared" si="23"/>
        <v>!A31</v>
      </c>
    </row>
    <row r="405" spans="3:6" x14ac:dyDescent="0.25">
      <c r="C405" s="9">
        <f t="shared" si="21"/>
        <v>31</v>
      </c>
      <c r="D405" s="9" t="e">
        <f t="shared" ca="1" si="22"/>
        <v>#REF!</v>
      </c>
      <c r="F405" s="7" t="str">
        <f t="shared" si="23"/>
        <v>!A31</v>
      </c>
    </row>
    <row r="406" spans="3:6" x14ac:dyDescent="0.25">
      <c r="C406" s="9">
        <f t="shared" si="21"/>
        <v>31</v>
      </c>
      <c r="D406" s="9" t="e">
        <f t="shared" ca="1" si="22"/>
        <v>#REF!</v>
      </c>
      <c r="F406" s="7" t="str">
        <f t="shared" si="23"/>
        <v>!A31</v>
      </c>
    </row>
    <row r="407" spans="3:6" x14ac:dyDescent="0.25">
      <c r="C407" s="9">
        <f t="shared" si="21"/>
        <v>31</v>
      </c>
      <c r="D407" s="9" t="e">
        <f t="shared" ca="1" si="22"/>
        <v>#REF!</v>
      </c>
      <c r="F407" s="7" t="str">
        <f t="shared" si="23"/>
        <v>!A31</v>
      </c>
    </row>
    <row r="408" spans="3:6" x14ac:dyDescent="0.25">
      <c r="C408" s="9">
        <f t="shared" si="21"/>
        <v>31</v>
      </c>
      <c r="D408" s="9" t="e">
        <f t="shared" ca="1" si="22"/>
        <v>#REF!</v>
      </c>
      <c r="F408" s="7" t="str">
        <f t="shared" si="23"/>
        <v>!A31</v>
      </c>
    </row>
    <row r="409" spans="3:6" x14ac:dyDescent="0.25">
      <c r="C409" s="9">
        <f t="shared" si="21"/>
        <v>31</v>
      </c>
      <c r="D409" s="9" t="e">
        <f t="shared" ca="1" si="22"/>
        <v>#REF!</v>
      </c>
      <c r="F409" s="7" t="str">
        <f t="shared" si="23"/>
        <v>!A31</v>
      </c>
    </row>
    <row r="410" spans="3:6" x14ac:dyDescent="0.25">
      <c r="C410" s="9">
        <f t="shared" si="21"/>
        <v>31</v>
      </c>
      <c r="D410" s="9" t="e">
        <f t="shared" ca="1" si="22"/>
        <v>#REF!</v>
      </c>
      <c r="F410" s="7" t="str">
        <f t="shared" si="23"/>
        <v>!A31</v>
      </c>
    </row>
    <row r="411" spans="3:6" x14ac:dyDescent="0.25">
      <c r="C411" s="9">
        <f t="shared" si="21"/>
        <v>31</v>
      </c>
      <c r="D411" s="9" t="e">
        <f t="shared" ca="1" si="22"/>
        <v>#REF!</v>
      </c>
      <c r="F411" s="7" t="str">
        <f t="shared" si="23"/>
        <v>!A31</v>
      </c>
    </row>
    <row r="412" spans="3:6" x14ac:dyDescent="0.25">
      <c r="C412" s="9">
        <f t="shared" si="21"/>
        <v>31</v>
      </c>
      <c r="D412" s="9" t="e">
        <f t="shared" ca="1" si="22"/>
        <v>#REF!</v>
      </c>
      <c r="F412" s="7" t="str">
        <f t="shared" si="23"/>
        <v>!A31</v>
      </c>
    </row>
    <row r="413" spans="3:6" x14ac:dyDescent="0.25">
      <c r="C413" s="9">
        <f t="shared" si="21"/>
        <v>31</v>
      </c>
      <c r="D413" s="9" t="e">
        <f t="shared" ca="1" si="22"/>
        <v>#REF!</v>
      </c>
      <c r="F413" s="7" t="str">
        <f t="shared" si="23"/>
        <v>!A31</v>
      </c>
    </row>
    <row r="414" spans="3:6" x14ac:dyDescent="0.25">
      <c r="C414" s="9">
        <f t="shared" si="21"/>
        <v>31</v>
      </c>
      <c r="D414" s="9" t="e">
        <f t="shared" ca="1" si="22"/>
        <v>#REF!</v>
      </c>
      <c r="F414" s="7" t="str">
        <f t="shared" si="23"/>
        <v>!A31</v>
      </c>
    </row>
    <row r="415" spans="3:6" x14ac:dyDescent="0.25">
      <c r="C415" s="9">
        <f t="shared" si="21"/>
        <v>31</v>
      </c>
      <c r="D415" s="9" t="e">
        <f t="shared" ca="1" si="22"/>
        <v>#REF!</v>
      </c>
      <c r="F415" s="7" t="str">
        <f t="shared" si="23"/>
        <v>!A31</v>
      </c>
    </row>
    <row r="416" spans="3:6" x14ac:dyDescent="0.25">
      <c r="C416" s="9">
        <f t="shared" si="21"/>
        <v>31</v>
      </c>
      <c r="D416" s="9" t="e">
        <f t="shared" ca="1" si="22"/>
        <v>#REF!</v>
      </c>
      <c r="F416" s="7" t="str">
        <f t="shared" si="23"/>
        <v>!A31</v>
      </c>
    </row>
    <row r="417" spans="3:6" x14ac:dyDescent="0.25">
      <c r="C417" s="9">
        <f t="shared" si="21"/>
        <v>31</v>
      </c>
      <c r="D417" s="9" t="e">
        <f t="shared" ca="1" si="22"/>
        <v>#REF!</v>
      </c>
      <c r="F417" s="7" t="str">
        <f t="shared" si="23"/>
        <v>!A31</v>
      </c>
    </row>
    <row r="418" spans="3:6" x14ac:dyDescent="0.25">
      <c r="C418" s="9">
        <f t="shared" si="21"/>
        <v>31</v>
      </c>
      <c r="D418" s="9" t="e">
        <f t="shared" ca="1" si="22"/>
        <v>#REF!</v>
      </c>
      <c r="F418" s="7" t="str">
        <f t="shared" si="23"/>
        <v>!A31</v>
      </c>
    </row>
    <row r="419" spans="3:6" x14ac:dyDescent="0.25">
      <c r="C419" s="9">
        <f t="shared" si="21"/>
        <v>31</v>
      </c>
      <c r="D419" s="9" t="e">
        <f t="shared" ca="1" si="22"/>
        <v>#REF!</v>
      </c>
      <c r="F419" s="7" t="str">
        <f t="shared" si="23"/>
        <v>!A31</v>
      </c>
    </row>
    <row r="420" spans="3:6" x14ac:dyDescent="0.25">
      <c r="C420" s="9">
        <f t="shared" si="21"/>
        <v>31</v>
      </c>
      <c r="D420" s="9" t="e">
        <f t="shared" ca="1" si="22"/>
        <v>#REF!</v>
      </c>
      <c r="F420" s="7" t="str">
        <f t="shared" si="23"/>
        <v>!A31</v>
      </c>
    </row>
    <row r="421" spans="3:6" x14ac:dyDescent="0.25">
      <c r="C421" s="9">
        <f t="shared" si="21"/>
        <v>31</v>
      </c>
      <c r="D421" s="9" t="e">
        <f t="shared" ca="1" si="22"/>
        <v>#REF!</v>
      </c>
      <c r="F421" s="7" t="str">
        <f t="shared" si="23"/>
        <v>!A31</v>
      </c>
    </row>
    <row r="422" spans="3:6" x14ac:dyDescent="0.25">
      <c r="C422" s="9">
        <f t="shared" si="21"/>
        <v>31</v>
      </c>
      <c r="D422" s="9" t="e">
        <f t="shared" ca="1" si="22"/>
        <v>#REF!</v>
      </c>
      <c r="F422" s="7" t="str">
        <f t="shared" si="23"/>
        <v>!A31</v>
      </c>
    </row>
    <row r="423" spans="3:6" x14ac:dyDescent="0.25">
      <c r="C423" s="9">
        <f t="shared" si="21"/>
        <v>31</v>
      </c>
      <c r="D423" s="9" t="e">
        <f t="shared" ca="1" si="22"/>
        <v>#REF!</v>
      </c>
      <c r="F423" s="7" t="str">
        <f t="shared" si="23"/>
        <v>!A31</v>
      </c>
    </row>
    <row r="424" spans="3:6" x14ac:dyDescent="0.25">
      <c r="C424" s="9">
        <f t="shared" si="21"/>
        <v>31</v>
      </c>
      <c r="D424" s="9" t="e">
        <f t="shared" ca="1" si="22"/>
        <v>#REF!</v>
      </c>
      <c r="F424" s="7" t="str">
        <f t="shared" si="23"/>
        <v>!A31</v>
      </c>
    </row>
    <row r="425" spans="3:6" x14ac:dyDescent="0.25">
      <c r="C425" s="9">
        <f t="shared" si="21"/>
        <v>31</v>
      </c>
      <c r="D425" s="9" t="e">
        <f t="shared" ca="1" si="22"/>
        <v>#REF!</v>
      </c>
      <c r="F425" s="7" t="str">
        <f t="shared" si="23"/>
        <v>!A31</v>
      </c>
    </row>
    <row r="426" spans="3:6" x14ac:dyDescent="0.25">
      <c r="C426" s="9">
        <f t="shared" si="21"/>
        <v>31</v>
      </c>
      <c r="D426" s="9" t="e">
        <f t="shared" ca="1" si="22"/>
        <v>#REF!</v>
      </c>
      <c r="F426" s="7" t="str">
        <f t="shared" si="23"/>
        <v>!A31</v>
      </c>
    </row>
    <row r="427" spans="3:6" x14ac:dyDescent="0.25">
      <c r="C427" s="9">
        <f t="shared" si="21"/>
        <v>31</v>
      </c>
      <c r="D427" s="9" t="e">
        <f t="shared" ca="1" si="22"/>
        <v>#REF!</v>
      </c>
      <c r="F427" s="7" t="str">
        <f t="shared" si="23"/>
        <v>!A31</v>
      </c>
    </row>
    <row r="428" spans="3:6" x14ac:dyDescent="0.25">
      <c r="C428" s="9">
        <f t="shared" si="21"/>
        <v>31</v>
      </c>
      <c r="D428" s="9" t="e">
        <f t="shared" ca="1" si="22"/>
        <v>#REF!</v>
      </c>
      <c r="F428" s="7" t="str">
        <f t="shared" si="23"/>
        <v>!A31</v>
      </c>
    </row>
    <row r="429" spans="3:6" x14ac:dyDescent="0.25">
      <c r="C429" s="9">
        <f t="shared" si="21"/>
        <v>31</v>
      </c>
      <c r="D429" s="9" t="e">
        <f t="shared" ca="1" si="22"/>
        <v>#REF!</v>
      </c>
      <c r="F429" s="7" t="str">
        <f t="shared" si="23"/>
        <v>!A31</v>
      </c>
    </row>
    <row r="430" spans="3:6" x14ac:dyDescent="0.25">
      <c r="C430" s="9">
        <f t="shared" si="21"/>
        <v>31</v>
      </c>
      <c r="D430" s="9" t="e">
        <f t="shared" ca="1" si="22"/>
        <v>#REF!</v>
      </c>
      <c r="F430" s="7" t="str">
        <f t="shared" si="23"/>
        <v>!A31</v>
      </c>
    </row>
    <row r="431" spans="3:6" x14ac:dyDescent="0.25">
      <c r="C431" s="9">
        <f t="shared" si="21"/>
        <v>31</v>
      </c>
      <c r="D431" s="9" t="e">
        <f t="shared" ca="1" si="22"/>
        <v>#REF!</v>
      </c>
      <c r="F431" s="7" t="str">
        <f t="shared" si="23"/>
        <v>!A31</v>
      </c>
    </row>
    <row r="432" spans="3:6" x14ac:dyDescent="0.25">
      <c r="C432" s="9">
        <f t="shared" si="21"/>
        <v>31</v>
      </c>
      <c r="D432" s="9" t="e">
        <f t="shared" ca="1" si="22"/>
        <v>#REF!</v>
      </c>
      <c r="F432" s="7" t="str">
        <f t="shared" si="23"/>
        <v>!A31</v>
      </c>
    </row>
    <row r="433" spans="3:6" x14ac:dyDescent="0.25">
      <c r="C433" s="9">
        <f t="shared" si="21"/>
        <v>31</v>
      </c>
      <c r="D433" s="9" t="e">
        <f t="shared" ca="1" si="22"/>
        <v>#REF!</v>
      </c>
      <c r="F433" s="7" t="str">
        <f t="shared" si="23"/>
        <v>!A31</v>
      </c>
    </row>
    <row r="434" spans="3:6" x14ac:dyDescent="0.25">
      <c r="C434" s="9">
        <f t="shared" si="21"/>
        <v>31</v>
      </c>
      <c r="D434" s="9" t="e">
        <f t="shared" ca="1" si="22"/>
        <v>#REF!</v>
      </c>
      <c r="F434" s="7" t="str">
        <f t="shared" si="23"/>
        <v>!A31</v>
      </c>
    </row>
    <row r="435" spans="3:6" x14ac:dyDescent="0.25">
      <c r="C435" s="9">
        <f t="shared" si="21"/>
        <v>31</v>
      </c>
      <c r="D435" s="9" t="e">
        <f t="shared" ca="1" si="22"/>
        <v>#REF!</v>
      </c>
      <c r="F435" s="7" t="str">
        <f t="shared" si="23"/>
        <v>!A31</v>
      </c>
    </row>
    <row r="436" spans="3:6" x14ac:dyDescent="0.25">
      <c r="C436" s="9">
        <f t="shared" si="21"/>
        <v>31</v>
      </c>
      <c r="D436" s="9" t="e">
        <f t="shared" ca="1" si="22"/>
        <v>#REF!</v>
      </c>
      <c r="F436" s="7" t="str">
        <f t="shared" si="23"/>
        <v>!A31</v>
      </c>
    </row>
    <row r="437" spans="3:6" x14ac:dyDescent="0.25">
      <c r="C437" s="9">
        <f t="shared" si="21"/>
        <v>31</v>
      </c>
      <c r="D437" s="9" t="e">
        <f t="shared" ca="1" si="22"/>
        <v>#REF!</v>
      </c>
      <c r="F437" s="7" t="str">
        <f t="shared" si="23"/>
        <v>!A31</v>
      </c>
    </row>
    <row r="438" spans="3:6" x14ac:dyDescent="0.25">
      <c r="C438" s="9">
        <f t="shared" si="21"/>
        <v>31</v>
      </c>
      <c r="D438" s="9" t="e">
        <f t="shared" ca="1" si="22"/>
        <v>#REF!</v>
      </c>
      <c r="F438" s="7" t="str">
        <f t="shared" si="23"/>
        <v>!A31</v>
      </c>
    </row>
    <row r="439" spans="3:6" x14ac:dyDescent="0.25">
      <c r="C439" s="9">
        <f t="shared" si="21"/>
        <v>31</v>
      </c>
      <c r="D439" s="9" t="e">
        <f t="shared" ca="1" si="22"/>
        <v>#REF!</v>
      </c>
      <c r="F439" s="7" t="str">
        <f t="shared" si="23"/>
        <v>!A31</v>
      </c>
    </row>
    <row r="440" spans="3:6" x14ac:dyDescent="0.25">
      <c r="C440" s="9">
        <f t="shared" si="21"/>
        <v>31</v>
      </c>
      <c r="D440" s="9" t="e">
        <f t="shared" ca="1" si="22"/>
        <v>#REF!</v>
      </c>
      <c r="F440" s="7" t="str">
        <f t="shared" si="23"/>
        <v>!A31</v>
      </c>
    </row>
    <row r="441" spans="3:6" x14ac:dyDescent="0.25">
      <c r="C441" s="9">
        <f t="shared" si="21"/>
        <v>31</v>
      </c>
      <c r="D441" s="9" t="e">
        <f t="shared" ca="1" si="22"/>
        <v>#REF!</v>
      </c>
      <c r="F441" s="7" t="str">
        <f t="shared" si="23"/>
        <v>!A31</v>
      </c>
    </row>
    <row r="442" spans="3:6" x14ac:dyDescent="0.25">
      <c r="C442" s="9">
        <f t="shared" si="21"/>
        <v>31</v>
      </c>
      <c r="D442" s="9" t="e">
        <f t="shared" ca="1" si="22"/>
        <v>#REF!</v>
      </c>
      <c r="F442" s="7" t="str">
        <f t="shared" si="23"/>
        <v>!A31</v>
      </c>
    </row>
    <row r="443" spans="3:6" x14ac:dyDescent="0.25">
      <c r="C443" s="9">
        <f t="shared" ref="C443:C506" si="24">20*B443+31</f>
        <v>31</v>
      </c>
      <c r="D443" s="9" t="e">
        <f t="shared" ref="D443:D506" ca="1" si="25">INDIRECT(ADDRESS(C443,1,4,1,A443))</f>
        <v>#REF!</v>
      </c>
      <c r="F443" s="7" t="str">
        <f t="shared" ref="F443:F506" si="26">ADDRESS(C443,1,4,1,A443)</f>
        <v>!A31</v>
      </c>
    </row>
    <row r="444" spans="3:6" x14ac:dyDescent="0.25">
      <c r="C444" s="9">
        <f t="shared" si="24"/>
        <v>31</v>
      </c>
      <c r="D444" s="9" t="e">
        <f t="shared" ca="1" si="25"/>
        <v>#REF!</v>
      </c>
      <c r="F444" s="7" t="str">
        <f t="shared" si="26"/>
        <v>!A31</v>
      </c>
    </row>
    <row r="445" spans="3:6" x14ac:dyDescent="0.25">
      <c r="C445" s="9">
        <f t="shared" si="24"/>
        <v>31</v>
      </c>
      <c r="D445" s="9" t="e">
        <f t="shared" ca="1" si="25"/>
        <v>#REF!</v>
      </c>
      <c r="F445" s="7" t="str">
        <f t="shared" si="26"/>
        <v>!A31</v>
      </c>
    </row>
    <row r="446" spans="3:6" x14ac:dyDescent="0.25">
      <c r="C446" s="9">
        <f t="shared" si="24"/>
        <v>31</v>
      </c>
      <c r="D446" s="9" t="e">
        <f t="shared" ca="1" si="25"/>
        <v>#REF!</v>
      </c>
      <c r="F446" s="7" t="str">
        <f t="shared" si="26"/>
        <v>!A31</v>
      </c>
    </row>
    <row r="447" spans="3:6" x14ac:dyDescent="0.25">
      <c r="C447" s="9">
        <f t="shared" si="24"/>
        <v>31</v>
      </c>
      <c r="D447" s="9" t="e">
        <f t="shared" ca="1" si="25"/>
        <v>#REF!</v>
      </c>
      <c r="F447" s="7" t="str">
        <f t="shared" si="26"/>
        <v>!A31</v>
      </c>
    </row>
    <row r="448" spans="3:6" x14ac:dyDescent="0.25">
      <c r="C448" s="9">
        <f t="shared" si="24"/>
        <v>31</v>
      </c>
      <c r="D448" s="9" t="e">
        <f t="shared" ca="1" si="25"/>
        <v>#REF!</v>
      </c>
      <c r="F448" s="7" t="str">
        <f t="shared" si="26"/>
        <v>!A31</v>
      </c>
    </row>
    <row r="449" spans="3:6" x14ac:dyDescent="0.25">
      <c r="C449" s="9">
        <f t="shared" si="24"/>
        <v>31</v>
      </c>
      <c r="D449" s="9" t="e">
        <f t="shared" ca="1" si="25"/>
        <v>#REF!</v>
      </c>
      <c r="F449" s="7" t="str">
        <f t="shared" si="26"/>
        <v>!A31</v>
      </c>
    </row>
    <row r="450" spans="3:6" x14ac:dyDescent="0.25">
      <c r="C450" s="9">
        <f t="shared" si="24"/>
        <v>31</v>
      </c>
      <c r="D450" s="9" t="e">
        <f t="shared" ca="1" si="25"/>
        <v>#REF!</v>
      </c>
      <c r="F450" s="7" t="str">
        <f t="shared" si="26"/>
        <v>!A31</v>
      </c>
    </row>
    <row r="451" spans="3:6" x14ac:dyDescent="0.25">
      <c r="C451" s="9">
        <f t="shared" si="24"/>
        <v>31</v>
      </c>
      <c r="D451" s="9" t="e">
        <f t="shared" ca="1" si="25"/>
        <v>#REF!</v>
      </c>
      <c r="F451" s="7" t="str">
        <f t="shared" si="26"/>
        <v>!A31</v>
      </c>
    </row>
    <row r="452" spans="3:6" x14ac:dyDescent="0.25">
      <c r="C452" s="9">
        <f t="shared" si="24"/>
        <v>31</v>
      </c>
      <c r="D452" s="9" t="e">
        <f t="shared" ca="1" si="25"/>
        <v>#REF!</v>
      </c>
      <c r="F452" s="7" t="str">
        <f t="shared" si="26"/>
        <v>!A31</v>
      </c>
    </row>
    <row r="453" spans="3:6" x14ac:dyDescent="0.25">
      <c r="C453" s="9">
        <f t="shared" si="24"/>
        <v>31</v>
      </c>
      <c r="D453" s="9" t="e">
        <f t="shared" ca="1" si="25"/>
        <v>#REF!</v>
      </c>
      <c r="F453" s="7" t="str">
        <f t="shared" si="26"/>
        <v>!A31</v>
      </c>
    </row>
    <row r="454" spans="3:6" x14ac:dyDescent="0.25">
      <c r="C454" s="9">
        <f t="shared" si="24"/>
        <v>31</v>
      </c>
      <c r="D454" s="9" t="e">
        <f t="shared" ca="1" si="25"/>
        <v>#REF!</v>
      </c>
      <c r="F454" s="7" t="str">
        <f t="shared" si="26"/>
        <v>!A31</v>
      </c>
    </row>
    <row r="455" spans="3:6" x14ac:dyDescent="0.25">
      <c r="C455" s="9">
        <f t="shared" si="24"/>
        <v>31</v>
      </c>
      <c r="D455" s="9" t="e">
        <f t="shared" ca="1" si="25"/>
        <v>#REF!</v>
      </c>
      <c r="F455" s="7" t="str">
        <f t="shared" si="26"/>
        <v>!A31</v>
      </c>
    </row>
    <row r="456" spans="3:6" x14ac:dyDescent="0.25">
      <c r="C456" s="9">
        <f t="shared" si="24"/>
        <v>31</v>
      </c>
      <c r="D456" s="9" t="e">
        <f t="shared" ca="1" si="25"/>
        <v>#REF!</v>
      </c>
      <c r="F456" s="7" t="str">
        <f t="shared" si="26"/>
        <v>!A31</v>
      </c>
    </row>
    <row r="457" spans="3:6" x14ac:dyDescent="0.25">
      <c r="C457" s="9">
        <f t="shared" si="24"/>
        <v>31</v>
      </c>
      <c r="D457" s="9" t="e">
        <f t="shared" ca="1" si="25"/>
        <v>#REF!</v>
      </c>
      <c r="F457" s="7" t="str">
        <f t="shared" si="26"/>
        <v>!A31</v>
      </c>
    </row>
    <row r="458" spans="3:6" x14ac:dyDescent="0.25">
      <c r="C458" s="9">
        <f t="shared" si="24"/>
        <v>31</v>
      </c>
      <c r="D458" s="9" t="e">
        <f t="shared" ca="1" si="25"/>
        <v>#REF!</v>
      </c>
      <c r="F458" s="7" t="str">
        <f t="shared" si="26"/>
        <v>!A31</v>
      </c>
    </row>
    <row r="459" spans="3:6" x14ac:dyDescent="0.25">
      <c r="C459" s="9">
        <f t="shared" si="24"/>
        <v>31</v>
      </c>
      <c r="D459" s="9" t="e">
        <f t="shared" ca="1" si="25"/>
        <v>#REF!</v>
      </c>
      <c r="F459" s="7" t="str">
        <f t="shared" si="26"/>
        <v>!A31</v>
      </c>
    </row>
    <row r="460" spans="3:6" x14ac:dyDescent="0.25">
      <c r="C460" s="9">
        <f t="shared" si="24"/>
        <v>31</v>
      </c>
      <c r="D460" s="9" t="e">
        <f t="shared" ca="1" si="25"/>
        <v>#REF!</v>
      </c>
      <c r="F460" s="7" t="str">
        <f t="shared" si="26"/>
        <v>!A31</v>
      </c>
    </row>
    <row r="461" spans="3:6" x14ac:dyDescent="0.25">
      <c r="C461" s="9">
        <f t="shared" si="24"/>
        <v>31</v>
      </c>
      <c r="D461" s="9" t="e">
        <f t="shared" ca="1" si="25"/>
        <v>#REF!</v>
      </c>
      <c r="F461" s="7" t="str">
        <f t="shared" si="26"/>
        <v>!A31</v>
      </c>
    </row>
    <row r="462" spans="3:6" x14ac:dyDescent="0.25">
      <c r="C462" s="9">
        <f t="shared" si="24"/>
        <v>31</v>
      </c>
      <c r="D462" s="9" t="e">
        <f t="shared" ca="1" si="25"/>
        <v>#REF!</v>
      </c>
      <c r="F462" s="7" t="str">
        <f t="shared" si="26"/>
        <v>!A31</v>
      </c>
    </row>
    <row r="463" spans="3:6" x14ac:dyDescent="0.25">
      <c r="C463" s="9">
        <f t="shared" si="24"/>
        <v>31</v>
      </c>
      <c r="D463" s="9" t="e">
        <f t="shared" ca="1" si="25"/>
        <v>#REF!</v>
      </c>
      <c r="F463" s="7" t="str">
        <f t="shared" si="26"/>
        <v>!A31</v>
      </c>
    </row>
    <row r="464" spans="3:6" x14ac:dyDescent="0.25">
      <c r="C464" s="9">
        <f t="shared" si="24"/>
        <v>31</v>
      </c>
      <c r="D464" s="9" t="e">
        <f t="shared" ca="1" si="25"/>
        <v>#REF!</v>
      </c>
      <c r="F464" s="7" t="str">
        <f t="shared" si="26"/>
        <v>!A31</v>
      </c>
    </row>
    <row r="465" spans="3:6" x14ac:dyDescent="0.25">
      <c r="C465" s="9">
        <f t="shared" si="24"/>
        <v>31</v>
      </c>
      <c r="D465" s="9" t="e">
        <f t="shared" ca="1" si="25"/>
        <v>#REF!</v>
      </c>
      <c r="F465" s="7" t="str">
        <f t="shared" si="26"/>
        <v>!A31</v>
      </c>
    </row>
    <row r="466" spans="3:6" x14ac:dyDescent="0.25">
      <c r="C466" s="9">
        <f t="shared" si="24"/>
        <v>31</v>
      </c>
      <c r="D466" s="9" t="e">
        <f t="shared" ca="1" si="25"/>
        <v>#REF!</v>
      </c>
      <c r="F466" s="7" t="str">
        <f t="shared" si="26"/>
        <v>!A31</v>
      </c>
    </row>
    <row r="467" spans="3:6" x14ac:dyDescent="0.25">
      <c r="C467" s="9">
        <f t="shared" si="24"/>
        <v>31</v>
      </c>
      <c r="D467" s="9" t="e">
        <f t="shared" ca="1" si="25"/>
        <v>#REF!</v>
      </c>
      <c r="F467" s="7" t="str">
        <f t="shared" si="26"/>
        <v>!A31</v>
      </c>
    </row>
    <row r="468" spans="3:6" x14ac:dyDescent="0.25">
      <c r="C468" s="9">
        <f t="shared" si="24"/>
        <v>31</v>
      </c>
      <c r="D468" s="9" t="e">
        <f t="shared" ca="1" si="25"/>
        <v>#REF!</v>
      </c>
      <c r="F468" s="7" t="str">
        <f t="shared" si="26"/>
        <v>!A31</v>
      </c>
    </row>
    <row r="469" spans="3:6" x14ac:dyDescent="0.25">
      <c r="C469" s="9">
        <f t="shared" si="24"/>
        <v>31</v>
      </c>
      <c r="D469" s="9" t="e">
        <f t="shared" ca="1" si="25"/>
        <v>#REF!</v>
      </c>
      <c r="F469" s="7" t="str">
        <f t="shared" si="26"/>
        <v>!A31</v>
      </c>
    </row>
    <row r="470" spans="3:6" x14ac:dyDescent="0.25">
      <c r="C470" s="9">
        <f t="shared" si="24"/>
        <v>31</v>
      </c>
      <c r="D470" s="9" t="e">
        <f t="shared" ca="1" si="25"/>
        <v>#REF!</v>
      </c>
      <c r="F470" s="7" t="str">
        <f t="shared" si="26"/>
        <v>!A31</v>
      </c>
    </row>
    <row r="471" spans="3:6" x14ac:dyDescent="0.25">
      <c r="C471" s="9">
        <f t="shared" si="24"/>
        <v>31</v>
      </c>
      <c r="D471" s="9" t="e">
        <f t="shared" ca="1" si="25"/>
        <v>#REF!</v>
      </c>
      <c r="F471" s="7" t="str">
        <f t="shared" si="26"/>
        <v>!A31</v>
      </c>
    </row>
    <row r="472" spans="3:6" x14ac:dyDescent="0.25">
      <c r="C472" s="9">
        <f t="shared" si="24"/>
        <v>31</v>
      </c>
      <c r="D472" s="9" t="e">
        <f t="shared" ca="1" si="25"/>
        <v>#REF!</v>
      </c>
      <c r="F472" s="7" t="str">
        <f t="shared" si="26"/>
        <v>!A31</v>
      </c>
    </row>
    <row r="473" spans="3:6" x14ac:dyDescent="0.25">
      <c r="C473" s="9">
        <f t="shared" si="24"/>
        <v>31</v>
      </c>
      <c r="D473" s="9" t="e">
        <f t="shared" ca="1" si="25"/>
        <v>#REF!</v>
      </c>
      <c r="F473" s="7" t="str">
        <f t="shared" si="26"/>
        <v>!A31</v>
      </c>
    </row>
    <row r="474" spans="3:6" x14ac:dyDescent="0.25">
      <c r="C474" s="9">
        <f t="shared" si="24"/>
        <v>31</v>
      </c>
      <c r="D474" s="9" t="e">
        <f t="shared" ca="1" si="25"/>
        <v>#REF!</v>
      </c>
      <c r="F474" s="7" t="str">
        <f t="shared" si="26"/>
        <v>!A31</v>
      </c>
    </row>
    <row r="475" spans="3:6" x14ac:dyDescent="0.25">
      <c r="C475" s="9">
        <f t="shared" si="24"/>
        <v>31</v>
      </c>
      <c r="D475" s="9" t="e">
        <f t="shared" ca="1" si="25"/>
        <v>#REF!</v>
      </c>
      <c r="F475" s="7" t="str">
        <f t="shared" si="26"/>
        <v>!A31</v>
      </c>
    </row>
    <row r="476" spans="3:6" x14ac:dyDescent="0.25">
      <c r="C476" s="9">
        <f t="shared" si="24"/>
        <v>31</v>
      </c>
      <c r="D476" s="9" t="e">
        <f t="shared" ca="1" si="25"/>
        <v>#REF!</v>
      </c>
      <c r="F476" s="7" t="str">
        <f t="shared" si="26"/>
        <v>!A31</v>
      </c>
    </row>
    <row r="477" spans="3:6" x14ac:dyDescent="0.25">
      <c r="C477" s="9">
        <f t="shared" si="24"/>
        <v>31</v>
      </c>
      <c r="D477" s="9" t="e">
        <f t="shared" ca="1" si="25"/>
        <v>#REF!</v>
      </c>
      <c r="F477" s="7" t="str">
        <f t="shared" si="26"/>
        <v>!A31</v>
      </c>
    </row>
    <row r="478" spans="3:6" x14ac:dyDescent="0.25">
      <c r="C478" s="9">
        <f t="shared" si="24"/>
        <v>31</v>
      </c>
      <c r="D478" s="9" t="e">
        <f t="shared" ca="1" si="25"/>
        <v>#REF!</v>
      </c>
      <c r="F478" s="7" t="str">
        <f t="shared" si="26"/>
        <v>!A31</v>
      </c>
    </row>
    <row r="479" spans="3:6" x14ac:dyDescent="0.25">
      <c r="C479" s="9">
        <f t="shared" si="24"/>
        <v>31</v>
      </c>
      <c r="D479" s="9" t="e">
        <f t="shared" ca="1" si="25"/>
        <v>#REF!</v>
      </c>
      <c r="F479" s="7" t="str">
        <f t="shared" si="26"/>
        <v>!A31</v>
      </c>
    </row>
    <row r="480" spans="3:6" x14ac:dyDescent="0.25">
      <c r="C480" s="9">
        <f t="shared" si="24"/>
        <v>31</v>
      </c>
      <c r="D480" s="9" t="e">
        <f t="shared" ca="1" si="25"/>
        <v>#REF!</v>
      </c>
      <c r="F480" s="7" t="str">
        <f t="shared" si="26"/>
        <v>!A31</v>
      </c>
    </row>
    <row r="481" spans="3:6" x14ac:dyDescent="0.25">
      <c r="C481" s="9">
        <f t="shared" si="24"/>
        <v>31</v>
      </c>
      <c r="D481" s="9" t="e">
        <f t="shared" ca="1" si="25"/>
        <v>#REF!</v>
      </c>
      <c r="F481" s="7" t="str">
        <f t="shared" si="26"/>
        <v>!A31</v>
      </c>
    </row>
    <row r="482" spans="3:6" x14ac:dyDescent="0.25">
      <c r="C482" s="9">
        <f t="shared" si="24"/>
        <v>31</v>
      </c>
      <c r="D482" s="9" t="e">
        <f t="shared" ca="1" si="25"/>
        <v>#REF!</v>
      </c>
      <c r="F482" s="7" t="str">
        <f t="shared" si="26"/>
        <v>!A31</v>
      </c>
    </row>
    <row r="483" spans="3:6" x14ac:dyDescent="0.25">
      <c r="C483" s="9">
        <f t="shared" si="24"/>
        <v>31</v>
      </c>
      <c r="D483" s="9" t="e">
        <f t="shared" ca="1" si="25"/>
        <v>#REF!</v>
      </c>
      <c r="F483" s="7" t="str">
        <f t="shared" si="26"/>
        <v>!A31</v>
      </c>
    </row>
    <row r="484" spans="3:6" x14ac:dyDescent="0.25">
      <c r="C484" s="9">
        <f t="shared" si="24"/>
        <v>31</v>
      </c>
      <c r="D484" s="9" t="e">
        <f t="shared" ca="1" si="25"/>
        <v>#REF!</v>
      </c>
      <c r="F484" s="7" t="str">
        <f t="shared" si="26"/>
        <v>!A31</v>
      </c>
    </row>
    <row r="485" spans="3:6" x14ac:dyDescent="0.25">
      <c r="C485" s="9">
        <f t="shared" si="24"/>
        <v>31</v>
      </c>
      <c r="D485" s="9" t="e">
        <f t="shared" ca="1" si="25"/>
        <v>#REF!</v>
      </c>
      <c r="F485" s="7" t="str">
        <f t="shared" si="26"/>
        <v>!A31</v>
      </c>
    </row>
    <row r="486" spans="3:6" x14ac:dyDescent="0.25">
      <c r="C486" s="9">
        <f t="shared" si="24"/>
        <v>31</v>
      </c>
      <c r="D486" s="9" t="e">
        <f t="shared" ca="1" si="25"/>
        <v>#REF!</v>
      </c>
      <c r="F486" s="7" t="str">
        <f t="shared" si="26"/>
        <v>!A31</v>
      </c>
    </row>
    <row r="487" spans="3:6" x14ac:dyDescent="0.25">
      <c r="C487" s="9">
        <f t="shared" si="24"/>
        <v>31</v>
      </c>
      <c r="D487" s="9" t="e">
        <f t="shared" ca="1" si="25"/>
        <v>#REF!</v>
      </c>
      <c r="F487" s="7" t="str">
        <f t="shared" si="26"/>
        <v>!A31</v>
      </c>
    </row>
    <row r="488" spans="3:6" x14ac:dyDescent="0.25">
      <c r="C488" s="9">
        <f t="shared" si="24"/>
        <v>31</v>
      </c>
      <c r="D488" s="9" t="e">
        <f t="shared" ca="1" si="25"/>
        <v>#REF!</v>
      </c>
      <c r="F488" s="7" t="str">
        <f t="shared" si="26"/>
        <v>!A31</v>
      </c>
    </row>
    <row r="489" spans="3:6" x14ac:dyDescent="0.25">
      <c r="C489" s="9">
        <f t="shared" si="24"/>
        <v>31</v>
      </c>
      <c r="D489" s="9" t="e">
        <f t="shared" ca="1" si="25"/>
        <v>#REF!</v>
      </c>
      <c r="F489" s="7" t="str">
        <f t="shared" si="26"/>
        <v>!A31</v>
      </c>
    </row>
    <row r="490" spans="3:6" x14ac:dyDescent="0.25">
      <c r="C490" s="9">
        <f t="shared" si="24"/>
        <v>31</v>
      </c>
      <c r="D490" s="9" t="e">
        <f t="shared" ca="1" si="25"/>
        <v>#REF!</v>
      </c>
      <c r="F490" s="7" t="str">
        <f t="shared" si="26"/>
        <v>!A31</v>
      </c>
    </row>
    <row r="491" spans="3:6" x14ac:dyDescent="0.25">
      <c r="C491" s="9">
        <f t="shared" si="24"/>
        <v>31</v>
      </c>
      <c r="D491" s="9" t="e">
        <f t="shared" ca="1" si="25"/>
        <v>#REF!</v>
      </c>
      <c r="F491" s="7" t="str">
        <f t="shared" si="26"/>
        <v>!A31</v>
      </c>
    </row>
    <row r="492" spans="3:6" x14ac:dyDescent="0.25">
      <c r="C492" s="9">
        <f t="shared" si="24"/>
        <v>31</v>
      </c>
      <c r="D492" s="9" t="e">
        <f t="shared" ca="1" si="25"/>
        <v>#REF!</v>
      </c>
      <c r="F492" s="7" t="str">
        <f t="shared" si="26"/>
        <v>!A31</v>
      </c>
    </row>
    <row r="493" spans="3:6" x14ac:dyDescent="0.25">
      <c r="C493" s="9">
        <f t="shared" si="24"/>
        <v>31</v>
      </c>
      <c r="D493" s="9" t="e">
        <f t="shared" ca="1" si="25"/>
        <v>#REF!</v>
      </c>
      <c r="F493" s="7" t="str">
        <f t="shared" si="26"/>
        <v>!A31</v>
      </c>
    </row>
    <row r="494" spans="3:6" x14ac:dyDescent="0.25">
      <c r="C494" s="9">
        <f t="shared" si="24"/>
        <v>31</v>
      </c>
      <c r="D494" s="9" t="e">
        <f t="shared" ca="1" si="25"/>
        <v>#REF!</v>
      </c>
      <c r="F494" s="7" t="str">
        <f t="shared" si="26"/>
        <v>!A31</v>
      </c>
    </row>
    <row r="495" spans="3:6" x14ac:dyDescent="0.25">
      <c r="C495" s="9">
        <f t="shared" si="24"/>
        <v>31</v>
      </c>
      <c r="D495" s="9" t="e">
        <f t="shared" ca="1" si="25"/>
        <v>#REF!</v>
      </c>
      <c r="F495" s="7" t="str">
        <f t="shared" si="26"/>
        <v>!A31</v>
      </c>
    </row>
    <row r="496" spans="3:6" x14ac:dyDescent="0.25">
      <c r="C496" s="9">
        <f t="shared" si="24"/>
        <v>31</v>
      </c>
      <c r="D496" s="9" t="e">
        <f t="shared" ca="1" si="25"/>
        <v>#REF!</v>
      </c>
      <c r="F496" s="7" t="str">
        <f t="shared" si="26"/>
        <v>!A31</v>
      </c>
    </row>
    <row r="497" spans="3:6" x14ac:dyDescent="0.25">
      <c r="C497" s="9">
        <f t="shared" si="24"/>
        <v>31</v>
      </c>
      <c r="D497" s="9" t="e">
        <f t="shared" ca="1" si="25"/>
        <v>#REF!</v>
      </c>
      <c r="F497" s="7" t="str">
        <f t="shared" si="26"/>
        <v>!A31</v>
      </c>
    </row>
    <row r="498" spans="3:6" x14ac:dyDescent="0.25">
      <c r="C498" s="9">
        <f t="shared" si="24"/>
        <v>31</v>
      </c>
      <c r="D498" s="9" t="e">
        <f t="shared" ca="1" si="25"/>
        <v>#REF!</v>
      </c>
      <c r="F498" s="7" t="str">
        <f t="shared" si="26"/>
        <v>!A31</v>
      </c>
    </row>
    <row r="499" spans="3:6" x14ac:dyDescent="0.25">
      <c r="C499" s="9">
        <f t="shared" si="24"/>
        <v>31</v>
      </c>
      <c r="D499" s="9" t="e">
        <f t="shared" ca="1" si="25"/>
        <v>#REF!</v>
      </c>
      <c r="F499" s="7" t="str">
        <f t="shared" si="26"/>
        <v>!A31</v>
      </c>
    </row>
    <row r="500" spans="3:6" x14ac:dyDescent="0.25">
      <c r="C500" s="9">
        <f t="shared" si="24"/>
        <v>31</v>
      </c>
      <c r="D500" s="9" t="e">
        <f t="shared" ca="1" si="25"/>
        <v>#REF!</v>
      </c>
      <c r="F500" s="7" t="str">
        <f t="shared" si="26"/>
        <v>!A31</v>
      </c>
    </row>
    <row r="501" spans="3:6" x14ac:dyDescent="0.25">
      <c r="C501" s="9">
        <f t="shared" si="24"/>
        <v>31</v>
      </c>
      <c r="D501" s="9" t="e">
        <f t="shared" ca="1" si="25"/>
        <v>#REF!</v>
      </c>
      <c r="F501" s="7" t="str">
        <f t="shared" si="26"/>
        <v>!A31</v>
      </c>
    </row>
    <row r="502" spans="3:6" x14ac:dyDescent="0.25">
      <c r="C502" s="9">
        <f t="shared" si="24"/>
        <v>31</v>
      </c>
      <c r="D502" s="9" t="e">
        <f t="shared" ca="1" si="25"/>
        <v>#REF!</v>
      </c>
      <c r="F502" s="7" t="str">
        <f t="shared" si="26"/>
        <v>!A31</v>
      </c>
    </row>
    <row r="503" spans="3:6" x14ac:dyDescent="0.25">
      <c r="C503" s="9">
        <f t="shared" si="24"/>
        <v>31</v>
      </c>
      <c r="D503" s="9" t="e">
        <f t="shared" ca="1" si="25"/>
        <v>#REF!</v>
      </c>
      <c r="F503" s="7" t="str">
        <f t="shared" si="26"/>
        <v>!A31</v>
      </c>
    </row>
    <row r="504" spans="3:6" x14ac:dyDescent="0.25">
      <c r="C504" s="9">
        <f t="shared" si="24"/>
        <v>31</v>
      </c>
      <c r="D504" s="9" t="e">
        <f t="shared" ca="1" si="25"/>
        <v>#REF!</v>
      </c>
      <c r="F504" s="7" t="str">
        <f t="shared" si="26"/>
        <v>!A31</v>
      </c>
    </row>
    <row r="505" spans="3:6" x14ac:dyDescent="0.25">
      <c r="C505" s="9">
        <f t="shared" si="24"/>
        <v>31</v>
      </c>
      <c r="D505" s="9" t="e">
        <f t="shared" ca="1" si="25"/>
        <v>#REF!</v>
      </c>
      <c r="F505" s="7" t="str">
        <f t="shared" si="26"/>
        <v>!A31</v>
      </c>
    </row>
    <row r="506" spans="3:6" x14ac:dyDescent="0.25">
      <c r="C506" s="9">
        <f t="shared" si="24"/>
        <v>31</v>
      </c>
      <c r="D506" s="9" t="e">
        <f t="shared" ca="1" si="25"/>
        <v>#REF!</v>
      </c>
      <c r="F506" s="7" t="str">
        <f t="shared" si="26"/>
        <v>!A31</v>
      </c>
    </row>
    <row r="507" spans="3:6" x14ac:dyDescent="0.25">
      <c r="C507" s="9">
        <f t="shared" ref="C507:C570" si="27">20*B507+31</f>
        <v>31</v>
      </c>
      <c r="D507" s="9" t="e">
        <f t="shared" ref="D507:D570" ca="1" si="28">INDIRECT(ADDRESS(C507,1,4,1,A507))</f>
        <v>#REF!</v>
      </c>
      <c r="F507" s="7" t="str">
        <f t="shared" ref="F507:F570" si="29">ADDRESS(C507,1,4,1,A507)</f>
        <v>!A31</v>
      </c>
    </row>
    <row r="508" spans="3:6" x14ac:dyDescent="0.25">
      <c r="C508" s="9">
        <f t="shared" si="27"/>
        <v>31</v>
      </c>
      <c r="D508" s="9" t="e">
        <f t="shared" ca="1" si="28"/>
        <v>#REF!</v>
      </c>
      <c r="F508" s="7" t="str">
        <f t="shared" si="29"/>
        <v>!A31</v>
      </c>
    </row>
    <row r="509" spans="3:6" x14ac:dyDescent="0.25">
      <c r="C509" s="9">
        <f t="shared" si="27"/>
        <v>31</v>
      </c>
      <c r="D509" s="9" t="e">
        <f t="shared" ca="1" si="28"/>
        <v>#REF!</v>
      </c>
      <c r="F509" s="7" t="str">
        <f t="shared" si="29"/>
        <v>!A31</v>
      </c>
    </row>
    <row r="510" spans="3:6" x14ac:dyDescent="0.25">
      <c r="C510" s="9">
        <f t="shared" si="27"/>
        <v>31</v>
      </c>
      <c r="D510" s="9" t="e">
        <f t="shared" ca="1" si="28"/>
        <v>#REF!</v>
      </c>
      <c r="F510" s="7" t="str">
        <f t="shared" si="29"/>
        <v>!A31</v>
      </c>
    </row>
    <row r="511" spans="3:6" x14ac:dyDescent="0.25">
      <c r="C511" s="9">
        <f t="shared" si="27"/>
        <v>31</v>
      </c>
      <c r="D511" s="9" t="e">
        <f t="shared" ca="1" si="28"/>
        <v>#REF!</v>
      </c>
      <c r="F511" s="7" t="str">
        <f t="shared" si="29"/>
        <v>!A31</v>
      </c>
    </row>
    <row r="512" spans="3:6" x14ac:dyDescent="0.25">
      <c r="C512" s="9">
        <f t="shared" si="27"/>
        <v>31</v>
      </c>
      <c r="D512" s="9" t="e">
        <f t="shared" ca="1" si="28"/>
        <v>#REF!</v>
      </c>
      <c r="F512" s="7" t="str">
        <f t="shared" si="29"/>
        <v>!A31</v>
      </c>
    </row>
    <row r="513" spans="3:6" x14ac:dyDescent="0.25">
      <c r="C513" s="9">
        <f t="shared" si="27"/>
        <v>31</v>
      </c>
      <c r="D513" s="9" t="e">
        <f t="shared" ca="1" si="28"/>
        <v>#REF!</v>
      </c>
      <c r="F513" s="7" t="str">
        <f t="shared" si="29"/>
        <v>!A31</v>
      </c>
    </row>
    <row r="514" spans="3:6" x14ac:dyDescent="0.25">
      <c r="C514" s="9">
        <f t="shared" si="27"/>
        <v>31</v>
      </c>
      <c r="D514" s="9" t="e">
        <f t="shared" ca="1" si="28"/>
        <v>#REF!</v>
      </c>
      <c r="F514" s="7" t="str">
        <f t="shared" si="29"/>
        <v>!A31</v>
      </c>
    </row>
    <row r="515" spans="3:6" x14ac:dyDescent="0.25">
      <c r="C515" s="9">
        <f t="shared" si="27"/>
        <v>31</v>
      </c>
      <c r="D515" s="9" t="e">
        <f t="shared" ca="1" si="28"/>
        <v>#REF!</v>
      </c>
      <c r="F515" s="7" t="str">
        <f t="shared" si="29"/>
        <v>!A31</v>
      </c>
    </row>
    <row r="516" spans="3:6" x14ac:dyDescent="0.25">
      <c r="C516" s="9">
        <f t="shared" si="27"/>
        <v>31</v>
      </c>
      <c r="D516" s="9" t="e">
        <f t="shared" ca="1" si="28"/>
        <v>#REF!</v>
      </c>
      <c r="F516" s="7" t="str">
        <f t="shared" si="29"/>
        <v>!A31</v>
      </c>
    </row>
    <row r="517" spans="3:6" x14ac:dyDescent="0.25">
      <c r="C517" s="9">
        <f t="shared" si="27"/>
        <v>31</v>
      </c>
      <c r="D517" s="9" t="e">
        <f t="shared" ca="1" si="28"/>
        <v>#REF!</v>
      </c>
      <c r="F517" s="7" t="str">
        <f t="shared" si="29"/>
        <v>!A31</v>
      </c>
    </row>
    <row r="518" spans="3:6" x14ac:dyDescent="0.25">
      <c r="C518" s="9">
        <f t="shared" si="27"/>
        <v>31</v>
      </c>
      <c r="D518" s="9" t="e">
        <f t="shared" ca="1" si="28"/>
        <v>#REF!</v>
      </c>
      <c r="F518" s="7" t="str">
        <f t="shared" si="29"/>
        <v>!A31</v>
      </c>
    </row>
    <row r="519" spans="3:6" x14ac:dyDescent="0.25">
      <c r="C519" s="9">
        <f t="shared" si="27"/>
        <v>31</v>
      </c>
      <c r="D519" s="9" t="e">
        <f t="shared" ca="1" si="28"/>
        <v>#REF!</v>
      </c>
      <c r="F519" s="7" t="str">
        <f t="shared" si="29"/>
        <v>!A31</v>
      </c>
    </row>
    <row r="520" spans="3:6" x14ac:dyDescent="0.25">
      <c r="C520" s="9">
        <f t="shared" si="27"/>
        <v>31</v>
      </c>
      <c r="D520" s="9" t="e">
        <f t="shared" ca="1" si="28"/>
        <v>#REF!</v>
      </c>
      <c r="F520" s="7" t="str">
        <f t="shared" si="29"/>
        <v>!A31</v>
      </c>
    </row>
    <row r="521" spans="3:6" x14ac:dyDescent="0.25">
      <c r="C521" s="9">
        <f t="shared" si="27"/>
        <v>31</v>
      </c>
      <c r="D521" s="9" t="e">
        <f t="shared" ca="1" si="28"/>
        <v>#REF!</v>
      </c>
      <c r="F521" s="7" t="str">
        <f t="shared" si="29"/>
        <v>!A31</v>
      </c>
    </row>
    <row r="522" spans="3:6" x14ac:dyDescent="0.25">
      <c r="C522" s="9">
        <f t="shared" si="27"/>
        <v>31</v>
      </c>
      <c r="D522" s="9" t="e">
        <f t="shared" ca="1" si="28"/>
        <v>#REF!</v>
      </c>
      <c r="F522" s="7" t="str">
        <f t="shared" si="29"/>
        <v>!A31</v>
      </c>
    </row>
    <row r="523" spans="3:6" x14ac:dyDescent="0.25">
      <c r="C523" s="9">
        <f t="shared" si="27"/>
        <v>31</v>
      </c>
      <c r="D523" s="9" t="e">
        <f t="shared" ca="1" si="28"/>
        <v>#REF!</v>
      </c>
      <c r="F523" s="7" t="str">
        <f t="shared" si="29"/>
        <v>!A31</v>
      </c>
    </row>
    <row r="524" spans="3:6" x14ac:dyDescent="0.25">
      <c r="C524" s="9">
        <f t="shared" si="27"/>
        <v>31</v>
      </c>
      <c r="D524" s="9" t="e">
        <f t="shared" ca="1" si="28"/>
        <v>#REF!</v>
      </c>
      <c r="F524" s="7" t="str">
        <f t="shared" si="29"/>
        <v>!A31</v>
      </c>
    </row>
    <row r="525" spans="3:6" x14ac:dyDescent="0.25">
      <c r="C525" s="9">
        <f t="shared" si="27"/>
        <v>31</v>
      </c>
      <c r="D525" s="9" t="e">
        <f t="shared" ca="1" si="28"/>
        <v>#REF!</v>
      </c>
      <c r="F525" s="7" t="str">
        <f t="shared" si="29"/>
        <v>!A31</v>
      </c>
    </row>
    <row r="526" spans="3:6" x14ac:dyDescent="0.25">
      <c r="C526" s="9">
        <f t="shared" si="27"/>
        <v>31</v>
      </c>
      <c r="D526" s="9" t="e">
        <f t="shared" ca="1" si="28"/>
        <v>#REF!</v>
      </c>
      <c r="F526" s="7" t="str">
        <f t="shared" si="29"/>
        <v>!A31</v>
      </c>
    </row>
    <row r="527" spans="3:6" x14ac:dyDescent="0.25">
      <c r="C527" s="9">
        <f t="shared" si="27"/>
        <v>31</v>
      </c>
      <c r="D527" s="9" t="e">
        <f t="shared" ca="1" si="28"/>
        <v>#REF!</v>
      </c>
      <c r="F527" s="7" t="str">
        <f t="shared" si="29"/>
        <v>!A31</v>
      </c>
    </row>
    <row r="528" spans="3:6" x14ac:dyDescent="0.25">
      <c r="C528" s="9">
        <f t="shared" si="27"/>
        <v>31</v>
      </c>
      <c r="D528" s="9" t="e">
        <f t="shared" ca="1" si="28"/>
        <v>#REF!</v>
      </c>
      <c r="F528" s="7" t="str">
        <f t="shared" si="29"/>
        <v>!A31</v>
      </c>
    </row>
    <row r="529" spans="3:6" x14ac:dyDescent="0.25">
      <c r="C529" s="9">
        <f t="shared" si="27"/>
        <v>31</v>
      </c>
      <c r="D529" s="9" t="e">
        <f t="shared" ca="1" si="28"/>
        <v>#REF!</v>
      </c>
      <c r="F529" s="7" t="str">
        <f t="shared" si="29"/>
        <v>!A31</v>
      </c>
    </row>
    <row r="530" spans="3:6" x14ac:dyDescent="0.25">
      <c r="C530" s="9">
        <f t="shared" si="27"/>
        <v>31</v>
      </c>
      <c r="D530" s="9" t="e">
        <f t="shared" ca="1" si="28"/>
        <v>#REF!</v>
      </c>
      <c r="F530" s="7" t="str">
        <f t="shared" si="29"/>
        <v>!A31</v>
      </c>
    </row>
    <row r="531" spans="3:6" x14ac:dyDescent="0.25">
      <c r="C531" s="9">
        <f t="shared" si="27"/>
        <v>31</v>
      </c>
      <c r="D531" s="9" t="e">
        <f t="shared" ca="1" si="28"/>
        <v>#REF!</v>
      </c>
      <c r="F531" s="7" t="str">
        <f t="shared" si="29"/>
        <v>!A31</v>
      </c>
    </row>
    <row r="532" spans="3:6" x14ac:dyDescent="0.25">
      <c r="C532" s="9">
        <f t="shared" si="27"/>
        <v>31</v>
      </c>
      <c r="D532" s="9" t="e">
        <f t="shared" ca="1" si="28"/>
        <v>#REF!</v>
      </c>
      <c r="F532" s="7" t="str">
        <f t="shared" si="29"/>
        <v>!A31</v>
      </c>
    </row>
    <row r="533" spans="3:6" x14ac:dyDescent="0.25">
      <c r="C533" s="9">
        <f t="shared" si="27"/>
        <v>31</v>
      </c>
      <c r="D533" s="9" t="e">
        <f t="shared" ca="1" si="28"/>
        <v>#REF!</v>
      </c>
      <c r="F533" s="7" t="str">
        <f t="shared" si="29"/>
        <v>!A31</v>
      </c>
    </row>
    <row r="534" spans="3:6" x14ac:dyDescent="0.25">
      <c r="C534" s="9">
        <f t="shared" si="27"/>
        <v>31</v>
      </c>
      <c r="D534" s="9" t="e">
        <f t="shared" ca="1" si="28"/>
        <v>#REF!</v>
      </c>
      <c r="F534" s="7" t="str">
        <f t="shared" si="29"/>
        <v>!A31</v>
      </c>
    </row>
    <row r="535" spans="3:6" x14ac:dyDescent="0.25">
      <c r="C535" s="9">
        <f t="shared" si="27"/>
        <v>31</v>
      </c>
      <c r="D535" s="9" t="e">
        <f t="shared" ca="1" si="28"/>
        <v>#REF!</v>
      </c>
      <c r="F535" s="7" t="str">
        <f t="shared" si="29"/>
        <v>!A31</v>
      </c>
    </row>
    <row r="536" spans="3:6" x14ac:dyDescent="0.25">
      <c r="C536" s="9">
        <f t="shared" si="27"/>
        <v>31</v>
      </c>
      <c r="D536" s="9" t="e">
        <f t="shared" ca="1" si="28"/>
        <v>#REF!</v>
      </c>
      <c r="F536" s="7" t="str">
        <f t="shared" si="29"/>
        <v>!A31</v>
      </c>
    </row>
    <row r="537" spans="3:6" x14ac:dyDescent="0.25">
      <c r="C537" s="9">
        <f t="shared" si="27"/>
        <v>31</v>
      </c>
      <c r="D537" s="9" t="e">
        <f t="shared" ca="1" si="28"/>
        <v>#REF!</v>
      </c>
      <c r="F537" s="7" t="str">
        <f t="shared" si="29"/>
        <v>!A31</v>
      </c>
    </row>
    <row r="538" spans="3:6" x14ac:dyDescent="0.25">
      <c r="C538" s="9">
        <f t="shared" si="27"/>
        <v>31</v>
      </c>
      <c r="D538" s="9" t="e">
        <f t="shared" ca="1" si="28"/>
        <v>#REF!</v>
      </c>
      <c r="F538" s="7" t="str">
        <f t="shared" si="29"/>
        <v>!A31</v>
      </c>
    </row>
    <row r="539" spans="3:6" x14ac:dyDescent="0.25">
      <c r="C539" s="9">
        <f t="shared" si="27"/>
        <v>31</v>
      </c>
      <c r="D539" s="9" t="e">
        <f t="shared" ca="1" si="28"/>
        <v>#REF!</v>
      </c>
      <c r="F539" s="7" t="str">
        <f t="shared" si="29"/>
        <v>!A31</v>
      </c>
    </row>
    <row r="540" spans="3:6" x14ac:dyDescent="0.25">
      <c r="C540" s="9">
        <f t="shared" si="27"/>
        <v>31</v>
      </c>
      <c r="D540" s="9" t="e">
        <f t="shared" ca="1" si="28"/>
        <v>#REF!</v>
      </c>
      <c r="F540" s="7" t="str">
        <f t="shared" si="29"/>
        <v>!A31</v>
      </c>
    </row>
    <row r="541" spans="3:6" x14ac:dyDescent="0.25">
      <c r="C541" s="9">
        <f t="shared" si="27"/>
        <v>31</v>
      </c>
      <c r="D541" s="9" t="e">
        <f t="shared" ca="1" si="28"/>
        <v>#REF!</v>
      </c>
      <c r="F541" s="7" t="str">
        <f t="shared" si="29"/>
        <v>!A31</v>
      </c>
    </row>
    <row r="542" spans="3:6" x14ac:dyDescent="0.25">
      <c r="C542" s="9">
        <f t="shared" si="27"/>
        <v>31</v>
      </c>
      <c r="D542" s="9" t="e">
        <f t="shared" ca="1" si="28"/>
        <v>#REF!</v>
      </c>
      <c r="F542" s="7" t="str">
        <f t="shared" si="29"/>
        <v>!A31</v>
      </c>
    </row>
    <row r="543" spans="3:6" x14ac:dyDescent="0.25">
      <c r="C543" s="9">
        <f t="shared" si="27"/>
        <v>31</v>
      </c>
      <c r="D543" s="9" t="e">
        <f t="shared" ca="1" si="28"/>
        <v>#REF!</v>
      </c>
      <c r="F543" s="7" t="str">
        <f t="shared" si="29"/>
        <v>!A31</v>
      </c>
    </row>
    <row r="544" spans="3:6" x14ac:dyDescent="0.25">
      <c r="C544" s="9">
        <f t="shared" si="27"/>
        <v>31</v>
      </c>
      <c r="D544" s="9" t="e">
        <f t="shared" ca="1" si="28"/>
        <v>#REF!</v>
      </c>
      <c r="F544" s="7" t="str">
        <f t="shared" si="29"/>
        <v>!A31</v>
      </c>
    </row>
    <row r="545" spans="3:6" x14ac:dyDescent="0.25">
      <c r="C545" s="9">
        <f t="shared" si="27"/>
        <v>31</v>
      </c>
      <c r="D545" s="9" t="e">
        <f t="shared" ca="1" si="28"/>
        <v>#REF!</v>
      </c>
      <c r="F545" s="7" t="str">
        <f t="shared" si="29"/>
        <v>!A31</v>
      </c>
    </row>
    <row r="546" spans="3:6" x14ac:dyDescent="0.25">
      <c r="C546" s="9">
        <f t="shared" si="27"/>
        <v>31</v>
      </c>
      <c r="D546" s="9" t="e">
        <f t="shared" ca="1" si="28"/>
        <v>#REF!</v>
      </c>
      <c r="F546" s="7" t="str">
        <f t="shared" si="29"/>
        <v>!A31</v>
      </c>
    </row>
    <row r="547" spans="3:6" x14ac:dyDescent="0.25">
      <c r="C547" s="9">
        <f t="shared" si="27"/>
        <v>31</v>
      </c>
      <c r="D547" s="9" t="e">
        <f t="shared" ca="1" si="28"/>
        <v>#REF!</v>
      </c>
      <c r="F547" s="7" t="str">
        <f t="shared" si="29"/>
        <v>!A31</v>
      </c>
    </row>
    <row r="548" spans="3:6" x14ac:dyDescent="0.25">
      <c r="C548" s="9">
        <f t="shared" si="27"/>
        <v>31</v>
      </c>
      <c r="D548" s="9" t="e">
        <f t="shared" ca="1" si="28"/>
        <v>#REF!</v>
      </c>
      <c r="F548" s="7" t="str">
        <f t="shared" si="29"/>
        <v>!A31</v>
      </c>
    </row>
    <row r="549" spans="3:6" x14ac:dyDescent="0.25">
      <c r="C549" s="9">
        <f t="shared" si="27"/>
        <v>31</v>
      </c>
      <c r="D549" s="9" t="e">
        <f t="shared" ca="1" si="28"/>
        <v>#REF!</v>
      </c>
      <c r="F549" s="7" t="str">
        <f t="shared" si="29"/>
        <v>!A31</v>
      </c>
    </row>
    <row r="550" spans="3:6" x14ac:dyDescent="0.25">
      <c r="C550" s="9">
        <f t="shared" si="27"/>
        <v>31</v>
      </c>
      <c r="D550" s="9" t="e">
        <f t="shared" ca="1" si="28"/>
        <v>#REF!</v>
      </c>
      <c r="F550" s="7" t="str">
        <f t="shared" si="29"/>
        <v>!A31</v>
      </c>
    </row>
    <row r="551" spans="3:6" x14ac:dyDescent="0.25">
      <c r="C551" s="9">
        <f t="shared" si="27"/>
        <v>31</v>
      </c>
      <c r="D551" s="9" t="e">
        <f t="shared" ca="1" si="28"/>
        <v>#REF!</v>
      </c>
      <c r="F551" s="7" t="str">
        <f t="shared" si="29"/>
        <v>!A31</v>
      </c>
    </row>
    <row r="552" spans="3:6" x14ac:dyDescent="0.25">
      <c r="C552" s="9">
        <f t="shared" si="27"/>
        <v>31</v>
      </c>
      <c r="D552" s="9" t="e">
        <f t="shared" ca="1" si="28"/>
        <v>#REF!</v>
      </c>
      <c r="F552" s="7" t="str">
        <f t="shared" si="29"/>
        <v>!A31</v>
      </c>
    </row>
    <row r="553" spans="3:6" x14ac:dyDescent="0.25">
      <c r="C553" s="9">
        <f t="shared" si="27"/>
        <v>31</v>
      </c>
      <c r="D553" s="9" t="e">
        <f t="shared" ca="1" si="28"/>
        <v>#REF!</v>
      </c>
      <c r="F553" s="7" t="str">
        <f t="shared" si="29"/>
        <v>!A31</v>
      </c>
    </row>
    <row r="554" spans="3:6" x14ac:dyDescent="0.25">
      <c r="C554" s="9">
        <f t="shared" si="27"/>
        <v>31</v>
      </c>
      <c r="D554" s="9" t="e">
        <f t="shared" ca="1" si="28"/>
        <v>#REF!</v>
      </c>
      <c r="F554" s="7" t="str">
        <f t="shared" si="29"/>
        <v>!A31</v>
      </c>
    </row>
    <row r="555" spans="3:6" x14ac:dyDescent="0.25">
      <c r="C555" s="9">
        <f t="shared" si="27"/>
        <v>31</v>
      </c>
      <c r="D555" s="9" t="e">
        <f t="shared" ca="1" si="28"/>
        <v>#REF!</v>
      </c>
      <c r="F555" s="7" t="str">
        <f t="shared" si="29"/>
        <v>!A31</v>
      </c>
    </row>
    <row r="556" spans="3:6" x14ac:dyDescent="0.25">
      <c r="C556" s="9">
        <f t="shared" si="27"/>
        <v>31</v>
      </c>
      <c r="D556" s="9" t="e">
        <f t="shared" ca="1" si="28"/>
        <v>#REF!</v>
      </c>
      <c r="F556" s="7" t="str">
        <f t="shared" si="29"/>
        <v>!A31</v>
      </c>
    </row>
    <row r="557" spans="3:6" x14ac:dyDescent="0.25">
      <c r="C557" s="9">
        <f t="shared" si="27"/>
        <v>31</v>
      </c>
      <c r="D557" s="9" t="e">
        <f t="shared" ca="1" si="28"/>
        <v>#REF!</v>
      </c>
      <c r="F557" s="7" t="str">
        <f t="shared" si="29"/>
        <v>!A31</v>
      </c>
    </row>
    <row r="558" spans="3:6" x14ac:dyDescent="0.25">
      <c r="C558" s="9">
        <f t="shared" si="27"/>
        <v>31</v>
      </c>
      <c r="D558" s="9" t="e">
        <f t="shared" ca="1" si="28"/>
        <v>#REF!</v>
      </c>
      <c r="F558" s="7" t="str">
        <f t="shared" si="29"/>
        <v>!A31</v>
      </c>
    </row>
    <row r="559" spans="3:6" x14ac:dyDescent="0.25">
      <c r="C559" s="9">
        <f t="shared" si="27"/>
        <v>31</v>
      </c>
      <c r="D559" s="9" t="e">
        <f t="shared" ca="1" si="28"/>
        <v>#REF!</v>
      </c>
      <c r="F559" s="7" t="str">
        <f t="shared" si="29"/>
        <v>!A31</v>
      </c>
    </row>
    <row r="560" spans="3:6" x14ac:dyDescent="0.25">
      <c r="C560" s="9">
        <f t="shared" si="27"/>
        <v>31</v>
      </c>
      <c r="D560" s="9" t="e">
        <f t="shared" ca="1" si="28"/>
        <v>#REF!</v>
      </c>
      <c r="F560" s="7" t="str">
        <f t="shared" si="29"/>
        <v>!A31</v>
      </c>
    </row>
    <row r="561" spans="3:6" x14ac:dyDescent="0.25">
      <c r="C561" s="9">
        <f t="shared" si="27"/>
        <v>31</v>
      </c>
      <c r="D561" s="9" t="e">
        <f t="shared" ca="1" si="28"/>
        <v>#REF!</v>
      </c>
      <c r="F561" s="7" t="str">
        <f t="shared" si="29"/>
        <v>!A31</v>
      </c>
    </row>
    <row r="562" spans="3:6" x14ac:dyDescent="0.25">
      <c r="C562" s="9">
        <f t="shared" si="27"/>
        <v>31</v>
      </c>
      <c r="D562" s="9" t="e">
        <f t="shared" ca="1" si="28"/>
        <v>#REF!</v>
      </c>
      <c r="F562" s="7" t="str">
        <f t="shared" si="29"/>
        <v>!A31</v>
      </c>
    </row>
    <row r="563" spans="3:6" x14ac:dyDescent="0.25">
      <c r="C563" s="9">
        <f t="shared" si="27"/>
        <v>31</v>
      </c>
      <c r="D563" s="9" t="e">
        <f t="shared" ca="1" si="28"/>
        <v>#REF!</v>
      </c>
      <c r="F563" s="7" t="str">
        <f t="shared" si="29"/>
        <v>!A31</v>
      </c>
    </row>
    <row r="564" spans="3:6" x14ac:dyDescent="0.25">
      <c r="C564" s="9">
        <f t="shared" si="27"/>
        <v>31</v>
      </c>
      <c r="D564" s="9" t="e">
        <f t="shared" ca="1" si="28"/>
        <v>#REF!</v>
      </c>
      <c r="F564" s="7" t="str">
        <f t="shared" si="29"/>
        <v>!A31</v>
      </c>
    </row>
    <row r="565" spans="3:6" x14ac:dyDescent="0.25">
      <c r="C565" s="9">
        <f t="shared" si="27"/>
        <v>31</v>
      </c>
      <c r="D565" s="9" t="e">
        <f t="shared" ca="1" si="28"/>
        <v>#REF!</v>
      </c>
      <c r="F565" s="7" t="str">
        <f t="shared" si="29"/>
        <v>!A31</v>
      </c>
    </row>
    <row r="566" spans="3:6" x14ac:dyDescent="0.25">
      <c r="C566" s="9">
        <f t="shared" si="27"/>
        <v>31</v>
      </c>
      <c r="D566" s="9" t="e">
        <f t="shared" ca="1" si="28"/>
        <v>#REF!</v>
      </c>
      <c r="F566" s="7" t="str">
        <f t="shared" si="29"/>
        <v>!A31</v>
      </c>
    </row>
    <row r="567" spans="3:6" x14ac:dyDescent="0.25">
      <c r="C567" s="9">
        <f t="shared" si="27"/>
        <v>31</v>
      </c>
      <c r="D567" s="9" t="e">
        <f t="shared" ca="1" si="28"/>
        <v>#REF!</v>
      </c>
      <c r="F567" s="7" t="str">
        <f t="shared" si="29"/>
        <v>!A31</v>
      </c>
    </row>
    <row r="568" spans="3:6" x14ac:dyDescent="0.25">
      <c r="C568" s="9">
        <f t="shared" si="27"/>
        <v>31</v>
      </c>
      <c r="D568" s="9" t="e">
        <f t="shared" ca="1" si="28"/>
        <v>#REF!</v>
      </c>
      <c r="F568" s="7" t="str">
        <f t="shared" si="29"/>
        <v>!A31</v>
      </c>
    </row>
    <row r="569" spans="3:6" x14ac:dyDescent="0.25">
      <c r="C569" s="9">
        <f t="shared" si="27"/>
        <v>31</v>
      </c>
      <c r="D569" s="9" t="e">
        <f t="shared" ca="1" si="28"/>
        <v>#REF!</v>
      </c>
      <c r="F569" s="7" t="str">
        <f t="shared" si="29"/>
        <v>!A31</v>
      </c>
    </row>
    <row r="570" spans="3:6" x14ac:dyDescent="0.25">
      <c r="C570" s="9">
        <f t="shared" si="27"/>
        <v>31</v>
      </c>
      <c r="D570" s="9" t="e">
        <f t="shared" ca="1" si="28"/>
        <v>#REF!</v>
      </c>
      <c r="F570" s="7" t="str">
        <f t="shared" si="29"/>
        <v>!A31</v>
      </c>
    </row>
    <row r="571" spans="3:6" x14ac:dyDescent="0.25">
      <c r="C571" s="9">
        <f t="shared" ref="C571:C634" si="30">20*B571+31</f>
        <v>31</v>
      </c>
      <c r="D571" s="9" t="e">
        <f t="shared" ref="D571:D634" ca="1" si="31">INDIRECT(ADDRESS(C571,1,4,1,A571))</f>
        <v>#REF!</v>
      </c>
      <c r="F571" s="7" t="str">
        <f t="shared" ref="F571:F634" si="32">ADDRESS(C571,1,4,1,A571)</f>
        <v>!A31</v>
      </c>
    </row>
    <row r="572" spans="3:6" x14ac:dyDescent="0.25">
      <c r="C572" s="9">
        <f t="shared" si="30"/>
        <v>31</v>
      </c>
      <c r="D572" s="9" t="e">
        <f t="shared" ca="1" si="31"/>
        <v>#REF!</v>
      </c>
      <c r="F572" s="7" t="str">
        <f t="shared" si="32"/>
        <v>!A31</v>
      </c>
    </row>
    <row r="573" spans="3:6" x14ac:dyDescent="0.25">
      <c r="C573" s="9">
        <f t="shared" si="30"/>
        <v>31</v>
      </c>
      <c r="D573" s="9" t="e">
        <f t="shared" ca="1" si="31"/>
        <v>#REF!</v>
      </c>
      <c r="F573" s="7" t="str">
        <f t="shared" si="32"/>
        <v>!A31</v>
      </c>
    </row>
    <row r="574" spans="3:6" x14ac:dyDescent="0.25">
      <c r="C574" s="9">
        <f t="shared" si="30"/>
        <v>31</v>
      </c>
      <c r="D574" s="9" t="e">
        <f t="shared" ca="1" si="31"/>
        <v>#REF!</v>
      </c>
      <c r="F574" s="7" t="str">
        <f t="shared" si="32"/>
        <v>!A31</v>
      </c>
    </row>
    <row r="575" spans="3:6" x14ac:dyDescent="0.25">
      <c r="C575" s="9">
        <f t="shared" si="30"/>
        <v>31</v>
      </c>
      <c r="D575" s="9" t="e">
        <f t="shared" ca="1" si="31"/>
        <v>#REF!</v>
      </c>
      <c r="F575" s="7" t="str">
        <f t="shared" si="32"/>
        <v>!A31</v>
      </c>
    </row>
    <row r="576" spans="3:6" x14ac:dyDescent="0.25">
      <c r="C576" s="9">
        <f t="shared" si="30"/>
        <v>31</v>
      </c>
      <c r="D576" s="9" t="e">
        <f t="shared" ca="1" si="31"/>
        <v>#REF!</v>
      </c>
      <c r="F576" s="7" t="str">
        <f t="shared" si="32"/>
        <v>!A31</v>
      </c>
    </row>
    <row r="577" spans="3:6" x14ac:dyDescent="0.25">
      <c r="C577" s="9">
        <f t="shared" si="30"/>
        <v>31</v>
      </c>
      <c r="D577" s="9" t="e">
        <f t="shared" ca="1" si="31"/>
        <v>#REF!</v>
      </c>
      <c r="F577" s="7" t="str">
        <f t="shared" si="32"/>
        <v>!A31</v>
      </c>
    </row>
    <row r="578" spans="3:6" x14ac:dyDescent="0.25">
      <c r="C578" s="9">
        <f t="shared" si="30"/>
        <v>31</v>
      </c>
      <c r="D578" s="9" t="e">
        <f t="shared" ca="1" si="31"/>
        <v>#REF!</v>
      </c>
      <c r="F578" s="7" t="str">
        <f t="shared" si="32"/>
        <v>!A31</v>
      </c>
    </row>
    <row r="579" spans="3:6" x14ac:dyDescent="0.25">
      <c r="C579" s="9">
        <f t="shared" si="30"/>
        <v>31</v>
      </c>
      <c r="D579" s="9" t="e">
        <f t="shared" ca="1" si="31"/>
        <v>#REF!</v>
      </c>
      <c r="F579" s="7" t="str">
        <f t="shared" si="32"/>
        <v>!A31</v>
      </c>
    </row>
    <row r="580" spans="3:6" x14ac:dyDescent="0.25">
      <c r="C580" s="9">
        <f t="shared" si="30"/>
        <v>31</v>
      </c>
      <c r="D580" s="9" t="e">
        <f t="shared" ca="1" si="31"/>
        <v>#REF!</v>
      </c>
      <c r="F580" s="7" t="str">
        <f t="shared" si="32"/>
        <v>!A31</v>
      </c>
    </row>
    <row r="581" spans="3:6" x14ac:dyDescent="0.25">
      <c r="C581" s="9">
        <f t="shared" si="30"/>
        <v>31</v>
      </c>
      <c r="D581" s="9" t="e">
        <f t="shared" ca="1" si="31"/>
        <v>#REF!</v>
      </c>
      <c r="F581" s="7" t="str">
        <f t="shared" si="32"/>
        <v>!A31</v>
      </c>
    </row>
    <row r="582" spans="3:6" x14ac:dyDescent="0.25">
      <c r="C582" s="9">
        <f t="shared" si="30"/>
        <v>31</v>
      </c>
      <c r="D582" s="9" t="e">
        <f t="shared" ca="1" si="31"/>
        <v>#REF!</v>
      </c>
      <c r="F582" s="7" t="str">
        <f t="shared" si="32"/>
        <v>!A31</v>
      </c>
    </row>
    <row r="583" spans="3:6" x14ac:dyDescent="0.25">
      <c r="C583" s="9">
        <f t="shared" si="30"/>
        <v>31</v>
      </c>
      <c r="D583" s="9" t="e">
        <f t="shared" ca="1" si="31"/>
        <v>#REF!</v>
      </c>
      <c r="F583" s="7" t="str">
        <f t="shared" si="32"/>
        <v>!A31</v>
      </c>
    </row>
    <row r="584" spans="3:6" x14ac:dyDescent="0.25">
      <c r="C584" s="9">
        <f t="shared" si="30"/>
        <v>31</v>
      </c>
      <c r="D584" s="9" t="e">
        <f t="shared" ca="1" si="31"/>
        <v>#REF!</v>
      </c>
      <c r="F584" s="7" t="str">
        <f t="shared" si="32"/>
        <v>!A31</v>
      </c>
    </row>
    <row r="585" spans="3:6" x14ac:dyDescent="0.25">
      <c r="C585" s="9">
        <f t="shared" si="30"/>
        <v>31</v>
      </c>
      <c r="D585" s="9" t="e">
        <f t="shared" ca="1" si="31"/>
        <v>#REF!</v>
      </c>
      <c r="F585" s="7" t="str">
        <f t="shared" si="32"/>
        <v>!A31</v>
      </c>
    </row>
    <row r="586" spans="3:6" x14ac:dyDescent="0.25">
      <c r="C586" s="9">
        <f t="shared" si="30"/>
        <v>31</v>
      </c>
      <c r="D586" s="9" t="e">
        <f t="shared" ca="1" si="31"/>
        <v>#REF!</v>
      </c>
      <c r="F586" s="7" t="str">
        <f t="shared" si="32"/>
        <v>!A31</v>
      </c>
    </row>
    <row r="587" spans="3:6" x14ac:dyDescent="0.25">
      <c r="C587" s="9">
        <f t="shared" si="30"/>
        <v>31</v>
      </c>
      <c r="D587" s="9" t="e">
        <f t="shared" ca="1" si="31"/>
        <v>#REF!</v>
      </c>
      <c r="F587" s="7" t="str">
        <f t="shared" si="32"/>
        <v>!A31</v>
      </c>
    </row>
    <row r="588" spans="3:6" x14ac:dyDescent="0.25">
      <c r="C588" s="9">
        <f t="shared" si="30"/>
        <v>31</v>
      </c>
      <c r="D588" s="9" t="e">
        <f t="shared" ca="1" si="31"/>
        <v>#REF!</v>
      </c>
      <c r="F588" s="7" t="str">
        <f t="shared" si="32"/>
        <v>!A31</v>
      </c>
    </row>
    <row r="589" spans="3:6" x14ac:dyDescent="0.25">
      <c r="C589" s="9">
        <f t="shared" si="30"/>
        <v>31</v>
      </c>
      <c r="D589" s="9" t="e">
        <f t="shared" ca="1" si="31"/>
        <v>#REF!</v>
      </c>
      <c r="F589" s="7" t="str">
        <f t="shared" si="32"/>
        <v>!A31</v>
      </c>
    </row>
    <row r="590" spans="3:6" x14ac:dyDescent="0.25">
      <c r="C590" s="9">
        <f t="shared" si="30"/>
        <v>31</v>
      </c>
      <c r="D590" s="9" t="e">
        <f t="shared" ca="1" si="31"/>
        <v>#REF!</v>
      </c>
      <c r="F590" s="7" t="str">
        <f t="shared" si="32"/>
        <v>!A31</v>
      </c>
    </row>
    <row r="591" spans="3:6" x14ac:dyDescent="0.25">
      <c r="C591" s="9">
        <f t="shared" si="30"/>
        <v>31</v>
      </c>
      <c r="D591" s="9" t="e">
        <f t="shared" ca="1" si="31"/>
        <v>#REF!</v>
      </c>
      <c r="F591" s="7" t="str">
        <f t="shared" si="32"/>
        <v>!A31</v>
      </c>
    </row>
    <row r="592" spans="3:6" x14ac:dyDescent="0.25">
      <c r="C592" s="9">
        <f t="shared" si="30"/>
        <v>31</v>
      </c>
      <c r="D592" s="9" t="e">
        <f t="shared" ca="1" si="31"/>
        <v>#REF!</v>
      </c>
      <c r="F592" s="7" t="str">
        <f t="shared" si="32"/>
        <v>!A31</v>
      </c>
    </row>
    <row r="593" spans="3:6" x14ac:dyDescent="0.25">
      <c r="C593" s="9">
        <f t="shared" si="30"/>
        <v>31</v>
      </c>
      <c r="D593" s="9" t="e">
        <f t="shared" ca="1" si="31"/>
        <v>#REF!</v>
      </c>
      <c r="F593" s="7" t="str">
        <f t="shared" si="32"/>
        <v>!A31</v>
      </c>
    </row>
    <row r="594" spans="3:6" x14ac:dyDescent="0.25">
      <c r="C594" s="9">
        <f t="shared" si="30"/>
        <v>31</v>
      </c>
      <c r="D594" s="9" t="e">
        <f t="shared" ca="1" si="31"/>
        <v>#REF!</v>
      </c>
      <c r="F594" s="7" t="str">
        <f t="shared" si="32"/>
        <v>!A31</v>
      </c>
    </row>
    <row r="595" spans="3:6" x14ac:dyDescent="0.25">
      <c r="C595" s="9">
        <f t="shared" si="30"/>
        <v>31</v>
      </c>
      <c r="D595" s="9" t="e">
        <f t="shared" ca="1" si="31"/>
        <v>#REF!</v>
      </c>
      <c r="F595" s="7" t="str">
        <f t="shared" si="32"/>
        <v>!A31</v>
      </c>
    </row>
    <row r="596" spans="3:6" x14ac:dyDescent="0.25">
      <c r="C596" s="9">
        <f t="shared" si="30"/>
        <v>31</v>
      </c>
      <c r="D596" s="9" t="e">
        <f t="shared" ca="1" si="31"/>
        <v>#REF!</v>
      </c>
      <c r="F596" s="7" t="str">
        <f t="shared" si="32"/>
        <v>!A31</v>
      </c>
    </row>
    <row r="597" spans="3:6" x14ac:dyDescent="0.25">
      <c r="C597" s="9">
        <f t="shared" si="30"/>
        <v>31</v>
      </c>
      <c r="D597" s="9" t="e">
        <f t="shared" ca="1" si="31"/>
        <v>#REF!</v>
      </c>
      <c r="F597" s="7" t="str">
        <f t="shared" si="32"/>
        <v>!A31</v>
      </c>
    </row>
    <row r="598" spans="3:6" x14ac:dyDescent="0.25">
      <c r="C598" s="9">
        <f t="shared" si="30"/>
        <v>31</v>
      </c>
      <c r="D598" s="9" t="e">
        <f t="shared" ca="1" si="31"/>
        <v>#REF!</v>
      </c>
      <c r="F598" s="7" t="str">
        <f t="shared" si="32"/>
        <v>!A31</v>
      </c>
    </row>
    <row r="599" spans="3:6" x14ac:dyDescent="0.25">
      <c r="C599" s="9">
        <f t="shared" si="30"/>
        <v>31</v>
      </c>
      <c r="D599" s="9" t="e">
        <f t="shared" ca="1" si="31"/>
        <v>#REF!</v>
      </c>
      <c r="F599" s="7" t="str">
        <f t="shared" si="32"/>
        <v>!A31</v>
      </c>
    </row>
    <row r="600" spans="3:6" x14ac:dyDescent="0.25">
      <c r="C600" s="9">
        <f t="shared" si="30"/>
        <v>31</v>
      </c>
      <c r="D600" s="9" t="e">
        <f t="shared" ca="1" si="31"/>
        <v>#REF!</v>
      </c>
      <c r="F600" s="7" t="str">
        <f t="shared" si="32"/>
        <v>!A31</v>
      </c>
    </row>
    <row r="601" spans="3:6" x14ac:dyDescent="0.25">
      <c r="C601" s="9">
        <f t="shared" si="30"/>
        <v>31</v>
      </c>
      <c r="D601" s="9" t="e">
        <f t="shared" ca="1" si="31"/>
        <v>#REF!</v>
      </c>
      <c r="F601" s="7" t="str">
        <f t="shared" si="32"/>
        <v>!A31</v>
      </c>
    </row>
    <row r="602" spans="3:6" x14ac:dyDescent="0.25">
      <c r="C602" s="9">
        <f t="shared" si="30"/>
        <v>31</v>
      </c>
      <c r="D602" s="9" t="e">
        <f t="shared" ca="1" si="31"/>
        <v>#REF!</v>
      </c>
      <c r="F602" s="7" t="str">
        <f t="shared" si="32"/>
        <v>!A31</v>
      </c>
    </row>
    <row r="603" spans="3:6" x14ac:dyDescent="0.25">
      <c r="C603" s="9">
        <f t="shared" si="30"/>
        <v>31</v>
      </c>
      <c r="D603" s="9" t="e">
        <f t="shared" ca="1" si="31"/>
        <v>#REF!</v>
      </c>
      <c r="F603" s="7" t="str">
        <f t="shared" si="32"/>
        <v>!A31</v>
      </c>
    </row>
    <row r="604" spans="3:6" x14ac:dyDescent="0.25">
      <c r="C604" s="9">
        <f t="shared" si="30"/>
        <v>31</v>
      </c>
      <c r="D604" s="9" t="e">
        <f t="shared" ca="1" si="31"/>
        <v>#REF!</v>
      </c>
      <c r="F604" s="7" t="str">
        <f t="shared" si="32"/>
        <v>!A31</v>
      </c>
    </row>
    <row r="605" spans="3:6" x14ac:dyDescent="0.25">
      <c r="C605" s="9">
        <f t="shared" si="30"/>
        <v>31</v>
      </c>
      <c r="D605" s="9" t="e">
        <f t="shared" ca="1" si="31"/>
        <v>#REF!</v>
      </c>
      <c r="F605" s="7" t="str">
        <f t="shared" si="32"/>
        <v>!A31</v>
      </c>
    </row>
    <row r="606" spans="3:6" x14ac:dyDescent="0.25">
      <c r="C606" s="9">
        <f t="shared" si="30"/>
        <v>31</v>
      </c>
      <c r="D606" s="9" t="e">
        <f t="shared" ca="1" si="31"/>
        <v>#REF!</v>
      </c>
      <c r="F606" s="7" t="str">
        <f t="shared" si="32"/>
        <v>!A31</v>
      </c>
    </row>
    <row r="607" spans="3:6" x14ac:dyDescent="0.25">
      <c r="C607" s="9">
        <f t="shared" si="30"/>
        <v>31</v>
      </c>
      <c r="D607" s="9" t="e">
        <f t="shared" ca="1" si="31"/>
        <v>#REF!</v>
      </c>
      <c r="F607" s="7" t="str">
        <f t="shared" si="32"/>
        <v>!A31</v>
      </c>
    </row>
    <row r="608" spans="3:6" x14ac:dyDescent="0.25">
      <c r="C608" s="9">
        <f t="shared" si="30"/>
        <v>31</v>
      </c>
      <c r="D608" s="9" t="e">
        <f t="shared" ca="1" si="31"/>
        <v>#REF!</v>
      </c>
      <c r="F608" s="7" t="str">
        <f t="shared" si="32"/>
        <v>!A31</v>
      </c>
    </row>
    <row r="609" spans="3:6" x14ac:dyDescent="0.25">
      <c r="C609" s="9">
        <f t="shared" si="30"/>
        <v>31</v>
      </c>
      <c r="D609" s="9" t="e">
        <f t="shared" ca="1" si="31"/>
        <v>#REF!</v>
      </c>
      <c r="F609" s="7" t="str">
        <f t="shared" si="32"/>
        <v>!A31</v>
      </c>
    </row>
    <row r="610" spans="3:6" x14ac:dyDescent="0.25">
      <c r="C610" s="9">
        <f t="shared" si="30"/>
        <v>31</v>
      </c>
      <c r="D610" s="9" t="e">
        <f t="shared" ca="1" si="31"/>
        <v>#REF!</v>
      </c>
      <c r="F610" s="7" t="str">
        <f t="shared" si="32"/>
        <v>!A31</v>
      </c>
    </row>
    <row r="611" spans="3:6" x14ac:dyDescent="0.25">
      <c r="C611" s="9">
        <f t="shared" si="30"/>
        <v>31</v>
      </c>
      <c r="D611" s="9" t="e">
        <f t="shared" ca="1" si="31"/>
        <v>#REF!</v>
      </c>
      <c r="F611" s="7" t="str">
        <f t="shared" si="32"/>
        <v>!A31</v>
      </c>
    </row>
    <row r="612" spans="3:6" x14ac:dyDescent="0.25">
      <c r="C612" s="9">
        <f t="shared" si="30"/>
        <v>31</v>
      </c>
      <c r="D612" s="9" t="e">
        <f t="shared" ca="1" si="31"/>
        <v>#REF!</v>
      </c>
      <c r="F612" s="7" t="str">
        <f t="shared" si="32"/>
        <v>!A31</v>
      </c>
    </row>
    <row r="613" spans="3:6" x14ac:dyDescent="0.25">
      <c r="C613" s="9">
        <f t="shared" si="30"/>
        <v>31</v>
      </c>
      <c r="D613" s="9" t="e">
        <f t="shared" ca="1" si="31"/>
        <v>#REF!</v>
      </c>
      <c r="F613" s="7" t="str">
        <f t="shared" si="32"/>
        <v>!A31</v>
      </c>
    </row>
    <row r="614" spans="3:6" x14ac:dyDescent="0.25">
      <c r="C614" s="9">
        <f t="shared" si="30"/>
        <v>31</v>
      </c>
      <c r="D614" s="9" t="e">
        <f t="shared" ca="1" si="31"/>
        <v>#REF!</v>
      </c>
      <c r="F614" s="7" t="str">
        <f t="shared" si="32"/>
        <v>!A31</v>
      </c>
    </row>
    <row r="615" spans="3:6" x14ac:dyDescent="0.25">
      <c r="C615" s="9">
        <f t="shared" si="30"/>
        <v>31</v>
      </c>
      <c r="D615" s="9" t="e">
        <f t="shared" ca="1" si="31"/>
        <v>#REF!</v>
      </c>
      <c r="F615" s="7" t="str">
        <f t="shared" si="32"/>
        <v>!A31</v>
      </c>
    </row>
    <row r="616" spans="3:6" x14ac:dyDescent="0.25">
      <c r="C616" s="9">
        <f t="shared" si="30"/>
        <v>31</v>
      </c>
      <c r="D616" s="9" t="e">
        <f t="shared" ca="1" si="31"/>
        <v>#REF!</v>
      </c>
      <c r="F616" s="7" t="str">
        <f t="shared" si="32"/>
        <v>!A31</v>
      </c>
    </row>
    <row r="617" spans="3:6" x14ac:dyDescent="0.25">
      <c r="C617" s="9">
        <f t="shared" si="30"/>
        <v>31</v>
      </c>
      <c r="D617" s="9" t="e">
        <f t="shared" ca="1" si="31"/>
        <v>#REF!</v>
      </c>
      <c r="F617" s="7" t="str">
        <f t="shared" si="32"/>
        <v>!A31</v>
      </c>
    </row>
    <row r="618" spans="3:6" x14ac:dyDescent="0.25">
      <c r="C618" s="9">
        <f t="shared" si="30"/>
        <v>31</v>
      </c>
      <c r="D618" s="9" t="e">
        <f t="shared" ca="1" si="31"/>
        <v>#REF!</v>
      </c>
      <c r="F618" s="7" t="str">
        <f t="shared" si="32"/>
        <v>!A31</v>
      </c>
    </row>
    <row r="619" spans="3:6" x14ac:dyDescent="0.25">
      <c r="C619" s="9">
        <f t="shared" si="30"/>
        <v>31</v>
      </c>
      <c r="D619" s="9" t="e">
        <f t="shared" ca="1" si="31"/>
        <v>#REF!</v>
      </c>
      <c r="F619" s="7" t="str">
        <f t="shared" si="32"/>
        <v>!A31</v>
      </c>
    </row>
    <row r="620" spans="3:6" x14ac:dyDescent="0.25">
      <c r="C620" s="9">
        <f t="shared" si="30"/>
        <v>31</v>
      </c>
      <c r="D620" s="9" t="e">
        <f t="shared" ca="1" si="31"/>
        <v>#REF!</v>
      </c>
      <c r="F620" s="7" t="str">
        <f t="shared" si="32"/>
        <v>!A31</v>
      </c>
    </row>
    <row r="621" spans="3:6" x14ac:dyDescent="0.25">
      <c r="C621" s="9">
        <f t="shared" si="30"/>
        <v>31</v>
      </c>
      <c r="D621" s="9" t="e">
        <f t="shared" ca="1" si="31"/>
        <v>#REF!</v>
      </c>
      <c r="F621" s="7" t="str">
        <f t="shared" si="32"/>
        <v>!A31</v>
      </c>
    </row>
    <row r="622" spans="3:6" x14ac:dyDescent="0.25">
      <c r="C622" s="9">
        <f t="shared" si="30"/>
        <v>31</v>
      </c>
      <c r="D622" s="9" t="e">
        <f t="shared" ca="1" si="31"/>
        <v>#REF!</v>
      </c>
      <c r="F622" s="7" t="str">
        <f t="shared" si="32"/>
        <v>!A31</v>
      </c>
    </row>
    <row r="623" spans="3:6" x14ac:dyDescent="0.25">
      <c r="C623" s="9">
        <f t="shared" si="30"/>
        <v>31</v>
      </c>
      <c r="D623" s="9" t="e">
        <f t="shared" ca="1" si="31"/>
        <v>#REF!</v>
      </c>
      <c r="F623" s="7" t="str">
        <f t="shared" si="32"/>
        <v>!A31</v>
      </c>
    </row>
    <row r="624" spans="3:6" x14ac:dyDescent="0.25">
      <c r="C624" s="9">
        <f t="shared" si="30"/>
        <v>31</v>
      </c>
      <c r="D624" s="9" t="e">
        <f t="shared" ca="1" si="31"/>
        <v>#REF!</v>
      </c>
      <c r="F624" s="7" t="str">
        <f t="shared" si="32"/>
        <v>!A31</v>
      </c>
    </row>
    <row r="625" spans="3:6" x14ac:dyDescent="0.25">
      <c r="C625" s="9">
        <f t="shared" si="30"/>
        <v>31</v>
      </c>
      <c r="D625" s="9" t="e">
        <f t="shared" ca="1" si="31"/>
        <v>#REF!</v>
      </c>
      <c r="F625" s="7" t="str">
        <f t="shared" si="32"/>
        <v>!A31</v>
      </c>
    </row>
    <row r="626" spans="3:6" x14ac:dyDescent="0.25">
      <c r="C626" s="9">
        <f t="shared" si="30"/>
        <v>31</v>
      </c>
      <c r="D626" s="9" t="e">
        <f t="shared" ca="1" si="31"/>
        <v>#REF!</v>
      </c>
      <c r="F626" s="7" t="str">
        <f t="shared" si="32"/>
        <v>!A31</v>
      </c>
    </row>
    <row r="627" spans="3:6" x14ac:dyDescent="0.25">
      <c r="C627" s="9">
        <f t="shared" si="30"/>
        <v>31</v>
      </c>
      <c r="D627" s="9" t="e">
        <f t="shared" ca="1" si="31"/>
        <v>#REF!</v>
      </c>
      <c r="F627" s="7" t="str">
        <f t="shared" si="32"/>
        <v>!A31</v>
      </c>
    </row>
    <row r="628" spans="3:6" x14ac:dyDescent="0.25">
      <c r="C628" s="9">
        <f t="shared" si="30"/>
        <v>31</v>
      </c>
      <c r="D628" s="9" t="e">
        <f t="shared" ca="1" si="31"/>
        <v>#REF!</v>
      </c>
      <c r="F628" s="7" t="str">
        <f t="shared" si="32"/>
        <v>!A31</v>
      </c>
    </row>
    <row r="629" spans="3:6" x14ac:dyDescent="0.25">
      <c r="C629" s="9">
        <f t="shared" si="30"/>
        <v>31</v>
      </c>
      <c r="D629" s="9" t="e">
        <f t="shared" ca="1" si="31"/>
        <v>#REF!</v>
      </c>
      <c r="F629" s="7" t="str">
        <f t="shared" si="32"/>
        <v>!A31</v>
      </c>
    </row>
    <row r="630" spans="3:6" x14ac:dyDescent="0.25">
      <c r="C630" s="9">
        <f t="shared" si="30"/>
        <v>31</v>
      </c>
      <c r="D630" s="9" t="e">
        <f t="shared" ca="1" si="31"/>
        <v>#REF!</v>
      </c>
      <c r="F630" s="7" t="str">
        <f t="shared" si="32"/>
        <v>!A31</v>
      </c>
    </row>
    <row r="631" spans="3:6" x14ac:dyDescent="0.25">
      <c r="C631" s="9">
        <f t="shared" si="30"/>
        <v>31</v>
      </c>
      <c r="D631" s="9" t="e">
        <f t="shared" ca="1" si="31"/>
        <v>#REF!</v>
      </c>
      <c r="F631" s="7" t="str">
        <f t="shared" si="32"/>
        <v>!A31</v>
      </c>
    </row>
    <row r="632" spans="3:6" x14ac:dyDescent="0.25">
      <c r="C632" s="9">
        <f t="shared" si="30"/>
        <v>31</v>
      </c>
      <c r="D632" s="9" t="e">
        <f t="shared" ca="1" si="31"/>
        <v>#REF!</v>
      </c>
      <c r="F632" s="7" t="str">
        <f t="shared" si="32"/>
        <v>!A31</v>
      </c>
    </row>
    <row r="633" spans="3:6" x14ac:dyDescent="0.25">
      <c r="C633" s="9">
        <f t="shared" si="30"/>
        <v>31</v>
      </c>
      <c r="D633" s="9" t="e">
        <f t="shared" ca="1" si="31"/>
        <v>#REF!</v>
      </c>
      <c r="F633" s="7" t="str">
        <f t="shared" si="32"/>
        <v>!A31</v>
      </c>
    </row>
    <row r="634" spans="3:6" x14ac:dyDescent="0.25">
      <c r="C634" s="9">
        <f t="shared" si="30"/>
        <v>31</v>
      </c>
      <c r="D634" s="9" t="e">
        <f t="shared" ca="1" si="31"/>
        <v>#REF!</v>
      </c>
      <c r="F634" s="7" t="str">
        <f t="shared" si="32"/>
        <v>!A31</v>
      </c>
    </row>
    <row r="635" spans="3:6" x14ac:dyDescent="0.25">
      <c r="C635" s="9">
        <f t="shared" ref="C635:C662" si="33">20*B635+31</f>
        <v>31</v>
      </c>
      <c r="D635" s="9" t="e">
        <f t="shared" ref="D635:D662" ca="1" si="34">INDIRECT(ADDRESS(C635,1,4,1,A635))</f>
        <v>#REF!</v>
      </c>
      <c r="F635" s="7" t="str">
        <f t="shared" ref="F635:F662" si="35">ADDRESS(C635,1,4,1,A635)</f>
        <v>!A31</v>
      </c>
    </row>
    <row r="636" spans="3:6" x14ac:dyDescent="0.25">
      <c r="C636" s="9">
        <f t="shared" si="33"/>
        <v>31</v>
      </c>
      <c r="D636" s="9" t="e">
        <f t="shared" ca="1" si="34"/>
        <v>#REF!</v>
      </c>
      <c r="F636" s="7" t="str">
        <f t="shared" si="35"/>
        <v>!A31</v>
      </c>
    </row>
    <row r="637" spans="3:6" x14ac:dyDescent="0.25">
      <c r="C637" s="9">
        <f t="shared" si="33"/>
        <v>31</v>
      </c>
      <c r="D637" s="9" t="e">
        <f t="shared" ca="1" si="34"/>
        <v>#REF!</v>
      </c>
      <c r="F637" s="7" t="str">
        <f t="shared" si="35"/>
        <v>!A31</v>
      </c>
    </row>
    <row r="638" spans="3:6" x14ac:dyDescent="0.25">
      <c r="C638" s="9">
        <f t="shared" si="33"/>
        <v>31</v>
      </c>
      <c r="D638" s="9" t="e">
        <f t="shared" ca="1" si="34"/>
        <v>#REF!</v>
      </c>
      <c r="F638" s="7" t="str">
        <f t="shared" si="35"/>
        <v>!A31</v>
      </c>
    </row>
    <row r="639" spans="3:6" x14ac:dyDescent="0.25">
      <c r="C639" s="9">
        <f t="shared" si="33"/>
        <v>31</v>
      </c>
      <c r="D639" s="9" t="e">
        <f t="shared" ca="1" si="34"/>
        <v>#REF!</v>
      </c>
      <c r="F639" s="7" t="str">
        <f t="shared" si="35"/>
        <v>!A31</v>
      </c>
    </row>
    <row r="640" spans="3:6" x14ac:dyDescent="0.25">
      <c r="C640" s="9">
        <f t="shared" si="33"/>
        <v>31</v>
      </c>
      <c r="D640" s="9" t="e">
        <f t="shared" ca="1" si="34"/>
        <v>#REF!</v>
      </c>
      <c r="F640" s="7" t="str">
        <f t="shared" si="35"/>
        <v>!A31</v>
      </c>
    </row>
    <row r="641" spans="3:6" x14ac:dyDescent="0.25">
      <c r="C641" s="9">
        <f t="shared" si="33"/>
        <v>31</v>
      </c>
      <c r="D641" s="9" t="e">
        <f t="shared" ca="1" si="34"/>
        <v>#REF!</v>
      </c>
      <c r="F641" s="7" t="str">
        <f t="shared" si="35"/>
        <v>!A31</v>
      </c>
    </row>
    <row r="642" spans="3:6" x14ac:dyDescent="0.25">
      <c r="C642" s="9">
        <f t="shared" si="33"/>
        <v>31</v>
      </c>
      <c r="D642" s="9" t="e">
        <f t="shared" ca="1" si="34"/>
        <v>#REF!</v>
      </c>
      <c r="F642" s="7" t="str">
        <f t="shared" si="35"/>
        <v>!A31</v>
      </c>
    </row>
    <row r="643" spans="3:6" x14ac:dyDescent="0.25">
      <c r="C643" s="9">
        <f t="shared" si="33"/>
        <v>31</v>
      </c>
      <c r="D643" s="9" t="e">
        <f t="shared" ca="1" si="34"/>
        <v>#REF!</v>
      </c>
      <c r="F643" s="7" t="str">
        <f t="shared" si="35"/>
        <v>!A31</v>
      </c>
    </row>
    <row r="644" spans="3:6" x14ac:dyDescent="0.25">
      <c r="C644" s="9">
        <f t="shared" si="33"/>
        <v>31</v>
      </c>
      <c r="D644" s="9" t="e">
        <f t="shared" ca="1" si="34"/>
        <v>#REF!</v>
      </c>
      <c r="F644" s="7" t="str">
        <f t="shared" si="35"/>
        <v>!A31</v>
      </c>
    </row>
    <row r="645" spans="3:6" x14ac:dyDescent="0.25">
      <c r="C645" s="9">
        <f t="shared" si="33"/>
        <v>31</v>
      </c>
      <c r="D645" s="9" t="e">
        <f t="shared" ca="1" si="34"/>
        <v>#REF!</v>
      </c>
      <c r="F645" s="7" t="str">
        <f t="shared" si="35"/>
        <v>!A31</v>
      </c>
    </row>
    <row r="646" spans="3:6" x14ac:dyDescent="0.25">
      <c r="C646" s="9">
        <f t="shared" si="33"/>
        <v>31</v>
      </c>
      <c r="D646" s="9" t="e">
        <f t="shared" ca="1" si="34"/>
        <v>#REF!</v>
      </c>
      <c r="F646" s="7" t="str">
        <f t="shared" si="35"/>
        <v>!A31</v>
      </c>
    </row>
    <row r="647" spans="3:6" x14ac:dyDescent="0.25">
      <c r="C647" s="9">
        <f t="shared" si="33"/>
        <v>31</v>
      </c>
      <c r="D647" s="9" t="e">
        <f t="shared" ca="1" si="34"/>
        <v>#REF!</v>
      </c>
      <c r="F647" s="7" t="str">
        <f t="shared" si="35"/>
        <v>!A31</v>
      </c>
    </row>
    <row r="648" spans="3:6" x14ac:dyDescent="0.25">
      <c r="C648" s="9">
        <f t="shared" si="33"/>
        <v>31</v>
      </c>
      <c r="D648" s="9" t="e">
        <f t="shared" ca="1" si="34"/>
        <v>#REF!</v>
      </c>
      <c r="F648" s="7" t="str">
        <f t="shared" si="35"/>
        <v>!A31</v>
      </c>
    </row>
    <row r="649" spans="3:6" x14ac:dyDescent="0.25">
      <c r="C649" s="9">
        <f t="shared" si="33"/>
        <v>31</v>
      </c>
      <c r="D649" s="9" t="e">
        <f t="shared" ca="1" si="34"/>
        <v>#REF!</v>
      </c>
      <c r="F649" s="7" t="str">
        <f t="shared" si="35"/>
        <v>!A31</v>
      </c>
    </row>
    <row r="650" spans="3:6" x14ac:dyDescent="0.25">
      <c r="C650" s="9">
        <f t="shared" si="33"/>
        <v>31</v>
      </c>
      <c r="D650" s="9" t="e">
        <f t="shared" ca="1" si="34"/>
        <v>#REF!</v>
      </c>
      <c r="F650" s="7" t="str">
        <f t="shared" si="35"/>
        <v>!A31</v>
      </c>
    </row>
    <row r="651" spans="3:6" x14ac:dyDescent="0.25">
      <c r="C651" s="9">
        <f t="shared" si="33"/>
        <v>31</v>
      </c>
      <c r="D651" s="9" t="e">
        <f t="shared" ca="1" si="34"/>
        <v>#REF!</v>
      </c>
      <c r="F651" s="7" t="str">
        <f t="shared" si="35"/>
        <v>!A31</v>
      </c>
    </row>
    <row r="652" spans="3:6" x14ac:dyDescent="0.25">
      <c r="C652" s="9">
        <f t="shared" si="33"/>
        <v>31</v>
      </c>
      <c r="D652" s="9" t="e">
        <f t="shared" ca="1" si="34"/>
        <v>#REF!</v>
      </c>
      <c r="F652" s="7" t="str">
        <f t="shared" si="35"/>
        <v>!A31</v>
      </c>
    </row>
    <row r="653" spans="3:6" x14ac:dyDescent="0.25">
      <c r="C653" s="9">
        <f t="shared" si="33"/>
        <v>31</v>
      </c>
      <c r="D653" s="9" t="e">
        <f t="shared" ca="1" si="34"/>
        <v>#REF!</v>
      </c>
      <c r="F653" s="7" t="str">
        <f t="shared" si="35"/>
        <v>!A31</v>
      </c>
    </row>
    <row r="654" spans="3:6" x14ac:dyDescent="0.25">
      <c r="C654" s="9">
        <f t="shared" si="33"/>
        <v>31</v>
      </c>
      <c r="D654" s="9" t="e">
        <f t="shared" ca="1" si="34"/>
        <v>#REF!</v>
      </c>
      <c r="F654" s="7" t="str">
        <f t="shared" si="35"/>
        <v>!A31</v>
      </c>
    </row>
    <row r="655" spans="3:6" x14ac:dyDescent="0.25">
      <c r="C655" s="9">
        <f t="shared" si="33"/>
        <v>31</v>
      </c>
      <c r="D655" s="9" t="e">
        <f t="shared" ca="1" si="34"/>
        <v>#REF!</v>
      </c>
      <c r="F655" s="7" t="str">
        <f t="shared" si="35"/>
        <v>!A31</v>
      </c>
    </row>
    <row r="656" spans="3:6" x14ac:dyDescent="0.25">
      <c r="C656" s="9">
        <f t="shared" si="33"/>
        <v>31</v>
      </c>
      <c r="D656" s="9" t="e">
        <f t="shared" ca="1" si="34"/>
        <v>#REF!</v>
      </c>
      <c r="F656" s="7" t="str">
        <f t="shared" si="35"/>
        <v>!A31</v>
      </c>
    </row>
    <row r="657" spans="3:6" x14ac:dyDescent="0.25">
      <c r="C657" s="9">
        <f t="shared" si="33"/>
        <v>31</v>
      </c>
      <c r="D657" s="9" t="e">
        <f t="shared" ca="1" si="34"/>
        <v>#REF!</v>
      </c>
      <c r="F657" s="7" t="str">
        <f t="shared" si="35"/>
        <v>!A31</v>
      </c>
    </row>
    <row r="658" spans="3:6" x14ac:dyDescent="0.25">
      <c r="C658" s="9">
        <f t="shared" si="33"/>
        <v>31</v>
      </c>
      <c r="D658" s="9" t="e">
        <f t="shared" ca="1" si="34"/>
        <v>#REF!</v>
      </c>
      <c r="F658" s="7" t="str">
        <f t="shared" si="35"/>
        <v>!A31</v>
      </c>
    </row>
    <row r="659" spans="3:6" x14ac:dyDescent="0.25">
      <c r="C659" s="9">
        <f t="shared" si="33"/>
        <v>31</v>
      </c>
      <c r="D659" s="9" t="e">
        <f t="shared" ca="1" si="34"/>
        <v>#REF!</v>
      </c>
      <c r="F659" s="7" t="str">
        <f t="shared" si="35"/>
        <v>!A31</v>
      </c>
    </row>
    <row r="660" spans="3:6" x14ac:dyDescent="0.25">
      <c r="C660" s="9">
        <f t="shared" si="33"/>
        <v>31</v>
      </c>
      <c r="D660" s="9" t="e">
        <f t="shared" ca="1" si="34"/>
        <v>#REF!</v>
      </c>
      <c r="F660" s="7" t="str">
        <f t="shared" si="35"/>
        <v>!A31</v>
      </c>
    </row>
    <row r="661" spans="3:6" x14ac:dyDescent="0.25">
      <c r="C661" s="9">
        <f t="shared" si="33"/>
        <v>31</v>
      </c>
      <c r="D661" s="9" t="e">
        <f t="shared" ca="1" si="34"/>
        <v>#REF!</v>
      </c>
      <c r="F661" s="7" t="str">
        <f t="shared" si="35"/>
        <v>!A31</v>
      </c>
    </row>
    <row r="662" spans="3:6" x14ac:dyDescent="0.25">
      <c r="C662" s="9">
        <f t="shared" si="33"/>
        <v>31</v>
      </c>
      <c r="D662" s="9" t="e">
        <f t="shared" ca="1" si="34"/>
        <v>#REF!</v>
      </c>
      <c r="F662" s="7" t="str">
        <f t="shared" si="35"/>
        <v>!A31</v>
      </c>
    </row>
  </sheetData>
  <sheetProtection selectLockedCells="1"/>
  <protectedRanges>
    <protectedRange sqref="A1:B1048576" name="Rozstęp1" securityDescriptor="O:WDG:WDD:(A;;CC;;;AN)(A;;CC;;;WD)"/>
  </protectedRange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1" workbookViewId="0">
      <selection activeCell="AQ24" sqref="AQ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00"/>
  <sheetViews>
    <sheetView workbookViewId="0">
      <selection activeCell="A61" sqref="A1:A1048576"/>
    </sheetView>
  </sheetViews>
  <sheetFormatPr defaultRowHeight="15" x14ac:dyDescent="0.25"/>
  <cols>
    <col min="1" max="1" width="47.42578125" style="3" bestFit="1" customWidth="1"/>
    <col min="2" max="8" width="9.140625" style="15"/>
    <col min="9" max="9" width="23.28515625" style="15" customWidth="1"/>
    <col min="10" max="10" width="28" style="15" bestFit="1" customWidth="1"/>
    <col min="11" max="11" width="27.85546875" style="15" bestFit="1" customWidth="1"/>
    <col min="12" max="19" width="9.140625" style="15"/>
    <col min="20" max="20" width="25.42578125" style="15" customWidth="1"/>
    <col min="21" max="21" width="9.5703125" bestFit="1" customWidth="1"/>
  </cols>
  <sheetData>
    <row r="1" spans="1:18" x14ac:dyDescent="0.25">
      <c r="A1" s="3" t="s">
        <v>32</v>
      </c>
      <c r="R1" s="15" t="s">
        <v>260</v>
      </c>
    </row>
    <row r="3" spans="1:18" x14ac:dyDescent="0.25">
      <c r="A3" s="3" t="s">
        <v>33</v>
      </c>
    </row>
    <row r="4" spans="1:18" x14ac:dyDescent="0.25">
      <c r="A4" s="3" t="s">
        <v>34</v>
      </c>
    </row>
    <row r="5" spans="1:18" x14ac:dyDescent="0.25">
      <c r="D5" s="16"/>
    </row>
    <row r="6" spans="1:18" x14ac:dyDescent="0.25">
      <c r="A6" s="3" t="s">
        <v>35</v>
      </c>
      <c r="H6" s="15" t="s">
        <v>83</v>
      </c>
    </row>
    <row r="7" spans="1:18" x14ac:dyDescent="0.25">
      <c r="C7" s="16"/>
    </row>
    <row r="8" spans="1:18" x14ac:dyDescent="0.25">
      <c r="A8" s="3" t="str">
        <f t="shared" ref="A8:A27" ca="1" si="0">IFERROR(IF(INDIRECT(J8)&lt;&gt;"",CONCATENATE(INDIRECT(J8)," = ",INDIRECT(K8)," "),""),"")</f>
        <v xml:space="preserve">#I2C_Expander_Main_Rst:wartość safe =  </v>
      </c>
      <c r="G8" s="15">
        <f ca="1">INDIRECT(M8)</f>
        <v>31</v>
      </c>
      <c r="H8" s="15">
        <v>1</v>
      </c>
      <c r="I8" s="15" t="str">
        <f ca="1">INDIRECT(N8)</f>
        <v>I2C_Expander_Main_Rst</v>
      </c>
      <c r="J8" s="15" t="str">
        <f t="shared" ref="J8:J14" ca="1" si="1">ADDRESS(G8,H8,4,1,I8)</f>
        <v>I2C_Expander_Main_Rst!A31</v>
      </c>
      <c r="K8" s="15" t="str">
        <f t="shared" ref="K8:K14" ca="1" si="2">ADDRESS(G8,H8+1,4,1,I8)</f>
        <v>I2C_Expander_Main_Rst!B31</v>
      </c>
      <c r="M8" s="15" t="str">
        <f>ADDRESS(O8,3,4,1,$R$1)</f>
        <v>konfig!C2</v>
      </c>
      <c r="N8" s="15" t="str">
        <f>ADDRESS(O8,1,4,1,$R$1)</f>
        <v>konfig!A2</v>
      </c>
      <c r="O8" s="15">
        <v>2</v>
      </c>
      <c r="P8" s="15">
        <v>4</v>
      </c>
    </row>
    <row r="9" spans="1:18" x14ac:dyDescent="0.25">
      <c r="A9" s="3" t="str">
        <f t="shared" ca="1" si="0"/>
        <v xml:space="preserve">device = MCP23017 </v>
      </c>
      <c r="G9" s="15">
        <f ca="1">G8+1</f>
        <v>32</v>
      </c>
      <c r="H9" s="15">
        <v>1</v>
      </c>
      <c r="I9" s="15" t="str">
        <f ca="1">I8</f>
        <v>I2C_Expander_Main_Rst</v>
      </c>
      <c r="J9" s="15" t="str">
        <f t="shared" ca="1" si="1"/>
        <v>I2C_Expander_Main_Rst!A32</v>
      </c>
      <c r="K9" s="15" t="str">
        <f t="shared" ca="1" si="2"/>
        <v>I2C_Expander_Main_Rst!B32</v>
      </c>
    </row>
    <row r="10" spans="1:18" x14ac:dyDescent="0.25">
      <c r="A10" s="3" t="str">
        <f t="shared" ca="1" si="0"/>
        <v xml:space="preserve">i2c_addr = 0x24 </v>
      </c>
      <c r="G10" s="15">
        <f t="shared" ref="G10:G73" ca="1" si="3">G9+1</f>
        <v>33</v>
      </c>
      <c r="H10" s="15">
        <v>1</v>
      </c>
      <c r="I10" s="15" t="str">
        <f t="shared" ref="I10:I47" ca="1" si="4">I9</f>
        <v>I2C_Expander_Main_Rst</v>
      </c>
      <c r="J10" s="15" t="str">
        <f t="shared" ca="1" si="1"/>
        <v>I2C_Expander_Main_Rst!A33</v>
      </c>
      <c r="K10" s="15" t="str">
        <f t="shared" ca="1" si="2"/>
        <v>I2C_Expander_Main_Rst!B33</v>
      </c>
    </row>
    <row r="11" spans="1:18" x14ac:dyDescent="0.25">
      <c r="A11" s="3" t="str">
        <f t="shared" ca="1" si="0"/>
        <v xml:space="preserve">i2c_num = /dev/i2c-1 </v>
      </c>
      <c r="C11" s="16"/>
      <c r="G11" s="15">
        <f t="shared" ca="1" si="3"/>
        <v>34</v>
      </c>
      <c r="H11" s="15">
        <v>1</v>
      </c>
      <c r="I11" s="15" t="str">
        <f t="shared" ca="1" si="4"/>
        <v>I2C_Expander_Main_Rst</v>
      </c>
      <c r="J11" s="15" t="str">
        <f t="shared" ca="1" si="1"/>
        <v>I2C_Expander_Main_Rst!A34</v>
      </c>
      <c r="K11" s="15" t="str">
        <f t="shared" ca="1" si="2"/>
        <v>I2C_Expander_Main_Rst!B34</v>
      </c>
    </row>
    <row r="12" spans="1:18" x14ac:dyDescent="0.25">
      <c r="A12" s="3" t="str">
        <f t="shared" ca="1" si="0"/>
        <v xml:space="preserve">pins_mode = 0x81F8 </v>
      </c>
      <c r="G12" s="15">
        <f t="shared" ca="1" si="3"/>
        <v>35</v>
      </c>
      <c r="H12" s="15">
        <v>1</v>
      </c>
      <c r="I12" s="15" t="str">
        <f t="shared" ca="1" si="4"/>
        <v>I2C_Expander_Main_Rst</v>
      </c>
      <c r="J12" s="15" t="str">
        <f t="shared" ca="1" si="1"/>
        <v>I2C_Expander_Main_Rst!A35</v>
      </c>
      <c r="K12" s="15" t="str">
        <f t="shared" ca="1" si="2"/>
        <v>I2C_Expander_Main_Rst!B35</v>
      </c>
    </row>
    <row r="13" spans="1:18" x14ac:dyDescent="0.25">
      <c r="A13" s="3" t="str">
        <f t="shared" ca="1" si="0"/>
        <v xml:space="preserve">pins_state = 0x2000 </v>
      </c>
      <c r="G13" s="15">
        <f t="shared" ca="1" si="3"/>
        <v>36</v>
      </c>
      <c r="H13" s="15">
        <v>1</v>
      </c>
      <c r="I13" s="15" t="str">
        <f t="shared" ca="1" si="4"/>
        <v>I2C_Expander_Main_Rst</v>
      </c>
      <c r="J13" s="15" t="str">
        <f t="shared" ca="1" si="1"/>
        <v>I2C_Expander_Main_Rst!A36</v>
      </c>
      <c r="K13" s="15" t="str">
        <f t="shared" ca="1" si="2"/>
        <v>I2C_Expander_Main_Rst!B36</v>
      </c>
    </row>
    <row r="14" spans="1:18" x14ac:dyDescent="0.25">
      <c r="A14" s="3" t="str">
        <f t="shared" ca="1" si="0"/>
        <v/>
      </c>
      <c r="G14" s="15">
        <f t="shared" ca="1" si="3"/>
        <v>37</v>
      </c>
      <c r="H14" s="15">
        <v>1</v>
      </c>
      <c r="I14" s="15" t="str">
        <f t="shared" ca="1" si="4"/>
        <v>I2C_Expander_Main_Rst</v>
      </c>
      <c r="J14" s="15" t="str">
        <f t="shared" ca="1" si="1"/>
        <v>I2C_Expander_Main_Rst!A37</v>
      </c>
      <c r="K14" s="15" t="str">
        <f t="shared" ca="1" si="2"/>
        <v>I2C_Expander_Main_Rst!B37</v>
      </c>
    </row>
    <row r="15" spans="1:18" x14ac:dyDescent="0.25">
      <c r="A15" s="3" t="str">
        <f t="shared" ca="1" si="0"/>
        <v xml:space="preserve">time = 500 </v>
      </c>
      <c r="G15" s="15">
        <f t="shared" ca="1" si="3"/>
        <v>38</v>
      </c>
      <c r="H15" s="15">
        <v>1</v>
      </c>
      <c r="I15" s="15" t="str">
        <f t="shared" ca="1" si="4"/>
        <v>I2C_Expander_Main_Rst</v>
      </c>
      <c r="J15" s="15" t="str">
        <f t="shared" ref="J15:J23" ca="1" si="5">ADDRESS(G15,H15,4,1,I15)</f>
        <v>I2C_Expander_Main_Rst!A38</v>
      </c>
      <c r="K15" s="15" t="str">
        <f t="shared" ref="K15:K23" ca="1" si="6">ADDRESS(G15,H15+1,4,1,I15)</f>
        <v>I2C_Expander_Main_Rst!B38</v>
      </c>
    </row>
    <row r="16" spans="1:18" x14ac:dyDescent="0.25">
      <c r="A16" s="3" t="str">
        <f t="shared" ca="1" si="0"/>
        <v/>
      </c>
      <c r="G16" s="15">
        <f t="shared" ca="1" si="3"/>
        <v>39</v>
      </c>
      <c r="H16" s="15">
        <v>1</v>
      </c>
      <c r="I16" s="15" t="str">
        <f t="shared" ca="1" si="4"/>
        <v>I2C_Expander_Main_Rst</v>
      </c>
      <c r="J16" s="15" t="str">
        <f t="shared" ca="1" si="5"/>
        <v>I2C_Expander_Main_Rst!A39</v>
      </c>
      <c r="K16" s="15" t="str">
        <f t="shared" ca="1" si="6"/>
        <v>I2C_Expander_Main_Rst!B39</v>
      </c>
    </row>
    <row r="17" spans="1:16" x14ac:dyDescent="0.25">
      <c r="A17" s="3" t="str">
        <f t="shared" ca="1" si="0"/>
        <v/>
      </c>
      <c r="G17" s="15">
        <f t="shared" ca="1" si="3"/>
        <v>40</v>
      </c>
      <c r="H17" s="15">
        <v>1</v>
      </c>
      <c r="I17" s="15" t="str">
        <f t="shared" ca="1" si="4"/>
        <v>I2C_Expander_Main_Rst</v>
      </c>
      <c r="J17" s="15" t="str">
        <f t="shared" ca="1" si="5"/>
        <v>I2C_Expander_Main_Rst!A40</v>
      </c>
      <c r="K17" s="15" t="str">
        <f t="shared" ca="1" si="6"/>
        <v>I2C_Expander_Main_Rst!B40</v>
      </c>
    </row>
    <row r="18" spans="1:16" x14ac:dyDescent="0.25">
      <c r="A18" s="3" t="str">
        <f t="shared" ca="1" si="0"/>
        <v/>
      </c>
      <c r="G18" s="15">
        <f t="shared" ca="1" si="3"/>
        <v>41</v>
      </c>
      <c r="H18" s="15">
        <v>1</v>
      </c>
      <c r="I18" s="15" t="str">
        <f t="shared" ca="1" si="4"/>
        <v>I2C_Expander_Main_Rst</v>
      </c>
      <c r="J18" s="15" t="str">
        <f t="shared" ca="1" si="5"/>
        <v>I2C_Expander_Main_Rst!A41</v>
      </c>
      <c r="K18" s="15" t="str">
        <f t="shared" ca="1" si="6"/>
        <v>I2C_Expander_Main_Rst!B41</v>
      </c>
    </row>
    <row r="19" spans="1:16" x14ac:dyDescent="0.25">
      <c r="A19" s="3" t="str">
        <f t="shared" ca="1" si="0"/>
        <v/>
      </c>
      <c r="C19" s="16"/>
      <c r="G19" s="15">
        <f t="shared" ca="1" si="3"/>
        <v>42</v>
      </c>
      <c r="H19" s="15">
        <v>1</v>
      </c>
      <c r="I19" s="15" t="str">
        <f t="shared" ca="1" si="4"/>
        <v>I2C_Expander_Main_Rst</v>
      </c>
      <c r="J19" s="15" t="str">
        <f t="shared" ca="1" si="5"/>
        <v>I2C_Expander_Main_Rst!A42</v>
      </c>
      <c r="K19" s="15" t="str">
        <f t="shared" ca="1" si="6"/>
        <v>I2C_Expander_Main_Rst!B42</v>
      </c>
    </row>
    <row r="20" spans="1:16" x14ac:dyDescent="0.25">
      <c r="A20" s="3" t="str">
        <f t="shared" ca="1" si="0"/>
        <v/>
      </c>
      <c r="G20" s="15">
        <f t="shared" ca="1" si="3"/>
        <v>43</v>
      </c>
      <c r="H20" s="15">
        <v>1</v>
      </c>
      <c r="I20" s="15" t="str">
        <f t="shared" ca="1" si="4"/>
        <v>I2C_Expander_Main_Rst</v>
      </c>
      <c r="J20" s="15" t="str">
        <f t="shared" ca="1" si="5"/>
        <v>I2C_Expander_Main_Rst!A43</v>
      </c>
      <c r="K20" s="15" t="str">
        <f t="shared" ca="1" si="6"/>
        <v>I2C_Expander_Main_Rst!B43</v>
      </c>
    </row>
    <row r="21" spans="1:16" x14ac:dyDescent="0.25">
      <c r="A21" s="3" t="str">
        <f t="shared" ca="1" si="0"/>
        <v/>
      </c>
      <c r="G21" s="15">
        <f t="shared" ca="1" si="3"/>
        <v>44</v>
      </c>
      <c r="H21" s="15">
        <v>1</v>
      </c>
      <c r="I21" s="15" t="str">
        <f t="shared" ca="1" si="4"/>
        <v>I2C_Expander_Main_Rst</v>
      </c>
      <c r="J21" s="15" t="str">
        <f t="shared" ca="1" si="5"/>
        <v>I2C_Expander_Main_Rst!A44</v>
      </c>
      <c r="K21" s="15" t="str">
        <f t="shared" ca="1" si="6"/>
        <v>I2C_Expander_Main_Rst!B44</v>
      </c>
    </row>
    <row r="22" spans="1:16" x14ac:dyDescent="0.25">
      <c r="A22" s="3" t="str">
        <f t="shared" ca="1" si="0"/>
        <v/>
      </c>
      <c r="G22" s="15">
        <f t="shared" ca="1" si="3"/>
        <v>45</v>
      </c>
      <c r="H22" s="15">
        <v>1</v>
      </c>
      <c r="I22" s="15" t="str">
        <f t="shared" ca="1" si="4"/>
        <v>I2C_Expander_Main_Rst</v>
      </c>
      <c r="J22" s="15" t="str">
        <f t="shared" ca="1" si="5"/>
        <v>I2C_Expander_Main_Rst!A45</v>
      </c>
      <c r="K22" s="15" t="str">
        <f t="shared" ca="1" si="6"/>
        <v>I2C_Expander_Main_Rst!B45</v>
      </c>
    </row>
    <row r="23" spans="1:16" x14ac:dyDescent="0.25">
      <c r="A23" s="3" t="str">
        <f t="shared" ca="1" si="0"/>
        <v/>
      </c>
      <c r="G23" s="15">
        <f t="shared" ca="1" si="3"/>
        <v>46</v>
      </c>
      <c r="H23" s="15">
        <v>1</v>
      </c>
      <c r="I23" s="15" t="str">
        <f t="shared" ca="1" si="4"/>
        <v>I2C_Expander_Main_Rst</v>
      </c>
      <c r="J23" s="15" t="str">
        <f t="shared" ca="1" si="5"/>
        <v>I2C_Expander_Main_Rst!A46</v>
      </c>
      <c r="K23" s="15" t="str">
        <f t="shared" ca="1" si="6"/>
        <v>I2C_Expander_Main_Rst!B46</v>
      </c>
    </row>
    <row r="24" spans="1:16" x14ac:dyDescent="0.25">
      <c r="A24" s="3" t="str">
        <f t="shared" ca="1" si="0"/>
        <v/>
      </c>
      <c r="G24" s="15">
        <f t="shared" ca="1" si="3"/>
        <v>47</v>
      </c>
      <c r="H24" s="15">
        <v>1</v>
      </c>
      <c r="I24" s="15" t="str">
        <f t="shared" ca="1" si="4"/>
        <v>I2C_Expander_Main_Rst</v>
      </c>
      <c r="J24" s="15" t="str">
        <f t="shared" ref="J24:J43" ca="1" si="7">ADDRESS(G24,H24,4,1,I24)</f>
        <v>I2C_Expander_Main_Rst!A47</v>
      </c>
      <c r="K24" s="15" t="str">
        <f t="shared" ref="K24:K43" ca="1" si="8">ADDRESS(G24,H24+1,4,1,I24)</f>
        <v>I2C_Expander_Main_Rst!B47</v>
      </c>
    </row>
    <row r="25" spans="1:16" x14ac:dyDescent="0.25">
      <c r="A25" s="3" t="str">
        <f t="shared" ca="1" si="0"/>
        <v/>
      </c>
      <c r="G25" s="15">
        <f t="shared" ca="1" si="3"/>
        <v>48</v>
      </c>
      <c r="H25" s="15">
        <v>1</v>
      </c>
      <c r="I25" s="15" t="str">
        <f t="shared" ca="1" si="4"/>
        <v>I2C_Expander_Main_Rst</v>
      </c>
      <c r="J25" s="15" t="str">
        <f t="shared" ca="1" si="7"/>
        <v>I2C_Expander_Main_Rst!A48</v>
      </c>
      <c r="K25" s="15" t="str">
        <f t="shared" ca="1" si="8"/>
        <v>I2C_Expander_Main_Rst!B48</v>
      </c>
    </row>
    <row r="26" spans="1:16" x14ac:dyDescent="0.25">
      <c r="A26" s="3" t="str">
        <f t="shared" ca="1" si="0"/>
        <v/>
      </c>
      <c r="G26" s="15">
        <f t="shared" ca="1" si="3"/>
        <v>49</v>
      </c>
      <c r="H26" s="15">
        <v>1</v>
      </c>
      <c r="I26" s="15" t="str">
        <f t="shared" ca="1" si="4"/>
        <v>I2C_Expander_Main_Rst</v>
      </c>
      <c r="J26" s="15" t="str">
        <f t="shared" ca="1" si="7"/>
        <v>I2C_Expander_Main_Rst!A49</v>
      </c>
      <c r="K26" s="15" t="str">
        <f t="shared" ca="1" si="8"/>
        <v>I2C_Expander_Main_Rst!B49</v>
      </c>
    </row>
    <row r="27" spans="1:16" x14ac:dyDescent="0.25">
      <c r="A27" s="3" t="str">
        <f t="shared" ca="1" si="0"/>
        <v/>
      </c>
      <c r="G27" s="15">
        <f t="shared" ca="1" si="3"/>
        <v>50</v>
      </c>
      <c r="H27" s="15">
        <v>1</v>
      </c>
      <c r="I27" s="15" t="str">
        <f t="shared" ca="1" si="4"/>
        <v>I2C_Expander_Main_Rst</v>
      </c>
      <c r="J27" s="15" t="str">
        <f t="shared" ca="1" si="7"/>
        <v>I2C_Expander_Main_Rst!A50</v>
      </c>
      <c r="K27" s="15" t="str">
        <f t="shared" ca="1" si="8"/>
        <v>I2C_Expander_Main_Rst!B50</v>
      </c>
    </row>
    <row r="28" spans="1:16" x14ac:dyDescent="0.25">
      <c r="A28" s="3" t="str">
        <f t="shared" ref="A28:A91" ca="1" si="9">IFERROR(IF(INDIRECT(J28)&lt;&gt;"",CONCATENATE(INDIRECT(J28)," = ",INDIRECT(K28)," "),""),"")</f>
        <v xml:space="preserve">#I2C_Expander_Main_Rst:etap 1 =  </v>
      </c>
      <c r="G28" s="15">
        <f ca="1">INDIRECT(M28)</f>
        <v>51</v>
      </c>
      <c r="H28" s="15">
        <v>1</v>
      </c>
      <c r="I28" s="15" t="str">
        <f ca="1">INDIRECT(N28)</f>
        <v>I2C_Expander_Main_Rst</v>
      </c>
      <c r="J28" s="15" t="str">
        <f t="shared" ca="1" si="7"/>
        <v>I2C_Expander_Main_Rst!A51</v>
      </c>
      <c r="K28" s="15" t="str">
        <f t="shared" ca="1" si="8"/>
        <v>I2C_Expander_Main_Rst!B51</v>
      </c>
      <c r="M28" s="15" t="str">
        <f>ADDRESS(O28,3,4,1,$R$1)</f>
        <v>konfig!C3</v>
      </c>
      <c r="N28" s="15" t="str">
        <f>ADDRESS(O28,1,4,1,$R$1)</f>
        <v>konfig!A3</v>
      </c>
      <c r="O28" s="15">
        <v>3</v>
      </c>
      <c r="P28" s="15">
        <v>4</v>
      </c>
    </row>
    <row r="29" spans="1:16" x14ac:dyDescent="0.25">
      <c r="A29" s="3" t="str">
        <f t="shared" ca="1" si="9"/>
        <v xml:space="preserve">device = MCP23017 </v>
      </c>
      <c r="G29" s="15">
        <f ca="1">G28+1</f>
        <v>52</v>
      </c>
      <c r="H29" s="15">
        <v>1</v>
      </c>
      <c r="I29" s="15" t="str">
        <f ca="1">I28</f>
        <v>I2C_Expander_Main_Rst</v>
      </c>
      <c r="J29" s="15" t="str">
        <f t="shared" ca="1" si="7"/>
        <v>I2C_Expander_Main_Rst!A52</v>
      </c>
      <c r="K29" s="15" t="str">
        <f t="shared" ca="1" si="8"/>
        <v>I2C_Expander_Main_Rst!B52</v>
      </c>
    </row>
    <row r="30" spans="1:16" x14ac:dyDescent="0.25">
      <c r="A30" s="3" t="str">
        <f t="shared" ca="1" si="9"/>
        <v xml:space="preserve">i2c_addr = 0x24 </v>
      </c>
      <c r="G30" s="15">
        <f t="shared" ca="1" si="3"/>
        <v>53</v>
      </c>
      <c r="H30" s="15">
        <v>1</v>
      </c>
      <c r="I30" s="15" t="str">
        <f t="shared" ca="1" si="4"/>
        <v>I2C_Expander_Main_Rst</v>
      </c>
      <c r="J30" s="15" t="str">
        <f t="shared" ca="1" si="7"/>
        <v>I2C_Expander_Main_Rst!A53</v>
      </c>
      <c r="K30" s="15" t="str">
        <f t="shared" ca="1" si="8"/>
        <v>I2C_Expander_Main_Rst!B53</v>
      </c>
    </row>
    <row r="31" spans="1:16" x14ac:dyDescent="0.25">
      <c r="A31" s="3" t="str">
        <f t="shared" ca="1" si="9"/>
        <v xml:space="preserve">i2c_num = /dev/i2c-1 </v>
      </c>
      <c r="C31" s="16"/>
      <c r="G31" s="15">
        <f t="shared" ca="1" si="3"/>
        <v>54</v>
      </c>
      <c r="H31" s="15">
        <v>1</v>
      </c>
      <c r="I31" s="15" t="str">
        <f t="shared" ca="1" si="4"/>
        <v>I2C_Expander_Main_Rst</v>
      </c>
      <c r="J31" s="15" t="str">
        <f t="shared" ca="1" si="7"/>
        <v>I2C_Expander_Main_Rst!A54</v>
      </c>
      <c r="K31" s="15" t="str">
        <f t="shared" ca="1" si="8"/>
        <v>I2C_Expander_Main_Rst!B54</v>
      </c>
    </row>
    <row r="32" spans="1:16" x14ac:dyDescent="0.25">
      <c r="A32" s="3" t="str">
        <f t="shared" ca="1" si="9"/>
        <v xml:space="preserve">pins_mode = 0x81F8 </v>
      </c>
      <c r="G32" s="15">
        <f t="shared" ca="1" si="3"/>
        <v>55</v>
      </c>
      <c r="H32" s="15">
        <v>1</v>
      </c>
      <c r="I32" s="15" t="str">
        <f t="shared" ca="1" si="4"/>
        <v>I2C_Expander_Main_Rst</v>
      </c>
      <c r="J32" s="15" t="str">
        <f t="shared" ca="1" si="7"/>
        <v>I2C_Expander_Main_Rst!A55</v>
      </c>
      <c r="K32" s="15" t="str">
        <f t="shared" ca="1" si="8"/>
        <v>I2C_Expander_Main_Rst!B55</v>
      </c>
    </row>
    <row r="33" spans="1:16" x14ac:dyDescent="0.25">
      <c r="A33" s="3" t="str">
        <f t="shared" ca="1" si="9"/>
        <v xml:space="preserve">pins_state = 0x5E07 </v>
      </c>
      <c r="G33" s="15">
        <f t="shared" ca="1" si="3"/>
        <v>56</v>
      </c>
      <c r="H33" s="15">
        <v>1</v>
      </c>
      <c r="I33" s="15" t="str">
        <f t="shared" ca="1" si="4"/>
        <v>I2C_Expander_Main_Rst</v>
      </c>
      <c r="J33" s="15" t="str">
        <f t="shared" ca="1" si="7"/>
        <v>I2C_Expander_Main_Rst!A56</v>
      </c>
      <c r="K33" s="15" t="str">
        <f t="shared" ca="1" si="8"/>
        <v>I2C_Expander_Main_Rst!B56</v>
      </c>
    </row>
    <row r="34" spans="1:16" x14ac:dyDescent="0.25">
      <c r="A34" s="3" t="str">
        <f t="shared" ca="1" si="9"/>
        <v xml:space="preserve">pins_pull_up = 0x0000 </v>
      </c>
      <c r="G34" s="15">
        <f t="shared" ca="1" si="3"/>
        <v>57</v>
      </c>
      <c r="H34" s="15">
        <v>1</v>
      </c>
      <c r="I34" s="15" t="str">
        <f t="shared" ca="1" si="4"/>
        <v>I2C_Expander_Main_Rst</v>
      </c>
      <c r="J34" s="15" t="str">
        <f t="shared" ca="1" si="7"/>
        <v>I2C_Expander_Main_Rst!A57</v>
      </c>
      <c r="K34" s="15" t="str">
        <f t="shared" ca="1" si="8"/>
        <v>I2C_Expander_Main_Rst!B57</v>
      </c>
    </row>
    <row r="35" spans="1:16" x14ac:dyDescent="0.25">
      <c r="A35" s="3" t="str">
        <f t="shared" ca="1" si="9"/>
        <v xml:space="preserve">#pins_int = 0x0000 </v>
      </c>
      <c r="G35" s="15">
        <f t="shared" ca="1" si="3"/>
        <v>58</v>
      </c>
      <c r="H35" s="15">
        <v>1</v>
      </c>
      <c r="I35" s="15" t="str">
        <f t="shared" ca="1" si="4"/>
        <v>I2C_Expander_Main_Rst</v>
      </c>
      <c r="J35" s="15" t="str">
        <f t="shared" ca="1" si="7"/>
        <v>I2C_Expander_Main_Rst!A58</v>
      </c>
      <c r="K35" s="15" t="str">
        <f t="shared" ca="1" si="8"/>
        <v>I2C_Expander_Main_Rst!B58</v>
      </c>
    </row>
    <row r="36" spans="1:16" x14ac:dyDescent="0.25">
      <c r="A36" s="3" t="str">
        <f t="shared" ca="1" si="9"/>
        <v xml:space="preserve">#pins_def_val = 0x0000 </v>
      </c>
      <c r="G36" s="15">
        <f t="shared" ca="1" si="3"/>
        <v>59</v>
      </c>
      <c r="H36" s="15">
        <v>1</v>
      </c>
      <c r="I36" s="15" t="str">
        <f t="shared" ca="1" si="4"/>
        <v>I2C_Expander_Main_Rst</v>
      </c>
      <c r="J36" s="15" t="str">
        <f t="shared" ca="1" si="7"/>
        <v>I2C_Expander_Main_Rst!A59</v>
      </c>
      <c r="K36" s="15" t="str">
        <f t="shared" ca="1" si="8"/>
        <v>I2C_Expander_Main_Rst!B59</v>
      </c>
    </row>
    <row r="37" spans="1:16" x14ac:dyDescent="0.25">
      <c r="A37" s="3" t="str">
        <f t="shared" ca="1" si="9"/>
        <v/>
      </c>
      <c r="G37" s="15">
        <f t="shared" ca="1" si="3"/>
        <v>60</v>
      </c>
      <c r="H37" s="15">
        <v>1</v>
      </c>
      <c r="I37" s="15" t="str">
        <f t="shared" ca="1" si="4"/>
        <v>I2C_Expander_Main_Rst</v>
      </c>
      <c r="J37" s="15" t="str">
        <f t="shared" ca="1" si="7"/>
        <v>I2C_Expander_Main_Rst!A60</v>
      </c>
      <c r="K37" s="15" t="str">
        <f t="shared" ca="1" si="8"/>
        <v>I2C_Expander_Main_Rst!B60</v>
      </c>
    </row>
    <row r="38" spans="1:16" x14ac:dyDescent="0.25">
      <c r="A38" s="3" t="str">
        <f t="shared" ca="1" si="9"/>
        <v xml:space="preserve">time = 10 </v>
      </c>
      <c r="G38" s="15">
        <f t="shared" ca="1" si="3"/>
        <v>61</v>
      </c>
      <c r="H38" s="15">
        <v>1</v>
      </c>
      <c r="I38" s="15" t="str">
        <f t="shared" ca="1" si="4"/>
        <v>I2C_Expander_Main_Rst</v>
      </c>
      <c r="J38" s="15" t="str">
        <f t="shared" ca="1" si="7"/>
        <v>I2C_Expander_Main_Rst!A61</v>
      </c>
      <c r="K38" s="15" t="str">
        <f t="shared" ca="1" si="8"/>
        <v>I2C_Expander_Main_Rst!B61</v>
      </c>
    </row>
    <row r="39" spans="1:16" x14ac:dyDescent="0.25">
      <c r="A39" s="3" t="str">
        <f t="shared" ca="1" si="9"/>
        <v/>
      </c>
      <c r="C39" s="16"/>
      <c r="G39" s="15">
        <f t="shared" ca="1" si="3"/>
        <v>62</v>
      </c>
      <c r="H39" s="15">
        <v>1</v>
      </c>
      <c r="I39" s="15" t="str">
        <f t="shared" ca="1" si="4"/>
        <v>I2C_Expander_Main_Rst</v>
      </c>
      <c r="J39" s="15" t="str">
        <f t="shared" ca="1" si="7"/>
        <v>I2C_Expander_Main_Rst!A62</v>
      </c>
      <c r="K39" s="15" t="str">
        <f t="shared" ca="1" si="8"/>
        <v>I2C_Expander_Main_Rst!B62</v>
      </c>
    </row>
    <row r="40" spans="1:16" x14ac:dyDescent="0.25">
      <c r="A40" s="3" t="str">
        <f t="shared" ca="1" si="9"/>
        <v/>
      </c>
      <c r="G40" s="15">
        <f t="shared" ca="1" si="3"/>
        <v>63</v>
      </c>
      <c r="H40" s="15">
        <v>1</v>
      </c>
      <c r="I40" s="15" t="str">
        <f t="shared" ca="1" si="4"/>
        <v>I2C_Expander_Main_Rst</v>
      </c>
      <c r="J40" s="15" t="str">
        <f t="shared" ca="1" si="7"/>
        <v>I2C_Expander_Main_Rst!A63</v>
      </c>
      <c r="K40" s="15" t="str">
        <f t="shared" ca="1" si="8"/>
        <v>I2C_Expander_Main_Rst!B63</v>
      </c>
    </row>
    <row r="41" spans="1:16" x14ac:dyDescent="0.25">
      <c r="A41" s="3" t="str">
        <f t="shared" ca="1" si="9"/>
        <v/>
      </c>
      <c r="G41" s="15">
        <f t="shared" ca="1" si="3"/>
        <v>64</v>
      </c>
      <c r="H41" s="15">
        <v>1</v>
      </c>
      <c r="I41" s="15" t="str">
        <f t="shared" ca="1" si="4"/>
        <v>I2C_Expander_Main_Rst</v>
      </c>
      <c r="J41" s="15" t="str">
        <f t="shared" ca="1" si="7"/>
        <v>I2C_Expander_Main_Rst!A64</v>
      </c>
      <c r="K41" s="15" t="str">
        <f t="shared" ca="1" si="8"/>
        <v>I2C_Expander_Main_Rst!B64</v>
      </c>
    </row>
    <row r="42" spans="1:16" x14ac:dyDescent="0.25">
      <c r="A42" s="3" t="str">
        <f t="shared" ca="1" si="9"/>
        <v/>
      </c>
      <c r="G42" s="15">
        <f t="shared" ca="1" si="3"/>
        <v>65</v>
      </c>
      <c r="H42" s="15">
        <v>1</v>
      </c>
      <c r="I42" s="15" t="str">
        <f t="shared" ca="1" si="4"/>
        <v>I2C_Expander_Main_Rst</v>
      </c>
      <c r="J42" s="15" t="str">
        <f t="shared" ca="1" si="7"/>
        <v>I2C_Expander_Main_Rst!A65</v>
      </c>
      <c r="K42" s="15" t="str">
        <f t="shared" ca="1" si="8"/>
        <v>I2C_Expander_Main_Rst!B65</v>
      </c>
    </row>
    <row r="43" spans="1:16" x14ac:dyDescent="0.25">
      <c r="A43" s="3" t="str">
        <f t="shared" ca="1" si="9"/>
        <v/>
      </c>
      <c r="G43" s="15">
        <f t="shared" ca="1" si="3"/>
        <v>66</v>
      </c>
      <c r="H43" s="15">
        <v>1</v>
      </c>
      <c r="I43" s="15" t="str">
        <f t="shared" ca="1" si="4"/>
        <v>I2C_Expander_Main_Rst</v>
      </c>
      <c r="J43" s="15" t="str">
        <f t="shared" ca="1" si="7"/>
        <v>I2C_Expander_Main_Rst!A66</v>
      </c>
      <c r="K43" s="15" t="str">
        <f t="shared" ca="1" si="8"/>
        <v>I2C_Expander_Main_Rst!B66</v>
      </c>
    </row>
    <row r="44" spans="1:16" x14ac:dyDescent="0.25">
      <c r="A44" s="3" t="str">
        <f t="shared" ca="1" si="9"/>
        <v/>
      </c>
      <c r="G44" s="15">
        <f t="shared" ca="1" si="3"/>
        <v>67</v>
      </c>
      <c r="H44" s="15">
        <v>1</v>
      </c>
      <c r="I44" s="15" t="str">
        <f t="shared" ca="1" si="4"/>
        <v>I2C_Expander_Main_Rst</v>
      </c>
      <c r="J44" s="15" t="str">
        <f t="shared" ref="J44:J107" ca="1" si="10">ADDRESS(G44,H44,4,1,I44)</f>
        <v>I2C_Expander_Main_Rst!A67</v>
      </c>
      <c r="K44" s="15" t="str">
        <f t="shared" ref="K44:K107" ca="1" si="11">ADDRESS(G44,H44+1,4,1,I44)</f>
        <v>I2C_Expander_Main_Rst!B67</v>
      </c>
    </row>
    <row r="45" spans="1:16" x14ac:dyDescent="0.25">
      <c r="A45" s="3" t="str">
        <f t="shared" ca="1" si="9"/>
        <v/>
      </c>
      <c r="G45" s="15">
        <f t="shared" ca="1" si="3"/>
        <v>68</v>
      </c>
      <c r="H45" s="15">
        <v>1</v>
      </c>
      <c r="I45" s="15" t="str">
        <f t="shared" ca="1" si="4"/>
        <v>I2C_Expander_Main_Rst</v>
      </c>
      <c r="J45" s="15" t="str">
        <f t="shared" ca="1" si="10"/>
        <v>I2C_Expander_Main_Rst!A68</v>
      </c>
      <c r="K45" s="15" t="str">
        <f t="shared" ca="1" si="11"/>
        <v>I2C_Expander_Main_Rst!B68</v>
      </c>
    </row>
    <row r="46" spans="1:16" x14ac:dyDescent="0.25">
      <c r="A46" s="3" t="str">
        <f t="shared" ca="1" si="9"/>
        <v/>
      </c>
      <c r="G46" s="15">
        <f t="shared" ca="1" si="3"/>
        <v>69</v>
      </c>
      <c r="H46" s="15">
        <v>1</v>
      </c>
      <c r="I46" s="15" t="str">
        <f t="shared" ca="1" si="4"/>
        <v>I2C_Expander_Main_Rst</v>
      </c>
      <c r="J46" s="15" t="str">
        <f t="shared" ca="1" si="10"/>
        <v>I2C_Expander_Main_Rst!A69</v>
      </c>
      <c r="K46" s="15" t="str">
        <f t="shared" ca="1" si="11"/>
        <v>I2C_Expander_Main_Rst!B69</v>
      </c>
    </row>
    <row r="47" spans="1:16" x14ac:dyDescent="0.25">
      <c r="A47" s="3" t="str">
        <f t="shared" ca="1" si="9"/>
        <v/>
      </c>
      <c r="G47" s="15">
        <f t="shared" ca="1" si="3"/>
        <v>70</v>
      </c>
      <c r="H47" s="15">
        <v>1</v>
      </c>
      <c r="I47" s="15" t="str">
        <f t="shared" ca="1" si="4"/>
        <v>I2C_Expander_Main_Rst</v>
      </c>
      <c r="J47" s="15" t="str">
        <f t="shared" ca="1" si="10"/>
        <v>I2C_Expander_Main_Rst!A70</v>
      </c>
      <c r="K47" s="15" t="str">
        <f t="shared" ca="1" si="11"/>
        <v>I2C_Expander_Main_Rst!B70</v>
      </c>
    </row>
    <row r="48" spans="1:16" x14ac:dyDescent="0.25">
      <c r="A48" s="3" t="str">
        <f t="shared" ca="1" si="9"/>
        <v xml:space="preserve">#I2C_Expander_Main_Rst:etap -disable clocks =  </v>
      </c>
      <c r="G48" s="15">
        <f ca="1">INDIRECT(M48)</f>
        <v>111</v>
      </c>
      <c r="H48" s="15">
        <v>1</v>
      </c>
      <c r="I48" s="15" t="str">
        <f ca="1">INDIRECT(N48)</f>
        <v>I2C_Expander_Main_Rst</v>
      </c>
      <c r="J48" s="15" t="str">
        <f t="shared" ca="1" si="10"/>
        <v>I2C_Expander_Main_Rst!A111</v>
      </c>
      <c r="K48" s="15" t="str">
        <f t="shared" ca="1" si="11"/>
        <v>I2C_Expander_Main_Rst!B111</v>
      </c>
      <c r="M48" s="15" t="str">
        <f>ADDRESS(O48,3,4,1,$R$1)</f>
        <v>konfig!C4</v>
      </c>
      <c r="N48" s="15" t="str">
        <f>ADDRESS(O48,1,4,1,$R$1)</f>
        <v>konfig!A4</v>
      </c>
      <c r="O48" s="15">
        <v>4</v>
      </c>
      <c r="P48" s="15">
        <v>4</v>
      </c>
    </row>
    <row r="49" spans="1:11" x14ac:dyDescent="0.25">
      <c r="A49" s="3" t="str">
        <f t="shared" ca="1" si="9"/>
        <v xml:space="preserve">device = MCP23017 </v>
      </c>
      <c r="G49" s="15">
        <f ca="1">G48+1</f>
        <v>112</v>
      </c>
      <c r="H49" s="15">
        <v>1</v>
      </c>
      <c r="I49" s="15" t="str">
        <f ca="1">I48</f>
        <v>I2C_Expander_Main_Rst</v>
      </c>
      <c r="J49" s="15" t="str">
        <f t="shared" ca="1" si="10"/>
        <v>I2C_Expander_Main_Rst!A112</v>
      </c>
      <c r="K49" s="15" t="str">
        <f t="shared" ca="1" si="11"/>
        <v>I2C_Expander_Main_Rst!B112</v>
      </c>
    </row>
    <row r="50" spans="1:11" x14ac:dyDescent="0.25">
      <c r="A50" s="3" t="str">
        <f t="shared" ca="1" si="9"/>
        <v xml:space="preserve">i2c_addr = 0x24 </v>
      </c>
      <c r="G50" s="15">
        <f t="shared" ca="1" si="3"/>
        <v>113</v>
      </c>
      <c r="H50" s="15">
        <v>1</v>
      </c>
      <c r="I50" s="15" t="str">
        <f t="shared" ref="I50:I67" ca="1" si="12">I49</f>
        <v>I2C_Expander_Main_Rst</v>
      </c>
      <c r="J50" s="15" t="str">
        <f t="shared" ca="1" si="10"/>
        <v>I2C_Expander_Main_Rst!A113</v>
      </c>
      <c r="K50" s="15" t="str">
        <f t="shared" ca="1" si="11"/>
        <v>I2C_Expander_Main_Rst!B113</v>
      </c>
    </row>
    <row r="51" spans="1:11" x14ac:dyDescent="0.25">
      <c r="A51" s="3" t="str">
        <f t="shared" ca="1" si="9"/>
        <v xml:space="preserve">i2c_num = /dev/i2c-1 </v>
      </c>
      <c r="C51" s="16"/>
      <c r="G51" s="15">
        <f t="shared" ca="1" si="3"/>
        <v>114</v>
      </c>
      <c r="H51" s="15">
        <v>1</v>
      </c>
      <c r="I51" s="15" t="str">
        <f t="shared" ca="1" si="12"/>
        <v>I2C_Expander_Main_Rst</v>
      </c>
      <c r="J51" s="15" t="str">
        <f t="shared" ca="1" si="10"/>
        <v>I2C_Expander_Main_Rst!A114</v>
      </c>
      <c r="K51" s="15" t="str">
        <f t="shared" ca="1" si="11"/>
        <v>I2C_Expander_Main_Rst!B114</v>
      </c>
    </row>
    <row r="52" spans="1:11" x14ac:dyDescent="0.25">
      <c r="A52" s="3" t="str">
        <f t="shared" ca="1" si="9"/>
        <v xml:space="preserve">pins_mode = 0x81F8 </v>
      </c>
      <c r="G52" s="15">
        <f t="shared" ca="1" si="3"/>
        <v>115</v>
      </c>
      <c r="H52" s="15">
        <v>1</v>
      </c>
      <c r="I52" s="15" t="str">
        <f t="shared" ca="1" si="12"/>
        <v>I2C_Expander_Main_Rst</v>
      </c>
      <c r="J52" s="15" t="str">
        <f t="shared" ca="1" si="10"/>
        <v>I2C_Expander_Main_Rst!A115</v>
      </c>
      <c r="K52" s="15" t="str">
        <f t="shared" ca="1" si="11"/>
        <v>I2C_Expander_Main_Rst!B115</v>
      </c>
    </row>
    <row r="53" spans="1:11" x14ac:dyDescent="0.25">
      <c r="A53" s="3" t="str">
        <f t="shared" ca="1" si="9"/>
        <v xml:space="preserve">pins_state = 0x5E07 </v>
      </c>
      <c r="G53" s="15">
        <f t="shared" ca="1" si="3"/>
        <v>116</v>
      </c>
      <c r="H53" s="15">
        <v>1</v>
      </c>
      <c r="I53" s="15" t="str">
        <f t="shared" ca="1" si="12"/>
        <v>I2C_Expander_Main_Rst</v>
      </c>
      <c r="J53" s="15" t="str">
        <f t="shared" ca="1" si="10"/>
        <v>I2C_Expander_Main_Rst!A116</v>
      </c>
      <c r="K53" s="15" t="str">
        <f t="shared" ca="1" si="11"/>
        <v>I2C_Expander_Main_Rst!B116</v>
      </c>
    </row>
    <row r="54" spans="1:11" x14ac:dyDescent="0.25">
      <c r="A54" s="3" t="str">
        <f t="shared" ca="1" si="9"/>
        <v xml:space="preserve">pins_pull_up = 0x0000 </v>
      </c>
      <c r="G54" s="15">
        <f t="shared" ca="1" si="3"/>
        <v>117</v>
      </c>
      <c r="H54" s="15">
        <v>1</v>
      </c>
      <c r="I54" s="15" t="str">
        <f t="shared" ca="1" si="12"/>
        <v>I2C_Expander_Main_Rst</v>
      </c>
      <c r="J54" s="15" t="str">
        <f t="shared" ca="1" si="10"/>
        <v>I2C_Expander_Main_Rst!A117</v>
      </c>
      <c r="K54" s="15" t="str">
        <f t="shared" ca="1" si="11"/>
        <v>I2C_Expander_Main_Rst!B117</v>
      </c>
    </row>
    <row r="55" spans="1:11" x14ac:dyDescent="0.25">
      <c r="A55" s="3" t="str">
        <f t="shared" ca="1" si="9"/>
        <v xml:space="preserve">#pins_int = 0x0000 </v>
      </c>
      <c r="G55" s="15">
        <f t="shared" ca="1" si="3"/>
        <v>118</v>
      </c>
      <c r="H55" s="15">
        <v>1</v>
      </c>
      <c r="I55" s="15" t="str">
        <f t="shared" ca="1" si="12"/>
        <v>I2C_Expander_Main_Rst</v>
      </c>
      <c r="J55" s="15" t="str">
        <f t="shared" ca="1" si="10"/>
        <v>I2C_Expander_Main_Rst!A118</v>
      </c>
      <c r="K55" s="15" t="str">
        <f t="shared" ca="1" si="11"/>
        <v>I2C_Expander_Main_Rst!B118</v>
      </c>
    </row>
    <row r="56" spans="1:11" x14ac:dyDescent="0.25">
      <c r="A56" s="3" t="str">
        <f t="shared" ca="1" si="9"/>
        <v xml:space="preserve">#pins_def_val = 0x0000 </v>
      </c>
      <c r="G56" s="15">
        <f t="shared" ca="1" si="3"/>
        <v>119</v>
      </c>
      <c r="H56" s="15">
        <v>1</v>
      </c>
      <c r="I56" s="15" t="str">
        <f t="shared" ca="1" si="12"/>
        <v>I2C_Expander_Main_Rst</v>
      </c>
      <c r="J56" s="15" t="str">
        <f t="shared" ca="1" si="10"/>
        <v>I2C_Expander_Main_Rst!A119</v>
      </c>
      <c r="K56" s="15" t="str">
        <f t="shared" ca="1" si="11"/>
        <v>I2C_Expander_Main_Rst!B119</v>
      </c>
    </row>
    <row r="57" spans="1:11" x14ac:dyDescent="0.25">
      <c r="A57" s="3" t="str">
        <f t="shared" ca="1" si="9"/>
        <v/>
      </c>
      <c r="G57" s="15">
        <f t="shared" ca="1" si="3"/>
        <v>120</v>
      </c>
      <c r="H57" s="15">
        <v>1</v>
      </c>
      <c r="I57" s="15" t="str">
        <f t="shared" ca="1" si="12"/>
        <v>I2C_Expander_Main_Rst</v>
      </c>
      <c r="J57" s="15" t="str">
        <f t="shared" ca="1" si="10"/>
        <v>I2C_Expander_Main_Rst!A120</v>
      </c>
      <c r="K57" s="15" t="str">
        <f t="shared" ca="1" si="11"/>
        <v>I2C_Expander_Main_Rst!B120</v>
      </c>
    </row>
    <row r="58" spans="1:11" x14ac:dyDescent="0.25">
      <c r="A58" s="3" t="str">
        <f t="shared" ca="1" si="9"/>
        <v xml:space="preserve">#pins_int = 10 </v>
      </c>
      <c r="G58" s="15">
        <f t="shared" ca="1" si="3"/>
        <v>121</v>
      </c>
      <c r="H58" s="15">
        <v>1</v>
      </c>
      <c r="I58" s="15" t="str">
        <f t="shared" ca="1" si="12"/>
        <v>I2C_Expander_Main_Rst</v>
      </c>
      <c r="J58" s="15" t="str">
        <f t="shared" ca="1" si="10"/>
        <v>I2C_Expander_Main_Rst!A121</v>
      </c>
      <c r="K58" s="15" t="str">
        <f t="shared" ca="1" si="11"/>
        <v>I2C_Expander_Main_Rst!B121</v>
      </c>
    </row>
    <row r="59" spans="1:11" x14ac:dyDescent="0.25">
      <c r="A59" s="3" t="str">
        <f t="shared" ca="1" si="9"/>
        <v/>
      </c>
      <c r="C59" s="16"/>
      <c r="G59" s="15">
        <f t="shared" ca="1" si="3"/>
        <v>122</v>
      </c>
      <c r="H59" s="15">
        <v>1</v>
      </c>
      <c r="I59" s="15" t="str">
        <f t="shared" ca="1" si="12"/>
        <v>I2C_Expander_Main_Rst</v>
      </c>
      <c r="J59" s="15" t="str">
        <f t="shared" ca="1" si="10"/>
        <v>I2C_Expander_Main_Rst!A122</v>
      </c>
      <c r="K59" s="15" t="str">
        <f t="shared" ca="1" si="11"/>
        <v>I2C_Expander_Main_Rst!B122</v>
      </c>
    </row>
    <row r="60" spans="1:11" x14ac:dyDescent="0.25">
      <c r="A60" s="3" t="str">
        <f t="shared" ca="1" si="9"/>
        <v/>
      </c>
      <c r="G60" s="15">
        <f t="shared" ca="1" si="3"/>
        <v>123</v>
      </c>
      <c r="H60" s="15">
        <v>1</v>
      </c>
      <c r="I60" s="15" t="str">
        <f t="shared" ca="1" si="12"/>
        <v>I2C_Expander_Main_Rst</v>
      </c>
      <c r="J60" s="15" t="str">
        <f t="shared" ca="1" si="10"/>
        <v>I2C_Expander_Main_Rst!A123</v>
      </c>
      <c r="K60" s="15" t="str">
        <f t="shared" ca="1" si="11"/>
        <v>I2C_Expander_Main_Rst!B123</v>
      </c>
    </row>
    <row r="61" spans="1:11" x14ac:dyDescent="0.25">
      <c r="A61" s="3" t="str">
        <f t="shared" ca="1" si="9"/>
        <v/>
      </c>
      <c r="G61" s="15">
        <f t="shared" ca="1" si="3"/>
        <v>124</v>
      </c>
      <c r="H61" s="15">
        <v>1</v>
      </c>
      <c r="I61" s="15" t="str">
        <f t="shared" ca="1" si="12"/>
        <v>I2C_Expander_Main_Rst</v>
      </c>
      <c r="J61" s="15" t="str">
        <f t="shared" ca="1" si="10"/>
        <v>I2C_Expander_Main_Rst!A124</v>
      </c>
      <c r="K61" s="15" t="str">
        <f t="shared" ca="1" si="11"/>
        <v>I2C_Expander_Main_Rst!B124</v>
      </c>
    </row>
    <row r="62" spans="1:11" x14ac:dyDescent="0.25">
      <c r="A62" s="3" t="str">
        <f t="shared" ca="1" si="9"/>
        <v/>
      </c>
      <c r="G62" s="15">
        <f t="shared" ca="1" si="3"/>
        <v>125</v>
      </c>
      <c r="H62" s="15">
        <v>1</v>
      </c>
      <c r="I62" s="15" t="str">
        <f t="shared" ca="1" si="12"/>
        <v>I2C_Expander_Main_Rst</v>
      </c>
      <c r="J62" s="15" t="str">
        <f t="shared" ca="1" si="10"/>
        <v>I2C_Expander_Main_Rst!A125</v>
      </c>
      <c r="K62" s="15" t="str">
        <f t="shared" ca="1" si="11"/>
        <v>I2C_Expander_Main_Rst!B125</v>
      </c>
    </row>
    <row r="63" spans="1:11" x14ac:dyDescent="0.25">
      <c r="A63" s="3" t="str">
        <f t="shared" ca="1" si="9"/>
        <v/>
      </c>
      <c r="G63" s="15">
        <f t="shared" ca="1" si="3"/>
        <v>126</v>
      </c>
      <c r="H63" s="15">
        <v>1</v>
      </c>
      <c r="I63" s="15" t="str">
        <f t="shared" ca="1" si="12"/>
        <v>I2C_Expander_Main_Rst</v>
      </c>
      <c r="J63" s="15" t="str">
        <f t="shared" ca="1" si="10"/>
        <v>I2C_Expander_Main_Rst!A126</v>
      </c>
      <c r="K63" s="15" t="str">
        <f t="shared" ca="1" si="11"/>
        <v>I2C_Expander_Main_Rst!B126</v>
      </c>
    </row>
    <row r="64" spans="1:11" x14ac:dyDescent="0.25">
      <c r="A64" s="3" t="str">
        <f t="shared" ca="1" si="9"/>
        <v/>
      </c>
      <c r="G64" s="15">
        <f t="shared" ca="1" si="3"/>
        <v>127</v>
      </c>
      <c r="H64" s="15">
        <v>1</v>
      </c>
      <c r="I64" s="15" t="str">
        <f t="shared" ca="1" si="12"/>
        <v>I2C_Expander_Main_Rst</v>
      </c>
      <c r="J64" s="15" t="str">
        <f t="shared" ca="1" si="10"/>
        <v>I2C_Expander_Main_Rst!A127</v>
      </c>
      <c r="K64" s="15" t="str">
        <f t="shared" ca="1" si="11"/>
        <v>I2C_Expander_Main_Rst!B127</v>
      </c>
    </row>
    <row r="65" spans="1:16" x14ac:dyDescent="0.25">
      <c r="A65" s="3" t="str">
        <f t="shared" ca="1" si="9"/>
        <v/>
      </c>
      <c r="G65" s="15">
        <f t="shared" ca="1" si="3"/>
        <v>128</v>
      </c>
      <c r="H65" s="15">
        <v>1</v>
      </c>
      <c r="I65" s="15" t="str">
        <f t="shared" ca="1" si="12"/>
        <v>I2C_Expander_Main_Rst</v>
      </c>
      <c r="J65" s="15" t="str">
        <f t="shared" ca="1" si="10"/>
        <v>I2C_Expander_Main_Rst!A128</v>
      </c>
      <c r="K65" s="15" t="str">
        <f t="shared" ca="1" si="11"/>
        <v>I2C_Expander_Main_Rst!B128</v>
      </c>
    </row>
    <row r="66" spans="1:16" x14ac:dyDescent="0.25">
      <c r="A66" s="3" t="str">
        <f t="shared" ca="1" si="9"/>
        <v/>
      </c>
      <c r="G66" s="15">
        <f t="shared" ca="1" si="3"/>
        <v>129</v>
      </c>
      <c r="H66" s="15">
        <v>1</v>
      </c>
      <c r="I66" s="15" t="str">
        <f t="shared" ca="1" si="12"/>
        <v>I2C_Expander_Main_Rst</v>
      </c>
      <c r="J66" s="15" t="str">
        <f t="shared" ca="1" si="10"/>
        <v>I2C_Expander_Main_Rst!A129</v>
      </c>
      <c r="K66" s="15" t="str">
        <f t="shared" ca="1" si="11"/>
        <v>I2C_Expander_Main_Rst!B129</v>
      </c>
    </row>
    <row r="67" spans="1:16" x14ac:dyDescent="0.25">
      <c r="A67" s="3" t="str">
        <f t="shared" ca="1" si="9"/>
        <v/>
      </c>
      <c r="G67" s="15">
        <f t="shared" ca="1" si="3"/>
        <v>130</v>
      </c>
      <c r="H67" s="15">
        <v>1</v>
      </c>
      <c r="I67" s="15" t="str">
        <f t="shared" ca="1" si="12"/>
        <v>I2C_Expander_Main_Rst</v>
      </c>
      <c r="J67" s="15" t="str">
        <f t="shared" ca="1" si="10"/>
        <v>I2C_Expander_Main_Rst!A130</v>
      </c>
      <c r="K67" s="15" t="str">
        <f t="shared" ca="1" si="11"/>
        <v>I2C_Expander_Main_Rst!B130</v>
      </c>
    </row>
    <row r="68" spans="1:16" x14ac:dyDescent="0.25">
      <c r="A68" s="3" t="str">
        <f t="shared" ca="1" si="9"/>
        <v xml:space="preserve">#I2C_Bridge_SFP:Exp_PCIE =  </v>
      </c>
      <c r="G68" s="15">
        <f ca="1">INDIRECT(M68)</f>
        <v>51</v>
      </c>
      <c r="H68" s="15">
        <v>1</v>
      </c>
      <c r="I68" s="15" t="str">
        <f ca="1">INDIRECT(N68)</f>
        <v>I2C_Bridge_SFP</v>
      </c>
      <c r="J68" s="15" t="str">
        <f t="shared" ca="1" si="10"/>
        <v>I2C_Bridge_SFP!A51</v>
      </c>
      <c r="K68" s="15" t="str">
        <f t="shared" ca="1" si="11"/>
        <v>I2C_Bridge_SFP!B51</v>
      </c>
      <c r="M68" s="15" t="str">
        <f>ADDRESS(O68,3,4,1,$R$1)</f>
        <v>konfig!C5</v>
      </c>
      <c r="N68" s="15" t="str">
        <f>ADDRESS(O68,1,4,1,$R$1)</f>
        <v>konfig!A5</v>
      </c>
      <c r="O68" s="15">
        <v>5</v>
      </c>
      <c r="P68" s="15">
        <v>4</v>
      </c>
    </row>
    <row r="69" spans="1:16" x14ac:dyDescent="0.25">
      <c r="A69" s="3" t="str">
        <f t="shared" ca="1" si="9"/>
        <v xml:space="preserve">device = TCA9548 </v>
      </c>
      <c r="G69" s="15">
        <f ca="1">G68+1</f>
        <v>52</v>
      </c>
      <c r="H69" s="15">
        <v>1</v>
      </c>
      <c r="I69" s="15" t="str">
        <f ca="1">I68</f>
        <v>I2C_Bridge_SFP</v>
      </c>
      <c r="J69" s="15" t="str">
        <f t="shared" ca="1" si="10"/>
        <v>I2C_Bridge_SFP!A52</v>
      </c>
      <c r="K69" s="15" t="str">
        <f t="shared" ca="1" si="11"/>
        <v>I2C_Bridge_SFP!B52</v>
      </c>
    </row>
    <row r="70" spans="1:16" x14ac:dyDescent="0.25">
      <c r="A70" s="3" t="str">
        <f t="shared" ca="1" si="9"/>
        <v xml:space="preserve">i2c_addr = 0x70 </v>
      </c>
      <c r="G70" s="15">
        <f t="shared" ca="1" si="3"/>
        <v>53</v>
      </c>
      <c r="H70" s="15">
        <v>1</v>
      </c>
      <c r="I70" s="15" t="str">
        <f t="shared" ref="I70:I87" ca="1" si="13">I69</f>
        <v>I2C_Bridge_SFP</v>
      </c>
      <c r="J70" s="15" t="str">
        <f t="shared" ca="1" si="10"/>
        <v>I2C_Bridge_SFP!A53</v>
      </c>
      <c r="K70" s="15" t="str">
        <f t="shared" ca="1" si="11"/>
        <v>I2C_Bridge_SFP!B53</v>
      </c>
    </row>
    <row r="71" spans="1:16" x14ac:dyDescent="0.25">
      <c r="A71" s="3" t="str">
        <f t="shared" ca="1" si="9"/>
        <v xml:space="preserve">i2c_num = /dev/i2c-1 </v>
      </c>
      <c r="C71" s="16"/>
      <c r="G71" s="15">
        <f t="shared" ca="1" si="3"/>
        <v>54</v>
      </c>
      <c r="H71" s="15">
        <v>1</v>
      </c>
      <c r="I71" s="15" t="str">
        <f t="shared" ca="1" si="13"/>
        <v>I2C_Bridge_SFP</v>
      </c>
      <c r="J71" s="15" t="str">
        <f t="shared" ca="1" si="10"/>
        <v>I2C_Bridge_SFP!A54</v>
      </c>
      <c r="K71" s="15" t="str">
        <f t="shared" ca="1" si="11"/>
        <v>I2C_Bridge_SFP!B54</v>
      </c>
    </row>
    <row r="72" spans="1:16" x14ac:dyDescent="0.25">
      <c r="A72" s="3" t="str">
        <f t="shared" ca="1" si="9"/>
        <v xml:space="preserve">ctrl_reg = 0x20 </v>
      </c>
      <c r="G72" s="15">
        <f t="shared" ca="1" si="3"/>
        <v>55</v>
      </c>
      <c r="H72" s="15">
        <v>1</v>
      </c>
      <c r="I72" s="15" t="str">
        <f t="shared" ca="1" si="13"/>
        <v>I2C_Bridge_SFP</v>
      </c>
      <c r="J72" s="15" t="str">
        <f t="shared" ca="1" si="10"/>
        <v>I2C_Bridge_SFP!A55</v>
      </c>
      <c r="K72" s="15" t="str">
        <f t="shared" ca="1" si="11"/>
        <v>I2C_Bridge_SFP!B55</v>
      </c>
    </row>
    <row r="73" spans="1:16" x14ac:dyDescent="0.25">
      <c r="A73" s="3" t="str">
        <f t="shared" ca="1" si="9"/>
        <v/>
      </c>
      <c r="G73" s="15">
        <f t="shared" ca="1" si="3"/>
        <v>56</v>
      </c>
      <c r="H73" s="15">
        <v>1</v>
      </c>
      <c r="I73" s="15" t="str">
        <f t="shared" ca="1" si="13"/>
        <v>I2C_Bridge_SFP</v>
      </c>
      <c r="J73" s="15" t="str">
        <f t="shared" ca="1" si="10"/>
        <v>I2C_Bridge_SFP!A56</v>
      </c>
      <c r="K73" s="15" t="str">
        <f t="shared" ca="1" si="11"/>
        <v>I2C_Bridge_SFP!B56</v>
      </c>
    </row>
    <row r="74" spans="1:16" x14ac:dyDescent="0.25">
      <c r="A74" s="3" t="str">
        <f t="shared" ca="1" si="9"/>
        <v xml:space="preserve">time = 10 </v>
      </c>
      <c r="G74" s="15">
        <f t="shared" ref="G74:G87" ca="1" si="14">G73+1</f>
        <v>57</v>
      </c>
      <c r="H74" s="15">
        <v>1</v>
      </c>
      <c r="I74" s="15" t="str">
        <f t="shared" ca="1" si="13"/>
        <v>I2C_Bridge_SFP</v>
      </c>
      <c r="J74" s="15" t="str">
        <f t="shared" ca="1" si="10"/>
        <v>I2C_Bridge_SFP!A57</v>
      </c>
      <c r="K74" s="15" t="str">
        <f t="shared" ca="1" si="11"/>
        <v>I2C_Bridge_SFP!B57</v>
      </c>
    </row>
    <row r="75" spans="1:16" x14ac:dyDescent="0.25">
      <c r="A75" s="3" t="str">
        <f t="shared" ca="1" si="9"/>
        <v/>
      </c>
      <c r="G75" s="15">
        <f t="shared" ca="1" si="14"/>
        <v>58</v>
      </c>
      <c r="H75" s="15">
        <v>1</v>
      </c>
      <c r="I75" s="15" t="str">
        <f t="shared" ca="1" si="13"/>
        <v>I2C_Bridge_SFP</v>
      </c>
      <c r="J75" s="15" t="str">
        <f t="shared" ca="1" si="10"/>
        <v>I2C_Bridge_SFP!A58</v>
      </c>
      <c r="K75" s="15" t="str">
        <f t="shared" ca="1" si="11"/>
        <v>I2C_Bridge_SFP!B58</v>
      </c>
    </row>
    <row r="76" spans="1:16" x14ac:dyDescent="0.25">
      <c r="A76" s="3" t="str">
        <f t="shared" ca="1" si="9"/>
        <v/>
      </c>
      <c r="G76" s="15">
        <f t="shared" ca="1" si="14"/>
        <v>59</v>
      </c>
      <c r="H76" s="15">
        <v>1</v>
      </c>
      <c r="I76" s="15" t="str">
        <f t="shared" ca="1" si="13"/>
        <v>I2C_Bridge_SFP</v>
      </c>
      <c r="J76" s="15" t="str">
        <f t="shared" ca="1" si="10"/>
        <v>I2C_Bridge_SFP!A59</v>
      </c>
      <c r="K76" s="15" t="str">
        <f t="shared" ca="1" si="11"/>
        <v>I2C_Bridge_SFP!B59</v>
      </c>
    </row>
    <row r="77" spans="1:16" x14ac:dyDescent="0.25">
      <c r="A77" s="3" t="str">
        <f t="shared" ca="1" si="9"/>
        <v/>
      </c>
      <c r="G77" s="15">
        <f t="shared" ca="1" si="14"/>
        <v>60</v>
      </c>
      <c r="H77" s="15">
        <v>1</v>
      </c>
      <c r="I77" s="15" t="str">
        <f t="shared" ca="1" si="13"/>
        <v>I2C_Bridge_SFP</v>
      </c>
      <c r="J77" s="15" t="str">
        <f t="shared" ca="1" si="10"/>
        <v>I2C_Bridge_SFP!A60</v>
      </c>
      <c r="K77" s="15" t="str">
        <f t="shared" ca="1" si="11"/>
        <v>I2C_Bridge_SFP!B60</v>
      </c>
    </row>
    <row r="78" spans="1:16" x14ac:dyDescent="0.25">
      <c r="A78" s="3" t="str">
        <f t="shared" ca="1" si="9"/>
        <v/>
      </c>
      <c r="G78" s="15">
        <f t="shared" ca="1" si="14"/>
        <v>61</v>
      </c>
      <c r="H78" s="15">
        <v>1</v>
      </c>
      <c r="I78" s="15" t="str">
        <f t="shared" ca="1" si="13"/>
        <v>I2C_Bridge_SFP</v>
      </c>
      <c r="J78" s="15" t="str">
        <f t="shared" ca="1" si="10"/>
        <v>I2C_Bridge_SFP!A61</v>
      </c>
      <c r="K78" s="15" t="str">
        <f t="shared" ca="1" si="11"/>
        <v>I2C_Bridge_SFP!B61</v>
      </c>
    </row>
    <row r="79" spans="1:16" x14ac:dyDescent="0.25">
      <c r="A79" s="3" t="str">
        <f t="shared" ca="1" si="9"/>
        <v/>
      </c>
      <c r="C79" s="16"/>
      <c r="G79" s="15">
        <f t="shared" ca="1" si="14"/>
        <v>62</v>
      </c>
      <c r="H79" s="15">
        <v>1</v>
      </c>
      <c r="I79" s="15" t="str">
        <f t="shared" ca="1" si="13"/>
        <v>I2C_Bridge_SFP</v>
      </c>
      <c r="J79" s="15" t="str">
        <f t="shared" ca="1" si="10"/>
        <v>I2C_Bridge_SFP!A62</v>
      </c>
      <c r="K79" s="15" t="str">
        <f t="shared" ca="1" si="11"/>
        <v>I2C_Bridge_SFP!B62</v>
      </c>
    </row>
    <row r="80" spans="1:16" x14ac:dyDescent="0.25">
      <c r="A80" s="3" t="str">
        <f t="shared" ca="1" si="9"/>
        <v/>
      </c>
      <c r="G80" s="15">
        <f t="shared" ca="1" si="14"/>
        <v>63</v>
      </c>
      <c r="H80" s="15">
        <v>1</v>
      </c>
      <c r="I80" s="15" t="str">
        <f t="shared" ca="1" si="13"/>
        <v>I2C_Bridge_SFP</v>
      </c>
      <c r="J80" s="15" t="str">
        <f t="shared" ca="1" si="10"/>
        <v>I2C_Bridge_SFP!A63</v>
      </c>
      <c r="K80" s="15" t="str">
        <f t="shared" ca="1" si="11"/>
        <v>I2C_Bridge_SFP!B63</v>
      </c>
    </row>
    <row r="81" spans="1:16" x14ac:dyDescent="0.25">
      <c r="A81" s="3" t="str">
        <f t="shared" ca="1" si="9"/>
        <v/>
      </c>
      <c r="G81" s="15">
        <f t="shared" ca="1" si="14"/>
        <v>64</v>
      </c>
      <c r="H81" s="15">
        <v>1</v>
      </c>
      <c r="I81" s="15" t="str">
        <f t="shared" ca="1" si="13"/>
        <v>I2C_Bridge_SFP</v>
      </c>
      <c r="J81" s="15" t="str">
        <f t="shared" ca="1" si="10"/>
        <v>I2C_Bridge_SFP!A64</v>
      </c>
      <c r="K81" s="15" t="str">
        <f t="shared" ca="1" si="11"/>
        <v>I2C_Bridge_SFP!B64</v>
      </c>
    </row>
    <row r="82" spans="1:16" x14ac:dyDescent="0.25">
      <c r="A82" s="3" t="str">
        <f t="shared" ca="1" si="9"/>
        <v/>
      </c>
      <c r="G82" s="15">
        <f t="shared" ca="1" si="14"/>
        <v>65</v>
      </c>
      <c r="H82" s="15">
        <v>1</v>
      </c>
      <c r="I82" s="15" t="str">
        <f t="shared" ca="1" si="13"/>
        <v>I2C_Bridge_SFP</v>
      </c>
      <c r="J82" s="15" t="str">
        <f t="shared" ca="1" si="10"/>
        <v>I2C_Bridge_SFP!A65</v>
      </c>
      <c r="K82" s="15" t="str">
        <f t="shared" ca="1" si="11"/>
        <v>I2C_Bridge_SFP!B65</v>
      </c>
    </row>
    <row r="83" spans="1:16" x14ac:dyDescent="0.25">
      <c r="A83" s="3" t="str">
        <f t="shared" ca="1" si="9"/>
        <v/>
      </c>
      <c r="G83" s="15">
        <f t="shared" ca="1" si="14"/>
        <v>66</v>
      </c>
      <c r="H83" s="15">
        <v>1</v>
      </c>
      <c r="I83" s="15" t="str">
        <f t="shared" ca="1" si="13"/>
        <v>I2C_Bridge_SFP</v>
      </c>
      <c r="J83" s="15" t="str">
        <f t="shared" ca="1" si="10"/>
        <v>I2C_Bridge_SFP!A66</v>
      </c>
      <c r="K83" s="15" t="str">
        <f t="shared" ca="1" si="11"/>
        <v>I2C_Bridge_SFP!B66</v>
      </c>
    </row>
    <row r="84" spans="1:16" x14ac:dyDescent="0.25">
      <c r="A84" s="3" t="str">
        <f t="shared" ca="1" si="9"/>
        <v/>
      </c>
      <c r="G84" s="15">
        <f t="shared" ca="1" si="14"/>
        <v>67</v>
      </c>
      <c r="H84" s="15">
        <v>1</v>
      </c>
      <c r="I84" s="15" t="str">
        <f t="shared" ca="1" si="13"/>
        <v>I2C_Bridge_SFP</v>
      </c>
      <c r="J84" s="15" t="str">
        <f t="shared" ca="1" si="10"/>
        <v>I2C_Bridge_SFP!A67</v>
      </c>
      <c r="K84" s="15" t="str">
        <f t="shared" ca="1" si="11"/>
        <v>I2C_Bridge_SFP!B67</v>
      </c>
    </row>
    <row r="85" spans="1:16" x14ac:dyDescent="0.25">
      <c r="A85" s="3" t="str">
        <f t="shared" ca="1" si="9"/>
        <v/>
      </c>
      <c r="G85" s="15">
        <f t="shared" ca="1" si="14"/>
        <v>68</v>
      </c>
      <c r="H85" s="15">
        <v>1</v>
      </c>
      <c r="I85" s="15" t="str">
        <f t="shared" ca="1" si="13"/>
        <v>I2C_Bridge_SFP</v>
      </c>
      <c r="J85" s="15" t="str">
        <f t="shared" ca="1" si="10"/>
        <v>I2C_Bridge_SFP!A68</v>
      </c>
      <c r="K85" s="15" t="str">
        <f t="shared" ca="1" si="11"/>
        <v>I2C_Bridge_SFP!B68</v>
      </c>
    </row>
    <row r="86" spans="1:16" x14ac:dyDescent="0.25">
      <c r="A86" s="3" t="str">
        <f t="shared" ca="1" si="9"/>
        <v/>
      </c>
      <c r="G86" s="15">
        <f t="shared" ca="1" si="14"/>
        <v>69</v>
      </c>
      <c r="H86" s="15">
        <v>1</v>
      </c>
      <c r="I86" s="15" t="str">
        <f t="shared" ca="1" si="13"/>
        <v>I2C_Bridge_SFP</v>
      </c>
      <c r="J86" s="15" t="str">
        <f t="shared" ca="1" si="10"/>
        <v>I2C_Bridge_SFP!A69</v>
      </c>
      <c r="K86" s="15" t="str">
        <f t="shared" ca="1" si="11"/>
        <v>I2C_Bridge_SFP!B69</v>
      </c>
    </row>
    <row r="87" spans="1:16" x14ac:dyDescent="0.25">
      <c r="A87" s="3" t="str">
        <f t="shared" ca="1" si="9"/>
        <v/>
      </c>
      <c r="G87" s="15">
        <f t="shared" ca="1" si="14"/>
        <v>70</v>
      </c>
      <c r="H87" s="15">
        <v>1</v>
      </c>
      <c r="I87" s="15" t="str">
        <f t="shared" ca="1" si="13"/>
        <v>I2C_Bridge_SFP</v>
      </c>
      <c r="J87" s="15" t="str">
        <f t="shared" ca="1" si="10"/>
        <v>I2C_Bridge_SFP!A70</v>
      </c>
      <c r="K87" s="15" t="str">
        <f t="shared" ca="1" si="11"/>
        <v>I2C_Bridge_SFP!B70</v>
      </c>
    </row>
    <row r="88" spans="1:16" x14ac:dyDescent="0.25">
      <c r="A88" s="3" t="str">
        <f t="shared" ca="1" si="9"/>
        <v xml:space="preserve">#I2C_Expander_PWR_CLK:etap 1 =  </v>
      </c>
      <c r="G88" s="15">
        <f ca="1">INDIRECT(M88)</f>
        <v>51</v>
      </c>
      <c r="H88" s="15">
        <v>1</v>
      </c>
      <c r="I88" s="15" t="str">
        <f ca="1">INDIRECT(N88)</f>
        <v>I2C_Expander_PWR_CLK</v>
      </c>
      <c r="J88" s="15" t="str">
        <f t="shared" ca="1" si="10"/>
        <v>I2C_Expander_PWR_CLK!A51</v>
      </c>
      <c r="K88" s="15" t="str">
        <f t="shared" ca="1" si="11"/>
        <v>I2C_Expander_PWR_CLK!B51</v>
      </c>
      <c r="M88" s="15" t="str">
        <f>ADDRESS(O88,3,4,1,$R$1)</f>
        <v>konfig!C6</v>
      </c>
      <c r="N88" s="15" t="str">
        <f>ADDRESS(O88,1,4,1,$R$1)</f>
        <v>konfig!A6</v>
      </c>
      <c r="O88" s="15">
        <v>6</v>
      </c>
      <c r="P88" s="15">
        <v>4</v>
      </c>
    </row>
    <row r="89" spans="1:16" x14ac:dyDescent="0.25">
      <c r="A89" s="3" t="str">
        <f t="shared" ca="1" si="9"/>
        <v xml:space="preserve">device = MCP23017 </v>
      </c>
      <c r="G89" s="15">
        <f ca="1">G88+1</f>
        <v>52</v>
      </c>
      <c r="H89" s="15">
        <v>1</v>
      </c>
      <c r="I89" s="15" t="str">
        <f ca="1">I88</f>
        <v>I2C_Expander_PWR_CLK</v>
      </c>
      <c r="J89" s="15" t="str">
        <f t="shared" ca="1" si="10"/>
        <v>I2C_Expander_PWR_CLK!A52</v>
      </c>
      <c r="K89" s="15" t="str">
        <f t="shared" ca="1" si="11"/>
        <v>I2C_Expander_PWR_CLK!B52</v>
      </c>
    </row>
    <row r="90" spans="1:16" x14ac:dyDescent="0.25">
      <c r="A90" s="3" t="str">
        <f t="shared" ca="1" si="9"/>
        <v xml:space="preserve">i2c_addr = 0x20 </v>
      </c>
      <c r="G90" s="15">
        <f t="shared" ref="G90:G107" ca="1" si="15">G89+1</f>
        <v>53</v>
      </c>
      <c r="H90" s="15">
        <v>1</v>
      </c>
      <c r="I90" s="15" t="str">
        <f t="shared" ref="I90:I107" ca="1" si="16">I89</f>
        <v>I2C_Expander_PWR_CLK</v>
      </c>
      <c r="J90" s="15" t="str">
        <f t="shared" ca="1" si="10"/>
        <v>I2C_Expander_PWR_CLK!A53</v>
      </c>
      <c r="K90" s="15" t="str">
        <f t="shared" ca="1" si="11"/>
        <v>I2C_Expander_PWR_CLK!B53</v>
      </c>
    </row>
    <row r="91" spans="1:16" x14ac:dyDescent="0.25">
      <c r="A91" s="3" t="str">
        <f t="shared" ca="1" si="9"/>
        <v xml:space="preserve">i2c_num = /dev/i2c-1 </v>
      </c>
      <c r="C91" s="16"/>
      <c r="G91" s="15">
        <f t="shared" ca="1" si="15"/>
        <v>54</v>
      </c>
      <c r="H91" s="15">
        <v>1</v>
      </c>
      <c r="I91" s="15" t="str">
        <f t="shared" ca="1" si="16"/>
        <v>I2C_Expander_PWR_CLK</v>
      </c>
      <c r="J91" s="15" t="str">
        <f t="shared" ca="1" si="10"/>
        <v>I2C_Expander_PWR_CLK!A54</v>
      </c>
      <c r="K91" s="15" t="str">
        <f t="shared" ca="1" si="11"/>
        <v>I2C_Expander_PWR_CLK!B54</v>
      </c>
    </row>
    <row r="92" spans="1:16" x14ac:dyDescent="0.25">
      <c r="A92" s="3" t="str">
        <f t="shared" ref="A92:A155" ca="1" si="17">IFERROR(IF(INDIRECT(J92)&lt;&gt;"",CONCATENATE(INDIRECT(J92)," = ",INDIRECT(K92)," "),""),"")</f>
        <v xml:space="preserve">pins_mode = 0xF9D5 </v>
      </c>
      <c r="G92" s="15">
        <f t="shared" ca="1" si="15"/>
        <v>55</v>
      </c>
      <c r="H92" s="15">
        <v>1</v>
      </c>
      <c r="I92" s="15" t="str">
        <f t="shared" ca="1" si="16"/>
        <v>I2C_Expander_PWR_CLK</v>
      </c>
      <c r="J92" s="15" t="str">
        <f t="shared" ca="1" si="10"/>
        <v>I2C_Expander_PWR_CLK!A55</v>
      </c>
      <c r="K92" s="15" t="str">
        <f t="shared" ca="1" si="11"/>
        <v>I2C_Expander_PWR_CLK!B55</v>
      </c>
    </row>
    <row r="93" spans="1:16" x14ac:dyDescent="0.25">
      <c r="A93" s="3" t="str">
        <f t="shared" ca="1" si="17"/>
        <v xml:space="preserve">pins_state = 0x062A </v>
      </c>
      <c r="G93" s="15">
        <f t="shared" ca="1" si="15"/>
        <v>56</v>
      </c>
      <c r="H93" s="15">
        <v>1</v>
      </c>
      <c r="I93" s="15" t="str">
        <f t="shared" ca="1" si="16"/>
        <v>I2C_Expander_PWR_CLK</v>
      </c>
      <c r="J93" s="15" t="str">
        <f t="shared" ca="1" si="10"/>
        <v>I2C_Expander_PWR_CLK!A56</v>
      </c>
      <c r="K93" s="15" t="str">
        <f t="shared" ca="1" si="11"/>
        <v>I2C_Expander_PWR_CLK!B56</v>
      </c>
    </row>
    <row r="94" spans="1:16" x14ac:dyDescent="0.25">
      <c r="A94" s="3" t="str">
        <f t="shared" ca="1" si="17"/>
        <v xml:space="preserve">pins_pull_up = 0x1955 </v>
      </c>
      <c r="G94" s="15">
        <f t="shared" ca="1" si="15"/>
        <v>57</v>
      </c>
      <c r="H94" s="15">
        <v>1</v>
      </c>
      <c r="I94" s="15" t="str">
        <f t="shared" ca="1" si="16"/>
        <v>I2C_Expander_PWR_CLK</v>
      </c>
      <c r="J94" s="15" t="str">
        <f t="shared" ca="1" si="10"/>
        <v>I2C_Expander_PWR_CLK!A57</v>
      </c>
      <c r="K94" s="15" t="str">
        <f t="shared" ca="1" si="11"/>
        <v>I2C_Expander_PWR_CLK!B57</v>
      </c>
    </row>
    <row r="95" spans="1:16" x14ac:dyDescent="0.25">
      <c r="A95" s="3" t="str">
        <f t="shared" ca="1" si="17"/>
        <v xml:space="preserve">#pins_int = 0x0000 </v>
      </c>
      <c r="G95" s="15">
        <f t="shared" ca="1" si="15"/>
        <v>58</v>
      </c>
      <c r="H95" s="15">
        <v>1</v>
      </c>
      <c r="I95" s="15" t="str">
        <f t="shared" ca="1" si="16"/>
        <v>I2C_Expander_PWR_CLK</v>
      </c>
      <c r="J95" s="15" t="str">
        <f t="shared" ca="1" si="10"/>
        <v>I2C_Expander_PWR_CLK!A58</v>
      </c>
      <c r="K95" s="15" t="str">
        <f t="shared" ca="1" si="11"/>
        <v>I2C_Expander_PWR_CLK!B58</v>
      </c>
    </row>
    <row r="96" spans="1:16" x14ac:dyDescent="0.25">
      <c r="A96" s="3" t="str">
        <f t="shared" ca="1" si="17"/>
        <v xml:space="preserve">#pins_def_val = 0x0000 </v>
      </c>
      <c r="G96" s="15">
        <f t="shared" ca="1" si="15"/>
        <v>59</v>
      </c>
      <c r="H96" s="15">
        <v>1</v>
      </c>
      <c r="I96" s="15" t="str">
        <f t="shared" ca="1" si="16"/>
        <v>I2C_Expander_PWR_CLK</v>
      </c>
      <c r="J96" s="15" t="str">
        <f t="shared" ca="1" si="10"/>
        <v>I2C_Expander_PWR_CLK!A59</v>
      </c>
      <c r="K96" s="15" t="str">
        <f t="shared" ca="1" si="11"/>
        <v>I2C_Expander_PWR_CLK!B59</v>
      </c>
    </row>
    <row r="97" spans="1:16" x14ac:dyDescent="0.25">
      <c r="A97" s="3" t="str">
        <f t="shared" ca="1" si="17"/>
        <v/>
      </c>
      <c r="G97" s="15">
        <f t="shared" ca="1" si="15"/>
        <v>60</v>
      </c>
      <c r="H97" s="15">
        <v>1</v>
      </c>
      <c r="I97" s="15" t="str">
        <f t="shared" ca="1" si="16"/>
        <v>I2C_Expander_PWR_CLK</v>
      </c>
      <c r="J97" s="15" t="str">
        <f t="shared" ca="1" si="10"/>
        <v>I2C_Expander_PWR_CLK!A60</v>
      </c>
      <c r="K97" s="15" t="str">
        <f t="shared" ca="1" si="11"/>
        <v>I2C_Expander_PWR_CLK!B60</v>
      </c>
    </row>
    <row r="98" spans="1:16" x14ac:dyDescent="0.25">
      <c r="A98" s="3" t="str">
        <f t="shared" ca="1" si="17"/>
        <v xml:space="preserve">time = 10 </v>
      </c>
      <c r="G98" s="15">
        <f t="shared" ca="1" si="15"/>
        <v>61</v>
      </c>
      <c r="H98" s="15">
        <v>1</v>
      </c>
      <c r="I98" s="15" t="str">
        <f t="shared" ca="1" si="16"/>
        <v>I2C_Expander_PWR_CLK</v>
      </c>
      <c r="J98" s="15" t="str">
        <f t="shared" ca="1" si="10"/>
        <v>I2C_Expander_PWR_CLK!A61</v>
      </c>
      <c r="K98" s="15" t="str">
        <f t="shared" ca="1" si="11"/>
        <v>I2C_Expander_PWR_CLK!B61</v>
      </c>
    </row>
    <row r="99" spans="1:16" x14ac:dyDescent="0.25">
      <c r="A99" s="3" t="str">
        <f t="shared" ca="1" si="17"/>
        <v/>
      </c>
      <c r="C99" s="16"/>
      <c r="G99" s="15">
        <f t="shared" ca="1" si="15"/>
        <v>62</v>
      </c>
      <c r="H99" s="15">
        <v>1</v>
      </c>
      <c r="I99" s="15" t="str">
        <f t="shared" ca="1" si="16"/>
        <v>I2C_Expander_PWR_CLK</v>
      </c>
      <c r="J99" s="15" t="str">
        <f t="shared" ca="1" si="10"/>
        <v>I2C_Expander_PWR_CLK!A62</v>
      </c>
      <c r="K99" s="15" t="str">
        <f t="shared" ca="1" si="11"/>
        <v>I2C_Expander_PWR_CLK!B62</v>
      </c>
    </row>
    <row r="100" spans="1:16" x14ac:dyDescent="0.25">
      <c r="A100" s="3" t="str">
        <f t="shared" ca="1" si="17"/>
        <v/>
      </c>
      <c r="G100" s="15">
        <f t="shared" ca="1" si="15"/>
        <v>63</v>
      </c>
      <c r="H100" s="15">
        <v>1</v>
      </c>
      <c r="I100" s="15" t="str">
        <f t="shared" ca="1" si="16"/>
        <v>I2C_Expander_PWR_CLK</v>
      </c>
      <c r="J100" s="15" t="str">
        <f t="shared" ca="1" si="10"/>
        <v>I2C_Expander_PWR_CLK!A63</v>
      </c>
      <c r="K100" s="15" t="str">
        <f t="shared" ca="1" si="11"/>
        <v>I2C_Expander_PWR_CLK!B63</v>
      </c>
    </row>
    <row r="101" spans="1:16" x14ac:dyDescent="0.25">
      <c r="A101" s="3" t="str">
        <f t="shared" ca="1" si="17"/>
        <v/>
      </c>
      <c r="G101" s="15">
        <f t="shared" ca="1" si="15"/>
        <v>64</v>
      </c>
      <c r="H101" s="15">
        <v>1</v>
      </c>
      <c r="I101" s="15" t="str">
        <f t="shared" ca="1" si="16"/>
        <v>I2C_Expander_PWR_CLK</v>
      </c>
      <c r="J101" s="15" t="str">
        <f t="shared" ca="1" si="10"/>
        <v>I2C_Expander_PWR_CLK!A64</v>
      </c>
      <c r="K101" s="15" t="str">
        <f t="shared" ca="1" si="11"/>
        <v>I2C_Expander_PWR_CLK!B64</v>
      </c>
    </row>
    <row r="102" spans="1:16" x14ac:dyDescent="0.25">
      <c r="A102" s="3" t="str">
        <f t="shared" ca="1" si="17"/>
        <v/>
      </c>
      <c r="G102" s="15">
        <f t="shared" ca="1" si="15"/>
        <v>65</v>
      </c>
      <c r="H102" s="15">
        <v>1</v>
      </c>
      <c r="I102" s="15" t="str">
        <f t="shared" ca="1" si="16"/>
        <v>I2C_Expander_PWR_CLK</v>
      </c>
      <c r="J102" s="15" t="str">
        <f t="shared" ca="1" si="10"/>
        <v>I2C_Expander_PWR_CLK!A65</v>
      </c>
      <c r="K102" s="15" t="str">
        <f t="shared" ca="1" si="11"/>
        <v>I2C_Expander_PWR_CLK!B65</v>
      </c>
    </row>
    <row r="103" spans="1:16" x14ac:dyDescent="0.25">
      <c r="A103" s="3" t="str">
        <f t="shared" ca="1" si="17"/>
        <v/>
      </c>
      <c r="G103" s="15">
        <f t="shared" ca="1" si="15"/>
        <v>66</v>
      </c>
      <c r="H103" s="15">
        <v>1</v>
      </c>
      <c r="I103" s="15" t="str">
        <f t="shared" ca="1" si="16"/>
        <v>I2C_Expander_PWR_CLK</v>
      </c>
      <c r="J103" s="15" t="str">
        <f t="shared" ca="1" si="10"/>
        <v>I2C_Expander_PWR_CLK!A66</v>
      </c>
      <c r="K103" s="15" t="str">
        <f t="shared" ca="1" si="11"/>
        <v>I2C_Expander_PWR_CLK!B66</v>
      </c>
    </row>
    <row r="104" spans="1:16" x14ac:dyDescent="0.25">
      <c r="A104" s="3" t="str">
        <f t="shared" ca="1" si="17"/>
        <v/>
      </c>
      <c r="G104" s="15">
        <f t="shared" ca="1" si="15"/>
        <v>67</v>
      </c>
      <c r="H104" s="15">
        <v>1</v>
      </c>
      <c r="I104" s="15" t="str">
        <f t="shared" ca="1" si="16"/>
        <v>I2C_Expander_PWR_CLK</v>
      </c>
      <c r="J104" s="15" t="str">
        <f t="shared" ca="1" si="10"/>
        <v>I2C_Expander_PWR_CLK!A67</v>
      </c>
      <c r="K104" s="15" t="str">
        <f t="shared" ca="1" si="11"/>
        <v>I2C_Expander_PWR_CLK!B67</v>
      </c>
    </row>
    <row r="105" spans="1:16" x14ac:dyDescent="0.25">
      <c r="A105" s="3" t="str">
        <f t="shared" ca="1" si="17"/>
        <v/>
      </c>
      <c r="G105" s="15">
        <f t="shared" ca="1" si="15"/>
        <v>68</v>
      </c>
      <c r="H105" s="15">
        <v>1</v>
      </c>
      <c r="I105" s="15" t="str">
        <f t="shared" ca="1" si="16"/>
        <v>I2C_Expander_PWR_CLK</v>
      </c>
      <c r="J105" s="15" t="str">
        <f t="shared" ca="1" si="10"/>
        <v>I2C_Expander_PWR_CLK!A68</v>
      </c>
      <c r="K105" s="15" t="str">
        <f t="shared" ca="1" si="11"/>
        <v>I2C_Expander_PWR_CLK!B68</v>
      </c>
    </row>
    <row r="106" spans="1:16" x14ac:dyDescent="0.25">
      <c r="A106" s="3" t="str">
        <f t="shared" ca="1" si="17"/>
        <v/>
      </c>
      <c r="G106" s="15">
        <f t="shared" ca="1" si="15"/>
        <v>69</v>
      </c>
      <c r="H106" s="15">
        <v>1</v>
      </c>
      <c r="I106" s="15" t="str">
        <f t="shared" ca="1" si="16"/>
        <v>I2C_Expander_PWR_CLK</v>
      </c>
      <c r="J106" s="15" t="str">
        <f t="shared" ca="1" si="10"/>
        <v>I2C_Expander_PWR_CLK!A69</v>
      </c>
      <c r="K106" s="15" t="str">
        <f t="shared" ca="1" si="11"/>
        <v>I2C_Expander_PWR_CLK!B69</v>
      </c>
    </row>
    <row r="107" spans="1:16" x14ac:dyDescent="0.25">
      <c r="A107" s="3" t="str">
        <f t="shared" ca="1" si="17"/>
        <v/>
      </c>
      <c r="G107" s="15">
        <f t="shared" ca="1" si="15"/>
        <v>70</v>
      </c>
      <c r="H107" s="15">
        <v>1</v>
      </c>
      <c r="I107" s="15" t="str">
        <f t="shared" ca="1" si="16"/>
        <v>I2C_Expander_PWR_CLK</v>
      </c>
      <c r="J107" s="15" t="str">
        <f t="shared" ca="1" si="10"/>
        <v>I2C_Expander_PWR_CLK!A70</v>
      </c>
      <c r="K107" s="15" t="str">
        <f t="shared" ca="1" si="11"/>
        <v>I2C_Expander_PWR_CLK!B70</v>
      </c>
    </row>
    <row r="108" spans="1:16" x14ac:dyDescent="0.25">
      <c r="A108" s="3" t="str">
        <f t="shared" ca="1" si="17"/>
        <v xml:space="preserve">#I2C_Expander_PWR_CLK:etap 2 =  </v>
      </c>
      <c r="G108" s="15">
        <f ca="1">INDIRECT(M108)</f>
        <v>71</v>
      </c>
      <c r="H108" s="15">
        <v>1</v>
      </c>
      <c r="I108" s="15" t="str">
        <f ca="1">INDIRECT(N108)</f>
        <v>I2C_Expander_PWR_CLK</v>
      </c>
      <c r="J108" s="15" t="str">
        <f t="shared" ref="J108:J171" ca="1" si="18">ADDRESS(G108,H108,4,1,I108)</f>
        <v>I2C_Expander_PWR_CLK!A71</v>
      </c>
      <c r="K108" s="15" t="str">
        <f t="shared" ref="K108:K171" ca="1" si="19">ADDRESS(G108,H108+1,4,1,I108)</f>
        <v>I2C_Expander_PWR_CLK!B71</v>
      </c>
      <c r="M108" s="15" t="str">
        <f>ADDRESS(O108,3,4,1,$R$1)</f>
        <v>konfig!C7</v>
      </c>
      <c r="N108" s="15" t="str">
        <f>ADDRESS(O108,1,4,1,$R$1)</f>
        <v>konfig!A7</v>
      </c>
      <c r="O108" s="15">
        <v>7</v>
      </c>
      <c r="P108" s="15">
        <v>4</v>
      </c>
    </row>
    <row r="109" spans="1:16" x14ac:dyDescent="0.25">
      <c r="A109" s="3" t="str">
        <f t="shared" ca="1" si="17"/>
        <v xml:space="preserve">device = MCP23017 </v>
      </c>
      <c r="G109" s="15">
        <f ca="1">G108+1</f>
        <v>72</v>
      </c>
      <c r="H109" s="15">
        <v>1</v>
      </c>
      <c r="I109" s="15" t="str">
        <f ca="1">I108</f>
        <v>I2C_Expander_PWR_CLK</v>
      </c>
      <c r="J109" s="15" t="str">
        <f t="shared" ca="1" si="18"/>
        <v>I2C_Expander_PWR_CLK!A72</v>
      </c>
      <c r="K109" s="15" t="str">
        <f t="shared" ca="1" si="19"/>
        <v>I2C_Expander_PWR_CLK!B72</v>
      </c>
    </row>
    <row r="110" spans="1:16" x14ac:dyDescent="0.25">
      <c r="A110" s="3" t="str">
        <f t="shared" ca="1" si="17"/>
        <v xml:space="preserve">i2c_addr = 0x20 </v>
      </c>
      <c r="G110" s="15">
        <f t="shared" ref="G110:G127" ca="1" si="20">G109+1</f>
        <v>73</v>
      </c>
      <c r="H110" s="15">
        <v>1</v>
      </c>
      <c r="I110" s="15" t="str">
        <f t="shared" ref="I110:I127" ca="1" si="21">I109</f>
        <v>I2C_Expander_PWR_CLK</v>
      </c>
      <c r="J110" s="15" t="str">
        <f t="shared" ca="1" si="18"/>
        <v>I2C_Expander_PWR_CLK!A73</v>
      </c>
      <c r="K110" s="15" t="str">
        <f t="shared" ca="1" si="19"/>
        <v>I2C_Expander_PWR_CLK!B73</v>
      </c>
    </row>
    <row r="111" spans="1:16" x14ac:dyDescent="0.25">
      <c r="A111" s="3" t="str">
        <f t="shared" ca="1" si="17"/>
        <v xml:space="preserve">i2c_num = /dev/i2c-1 </v>
      </c>
      <c r="C111" s="16"/>
      <c r="G111" s="15">
        <f t="shared" ca="1" si="20"/>
        <v>74</v>
      </c>
      <c r="H111" s="15">
        <v>1</v>
      </c>
      <c r="I111" s="15" t="str">
        <f t="shared" ca="1" si="21"/>
        <v>I2C_Expander_PWR_CLK</v>
      </c>
      <c r="J111" s="15" t="str">
        <f t="shared" ca="1" si="18"/>
        <v>I2C_Expander_PWR_CLK!A74</v>
      </c>
      <c r="K111" s="15" t="str">
        <f t="shared" ca="1" si="19"/>
        <v>I2C_Expander_PWR_CLK!B74</v>
      </c>
    </row>
    <row r="112" spans="1:16" x14ac:dyDescent="0.25">
      <c r="A112" s="3" t="str">
        <f t="shared" ca="1" si="17"/>
        <v xml:space="preserve">pins_mode = 0xF9D5 </v>
      </c>
      <c r="G112" s="15">
        <f t="shared" ca="1" si="20"/>
        <v>75</v>
      </c>
      <c r="H112" s="15">
        <v>1</v>
      </c>
      <c r="I112" s="15" t="str">
        <f t="shared" ca="1" si="21"/>
        <v>I2C_Expander_PWR_CLK</v>
      </c>
      <c r="J112" s="15" t="str">
        <f t="shared" ca="1" si="18"/>
        <v>I2C_Expander_PWR_CLK!A75</v>
      </c>
      <c r="K112" s="15" t="str">
        <f t="shared" ca="1" si="19"/>
        <v>I2C_Expander_PWR_CLK!B75</v>
      </c>
    </row>
    <row r="113" spans="1:16" x14ac:dyDescent="0.25">
      <c r="A113" s="3" t="str">
        <f t="shared" ca="1" si="17"/>
        <v xml:space="preserve">pins_state = 0x062A </v>
      </c>
      <c r="G113" s="15">
        <f t="shared" ca="1" si="20"/>
        <v>76</v>
      </c>
      <c r="H113" s="15">
        <v>1</v>
      </c>
      <c r="I113" s="15" t="str">
        <f t="shared" ca="1" si="21"/>
        <v>I2C_Expander_PWR_CLK</v>
      </c>
      <c r="J113" s="15" t="str">
        <f t="shared" ca="1" si="18"/>
        <v>I2C_Expander_PWR_CLK!A76</v>
      </c>
      <c r="K113" s="15" t="str">
        <f t="shared" ca="1" si="19"/>
        <v>I2C_Expander_PWR_CLK!B76</v>
      </c>
    </row>
    <row r="114" spans="1:16" x14ac:dyDescent="0.25">
      <c r="A114" s="3" t="str">
        <f t="shared" ca="1" si="17"/>
        <v xml:space="preserve">pins_pull_up = 0x1955 </v>
      </c>
      <c r="G114" s="15">
        <f t="shared" ca="1" si="20"/>
        <v>77</v>
      </c>
      <c r="H114" s="15">
        <v>1</v>
      </c>
      <c r="I114" s="15" t="str">
        <f t="shared" ca="1" si="21"/>
        <v>I2C_Expander_PWR_CLK</v>
      </c>
      <c r="J114" s="15" t="str">
        <f t="shared" ca="1" si="18"/>
        <v>I2C_Expander_PWR_CLK!A77</v>
      </c>
      <c r="K114" s="15" t="str">
        <f t="shared" ca="1" si="19"/>
        <v>I2C_Expander_PWR_CLK!B77</v>
      </c>
    </row>
    <row r="115" spans="1:16" x14ac:dyDescent="0.25">
      <c r="A115" s="3" t="str">
        <f t="shared" ca="1" si="17"/>
        <v xml:space="preserve">#pins_int = 0x0000 </v>
      </c>
      <c r="G115" s="15">
        <f t="shared" ca="1" si="20"/>
        <v>78</v>
      </c>
      <c r="H115" s="15">
        <v>1</v>
      </c>
      <c r="I115" s="15" t="str">
        <f t="shared" ca="1" si="21"/>
        <v>I2C_Expander_PWR_CLK</v>
      </c>
      <c r="J115" s="15" t="str">
        <f t="shared" ca="1" si="18"/>
        <v>I2C_Expander_PWR_CLK!A78</v>
      </c>
      <c r="K115" s="15" t="str">
        <f t="shared" ca="1" si="19"/>
        <v>I2C_Expander_PWR_CLK!B78</v>
      </c>
    </row>
    <row r="116" spans="1:16" x14ac:dyDescent="0.25">
      <c r="A116" s="3" t="str">
        <f t="shared" ca="1" si="17"/>
        <v xml:space="preserve">#pins_def_val = 0x0000 </v>
      </c>
      <c r="G116" s="15">
        <f t="shared" ca="1" si="20"/>
        <v>79</v>
      </c>
      <c r="H116" s="15">
        <v>1</v>
      </c>
      <c r="I116" s="15" t="str">
        <f t="shared" ca="1" si="21"/>
        <v>I2C_Expander_PWR_CLK</v>
      </c>
      <c r="J116" s="15" t="str">
        <f t="shared" ca="1" si="18"/>
        <v>I2C_Expander_PWR_CLK!A79</v>
      </c>
      <c r="K116" s="15" t="str">
        <f t="shared" ca="1" si="19"/>
        <v>I2C_Expander_PWR_CLK!B79</v>
      </c>
    </row>
    <row r="117" spans="1:16" x14ac:dyDescent="0.25">
      <c r="A117" s="3" t="str">
        <f t="shared" ca="1" si="17"/>
        <v/>
      </c>
      <c r="G117" s="15">
        <f t="shared" ca="1" si="20"/>
        <v>80</v>
      </c>
      <c r="H117" s="15">
        <v>1</v>
      </c>
      <c r="I117" s="15" t="str">
        <f t="shared" ca="1" si="21"/>
        <v>I2C_Expander_PWR_CLK</v>
      </c>
      <c r="J117" s="15" t="str">
        <f t="shared" ca="1" si="18"/>
        <v>I2C_Expander_PWR_CLK!A80</v>
      </c>
      <c r="K117" s="15" t="str">
        <f t="shared" ca="1" si="19"/>
        <v>I2C_Expander_PWR_CLK!B80</v>
      </c>
    </row>
    <row r="118" spans="1:16" x14ac:dyDescent="0.25">
      <c r="A118" s="3" t="str">
        <f t="shared" ca="1" si="17"/>
        <v xml:space="preserve">#pins_int = 10 </v>
      </c>
      <c r="G118" s="15">
        <f t="shared" ca="1" si="20"/>
        <v>81</v>
      </c>
      <c r="H118" s="15">
        <v>1</v>
      </c>
      <c r="I118" s="15" t="str">
        <f t="shared" ca="1" si="21"/>
        <v>I2C_Expander_PWR_CLK</v>
      </c>
      <c r="J118" s="15" t="str">
        <f t="shared" ca="1" si="18"/>
        <v>I2C_Expander_PWR_CLK!A81</v>
      </c>
      <c r="K118" s="15" t="str">
        <f t="shared" ca="1" si="19"/>
        <v>I2C_Expander_PWR_CLK!B81</v>
      </c>
    </row>
    <row r="119" spans="1:16" x14ac:dyDescent="0.25">
      <c r="A119" s="3" t="str">
        <f t="shared" ca="1" si="17"/>
        <v/>
      </c>
      <c r="C119" s="16"/>
      <c r="G119" s="15">
        <f t="shared" ca="1" si="20"/>
        <v>82</v>
      </c>
      <c r="H119" s="15">
        <v>1</v>
      </c>
      <c r="I119" s="15" t="str">
        <f t="shared" ca="1" si="21"/>
        <v>I2C_Expander_PWR_CLK</v>
      </c>
      <c r="J119" s="15" t="str">
        <f t="shared" ca="1" si="18"/>
        <v>I2C_Expander_PWR_CLK!A82</v>
      </c>
      <c r="K119" s="15" t="str">
        <f t="shared" ca="1" si="19"/>
        <v>I2C_Expander_PWR_CLK!B82</v>
      </c>
    </row>
    <row r="120" spans="1:16" x14ac:dyDescent="0.25">
      <c r="A120" s="3" t="str">
        <f t="shared" ca="1" si="17"/>
        <v/>
      </c>
      <c r="G120" s="15">
        <f t="shared" ca="1" si="20"/>
        <v>83</v>
      </c>
      <c r="H120" s="15">
        <v>1</v>
      </c>
      <c r="I120" s="15" t="str">
        <f t="shared" ca="1" si="21"/>
        <v>I2C_Expander_PWR_CLK</v>
      </c>
      <c r="J120" s="15" t="str">
        <f t="shared" ca="1" si="18"/>
        <v>I2C_Expander_PWR_CLK!A83</v>
      </c>
      <c r="K120" s="15" t="str">
        <f t="shared" ca="1" si="19"/>
        <v>I2C_Expander_PWR_CLK!B83</v>
      </c>
    </row>
    <row r="121" spans="1:16" x14ac:dyDescent="0.25">
      <c r="A121" s="3" t="str">
        <f t="shared" ca="1" si="17"/>
        <v/>
      </c>
      <c r="G121" s="15">
        <f t="shared" ca="1" si="20"/>
        <v>84</v>
      </c>
      <c r="H121" s="15">
        <v>1</v>
      </c>
      <c r="I121" s="15" t="str">
        <f t="shared" ca="1" si="21"/>
        <v>I2C_Expander_PWR_CLK</v>
      </c>
      <c r="J121" s="15" t="str">
        <f t="shared" ca="1" si="18"/>
        <v>I2C_Expander_PWR_CLK!A84</v>
      </c>
      <c r="K121" s="15" t="str">
        <f t="shared" ca="1" si="19"/>
        <v>I2C_Expander_PWR_CLK!B84</v>
      </c>
    </row>
    <row r="122" spans="1:16" x14ac:dyDescent="0.25">
      <c r="A122" s="3" t="str">
        <f t="shared" ca="1" si="17"/>
        <v/>
      </c>
      <c r="G122" s="15">
        <f t="shared" ca="1" si="20"/>
        <v>85</v>
      </c>
      <c r="H122" s="15">
        <v>1</v>
      </c>
      <c r="I122" s="15" t="str">
        <f t="shared" ca="1" si="21"/>
        <v>I2C_Expander_PWR_CLK</v>
      </c>
      <c r="J122" s="15" t="str">
        <f t="shared" ca="1" si="18"/>
        <v>I2C_Expander_PWR_CLK!A85</v>
      </c>
      <c r="K122" s="15" t="str">
        <f t="shared" ca="1" si="19"/>
        <v>I2C_Expander_PWR_CLK!B85</v>
      </c>
    </row>
    <row r="123" spans="1:16" x14ac:dyDescent="0.25">
      <c r="A123" s="3" t="str">
        <f t="shared" ca="1" si="17"/>
        <v/>
      </c>
      <c r="G123" s="15">
        <f t="shared" ca="1" si="20"/>
        <v>86</v>
      </c>
      <c r="H123" s="15">
        <v>1</v>
      </c>
      <c r="I123" s="15" t="str">
        <f t="shared" ca="1" si="21"/>
        <v>I2C_Expander_PWR_CLK</v>
      </c>
      <c r="J123" s="15" t="str">
        <f t="shared" ca="1" si="18"/>
        <v>I2C_Expander_PWR_CLK!A86</v>
      </c>
      <c r="K123" s="15" t="str">
        <f t="shared" ca="1" si="19"/>
        <v>I2C_Expander_PWR_CLK!B86</v>
      </c>
    </row>
    <row r="124" spans="1:16" x14ac:dyDescent="0.25">
      <c r="A124" s="3" t="str">
        <f t="shared" ca="1" si="17"/>
        <v/>
      </c>
      <c r="G124" s="15">
        <f t="shared" ca="1" si="20"/>
        <v>87</v>
      </c>
      <c r="H124" s="15">
        <v>1</v>
      </c>
      <c r="I124" s="15" t="str">
        <f t="shared" ca="1" si="21"/>
        <v>I2C_Expander_PWR_CLK</v>
      </c>
      <c r="J124" s="15" t="str">
        <f t="shared" ca="1" si="18"/>
        <v>I2C_Expander_PWR_CLK!A87</v>
      </c>
      <c r="K124" s="15" t="str">
        <f t="shared" ca="1" si="19"/>
        <v>I2C_Expander_PWR_CLK!B87</v>
      </c>
    </row>
    <row r="125" spans="1:16" x14ac:dyDescent="0.25">
      <c r="A125" s="3" t="str">
        <f t="shared" ca="1" si="17"/>
        <v/>
      </c>
      <c r="G125" s="15">
        <f t="shared" ca="1" si="20"/>
        <v>88</v>
      </c>
      <c r="H125" s="15">
        <v>1</v>
      </c>
      <c r="I125" s="15" t="str">
        <f t="shared" ca="1" si="21"/>
        <v>I2C_Expander_PWR_CLK</v>
      </c>
      <c r="J125" s="15" t="str">
        <f t="shared" ca="1" si="18"/>
        <v>I2C_Expander_PWR_CLK!A88</v>
      </c>
      <c r="K125" s="15" t="str">
        <f t="shared" ca="1" si="19"/>
        <v>I2C_Expander_PWR_CLK!B88</v>
      </c>
    </row>
    <row r="126" spans="1:16" x14ac:dyDescent="0.25">
      <c r="A126" s="3" t="str">
        <f t="shared" ca="1" si="17"/>
        <v/>
      </c>
      <c r="G126" s="15">
        <f t="shared" ca="1" si="20"/>
        <v>89</v>
      </c>
      <c r="H126" s="15">
        <v>1</v>
      </c>
      <c r="I126" s="15" t="str">
        <f t="shared" ca="1" si="21"/>
        <v>I2C_Expander_PWR_CLK</v>
      </c>
      <c r="J126" s="15" t="str">
        <f t="shared" ca="1" si="18"/>
        <v>I2C_Expander_PWR_CLK!A89</v>
      </c>
      <c r="K126" s="15" t="str">
        <f t="shared" ca="1" si="19"/>
        <v>I2C_Expander_PWR_CLK!B89</v>
      </c>
    </row>
    <row r="127" spans="1:16" x14ac:dyDescent="0.25">
      <c r="A127" s="3" t="str">
        <f t="shared" ca="1" si="17"/>
        <v/>
      </c>
      <c r="G127" s="15">
        <f t="shared" ca="1" si="20"/>
        <v>90</v>
      </c>
      <c r="H127" s="15">
        <v>1</v>
      </c>
      <c r="I127" s="15" t="str">
        <f t="shared" ca="1" si="21"/>
        <v>I2C_Expander_PWR_CLK</v>
      </c>
      <c r="J127" s="15" t="str">
        <f t="shared" ca="1" si="18"/>
        <v>I2C_Expander_PWR_CLK!A90</v>
      </c>
      <c r="K127" s="15" t="str">
        <f t="shared" ca="1" si="19"/>
        <v>I2C_Expander_PWR_CLK!B90</v>
      </c>
    </row>
    <row r="128" spans="1:16" x14ac:dyDescent="0.25">
      <c r="A128" s="3" t="str">
        <f t="shared" ca="1" si="17"/>
        <v xml:space="preserve">#I2C_Expander_PWR_CLK:etap 3- poweroff WR =  </v>
      </c>
      <c r="G128" s="15">
        <f ca="1">INDIRECT(M128)</f>
        <v>91</v>
      </c>
      <c r="H128" s="15">
        <v>1</v>
      </c>
      <c r="I128" s="15" t="str">
        <f ca="1">INDIRECT(N128)</f>
        <v>I2C_Expander_PWR_CLK</v>
      </c>
      <c r="J128" s="15" t="str">
        <f t="shared" ca="1" si="18"/>
        <v>I2C_Expander_PWR_CLK!A91</v>
      </c>
      <c r="K128" s="15" t="str">
        <f t="shared" ca="1" si="19"/>
        <v>I2C_Expander_PWR_CLK!B91</v>
      </c>
      <c r="M128" s="15" t="str">
        <f>ADDRESS(O128,3,4,1,$R$1)</f>
        <v>konfig!C8</v>
      </c>
      <c r="N128" s="15" t="str">
        <f>ADDRESS(O128,1,4,1,$R$1)</f>
        <v>konfig!A8</v>
      </c>
      <c r="O128" s="15">
        <v>8</v>
      </c>
      <c r="P128" s="15">
        <v>4</v>
      </c>
    </row>
    <row r="129" spans="1:11" x14ac:dyDescent="0.25">
      <c r="A129" s="3" t="str">
        <f t="shared" ca="1" si="17"/>
        <v xml:space="preserve">device = MCP23017 </v>
      </c>
      <c r="G129" s="15">
        <f ca="1">G128+1</f>
        <v>92</v>
      </c>
      <c r="H129" s="15">
        <v>1</v>
      </c>
      <c r="I129" s="15" t="str">
        <f ca="1">I128</f>
        <v>I2C_Expander_PWR_CLK</v>
      </c>
      <c r="J129" s="15" t="str">
        <f t="shared" ca="1" si="18"/>
        <v>I2C_Expander_PWR_CLK!A92</v>
      </c>
      <c r="K129" s="15" t="str">
        <f t="shared" ca="1" si="19"/>
        <v>I2C_Expander_PWR_CLK!B92</v>
      </c>
    </row>
    <row r="130" spans="1:11" x14ac:dyDescent="0.25">
      <c r="A130" s="3" t="str">
        <f t="shared" ca="1" si="17"/>
        <v xml:space="preserve">i2c_addr = 0x20 </v>
      </c>
      <c r="G130" s="15">
        <f t="shared" ref="G130:G147" ca="1" si="22">G129+1</f>
        <v>93</v>
      </c>
      <c r="H130" s="15">
        <v>1</v>
      </c>
      <c r="I130" s="15" t="str">
        <f t="shared" ref="I130:I147" ca="1" si="23">I129</f>
        <v>I2C_Expander_PWR_CLK</v>
      </c>
      <c r="J130" s="15" t="str">
        <f t="shared" ca="1" si="18"/>
        <v>I2C_Expander_PWR_CLK!A93</v>
      </c>
      <c r="K130" s="15" t="str">
        <f t="shared" ca="1" si="19"/>
        <v>I2C_Expander_PWR_CLK!B93</v>
      </c>
    </row>
    <row r="131" spans="1:11" x14ac:dyDescent="0.25">
      <c r="A131" s="3" t="str">
        <f t="shared" ca="1" si="17"/>
        <v xml:space="preserve">i2c_num = /dev/i2c-1 </v>
      </c>
      <c r="C131" s="16"/>
      <c r="G131" s="15">
        <f t="shared" ca="1" si="22"/>
        <v>94</v>
      </c>
      <c r="H131" s="15">
        <v>1</v>
      </c>
      <c r="I131" s="15" t="str">
        <f t="shared" ca="1" si="23"/>
        <v>I2C_Expander_PWR_CLK</v>
      </c>
      <c r="J131" s="15" t="str">
        <f t="shared" ca="1" si="18"/>
        <v>I2C_Expander_PWR_CLK!A94</v>
      </c>
      <c r="K131" s="15" t="str">
        <f t="shared" ca="1" si="19"/>
        <v>I2C_Expander_PWR_CLK!B94</v>
      </c>
    </row>
    <row r="132" spans="1:11" x14ac:dyDescent="0.25">
      <c r="A132" s="3" t="str">
        <f t="shared" ca="1" si="17"/>
        <v xml:space="preserve">pins_mode = 0xF9D5 </v>
      </c>
      <c r="G132" s="15">
        <f t="shared" ca="1" si="22"/>
        <v>95</v>
      </c>
      <c r="H132" s="15">
        <v>1</v>
      </c>
      <c r="I132" s="15" t="str">
        <f t="shared" ca="1" si="23"/>
        <v>I2C_Expander_PWR_CLK</v>
      </c>
      <c r="J132" s="15" t="str">
        <f t="shared" ca="1" si="18"/>
        <v>I2C_Expander_PWR_CLK!A95</v>
      </c>
      <c r="K132" s="15" t="str">
        <f t="shared" ca="1" si="19"/>
        <v>I2C_Expander_PWR_CLK!B95</v>
      </c>
    </row>
    <row r="133" spans="1:11" x14ac:dyDescent="0.25">
      <c r="A133" s="3" t="str">
        <f t="shared" ca="1" si="17"/>
        <v xml:space="preserve">pins_state = 0x002A </v>
      </c>
      <c r="G133" s="15">
        <f t="shared" ca="1" si="22"/>
        <v>96</v>
      </c>
      <c r="H133" s="15">
        <v>1</v>
      </c>
      <c r="I133" s="15" t="str">
        <f t="shared" ca="1" si="23"/>
        <v>I2C_Expander_PWR_CLK</v>
      </c>
      <c r="J133" s="15" t="str">
        <f t="shared" ca="1" si="18"/>
        <v>I2C_Expander_PWR_CLK!A96</v>
      </c>
      <c r="K133" s="15" t="str">
        <f t="shared" ca="1" si="19"/>
        <v>I2C_Expander_PWR_CLK!B96</v>
      </c>
    </row>
    <row r="134" spans="1:11" x14ac:dyDescent="0.25">
      <c r="A134" s="3" t="str">
        <f t="shared" ca="1" si="17"/>
        <v xml:space="preserve">pins_pull_up = 0x1955 </v>
      </c>
      <c r="G134" s="15">
        <f t="shared" ca="1" si="22"/>
        <v>97</v>
      </c>
      <c r="H134" s="15">
        <v>1</v>
      </c>
      <c r="I134" s="15" t="str">
        <f t="shared" ca="1" si="23"/>
        <v>I2C_Expander_PWR_CLK</v>
      </c>
      <c r="J134" s="15" t="str">
        <f t="shared" ca="1" si="18"/>
        <v>I2C_Expander_PWR_CLK!A97</v>
      </c>
      <c r="K134" s="15" t="str">
        <f t="shared" ca="1" si="19"/>
        <v>I2C_Expander_PWR_CLK!B97</v>
      </c>
    </row>
    <row r="135" spans="1:11" x14ac:dyDescent="0.25">
      <c r="A135" s="3" t="str">
        <f t="shared" ca="1" si="17"/>
        <v xml:space="preserve">#pins_int = 0x0000 </v>
      </c>
      <c r="G135" s="15">
        <f t="shared" ca="1" si="22"/>
        <v>98</v>
      </c>
      <c r="H135" s="15">
        <v>1</v>
      </c>
      <c r="I135" s="15" t="str">
        <f t="shared" ca="1" si="23"/>
        <v>I2C_Expander_PWR_CLK</v>
      </c>
      <c r="J135" s="15" t="str">
        <f t="shared" ca="1" si="18"/>
        <v>I2C_Expander_PWR_CLK!A98</v>
      </c>
      <c r="K135" s="15" t="str">
        <f t="shared" ca="1" si="19"/>
        <v>I2C_Expander_PWR_CLK!B98</v>
      </c>
    </row>
    <row r="136" spans="1:11" x14ac:dyDescent="0.25">
      <c r="A136" s="3" t="str">
        <f t="shared" ca="1" si="17"/>
        <v xml:space="preserve">#pins_def_val = 0x0000 </v>
      </c>
      <c r="G136" s="15">
        <f t="shared" ca="1" si="22"/>
        <v>99</v>
      </c>
      <c r="H136" s="15">
        <v>1</v>
      </c>
      <c r="I136" s="15" t="str">
        <f t="shared" ca="1" si="23"/>
        <v>I2C_Expander_PWR_CLK</v>
      </c>
      <c r="J136" s="15" t="str">
        <f t="shared" ca="1" si="18"/>
        <v>I2C_Expander_PWR_CLK!A99</v>
      </c>
      <c r="K136" s="15" t="str">
        <f t="shared" ca="1" si="19"/>
        <v>I2C_Expander_PWR_CLK!B99</v>
      </c>
    </row>
    <row r="137" spans="1:11" x14ac:dyDescent="0.25">
      <c r="A137" s="3" t="str">
        <f t="shared" ca="1" si="17"/>
        <v/>
      </c>
      <c r="G137" s="15">
        <f t="shared" ca="1" si="22"/>
        <v>100</v>
      </c>
      <c r="H137" s="15">
        <v>1</v>
      </c>
      <c r="I137" s="15" t="str">
        <f t="shared" ca="1" si="23"/>
        <v>I2C_Expander_PWR_CLK</v>
      </c>
      <c r="J137" s="15" t="str">
        <f t="shared" ca="1" si="18"/>
        <v>I2C_Expander_PWR_CLK!A100</v>
      </c>
      <c r="K137" s="15" t="str">
        <f t="shared" ca="1" si="19"/>
        <v>I2C_Expander_PWR_CLK!B100</v>
      </c>
    </row>
    <row r="138" spans="1:11" x14ac:dyDescent="0.25">
      <c r="A138" s="3" t="str">
        <f t="shared" ca="1" si="17"/>
        <v xml:space="preserve">#pins_int = 10 </v>
      </c>
      <c r="G138" s="15">
        <f t="shared" ca="1" si="22"/>
        <v>101</v>
      </c>
      <c r="H138" s="15">
        <v>1</v>
      </c>
      <c r="I138" s="15" t="str">
        <f t="shared" ca="1" si="23"/>
        <v>I2C_Expander_PWR_CLK</v>
      </c>
      <c r="J138" s="15" t="str">
        <f t="shared" ca="1" si="18"/>
        <v>I2C_Expander_PWR_CLK!A101</v>
      </c>
      <c r="K138" s="15" t="str">
        <f t="shared" ca="1" si="19"/>
        <v>I2C_Expander_PWR_CLK!B101</v>
      </c>
    </row>
    <row r="139" spans="1:11" x14ac:dyDescent="0.25">
      <c r="A139" s="3" t="str">
        <f t="shared" ca="1" si="17"/>
        <v/>
      </c>
      <c r="C139" s="16"/>
      <c r="G139" s="15">
        <f t="shared" ca="1" si="22"/>
        <v>102</v>
      </c>
      <c r="H139" s="15">
        <v>1</v>
      </c>
      <c r="I139" s="15" t="str">
        <f t="shared" ca="1" si="23"/>
        <v>I2C_Expander_PWR_CLK</v>
      </c>
      <c r="J139" s="15" t="str">
        <f t="shared" ca="1" si="18"/>
        <v>I2C_Expander_PWR_CLK!A102</v>
      </c>
      <c r="K139" s="15" t="str">
        <f t="shared" ca="1" si="19"/>
        <v>I2C_Expander_PWR_CLK!B102</v>
      </c>
    </row>
    <row r="140" spans="1:11" x14ac:dyDescent="0.25">
      <c r="A140" s="3" t="str">
        <f t="shared" ca="1" si="17"/>
        <v/>
      </c>
      <c r="G140" s="15">
        <f t="shared" ca="1" si="22"/>
        <v>103</v>
      </c>
      <c r="H140" s="15">
        <v>1</v>
      </c>
      <c r="I140" s="15" t="str">
        <f t="shared" ca="1" si="23"/>
        <v>I2C_Expander_PWR_CLK</v>
      </c>
      <c r="J140" s="15" t="str">
        <f t="shared" ca="1" si="18"/>
        <v>I2C_Expander_PWR_CLK!A103</v>
      </c>
      <c r="K140" s="15" t="str">
        <f t="shared" ca="1" si="19"/>
        <v>I2C_Expander_PWR_CLK!B103</v>
      </c>
    </row>
    <row r="141" spans="1:11" x14ac:dyDescent="0.25">
      <c r="A141" s="3" t="str">
        <f t="shared" ca="1" si="17"/>
        <v/>
      </c>
      <c r="G141" s="15">
        <f t="shared" ca="1" si="22"/>
        <v>104</v>
      </c>
      <c r="H141" s="15">
        <v>1</v>
      </c>
      <c r="I141" s="15" t="str">
        <f t="shared" ca="1" si="23"/>
        <v>I2C_Expander_PWR_CLK</v>
      </c>
      <c r="J141" s="15" t="str">
        <f t="shared" ca="1" si="18"/>
        <v>I2C_Expander_PWR_CLK!A104</v>
      </c>
      <c r="K141" s="15" t="str">
        <f t="shared" ca="1" si="19"/>
        <v>I2C_Expander_PWR_CLK!B104</v>
      </c>
    </row>
    <row r="142" spans="1:11" x14ac:dyDescent="0.25">
      <c r="A142" s="3" t="str">
        <f t="shared" ca="1" si="17"/>
        <v/>
      </c>
      <c r="G142" s="15">
        <f t="shared" ca="1" si="22"/>
        <v>105</v>
      </c>
      <c r="H142" s="15">
        <v>1</v>
      </c>
      <c r="I142" s="15" t="str">
        <f t="shared" ca="1" si="23"/>
        <v>I2C_Expander_PWR_CLK</v>
      </c>
      <c r="J142" s="15" t="str">
        <f t="shared" ca="1" si="18"/>
        <v>I2C_Expander_PWR_CLK!A105</v>
      </c>
      <c r="K142" s="15" t="str">
        <f t="shared" ca="1" si="19"/>
        <v>I2C_Expander_PWR_CLK!B105</v>
      </c>
    </row>
    <row r="143" spans="1:11" x14ac:dyDescent="0.25">
      <c r="A143" s="3" t="str">
        <f t="shared" ca="1" si="17"/>
        <v/>
      </c>
      <c r="G143" s="15">
        <f t="shared" ca="1" si="22"/>
        <v>106</v>
      </c>
      <c r="H143" s="15">
        <v>1</v>
      </c>
      <c r="I143" s="15" t="str">
        <f t="shared" ca="1" si="23"/>
        <v>I2C_Expander_PWR_CLK</v>
      </c>
      <c r="J143" s="15" t="str">
        <f t="shared" ca="1" si="18"/>
        <v>I2C_Expander_PWR_CLK!A106</v>
      </c>
      <c r="K143" s="15" t="str">
        <f t="shared" ca="1" si="19"/>
        <v>I2C_Expander_PWR_CLK!B106</v>
      </c>
    </row>
    <row r="144" spans="1:11" x14ac:dyDescent="0.25">
      <c r="A144" s="3" t="str">
        <f t="shared" ca="1" si="17"/>
        <v/>
      </c>
      <c r="G144" s="15">
        <f t="shared" ca="1" si="22"/>
        <v>107</v>
      </c>
      <c r="H144" s="15">
        <v>1</v>
      </c>
      <c r="I144" s="15" t="str">
        <f t="shared" ca="1" si="23"/>
        <v>I2C_Expander_PWR_CLK</v>
      </c>
      <c r="J144" s="15" t="str">
        <f t="shared" ca="1" si="18"/>
        <v>I2C_Expander_PWR_CLK!A107</v>
      </c>
      <c r="K144" s="15" t="str">
        <f t="shared" ca="1" si="19"/>
        <v>I2C_Expander_PWR_CLK!B107</v>
      </c>
    </row>
    <row r="145" spans="1:16" x14ac:dyDescent="0.25">
      <c r="A145" s="3" t="str">
        <f t="shared" ca="1" si="17"/>
        <v/>
      </c>
      <c r="G145" s="15">
        <f t="shared" ca="1" si="22"/>
        <v>108</v>
      </c>
      <c r="H145" s="15">
        <v>1</v>
      </c>
      <c r="I145" s="15" t="str">
        <f t="shared" ca="1" si="23"/>
        <v>I2C_Expander_PWR_CLK</v>
      </c>
      <c r="J145" s="15" t="str">
        <f t="shared" ca="1" si="18"/>
        <v>I2C_Expander_PWR_CLK!A108</v>
      </c>
      <c r="K145" s="15" t="str">
        <f t="shared" ca="1" si="19"/>
        <v>I2C_Expander_PWR_CLK!B108</v>
      </c>
    </row>
    <row r="146" spans="1:16" x14ac:dyDescent="0.25">
      <c r="A146" s="3" t="str">
        <f t="shared" ca="1" si="17"/>
        <v/>
      </c>
      <c r="G146" s="15">
        <f t="shared" ca="1" si="22"/>
        <v>109</v>
      </c>
      <c r="H146" s="15">
        <v>1</v>
      </c>
      <c r="I146" s="15" t="str">
        <f t="shared" ca="1" si="23"/>
        <v>I2C_Expander_PWR_CLK</v>
      </c>
      <c r="J146" s="15" t="str">
        <f t="shared" ca="1" si="18"/>
        <v>I2C_Expander_PWR_CLK!A109</v>
      </c>
      <c r="K146" s="15" t="str">
        <f t="shared" ca="1" si="19"/>
        <v>I2C_Expander_PWR_CLK!B109</v>
      </c>
    </row>
    <row r="147" spans="1:16" x14ac:dyDescent="0.25">
      <c r="A147" s="3" t="str">
        <f t="shared" ca="1" si="17"/>
        <v/>
      </c>
      <c r="G147" s="15">
        <f t="shared" ca="1" si="22"/>
        <v>110</v>
      </c>
      <c r="H147" s="15">
        <v>1</v>
      </c>
      <c r="I147" s="15" t="str">
        <f t="shared" ca="1" si="23"/>
        <v>I2C_Expander_PWR_CLK</v>
      </c>
      <c r="J147" s="15" t="str">
        <f t="shared" ca="1" si="18"/>
        <v>I2C_Expander_PWR_CLK!A110</v>
      </c>
      <c r="K147" s="15" t="str">
        <f t="shared" ca="1" si="19"/>
        <v>I2C_Expander_PWR_CLK!B110</v>
      </c>
    </row>
    <row r="148" spans="1:16" x14ac:dyDescent="0.25">
      <c r="A148" s="3" t="str">
        <f t="shared" ca="1" si="17"/>
        <v xml:space="preserve">#I2C_Bridge_SFP:wylacz =  </v>
      </c>
      <c r="G148" s="15">
        <f ca="1">INDIRECT(M148)</f>
        <v>31</v>
      </c>
      <c r="H148" s="15">
        <v>1</v>
      </c>
      <c r="I148" s="15" t="str">
        <f ca="1">INDIRECT(N148)</f>
        <v>I2C_Bridge_SFP</v>
      </c>
      <c r="J148" s="15" t="str">
        <f t="shared" ca="1" si="18"/>
        <v>I2C_Bridge_SFP!A31</v>
      </c>
      <c r="K148" s="15" t="str">
        <f t="shared" ca="1" si="19"/>
        <v>I2C_Bridge_SFP!B31</v>
      </c>
      <c r="M148" s="15" t="str">
        <f>ADDRESS(O148,3,4,1,$R$1)</f>
        <v>konfig!C9</v>
      </c>
      <c r="N148" s="15" t="str">
        <f>ADDRESS(O148,1,4,1,$R$1)</f>
        <v>konfig!A9</v>
      </c>
      <c r="O148" s="15">
        <v>9</v>
      </c>
      <c r="P148" s="15">
        <v>4</v>
      </c>
    </row>
    <row r="149" spans="1:16" x14ac:dyDescent="0.25">
      <c r="A149" s="3" t="str">
        <f t="shared" ca="1" si="17"/>
        <v xml:space="preserve">device = TCA9548 </v>
      </c>
      <c r="G149" s="15">
        <f ca="1">G148+1</f>
        <v>32</v>
      </c>
      <c r="H149" s="15">
        <v>1</v>
      </c>
      <c r="I149" s="15" t="str">
        <f ca="1">I148</f>
        <v>I2C_Bridge_SFP</v>
      </c>
      <c r="J149" s="15" t="str">
        <f t="shared" ca="1" si="18"/>
        <v>I2C_Bridge_SFP!A32</v>
      </c>
      <c r="K149" s="15" t="str">
        <f t="shared" ca="1" si="19"/>
        <v>I2C_Bridge_SFP!B32</v>
      </c>
    </row>
    <row r="150" spans="1:16" x14ac:dyDescent="0.25">
      <c r="A150" s="3" t="str">
        <f t="shared" ca="1" si="17"/>
        <v xml:space="preserve">i2c_addr = 0x70 </v>
      </c>
      <c r="G150" s="15">
        <f t="shared" ref="G150:G167" ca="1" si="24">G149+1</f>
        <v>33</v>
      </c>
      <c r="H150" s="15">
        <v>1</v>
      </c>
      <c r="I150" s="15" t="str">
        <f t="shared" ref="I150:I167" ca="1" si="25">I149</f>
        <v>I2C_Bridge_SFP</v>
      </c>
      <c r="J150" s="15" t="str">
        <f t="shared" ca="1" si="18"/>
        <v>I2C_Bridge_SFP!A33</v>
      </c>
      <c r="K150" s="15" t="str">
        <f t="shared" ca="1" si="19"/>
        <v>I2C_Bridge_SFP!B33</v>
      </c>
    </row>
    <row r="151" spans="1:16" x14ac:dyDescent="0.25">
      <c r="A151" s="3" t="str">
        <f t="shared" ca="1" si="17"/>
        <v xml:space="preserve">i2c_num = /dev/i2c-1 </v>
      </c>
      <c r="C151" s="16"/>
      <c r="G151" s="15">
        <f t="shared" ca="1" si="24"/>
        <v>34</v>
      </c>
      <c r="H151" s="15">
        <v>1</v>
      </c>
      <c r="I151" s="15" t="str">
        <f t="shared" ca="1" si="25"/>
        <v>I2C_Bridge_SFP</v>
      </c>
      <c r="J151" s="15" t="str">
        <f t="shared" ca="1" si="18"/>
        <v>I2C_Bridge_SFP!A34</v>
      </c>
      <c r="K151" s="15" t="str">
        <f t="shared" ca="1" si="19"/>
        <v>I2C_Bridge_SFP!B34</v>
      </c>
    </row>
    <row r="152" spans="1:16" x14ac:dyDescent="0.25">
      <c r="A152" s="3" t="str">
        <f t="shared" ca="1" si="17"/>
        <v xml:space="preserve">ctrl_reg = 0x00 </v>
      </c>
      <c r="G152" s="15">
        <f t="shared" ca="1" si="24"/>
        <v>35</v>
      </c>
      <c r="H152" s="15">
        <v>1</v>
      </c>
      <c r="I152" s="15" t="str">
        <f t="shared" ca="1" si="25"/>
        <v>I2C_Bridge_SFP</v>
      </c>
      <c r="J152" s="15" t="str">
        <f t="shared" ca="1" si="18"/>
        <v>I2C_Bridge_SFP!A35</v>
      </c>
      <c r="K152" s="15" t="str">
        <f t="shared" ca="1" si="19"/>
        <v>I2C_Bridge_SFP!B35</v>
      </c>
    </row>
    <row r="153" spans="1:16" x14ac:dyDescent="0.25">
      <c r="A153" s="3" t="str">
        <f t="shared" ca="1" si="17"/>
        <v/>
      </c>
      <c r="G153" s="15">
        <f t="shared" ca="1" si="24"/>
        <v>36</v>
      </c>
      <c r="H153" s="15">
        <v>1</v>
      </c>
      <c r="I153" s="15" t="str">
        <f t="shared" ca="1" si="25"/>
        <v>I2C_Bridge_SFP</v>
      </c>
      <c r="J153" s="15" t="str">
        <f t="shared" ca="1" si="18"/>
        <v>I2C_Bridge_SFP!A36</v>
      </c>
      <c r="K153" s="15" t="str">
        <f t="shared" ca="1" si="19"/>
        <v>I2C_Bridge_SFP!B36</v>
      </c>
    </row>
    <row r="154" spans="1:16" x14ac:dyDescent="0.25">
      <c r="A154" s="3" t="str">
        <f t="shared" ca="1" si="17"/>
        <v xml:space="preserve">time = 10 </v>
      </c>
      <c r="G154" s="15">
        <f t="shared" ca="1" si="24"/>
        <v>37</v>
      </c>
      <c r="H154" s="15">
        <v>1</v>
      </c>
      <c r="I154" s="15" t="str">
        <f t="shared" ca="1" si="25"/>
        <v>I2C_Bridge_SFP</v>
      </c>
      <c r="J154" s="15" t="str">
        <f t="shared" ca="1" si="18"/>
        <v>I2C_Bridge_SFP!A37</v>
      </c>
      <c r="K154" s="15" t="str">
        <f t="shared" ca="1" si="19"/>
        <v>I2C_Bridge_SFP!B37</v>
      </c>
    </row>
    <row r="155" spans="1:16" x14ac:dyDescent="0.25">
      <c r="A155" s="3" t="str">
        <f t="shared" ca="1" si="17"/>
        <v/>
      </c>
      <c r="G155" s="15">
        <f t="shared" ca="1" si="24"/>
        <v>38</v>
      </c>
      <c r="H155" s="15">
        <v>1</v>
      </c>
      <c r="I155" s="15" t="str">
        <f t="shared" ca="1" si="25"/>
        <v>I2C_Bridge_SFP</v>
      </c>
      <c r="J155" s="15" t="str">
        <f t="shared" ca="1" si="18"/>
        <v>I2C_Bridge_SFP!A38</v>
      </c>
      <c r="K155" s="15" t="str">
        <f t="shared" ca="1" si="19"/>
        <v>I2C_Bridge_SFP!B38</v>
      </c>
    </row>
    <row r="156" spans="1:16" x14ac:dyDescent="0.25">
      <c r="A156" s="3" t="str">
        <f t="shared" ref="A156:A219" ca="1" si="26">IFERROR(IF(INDIRECT(J156)&lt;&gt;"",CONCATENATE(INDIRECT(J156)," = ",INDIRECT(K156)," "),""),"")</f>
        <v/>
      </c>
      <c r="G156" s="15">
        <f t="shared" ca="1" si="24"/>
        <v>39</v>
      </c>
      <c r="H156" s="15">
        <v>1</v>
      </c>
      <c r="I156" s="15" t="str">
        <f t="shared" ca="1" si="25"/>
        <v>I2C_Bridge_SFP</v>
      </c>
      <c r="J156" s="15" t="str">
        <f t="shared" ca="1" si="18"/>
        <v>I2C_Bridge_SFP!A39</v>
      </c>
      <c r="K156" s="15" t="str">
        <f t="shared" ca="1" si="19"/>
        <v>I2C_Bridge_SFP!B39</v>
      </c>
    </row>
    <row r="157" spans="1:16" x14ac:dyDescent="0.25">
      <c r="A157" s="3" t="str">
        <f t="shared" ca="1" si="26"/>
        <v/>
      </c>
      <c r="G157" s="15">
        <f t="shared" ca="1" si="24"/>
        <v>40</v>
      </c>
      <c r="H157" s="15">
        <v>1</v>
      </c>
      <c r="I157" s="15" t="str">
        <f t="shared" ca="1" si="25"/>
        <v>I2C_Bridge_SFP</v>
      </c>
      <c r="J157" s="15" t="str">
        <f t="shared" ca="1" si="18"/>
        <v>I2C_Bridge_SFP!A40</v>
      </c>
      <c r="K157" s="15" t="str">
        <f t="shared" ca="1" si="19"/>
        <v>I2C_Bridge_SFP!B40</v>
      </c>
    </row>
    <row r="158" spans="1:16" x14ac:dyDescent="0.25">
      <c r="A158" s="3" t="str">
        <f t="shared" ca="1" si="26"/>
        <v/>
      </c>
      <c r="G158" s="15">
        <f t="shared" ca="1" si="24"/>
        <v>41</v>
      </c>
      <c r="H158" s="15">
        <v>1</v>
      </c>
      <c r="I158" s="15" t="str">
        <f t="shared" ca="1" si="25"/>
        <v>I2C_Bridge_SFP</v>
      </c>
      <c r="J158" s="15" t="str">
        <f t="shared" ca="1" si="18"/>
        <v>I2C_Bridge_SFP!A41</v>
      </c>
      <c r="K158" s="15" t="str">
        <f t="shared" ca="1" si="19"/>
        <v>I2C_Bridge_SFP!B41</v>
      </c>
    </row>
    <row r="159" spans="1:16" x14ac:dyDescent="0.25">
      <c r="A159" s="3" t="str">
        <f t="shared" ca="1" si="26"/>
        <v/>
      </c>
      <c r="C159" s="16"/>
      <c r="G159" s="15">
        <f t="shared" ca="1" si="24"/>
        <v>42</v>
      </c>
      <c r="H159" s="15">
        <v>1</v>
      </c>
      <c r="I159" s="15" t="str">
        <f t="shared" ca="1" si="25"/>
        <v>I2C_Bridge_SFP</v>
      </c>
      <c r="J159" s="15" t="str">
        <f t="shared" ca="1" si="18"/>
        <v>I2C_Bridge_SFP!A42</v>
      </c>
      <c r="K159" s="15" t="str">
        <f t="shared" ca="1" si="19"/>
        <v>I2C_Bridge_SFP!B42</v>
      </c>
    </row>
    <row r="160" spans="1:16" x14ac:dyDescent="0.25">
      <c r="A160" s="3" t="str">
        <f t="shared" ca="1" si="26"/>
        <v/>
      </c>
      <c r="G160" s="15">
        <f t="shared" ca="1" si="24"/>
        <v>43</v>
      </c>
      <c r="H160" s="15">
        <v>1</v>
      </c>
      <c r="I160" s="15" t="str">
        <f t="shared" ca="1" si="25"/>
        <v>I2C_Bridge_SFP</v>
      </c>
      <c r="J160" s="15" t="str">
        <f t="shared" ca="1" si="18"/>
        <v>I2C_Bridge_SFP!A43</v>
      </c>
      <c r="K160" s="15" t="str">
        <f t="shared" ca="1" si="19"/>
        <v>I2C_Bridge_SFP!B43</v>
      </c>
    </row>
    <row r="161" spans="1:16" x14ac:dyDescent="0.25">
      <c r="A161" s="3" t="str">
        <f t="shared" ca="1" si="26"/>
        <v/>
      </c>
      <c r="G161" s="15">
        <f t="shared" ca="1" si="24"/>
        <v>44</v>
      </c>
      <c r="H161" s="15">
        <v>1</v>
      </c>
      <c r="I161" s="15" t="str">
        <f t="shared" ca="1" si="25"/>
        <v>I2C_Bridge_SFP</v>
      </c>
      <c r="J161" s="15" t="str">
        <f t="shared" ca="1" si="18"/>
        <v>I2C_Bridge_SFP!A44</v>
      </c>
      <c r="K161" s="15" t="str">
        <f t="shared" ca="1" si="19"/>
        <v>I2C_Bridge_SFP!B44</v>
      </c>
    </row>
    <row r="162" spans="1:16" x14ac:dyDescent="0.25">
      <c r="A162" s="3" t="str">
        <f t="shared" ca="1" si="26"/>
        <v/>
      </c>
      <c r="G162" s="15">
        <f t="shared" ca="1" si="24"/>
        <v>45</v>
      </c>
      <c r="H162" s="15">
        <v>1</v>
      </c>
      <c r="I162" s="15" t="str">
        <f t="shared" ca="1" si="25"/>
        <v>I2C_Bridge_SFP</v>
      </c>
      <c r="J162" s="15" t="str">
        <f t="shared" ca="1" si="18"/>
        <v>I2C_Bridge_SFP!A45</v>
      </c>
      <c r="K162" s="15" t="str">
        <f t="shared" ca="1" si="19"/>
        <v>I2C_Bridge_SFP!B45</v>
      </c>
    </row>
    <row r="163" spans="1:16" x14ac:dyDescent="0.25">
      <c r="A163" s="3" t="str">
        <f t="shared" ca="1" si="26"/>
        <v/>
      </c>
      <c r="G163" s="15">
        <f t="shared" ca="1" si="24"/>
        <v>46</v>
      </c>
      <c r="H163" s="15">
        <v>1</v>
      </c>
      <c r="I163" s="15" t="str">
        <f t="shared" ca="1" si="25"/>
        <v>I2C_Bridge_SFP</v>
      </c>
      <c r="J163" s="15" t="str">
        <f t="shared" ca="1" si="18"/>
        <v>I2C_Bridge_SFP!A46</v>
      </c>
      <c r="K163" s="15" t="str">
        <f t="shared" ca="1" si="19"/>
        <v>I2C_Bridge_SFP!B46</v>
      </c>
    </row>
    <row r="164" spans="1:16" x14ac:dyDescent="0.25">
      <c r="A164" s="3" t="str">
        <f t="shared" ca="1" si="26"/>
        <v/>
      </c>
      <c r="G164" s="15">
        <f t="shared" ca="1" si="24"/>
        <v>47</v>
      </c>
      <c r="H164" s="15">
        <v>1</v>
      </c>
      <c r="I164" s="15" t="str">
        <f t="shared" ca="1" si="25"/>
        <v>I2C_Bridge_SFP</v>
      </c>
      <c r="J164" s="15" t="str">
        <f t="shared" ca="1" si="18"/>
        <v>I2C_Bridge_SFP!A47</v>
      </c>
      <c r="K164" s="15" t="str">
        <f t="shared" ca="1" si="19"/>
        <v>I2C_Bridge_SFP!B47</v>
      </c>
    </row>
    <row r="165" spans="1:16" x14ac:dyDescent="0.25">
      <c r="A165" s="3" t="str">
        <f t="shared" ca="1" si="26"/>
        <v/>
      </c>
      <c r="G165" s="15">
        <f t="shared" ca="1" si="24"/>
        <v>48</v>
      </c>
      <c r="H165" s="15">
        <v>1</v>
      </c>
      <c r="I165" s="15" t="str">
        <f t="shared" ca="1" si="25"/>
        <v>I2C_Bridge_SFP</v>
      </c>
      <c r="J165" s="15" t="str">
        <f t="shared" ca="1" si="18"/>
        <v>I2C_Bridge_SFP!A48</v>
      </c>
      <c r="K165" s="15" t="str">
        <f t="shared" ca="1" si="19"/>
        <v>I2C_Bridge_SFP!B48</v>
      </c>
    </row>
    <row r="166" spans="1:16" x14ac:dyDescent="0.25">
      <c r="A166" s="3" t="str">
        <f t="shared" ca="1" si="26"/>
        <v/>
      </c>
      <c r="G166" s="15">
        <f t="shared" ca="1" si="24"/>
        <v>49</v>
      </c>
      <c r="H166" s="15">
        <v>1</v>
      </c>
      <c r="I166" s="15" t="str">
        <f t="shared" ca="1" si="25"/>
        <v>I2C_Bridge_SFP</v>
      </c>
      <c r="J166" s="15" t="str">
        <f t="shared" ca="1" si="18"/>
        <v>I2C_Bridge_SFP!A49</v>
      </c>
      <c r="K166" s="15" t="str">
        <f t="shared" ca="1" si="19"/>
        <v>I2C_Bridge_SFP!B49</v>
      </c>
    </row>
    <row r="167" spans="1:16" x14ac:dyDescent="0.25">
      <c r="A167" s="3" t="str">
        <f t="shared" ca="1" si="26"/>
        <v/>
      </c>
      <c r="G167" s="15">
        <f t="shared" ca="1" si="24"/>
        <v>50</v>
      </c>
      <c r="H167" s="15">
        <v>1</v>
      </c>
      <c r="I167" s="15" t="str">
        <f t="shared" ca="1" si="25"/>
        <v>I2C_Bridge_SFP</v>
      </c>
      <c r="J167" s="15" t="str">
        <f t="shared" ca="1" si="18"/>
        <v>I2C_Bridge_SFP!A50</v>
      </c>
      <c r="K167" s="15" t="str">
        <f t="shared" ca="1" si="19"/>
        <v>I2C_Bridge_SFP!B50</v>
      </c>
    </row>
    <row r="168" spans="1:16" x14ac:dyDescent="0.25">
      <c r="A168" s="3" t="str">
        <f t="shared" ca="1" si="26"/>
        <v xml:space="preserve">#I2C_Bridge_GPIO:exp_group_0x =  </v>
      </c>
      <c r="G168" s="15">
        <f ca="1">INDIRECT(M168)</f>
        <v>51</v>
      </c>
      <c r="H168" s="15">
        <v>1</v>
      </c>
      <c r="I168" s="15" t="str">
        <f ca="1">INDIRECT(N168)</f>
        <v>I2C_Bridge_GPIO</v>
      </c>
      <c r="J168" s="15" t="str">
        <f t="shared" ca="1" si="18"/>
        <v>I2C_Bridge_GPIO!A51</v>
      </c>
      <c r="K168" s="15" t="str">
        <f t="shared" ca="1" si="19"/>
        <v>I2C_Bridge_GPIO!B51</v>
      </c>
      <c r="M168" s="15" t="str">
        <f>ADDRESS(O168,3,4,1,$R$1)</f>
        <v>konfig!C10</v>
      </c>
      <c r="N168" s="15" t="str">
        <f>ADDRESS(O168,1,4,1,$R$1)</f>
        <v>konfig!A10</v>
      </c>
      <c r="O168" s="15">
        <v>10</v>
      </c>
      <c r="P168" s="15">
        <v>4</v>
      </c>
    </row>
    <row r="169" spans="1:16" x14ac:dyDescent="0.25">
      <c r="A169" s="3" t="str">
        <f t="shared" ca="1" si="26"/>
        <v xml:space="preserve">device = TCA9548 </v>
      </c>
      <c r="G169" s="15">
        <f ca="1">G168+1</f>
        <v>52</v>
      </c>
      <c r="H169" s="15">
        <v>1</v>
      </c>
      <c r="I169" s="15" t="str">
        <f ca="1">I168</f>
        <v>I2C_Bridge_GPIO</v>
      </c>
      <c r="J169" s="15" t="str">
        <f t="shared" ca="1" si="18"/>
        <v>I2C_Bridge_GPIO!A52</v>
      </c>
      <c r="K169" s="15" t="str">
        <f t="shared" ca="1" si="19"/>
        <v>I2C_Bridge_GPIO!B52</v>
      </c>
    </row>
    <row r="170" spans="1:16" x14ac:dyDescent="0.25">
      <c r="A170" s="3" t="str">
        <f t="shared" ca="1" si="26"/>
        <v xml:space="preserve">i2c_addr = 0x73 </v>
      </c>
      <c r="G170" s="15">
        <f t="shared" ref="G170:G187" ca="1" si="27">G169+1</f>
        <v>53</v>
      </c>
      <c r="H170" s="15">
        <v>1</v>
      </c>
      <c r="I170" s="15" t="str">
        <f t="shared" ref="I170:I187" ca="1" si="28">I169</f>
        <v>I2C_Bridge_GPIO</v>
      </c>
      <c r="J170" s="15" t="str">
        <f t="shared" ca="1" si="18"/>
        <v>I2C_Bridge_GPIO!A53</v>
      </c>
      <c r="K170" s="15" t="str">
        <f t="shared" ca="1" si="19"/>
        <v>I2C_Bridge_GPIO!B53</v>
      </c>
    </row>
    <row r="171" spans="1:16" x14ac:dyDescent="0.25">
      <c r="A171" s="3" t="str">
        <f t="shared" ca="1" si="26"/>
        <v xml:space="preserve">i2c_num = /dev/i2c-1 </v>
      </c>
      <c r="C171" s="16"/>
      <c r="G171" s="15">
        <f t="shared" ca="1" si="27"/>
        <v>54</v>
      </c>
      <c r="H171" s="15">
        <v>1</v>
      </c>
      <c r="I171" s="15" t="str">
        <f t="shared" ca="1" si="28"/>
        <v>I2C_Bridge_GPIO</v>
      </c>
      <c r="J171" s="15" t="str">
        <f t="shared" ca="1" si="18"/>
        <v>I2C_Bridge_GPIO!A54</v>
      </c>
      <c r="K171" s="15" t="str">
        <f t="shared" ca="1" si="19"/>
        <v>I2C_Bridge_GPIO!B54</v>
      </c>
    </row>
    <row r="172" spans="1:16" x14ac:dyDescent="0.25">
      <c r="A172" s="3" t="str">
        <f t="shared" ca="1" si="26"/>
        <v xml:space="preserve">ctrl_reg = 0x01 </v>
      </c>
      <c r="G172" s="15">
        <f t="shared" ca="1" si="27"/>
        <v>55</v>
      </c>
      <c r="H172" s="15">
        <v>1</v>
      </c>
      <c r="I172" s="15" t="str">
        <f t="shared" ca="1" si="28"/>
        <v>I2C_Bridge_GPIO</v>
      </c>
      <c r="J172" s="15" t="str">
        <f t="shared" ref="J172:J235" ca="1" si="29">ADDRESS(G172,H172,4,1,I172)</f>
        <v>I2C_Bridge_GPIO!A55</v>
      </c>
      <c r="K172" s="15" t="str">
        <f t="shared" ref="K172:K235" ca="1" si="30">ADDRESS(G172,H172+1,4,1,I172)</f>
        <v>I2C_Bridge_GPIO!B55</v>
      </c>
    </row>
    <row r="173" spans="1:16" x14ac:dyDescent="0.25">
      <c r="A173" s="3" t="str">
        <f t="shared" ca="1" si="26"/>
        <v/>
      </c>
      <c r="G173" s="15">
        <f t="shared" ca="1" si="27"/>
        <v>56</v>
      </c>
      <c r="H173" s="15">
        <v>1</v>
      </c>
      <c r="I173" s="15" t="str">
        <f t="shared" ca="1" si="28"/>
        <v>I2C_Bridge_GPIO</v>
      </c>
      <c r="J173" s="15" t="str">
        <f t="shared" ca="1" si="29"/>
        <v>I2C_Bridge_GPIO!A56</v>
      </c>
      <c r="K173" s="15" t="str">
        <f t="shared" ca="1" si="30"/>
        <v>I2C_Bridge_GPIO!B56</v>
      </c>
    </row>
    <row r="174" spans="1:16" x14ac:dyDescent="0.25">
      <c r="A174" s="3" t="str">
        <f t="shared" ca="1" si="26"/>
        <v xml:space="preserve">time = 10 </v>
      </c>
      <c r="G174" s="15">
        <f t="shared" ca="1" si="27"/>
        <v>57</v>
      </c>
      <c r="H174" s="15">
        <v>1</v>
      </c>
      <c r="I174" s="15" t="str">
        <f t="shared" ca="1" si="28"/>
        <v>I2C_Bridge_GPIO</v>
      </c>
      <c r="J174" s="15" t="str">
        <f t="shared" ca="1" si="29"/>
        <v>I2C_Bridge_GPIO!A57</v>
      </c>
      <c r="K174" s="15" t="str">
        <f t="shared" ca="1" si="30"/>
        <v>I2C_Bridge_GPIO!B57</v>
      </c>
    </row>
    <row r="175" spans="1:16" x14ac:dyDescent="0.25">
      <c r="A175" s="3" t="str">
        <f t="shared" ca="1" si="26"/>
        <v/>
      </c>
      <c r="G175" s="15">
        <f t="shared" ca="1" si="27"/>
        <v>58</v>
      </c>
      <c r="H175" s="15">
        <v>1</v>
      </c>
      <c r="I175" s="15" t="str">
        <f t="shared" ca="1" si="28"/>
        <v>I2C_Bridge_GPIO</v>
      </c>
      <c r="J175" s="15" t="str">
        <f t="shared" ca="1" si="29"/>
        <v>I2C_Bridge_GPIO!A58</v>
      </c>
      <c r="K175" s="15" t="str">
        <f t="shared" ca="1" si="30"/>
        <v>I2C_Bridge_GPIO!B58</v>
      </c>
    </row>
    <row r="176" spans="1:16" x14ac:dyDescent="0.25">
      <c r="A176" s="3" t="str">
        <f t="shared" ca="1" si="26"/>
        <v/>
      </c>
      <c r="G176" s="15">
        <f t="shared" ca="1" si="27"/>
        <v>59</v>
      </c>
      <c r="H176" s="15">
        <v>1</v>
      </c>
      <c r="I176" s="15" t="str">
        <f t="shared" ca="1" si="28"/>
        <v>I2C_Bridge_GPIO</v>
      </c>
      <c r="J176" s="15" t="str">
        <f t="shared" ca="1" si="29"/>
        <v>I2C_Bridge_GPIO!A59</v>
      </c>
      <c r="K176" s="15" t="str">
        <f t="shared" ca="1" si="30"/>
        <v>I2C_Bridge_GPIO!B59</v>
      </c>
    </row>
    <row r="177" spans="1:16" x14ac:dyDescent="0.25">
      <c r="A177" s="3" t="str">
        <f t="shared" ca="1" si="26"/>
        <v/>
      </c>
      <c r="G177" s="15">
        <f t="shared" ca="1" si="27"/>
        <v>60</v>
      </c>
      <c r="H177" s="15">
        <v>1</v>
      </c>
      <c r="I177" s="15" t="str">
        <f t="shared" ca="1" si="28"/>
        <v>I2C_Bridge_GPIO</v>
      </c>
      <c r="J177" s="15" t="str">
        <f t="shared" ca="1" si="29"/>
        <v>I2C_Bridge_GPIO!A60</v>
      </c>
      <c r="K177" s="15" t="str">
        <f t="shared" ca="1" si="30"/>
        <v>I2C_Bridge_GPIO!B60</v>
      </c>
    </row>
    <row r="178" spans="1:16" x14ac:dyDescent="0.25">
      <c r="A178" s="3" t="str">
        <f t="shared" ca="1" si="26"/>
        <v/>
      </c>
      <c r="G178" s="15">
        <f t="shared" ca="1" si="27"/>
        <v>61</v>
      </c>
      <c r="H178" s="15">
        <v>1</v>
      </c>
      <c r="I178" s="15" t="str">
        <f t="shared" ca="1" si="28"/>
        <v>I2C_Bridge_GPIO</v>
      </c>
      <c r="J178" s="15" t="str">
        <f t="shared" ca="1" si="29"/>
        <v>I2C_Bridge_GPIO!A61</v>
      </c>
      <c r="K178" s="15" t="str">
        <f t="shared" ca="1" si="30"/>
        <v>I2C_Bridge_GPIO!B61</v>
      </c>
    </row>
    <row r="179" spans="1:16" x14ac:dyDescent="0.25">
      <c r="A179" s="3" t="str">
        <f t="shared" ca="1" si="26"/>
        <v/>
      </c>
      <c r="C179" s="16"/>
      <c r="G179" s="15">
        <f t="shared" ca="1" si="27"/>
        <v>62</v>
      </c>
      <c r="H179" s="15">
        <v>1</v>
      </c>
      <c r="I179" s="15" t="str">
        <f t="shared" ca="1" si="28"/>
        <v>I2C_Bridge_GPIO</v>
      </c>
      <c r="J179" s="15" t="str">
        <f t="shared" ca="1" si="29"/>
        <v>I2C_Bridge_GPIO!A62</v>
      </c>
      <c r="K179" s="15" t="str">
        <f t="shared" ca="1" si="30"/>
        <v>I2C_Bridge_GPIO!B62</v>
      </c>
    </row>
    <row r="180" spans="1:16" x14ac:dyDescent="0.25">
      <c r="A180" s="3" t="str">
        <f t="shared" ca="1" si="26"/>
        <v/>
      </c>
      <c r="G180" s="15">
        <f t="shared" ca="1" si="27"/>
        <v>63</v>
      </c>
      <c r="H180" s="15">
        <v>1</v>
      </c>
      <c r="I180" s="15" t="str">
        <f t="shared" ca="1" si="28"/>
        <v>I2C_Bridge_GPIO</v>
      </c>
      <c r="J180" s="15" t="str">
        <f t="shared" ca="1" si="29"/>
        <v>I2C_Bridge_GPIO!A63</v>
      </c>
      <c r="K180" s="15" t="str">
        <f t="shared" ca="1" si="30"/>
        <v>I2C_Bridge_GPIO!B63</v>
      </c>
    </row>
    <row r="181" spans="1:16" x14ac:dyDescent="0.25">
      <c r="A181" s="3" t="str">
        <f t="shared" ca="1" si="26"/>
        <v/>
      </c>
      <c r="G181" s="15">
        <f t="shared" ca="1" si="27"/>
        <v>64</v>
      </c>
      <c r="H181" s="15">
        <v>1</v>
      </c>
      <c r="I181" s="15" t="str">
        <f t="shared" ca="1" si="28"/>
        <v>I2C_Bridge_GPIO</v>
      </c>
      <c r="J181" s="15" t="str">
        <f t="shared" ca="1" si="29"/>
        <v>I2C_Bridge_GPIO!A64</v>
      </c>
      <c r="K181" s="15" t="str">
        <f t="shared" ca="1" si="30"/>
        <v>I2C_Bridge_GPIO!B64</v>
      </c>
    </row>
    <row r="182" spans="1:16" x14ac:dyDescent="0.25">
      <c r="A182" s="3" t="str">
        <f t="shared" ca="1" si="26"/>
        <v/>
      </c>
      <c r="G182" s="15">
        <f t="shared" ca="1" si="27"/>
        <v>65</v>
      </c>
      <c r="H182" s="15">
        <v>1</v>
      </c>
      <c r="I182" s="15" t="str">
        <f t="shared" ca="1" si="28"/>
        <v>I2C_Bridge_GPIO</v>
      </c>
      <c r="J182" s="15" t="str">
        <f t="shared" ca="1" si="29"/>
        <v>I2C_Bridge_GPIO!A65</v>
      </c>
      <c r="K182" s="15" t="str">
        <f t="shared" ca="1" si="30"/>
        <v>I2C_Bridge_GPIO!B65</v>
      </c>
    </row>
    <row r="183" spans="1:16" x14ac:dyDescent="0.25">
      <c r="A183" s="3" t="str">
        <f t="shared" ca="1" si="26"/>
        <v/>
      </c>
      <c r="G183" s="15">
        <f t="shared" ca="1" si="27"/>
        <v>66</v>
      </c>
      <c r="H183" s="15">
        <v>1</v>
      </c>
      <c r="I183" s="15" t="str">
        <f t="shared" ca="1" si="28"/>
        <v>I2C_Bridge_GPIO</v>
      </c>
      <c r="J183" s="15" t="str">
        <f t="shared" ca="1" si="29"/>
        <v>I2C_Bridge_GPIO!A66</v>
      </c>
      <c r="K183" s="15" t="str">
        <f t="shared" ca="1" si="30"/>
        <v>I2C_Bridge_GPIO!B66</v>
      </c>
    </row>
    <row r="184" spans="1:16" x14ac:dyDescent="0.25">
      <c r="A184" s="3" t="str">
        <f t="shared" ca="1" si="26"/>
        <v/>
      </c>
      <c r="G184" s="15">
        <f t="shared" ca="1" si="27"/>
        <v>67</v>
      </c>
      <c r="H184" s="15">
        <v>1</v>
      </c>
      <c r="I184" s="15" t="str">
        <f t="shared" ca="1" si="28"/>
        <v>I2C_Bridge_GPIO</v>
      </c>
      <c r="J184" s="15" t="str">
        <f t="shared" ca="1" si="29"/>
        <v>I2C_Bridge_GPIO!A67</v>
      </c>
      <c r="K184" s="15" t="str">
        <f t="shared" ca="1" si="30"/>
        <v>I2C_Bridge_GPIO!B67</v>
      </c>
    </row>
    <row r="185" spans="1:16" x14ac:dyDescent="0.25">
      <c r="A185" s="3" t="str">
        <f t="shared" ca="1" si="26"/>
        <v/>
      </c>
      <c r="G185" s="15">
        <f t="shared" ca="1" si="27"/>
        <v>68</v>
      </c>
      <c r="H185" s="15">
        <v>1</v>
      </c>
      <c r="I185" s="15" t="str">
        <f t="shared" ca="1" si="28"/>
        <v>I2C_Bridge_GPIO</v>
      </c>
      <c r="J185" s="15" t="str">
        <f t="shared" ca="1" si="29"/>
        <v>I2C_Bridge_GPIO!A68</v>
      </c>
      <c r="K185" s="15" t="str">
        <f t="shared" ca="1" si="30"/>
        <v>I2C_Bridge_GPIO!B68</v>
      </c>
    </row>
    <row r="186" spans="1:16" x14ac:dyDescent="0.25">
      <c r="A186" s="3" t="str">
        <f t="shared" ca="1" si="26"/>
        <v/>
      </c>
      <c r="G186" s="15">
        <f t="shared" ca="1" si="27"/>
        <v>69</v>
      </c>
      <c r="H186" s="15">
        <v>1</v>
      </c>
      <c r="I186" s="15" t="str">
        <f t="shared" ca="1" si="28"/>
        <v>I2C_Bridge_GPIO</v>
      </c>
      <c r="J186" s="15" t="str">
        <f t="shared" ca="1" si="29"/>
        <v>I2C_Bridge_GPIO!A69</v>
      </c>
      <c r="K186" s="15" t="str">
        <f t="shared" ca="1" si="30"/>
        <v>I2C_Bridge_GPIO!B69</v>
      </c>
    </row>
    <row r="187" spans="1:16" x14ac:dyDescent="0.25">
      <c r="A187" s="3" t="str">
        <f t="shared" ca="1" si="26"/>
        <v/>
      </c>
      <c r="G187" s="15">
        <f t="shared" ca="1" si="27"/>
        <v>70</v>
      </c>
      <c r="H187" s="15">
        <v>1</v>
      </c>
      <c r="I187" s="15" t="str">
        <f t="shared" ca="1" si="28"/>
        <v>I2C_Bridge_GPIO</v>
      </c>
      <c r="J187" s="15" t="str">
        <f t="shared" ca="1" si="29"/>
        <v>I2C_Bridge_GPIO!A70</v>
      </c>
      <c r="K187" s="15" t="str">
        <f t="shared" ca="1" si="30"/>
        <v>I2C_Bridge_GPIO!B70</v>
      </c>
    </row>
    <row r="188" spans="1:16" x14ac:dyDescent="0.25">
      <c r="A188" s="3" t="str">
        <f t="shared" ca="1" si="26"/>
        <v xml:space="preserve">#I2C_Bridge_GPIO:exp_group_0x =  </v>
      </c>
      <c r="G188" s="15">
        <f ca="1">INDIRECT(M188)</f>
        <v>51</v>
      </c>
      <c r="H188" s="15">
        <v>1</v>
      </c>
      <c r="I188" s="15" t="str">
        <f ca="1">INDIRECT(N188)</f>
        <v>I2C_Bridge_GPIO</v>
      </c>
      <c r="J188" s="15" t="str">
        <f t="shared" ca="1" si="29"/>
        <v>I2C_Bridge_GPIO!A51</v>
      </c>
      <c r="K188" s="15" t="str">
        <f t="shared" ca="1" si="30"/>
        <v>I2C_Bridge_GPIO!B51</v>
      </c>
      <c r="M188" s="15" t="str">
        <f>ADDRESS(O188,3,4,1,$R$1)</f>
        <v>konfig!C11</v>
      </c>
      <c r="N188" s="15" t="str">
        <f>ADDRESS(O188,1,4,1,$R$1)</f>
        <v>konfig!A11</v>
      </c>
      <c r="O188" s="15">
        <v>11</v>
      </c>
      <c r="P188" s="15">
        <v>4</v>
      </c>
    </row>
    <row r="189" spans="1:16" x14ac:dyDescent="0.25">
      <c r="A189" s="3" t="str">
        <f t="shared" ca="1" si="26"/>
        <v xml:space="preserve">device = TCA9548 </v>
      </c>
      <c r="G189" s="15">
        <f ca="1">G188+1</f>
        <v>52</v>
      </c>
      <c r="H189" s="15">
        <v>1</v>
      </c>
      <c r="I189" s="15" t="str">
        <f ca="1">I188</f>
        <v>I2C_Bridge_GPIO</v>
      </c>
      <c r="J189" s="15" t="str">
        <f t="shared" ca="1" si="29"/>
        <v>I2C_Bridge_GPIO!A52</v>
      </c>
      <c r="K189" s="15" t="str">
        <f t="shared" ca="1" si="30"/>
        <v>I2C_Bridge_GPIO!B52</v>
      </c>
    </row>
    <row r="190" spans="1:16" x14ac:dyDescent="0.25">
      <c r="A190" s="3" t="str">
        <f t="shared" ca="1" si="26"/>
        <v xml:space="preserve">i2c_addr = 0x73 </v>
      </c>
      <c r="G190" s="15">
        <f t="shared" ref="G190:G207" ca="1" si="31">G189+1</f>
        <v>53</v>
      </c>
      <c r="H190" s="15">
        <v>1</v>
      </c>
      <c r="I190" s="15" t="str">
        <f t="shared" ref="I190:I207" ca="1" si="32">I189</f>
        <v>I2C_Bridge_GPIO</v>
      </c>
      <c r="J190" s="15" t="str">
        <f t="shared" ca="1" si="29"/>
        <v>I2C_Bridge_GPIO!A53</v>
      </c>
      <c r="K190" s="15" t="str">
        <f t="shared" ca="1" si="30"/>
        <v>I2C_Bridge_GPIO!B53</v>
      </c>
    </row>
    <row r="191" spans="1:16" x14ac:dyDescent="0.25">
      <c r="A191" s="3" t="str">
        <f t="shared" ca="1" si="26"/>
        <v xml:space="preserve">i2c_num = /dev/i2c-1 </v>
      </c>
      <c r="C191" s="16"/>
      <c r="G191" s="15">
        <f t="shared" ca="1" si="31"/>
        <v>54</v>
      </c>
      <c r="H191" s="15">
        <v>1</v>
      </c>
      <c r="I191" s="15" t="str">
        <f t="shared" ca="1" si="32"/>
        <v>I2C_Bridge_GPIO</v>
      </c>
      <c r="J191" s="15" t="str">
        <f t="shared" ca="1" si="29"/>
        <v>I2C_Bridge_GPIO!A54</v>
      </c>
      <c r="K191" s="15" t="str">
        <f t="shared" ca="1" si="30"/>
        <v>I2C_Bridge_GPIO!B54</v>
      </c>
    </row>
    <row r="192" spans="1:16" x14ac:dyDescent="0.25">
      <c r="A192" s="3" t="str">
        <f t="shared" ca="1" si="26"/>
        <v xml:space="preserve">ctrl_reg = 0x01 </v>
      </c>
      <c r="G192" s="15">
        <f t="shared" ca="1" si="31"/>
        <v>55</v>
      </c>
      <c r="H192" s="15">
        <v>1</v>
      </c>
      <c r="I192" s="15" t="str">
        <f t="shared" ca="1" si="32"/>
        <v>I2C_Bridge_GPIO</v>
      </c>
      <c r="J192" s="15" t="str">
        <f t="shared" ca="1" si="29"/>
        <v>I2C_Bridge_GPIO!A55</v>
      </c>
      <c r="K192" s="15" t="str">
        <f t="shared" ca="1" si="30"/>
        <v>I2C_Bridge_GPIO!B55</v>
      </c>
    </row>
    <row r="193" spans="1:16" x14ac:dyDescent="0.25">
      <c r="A193" s="3" t="str">
        <f t="shared" ca="1" si="26"/>
        <v/>
      </c>
      <c r="G193" s="15">
        <f t="shared" ca="1" si="31"/>
        <v>56</v>
      </c>
      <c r="H193" s="15">
        <v>1</v>
      </c>
      <c r="I193" s="15" t="str">
        <f t="shared" ca="1" si="32"/>
        <v>I2C_Bridge_GPIO</v>
      </c>
      <c r="J193" s="15" t="str">
        <f t="shared" ca="1" si="29"/>
        <v>I2C_Bridge_GPIO!A56</v>
      </c>
      <c r="K193" s="15" t="str">
        <f t="shared" ca="1" si="30"/>
        <v>I2C_Bridge_GPIO!B56</v>
      </c>
    </row>
    <row r="194" spans="1:16" x14ac:dyDescent="0.25">
      <c r="A194" s="3" t="str">
        <f t="shared" ca="1" si="26"/>
        <v xml:space="preserve">time = 10 </v>
      </c>
      <c r="G194" s="15">
        <f t="shared" ca="1" si="31"/>
        <v>57</v>
      </c>
      <c r="H194" s="15">
        <v>1</v>
      </c>
      <c r="I194" s="15" t="str">
        <f t="shared" ca="1" si="32"/>
        <v>I2C_Bridge_GPIO</v>
      </c>
      <c r="J194" s="15" t="str">
        <f t="shared" ca="1" si="29"/>
        <v>I2C_Bridge_GPIO!A57</v>
      </c>
      <c r="K194" s="15" t="str">
        <f t="shared" ca="1" si="30"/>
        <v>I2C_Bridge_GPIO!B57</v>
      </c>
    </row>
    <row r="195" spans="1:16" x14ac:dyDescent="0.25">
      <c r="A195" s="3" t="str">
        <f t="shared" ca="1" si="26"/>
        <v/>
      </c>
      <c r="G195" s="15">
        <f t="shared" ca="1" si="31"/>
        <v>58</v>
      </c>
      <c r="H195" s="15">
        <v>1</v>
      </c>
      <c r="I195" s="15" t="str">
        <f t="shared" ca="1" si="32"/>
        <v>I2C_Bridge_GPIO</v>
      </c>
      <c r="J195" s="15" t="str">
        <f t="shared" ca="1" si="29"/>
        <v>I2C_Bridge_GPIO!A58</v>
      </c>
      <c r="K195" s="15" t="str">
        <f t="shared" ca="1" si="30"/>
        <v>I2C_Bridge_GPIO!B58</v>
      </c>
    </row>
    <row r="196" spans="1:16" x14ac:dyDescent="0.25">
      <c r="A196" s="3" t="str">
        <f t="shared" ca="1" si="26"/>
        <v/>
      </c>
      <c r="G196" s="15">
        <f t="shared" ca="1" si="31"/>
        <v>59</v>
      </c>
      <c r="H196" s="15">
        <v>1</v>
      </c>
      <c r="I196" s="15" t="str">
        <f t="shared" ca="1" si="32"/>
        <v>I2C_Bridge_GPIO</v>
      </c>
      <c r="J196" s="15" t="str">
        <f t="shared" ca="1" si="29"/>
        <v>I2C_Bridge_GPIO!A59</v>
      </c>
      <c r="K196" s="15" t="str">
        <f t="shared" ca="1" si="30"/>
        <v>I2C_Bridge_GPIO!B59</v>
      </c>
    </row>
    <row r="197" spans="1:16" x14ac:dyDescent="0.25">
      <c r="A197" s="3" t="str">
        <f t="shared" ca="1" si="26"/>
        <v/>
      </c>
      <c r="G197" s="15">
        <f t="shared" ca="1" si="31"/>
        <v>60</v>
      </c>
      <c r="H197" s="15">
        <v>1</v>
      </c>
      <c r="I197" s="15" t="str">
        <f t="shared" ca="1" si="32"/>
        <v>I2C_Bridge_GPIO</v>
      </c>
      <c r="J197" s="15" t="str">
        <f t="shared" ca="1" si="29"/>
        <v>I2C_Bridge_GPIO!A60</v>
      </c>
      <c r="K197" s="15" t="str">
        <f t="shared" ca="1" si="30"/>
        <v>I2C_Bridge_GPIO!B60</v>
      </c>
    </row>
    <row r="198" spans="1:16" x14ac:dyDescent="0.25">
      <c r="A198" s="3" t="str">
        <f t="shared" ca="1" si="26"/>
        <v/>
      </c>
      <c r="G198" s="15">
        <f t="shared" ca="1" si="31"/>
        <v>61</v>
      </c>
      <c r="H198" s="15">
        <v>1</v>
      </c>
      <c r="I198" s="15" t="str">
        <f t="shared" ca="1" si="32"/>
        <v>I2C_Bridge_GPIO</v>
      </c>
      <c r="J198" s="15" t="str">
        <f t="shared" ca="1" si="29"/>
        <v>I2C_Bridge_GPIO!A61</v>
      </c>
      <c r="K198" s="15" t="str">
        <f t="shared" ca="1" si="30"/>
        <v>I2C_Bridge_GPIO!B61</v>
      </c>
    </row>
    <row r="199" spans="1:16" x14ac:dyDescent="0.25">
      <c r="A199" s="3" t="str">
        <f t="shared" ca="1" si="26"/>
        <v/>
      </c>
      <c r="C199" s="16"/>
      <c r="G199" s="15">
        <f t="shared" ca="1" si="31"/>
        <v>62</v>
      </c>
      <c r="H199" s="15">
        <v>1</v>
      </c>
      <c r="I199" s="15" t="str">
        <f t="shared" ca="1" si="32"/>
        <v>I2C_Bridge_GPIO</v>
      </c>
      <c r="J199" s="15" t="str">
        <f t="shared" ca="1" si="29"/>
        <v>I2C_Bridge_GPIO!A62</v>
      </c>
      <c r="K199" s="15" t="str">
        <f t="shared" ca="1" si="30"/>
        <v>I2C_Bridge_GPIO!B62</v>
      </c>
    </row>
    <row r="200" spans="1:16" x14ac:dyDescent="0.25">
      <c r="A200" s="3" t="str">
        <f t="shared" ca="1" si="26"/>
        <v/>
      </c>
      <c r="G200" s="15">
        <f t="shared" ca="1" si="31"/>
        <v>63</v>
      </c>
      <c r="H200" s="15">
        <v>1</v>
      </c>
      <c r="I200" s="15" t="str">
        <f t="shared" ca="1" si="32"/>
        <v>I2C_Bridge_GPIO</v>
      </c>
      <c r="J200" s="15" t="str">
        <f t="shared" ca="1" si="29"/>
        <v>I2C_Bridge_GPIO!A63</v>
      </c>
      <c r="K200" s="15" t="str">
        <f t="shared" ca="1" si="30"/>
        <v>I2C_Bridge_GPIO!B63</v>
      </c>
    </row>
    <row r="201" spans="1:16" x14ac:dyDescent="0.25">
      <c r="A201" s="3" t="str">
        <f t="shared" ca="1" si="26"/>
        <v/>
      </c>
      <c r="G201" s="15">
        <f t="shared" ca="1" si="31"/>
        <v>64</v>
      </c>
      <c r="H201" s="15">
        <v>1</v>
      </c>
      <c r="I201" s="15" t="str">
        <f t="shared" ca="1" si="32"/>
        <v>I2C_Bridge_GPIO</v>
      </c>
      <c r="J201" s="15" t="str">
        <f t="shared" ca="1" si="29"/>
        <v>I2C_Bridge_GPIO!A64</v>
      </c>
      <c r="K201" s="15" t="str">
        <f t="shared" ca="1" si="30"/>
        <v>I2C_Bridge_GPIO!B64</v>
      </c>
    </row>
    <row r="202" spans="1:16" x14ac:dyDescent="0.25">
      <c r="A202" s="3" t="str">
        <f t="shared" ca="1" si="26"/>
        <v/>
      </c>
      <c r="G202" s="15">
        <f t="shared" ca="1" si="31"/>
        <v>65</v>
      </c>
      <c r="H202" s="15">
        <v>1</v>
      </c>
      <c r="I202" s="15" t="str">
        <f t="shared" ca="1" si="32"/>
        <v>I2C_Bridge_GPIO</v>
      </c>
      <c r="J202" s="15" t="str">
        <f t="shared" ca="1" si="29"/>
        <v>I2C_Bridge_GPIO!A65</v>
      </c>
      <c r="K202" s="15" t="str">
        <f t="shared" ca="1" si="30"/>
        <v>I2C_Bridge_GPIO!B65</v>
      </c>
    </row>
    <row r="203" spans="1:16" x14ac:dyDescent="0.25">
      <c r="A203" s="3" t="str">
        <f t="shared" ca="1" si="26"/>
        <v/>
      </c>
      <c r="G203" s="15">
        <f t="shared" ca="1" si="31"/>
        <v>66</v>
      </c>
      <c r="H203" s="15">
        <v>1</v>
      </c>
      <c r="I203" s="15" t="str">
        <f t="shared" ca="1" si="32"/>
        <v>I2C_Bridge_GPIO</v>
      </c>
      <c r="J203" s="15" t="str">
        <f t="shared" ca="1" si="29"/>
        <v>I2C_Bridge_GPIO!A66</v>
      </c>
      <c r="K203" s="15" t="str">
        <f t="shared" ca="1" si="30"/>
        <v>I2C_Bridge_GPIO!B66</v>
      </c>
    </row>
    <row r="204" spans="1:16" x14ac:dyDescent="0.25">
      <c r="A204" s="3" t="str">
        <f t="shared" ca="1" si="26"/>
        <v/>
      </c>
      <c r="G204" s="15">
        <f t="shared" ca="1" si="31"/>
        <v>67</v>
      </c>
      <c r="H204" s="15">
        <v>1</v>
      </c>
      <c r="I204" s="15" t="str">
        <f t="shared" ca="1" si="32"/>
        <v>I2C_Bridge_GPIO</v>
      </c>
      <c r="J204" s="15" t="str">
        <f t="shared" ca="1" si="29"/>
        <v>I2C_Bridge_GPIO!A67</v>
      </c>
      <c r="K204" s="15" t="str">
        <f t="shared" ca="1" si="30"/>
        <v>I2C_Bridge_GPIO!B67</v>
      </c>
    </row>
    <row r="205" spans="1:16" x14ac:dyDescent="0.25">
      <c r="A205" s="3" t="str">
        <f t="shared" ca="1" si="26"/>
        <v/>
      </c>
      <c r="G205" s="15">
        <f t="shared" ca="1" si="31"/>
        <v>68</v>
      </c>
      <c r="H205" s="15">
        <v>1</v>
      </c>
      <c r="I205" s="15" t="str">
        <f t="shared" ca="1" si="32"/>
        <v>I2C_Bridge_GPIO</v>
      </c>
      <c r="J205" s="15" t="str">
        <f t="shared" ca="1" si="29"/>
        <v>I2C_Bridge_GPIO!A68</v>
      </c>
      <c r="K205" s="15" t="str">
        <f t="shared" ca="1" si="30"/>
        <v>I2C_Bridge_GPIO!B68</v>
      </c>
    </row>
    <row r="206" spans="1:16" x14ac:dyDescent="0.25">
      <c r="A206" s="3" t="str">
        <f t="shared" ca="1" si="26"/>
        <v/>
      </c>
      <c r="G206" s="15">
        <f t="shared" ca="1" si="31"/>
        <v>69</v>
      </c>
      <c r="H206" s="15">
        <v>1</v>
      </c>
      <c r="I206" s="15" t="str">
        <f t="shared" ca="1" si="32"/>
        <v>I2C_Bridge_GPIO</v>
      </c>
      <c r="J206" s="15" t="str">
        <f t="shared" ca="1" si="29"/>
        <v>I2C_Bridge_GPIO!A69</v>
      </c>
      <c r="K206" s="15" t="str">
        <f t="shared" ca="1" si="30"/>
        <v>I2C_Bridge_GPIO!B69</v>
      </c>
    </row>
    <row r="207" spans="1:16" x14ac:dyDescent="0.25">
      <c r="A207" s="3" t="str">
        <f t="shared" ca="1" si="26"/>
        <v/>
      </c>
      <c r="G207" s="15">
        <f t="shared" ca="1" si="31"/>
        <v>70</v>
      </c>
      <c r="H207" s="15">
        <v>1</v>
      </c>
      <c r="I207" s="15" t="str">
        <f t="shared" ca="1" si="32"/>
        <v>I2C_Bridge_GPIO</v>
      </c>
      <c r="J207" s="15" t="str">
        <f t="shared" ca="1" si="29"/>
        <v>I2C_Bridge_GPIO!A70</v>
      </c>
      <c r="K207" s="15" t="str">
        <f t="shared" ca="1" si="30"/>
        <v>I2C_Bridge_GPIO!B70</v>
      </c>
    </row>
    <row r="208" spans="1:16" x14ac:dyDescent="0.25">
      <c r="A208" s="3" t="str">
        <f t="shared" ca="1" si="26"/>
        <v xml:space="preserve">#I2C_Expander_00:wartość safe =  </v>
      </c>
      <c r="G208" s="15">
        <f ca="1">INDIRECT(M208)</f>
        <v>31</v>
      </c>
      <c r="H208" s="15">
        <v>1</v>
      </c>
      <c r="I208" s="15" t="str">
        <f ca="1">INDIRECT(N208)</f>
        <v>I2C_Expander_00</v>
      </c>
      <c r="J208" s="15" t="str">
        <f t="shared" ca="1" si="29"/>
        <v>I2C_Expander_00!A31</v>
      </c>
      <c r="K208" s="15" t="str">
        <f t="shared" ca="1" si="30"/>
        <v>I2C_Expander_00!B31</v>
      </c>
      <c r="M208" s="15" t="str">
        <f>ADDRESS(O208,3,4,1,$R$1)</f>
        <v>konfig!C12</v>
      </c>
      <c r="N208" s="15" t="str">
        <f>ADDRESS(O208,1,4,1,$R$1)</f>
        <v>konfig!A12</v>
      </c>
      <c r="O208" s="15">
        <v>12</v>
      </c>
      <c r="P208" s="15">
        <v>4</v>
      </c>
    </row>
    <row r="209" spans="1:11" x14ac:dyDescent="0.25">
      <c r="A209" s="3" t="str">
        <f t="shared" ca="1" si="26"/>
        <v xml:space="preserve">device = MCP23017 </v>
      </c>
      <c r="G209" s="15">
        <f ca="1">G208+1</f>
        <v>32</v>
      </c>
      <c r="H209" s="15">
        <v>1</v>
      </c>
      <c r="I209" s="15" t="str">
        <f ca="1">I208</f>
        <v>I2C_Expander_00</v>
      </c>
      <c r="J209" s="15" t="str">
        <f t="shared" ca="1" si="29"/>
        <v>I2C_Expander_00!A32</v>
      </c>
      <c r="K209" s="15" t="str">
        <f t="shared" ca="1" si="30"/>
        <v>I2C_Expander_00!B32</v>
      </c>
    </row>
    <row r="210" spans="1:11" x14ac:dyDescent="0.25">
      <c r="A210" s="3" t="str">
        <f t="shared" ca="1" si="26"/>
        <v xml:space="preserve">i2c_addr = 0x20 </v>
      </c>
      <c r="G210" s="15">
        <f t="shared" ref="G210:G227" ca="1" si="33">G209+1</f>
        <v>33</v>
      </c>
      <c r="H210" s="15">
        <v>1</v>
      </c>
      <c r="I210" s="15" t="str">
        <f t="shared" ref="I210:I227" ca="1" si="34">I209</f>
        <v>I2C_Expander_00</v>
      </c>
      <c r="J210" s="15" t="str">
        <f t="shared" ca="1" si="29"/>
        <v>I2C_Expander_00!A33</v>
      </c>
      <c r="K210" s="15" t="str">
        <f t="shared" ca="1" si="30"/>
        <v>I2C_Expander_00!B33</v>
      </c>
    </row>
    <row r="211" spans="1:11" x14ac:dyDescent="0.25">
      <c r="A211" s="3" t="str">
        <f t="shared" ca="1" si="26"/>
        <v xml:space="preserve">i2c_num = /dev/i2c-1 </v>
      </c>
      <c r="C211" s="16"/>
      <c r="G211" s="15">
        <f t="shared" ca="1" si="33"/>
        <v>34</v>
      </c>
      <c r="H211" s="15">
        <v>1</v>
      </c>
      <c r="I211" s="15" t="str">
        <f t="shared" ca="1" si="34"/>
        <v>I2C_Expander_00</v>
      </c>
      <c r="J211" s="15" t="str">
        <f t="shared" ca="1" si="29"/>
        <v>I2C_Expander_00!A34</v>
      </c>
      <c r="K211" s="15" t="str">
        <f t="shared" ca="1" si="30"/>
        <v>I2C_Expander_00!B34</v>
      </c>
    </row>
    <row r="212" spans="1:11" x14ac:dyDescent="0.25">
      <c r="A212" s="3" t="str">
        <f t="shared" ca="1" si="26"/>
        <v xml:space="preserve">pins_mode = 0xFFFB </v>
      </c>
      <c r="G212" s="15">
        <f t="shared" ca="1" si="33"/>
        <v>35</v>
      </c>
      <c r="H212" s="15">
        <v>1</v>
      </c>
      <c r="I212" s="15" t="str">
        <f t="shared" ca="1" si="34"/>
        <v>I2C_Expander_00</v>
      </c>
      <c r="J212" s="15" t="str">
        <f t="shared" ca="1" si="29"/>
        <v>I2C_Expander_00!A35</v>
      </c>
      <c r="K212" s="15" t="str">
        <f t="shared" ca="1" si="30"/>
        <v>I2C_Expander_00!B35</v>
      </c>
    </row>
    <row r="213" spans="1:11" x14ac:dyDescent="0.25">
      <c r="A213" s="3" t="str">
        <f t="shared" ca="1" si="26"/>
        <v xml:space="preserve">pins_state = 0x0000 </v>
      </c>
      <c r="G213" s="15">
        <f t="shared" ca="1" si="33"/>
        <v>36</v>
      </c>
      <c r="H213" s="15">
        <v>1</v>
      </c>
      <c r="I213" s="15" t="str">
        <f t="shared" ca="1" si="34"/>
        <v>I2C_Expander_00</v>
      </c>
      <c r="J213" s="15" t="str">
        <f t="shared" ca="1" si="29"/>
        <v>I2C_Expander_00!A36</v>
      </c>
      <c r="K213" s="15" t="str">
        <f t="shared" ca="1" si="30"/>
        <v>I2C_Expander_00!B36</v>
      </c>
    </row>
    <row r="214" spans="1:11" x14ac:dyDescent="0.25">
      <c r="A214" s="3" t="str">
        <f t="shared" ca="1" si="26"/>
        <v/>
      </c>
      <c r="G214" s="15">
        <f t="shared" ca="1" si="33"/>
        <v>37</v>
      </c>
      <c r="H214" s="15">
        <v>1</v>
      </c>
      <c r="I214" s="15" t="str">
        <f t="shared" ca="1" si="34"/>
        <v>I2C_Expander_00</v>
      </c>
      <c r="J214" s="15" t="str">
        <f t="shared" ca="1" si="29"/>
        <v>I2C_Expander_00!A37</v>
      </c>
      <c r="K214" s="15" t="str">
        <f t="shared" ca="1" si="30"/>
        <v>I2C_Expander_00!B37</v>
      </c>
    </row>
    <row r="215" spans="1:11" x14ac:dyDescent="0.25">
      <c r="A215" s="3" t="str">
        <f t="shared" ca="1" si="26"/>
        <v xml:space="preserve">time = 500 </v>
      </c>
      <c r="G215" s="15">
        <f t="shared" ca="1" si="33"/>
        <v>38</v>
      </c>
      <c r="H215" s="15">
        <v>1</v>
      </c>
      <c r="I215" s="15" t="str">
        <f t="shared" ca="1" si="34"/>
        <v>I2C_Expander_00</v>
      </c>
      <c r="J215" s="15" t="str">
        <f t="shared" ca="1" si="29"/>
        <v>I2C_Expander_00!A38</v>
      </c>
      <c r="K215" s="15" t="str">
        <f t="shared" ca="1" si="30"/>
        <v>I2C_Expander_00!B38</v>
      </c>
    </row>
    <row r="216" spans="1:11" x14ac:dyDescent="0.25">
      <c r="A216" s="3" t="str">
        <f t="shared" ca="1" si="26"/>
        <v/>
      </c>
      <c r="G216" s="15">
        <f t="shared" ca="1" si="33"/>
        <v>39</v>
      </c>
      <c r="H216" s="15">
        <v>1</v>
      </c>
      <c r="I216" s="15" t="str">
        <f t="shared" ca="1" si="34"/>
        <v>I2C_Expander_00</v>
      </c>
      <c r="J216" s="15" t="str">
        <f t="shared" ca="1" si="29"/>
        <v>I2C_Expander_00!A39</v>
      </c>
      <c r="K216" s="15" t="str">
        <f t="shared" ca="1" si="30"/>
        <v>I2C_Expander_00!B39</v>
      </c>
    </row>
    <row r="217" spans="1:11" x14ac:dyDescent="0.25">
      <c r="A217" s="3" t="str">
        <f t="shared" ca="1" si="26"/>
        <v/>
      </c>
      <c r="G217" s="15">
        <f t="shared" ca="1" si="33"/>
        <v>40</v>
      </c>
      <c r="H217" s="15">
        <v>1</v>
      </c>
      <c r="I217" s="15" t="str">
        <f t="shared" ca="1" si="34"/>
        <v>I2C_Expander_00</v>
      </c>
      <c r="J217" s="15" t="str">
        <f t="shared" ca="1" si="29"/>
        <v>I2C_Expander_00!A40</v>
      </c>
      <c r="K217" s="15" t="str">
        <f t="shared" ca="1" si="30"/>
        <v>I2C_Expander_00!B40</v>
      </c>
    </row>
    <row r="218" spans="1:11" x14ac:dyDescent="0.25">
      <c r="A218" s="3" t="str">
        <f t="shared" ca="1" si="26"/>
        <v/>
      </c>
      <c r="G218" s="15">
        <f t="shared" ca="1" si="33"/>
        <v>41</v>
      </c>
      <c r="H218" s="15">
        <v>1</v>
      </c>
      <c r="I218" s="15" t="str">
        <f t="shared" ca="1" si="34"/>
        <v>I2C_Expander_00</v>
      </c>
      <c r="J218" s="15" t="str">
        <f t="shared" ca="1" si="29"/>
        <v>I2C_Expander_00!A41</v>
      </c>
      <c r="K218" s="15" t="str">
        <f t="shared" ca="1" si="30"/>
        <v>I2C_Expander_00!B41</v>
      </c>
    </row>
    <row r="219" spans="1:11" x14ac:dyDescent="0.25">
      <c r="A219" s="3" t="str">
        <f t="shared" ca="1" si="26"/>
        <v/>
      </c>
      <c r="C219" s="16"/>
      <c r="G219" s="15">
        <f t="shared" ca="1" si="33"/>
        <v>42</v>
      </c>
      <c r="H219" s="15">
        <v>1</v>
      </c>
      <c r="I219" s="15" t="str">
        <f t="shared" ca="1" si="34"/>
        <v>I2C_Expander_00</v>
      </c>
      <c r="J219" s="15" t="str">
        <f t="shared" ca="1" si="29"/>
        <v>I2C_Expander_00!A42</v>
      </c>
      <c r="K219" s="15" t="str">
        <f t="shared" ca="1" si="30"/>
        <v>I2C_Expander_00!B42</v>
      </c>
    </row>
    <row r="220" spans="1:11" x14ac:dyDescent="0.25">
      <c r="A220" s="3" t="str">
        <f t="shared" ref="A220:A283" ca="1" si="35">IFERROR(IF(INDIRECT(J220)&lt;&gt;"",CONCATENATE(INDIRECT(J220)," = ",INDIRECT(K220)," "),""),"")</f>
        <v/>
      </c>
      <c r="G220" s="15">
        <f t="shared" ca="1" si="33"/>
        <v>43</v>
      </c>
      <c r="H220" s="15">
        <v>1</v>
      </c>
      <c r="I220" s="15" t="str">
        <f t="shared" ca="1" si="34"/>
        <v>I2C_Expander_00</v>
      </c>
      <c r="J220" s="15" t="str">
        <f t="shared" ca="1" si="29"/>
        <v>I2C_Expander_00!A43</v>
      </c>
      <c r="K220" s="15" t="str">
        <f t="shared" ca="1" si="30"/>
        <v>I2C_Expander_00!B43</v>
      </c>
    </row>
    <row r="221" spans="1:11" x14ac:dyDescent="0.25">
      <c r="A221" s="3" t="str">
        <f t="shared" ca="1" si="35"/>
        <v/>
      </c>
      <c r="G221" s="15">
        <f t="shared" ca="1" si="33"/>
        <v>44</v>
      </c>
      <c r="H221" s="15">
        <v>1</v>
      </c>
      <c r="I221" s="15" t="str">
        <f t="shared" ca="1" si="34"/>
        <v>I2C_Expander_00</v>
      </c>
      <c r="J221" s="15" t="str">
        <f t="shared" ca="1" si="29"/>
        <v>I2C_Expander_00!A44</v>
      </c>
      <c r="K221" s="15" t="str">
        <f t="shared" ca="1" si="30"/>
        <v>I2C_Expander_00!B44</v>
      </c>
    </row>
    <row r="222" spans="1:11" x14ac:dyDescent="0.25">
      <c r="A222" s="3" t="str">
        <f t="shared" ca="1" si="35"/>
        <v/>
      </c>
      <c r="G222" s="15">
        <f t="shared" ca="1" si="33"/>
        <v>45</v>
      </c>
      <c r="H222" s="15">
        <v>1</v>
      </c>
      <c r="I222" s="15" t="str">
        <f t="shared" ca="1" si="34"/>
        <v>I2C_Expander_00</v>
      </c>
      <c r="J222" s="15" t="str">
        <f t="shared" ca="1" si="29"/>
        <v>I2C_Expander_00!A45</v>
      </c>
      <c r="K222" s="15" t="str">
        <f t="shared" ca="1" si="30"/>
        <v>I2C_Expander_00!B45</v>
      </c>
    </row>
    <row r="223" spans="1:11" x14ac:dyDescent="0.25">
      <c r="A223" s="3" t="str">
        <f t="shared" ca="1" si="35"/>
        <v/>
      </c>
      <c r="G223" s="15">
        <f t="shared" ca="1" si="33"/>
        <v>46</v>
      </c>
      <c r="H223" s="15">
        <v>1</v>
      </c>
      <c r="I223" s="15" t="str">
        <f t="shared" ca="1" si="34"/>
        <v>I2C_Expander_00</v>
      </c>
      <c r="J223" s="15" t="str">
        <f t="shared" ca="1" si="29"/>
        <v>I2C_Expander_00!A46</v>
      </c>
      <c r="K223" s="15" t="str">
        <f t="shared" ca="1" si="30"/>
        <v>I2C_Expander_00!B46</v>
      </c>
    </row>
    <row r="224" spans="1:11" x14ac:dyDescent="0.25">
      <c r="A224" s="3" t="str">
        <f t="shared" ca="1" si="35"/>
        <v/>
      </c>
      <c r="G224" s="15">
        <f t="shared" ca="1" si="33"/>
        <v>47</v>
      </c>
      <c r="H224" s="15">
        <v>1</v>
      </c>
      <c r="I224" s="15" t="str">
        <f t="shared" ca="1" si="34"/>
        <v>I2C_Expander_00</v>
      </c>
      <c r="J224" s="15" t="str">
        <f t="shared" ca="1" si="29"/>
        <v>I2C_Expander_00!A47</v>
      </c>
      <c r="K224" s="15" t="str">
        <f t="shared" ca="1" si="30"/>
        <v>I2C_Expander_00!B47</v>
      </c>
    </row>
    <row r="225" spans="1:16" x14ac:dyDescent="0.25">
      <c r="A225" s="3" t="str">
        <f t="shared" ca="1" si="35"/>
        <v/>
      </c>
      <c r="G225" s="15">
        <f t="shared" ca="1" si="33"/>
        <v>48</v>
      </c>
      <c r="H225" s="15">
        <v>1</v>
      </c>
      <c r="I225" s="15" t="str">
        <f t="shared" ca="1" si="34"/>
        <v>I2C_Expander_00</v>
      </c>
      <c r="J225" s="15" t="str">
        <f t="shared" ca="1" si="29"/>
        <v>I2C_Expander_00!A48</v>
      </c>
      <c r="K225" s="15" t="str">
        <f t="shared" ca="1" si="30"/>
        <v>I2C_Expander_00!B48</v>
      </c>
    </row>
    <row r="226" spans="1:16" x14ac:dyDescent="0.25">
      <c r="A226" s="3" t="str">
        <f t="shared" ca="1" si="35"/>
        <v/>
      </c>
      <c r="G226" s="15">
        <f t="shared" ca="1" si="33"/>
        <v>49</v>
      </c>
      <c r="H226" s="15">
        <v>1</v>
      </c>
      <c r="I226" s="15" t="str">
        <f t="shared" ca="1" si="34"/>
        <v>I2C_Expander_00</v>
      </c>
      <c r="J226" s="15" t="str">
        <f t="shared" ca="1" si="29"/>
        <v>I2C_Expander_00!A49</v>
      </c>
      <c r="K226" s="15" t="str">
        <f t="shared" ca="1" si="30"/>
        <v>I2C_Expander_00!B49</v>
      </c>
    </row>
    <row r="227" spans="1:16" x14ac:dyDescent="0.25">
      <c r="A227" s="3" t="str">
        <f t="shared" ca="1" si="35"/>
        <v/>
      </c>
      <c r="G227" s="15">
        <f t="shared" ca="1" si="33"/>
        <v>50</v>
      </c>
      <c r="H227" s="15">
        <v>1</v>
      </c>
      <c r="I227" s="15" t="str">
        <f t="shared" ca="1" si="34"/>
        <v>I2C_Expander_00</v>
      </c>
      <c r="J227" s="15" t="str">
        <f t="shared" ca="1" si="29"/>
        <v>I2C_Expander_00!A50</v>
      </c>
      <c r="K227" s="15" t="str">
        <f t="shared" ca="1" si="30"/>
        <v>I2C_Expander_00!B50</v>
      </c>
    </row>
    <row r="228" spans="1:16" x14ac:dyDescent="0.25">
      <c r="A228" s="3" t="str">
        <f t="shared" ca="1" si="35"/>
        <v xml:space="preserve">#I2C_Expander_01:wartość safe =  </v>
      </c>
      <c r="G228" s="15">
        <f ca="1">INDIRECT(M228)</f>
        <v>31</v>
      </c>
      <c r="H228" s="15">
        <v>1</v>
      </c>
      <c r="I228" s="15" t="str">
        <f ca="1">INDIRECT(N228)</f>
        <v>I2C_Expander_01</v>
      </c>
      <c r="J228" s="15" t="str">
        <f t="shared" ca="1" si="29"/>
        <v>I2C_Expander_01!A31</v>
      </c>
      <c r="K228" s="15" t="str">
        <f t="shared" ca="1" si="30"/>
        <v>I2C_Expander_01!B31</v>
      </c>
      <c r="M228" s="15" t="str">
        <f>ADDRESS(O228,3,4,1,$R$1)</f>
        <v>konfig!C13</v>
      </c>
      <c r="N228" s="15" t="str">
        <f>ADDRESS(O228,1,4,1,$R$1)</f>
        <v>konfig!A13</v>
      </c>
      <c r="O228" s="15">
        <v>13</v>
      </c>
      <c r="P228" s="15">
        <v>4</v>
      </c>
    </row>
    <row r="229" spans="1:16" x14ac:dyDescent="0.25">
      <c r="A229" s="3" t="str">
        <f t="shared" ca="1" si="35"/>
        <v xml:space="preserve">device = MCP23017 </v>
      </c>
      <c r="G229" s="15">
        <f ca="1">G228+1</f>
        <v>32</v>
      </c>
      <c r="H229" s="15">
        <v>1</v>
      </c>
      <c r="I229" s="15" t="str">
        <f ca="1">I228</f>
        <v>I2C_Expander_01</v>
      </c>
      <c r="J229" s="15" t="str">
        <f t="shared" ca="1" si="29"/>
        <v>I2C_Expander_01!A32</v>
      </c>
      <c r="K229" s="15" t="str">
        <f t="shared" ca="1" si="30"/>
        <v>I2C_Expander_01!B32</v>
      </c>
    </row>
    <row r="230" spans="1:16" x14ac:dyDescent="0.25">
      <c r="A230" s="3" t="str">
        <f t="shared" ca="1" si="35"/>
        <v xml:space="preserve">i2c_addr = 0x21 </v>
      </c>
      <c r="G230" s="15">
        <f t="shared" ref="G230:G247" ca="1" si="36">G229+1</f>
        <v>33</v>
      </c>
      <c r="H230" s="15">
        <v>1</v>
      </c>
      <c r="I230" s="15" t="str">
        <f t="shared" ref="I230:I247" ca="1" si="37">I229</f>
        <v>I2C_Expander_01</v>
      </c>
      <c r="J230" s="15" t="str">
        <f t="shared" ca="1" si="29"/>
        <v>I2C_Expander_01!A33</v>
      </c>
      <c r="K230" s="15" t="str">
        <f t="shared" ca="1" si="30"/>
        <v>I2C_Expander_01!B33</v>
      </c>
    </row>
    <row r="231" spans="1:16" x14ac:dyDescent="0.25">
      <c r="A231" s="3" t="str">
        <f t="shared" ca="1" si="35"/>
        <v xml:space="preserve">i2c_num = /dev/i2c-1 </v>
      </c>
      <c r="C231" s="16"/>
      <c r="G231" s="15">
        <f t="shared" ca="1" si="36"/>
        <v>34</v>
      </c>
      <c r="H231" s="15">
        <v>1</v>
      </c>
      <c r="I231" s="15" t="str">
        <f t="shared" ca="1" si="37"/>
        <v>I2C_Expander_01</v>
      </c>
      <c r="J231" s="15" t="str">
        <f t="shared" ca="1" si="29"/>
        <v>I2C_Expander_01!A34</v>
      </c>
      <c r="K231" s="15" t="str">
        <f t="shared" ca="1" si="30"/>
        <v>I2C_Expander_01!B34</v>
      </c>
    </row>
    <row r="232" spans="1:16" x14ac:dyDescent="0.25">
      <c r="A232" s="3" t="str">
        <f t="shared" ca="1" si="35"/>
        <v xml:space="preserve">pins_mode = 0xFBFF </v>
      </c>
      <c r="G232" s="15">
        <f t="shared" ca="1" si="36"/>
        <v>35</v>
      </c>
      <c r="H232" s="15">
        <v>1</v>
      </c>
      <c r="I232" s="15" t="str">
        <f t="shared" ca="1" si="37"/>
        <v>I2C_Expander_01</v>
      </c>
      <c r="J232" s="15" t="str">
        <f t="shared" ca="1" si="29"/>
        <v>I2C_Expander_01!A35</v>
      </c>
      <c r="K232" s="15" t="str">
        <f t="shared" ca="1" si="30"/>
        <v>I2C_Expander_01!B35</v>
      </c>
    </row>
    <row r="233" spans="1:16" x14ac:dyDescent="0.25">
      <c r="A233" s="3" t="str">
        <f t="shared" ca="1" si="35"/>
        <v xml:space="preserve">pins_state = 0x0400 </v>
      </c>
      <c r="G233" s="15">
        <f t="shared" ca="1" si="36"/>
        <v>36</v>
      </c>
      <c r="H233" s="15">
        <v>1</v>
      </c>
      <c r="I233" s="15" t="str">
        <f t="shared" ca="1" si="37"/>
        <v>I2C_Expander_01</v>
      </c>
      <c r="J233" s="15" t="str">
        <f t="shared" ca="1" si="29"/>
        <v>I2C_Expander_01!A36</v>
      </c>
      <c r="K233" s="15" t="str">
        <f t="shared" ca="1" si="30"/>
        <v>I2C_Expander_01!B36</v>
      </c>
    </row>
    <row r="234" spans="1:16" x14ac:dyDescent="0.25">
      <c r="A234" s="3" t="str">
        <f t="shared" ca="1" si="35"/>
        <v/>
      </c>
      <c r="G234" s="15">
        <f t="shared" ca="1" si="36"/>
        <v>37</v>
      </c>
      <c r="H234" s="15">
        <v>1</v>
      </c>
      <c r="I234" s="15" t="str">
        <f t="shared" ca="1" si="37"/>
        <v>I2C_Expander_01</v>
      </c>
      <c r="J234" s="15" t="str">
        <f t="shared" ca="1" si="29"/>
        <v>I2C_Expander_01!A37</v>
      </c>
      <c r="K234" s="15" t="str">
        <f t="shared" ca="1" si="30"/>
        <v>I2C_Expander_01!B37</v>
      </c>
    </row>
    <row r="235" spans="1:16" x14ac:dyDescent="0.25">
      <c r="A235" s="3" t="str">
        <f t="shared" ca="1" si="35"/>
        <v xml:space="preserve">time = 500 </v>
      </c>
      <c r="G235" s="15">
        <f t="shared" ca="1" si="36"/>
        <v>38</v>
      </c>
      <c r="H235" s="15">
        <v>1</v>
      </c>
      <c r="I235" s="15" t="str">
        <f t="shared" ca="1" si="37"/>
        <v>I2C_Expander_01</v>
      </c>
      <c r="J235" s="15" t="str">
        <f t="shared" ca="1" si="29"/>
        <v>I2C_Expander_01!A38</v>
      </c>
      <c r="K235" s="15" t="str">
        <f t="shared" ca="1" si="30"/>
        <v>I2C_Expander_01!B38</v>
      </c>
    </row>
    <row r="236" spans="1:16" x14ac:dyDescent="0.25">
      <c r="A236" s="3" t="str">
        <f t="shared" ca="1" si="35"/>
        <v/>
      </c>
      <c r="G236" s="15">
        <f t="shared" ca="1" si="36"/>
        <v>39</v>
      </c>
      <c r="H236" s="15">
        <v>1</v>
      </c>
      <c r="I236" s="15" t="str">
        <f t="shared" ca="1" si="37"/>
        <v>I2C_Expander_01</v>
      </c>
      <c r="J236" s="15" t="str">
        <f t="shared" ref="J236:J299" ca="1" si="38">ADDRESS(G236,H236,4,1,I236)</f>
        <v>I2C_Expander_01!A39</v>
      </c>
      <c r="K236" s="15" t="str">
        <f t="shared" ref="K236:K299" ca="1" si="39">ADDRESS(G236,H236+1,4,1,I236)</f>
        <v>I2C_Expander_01!B39</v>
      </c>
    </row>
    <row r="237" spans="1:16" x14ac:dyDescent="0.25">
      <c r="A237" s="3" t="str">
        <f t="shared" ca="1" si="35"/>
        <v/>
      </c>
      <c r="G237" s="15">
        <f t="shared" ca="1" si="36"/>
        <v>40</v>
      </c>
      <c r="H237" s="15">
        <v>1</v>
      </c>
      <c r="I237" s="15" t="str">
        <f t="shared" ca="1" si="37"/>
        <v>I2C_Expander_01</v>
      </c>
      <c r="J237" s="15" t="str">
        <f t="shared" ca="1" si="38"/>
        <v>I2C_Expander_01!A40</v>
      </c>
      <c r="K237" s="15" t="str">
        <f t="shared" ca="1" si="39"/>
        <v>I2C_Expander_01!B40</v>
      </c>
    </row>
    <row r="238" spans="1:16" x14ac:dyDescent="0.25">
      <c r="A238" s="3" t="str">
        <f t="shared" ca="1" si="35"/>
        <v/>
      </c>
      <c r="G238" s="15">
        <f t="shared" ca="1" si="36"/>
        <v>41</v>
      </c>
      <c r="H238" s="15">
        <v>1</v>
      </c>
      <c r="I238" s="15" t="str">
        <f t="shared" ca="1" si="37"/>
        <v>I2C_Expander_01</v>
      </c>
      <c r="J238" s="15" t="str">
        <f t="shared" ca="1" si="38"/>
        <v>I2C_Expander_01!A41</v>
      </c>
      <c r="K238" s="15" t="str">
        <f t="shared" ca="1" si="39"/>
        <v>I2C_Expander_01!B41</v>
      </c>
    </row>
    <row r="239" spans="1:16" x14ac:dyDescent="0.25">
      <c r="A239" s="3" t="str">
        <f t="shared" ca="1" si="35"/>
        <v/>
      </c>
      <c r="C239" s="16"/>
      <c r="G239" s="15">
        <f t="shared" ca="1" si="36"/>
        <v>42</v>
      </c>
      <c r="H239" s="15">
        <v>1</v>
      </c>
      <c r="I239" s="15" t="str">
        <f t="shared" ca="1" si="37"/>
        <v>I2C_Expander_01</v>
      </c>
      <c r="J239" s="15" t="str">
        <f t="shared" ca="1" si="38"/>
        <v>I2C_Expander_01!A42</v>
      </c>
      <c r="K239" s="15" t="str">
        <f t="shared" ca="1" si="39"/>
        <v>I2C_Expander_01!B42</v>
      </c>
    </row>
    <row r="240" spans="1:16" x14ac:dyDescent="0.25">
      <c r="A240" s="3" t="str">
        <f t="shared" ca="1" si="35"/>
        <v/>
      </c>
      <c r="G240" s="15">
        <f t="shared" ca="1" si="36"/>
        <v>43</v>
      </c>
      <c r="H240" s="15">
        <v>1</v>
      </c>
      <c r="I240" s="15" t="str">
        <f t="shared" ca="1" si="37"/>
        <v>I2C_Expander_01</v>
      </c>
      <c r="J240" s="15" t="str">
        <f t="shared" ca="1" si="38"/>
        <v>I2C_Expander_01!A43</v>
      </c>
      <c r="K240" s="15" t="str">
        <f t="shared" ca="1" si="39"/>
        <v>I2C_Expander_01!B43</v>
      </c>
    </row>
    <row r="241" spans="1:16" x14ac:dyDescent="0.25">
      <c r="A241" s="3" t="str">
        <f t="shared" ca="1" si="35"/>
        <v/>
      </c>
      <c r="G241" s="15">
        <f t="shared" ca="1" si="36"/>
        <v>44</v>
      </c>
      <c r="H241" s="15">
        <v>1</v>
      </c>
      <c r="I241" s="15" t="str">
        <f t="shared" ca="1" si="37"/>
        <v>I2C_Expander_01</v>
      </c>
      <c r="J241" s="15" t="str">
        <f t="shared" ca="1" si="38"/>
        <v>I2C_Expander_01!A44</v>
      </c>
      <c r="K241" s="15" t="str">
        <f t="shared" ca="1" si="39"/>
        <v>I2C_Expander_01!B44</v>
      </c>
    </row>
    <row r="242" spans="1:16" x14ac:dyDescent="0.25">
      <c r="A242" s="3" t="str">
        <f t="shared" ca="1" si="35"/>
        <v/>
      </c>
      <c r="G242" s="15">
        <f t="shared" ca="1" si="36"/>
        <v>45</v>
      </c>
      <c r="H242" s="15">
        <v>1</v>
      </c>
      <c r="I242" s="15" t="str">
        <f t="shared" ca="1" si="37"/>
        <v>I2C_Expander_01</v>
      </c>
      <c r="J242" s="15" t="str">
        <f t="shared" ca="1" si="38"/>
        <v>I2C_Expander_01!A45</v>
      </c>
      <c r="K242" s="15" t="str">
        <f t="shared" ca="1" si="39"/>
        <v>I2C_Expander_01!B45</v>
      </c>
    </row>
    <row r="243" spans="1:16" x14ac:dyDescent="0.25">
      <c r="A243" s="3" t="str">
        <f t="shared" ca="1" si="35"/>
        <v/>
      </c>
      <c r="G243" s="15">
        <f t="shared" ca="1" si="36"/>
        <v>46</v>
      </c>
      <c r="H243" s="15">
        <v>1</v>
      </c>
      <c r="I243" s="15" t="str">
        <f t="shared" ca="1" si="37"/>
        <v>I2C_Expander_01</v>
      </c>
      <c r="J243" s="15" t="str">
        <f t="shared" ca="1" si="38"/>
        <v>I2C_Expander_01!A46</v>
      </c>
      <c r="K243" s="15" t="str">
        <f t="shared" ca="1" si="39"/>
        <v>I2C_Expander_01!B46</v>
      </c>
    </row>
    <row r="244" spans="1:16" x14ac:dyDescent="0.25">
      <c r="A244" s="3" t="str">
        <f t="shared" ca="1" si="35"/>
        <v/>
      </c>
      <c r="G244" s="15">
        <f t="shared" ca="1" si="36"/>
        <v>47</v>
      </c>
      <c r="H244" s="15">
        <v>1</v>
      </c>
      <c r="I244" s="15" t="str">
        <f t="shared" ca="1" si="37"/>
        <v>I2C_Expander_01</v>
      </c>
      <c r="J244" s="15" t="str">
        <f t="shared" ca="1" si="38"/>
        <v>I2C_Expander_01!A47</v>
      </c>
      <c r="K244" s="15" t="str">
        <f t="shared" ca="1" si="39"/>
        <v>I2C_Expander_01!B47</v>
      </c>
    </row>
    <row r="245" spans="1:16" x14ac:dyDescent="0.25">
      <c r="A245" s="3" t="str">
        <f t="shared" ca="1" si="35"/>
        <v/>
      </c>
      <c r="G245" s="15">
        <f t="shared" ca="1" si="36"/>
        <v>48</v>
      </c>
      <c r="H245" s="15">
        <v>1</v>
      </c>
      <c r="I245" s="15" t="str">
        <f t="shared" ca="1" si="37"/>
        <v>I2C_Expander_01</v>
      </c>
      <c r="J245" s="15" t="str">
        <f t="shared" ca="1" si="38"/>
        <v>I2C_Expander_01!A48</v>
      </c>
      <c r="K245" s="15" t="str">
        <f t="shared" ca="1" si="39"/>
        <v>I2C_Expander_01!B48</v>
      </c>
    </row>
    <row r="246" spans="1:16" x14ac:dyDescent="0.25">
      <c r="A246" s="3" t="str">
        <f t="shared" ca="1" si="35"/>
        <v/>
      </c>
      <c r="G246" s="15">
        <f t="shared" ca="1" si="36"/>
        <v>49</v>
      </c>
      <c r="H246" s="15">
        <v>1</v>
      </c>
      <c r="I246" s="15" t="str">
        <f t="shared" ca="1" si="37"/>
        <v>I2C_Expander_01</v>
      </c>
      <c r="J246" s="15" t="str">
        <f t="shared" ca="1" si="38"/>
        <v>I2C_Expander_01!A49</v>
      </c>
      <c r="K246" s="15" t="str">
        <f t="shared" ca="1" si="39"/>
        <v>I2C_Expander_01!B49</v>
      </c>
    </row>
    <row r="247" spans="1:16" x14ac:dyDescent="0.25">
      <c r="A247" s="3" t="str">
        <f t="shared" ca="1" si="35"/>
        <v/>
      </c>
      <c r="G247" s="15">
        <f t="shared" ca="1" si="36"/>
        <v>50</v>
      </c>
      <c r="H247" s="15">
        <v>1</v>
      </c>
      <c r="I247" s="15" t="str">
        <f t="shared" ca="1" si="37"/>
        <v>I2C_Expander_01</v>
      </c>
      <c r="J247" s="15" t="str">
        <f t="shared" ca="1" si="38"/>
        <v>I2C_Expander_01!A50</v>
      </c>
      <c r="K247" s="15" t="str">
        <f t="shared" ca="1" si="39"/>
        <v>I2C_Expander_01!B50</v>
      </c>
    </row>
    <row r="248" spans="1:16" x14ac:dyDescent="0.25">
      <c r="A248" s="3" t="str">
        <f t="shared" ca="1" si="35"/>
        <v xml:space="preserve">#I2C_Expander_02:wartość safe =  </v>
      </c>
      <c r="G248" s="15">
        <f ca="1">INDIRECT(M248)</f>
        <v>31</v>
      </c>
      <c r="H248" s="15">
        <v>1</v>
      </c>
      <c r="I248" s="15" t="str">
        <f ca="1">INDIRECT(N248)</f>
        <v>I2C_Expander_02</v>
      </c>
      <c r="J248" s="15" t="str">
        <f t="shared" ca="1" si="38"/>
        <v>I2C_Expander_02!A31</v>
      </c>
      <c r="K248" s="15" t="str">
        <f t="shared" ca="1" si="39"/>
        <v>I2C_Expander_02!B31</v>
      </c>
      <c r="M248" s="15" t="str">
        <f>ADDRESS(O248,3,4,1,$R$1)</f>
        <v>konfig!C14</v>
      </c>
      <c r="N248" s="15" t="str">
        <f>ADDRESS(O248,1,4,1,$R$1)</f>
        <v>konfig!A14</v>
      </c>
      <c r="O248" s="15">
        <v>14</v>
      </c>
      <c r="P248" s="15">
        <v>4</v>
      </c>
    </row>
    <row r="249" spans="1:16" x14ac:dyDescent="0.25">
      <c r="A249" s="3" t="str">
        <f t="shared" ca="1" si="35"/>
        <v xml:space="preserve">device = MCP23017 </v>
      </c>
      <c r="G249" s="15">
        <f ca="1">G248+1</f>
        <v>32</v>
      </c>
      <c r="H249" s="15">
        <v>1</v>
      </c>
      <c r="I249" s="15" t="str">
        <f ca="1">I248</f>
        <v>I2C_Expander_02</v>
      </c>
      <c r="J249" s="15" t="str">
        <f t="shared" ca="1" si="38"/>
        <v>I2C_Expander_02!A32</v>
      </c>
      <c r="K249" s="15" t="str">
        <f t="shared" ca="1" si="39"/>
        <v>I2C_Expander_02!B32</v>
      </c>
    </row>
    <row r="250" spans="1:16" x14ac:dyDescent="0.25">
      <c r="A250" s="3" t="str">
        <f t="shared" ca="1" si="35"/>
        <v xml:space="preserve">i2c_addr = 0x22 </v>
      </c>
      <c r="G250" s="15">
        <f t="shared" ref="G250:G267" ca="1" si="40">G249+1</f>
        <v>33</v>
      </c>
      <c r="H250" s="15">
        <v>1</v>
      </c>
      <c r="I250" s="15" t="str">
        <f t="shared" ref="I250:I267" ca="1" si="41">I249</f>
        <v>I2C_Expander_02</v>
      </c>
      <c r="J250" s="15" t="str">
        <f t="shared" ca="1" si="38"/>
        <v>I2C_Expander_02!A33</v>
      </c>
      <c r="K250" s="15" t="str">
        <f t="shared" ca="1" si="39"/>
        <v>I2C_Expander_02!B33</v>
      </c>
    </row>
    <row r="251" spans="1:16" x14ac:dyDescent="0.25">
      <c r="A251" s="3" t="str">
        <f t="shared" ca="1" si="35"/>
        <v xml:space="preserve">i2c_num = /dev/i2c-1 </v>
      </c>
      <c r="C251" s="16"/>
      <c r="G251" s="15">
        <f t="shared" ca="1" si="40"/>
        <v>34</v>
      </c>
      <c r="H251" s="15">
        <v>1</v>
      </c>
      <c r="I251" s="15" t="str">
        <f t="shared" ca="1" si="41"/>
        <v>I2C_Expander_02</v>
      </c>
      <c r="J251" s="15" t="str">
        <f t="shared" ca="1" si="38"/>
        <v>I2C_Expander_02!A34</v>
      </c>
      <c r="K251" s="15" t="str">
        <f t="shared" ca="1" si="39"/>
        <v>I2C_Expander_02!B34</v>
      </c>
    </row>
    <row r="252" spans="1:16" x14ac:dyDescent="0.25">
      <c r="A252" s="3" t="str">
        <f t="shared" ca="1" si="35"/>
        <v xml:space="preserve">pins_mode = 0xD27C </v>
      </c>
      <c r="G252" s="15">
        <f t="shared" ca="1" si="40"/>
        <v>35</v>
      </c>
      <c r="H252" s="15">
        <v>1</v>
      </c>
      <c r="I252" s="15" t="str">
        <f t="shared" ca="1" si="41"/>
        <v>I2C_Expander_02</v>
      </c>
      <c r="J252" s="15" t="str">
        <f t="shared" ca="1" si="38"/>
        <v>I2C_Expander_02!A35</v>
      </c>
      <c r="K252" s="15" t="str">
        <f t="shared" ca="1" si="39"/>
        <v>I2C_Expander_02!B35</v>
      </c>
    </row>
    <row r="253" spans="1:16" x14ac:dyDescent="0.25">
      <c r="A253" s="3" t="str">
        <f t="shared" ca="1" si="35"/>
        <v xml:space="preserve">pins_state = 0x2802 </v>
      </c>
      <c r="G253" s="15">
        <f t="shared" ca="1" si="40"/>
        <v>36</v>
      </c>
      <c r="H253" s="15">
        <v>1</v>
      </c>
      <c r="I253" s="15" t="str">
        <f t="shared" ca="1" si="41"/>
        <v>I2C_Expander_02</v>
      </c>
      <c r="J253" s="15" t="str">
        <f t="shared" ca="1" si="38"/>
        <v>I2C_Expander_02!A36</v>
      </c>
      <c r="K253" s="15" t="str">
        <f t="shared" ca="1" si="39"/>
        <v>I2C_Expander_02!B36</v>
      </c>
    </row>
    <row r="254" spans="1:16" x14ac:dyDescent="0.25">
      <c r="A254" s="3" t="str">
        <f t="shared" ca="1" si="35"/>
        <v/>
      </c>
      <c r="G254" s="15">
        <f t="shared" ca="1" si="40"/>
        <v>37</v>
      </c>
      <c r="H254" s="15">
        <v>1</v>
      </c>
      <c r="I254" s="15" t="str">
        <f t="shared" ca="1" si="41"/>
        <v>I2C_Expander_02</v>
      </c>
      <c r="J254" s="15" t="str">
        <f t="shared" ca="1" si="38"/>
        <v>I2C_Expander_02!A37</v>
      </c>
      <c r="K254" s="15" t="str">
        <f t="shared" ca="1" si="39"/>
        <v>I2C_Expander_02!B37</v>
      </c>
    </row>
    <row r="255" spans="1:16" x14ac:dyDescent="0.25">
      <c r="A255" s="3" t="str">
        <f t="shared" ca="1" si="35"/>
        <v xml:space="preserve">time = 500 </v>
      </c>
      <c r="G255" s="15">
        <f t="shared" ca="1" si="40"/>
        <v>38</v>
      </c>
      <c r="H255" s="15">
        <v>1</v>
      </c>
      <c r="I255" s="15" t="str">
        <f t="shared" ca="1" si="41"/>
        <v>I2C_Expander_02</v>
      </c>
      <c r="J255" s="15" t="str">
        <f t="shared" ca="1" si="38"/>
        <v>I2C_Expander_02!A38</v>
      </c>
      <c r="K255" s="15" t="str">
        <f t="shared" ca="1" si="39"/>
        <v>I2C_Expander_02!B38</v>
      </c>
    </row>
    <row r="256" spans="1:16" x14ac:dyDescent="0.25">
      <c r="A256" s="3" t="str">
        <f t="shared" ca="1" si="35"/>
        <v/>
      </c>
      <c r="G256" s="15">
        <f t="shared" ca="1" si="40"/>
        <v>39</v>
      </c>
      <c r="H256" s="15">
        <v>1</v>
      </c>
      <c r="I256" s="15" t="str">
        <f t="shared" ca="1" si="41"/>
        <v>I2C_Expander_02</v>
      </c>
      <c r="J256" s="15" t="str">
        <f t="shared" ca="1" si="38"/>
        <v>I2C_Expander_02!A39</v>
      </c>
      <c r="K256" s="15" t="str">
        <f t="shared" ca="1" si="39"/>
        <v>I2C_Expander_02!B39</v>
      </c>
    </row>
    <row r="257" spans="1:16" x14ac:dyDescent="0.25">
      <c r="A257" s="3" t="str">
        <f t="shared" ca="1" si="35"/>
        <v/>
      </c>
      <c r="G257" s="15">
        <f t="shared" ca="1" si="40"/>
        <v>40</v>
      </c>
      <c r="H257" s="15">
        <v>1</v>
      </c>
      <c r="I257" s="15" t="str">
        <f t="shared" ca="1" si="41"/>
        <v>I2C_Expander_02</v>
      </c>
      <c r="J257" s="15" t="str">
        <f t="shared" ca="1" si="38"/>
        <v>I2C_Expander_02!A40</v>
      </c>
      <c r="K257" s="15" t="str">
        <f t="shared" ca="1" si="39"/>
        <v>I2C_Expander_02!B40</v>
      </c>
    </row>
    <row r="258" spans="1:16" x14ac:dyDescent="0.25">
      <c r="A258" s="3" t="str">
        <f t="shared" ca="1" si="35"/>
        <v/>
      </c>
      <c r="G258" s="15">
        <f t="shared" ca="1" si="40"/>
        <v>41</v>
      </c>
      <c r="H258" s="15">
        <v>1</v>
      </c>
      <c r="I258" s="15" t="str">
        <f t="shared" ca="1" si="41"/>
        <v>I2C_Expander_02</v>
      </c>
      <c r="J258" s="15" t="str">
        <f t="shared" ca="1" si="38"/>
        <v>I2C_Expander_02!A41</v>
      </c>
      <c r="K258" s="15" t="str">
        <f t="shared" ca="1" si="39"/>
        <v>I2C_Expander_02!B41</v>
      </c>
    </row>
    <row r="259" spans="1:16" x14ac:dyDescent="0.25">
      <c r="A259" s="3" t="str">
        <f t="shared" ca="1" si="35"/>
        <v/>
      </c>
      <c r="C259" s="16"/>
      <c r="G259" s="15">
        <f t="shared" ca="1" si="40"/>
        <v>42</v>
      </c>
      <c r="H259" s="15">
        <v>1</v>
      </c>
      <c r="I259" s="15" t="str">
        <f t="shared" ca="1" si="41"/>
        <v>I2C_Expander_02</v>
      </c>
      <c r="J259" s="15" t="str">
        <f t="shared" ca="1" si="38"/>
        <v>I2C_Expander_02!A42</v>
      </c>
      <c r="K259" s="15" t="str">
        <f t="shared" ca="1" si="39"/>
        <v>I2C_Expander_02!B42</v>
      </c>
    </row>
    <row r="260" spans="1:16" x14ac:dyDescent="0.25">
      <c r="A260" s="3" t="str">
        <f t="shared" ca="1" si="35"/>
        <v/>
      </c>
      <c r="G260" s="15">
        <f t="shared" ca="1" si="40"/>
        <v>43</v>
      </c>
      <c r="H260" s="15">
        <v>1</v>
      </c>
      <c r="I260" s="15" t="str">
        <f t="shared" ca="1" si="41"/>
        <v>I2C_Expander_02</v>
      </c>
      <c r="J260" s="15" t="str">
        <f t="shared" ca="1" si="38"/>
        <v>I2C_Expander_02!A43</v>
      </c>
      <c r="K260" s="15" t="str">
        <f t="shared" ca="1" si="39"/>
        <v>I2C_Expander_02!B43</v>
      </c>
    </row>
    <row r="261" spans="1:16" x14ac:dyDescent="0.25">
      <c r="A261" s="3" t="str">
        <f t="shared" ca="1" si="35"/>
        <v/>
      </c>
      <c r="G261" s="15">
        <f t="shared" ca="1" si="40"/>
        <v>44</v>
      </c>
      <c r="H261" s="15">
        <v>1</v>
      </c>
      <c r="I261" s="15" t="str">
        <f t="shared" ca="1" si="41"/>
        <v>I2C_Expander_02</v>
      </c>
      <c r="J261" s="15" t="str">
        <f t="shared" ca="1" si="38"/>
        <v>I2C_Expander_02!A44</v>
      </c>
      <c r="K261" s="15" t="str">
        <f t="shared" ca="1" si="39"/>
        <v>I2C_Expander_02!B44</v>
      </c>
    </row>
    <row r="262" spans="1:16" x14ac:dyDescent="0.25">
      <c r="A262" s="3" t="str">
        <f t="shared" ca="1" si="35"/>
        <v/>
      </c>
      <c r="G262" s="15">
        <f t="shared" ca="1" si="40"/>
        <v>45</v>
      </c>
      <c r="H262" s="15">
        <v>1</v>
      </c>
      <c r="I262" s="15" t="str">
        <f t="shared" ca="1" si="41"/>
        <v>I2C_Expander_02</v>
      </c>
      <c r="J262" s="15" t="str">
        <f t="shared" ca="1" si="38"/>
        <v>I2C_Expander_02!A45</v>
      </c>
      <c r="K262" s="15" t="str">
        <f t="shared" ca="1" si="39"/>
        <v>I2C_Expander_02!B45</v>
      </c>
    </row>
    <row r="263" spans="1:16" x14ac:dyDescent="0.25">
      <c r="A263" s="3" t="str">
        <f t="shared" ca="1" si="35"/>
        <v/>
      </c>
      <c r="G263" s="15">
        <f t="shared" ca="1" si="40"/>
        <v>46</v>
      </c>
      <c r="H263" s="15">
        <v>1</v>
      </c>
      <c r="I263" s="15" t="str">
        <f t="shared" ca="1" si="41"/>
        <v>I2C_Expander_02</v>
      </c>
      <c r="J263" s="15" t="str">
        <f t="shared" ca="1" si="38"/>
        <v>I2C_Expander_02!A46</v>
      </c>
      <c r="K263" s="15" t="str">
        <f t="shared" ca="1" si="39"/>
        <v>I2C_Expander_02!B46</v>
      </c>
    </row>
    <row r="264" spans="1:16" x14ac:dyDescent="0.25">
      <c r="A264" s="3" t="str">
        <f t="shared" ca="1" si="35"/>
        <v/>
      </c>
      <c r="G264" s="15">
        <f t="shared" ca="1" si="40"/>
        <v>47</v>
      </c>
      <c r="H264" s="15">
        <v>1</v>
      </c>
      <c r="I264" s="15" t="str">
        <f t="shared" ca="1" si="41"/>
        <v>I2C_Expander_02</v>
      </c>
      <c r="J264" s="15" t="str">
        <f t="shared" ca="1" si="38"/>
        <v>I2C_Expander_02!A47</v>
      </c>
      <c r="K264" s="15" t="str">
        <f t="shared" ca="1" si="39"/>
        <v>I2C_Expander_02!B47</v>
      </c>
    </row>
    <row r="265" spans="1:16" x14ac:dyDescent="0.25">
      <c r="A265" s="3" t="str">
        <f t="shared" ca="1" si="35"/>
        <v/>
      </c>
      <c r="G265" s="15">
        <f t="shared" ca="1" si="40"/>
        <v>48</v>
      </c>
      <c r="H265" s="15">
        <v>1</v>
      </c>
      <c r="I265" s="15" t="str">
        <f t="shared" ca="1" si="41"/>
        <v>I2C_Expander_02</v>
      </c>
      <c r="J265" s="15" t="str">
        <f t="shared" ca="1" si="38"/>
        <v>I2C_Expander_02!A48</v>
      </c>
      <c r="K265" s="15" t="str">
        <f t="shared" ca="1" si="39"/>
        <v>I2C_Expander_02!B48</v>
      </c>
    </row>
    <row r="266" spans="1:16" x14ac:dyDescent="0.25">
      <c r="A266" s="3" t="str">
        <f t="shared" ca="1" si="35"/>
        <v/>
      </c>
      <c r="G266" s="15">
        <f t="shared" ca="1" si="40"/>
        <v>49</v>
      </c>
      <c r="H266" s="15">
        <v>1</v>
      </c>
      <c r="I266" s="15" t="str">
        <f t="shared" ca="1" si="41"/>
        <v>I2C_Expander_02</v>
      </c>
      <c r="J266" s="15" t="str">
        <f t="shared" ca="1" si="38"/>
        <v>I2C_Expander_02!A49</v>
      </c>
      <c r="K266" s="15" t="str">
        <f t="shared" ca="1" si="39"/>
        <v>I2C_Expander_02!B49</v>
      </c>
    </row>
    <row r="267" spans="1:16" x14ac:dyDescent="0.25">
      <c r="A267" s="3" t="str">
        <f t="shared" ca="1" si="35"/>
        <v/>
      </c>
      <c r="G267" s="15">
        <f t="shared" ca="1" si="40"/>
        <v>50</v>
      </c>
      <c r="H267" s="15">
        <v>1</v>
      </c>
      <c r="I267" s="15" t="str">
        <f t="shared" ca="1" si="41"/>
        <v>I2C_Expander_02</v>
      </c>
      <c r="J267" s="15" t="str">
        <f t="shared" ca="1" si="38"/>
        <v>I2C_Expander_02!A50</v>
      </c>
      <c r="K267" s="15" t="str">
        <f t="shared" ca="1" si="39"/>
        <v>I2C_Expander_02!B50</v>
      </c>
    </row>
    <row r="268" spans="1:16" x14ac:dyDescent="0.25">
      <c r="A268" s="3" t="str">
        <f t="shared" ca="1" si="35"/>
        <v xml:space="preserve">#I2C_Bridge_GPIO:exp_group_1x =  </v>
      </c>
      <c r="G268" s="15">
        <f ca="1">INDIRECT(M268)</f>
        <v>71</v>
      </c>
      <c r="H268" s="15">
        <v>1</v>
      </c>
      <c r="I268" s="15" t="str">
        <f ca="1">INDIRECT(N268)</f>
        <v>I2C_Bridge_GPIO</v>
      </c>
      <c r="J268" s="15" t="str">
        <f t="shared" ca="1" si="38"/>
        <v>I2C_Bridge_GPIO!A71</v>
      </c>
      <c r="K268" s="15" t="str">
        <f t="shared" ca="1" si="39"/>
        <v>I2C_Bridge_GPIO!B71</v>
      </c>
      <c r="M268" s="15" t="str">
        <f>ADDRESS(O268,3,4,1,$R$1)</f>
        <v>konfig!C15</v>
      </c>
      <c r="N268" s="15" t="str">
        <f>ADDRESS(O268,1,4,1,$R$1)</f>
        <v>konfig!A15</v>
      </c>
      <c r="O268" s="15">
        <v>15</v>
      </c>
      <c r="P268" s="15">
        <v>4</v>
      </c>
    </row>
    <row r="269" spans="1:16" x14ac:dyDescent="0.25">
      <c r="A269" s="3" t="str">
        <f t="shared" ca="1" si="35"/>
        <v xml:space="preserve">device = TCA9548 </v>
      </c>
      <c r="G269" s="15">
        <f ca="1">G268+1</f>
        <v>72</v>
      </c>
      <c r="H269" s="15">
        <v>1</v>
      </c>
      <c r="I269" s="15" t="str">
        <f ca="1">I268</f>
        <v>I2C_Bridge_GPIO</v>
      </c>
      <c r="J269" s="15" t="str">
        <f t="shared" ca="1" si="38"/>
        <v>I2C_Bridge_GPIO!A72</v>
      </c>
      <c r="K269" s="15" t="str">
        <f t="shared" ca="1" si="39"/>
        <v>I2C_Bridge_GPIO!B72</v>
      </c>
    </row>
    <row r="270" spans="1:16" x14ac:dyDescent="0.25">
      <c r="A270" s="3" t="str">
        <f t="shared" ca="1" si="35"/>
        <v xml:space="preserve">i2c_addr = 0x73 </v>
      </c>
      <c r="G270" s="15">
        <f t="shared" ref="G270:G287" ca="1" si="42">G269+1</f>
        <v>73</v>
      </c>
      <c r="H270" s="15">
        <v>1</v>
      </c>
      <c r="I270" s="15" t="str">
        <f t="shared" ref="I270:I287" ca="1" si="43">I269</f>
        <v>I2C_Bridge_GPIO</v>
      </c>
      <c r="J270" s="15" t="str">
        <f t="shared" ca="1" si="38"/>
        <v>I2C_Bridge_GPIO!A73</v>
      </c>
      <c r="K270" s="15" t="str">
        <f t="shared" ca="1" si="39"/>
        <v>I2C_Bridge_GPIO!B73</v>
      </c>
    </row>
    <row r="271" spans="1:16" x14ac:dyDescent="0.25">
      <c r="A271" s="3" t="str">
        <f t="shared" ca="1" si="35"/>
        <v xml:space="preserve">i2c_num = /dev/i2c-1 </v>
      </c>
      <c r="C271" s="16"/>
      <c r="G271" s="15">
        <f t="shared" ca="1" si="42"/>
        <v>74</v>
      </c>
      <c r="H271" s="15">
        <v>1</v>
      </c>
      <c r="I271" s="15" t="str">
        <f t="shared" ca="1" si="43"/>
        <v>I2C_Bridge_GPIO</v>
      </c>
      <c r="J271" s="15" t="str">
        <f t="shared" ca="1" si="38"/>
        <v>I2C_Bridge_GPIO!A74</v>
      </c>
      <c r="K271" s="15" t="str">
        <f t="shared" ca="1" si="39"/>
        <v>I2C_Bridge_GPIO!B74</v>
      </c>
    </row>
    <row r="272" spans="1:16" x14ac:dyDescent="0.25">
      <c r="A272" s="3" t="str">
        <f t="shared" ca="1" si="35"/>
        <v xml:space="preserve">ctrl_reg = 0x10 </v>
      </c>
      <c r="G272" s="15">
        <f t="shared" ca="1" si="42"/>
        <v>75</v>
      </c>
      <c r="H272" s="15">
        <v>1</v>
      </c>
      <c r="I272" s="15" t="str">
        <f t="shared" ca="1" si="43"/>
        <v>I2C_Bridge_GPIO</v>
      </c>
      <c r="J272" s="15" t="str">
        <f t="shared" ca="1" si="38"/>
        <v>I2C_Bridge_GPIO!A75</v>
      </c>
      <c r="K272" s="15" t="str">
        <f t="shared" ca="1" si="39"/>
        <v>I2C_Bridge_GPIO!B75</v>
      </c>
    </row>
    <row r="273" spans="1:16" x14ac:dyDescent="0.25">
      <c r="A273" s="3" t="str">
        <f t="shared" ca="1" si="35"/>
        <v/>
      </c>
      <c r="G273" s="15">
        <f t="shared" ca="1" si="42"/>
        <v>76</v>
      </c>
      <c r="H273" s="15">
        <v>1</v>
      </c>
      <c r="I273" s="15" t="str">
        <f t="shared" ca="1" si="43"/>
        <v>I2C_Bridge_GPIO</v>
      </c>
      <c r="J273" s="15" t="str">
        <f t="shared" ca="1" si="38"/>
        <v>I2C_Bridge_GPIO!A76</v>
      </c>
      <c r="K273" s="15" t="str">
        <f t="shared" ca="1" si="39"/>
        <v>I2C_Bridge_GPIO!B76</v>
      </c>
    </row>
    <row r="274" spans="1:16" x14ac:dyDescent="0.25">
      <c r="A274" s="3" t="str">
        <f t="shared" ca="1" si="35"/>
        <v xml:space="preserve">time = 11 </v>
      </c>
      <c r="G274" s="15">
        <f t="shared" ca="1" si="42"/>
        <v>77</v>
      </c>
      <c r="H274" s="15">
        <v>1</v>
      </c>
      <c r="I274" s="15" t="str">
        <f t="shared" ca="1" si="43"/>
        <v>I2C_Bridge_GPIO</v>
      </c>
      <c r="J274" s="15" t="str">
        <f t="shared" ca="1" si="38"/>
        <v>I2C_Bridge_GPIO!A77</v>
      </c>
      <c r="K274" s="15" t="str">
        <f t="shared" ca="1" si="39"/>
        <v>I2C_Bridge_GPIO!B77</v>
      </c>
    </row>
    <row r="275" spans="1:16" x14ac:dyDescent="0.25">
      <c r="A275" s="3" t="str">
        <f t="shared" ca="1" si="35"/>
        <v/>
      </c>
      <c r="G275" s="15">
        <f t="shared" ca="1" si="42"/>
        <v>78</v>
      </c>
      <c r="H275" s="15">
        <v>1</v>
      </c>
      <c r="I275" s="15" t="str">
        <f t="shared" ca="1" si="43"/>
        <v>I2C_Bridge_GPIO</v>
      </c>
      <c r="J275" s="15" t="str">
        <f t="shared" ca="1" si="38"/>
        <v>I2C_Bridge_GPIO!A78</v>
      </c>
      <c r="K275" s="15" t="str">
        <f t="shared" ca="1" si="39"/>
        <v>I2C_Bridge_GPIO!B78</v>
      </c>
    </row>
    <row r="276" spans="1:16" x14ac:dyDescent="0.25">
      <c r="A276" s="3" t="str">
        <f t="shared" ca="1" si="35"/>
        <v/>
      </c>
      <c r="G276" s="15">
        <f t="shared" ca="1" si="42"/>
        <v>79</v>
      </c>
      <c r="H276" s="15">
        <v>1</v>
      </c>
      <c r="I276" s="15" t="str">
        <f t="shared" ca="1" si="43"/>
        <v>I2C_Bridge_GPIO</v>
      </c>
      <c r="J276" s="15" t="str">
        <f t="shared" ca="1" si="38"/>
        <v>I2C_Bridge_GPIO!A79</v>
      </c>
      <c r="K276" s="15" t="str">
        <f t="shared" ca="1" si="39"/>
        <v>I2C_Bridge_GPIO!B79</v>
      </c>
    </row>
    <row r="277" spans="1:16" x14ac:dyDescent="0.25">
      <c r="A277" s="3" t="str">
        <f t="shared" ca="1" si="35"/>
        <v/>
      </c>
      <c r="G277" s="15">
        <f t="shared" ca="1" si="42"/>
        <v>80</v>
      </c>
      <c r="H277" s="15">
        <v>1</v>
      </c>
      <c r="I277" s="15" t="str">
        <f t="shared" ca="1" si="43"/>
        <v>I2C_Bridge_GPIO</v>
      </c>
      <c r="J277" s="15" t="str">
        <f t="shared" ca="1" si="38"/>
        <v>I2C_Bridge_GPIO!A80</v>
      </c>
      <c r="K277" s="15" t="str">
        <f t="shared" ca="1" si="39"/>
        <v>I2C_Bridge_GPIO!B80</v>
      </c>
    </row>
    <row r="278" spans="1:16" x14ac:dyDescent="0.25">
      <c r="A278" s="3" t="str">
        <f t="shared" ca="1" si="35"/>
        <v/>
      </c>
      <c r="G278" s="15">
        <f t="shared" ca="1" si="42"/>
        <v>81</v>
      </c>
      <c r="H278" s="15">
        <v>1</v>
      </c>
      <c r="I278" s="15" t="str">
        <f t="shared" ca="1" si="43"/>
        <v>I2C_Bridge_GPIO</v>
      </c>
      <c r="J278" s="15" t="str">
        <f t="shared" ca="1" si="38"/>
        <v>I2C_Bridge_GPIO!A81</v>
      </c>
      <c r="K278" s="15" t="str">
        <f t="shared" ca="1" si="39"/>
        <v>I2C_Bridge_GPIO!B81</v>
      </c>
    </row>
    <row r="279" spans="1:16" x14ac:dyDescent="0.25">
      <c r="A279" s="3" t="str">
        <f t="shared" ca="1" si="35"/>
        <v/>
      </c>
      <c r="C279" s="16"/>
      <c r="G279" s="15">
        <f t="shared" ca="1" si="42"/>
        <v>82</v>
      </c>
      <c r="H279" s="15">
        <v>1</v>
      </c>
      <c r="I279" s="15" t="str">
        <f t="shared" ca="1" si="43"/>
        <v>I2C_Bridge_GPIO</v>
      </c>
      <c r="J279" s="15" t="str">
        <f t="shared" ca="1" si="38"/>
        <v>I2C_Bridge_GPIO!A82</v>
      </c>
      <c r="K279" s="15" t="str">
        <f t="shared" ca="1" si="39"/>
        <v>I2C_Bridge_GPIO!B82</v>
      </c>
    </row>
    <row r="280" spans="1:16" x14ac:dyDescent="0.25">
      <c r="A280" s="3" t="str">
        <f t="shared" ca="1" si="35"/>
        <v/>
      </c>
      <c r="G280" s="15">
        <f t="shared" ca="1" si="42"/>
        <v>83</v>
      </c>
      <c r="H280" s="15">
        <v>1</v>
      </c>
      <c r="I280" s="15" t="str">
        <f t="shared" ca="1" si="43"/>
        <v>I2C_Bridge_GPIO</v>
      </c>
      <c r="J280" s="15" t="str">
        <f t="shared" ca="1" si="38"/>
        <v>I2C_Bridge_GPIO!A83</v>
      </c>
      <c r="K280" s="15" t="str">
        <f t="shared" ca="1" si="39"/>
        <v>I2C_Bridge_GPIO!B83</v>
      </c>
    </row>
    <row r="281" spans="1:16" x14ac:dyDescent="0.25">
      <c r="A281" s="3" t="str">
        <f t="shared" ca="1" si="35"/>
        <v/>
      </c>
      <c r="G281" s="15">
        <f t="shared" ca="1" si="42"/>
        <v>84</v>
      </c>
      <c r="H281" s="15">
        <v>1</v>
      </c>
      <c r="I281" s="15" t="str">
        <f t="shared" ca="1" si="43"/>
        <v>I2C_Bridge_GPIO</v>
      </c>
      <c r="J281" s="15" t="str">
        <f t="shared" ca="1" si="38"/>
        <v>I2C_Bridge_GPIO!A84</v>
      </c>
      <c r="K281" s="15" t="str">
        <f t="shared" ca="1" si="39"/>
        <v>I2C_Bridge_GPIO!B84</v>
      </c>
    </row>
    <row r="282" spans="1:16" x14ac:dyDescent="0.25">
      <c r="A282" s="3" t="str">
        <f t="shared" ca="1" si="35"/>
        <v/>
      </c>
      <c r="G282" s="15">
        <f t="shared" ca="1" si="42"/>
        <v>85</v>
      </c>
      <c r="H282" s="15">
        <v>1</v>
      </c>
      <c r="I282" s="15" t="str">
        <f t="shared" ca="1" si="43"/>
        <v>I2C_Bridge_GPIO</v>
      </c>
      <c r="J282" s="15" t="str">
        <f t="shared" ca="1" si="38"/>
        <v>I2C_Bridge_GPIO!A85</v>
      </c>
      <c r="K282" s="15" t="str">
        <f t="shared" ca="1" si="39"/>
        <v>I2C_Bridge_GPIO!B85</v>
      </c>
    </row>
    <row r="283" spans="1:16" x14ac:dyDescent="0.25">
      <c r="A283" s="3" t="str">
        <f t="shared" ca="1" si="35"/>
        <v/>
      </c>
      <c r="G283" s="15">
        <f t="shared" ca="1" si="42"/>
        <v>86</v>
      </c>
      <c r="H283" s="15">
        <v>1</v>
      </c>
      <c r="I283" s="15" t="str">
        <f t="shared" ca="1" si="43"/>
        <v>I2C_Bridge_GPIO</v>
      </c>
      <c r="J283" s="15" t="str">
        <f t="shared" ca="1" si="38"/>
        <v>I2C_Bridge_GPIO!A86</v>
      </c>
      <c r="K283" s="15" t="str">
        <f t="shared" ca="1" si="39"/>
        <v>I2C_Bridge_GPIO!B86</v>
      </c>
    </row>
    <row r="284" spans="1:16" x14ac:dyDescent="0.25">
      <c r="A284" s="3" t="str">
        <f t="shared" ref="A284:A347" ca="1" si="44">IFERROR(IF(INDIRECT(J284)&lt;&gt;"",CONCATENATE(INDIRECT(J284)," = ",INDIRECT(K284)," "),""),"")</f>
        <v/>
      </c>
      <c r="G284" s="15">
        <f t="shared" ca="1" si="42"/>
        <v>87</v>
      </c>
      <c r="H284" s="15">
        <v>1</v>
      </c>
      <c r="I284" s="15" t="str">
        <f t="shared" ca="1" si="43"/>
        <v>I2C_Bridge_GPIO</v>
      </c>
      <c r="J284" s="15" t="str">
        <f t="shared" ca="1" si="38"/>
        <v>I2C_Bridge_GPIO!A87</v>
      </c>
      <c r="K284" s="15" t="str">
        <f t="shared" ca="1" si="39"/>
        <v>I2C_Bridge_GPIO!B87</v>
      </c>
    </row>
    <row r="285" spans="1:16" x14ac:dyDescent="0.25">
      <c r="A285" s="3" t="str">
        <f t="shared" ca="1" si="44"/>
        <v/>
      </c>
      <c r="G285" s="15">
        <f t="shared" ca="1" si="42"/>
        <v>88</v>
      </c>
      <c r="H285" s="15">
        <v>1</v>
      </c>
      <c r="I285" s="15" t="str">
        <f t="shared" ca="1" si="43"/>
        <v>I2C_Bridge_GPIO</v>
      </c>
      <c r="J285" s="15" t="str">
        <f t="shared" ca="1" si="38"/>
        <v>I2C_Bridge_GPIO!A88</v>
      </c>
      <c r="K285" s="15" t="str">
        <f t="shared" ca="1" si="39"/>
        <v>I2C_Bridge_GPIO!B88</v>
      </c>
    </row>
    <row r="286" spans="1:16" x14ac:dyDescent="0.25">
      <c r="A286" s="3" t="str">
        <f t="shared" ca="1" si="44"/>
        <v/>
      </c>
      <c r="G286" s="15">
        <f t="shared" ca="1" si="42"/>
        <v>89</v>
      </c>
      <c r="H286" s="15">
        <v>1</v>
      </c>
      <c r="I286" s="15" t="str">
        <f t="shared" ca="1" si="43"/>
        <v>I2C_Bridge_GPIO</v>
      </c>
      <c r="J286" s="15" t="str">
        <f t="shared" ca="1" si="38"/>
        <v>I2C_Bridge_GPIO!A89</v>
      </c>
      <c r="K286" s="15" t="str">
        <f t="shared" ca="1" si="39"/>
        <v>I2C_Bridge_GPIO!B89</v>
      </c>
    </row>
    <row r="287" spans="1:16" x14ac:dyDescent="0.25">
      <c r="A287" s="3" t="str">
        <f t="shared" ca="1" si="44"/>
        <v/>
      </c>
      <c r="G287" s="15">
        <f t="shared" ca="1" si="42"/>
        <v>90</v>
      </c>
      <c r="H287" s="15">
        <v>1</v>
      </c>
      <c r="I287" s="15" t="str">
        <f t="shared" ca="1" si="43"/>
        <v>I2C_Bridge_GPIO</v>
      </c>
      <c r="J287" s="15" t="str">
        <f t="shared" ca="1" si="38"/>
        <v>I2C_Bridge_GPIO!A90</v>
      </c>
      <c r="K287" s="15" t="str">
        <f t="shared" ca="1" si="39"/>
        <v>I2C_Bridge_GPIO!B90</v>
      </c>
    </row>
    <row r="288" spans="1:16" x14ac:dyDescent="0.25">
      <c r="A288" s="3" t="str">
        <f t="shared" ca="1" si="44"/>
        <v xml:space="preserve">#I2C_Expander_10:wartość safe =  </v>
      </c>
      <c r="G288" s="15">
        <f ca="1">INDIRECT(M288)</f>
        <v>31</v>
      </c>
      <c r="H288" s="15">
        <v>1</v>
      </c>
      <c r="I288" s="15" t="str">
        <f ca="1">INDIRECT(N288)</f>
        <v>I2C_Expander_10</v>
      </c>
      <c r="J288" s="15" t="str">
        <f t="shared" ca="1" si="38"/>
        <v>I2C_Expander_10!A31</v>
      </c>
      <c r="K288" s="15" t="str">
        <f t="shared" ca="1" si="39"/>
        <v>I2C_Expander_10!B31</v>
      </c>
      <c r="M288" s="15" t="str">
        <f>ADDRESS(O288,3,4,1,$R$1)</f>
        <v>konfig!C16</v>
      </c>
      <c r="N288" s="15" t="str">
        <f>ADDRESS(O288,1,4,1,$R$1)</f>
        <v>konfig!A16</v>
      </c>
      <c r="O288" s="15">
        <v>16</v>
      </c>
      <c r="P288" s="15">
        <v>4</v>
      </c>
    </row>
    <row r="289" spans="1:11" x14ac:dyDescent="0.25">
      <c r="A289" s="3" t="str">
        <f t="shared" ca="1" si="44"/>
        <v xml:space="preserve">device = MCP23017 </v>
      </c>
      <c r="G289" s="15">
        <f ca="1">G288+1</f>
        <v>32</v>
      </c>
      <c r="H289" s="15">
        <v>1</v>
      </c>
      <c r="I289" s="15" t="str">
        <f ca="1">I288</f>
        <v>I2C_Expander_10</v>
      </c>
      <c r="J289" s="15" t="str">
        <f t="shared" ca="1" si="38"/>
        <v>I2C_Expander_10!A32</v>
      </c>
      <c r="K289" s="15" t="str">
        <f t="shared" ca="1" si="39"/>
        <v>I2C_Expander_10!B32</v>
      </c>
    </row>
    <row r="290" spans="1:11" x14ac:dyDescent="0.25">
      <c r="A290" s="3" t="str">
        <f t="shared" ca="1" si="44"/>
        <v xml:space="preserve">i2c_addr = 0x20 </v>
      </c>
      <c r="G290" s="15">
        <f t="shared" ref="G290:G307" ca="1" si="45">G289+1</f>
        <v>33</v>
      </c>
      <c r="H290" s="15">
        <v>1</v>
      </c>
      <c r="I290" s="15" t="str">
        <f t="shared" ref="I290:I307" ca="1" si="46">I289</f>
        <v>I2C_Expander_10</v>
      </c>
      <c r="J290" s="15" t="str">
        <f t="shared" ca="1" si="38"/>
        <v>I2C_Expander_10!A33</v>
      </c>
      <c r="K290" s="15" t="str">
        <f t="shared" ca="1" si="39"/>
        <v>I2C_Expander_10!B33</v>
      </c>
    </row>
    <row r="291" spans="1:11" x14ac:dyDescent="0.25">
      <c r="A291" s="3" t="str">
        <f t="shared" ca="1" si="44"/>
        <v xml:space="preserve">i2c_num = /dev/i2c-1 </v>
      </c>
      <c r="C291" s="16"/>
      <c r="G291" s="15">
        <f t="shared" ca="1" si="45"/>
        <v>34</v>
      </c>
      <c r="H291" s="15">
        <v>1</v>
      </c>
      <c r="I291" s="15" t="str">
        <f t="shared" ca="1" si="46"/>
        <v>I2C_Expander_10</v>
      </c>
      <c r="J291" s="15" t="str">
        <f t="shared" ca="1" si="38"/>
        <v>I2C_Expander_10!A34</v>
      </c>
      <c r="K291" s="15" t="str">
        <f t="shared" ca="1" si="39"/>
        <v>I2C_Expander_10!B34</v>
      </c>
    </row>
    <row r="292" spans="1:11" x14ac:dyDescent="0.25">
      <c r="A292" s="3" t="str">
        <f t="shared" ca="1" si="44"/>
        <v xml:space="preserve">pins_mode = 0x1BFE </v>
      </c>
      <c r="G292" s="15">
        <f t="shared" ca="1" si="45"/>
        <v>35</v>
      </c>
      <c r="H292" s="15">
        <v>1</v>
      </c>
      <c r="I292" s="15" t="str">
        <f t="shared" ca="1" si="46"/>
        <v>I2C_Expander_10</v>
      </c>
      <c r="J292" s="15" t="str">
        <f t="shared" ca="1" si="38"/>
        <v>I2C_Expander_10!A35</v>
      </c>
      <c r="K292" s="15" t="str">
        <f t="shared" ca="1" si="39"/>
        <v>I2C_Expander_10!B35</v>
      </c>
    </row>
    <row r="293" spans="1:11" x14ac:dyDescent="0.25">
      <c r="A293" s="3" t="str">
        <f t="shared" ca="1" si="44"/>
        <v xml:space="preserve">pins_state = 0x8000 </v>
      </c>
      <c r="G293" s="15">
        <f t="shared" ca="1" si="45"/>
        <v>36</v>
      </c>
      <c r="H293" s="15">
        <v>1</v>
      </c>
      <c r="I293" s="15" t="str">
        <f t="shared" ca="1" si="46"/>
        <v>I2C_Expander_10</v>
      </c>
      <c r="J293" s="15" t="str">
        <f t="shared" ca="1" si="38"/>
        <v>I2C_Expander_10!A36</v>
      </c>
      <c r="K293" s="15" t="str">
        <f t="shared" ca="1" si="39"/>
        <v>I2C_Expander_10!B36</v>
      </c>
    </row>
    <row r="294" spans="1:11" x14ac:dyDescent="0.25">
      <c r="A294" s="3" t="str">
        <f t="shared" ca="1" si="44"/>
        <v/>
      </c>
      <c r="G294" s="15">
        <f t="shared" ca="1" si="45"/>
        <v>37</v>
      </c>
      <c r="H294" s="15">
        <v>1</v>
      </c>
      <c r="I294" s="15" t="str">
        <f t="shared" ca="1" si="46"/>
        <v>I2C_Expander_10</v>
      </c>
      <c r="J294" s="15" t="str">
        <f t="shared" ca="1" si="38"/>
        <v>I2C_Expander_10!A37</v>
      </c>
      <c r="K294" s="15" t="str">
        <f t="shared" ca="1" si="39"/>
        <v>I2C_Expander_10!B37</v>
      </c>
    </row>
    <row r="295" spans="1:11" x14ac:dyDescent="0.25">
      <c r="A295" s="3" t="str">
        <f t="shared" ca="1" si="44"/>
        <v xml:space="preserve">time = 500 </v>
      </c>
      <c r="G295" s="15">
        <f t="shared" ca="1" si="45"/>
        <v>38</v>
      </c>
      <c r="H295" s="15">
        <v>1</v>
      </c>
      <c r="I295" s="15" t="str">
        <f t="shared" ca="1" si="46"/>
        <v>I2C_Expander_10</v>
      </c>
      <c r="J295" s="15" t="str">
        <f t="shared" ca="1" si="38"/>
        <v>I2C_Expander_10!A38</v>
      </c>
      <c r="K295" s="15" t="str">
        <f t="shared" ca="1" si="39"/>
        <v>I2C_Expander_10!B38</v>
      </c>
    </row>
    <row r="296" spans="1:11" x14ac:dyDescent="0.25">
      <c r="A296" s="3" t="str">
        <f t="shared" ca="1" si="44"/>
        <v/>
      </c>
      <c r="G296" s="15">
        <f t="shared" ca="1" si="45"/>
        <v>39</v>
      </c>
      <c r="H296" s="15">
        <v>1</v>
      </c>
      <c r="I296" s="15" t="str">
        <f t="shared" ca="1" si="46"/>
        <v>I2C_Expander_10</v>
      </c>
      <c r="J296" s="15" t="str">
        <f t="shared" ca="1" si="38"/>
        <v>I2C_Expander_10!A39</v>
      </c>
      <c r="K296" s="15" t="str">
        <f t="shared" ca="1" si="39"/>
        <v>I2C_Expander_10!B39</v>
      </c>
    </row>
    <row r="297" spans="1:11" x14ac:dyDescent="0.25">
      <c r="A297" s="3" t="str">
        <f t="shared" ca="1" si="44"/>
        <v/>
      </c>
      <c r="G297" s="15">
        <f t="shared" ca="1" si="45"/>
        <v>40</v>
      </c>
      <c r="H297" s="15">
        <v>1</v>
      </c>
      <c r="I297" s="15" t="str">
        <f t="shared" ca="1" si="46"/>
        <v>I2C_Expander_10</v>
      </c>
      <c r="J297" s="15" t="str">
        <f t="shared" ca="1" si="38"/>
        <v>I2C_Expander_10!A40</v>
      </c>
      <c r="K297" s="15" t="str">
        <f t="shared" ca="1" si="39"/>
        <v>I2C_Expander_10!B40</v>
      </c>
    </row>
    <row r="298" spans="1:11" x14ac:dyDescent="0.25">
      <c r="A298" s="3" t="str">
        <f t="shared" ca="1" si="44"/>
        <v/>
      </c>
      <c r="G298" s="15">
        <f t="shared" ca="1" si="45"/>
        <v>41</v>
      </c>
      <c r="H298" s="15">
        <v>1</v>
      </c>
      <c r="I298" s="15" t="str">
        <f t="shared" ca="1" si="46"/>
        <v>I2C_Expander_10</v>
      </c>
      <c r="J298" s="15" t="str">
        <f t="shared" ca="1" si="38"/>
        <v>I2C_Expander_10!A41</v>
      </c>
      <c r="K298" s="15" t="str">
        <f t="shared" ca="1" si="39"/>
        <v>I2C_Expander_10!B41</v>
      </c>
    </row>
    <row r="299" spans="1:11" x14ac:dyDescent="0.25">
      <c r="A299" s="3" t="str">
        <f t="shared" ca="1" si="44"/>
        <v/>
      </c>
      <c r="C299" s="16"/>
      <c r="G299" s="15">
        <f t="shared" ca="1" si="45"/>
        <v>42</v>
      </c>
      <c r="H299" s="15">
        <v>1</v>
      </c>
      <c r="I299" s="15" t="str">
        <f t="shared" ca="1" si="46"/>
        <v>I2C_Expander_10</v>
      </c>
      <c r="J299" s="15" t="str">
        <f t="shared" ca="1" si="38"/>
        <v>I2C_Expander_10!A42</v>
      </c>
      <c r="K299" s="15" t="str">
        <f t="shared" ca="1" si="39"/>
        <v>I2C_Expander_10!B42</v>
      </c>
    </row>
    <row r="300" spans="1:11" x14ac:dyDescent="0.25">
      <c r="A300" s="3" t="str">
        <f t="shared" ca="1" si="44"/>
        <v/>
      </c>
      <c r="G300" s="15">
        <f t="shared" ca="1" si="45"/>
        <v>43</v>
      </c>
      <c r="H300" s="15">
        <v>1</v>
      </c>
      <c r="I300" s="15" t="str">
        <f t="shared" ca="1" si="46"/>
        <v>I2C_Expander_10</v>
      </c>
      <c r="J300" s="15" t="str">
        <f t="shared" ref="J300:J363" ca="1" si="47">ADDRESS(G300,H300,4,1,I300)</f>
        <v>I2C_Expander_10!A43</v>
      </c>
      <c r="K300" s="15" t="str">
        <f t="shared" ref="K300:K363" ca="1" si="48">ADDRESS(G300,H300+1,4,1,I300)</f>
        <v>I2C_Expander_10!B43</v>
      </c>
    </row>
    <row r="301" spans="1:11" x14ac:dyDescent="0.25">
      <c r="A301" s="3" t="str">
        <f t="shared" ca="1" si="44"/>
        <v/>
      </c>
      <c r="G301" s="15">
        <f t="shared" ca="1" si="45"/>
        <v>44</v>
      </c>
      <c r="H301" s="15">
        <v>1</v>
      </c>
      <c r="I301" s="15" t="str">
        <f t="shared" ca="1" si="46"/>
        <v>I2C_Expander_10</v>
      </c>
      <c r="J301" s="15" t="str">
        <f t="shared" ca="1" si="47"/>
        <v>I2C_Expander_10!A44</v>
      </c>
      <c r="K301" s="15" t="str">
        <f t="shared" ca="1" si="48"/>
        <v>I2C_Expander_10!B44</v>
      </c>
    </row>
    <row r="302" spans="1:11" x14ac:dyDescent="0.25">
      <c r="A302" s="3" t="str">
        <f t="shared" ca="1" si="44"/>
        <v/>
      </c>
      <c r="G302" s="15">
        <f t="shared" ca="1" si="45"/>
        <v>45</v>
      </c>
      <c r="H302" s="15">
        <v>1</v>
      </c>
      <c r="I302" s="15" t="str">
        <f t="shared" ca="1" si="46"/>
        <v>I2C_Expander_10</v>
      </c>
      <c r="J302" s="15" t="str">
        <f t="shared" ca="1" si="47"/>
        <v>I2C_Expander_10!A45</v>
      </c>
      <c r="K302" s="15" t="str">
        <f t="shared" ca="1" si="48"/>
        <v>I2C_Expander_10!B45</v>
      </c>
    </row>
    <row r="303" spans="1:11" x14ac:dyDescent="0.25">
      <c r="A303" s="3" t="str">
        <f t="shared" ca="1" si="44"/>
        <v/>
      </c>
      <c r="G303" s="15">
        <f t="shared" ca="1" si="45"/>
        <v>46</v>
      </c>
      <c r="H303" s="15">
        <v>1</v>
      </c>
      <c r="I303" s="15" t="str">
        <f t="shared" ca="1" si="46"/>
        <v>I2C_Expander_10</v>
      </c>
      <c r="J303" s="15" t="str">
        <f t="shared" ca="1" si="47"/>
        <v>I2C_Expander_10!A46</v>
      </c>
      <c r="K303" s="15" t="str">
        <f t="shared" ca="1" si="48"/>
        <v>I2C_Expander_10!B46</v>
      </c>
    </row>
    <row r="304" spans="1:11" x14ac:dyDescent="0.25">
      <c r="A304" s="3" t="str">
        <f t="shared" ca="1" si="44"/>
        <v/>
      </c>
      <c r="G304" s="15">
        <f t="shared" ca="1" si="45"/>
        <v>47</v>
      </c>
      <c r="H304" s="15">
        <v>1</v>
      </c>
      <c r="I304" s="15" t="str">
        <f t="shared" ca="1" si="46"/>
        <v>I2C_Expander_10</v>
      </c>
      <c r="J304" s="15" t="str">
        <f t="shared" ca="1" si="47"/>
        <v>I2C_Expander_10!A47</v>
      </c>
      <c r="K304" s="15" t="str">
        <f t="shared" ca="1" si="48"/>
        <v>I2C_Expander_10!B47</v>
      </c>
    </row>
    <row r="305" spans="1:16" x14ac:dyDescent="0.25">
      <c r="A305" s="3" t="str">
        <f t="shared" ca="1" si="44"/>
        <v/>
      </c>
      <c r="G305" s="15">
        <f t="shared" ca="1" si="45"/>
        <v>48</v>
      </c>
      <c r="H305" s="15">
        <v>1</v>
      </c>
      <c r="I305" s="15" t="str">
        <f t="shared" ca="1" si="46"/>
        <v>I2C_Expander_10</v>
      </c>
      <c r="J305" s="15" t="str">
        <f t="shared" ca="1" si="47"/>
        <v>I2C_Expander_10!A48</v>
      </c>
      <c r="K305" s="15" t="str">
        <f t="shared" ca="1" si="48"/>
        <v>I2C_Expander_10!B48</v>
      </c>
    </row>
    <row r="306" spans="1:16" x14ac:dyDescent="0.25">
      <c r="A306" s="3" t="str">
        <f t="shared" ca="1" si="44"/>
        <v/>
      </c>
      <c r="G306" s="15">
        <f t="shared" ca="1" si="45"/>
        <v>49</v>
      </c>
      <c r="H306" s="15">
        <v>1</v>
      </c>
      <c r="I306" s="15" t="str">
        <f t="shared" ca="1" si="46"/>
        <v>I2C_Expander_10</v>
      </c>
      <c r="J306" s="15" t="str">
        <f t="shared" ca="1" si="47"/>
        <v>I2C_Expander_10!A49</v>
      </c>
      <c r="K306" s="15" t="str">
        <f t="shared" ca="1" si="48"/>
        <v>I2C_Expander_10!B49</v>
      </c>
    </row>
    <row r="307" spans="1:16" x14ac:dyDescent="0.25">
      <c r="A307" s="3" t="str">
        <f t="shared" ca="1" si="44"/>
        <v/>
      </c>
      <c r="G307" s="15">
        <f t="shared" ca="1" si="45"/>
        <v>50</v>
      </c>
      <c r="H307" s="15">
        <v>1</v>
      </c>
      <c r="I307" s="15" t="str">
        <f t="shared" ca="1" si="46"/>
        <v>I2C_Expander_10</v>
      </c>
      <c r="J307" s="15" t="str">
        <f t="shared" ca="1" si="47"/>
        <v>I2C_Expander_10!A50</v>
      </c>
      <c r="K307" s="15" t="str">
        <f t="shared" ca="1" si="48"/>
        <v>I2C_Expander_10!B50</v>
      </c>
    </row>
    <row r="308" spans="1:16" x14ac:dyDescent="0.25">
      <c r="A308" s="3" t="str">
        <f t="shared" ca="1" si="44"/>
        <v xml:space="preserve">#I2C_Expander_11:wartość safe =  </v>
      </c>
      <c r="G308" s="15">
        <f ca="1">INDIRECT(M308)</f>
        <v>31</v>
      </c>
      <c r="H308" s="15">
        <v>1</v>
      </c>
      <c r="I308" s="15" t="str">
        <f ca="1">INDIRECT(N308)</f>
        <v>I2C_Expander_11</v>
      </c>
      <c r="J308" s="15" t="str">
        <f t="shared" ca="1" si="47"/>
        <v>I2C_Expander_11!A31</v>
      </c>
      <c r="K308" s="15" t="str">
        <f t="shared" ca="1" si="48"/>
        <v>I2C_Expander_11!B31</v>
      </c>
      <c r="M308" s="15" t="str">
        <f>ADDRESS(O308,3,4,1,$R$1)</f>
        <v>konfig!C17</v>
      </c>
      <c r="N308" s="15" t="str">
        <f>ADDRESS(O308,1,4,1,$R$1)</f>
        <v>konfig!A17</v>
      </c>
      <c r="O308" s="15">
        <v>17</v>
      </c>
      <c r="P308" s="15">
        <v>4</v>
      </c>
    </row>
    <row r="309" spans="1:16" x14ac:dyDescent="0.25">
      <c r="A309" s="3" t="str">
        <f t="shared" ca="1" si="44"/>
        <v xml:space="preserve">device = MCP23017 </v>
      </c>
      <c r="G309" s="15">
        <f ca="1">G308+1</f>
        <v>32</v>
      </c>
      <c r="H309" s="15">
        <v>1</v>
      </c>
      <c r="I309" s="15" t="str">
        <f ca="1">I308</f>
        <v>I2C_Expander_11</v>
      </c>
      <c r="J309" s="15" t="str">
        <f t="shared" ca="1" si="47"/>
        <v>I2C_Expander_11!A32</v>
      </c>
      <c r="K309" s="15" t="str">
        <f t="shared" ca="1" si="48"/>
        <v>I2C_Expander_11!B32</v>
      </c>
    </row>
    <row r="310" spans="1:16" x14ac:dyDescent="0.25">
      <c r="A310" s="3" t="str">
        <f t="shared" ca="1" si="44"/>
        <v xml:space="preserve">i2c_addr = 0x21 </v>
      </c>
      <c r="G310" s="15">
        <f t="shared" ref="G310:G327" ca="1" si="49">G309+1</f>
        <v>33</v>
      </c>
      <c r="H310" s="15">
        <v>1</v>
      </c>
      <c r="I310" s="15" t="str">
        <f t="shared" ref="I310:I327" ca="1" si="50">I309</f>
        <v>I2C_Expander_11</v>
      </c>
      <c r="J310" s="15" t="str">
        <f t="shared" ca="1" si="47"/>
        <v>I2C_Expander_11!A33</v>
      </c>
      <c r="K310" s="15" t="str">
        <f t="shared" ca="1" si="48"/>
        <v>I2C_Expander_11!B33</v>
      </c>
    </row>
    <row r="311" spans="1:16" x14ac:dyDescent="0.25">
      <c r="A311" s="3" t="str">
        <f t="shared" ca="1" si="44"/>
        <v xml:space="preserve">i2c_num = /dev/i2c-1 </v>
      </c>
      <c r="C311" s="16"/>
      <c r="G311" s="15">
        <f t="shared" ca="1" si="49"/>
        <v>34</v>
      </c>
      <c r="H311" s="15">
        <v>1</v>
      </c>
      <c r="I311" s="15" t="str">
        <f t="shared" ca="1" si="50"/>
        <v>I2C_Expander_11</v>
      </c>
      <c r="J311" s="15" t="str">
        <f t="shared" ca="1" si="47"/>
        <v>I2C_Expander_11!A34</v>
      </c>
      <c r="K311" s="15" t="str">
        <f t="shared" ca="1" si="48"/>
        <v>I2C_Expander_11!B34</v>
      </c>
    </row>
    <row r="312" spans="1:16" x14ac:dyDescent="0.25">
      <c r="A312" s="3" t="str">
        <f t="shared" ca="1" si="44"/>
        <v xml:space="preserve">pins_mode = 0x7450 </v>
      </c>
      <c r="G312" s="15">
        <f t="shared" ca="1" si="49"/>
        <v>35</v>
      </c>
      <c r="H312" s="15">
        <v>1</v>
      </c>
      <c r="I312" s="15" t="str">
        <f t="shared" ca="1" si="50"/>
        <v>I2C_Expander_11</v>
      </c>
      <c r="J312" s="15" t="str">
        <f t="shared" ca="1" si="47"/>
        <v>I2C_Expander_11!A35</v>
      </c>
      <c r="K312" s="15" t="str">
        <f t="shared" ca="1" si="48"/>
        <v>I2C_Expander_11!B35</v>
      </c>
    </row>
    <row r="313" spans="1:16" x14ac:dyDescent="0.25">
      <c r="A313" s="3" t="str">
        <f t="shared" ca="1" si="44"/>
        <v xml:space="preserve">pins_state = 0x09A9 </v>
      </c>
      <c r="G313" s="15">
        <f t="shared" ca="1" si="49"/>
        <v>36</v>
      </c>
      <c r="H313" s="15">
        <v>1</v>
      </c>
      <c r="I313" s="15" t="str">
        <f t="shared" ca="1" si="50"/>
        <v>I2C_Expander_11</v>
      </c>
      <c r="J313" s="15" t="str">
        <f t="shared" ca="1" si="47"/>
        <v>I2C_Expander_11!A36</v>
      </c>
      <c r="K313" s="15" t="str">
        <f t="shared" ca="1" si="48"/>
        <v>I2C_Expander_11!B36</v>
      </c>
    </row>
    <row r="314" spans="1:16" x14ac:dyDescent="0.25">
      <c r="A314" s="3" t="str">
        <f t="shared" ca="1" si="44"/>
        <v/>
      </c>
      <c r="G314" s="15">
        <f t="shared" ca="1" si="49"/>
        <v>37</v>
      </c>
      <c r="H314" s="15">
        <v>1</v>
      </c>
      <c r="I314" s="15" t="str">
        <f t="shared" ca="1" si="50"/>
        <v>I2C_Expander_11</v>
      </c>
      <c r="J314" s="15" t="str">
        <f t="shared" ca="1" si="47"/>
        <v>I2C_Expander_11!A37</v>
      </c>
      <c r="K314" s="15" t="str">
        <f t="shared" ca="1" si="48"/>
        <v>I2C_Expander_11!B37</v>
      </c>
    </row>
    <row r="315" spans="1:16" x14ac:dyDescent="0.25">
      <c r="A315" s="3" t="str">
        <f t="shared" ca="1" si="44"/>
        <v xml:space="preserve">time = 500 </v>
      </c>
      <c r="G315" s="15">
        <f t="shared" ca="1" si="49"/>
        <v>38</v>
      </c>
      <c r="H315" s="15">
        <v>1</v>
      </c>
      <c r="I315" s="15" t="str">
        <f t="shared" ca="1" si="50"/>
        <v>I2C_Expander_11</v>
      </c>
      <c r="J315" s="15" t="str">
        <f t="shared" ca="1" si="47"/>
        <v>I2C_Expander_11!A38</v>
      </c>
      <c r="K315" s="15" t="str">
        <f t="shared" ca="1" si="48"/>
        <v>I2C_Expander_11!B38</v>
      </c>
    </row>
    <row r="316" spans="1:16" x14ac:dyDescent="0.25">
      <c r="A316" s="3" t="str">
        <f t="shared" ca="1" si="44"/>
        <v/>
      </c>
      <c r="G316" s="15">
        <f t="shared" ca="1" si="49"/>
        <v>39</v>
      </c>
      <c r="H316" s="15">
        <v>1</v>
      </c>
      <c r="I316" s="15" t="str">
        <f t="shared" ca="1" si="50"/>
        <v>I2C_Expander_11</v>
      </c>
      <c r="J316" s="15" t="str">
        <f t="shared" ca="1" si="47"/>
        <v>I2C_Expander_11!A39</v>
      </c>
      <c r="K316" s="15" t="str">
        <f t="shared" ca="1" si="48"/>
        <v>I2C_Expander_11!B39</v>
      </c>
    </row>
    <row r="317" spans="1:16" x14ac:dyDescent="0.25">
      <c r="A317" s="3" t="str">
        <f t="shared" ca="1" si="44"/>
        <v/>
      </c>
      <c r="G317" s="15">
        <f t="shared" ca="1" si="49"/>
        <v>40</v>
      </c>
      <c r="H317" s="15">
        <v>1</v>
      </c>
      <c r="I317" s="15" t="str">
        <f t="shared" ca="1" si="50"/>
        <v>I2C_Expander_11</v>
      </c>
      <c r="J317" s="15" t="str">
        <f t="shared" ca="1" si="47"/>
        <v>I2C_Expander_11!A40</v>
      </c>
      <c r="K317" s="15" t="str">
        <f t="shared" ca="1" si="48"/>
        <v>I2C_Expander_11!B40</v>
      </c>
    </row>
    <row r="318" spans="1:16" x14ac:dyDescent="0.25">
      <c r="A318" s="3" t="str">
        <f t="shared" ca="1" si="44"/>
        <v/>
      </c>
      <c r="G318" s="15">
        <f t="shared" ca="1" si="49"/>
        <v>41</v>
      </c>
      <c r="H318" s="15">
        <v>1</v>
      </c>
      <c r="I318" s="15" t="str">
        <f t="shared" ca="1" si="50"/>
        <v>I2C_Expander_11</v>
      </c>
      <c r="J318" s="15" t="str">
        <f t="shared" ca="1" si="47"/>
        <v>I2C_Expander_11!A41</v>
      </c>
      <c r="K318" s="15" t="str">
        <f t="shared" ca="1" si="48"/>
        <v>I2C_Expander_11!B41</v>
      </c>
    </row>
    <row r="319" spans="1:16" x14ac:dyDescent="0.25">
      <c r="A319" s="3" t="str">
        <f t="shared" ca="1" si="44"/>
        <v/>
      </c>
      <c r="C319" s="16"/>
      <c r="G319" s="15">
        <f t="shared" ca="1" si="49"/>
        <v>42</v>
      </c>
      <c r="H319" s="15">
        <v>1</v>
      </c>
      <c r="I319" s="15" t="str">
        <f t="shared" ca="1" si="50"/>
        <v>I2C_Expander_11</v>
      </c>
      <c r="J319" s="15" t="str">
        <f t="shared" ca="1" si="47"/>
        <v>I2C_Expander_11!A42</v>
      </c>
      <c r="K319" s="15" t="str">
        <f t="shared" ca="1" si="48"/>
        <v>I2C_Expander_11!B42</v>
      </c>
    </row>
    <row r="320" spans="1:16" x14ac:dyDescent="0.25">
      <c r="A320" s="3" t="str">
        <f t="shared" ca="1" si="44"/>
        <v/>
      </c>
      <c r="G320" s="15">
        <f t="shared" ca="1" si="49"/>
        <v>43</v>
      </c>
      <c r="H320" s="15">
        <v>1</v>
      </c>
      <c r="I320" s="15" t="str">
        <f t="shared" ca="1" si="50"/>
        <v>I2C_Expander_11</v>
      </c>
      <c r="J320" s="15" t="str">
        <f t="shared" ca="1" si="47"/>
        <v>I2C_Expander_11!A43</v>
      </c>
      <c r="K320" s="15" t="str">
        <f t="shared" ca="1" si="48"/>
        <v>I2C_Expander_11!B43</v>
      </c>
    </row>
    <row r="321" spans="1:16" x14ac:dyDescent="0.25">
      <c r="A321" s="3" t="str">
        <f t="shared" ca="1" si="44"/>
        <v/>
      </c>
      <c r="G321" s="15">
        <f t="shared" ca="1" si="49"/>
        <v>44</v>
      </c>
      <c r="H321" s="15">
        <v>1</v>
      </c>
      <c r="I321" s="15" t="str">
        <f t="shared" ca="1" si="50"/>
        <v>I2C_Expander_11</v>
      </c>
      <c r="J321" s="15" t="str">
        <f t="shared" ca="1" si="47"/>
        <v>I2C_Expander_11!A44</v>
      </c>
      <c r="K321" s="15" t="str">
        <f t="shared" ca="1" si="48"/>
        <v>I2C_Expander_11!B44</v>
      </c>
    </row>
    <row r="322" spans="1:16" x14ac:dyDescent="0.25">
      <c r="A322" s="3" t="str">
        <f t="shared" ca="1" si="44"/>
        <v/>
      </c>
      <c r="G322" s="15">
        <f t="shared" ca="1" si="49"/>
        <v>45</v>
      </c>
      <c r="H322" s="15">
        <v>1</v>
      </c>
      <c r="I322" s="15" t="str">
        <f t="shared" ca="1" si="50"/>
        <v>I2C_Expander_11</v>
      </c>
      <c r="J322" s="15" t="str">
        <f t="shared" ca="1" si="47"/>
        <v>I2C_Expander_11!A45</v>
      </c>
      <c r="K322" s="15" t="str">
        <f t="shared" ca="1" si="48"/>
        <v>I2C_Expander_11!B45</v>
      </c>
    </row>
    <row r="323" spans="1:16" x14ac:dyDescent="0.25">
      <c r="A323" s="3" t="str">
        <f t="shared" ca="1" si="44"/>
        <v/>
      </c>
      <c r="G323" s="15">
        <f t="shared" ca="1" si="49"/>
        <v>46</v>
      </c>
      <c r="H323" s="15">
        <v>1</v>
      </c>
      <c r="I323" s="15" t="str">
        <f t="shared" ca="1" si="50"/>
        <v>I2C_Expander_11</v>
      </c>
      <c r="J323" s="15" t="str">
        <f t="shared" ca="1" si="47"/>
        <v>I2C_Expander_11!A46</v>
      </c>
      <c r="K323" s="15" t="str">
        <f t="shared" ca="1" si="48"/>
        <v>I2C_Expander_11!B46</v>
      </c>
    </row>
    <row r="324" spans="1:16" x14ac:dyDescent="0.25">
      <c r="A324" s="3" t="str">
        <f t="shared" ca="1" si="44"/>
        <v/>
      </c>
      <c r="G324" s="15">
        <f t="shared" ca="1" si="49"/>
        <v>47</v>
      </c>
      <c r="H324" s="15">
        <v>1</v>
      </c>
      <c r="I324" s="15" t="str">
        <f t="shared" ca="1" si="50"/>
        <v>I2C_Expander_11</v>
      </c>
      <c r="J324" s="15" t="str">
        <f t="shared" ca="1" si="47"/>
        <v>I2C_Expander_11!A47</v>
      </c>
      <c r="K324" s="15" t="str">
        <f t="shared" ca="1" si="48"/>
        <v>I2C_Expander_11!B47</v>
      </c>
    </row>
    <row r="325" spans="1:16" x14ac:dyDescent="0.25">
      <c r="A325" s="3" t="str">
        <f t="shared" ca="1" si="44"/>
        <v/>
      </c>
      <c r="G325" s="15">
        <f t="shared" ca="1" si="49"/>
        <v>48</v>
      </c>
      <c r="H325" s="15">
        <v>1</v>
      </c>
      <c r="I325" s="15" t="str">
        <f t="shared" ca="1" si="50"/>
        <v>I2C_Expander_11</v>
      </c>
      <c r="J325" s="15" t="str">
        <f t="shared" ca="1" si="47"/>
        <v>I2C_Expander_11!A48</v>
      </c>
      <c r="K325" s="15" t="str">
        <f t="shared" ca="1" si="48"/>
        <v>I2C_Expander_11!B48</v>
      </c>
    </row>
    <row r="326" spans="1:16" x14ac:dyDescent="0.25">
      <c r="A326" s="3" t="str">
        <f t="shared" ca="1" si="44"/>
        <v/>
      </c>
      <c r="G326" s="15">
        <f t="shared" ca="1" si="49"/>
        <v>49</v>
      </c>
      <c r="H326" s="15">
        <v>1</v>
      </c>
      <c r="I326" s="15" t="str">
        <f t="shared" ca="1" si="50"/>
        <v>I2C_Expander_11</v>
      </c>
      <c r="J326" s="15" t="str">
        <f t="shared" ca="1" si="47"/>
        <v>I2C_Expander_11!A49</v>
      </c>
      <c r="K326" s="15" t="str">
        <f t="shared" ca="1" si="48"/>
        <v>I2C_Expander_11!B49</v>
      </c>
    </row>
    <row r="327" spans="1:16" x14ac:dyDescent="0.25">
      <c r="A327" s="3" t="str">
        <f t="shared" ca="1" si="44"/>
        <v/>
      </c>
      <c r="G327" s="15">
        <f t="shared" ca="1" si="49"/>
        <v>50</v>
      </c>
      <c r="H327" s="15">
        <v>1</v>
      </c>
      <c r="I327" s="15" t="str">
        <f t="shared" ca="1" si="50"/>
        <v>I2C_Expander_11</v>
      </c>
      <c r="J327" s="15" t="str">
        <f t="shared" ca="1" si="47"/>
        <v>I2C_Expander_11!A50</v>
      </c>
      <c r="K327" s="15" t="str">
        <f t="shared" ca="1" si="48"/>
        <v>I2C_Expander_11!B50</v>
      </c>
    </row>
    <row r="328" spans="1:16" x14ac:dyDescent="0.25">
      <c r="A328" s="3" t="str">
        <f t="shared" ca="1" si="44"/>
        <v xml:space="preserve">#I2C_Expander_12:wartość safe =  </v>
      </c>
      <c r="G328" s="15">
        <f ca="1">INDIRECT(M328)</f>
        <v>31</v>
      </c>
      <c r="H328" s="15">
        <v>1</v>
      </c>
      <c r="I328" s="15" t="str">
        <f ca="1">INDIRECT(N328)</f>
        <v>I2C_Expander_12</v>
      </c>
      <c r="J328" s="15" t="str">
        <f t="shared" ca="1" si="47"/>
        <v>I2C_Expander_12!A31</v>
      </c>
      <c r="K328" s="15" t="str">
        <f t="shared" ca="1" si="48"/>
        <v>I2C_Expander_12!B31</v>
      </c>
      <c r="M328" s="15" t="str">
        <f>ADDRESS(O328,3,4,1,$R$1)</f>
        <v>konfig!C18</v>
      </c>
      <c r="N328" s="15" t="str">
        <f>ADDRESS(O328,1,4,1,$R$1)</f>
        <v>konfig!A18</v>
      </c>
      <c r="O328" s="15">
        <v>18</v>
      </c>
      <c r="P328" s="15">
        <v>4</v>
      </c>
    </row>
    <row r="329" spans="1:16" x14ac:dyDescent="0.25">
      <c r="A329" s="3" t="str">
        <f t="shared" ca="1" si="44"/>
        <v xml:space="preserve">device = MCP23017 </v>
      </c>
      <c r="G329" s="15">
        <f ca="1">G328+1</f>
        <v>32</v>
      </c>
      <c r="H329" s="15">
        <v>1</v>
      </c>
      <c r="I329" s="15" t="str">
        <f ca="1">I328</f>
        <v>I2C_Expander_12</v>
      </c>
      <c r="J329" s="15" t="str">
        <f t="shared" ca="1" si="47"/>
        <v>I2C_Expander_12!A32</v>
      </c>
      <c r="K329" s="15" t="str">
        <f t="shared" ca="1" si="48"/>
        <v>I2C_Expander_12!B32</v>
      </c>
    </row>
    <row r="330" spans="1:16" x14ac:dyDescent="0.25">
      <c r="A330" s="3" t="str">
        <f t="shared" ca="1" si="44"/>
        <v xml:space="preserve">i2c_addr = 0x22 </v>
      </c>
      <c r="G330" s="15">
        <f t="shared" ref="G330:G347" ca="1" si="51">G329+1</f>
        <v>33</v>
      </c>
      <c r="H330" s="15">
        <v>1</v>
      </c>
      <c r="I330" s="15" t="str">
        <f t="shared" ref="I330:I347" ca="1" si="52">I329</f>
        <v>I2C_Expander_12</v>
      </c>
      <c r="J330" s="15" t="str">
        <f t="shared" ca="1" si="47"/>
        <v>I2C_Expander_12!A33</v>
      </c>
      <c r="K330" s="15" t="str">
        <f t="shared" ca="1" si="48"/>
        <v>I2C_Expander_12!B33</v>
      </c>
    </row>
    <row r="331" spans="1:16" x14ac:dyDescent="0.25">
      <c r="A331" s="3" t="str">
        <f t="shared" ca="1" si="44"/>
        <v xml:space="preserve">i2c_num = /dev/i2c-1 </v>
      </c>
      <c r="C331" s="16"/>
      <c r="G331" s="15">
        <f t="shared" ca="1" si="51"/>
        <v>34</v>
      </c>
      <c r="H331" s="15">
        <v>1</v>
      </c>
      <c r="I331" s="15" t="str">
        <f t="shared" ca="1" si="52"/>
        <v>I2C_Expander_12</v>
      </c>
      <c r="J331" s="15" t="str">
        <f t="shared" ca="1" si="47"/>
        <v>I2C_Expander_12!A34</v>
      </c>
      <c r="K331" s="15" t="str">
        <f t="shared" ca="1" si="48"/>
        <v>I2C_Expander_12!B34</v>
      </c>
    </row>
    <row r="332" spans="1:16" x14ac:dyDescent="0.25">
      <c r="A332" s="3" t="str">
        <f t="shared" ca="1" si="44"/>
        <v xml:space="preserve">pins_mode = 0xFFFF </v>
      </c>
      <c r="G332" s="15">
        <f t="shared" ca="1" si="51"/>
        <v>35</v>
      </c>
      <c r="H332" s="15">
        <v>1</v>
      </c>
      <c r="I332" s="15" t="str">
        <f t="shared" ca="1" si="52"/>
        <v>I2C_Expander_12</v>
      </c>
      <c r="J332" s="15" t="str">
        <f t="shared" ca="1" si="47"/>
        <v>I2C_Expander_12!A35</v>
      </c>
      <c r="K332" s="15" t="str">
        <f t="shared" ca="1" si="48"/>
        <v>I2C_Expander_12!B35</v>
      </c>
    </row>
    <row r="333" spans="1:16" x14ac:dyDescent="0.25">
      <c r="A333" s="3" t="str">
        <f t="shared" ca="1" si="44"/>
        <v xml:space="preserve">pins_state = 0x0000 </v>
      </c>
      <c r="G333" s="15">
        <f t="shared" ca="1" si="51"/>
        <v>36</v>
      </c>
      <c r="H333" s="15">
        <v>1</v>
      </c>
      <c r="I333" s="15" t="str">
        <f t="shared" ca="1" si="52"/>
        <v>I2C_Expander_12</v>
      </c>
      <c r="J333" s="15" t="str">
        <f t="shared" ca="1" si="47"/>
        <v>I2C_Expander_12!A36</v>
      </c>
      <c r="K333" s="15" t="str">
        <f t="shared" ca="1" si="48"/>
        <v>I2C_Expander_12!B36</v>
      </c>
    </row>
    <row r="334" spans="1:16" x14ac:dyDescent="0.25">
      <c r="A334" s="3" t="str">
        <f t="shared" ca="1" si="44"/>
        <v/>
      </c>
      <c r="G334" s="15">
        <f t="shared" ca="1" si="51"/>
        <v>37</v>
      </c>
      <c r="H334" s="15">
        <v>1</v>
      </c>
      <c r="I334" s="15" t="str">
        <f t="shared" ca="1" si="52"/>
        <v>I2C_Expander_12</v>
      </c>
      <c r="J334" s="15" t="str">
        <f t="shared" ca="1" si="47"/>
        <v>I2C_Expander_12!A37</v>
      </c>
      <c r="K334" s="15" t="str">
        <f t="shared" ca="1" si="48"/>
        <v>I2C_Expander_12!B37</v>
      </c>
    </row>
    <row r="335" spans="1:16" x14ac:dyDescent="0.25">
      <c r="A335" s="3" t="str">
        <f t="shared" ca="1" si="44"/>
        <v xml:space="preserve">time = 500 </v>
      </c>
      <c r="G335" s="15">
        <f t="shared" ca="1" si="51"/>
        <v>38</v>
      </c>
      <c r="H335" s="15">
        <v>1</v>
      </c>
      <c r="I335" s="15" t="str">
        <f t="shared" ca="1" si="52"/>
        <v>I2C_Expander_12</v>
      </c>
      <c r="J335" s="15" t="str">
        <f t="shared" ca="1" si="47"/>
        <v>I2C_Expander_12!A38</v>
      </c>
      <c r="K335" s="15" t="str">
        <f t="shared" ca="1" si="48"/>
        <v>I2C_Expander_12!B38</v>
      </c>
    </row>
    <row r="336" spans="1:16" x14ac:dyDescent="0.25">
      <c r="A336" s="3" t="str">
        <f t="shared" ca="1" si="44"/>
        <v/>
      </c>
      <c r="G336" s="15">
        <f t="shared" ca="1" si="51"/>
        <v>39</v>
      </c>
      <c r="H336" s="15">
        <v>1</v>
      </c>
      <c r="I336" s="15" t="str">
        <f t="shared" ca="1" si="52"/>
        <v>I2C_Expander_12</v>
      </c>
      <c r="J336" s="15" t="str">
        <f t="shared" ca="1" si="47"/>
        <v>I2C_Expander_12!A39</v>
      </c>
      <c r="K336" s="15" t="str">
        <f t="shared" ca="1" si="48"/>
        <v>I2C_Expander_12!B39</v>
      </c>
    </row>
    <row r="337" spans="1:16" x14ac:dyDescent="0.25">
      <c r="A337" s="3" t="str">
        <f t="shared" ca="1" si="44"/>
        <v/>
      </c>
      <c r="G337" s="15">
        <f t="shared" ca="1" si="51"/>
        <v>40</v>
      </c>
      <c r="H337" s="15">
        <v>1</v>
      </c>
      <c r="I337" s="15" t="str">
        <f t="shared" ca="1" si="52"/>
        <v>I2C_Expander_12</v>
      </c>
      <c r="J337" s="15" t="str">
        <f t="shared" ca="1" si="47"/>
        <v>I2C_Expander_12!A40</v>
      </c>
      <c r="K337" s="15" t="str">
        <f t="shared" ca="1" si="48"/>
        <v>I2C_Expander_12!B40</v>
      </c>
    </row>
    <row r="338" spans="1:16" x14ac:dyDescent="0.25">
      <c r="A338" s="3" t="str">
        <f t="shared" ca="1" si="44"/>
        <v/>
      </c>
      <c r="G338" s="15">
        <f t="shared" ca="1" si="51"/>
        <v>41</v>
      </c>
      <c r="H338" s="15">
        <v>1</v>
      </c>
      <c r="I338" s="15" t="str">
        <f t="shared" ca="1" si="52"/>
        <v>I2C_Expander_12</v>
      </c>
      <c r="J338" s="15" t="str">
        <f t="shared" ca="1" si="47"/>
        <v>I2C_Expander_12!A41</v>
      </c>
      <c r="K338" s="15" t="str">
        <f t="shared" ca="1" si="48"/>
        <v>I2C_Expander_12!B41</v>
      </c>
    </row>
    <row r="339" spans="1:16" x14ac:dyDescent="0.25">
      <c r="A339" s="3" t="str">
        <f t="shared" ca="1" si="44"/>
        <v/>
      </c>
      <c r="C339" s="16"/>
      <c r="G339" s="15">
        <f t="shared" ca="1" si="51"/>
        <v>42</v>
      </c>
      <c r="H339" s="15">
        <v>1</v>
      </c>
      <c r="I339" s="15" t="str">
        <f t="shared" ca="1" si="52"/>
        <v>I2C_Expander_12</v>
      </c>
      <c r="J339" s="15" t="str">
        <f t="shared" ca="1" si="47"/>
        <v>I2C_Expander_12!A42</v>
      </c>
      <c r="K339" s="15" t="str">
        <f t="shared" ca="1" si="48"/>
        <v>I2C_Expander_12!B42</v>
      </c>
    </row>
    <row r="340" spans="1:16" x14ac:dyDescent="0.25">
      <c r="A340" s="3" t="str">
        <f t="shared" ca="1" si="44"/>
        <v/>
      </c>
      <c r="G340" s="15">
        <f t="shared" ca="1" si="51"/>
        <v>43</v>
      </c>
      <c r="H340" s="15">
        <v>1</v>
      </c>
      <c r="I340" s="15" t="str">
        <f t="shared" ca="1" si="52"/>
        <v>I2C_Expander_12</v>
      </c>
      <c r="J340" s="15" t="str">
        <f t="shared" ca="1" si="47"/>
        <v>I2C_Expander_12!A43</v>
      </c>
      <c r="K340" s="15" t="str">
        <f t="shared" ca="1" si="48"/>
        <v>I2C_Expander_12!B43</v>
      </c>
    </row>
    <row r="341" spans="1:16" x14ac:dyDescent="0.25">
      <c r="A341" s="3" t="str">
        <f t="shared" ca="1" si="44"/>
        <v/>
      </c>
      <c r="G341" s="15">
        <f t="shared" ca="1" si="51"/>
        <v>44</v>
      </c>
      <c r="H341" s="15">
        <v>1</v>
      </c>
      <c r="I341" s="15" t="str">
        <f t="shared" ca="1" si="52"/>
        <v>I2C_Expander_12</v>
      </c>
      <c r="J341" s="15" t="str">
        <f t="shared" ca="1" si="47"/>
        <v>I2C_Expander_12!A44</v>
      </c>
      <c r="K341" s="15" t="str">
        <f t="shared" ca="1" si="48"/>
        <v>I2C_Expander_12!B44</v>
      </c>
    </row>
    <row r="342" spans="1:16" x14ac:dyDescent="0.25">
      <c r="A342" s="3" t="str">
        <f t="shared" ca="1" si="44"/>
        <v/>
      </c>
      <c r="G342" s="15">
        <f t="shared" ca="1" si="51"/>
        <v>45</v>
      </c>
      <c r="H342" s="15">
        <v>1</v>
      </c>
      <c r="I342" s="15" t="str">
        <f t="shared" ca="1" si="52"/>
        <v>I2C_Expander_12</v>
      </c>
      <c r="J342" s="15" t="str">
        <f t="shared" ca="1" si="47"/>
        <v>I2C_Expander_12!A45</v>
      </c>
      <c r="K342" s="15" t="str">
        <f t="shared" ca="1" si="48"/>
        <v>I2C_Expander_12!B45</v>
      </c>
    </row>
    <row r="343" spans="1:16" x14ac:dyDescent="0.25">
      <c r="A343" s="3" t="str">
        <f t="shared" ca="1" si="44"/>
        <v/>
      </c>
      <c r="G343" s="15">
        <f t="shared" ca="1" si="51"/>
        <v>46</v>
      </c>
      <c r="H343" s="15">
        <v>1</v>
      </c>
      <c r="I343" s="15" t="str">
        <f t="shared" ca="1" si="52"/>
        <v>I2C_Expander_12</v>
      </c>
      <c r="J343" s="15" t="str">
        <f t="shared" ca="1" si="47"/>
        <v>I2C_Expander_12!A46</v>
      </c>
      <c r="K343" s="15" t="str">
        <f t="shared" ca="1" si="48"/>
        <v>I2C_Expander_12!B46</v>
      </c>
    </row>
    <row r="344" spans="1:16" x14ac:dyDescent="0.25">
      <c r="A344" s="3" t="str">
        <f t="shared" ca="1" si="44"/>
        <v/>
      </c>
      <c r="G344" s="15">
        <f t="shared" ca="1" si="51"/>
        <v>47</v>
      </c>
      <c r="H344" s="15">
        <v>1</v>
      </c>
      <c r="I344" s="15" t="str">
        <f t="shared" ca="1" si="52"/>
        <v>I2C_Expander_12</v>
      </c>
      <c r="J344" s="15" t="str">
        <f t="shared" ca="1" si="47"/>
        <v>I2C_Expander_12!A47</v>
      </c>
      <c r="K344" s="15" t="str">
        <f t="shared" ca="1" si="48"/>
        <v>I2C_Expander_12!B47</v>
      </c>
    </row>
    <row r="345" spans="1:16" x14ac:dyDescent="0.25">
      <c r="A345" s="3" t="str">
        <f t="shared" ca="1" si="44"/>
        <v/>
      </c>
      <c r="G345" s="15">
        <f t="shared" ca="1" si="51"/>
        <v>48</v>
      </c>
      <c r="H345" s="15">
        <v>1</v>
      </c>
      <c r="I345" s="15" t="str">
        <f t="shared" ca="1" si="52"/>
        <v>I2C_Expander_12</v>
      </c>
      <c r="J345" s="15" t="str">
        <f t="shared" ca="1" si="47"/>
        <v>I2C_Expander_12!A48</v>
      </c>
      <c r="K345" s="15" t="str">
        <f t="shared" ca="1" si="48"/>
        <v>I2C_Expander_12!B48</v>
      </c>
    </row>
    <row r="346" spans="1:16" x14ac:dyDescent="0.25">
      <c r="A346" s="3" t="str">
        <f t="shared" ca="1" si="44"/>
        <v/>
      </c>
      <c r="G346" s="15">
        <f t="shared" ca="1" si="51"/>
        <v>49</v>
      </c>
      <c r="H346" s="15">
        <v>1</v>
      </c>
      <c r="I346" s="15" t="str">
        <f t="shared" ca="1" si="52"/>
        <v>I2C_Expander_12</v>
      </c>
      <c r="J346" s="15" t="str">
        <f t="shared" ca="1" si="47"/>
        <v>I2C_Expander_12!A49</v>
      </c>
      <c r="K346" s="15" t="str">
        <f t="shared" ca="1" si="48"/>
        <v>I2C_Expander_12!B49</v>
      </c>
    </row>
    <row r="347" spans="1:16" x14ac:dyDescent="0.25">
      <c r="A347" s="3" t="str">
        <f t="shared" ca="1" si="44"/>
        <v/>
      </c>
      <c r="G347" s="15">
        <f t="shared" ca="1" si="51"/>
        <v>50</v>
      </c>
      <c r="H347" s="15">
        <v>1</v>
      </c>
      <c r="I347" s="15" t="str">
        <f t="shared" ca="1" si="52"/>
        <v>I2C_Expander_12</v>
      </c>
      <c r="J347" s="15" t="str">
        <f t="shared" ca="1" si="47"/>
        <v>I2C_Expander_12!A50</v>
      </c>
      <c r="K347" s="15" t="str">
        <f t="shared" ca="1" si="48"/>
        <v>I2C_Expander_12!B50</v>
      </c>
    </row>
    <row r="348" spans="1:16" x14ac:dyDescent="0.25">
      <c r="A348" s="3" t="str">
        <f t="shared" ref="A348:A411" ca="1" si="53">IFERROR(IF(INDIRECT(J348)&lt;&gt;"",CONCATENATE(INDIRECT(J348)," = ",INDIRECT(K348)," "),""),"")</f>
        <v xml:space="preserve">#I2C_Bridge_GPIO:exp_group_0x =  </v>
      </c>
      <c r="G348" s="15">
        <f ca="1">INDIRECT(M348)</f>
        <v>51</v>
      </c>
      <c r="H348" s="15">
        <v>1</v>
      </c>
      <c r="I348" s="15" t="str">
        <f ca="1">INDIRECT(N348)</f>
        <v>I2C_Bridge_GPIO</v>
      </c>
      <c r="J348" s="15" t="str">
        <f t="shared" ca="1" si="47"/>
        <v>I2C_Bridge_GPIO!A51</v>
      </c>
      <c r="K348" s="15" t="str">
        <f t="shared" ca="1" si="48"/>
        <v>I2C_Bridge_GPIO!B51</v>
      </c>
      <c r="M348" s="15" t="str">
        <f>ADDRESS(O348,3,4,1,$R$1)</f>
        <v>konfig!C19</v>
      </c>
      <c r="N348" s="15" t="str">
        <f>ADDRESS(O348,1,4,1,$R$1)</f>
        <v>konfig!A19</v>
      </c>
      <c r="O348" s="15">
        <v>19</v>
      </c>
      <c r="P348" s="15">
        <v>4</v>
      </c>
    </row>
    <row r="349" spans="1:16" x14ac:dyDescent="0.25">
      <c r="A349" s="3" t="str">
        <f t="shared" ca="1" si="53"/>
        <v xml:space="preserve">device = TCA9548 </v>
      </c>
      <c r="G349" s="15">
        <f ca="1">G348+1</f>
        <v>52</v>
      </c>
      <c r="H349" s="15">
        <v>1</v>
      </c>
      <c r="I349" s="15" t="str">
        <f ca="1">I348</f>
        <v>I2C_Bridge_GPIO</v>
      </c>
      <c r="J349" s="15" t="str">
        <f t="shared" ca="1" si="47"/>
        <v>I2C_Bridge_GPIO!A52</v>
      </c>
      <c r="K349" s="15" t="str">
        <f t="shared" ca="1" si="48"/>
        <v>I2C_Bridge_GPIO!B52</v>
      </c>
    </row>
    <row r="350" spans="1:16" x14ac:dyDescent="0.25">
      <c r="A350" s="3" t="str">
        <f t="shared" ca="1" si="53"/>
        <v xml:space="preserve">i2c_addr = 0x73 </v>
      </c>
      <c r="G350" s="15">
        <f t="shared" ref="G350:G367" ca="1" si="54">G349+1</f>
        <v>53</v>
      </c>
      <c r="H350" s="15">
        <v>1</v>
      </c>
      <c r="I350" s="15" t="str">
        <f t="shared" ref="I350:I367" ca="1" si="55">I349</f>
        <v>I2C_Bridge_GPIO</v>
      </c>
      <c r="J350" s="15" t="str">
        <f t="shared" ca="1" si="47"/>
        <v>I2C_Bridge_GPIO!A53</v>
      </c>
      <c r="K350" s="15" t="str">
        <f t="shared" ca="1" si="48"/>
        <v>I2C_Bridge_GPIO!B53</v>
      </c>
    </row>
    <row r="351" spans="1:16" x14ac:dyDescent="0.25">
      <c r="A351" s="3" t="str">
        <f t="shared" ca="1" si="53"/>
        <v xml:space="preserve">i2c_num = /dev/i2c-1 </v>
      </c>
      <c r="C351" s="16"/>
      <c r="G351" s="15">
        <f t="shared" ca="1" si="54"/>
        <v>54</v>
      </c>
      <c r="H351" s="15">
        <v>1</v>
      </c>
      <c r="I351" s="15" t="str">
        <f t="shared" ca="1" si="55"/>
        <v>I2C_Bridge_GPIO</v>
      </c>
      <c r="J351" s="15" t="str">
        <f t="shared" ca="1" si="47"/>
        <v>I2C_Bridge_GPIO!A54</v>
      </c>
      <c r="K351" s="15" t="str">
        <f t="shared" ca="1" si="48"/>
        <v>I2C_Bridge_GPIO!B54</v>
      </c>
    </row>
    <row r="352" spans="1:16" x14ac:dyDescent="0.25">
      <c r="A352" s="3" t="str">
        <f t="shared" ca="1" si="53"/>
        <v xml:space="preserve">ctrl_reg = 0x01 </v>
      </c>
      <c r="G352" s="15">
        <f t="shared" ca="1" si="54"/>
        <v>55</v>
      </c>
      <c r="H352" s="15">
        <v>1</v>
      </c>
      <c r="I352" s="15" t="str">
        <f t="shared" ca="1" si="55"/>
        <v>I2C_Bridge_GPIO</v>
      </c>
      <c r="J352" s="15" t="str">
        <f t="shared" ca="1" si="47"/>
        <v>I2C_Bridge_GPIO!A55</v>
      </c>
      <c r="K352" s="15" t="str">
        <f t="shared" ca="1" si="48"/>
        <v>I2C_Bridge_GPIO!B55</v>
      </c>
    </row>
    <row r="353" spans="1:16" x14ac:dyDescent="0.25">
      <c r="A353" s="3" t="str">
        <f t="shared" ca="1" si="53"/>
        <v/>
      </c>
      <c r="G353" s="15">
        <f t="shared" ca="1" si="54"/>
        <v>56</v>
      </c>
      <c r="H353" s="15">
        <v>1</v>
      </c>
      <c r="I353" s="15" t="str">
        <f t="shared" ca="1" si="55"/>
        <v>I2C_Bridge_GPIO</v>
      </c>
      <c r="J353" s="15" t="str">
        <f t="shared" ca="1" si="47"/>
        <v>I2C_Bridge_GPIO!A56</v>
      </c>
      <c r="K353" s="15" t="str">
        <f t="shared" ca="1" si="48"/>
        <v>I2C_Bridge_GPIO!B56</v>
      </c>
    </row>
    <row r="354" spans="1:16" x14ac:dyDescent="0.25">
      <c r="A354" s="3" t="str">
        <f t="shared" ca="1" si="53"/>
        <v xml:space="preserve">time = 10 </v>
      </c>
      <c r="G354" s="15">
        <f t="shared" ca="1" si="54"/>
        <v>57</v>
      </c>
      <c r="H354" s="15">
        <v>1</v>
      </c>
      <c r="I354" s="15" t="str">
        <f t="shared" ca="1" si="55"/>
        <v>I2C_Bridge_GPIO</v>
      </c>
      <c r="J354" s="15" t="str">
        <f t="shared" ca="1" si="47"/>
        <v>I2C_Bridge_GPIO!A57</v>
      </c>
      <c r="K354" s="15" t="str">
        <f t="shared" ca="1" si="48"/>
        <v>I2C_Bridge_GPIO!B57</v>
      </c>
    </row>
    <row r="355" spans="1:16" x14ac:dyDescent="0.25">
      <c r="A355" s="3" t="str">
        <f t="shared" ca="1" si="53"/>
        <v/>
      </c>
      <c r="G355" s="15">
        <f t="shared" ca="1" si="54"/>
        <v>58</v>
      </c>
      <c r="H355" s="15">
        <v>1</v>
      </c>
      <c r="I355" s="15" t="str">
        <f t="shared" ca="1" si="55"/>
        <v>I2C_Bridge_GPIO</v>
      </c>
      <c r="J355" s="15" t="str">
        <f t="shared" ca="1" si="47"/>
        <v>I2C_Bridge_GPIO!A58</v>
      </c>
      <c r="K355" s="15" t="str">
        <f t="shared" ca="1" si="48"/>
        <v>I2C_Bridge_GPIO!B58</v>
      </c>
    </row>
    <row r="356" spans="1:16" x14ac:dyDescent="0.25">
      <c r="A356" s="3" t="str">
        <f t="shared" ca="1" si="53"/>
        <v/>
      </c>
      <c r="G356" s="15">
        <f t="shared" ca="1" si="54"/>
        <v>59</v>
      </c>
      <c r="H356" s="15">
        <v>1</v>
      </c>
      <c r="I356" s="15" t="str">
        <f t="shared" ca="1" si="55"/>
        <v>I2C_Bridge_GPIO</v>
      </c>
      <c r="J356" s="15" t="str">
        <f t="shared" ca="1" si="47"/>
        <v>I2C_Bridge_GPIO!A59</v>
      </c>
      <c r="K356" s="15" t="str">
        <f t="shared" ca="1" si="48"/>
        <v>I2C_Bridge_GPIO!B59</v>
      </c>
    </row>
    <row r="357" spans="1:16" x14ac:dyDescent="0.25">
      <c r="A357" s="3" t="str">
        <f t="shared" ca="1" si="53"/>
        <v/>
      </c>
      <c r="G357" s="15">
        <f t="shared" ca="1" si="54"/>
        <v>60</v>
      </c>
      <c r="H357" s="15">
        <v>1</v>
      </c>
      <c r="I357" s="15" t="str">
        <f t="shared" ca="1" si="55"/>
        <v>I2C_Bridge_GPIO</v>
      </c>
      <c r="J357" s="15" t="str">
        <f t="shared" ca="1" si="47"/>
        <v>I2C_Bridge_GPIO!A60</v>
      </c>
      <c r="K357" s="15" t="str">
        <f t="shared" ca="1" si="48"/>
        <v>I2C_Bridge_GPIO!B60</v>
      </c>
    </row>
    <row r="358" spans="1:16" x14ac:dyDescent="0.25">
      <c r="A358" s="3" t="str">
        <f t="shared" ca="1" si="53"/>
        <v/>
      </c>
      <c r="G358" s="15">
        <f t="shared" ca="1" si="54"/>
        <v>61</v>
      </c>
      <c r="H358" s="15">
        <v>1</v>
      </c>
      <c r="I358" s="15" t="str">
        <f t="shared" ca="1" si="55"/>
        <v>I2C_Bridge_GPIO</v>
      </c>
      <c r="J358" s="15" t="str">
        <f t="shared" ca="1" si="47"/>
        <v>I2C_Bridge_GPIO!A61</v>
      </c>
      <c r="K358" s="15" t="str">
        <f t="shared" ca="1" si="48"/>
        <v>I2C_Bridge_GPIO!B61</v>
      </c>
    </row>
    <row r="359" spans="1:16" x14ac:dyDescent="0.25">
      <c r="A359" s="3" t="str">
        <f t="shared" ca="1" si="53"/>
        <v/>
      </c>
      <c r="C359" s="16"/>
      <c r="G359" s="15">
        <f t="shared" ca="1" si="54"/>
        <v>62</v>
      </c>
      <c r="H359" s="15">
        <v>1</v>
      </c>
      <c r="I359" s="15" t="str">
        <f t="shared" ca="1" si="55"/>
        <v>I2C_Bridge_GPIO</v>
      </c>
      <c r="J359" s="15" t="str">
        <f t="shared" ca="1" si="47"/>
        <v>I2C_Bridge_GPIO!A62</v>
      </c>
      <c r="K359" s="15" t="str">
        <f t="shared" ca="1" si="48"/>
        <v>I2C_Bridge_GPIO!B62</v>
      </c>
    </row>
    <row r="360" spans="1:16" x14ac:dyDescent="0.25">
      <c r="A360" s="3" t="str">
        <f t="shared" ca="1" si="53"/>
        <v/>
      </c>
      <c r="G360" s="15">
        <f t="shared" ca="1" si="54"/>
        <v>63</v>
      </c>
      <c r="H360" s="15">
        <v>1</v>
      </c>
      <c r="I360" s="15" t="str">
        <f t="shared" ca="1" si="55"/>
        <v>I2C_Bridge_GPIO</v>
      </c>
      <c r="J360" s="15" t="str">
        <f t="shared" ca="1" si="47"/>
        <v>I2C_Bridge_GPIO!A63</v>
      </c>
      <c r="K360" s="15" t="str">
        <f t="shared" ca="1" si="48"/>
        <v>I2C_Bridge_GPIO!B63</v>
      </c>
    </row>
    <row r="361" spans="1:16" x14ac:dyDescent="0.25">
      <c r="A361" s="3" t="str">
        <f t="shared" ca="1" si="53"/>
        <v/>
      </c>
      <c r="G361" s="15">
        <f t="shared" ca="1" si="54"/>
        <v>64</v>
      </c>
      <c r="H361" s="15">
        <v>1</v>
      </c>
      <c r="I361" s="15" t="str">
        <f t="shared" ca="1" si="55"/>
        <v>I2C_Bridge_GPIO</v>
      </c>
      <c r="J361" s="15" t="str">
        <f t="shared" ca="1" si="47"/>
        <v>I2C_Bridge_GPIO!A64</v>
      </c>
      <c r="K361" s="15" t="str">
        <f t="shared" ca="1" si="48"/>
        <v>I2C_Bridge_GPIO!B64</v>
      </c>
    </row>
    <row r="362" spans="1:16" x14ac:dyDescent="0.25">
      <c r="A362" s="3" t="str">
        <f t="shared" ca="1" si="53"/>
        <v/>
      </c>
      <c r="G362" s="15">
        <f t="shared" ca="1" si="54"/>
        <v>65</v>
      </c>
      <c r="H362" s="15">
        <v>1</v>
      </c>
      <c r="I362" s="15" t="str">
        <f t="shared" ca="1" si="55"/>
        <v>I2C_Bridge_GPIO</v>
      </c>
      <c r="J362" s="15" t="str">
        <f t="shared" ca="1" si="47"/>
        <v>I2C_Bridge_GPIO!A65</v>
      </c>
      <c r="K362" s="15" t="str">
        <f t="shared" ca="1" si="48"/>
        <v>I2C_Bridge_GPIO!B65</v>
      </c>
    </row>
    <row r="363" spans="1:16" x14ac:dyDescent="0.25">
      <c r="A363" s="3" t="str">
        <f t="shared" ca="1" si="53"/>
        <v/>
      </c>
      <c r="G363" s="15">
        <f t="shared" ca="1" si="54"/>
        <v>66</v>
      </c>
      <c r="H363" s="15">
        <v>1</v>
      </c>
      <c r="I363" s="15" t="str">
        <f t="shared" ca="1" si="55"/>
        <v>I2C_Bridge_GPIO</v>
      </c>
      <c r="J363" s="15" t="str">
        <f t="shared" ca="1" si="47"/>
        <v>I2C_Bridge_GPIO!A66</v>
      </c>
      <c r="K363" s="15" t="str">
        <f t="shared" ca="1" si="48"/>
        <v>I2C_Bridge_GPIO!B66</v>
      </c>
    </row>
    <row r="364" spans="1:16" x14ac:dyDescent="0.25">
      <c r="A364" s="3" t="str">
        <f t="shared" ca="1" si="53"/>
        <v/>
      </c>
      <c r="G364" s="15">
        <f t="shared" ca="1" si="54"/>
        <v>67</v>
      </c>
      <c r="H364" s="15">
        <v>1</v>
      </c>
      <c r="I364" s="15" t="str">
        <f t="shared" ca="1" si="55"/>
        <v>I2C_Bridge_GPIO</v>
      </c>
      <c r="J364" s="15" t="str">
        <f t="shared" ref="J364:J427" ca="1" si="56">ADDRESS(G364,H364,4,1,I364)</f>
        <v>I2C_Bridge_GPIO!A67</v>
      </c>
      <c r="K364" s="15" t="str">
        <f t="shared" ref="K364:K427" ca="1" si="57">ADDRESS(G364,H364+1,4,1,I364)</f>
        <v>I2C_Bridge_GPIO!B67</v>
      </c>
    </row>
    <row r="365" spans="1:16" x14ac:dyDescent="0.25">
      <c r="A365" s="3" t="str">
        <f t="shared" ca="1" si="53"/>
        <v/>
      </c>
      <c r="G365" s="15">
        <f t="shared" ca="1" si="54"/>
        <v>68</v>
      </c>
      <c r="H365" s="15">
        <v>1</v>
      </c>
      <c r="I365" s="15" t="str">
        <f t="shared" ca="1" si="55"/>
        <v>I2C_Bridge_GPIO</v>
      </c>
      <c r="J365" s="15" t="str">
        <f t="shared" ca="1" si="56"/>
        <v>I2C_Bridge_GPIO!A68</v>
      </c>
      <c r="K365" s="15" t="str">
        <f t="shared" ca="1" si="57"/>
        <v>I2C_Bridge_GPIO!B68</v>
      </c>
    </row>
    <row r="366" spans="1:16" x14ac:dyDescent="0.25">
      <c r="A366" s="3" t="str">
        <f t="shared" ca="1" si="53"/>
        <v/>
      </c>
      <c r="G366" s="15">
        <f t="shared" ca="1" si="54"/>
        <v>69</v>
      </c>
      <c r="H366" s="15">
        <v>1</v>
      </c>
      <c r="I366" s="15" t="str">
        <f t="shared" ca="1" si="55"/>
        <v>I2C_Bridge_GPIO</v>
      </c>
      <c r="J366" s="15" t="str">
        <f t="shared" ca="1" si="56"/>
        <v>I2C_Bridge_GPIO!A69</v>
      </c>
      <c r="K366" s="15" t="str">
        <f t="shared" ca="1" si="57"/>
        <v>I2C_Bridge_GPIO!B69</v>
      </c>
    </row>
    <row r="367" spans="1:16" x14ac:dyDescent="0.25">
      <c r="A367" s="3" t="str">
        <f t="shared" ca="1" si="53"/>
        <v/>
      </c>
      <c r="G367" s="15">
        <f t="shared" ca="1" si="54"/>
        <v>70</v>
      </c>
      <c r="H367" s="15">
        <v>1</v>
      </c>
      <c r="I367" s="15" t="str">
        <f t="shared" ca="1" si="55"/>
        <v>I2C_Bridge_GPIO</v>
      </c>
      <c r="J367" s="15" t="str">
        <f t="shared" ca="1" si="56"/>
        <v>I2C_Bridge_GPIO!A70</v>
      </c>
      <c r="K367" s="15" t="str">
        <f t="shared" ca="1" si="57"/>
        <v>I2C_Bridge_GPIO!B70</v>
      </c>
    </row>
    <row r="368" spans="1:16" x14ac:dyDescent="0.25">
      <c r="A368" s="3" t="str">
        <f t="shared" ca="1" si="53"/>
        <v xml:space="preserve">#I2C_Expander_00:etap 1 =  </v>
      </c>
      <c r="G368" s="15">
        <f ca="1">INDIRECT(M368)</f>
        <v>51</v>
      </c>
      <c r="H368" s="15">
        <v>1</v>
      </c>
      <c r="I368" s="15" t="str">
        <f ca="1">INDIRECT(N368)</f>
        <v>I2C_Expander_00</v>
      </c>
      <c r="J368" s="15" t="str">
        <f t="shared" ca="1" si="56"/>
        <v>I2C_Expander_00!A51</v>
      </c>
      <c r="K368" s="15" t="str">
        <f t="shared" ca="1" si="57"/>
        <v>I2C_Expander_00!B51</v>
      </c>
      <c r="M368" s="15" t="str">
        <f>ADDRESS(O368,3,4,1,$R$1)</f>
        <v>konfig!C20</v>
      </c>
      <c r="N368" s="15" t="str">
        <f>ADDRESS(O368,1,4,1,$R$1)</f>
        <v>konfig!A20</v>
      </c>
      <c r="O368" s="15">
        <v>20</v>
      </c>
      <c r="P368" s="15">
        <v>4</v>
      </c>
    </row>
    <row r="369" spans="1:11" x14ac:dyDescent="0.25">
      <c r="A369" s="3" t="str">
        <f t="shared" ca="1" si="53"/>
        <v xml:space="preserve">device = MCP23017 </v>
      </c>
      <c r="G369" s="15">
        <f ca="1">G368+1</f>
        <v>52</v>
      </c>
      <c r="H369" s="15">
        <v>1</v>
      </c>
      <c r="I369" s="15" t="str">
        <f ca="1">I368</f>
        <v>I2C_Expander_00</v>
      </c>
      <c r="J369" s="15" t="str">
        <f t="shared" ca="1" si="56"/>
        <v>I2C_Expander_00!A52</v>
      </c>
      <c r="K369" s="15" t="str">
        <f t="shared" ca="1" si="57"/>
        <v>I2C_Expander_00!B52</v>
      </c>
    </row>
    <row r="370" spans="1:11" x14ac:dyDescent="0.25">
      <c r="A370" s="3" t="str">
        <f t="shared" ca="1" si="53"/>
        <v xml:space="preserve">i2c_addr = 0x20 </v>
      </c>
      <c r="G370" s="15">
        <f t="shared" ref="G370:G387" ca="1" si="58">G369+1</f>
        <v>53</v>
      </c>
      <c r="H370" s="15">
        <v>1</v>
      </c>
      <c r="I370" s="15" t="str">
        <f t="shared" ref="I370:I387" ca="1" si="59">I369</f>
        <v>I2C_Expander_00</v>
      </c>
      <c r="J370" s="15" t="str">
        <f t="shared" ca="1" si="56"/>
        <v>I2C_Expander_00!A53</v>
      </c>
      <c r="K370" s="15" t="str">
        <f t="shared" ca="1" si="57"/>
        <v>I2C_Expander_00!B53</v>
      </c>
    </row>
    <row r="371" spans="1:11" x14ac:dyDescent="0.25">
      <c r="A371" s="3" t="str">
        <f t="shared" ca="1" si="53"/>
        <v xml:space="preserve">i2c_num = /dev/i2c-1 </v>
      </c>
      <c r="C371" s="16"/>
      <c r="G371" s="15">
        <f t="shared" ca="1" si="58"/>
        <v>54</v>
      </c>
      <c r="H371" s="15">
        <v>1</v>
      </c>
      <c r="I371" s="15" t="str">
        <f t="shared" ca="1" si="59"/>
        <v>I2C_Expander_00</v>
      </c>
      <c r="J371" s="15" t="str">
        <f t="shared" ca="1" si="56"/>
        <v>I2C_Expander_00!A54</v>
      </c>
      <c r="K371" s="15" t="str">
        <f t="shared" ca="1" si="57"/>
        <v>I2C_Expander_00!B54</v>
      </c>
    </row>
    <row r="372" spans="1:11" x14ac:dyDescent="0.25">
      <c r="A372" s="3" t="str">
        <f t="shared" ca="1" si="53"/>
        <v xml:space="preserve">pins_mode = 0xFFFB </v>
      </c>
      <c r="G372" s="15">
        <f t="shared" ca="1" si="58"/>
        <v>55</v>
      </c>
      <c r="H372" s="15">
        <v>1</v>
      </c>
      <c r="I372" s="15" t="str">
        <f t="shared" ca="1" si="59"/>
        <v>I2C_Expander_00</v>
      </c>
      <c r="J372" s="15" t="str">
        <f t="shared" ca="1" si="56"/>
        <v>I2C_Expander_00!A55</v>
      </c>
      <c r="K372" s="15" t="str">
        <f t="shared" ca="1" si="57"/>
        <v>I2C_Expander_00!B55</v>
      </c>
    </row>
    <row r="373" spans="1:11" x14ac:dyDescent="0.25">
      <c r="A373" s="3" t="str">
        <f t="shared" ca="1" si="53"/>
        <v xml:space="preserve">pins_state = 0x0000 </v>
      </c>
      <c r="G373" s="15">
        <f t="shared" ca="1" si="58"/>
        <v>56</v>
      </c>
      <c r="H373" s="15">
        <v>1</v>
      </c>
      <c r="I373" s="15" t="str">
        <f t="shared" ca="1" si="59"/>
        <v>I2C_Expander_00</v>
      </c>
      <c r="J373" s="15" t="str">
        <f t="shared" ca="1" si="56"/>
        <v>I2C_Expander_00!A56</v>
      </c>
      <c r="K373" s="15" t="str">
        <f t="shared" ca="1" si="57"/>
        <v>I2C_Expander_00!B56</v>
      </c>
    </row>
    <row r="374" spans="1:11" x14ac:dyDescent="0.25">
      <c r="A374" s="3" t="str">
        <f t="shared" ca="1" si="53"/>
        <v xml:space="preserve">pins_pull_up = 0x0060 </v>
      </c>
      <c r="G374" s="15">
        <f t="shared" ca="1" si="58"/>
        <v>57</v>
      </c>
      <c r="H374" s="15">
        <v>1</v>
      </c>
      <c r="I374" s="15" t="str">
        <f t="shared" ca="1" si="59"/>
        <v>I2C_Expander_00</v>
      </c>
      <c r="J374" s="15" t="str">
        <f t="shared" ca="1" si="56"/>
        <v>I2C_Expander_00!A57</v>
      </c>
      <c r="K374" s="15" t="str">
        <f t="shared" ca="1" si="57"/>
        <v>I2C_Expander_00!B57</v>
      </c>
    </row>
    <row r="375" spans="1:11" x14ac:dyDescent="0.25">
      <c r="A375" s="3" t="str">
        <f t="shared" ca="1" si="53"/>
        <v xml:space="preserve">#pins_int = 0x0000 </v>
      </c>
      <c r="G375" s="15">
        <f t="shared" ca="1" si="58"/>
        <v>58</v>
      </c>
      <c r="H375" s="15">
        <v>1</v>
      </c>
      <c r="I375" s="15" t="str">
        <f t="shared" ca="1" si="59"/>
        <v>I2C_Expander_00</v>
      </c>
      <c r="J375" s="15" t="str">
        <f t="shared" ca="1" si="56"/>
        <v>I2C_Expander_00!A58</v>
      </c>
      <c r="K375" s="15" t="str">
        <f t="shared" ca="1" si="57"/>
        <v>I2C_Expander_00!B58</v>
      </c>
    </row>
    <row r="376" spans="1:11" x14ac:dyDescent="0.25">
      <c r="A376" s="3" t="str">
        <f t="shared" ca="1" si="53"/>
        <v xml:space="preserve">#pins_def_val = 0x0000 </v>
      </c>
      <c r="G376" s="15">
        <f t="shared" ca="1" si="58"/>
        <v>59</v>
      </c>
      <c r="H376" s="15">
        <v>1</v>
      </c>
      <c r="I376" s="15" t="str">
        <f t="shared" ca="1" si="59"/>
        <v>I2C_Expander_00</v>
      </c>
      <c r="J376" s="15" t="str">
        <f t="shared" ca="1" si="56"/>
        <v>I2C_Expander_00!A59</v>
      </c>
      <c r="K376" s="15" t="str">
        <f t="shared" ca="1" si="57"/>
        <v>I2C_Expander_00!B59</v>
      </c>
    </row>
    <row r="377" spans="1:11" x14ac:dyDescent="0.25">
      <c r="A377" s="3" t="str">
        <f t="shared" ca="1" si="53"/>
        <v/>
      </c>
      <c r="G377" s="15">
        <f t="shared" ca="1" si="58"/>
        <v>60</v>
      </c>
      <c r="H377" s="15">
        <v>1</v>
      </c>
      <c r="I377" s="15" t="str">
        <f t="shared" ca="1" si="59"/>
        <v>I2C_Expander_00</v>
      </c>
      <c r="J377" s="15" t="str">
        <f t="shared" ca="1" si="56"/>
        <v>I2C_Expander_00!A60</v>
      </c>
      <c r="K377" s="15" t="str">
        <f t="shared" ca="1" si="57"/>
        <v>I2C_Expander_00!B60</v>
      </c>
    </row>
    <row r="378" spans="1:11" x14ac:dyDescent="0.25">
      <c r="A378" s="3" t="str">
        <f t="shared" ca="1" si="53"/>
        <v xml:space="preserve">time = 10 </v>
      </c>
      <c r="G378" s="15">
        <f t="shared" ca="1" si="58"/>
        <v>61</v>
      </c>
      <c r="H378" s="15">
        <v>1</v>
      </c>
      <c r="I378" s="15" t="str">
        <f t="shared" ca="1" si="59"/>
        <v>I2C_Expander_00</v>
      </c>
      <c r="J378" s="15" t="str">
        <f t="shared" ca="1" si="56"/>
        <v>I2C_Expander_00!A61</v>
      </c>
      <c r="K378" s="15" t="str">
        <f t="shared" ca="1" si="57"/>
        <v>I2C_Expander_00!B61</v>
      </c>
    </row>
    <row r="379" spans="1:11" x14ac:dyDescent="0.25">
      <c r="A379" s="3" t="str">
        <f t="shared" ca="1" si="53"/>
        <v/>
      </c>
      <c r="C379" s="16"/>
      <c r="G379" s="15">
        <f t="shared" ca="1" si="58"/>
        <v>62</v>
      </c>
      <c r="H379" s="15">
        <v>1</v>
      </c>
      <c r="I379" s="15" t="str">
        <f t="shared" ca="1" si="59"/>
        <v>I2C_Expander_00</v>
      </c>
      <c r="J379" s="15" t="str">
        <f t="shared" ca="1" si="56"/>
        <v>I2C_Expander_00!A62</v>
      </c>
      <c r="K379" s="15" t="str">
        <f t="shared" ca="1" si="57"/>
        <v>I2C_Expander_00!B62</v>
      </c>
    </row>
    <row r="380" spans="1:11" x14ac:dyDescent="0.25">
      <c r="A380" s="3" t="str">
        <f t="shared" ca="1" si="53"/>
        <v/>
      </c>
      <c r="G380" s="15">
        <f t="shared" ca="1" si="58"/>
        <v>63</v>
      </c>
      <c r="H380" s="15">
        <v>1</v>
      </c>
      <c r="I380" s="15" t="str">
        <f t="shared" ca="1" si="59"/>
        <v>I2C_Expander_00</v>
      </c>
      <c r="J380" s="15" t="str">
        <f t="shared" ca="1" si="56"/>
        <v>I2C_Expander_00!A63</v>
      </c>
      <c r="K380" s="15" t="str">
        <f t="shared" ca="1" si="57"/>
        <v>I2C_Expander_00!B63</v>
      </c>
    </row>
    <row r="381" spans="1:11" x14ac:dyDescent="0.25">
      <c r="A381" s="3" t="str">
        <f t="shared" ca="1" si="53"/>
        <v/>
      </c>
      <c r="G381" s="15">
        <f t="shared" ca="1" si="58"/>
        <v>64</v>
      </c>
      <c r="H381" s="15">
        <v>1</v>
      </c>
      <c r="I381" s="15" t="str">
        <f t="shared" ca="1" si="59"/>
        <v>I2C_Expander_00</v>
      </c>
      <c r="J381" s="15" t="str">
        <f t="shared" ca="1" si="56"/>
        <v>I2C_Expander_00!A64</v>
      </c>
      <c r="K381" s="15" t="str">
        <f t="shared" ca="1" si="57"/>
        <v>I2C_Expander_00!B64</v>
      </c>
    </row>
    <row r="382" spans="1:11" x14ac:dyDescent="0.25">
      <c r="A382" s="3" t="str">
        <f t="shared" ca="1" si="53"/>
        <v/>
      </c>
      <c r="G382" s="15">
        <f t="shared" ca="1" si="58"/>
        <v>65</v>
      </c>
      <c r="H382" s="15">
        <v>1</v>
      </c>
      <c r="I382" s="15" t="str">
        <f t="shared" ca="1" si="59"/>
        <v>I2C_Expander_00</v>
      </c>
      <c r="J382" s="15" t="str">
        <f t="shared" ca="1" si="56"/>
        <v>I2C_Expander_00!A65</v>
      </c>
      <c r="K382" s="15" t="str">
        <f t="shared" ca="1" si="57"/>
        <v>I2C_Expander_00!B65</v>
      </c>
    </row>
    <row r="383" spans="1:11" x14ac:dyDescent="0.25">
      <c r="A383" s="3" t="str">
        <f t="shared" ca="1" si="53"/>
        <v/>
      </c>
      <c r="G383" s="15">
        <f t="shared" ca="1" si="58"/>
        <v>66</v>
      </c>
      <c r="H383" s="15">
        <v>1</v>
      </c>
      <c r="I383" s="15" t="str">
        <f t="shared" ca="1" si="59"/>
        <v>I2C_Expander_00</v>
      </c>
      <c r="J383" s="15" t="str">
        <f t="shared" ca="1" si="56"/>
        <v>I2C_Expander_00!A66</v>
      </c>
      <c r="K383" s="15" t="str">
        <f t="shared" ca="1" si="57"/>
        <v>I2C_Expander_00!B66</v>
      </c>
    </row>
    <row r="384" spans="1:11" x14ac:dyDescent="0.25">
      <c r="A384" s="3" t="str">
        <f t="shared" ca="1" si="53"/>
        <v/>
      </c>
      <c r="G384" s="15">
        <f t="shared" ca="1" si="58"/>
        <v>67</v>
      </c>
      <c r="H384" s="15">
        <v>1</v>
      </c>
      <c r="I384" s="15" t="str">
        <f t="shared" ca="1" si="59"/>
        <v>I2C_Expander_00</v>
      </c>
      <c r="J384" s="15" t="str">
        <f t="shared" ca="1" si="56"/>
        <v>I2C_Expander_00!A67</v>
      </c>
      <c r="K384" s="15" t="str">
        <f t="shared" ca="1" si="57"/>
        <v>I2C_Expander_00!B67</v>
      </c>
    </row>
    <row r="385" spans="1:16" x14ac:dyDescent="0.25">
      <c r="A385" s="3" t="str">
        <f t="shared" ca="1" si="53"/>
        <v/>
      </c>
      <c r="G385" s="15">
        <f t="shared" ca="1" si="58"/>
        <v>68</v>
      </c>
      <c r="H385" s="15">
        <v>1</v>
      </c>
      <c r="I385" s="15" t="str">
        <f t="shared" ca="1" si="59"/>
        <v>I2C_Expander_00</v>
      </c>
      <c r="J385" s="15" t="str">
        <f t="shared" ca="1" si="56"/>
        <v>I2C_Expander_00!A68</v>
      </c>
      <c r="K385" s="15" t="str">
        <f t="shared" ca="1" si="57"/>
        <v>I2C_Expander_00!B68</v>
      </c>
    </row>
    <row r="386" spans="1:16" x14ac:dyDescent="0.25">
      <c r="A386" s="3" t="str">
        <f t="shared" ca="1" si="53"/>
        <v/>
      </c>
      <c r="G386" s="15">
        <f t="shared" ca="1" si="58"/>
        <v>69</v>
      </c>
      <c r="H386" s="15">
        <v>1</v>
      </c>
      <c r="I386" s="15" t="str">
        <f t="shared" ca="1" si="59"/>
        <v>I2C_Expander_00</v>
      </c>
      <c r="J386" s="15" t="str">
        <f t="shared" ca="1" si="56"/>
        <v>I2C_Expander_00!A69</v>
      </c>
      <c r="K386" s="15" t="str">
        <f t="shared" ca="1" si="57"/>
        <v>I2C_Expander_00!B69</v>
      </c>
    </row>
    <row r="387" spans="1:16" x14ac:dyDescent="0.25">
      <c r="A387" s="3" t="str">
        <f t="shared" ca="1" si="53"/>
        <v/>
      </c>
      <c r="G387" s="15">
        <f t="shared" ca="1" si="58"/>
        <v>70</v>
      </c>
      <c r="H387" s="15">
        <v>1</v>
      </c>
      <c r="I387" s="15" t="str">
        <f t="shared" ca="1" si="59"/>
        <v>I2C_Expander_00</v>
      </c>
      <c r="J387" s="15" t="str">
        <f t="shared" ca="1" si="56"/>
        <v>I2C_Expander_00!A70</v>
      </c>
      <c r="K387" s="15" t="str">
        <f t="shared" ca="1" si="57"/>
        <v>I2C_Expander_00!B70</v>
      </c>
    </row>
    <row r="388" spans="1:16" x14ac:dyDescent="0.25">
      <c r="A388" s="3" t="str">
        <f t="shared" ca="1" si="53"/>
        <v xml:space="preserve">#I2C_Expander_01:etap 1 =  </v>
      </c>
      <c r="G388" s="15">
        <f ca="1">INDIRECT(M388)</f>
        <v>51</v>
      </c>
      <c r="H388" s="15">
        <v>1</v>
      </c>
      <c r="I388" s="15" t="str">
        <f ca="1">INDIRECT(N388)</f>
        <v>I2C_Expander_01</v>
      </c>
      <c r="J388" s="15" t="str">
        <f t="shared" ca="1" si="56"/>
        <v>I2C_Expander_01!A51</v>
      </c>
      <c r="K388" s="15" t="str">
        <f t="shared" ca="1" si="57"/>
        <v>I2C_Expander_01!B51</v>
      </c>
      <c r="M388" s="15" t="str">
        <f>ADDRESS(O388,3,4,1,$R$1)</f>
        <v>konfig!C21</v>
      </c>
      <c r="N388" s="15" t="str">
        <f>ADDRESS(O388,1,4,1,$R$1)</f>
        <v>konfig!A21</v>
      </c>
      <c r="O388" s="15">
        <v>21</v>
      </c>
      <c r="P388" s="15">
        <v>4</v>
      </c>
    </row>
    <row r="389" spans="1:16" x14ac:dyDescent="0.25">
      <c r="A389" s="3" t="str">
        <f t="shared" ca="1" si="53"/>
        <v xml:space="preserve">device = MCP23017 </v>
      </c>
      <c r="G389" s="15">
        <f ca="1">G388+1</f>
        <v>52</v>
      </c>
      <c r="H389" s="15">
        <v>1</v>
      </c>
      <c r="I389" s="15" t="str">
        <f ca="1">I388</f>
        <v>I2C_Expander_01</v>
      </c>
      <c r="J389" s="15" t="str">
        <f t="shared" ca="1" si="56"/>
        <v>I2C_Expander_01!A52</v>
      </c>
      <c r="K389" s="15" t="str">
        <f t="shared" ca="1" si="57"/>
        <v>I2C_Expander_01!B52</v>
      </c>
    </row>
    <row r="390" spans="1:16" x14ac:dyDescent="0.25">
      <c r="A390" s="3" t="str">
        <f t="shared" ca="1" si="53"/>
        <v xml:space="preserve">i2c_addr = 0x21 </v>
      </c>
      <c r="G390" s="15">
        <f t="shared" ref="G390:G407" ca="1" si="60">G389+1</f>
        <v>53</v>
      </c>
      <c r="H390" s="15">
        <v>1</v>
      </c>
      <c r="I390" s="15" t="str">
        <f t="shared" ref="I390:I407" ca="1" si="61">I389</f>
        <v>I2C_Expander_01</v>
      </c>
      <c r="J390" s="15" t="str">
        <f t="shared" ca="1" si="56"/>
        <v>I2C_Expander_01!A53</v>
      </c>
      <c r="K390" s="15" t="str">
        <f t="shared" ca="1" si="57"/>
        <v>I2C_Expander_01!B53</v>
      </c>
    </row>
    <row r="391" spans="1:16" x14ac:dyDescent="0.25">
      <c r="A391" s="3" t="str">
        <f t="shared" ca="1" si="53"/>
        <v xml:space="preserve">i2c_num = /dev/i2c-1 </v>
      </c>
      <c r="C391" s="16"/>
      <c r="G391" s="15">
        <f t="shared" ca="1" si="60"/>
        <v>54</v>
      </c>
      <c r="H391" s="15">
        <v>1</v>
      </c>
      <c r="I391" s="15" t="str">
        <f t="shared" ca="1" si="61"/>
        <v>I2C_Expander_01</v>
      </c>
      <c r="J391" s="15" t="str">
        <f t="shared" ca="1" si="56"/>
        <v>I2C_Expander_01!A54</v>
      </c>
      <c r="K391" s="15" t="str">
        <f t="shared" ca="1" si="57"/>
        <v>I2C_Expander_01!B54</v>
      </c>
    </row>
    <row r="392" spans="1:16" x14ac:dyDescent="0.25">
      <c r="A392" s="3" t="str">
        <f t="shared" ca="1" si="53"/>
        <v xml:space="preserve">pins_mode = 0xFBFF </v>
      </c>
      <c r="G392" s="15">
        <f t="shared" ca="1" si="60"/>
        <v>55</v>
      </c>
      <c r="H392" s="15">
        <v>1</v>
      </c>
      <c r="I392" s="15" t="str">
        <f t="shared" ca="1" si="61"/>
        <v>I2C_Expander_01</v>
      </c>
      <c r="J392" s="15" t="str">
        <f t="shared" ca="1" si="56"/>
        <v>I2C_Expander_01!A55</v>
      </c>
      <c r="K392" s="15" t="str">
        <f t="shared" ca="1" si="57"/>
        <v>I2C_Expander_01!B55</v>
      </c>
    </row>
    <row r="393" spans="1:16" x14ac:dyDescent="0.25">
      <c r="A393" s="3" t="str">
        <f t="shared" ca="1" si="53"/>
        <v xml:space="preserve">pins_state = 0x0400 </v>
      </c>
      <c r="G393" s="15">
        <f t="shared" ca="1" si="60"/>
        <v>56</v>
      </c>
      <c r="H393" s="15">
        <v>1</v>
      </c>
      <c r="I393" s="15" t="str">
        <f t="shared" ca="1" si="61"/>
        <v>I2C_Expander_01</v>
      </c>
      <c r="J393" s="15" t="str">
        <f t="shared" ca="1" si="56"/>
        <v>I2C_Expander_01!A56</v>
      </c>
      <c r="K393" s="15" t="str">
        <f t="shared" ca="1" si="57"/>
        <v>I2C_Expander_01!B56</v>
      </c>
    </row>
    <row r="394" spans="1:16" x14ac:dyDescent="0.25">
      <c r="A394" s="3" t="str">
        <f t="shared" ca="1" si="53"/>
        <v xml:space="preserve">pins_pull_up = 0xC020 </v>
      </c>
      <c r="G394" s="15">
        <f t="shared" ca="1" si="60"/>
        <v>57</v>
      </c>
      <c r="H394" s="15">
        <v>1</v>
      </c>
      <c r="I394" s="15" t="str">
        <f t="shared" ca="1" si="61"/>
        <v>I2C_Expander_01</v>
      </c>
      <c r="J394" s="15" t="str">
        <f t="shared" ca="1" si="56"/>
        <v>I2C_Expander_01!A57</v>
      </c>
      <c r="K394" s="15" t="str">
        <f t="shared" ca="1" si="57"/>
        <v>I2C_Expander_01!B57</v>
      </c>
    </row>
    <row r="395" spans="1:16" x14ac:dyDescent="0.25">
      <c r="A395" s="3" t="str">
        <f t="shared" ca="1" si="53"/>
        <v xml:space="preserve">#pins_int = 0x0000 </v>
      </c>
      <c r="G395" s="15">
        <f t="shared" ca="1" si="60"/>
        <v>58</v>
      </c>
      <c r="H395" s="15">
        <v>1</v>
      </c>
      <c r="I395" s="15" t="str">
        <f t="shared" ca="1" si="61"/>
        <v>I2C_Expander_01</v>
      </c>
      <c r="J395" s="15" t="str">
        <f t="shared" ca="1" si="56"/>
        <v>I2C_Expander_01!A58</v>
      </c>
      <c r="K395" s="15" t="str">
        <f t="shared" ca="1" si="57"/>
        <v>I2C_Expander_01!B58</v>
      </c>
    </row>
    <row r="396" spans="1:16" x14ac:dyDescent="0.25">
      <c r="A396" s="3" t="str">
        <f t="shared" ca="1" si="53"/>
        <v xml:space="preserve">#pins_def_val = 0x0000 </v>
      </c>
      <c r="G396" s="15">
        <f t="shared" ca="1" si="60"/>
        <v>59</v>
      </c>
      <c r="H396" s="15">
        <v>1</v>
      </c>
      <c r="I396" s="15" t="str">
        <f t="shared" ca="1" si="61"/>
        <v>I2C_Expander_01</v>
      </c>
      <c r="J396" s="15" t="str">
        <f t="shared" ca="1" si="56"/>
        <v>I2C_Expander_01!A59</v>
      </c>
      <c r="K396" s="15" t="str">
        <f t="shared" ca="1" si="57"/>
        <v>I2C_Expander_01!B59</v>
      </c>
    </row>
    <row r="397" spans="1:16" x14ac:dyDescent="0.25">
      <c r="A397" s="3" t="str">
        <f t="shared" ca="1" si="53"/>
        <v/>
      </c>
      <c r="G397" s="15">
        <f t="shared" ca="1" si="60"/>
        <v>60</v>
      </c>
      <c r="H397" s="15">
        <v>1</v>
      </c>
      <c r="I397" s="15" t="str">
        <f t="shared" ca="1" si="61"/>
        <v>I2C_Expander_01</v>
      </c>
      <c r="J397" s="15" t="str">
        <f t="shared" ca="1" si="56"/>
        <v>I2C_Expander_01!A60</v>
      </c>
      <c r="K397" s="15" t="str">
        <f t="shared" ca="1" si="57"/>
        <v>I2C_Expander_01!B60</v>
      </c>
    </row>
    <row r="398" spans="1:16" x14ac:dyDescent="0.25">
      <c r="A398" s="3" t="str">
        <f t="shared" ca="1" si="53"/>
        <v xml:space="preserve">time = 10 </v>
      </c>
      <c r="G398" s="15">
        <f t="shared" ca="1" si="60"/>
        <v>61</v>
      </c>
      <c r="H398" s="15">
        <v>1</v>
      </c>
      <c r="I398" s="15" t="str">
        <f t="shared" ca="1" si="61"/>
        <v>I2C_Expander_01</v>
      </c>
      <c r="J398" s="15" t="str">
        <f t="shared" ca="1" si="56"/>
        <v>I2C_Expander_01!A61</v>
      </c>
      <c r="K398" s="15" t="str">
        <f t="shared" ca="1" si="57"/>
        <v>I2C_Expander_01!B61</v>
      </c>
    </row>
    <row r="399" spans="1:16" x14ac:dyDescent="0.25">
      <c r="A399" s="3" t="str">
        <f t="shared" ca="1" si="53"/>
        <v/>
      </c>
      <c r="C399" s="16"/>
      <c r="G399" s="15">
        <f t="shared" ca="1" si="60"/>
        <v>62</v>
      </c>
      <c r="H399" s="15">
        <v>1</v>
      </c>
      <c r="I399" s="15" t="str">
        <f t="shared" ca="1" si="61"/>
        <v>I2C_Expander_01</v>
      </c>
      <c r="J399" s="15" t="str">
        <f t="shared" ca="1" si="56"/>
        <v>I2C_Expander_01!A62</v>
      </c>
      <c r="K399" s="15" t="str">
        <f t="shared" ca="1" si="57"/>
        <v>I2C_Expander_01!B62</v>
      </c>
    </row>
    <row r="400" spans="1:16" x14ac:dyDescent="0.25">
      <c r="A400" s="3" t="str">
        <f t="shared" ca="1" si="53"/>
        <v/>
      </c>
      <c r="G400" s="15">
        <f t="shared" ca="1" si="60"/>
        <v>63</v>
      </c>
      <c r="H400" s="15">
        <v>1</v>
      </c>
      <c r="I400" s="15" t="str">
        <f t="shared" ca="1" si="61"/>
        <v>I2C_Expander_01</v>
      </c>
      <c r="J400" s="15" t="str">
        <f t="shared" ca="1" si="56"/>
        <v>I2C_Expander_01!A63</v>
      </c>
      <c r="K400" s="15" t="str">
        <f t="shared" ca="1" si="57"/>
        <v>I2C_Expander_01!B63</v>
      </c>
    </row>
    <row r="401" spans="1:16" x14ac:dyDescent="0.25">
      <c r="A401" s="3" t="str">
        <f t="shared" ca="1" si="53"/>
        <v/>
      </c>
      <c r="G401" s="15">
        <f t="shared" ca="1" si="60"/>
        <v>64</v>
      </c>
      <c r="H401" s="15">
        <v>1</v>
      </c>
      <c r="I401" s="15" t="str">
        <f t="shared" ca="1" si="61"/>
        <v>I2C_Expander_01</v>
      </c>
      <c r="J401" s="15" t="str">
        <f t="shared" ca="1" si="56"/>
        <v>I2C_Expander_01!A64</v>
      </c>
      <c r="K401" s="15" t="str">
        <f t="shared" ca="1" si="57"/>
        <v>I2C_Expander_01!B64</v>
      </c>
    </row>
    <row r="402" spans="1:16" x14ac:dyDescent="0.25">
      <c r="A402" s="3" t="str">
        <f t="shared" ca="1" si="53"/>
        <v/>
      </c>
      <c r="G402" s="15">
        <f t="shared" ca="1" si="60"/>
        <v>65</v>
      </c>
      <c r="H402" s="15">
        <v>1</v>
      </c>
      <c r="I402" s="15" t="str">
        <f t="shared" ca="1" si="61"/>
        <v>I2C_Expander_01</v>
      </c>
      <c r="J402" s="15" t="str">
        <f t="shared" ca="1" si="56"/>
        <v>I2C_Expander_01!A65</v>
      </c>
      <c r="K402" s="15" t="str">
        <f t="shared" ca="1" si="57"/>
        <v>I2C_Expander_01!B65</v>
      </c>
    </row>
    <row r="403" spans="1:16" x14ac:dyDescent="0.25">
      <c r="A403" s="3" t="str">
        <f t="shared" ca="1" si="53"/>
        <v/>
      </c>
      <c r="G403" s="15">
        <f t="shared" ca="1" si="60"/>
        <v>66</v>
      </c>
      <c r="H403" s="15">
        <v>1</v>
      </c>
      <c r="I403" s="15" t="str">
        <f t="shared" ca="1" si="61"/>
        <v>I2C_Expander_01</v>
      </c>
      <c r="J403" s="15" t="str">
        <f t="shared" ca="1" si="56"/>
        <v>I2C_Expander_01!A66</v>
      </c>
      <c r="K403" s="15" t="str">
        <f t="shared" ca="1" si="57"/>
        <v>I2C_Expander_01!B66</v>
      </c>
    </row>
    <row r="404" spans="1:16" x14ac:dyDescent="0.25">
      <c r="A404" s="3" t="str">
        <f t="shared" ca="1" si="53"/>
        <v/>
      </c>
      <c r="G404" s="15">
        <f t="shared" ca="1" si="60"/>
        <v>67</v>
      </c>
      <c r="H404" s="15">
        <v>1</v>
      </c>
      <c r="I404" s="15" t="str">
        <f t="shared" ca="1" si="61"/>
        <v>I2C_Expander_01</v>
      </c>
      <c r="J404" s="15" t="str">
        <f t="shared" ca="1" si="56"/>
        <v>I2C_Expander_01!A67</v>
      </c>
      <c r="K404" s="15" t="str">
        <f t="shared" ca="1" si="57"/>
        <v>I2C_Expander_01!B67</v>
      </c>
    </row>
    <row r="405" spans="1:16" x14ac:dyDescent="0.25">
      <c r="A405" s="3" t="str">
        <f t="shared" ca="1" si="53"/>
        <v/>
      </c>
      <c r="G405" s="15">
        <f t="shared" ca="1" si="60"/>
        <v>68</v>
      </c>
      <c r="H405" s="15">
        <v>1</v>
      </c>
      <c r="I405" s="15" t="str">
        <f t="shared" ca="1" si="61"/>
        <v>I2C_Expander_01</v>
      </c>
      <c r="J405" s="15" t="str">
        <f t="shared" ca="1" si="56"/>
        <v>I2C_Expander_01!A68</v>
      </c>
      <c r="K405" s="15" t="str">
        <f t="shared" ca="1" si="57"/>
        <v>I2C_Expander_01!B68</v>
      </c>
    </row>
    <row r="406" spans="1:16" x14ac:dyDescent="0.25">
      <c r="A406" s="3" t="str">
        <f t="shared" ca="1" si="53"/>
        <v/>
      </c>
      <c r="G406" s="15">
        <f t="shared" ca="1" si="60"/>
        <v>69</v>
      </c>
      <c r="H406" s="15">
        <v>1</v>
      </c>
      <c r="I406" s="15" t="str">
        <f t="shared" ca="1" si="61"/>
        <v>I2C_Expander_01</v>
      </c>
      <c r="J406" s="15" t="str">
        <f t="shared" ca="1" si="56"/>
        <v>I2C_Expander_01!A69</v>
      </c>
      <c r="K406" s="15" t="str">
        <f t="shared" ca="1" si="57"/>
        <v>I2C_Expander_01!B69</v>
      </c>
    </row>
    <row r="407" spans="1:16" x14ac:dyDescent="0.25">
      <c r="A407" s="3" t="str">
        <f t="shared" ca="1" si="53"/>
        <v/>
      </c>
      <c r="G407" s="15">
        <f t="shared" ca="1" si="60"/>
        <v>70</v>
      </c>
      <c r="H407" s="15">
        <v>1</v>
      </c>
      <c r="I407" s="15" t="str">
        <f t="shared" ca="1" si="61"/>
        <v>I2C_Expander_01</v>
      </c>
      <c r="J407" s="15" t="str">
        <f t="shared" ca="1" si="56"/>
        <v>I2C_Expander_01!A70</v>
      </c>
      <c r="K407" s="15" t="str">
        <f t="shared" ca="1" si="57"/>
        <v>I2C_Expander_01!B70</v>
      </c>
    </row>
    <row r="408" spans="1:16" x14ac:dyDescent="0.25">
      <c r="A408" s="3" t="str">
        <f t="shared" ca="1" si="53"/>
        <v xml:space="preserve">#I2C_Expander_02:etap 1 =  </v>
      </c>
      <c r="G408" s="15">
        <f ca="1">INDIRECT(M408)</f>
        <v>51</v>
      </c>
      <c r="H408" s="15">
        <v>1</v>
      </c>
      <c r="I408" s="15" t="str">
        <f ca="1">INDIRECT(N408)</f>
        <v>I2C_Expander_02</v>
      </c>
      <c r="J408" s="15" t="str">
        <f t="shared" ca="1" si="56"/>
        <v>I2C_Expander_02!A51</v>
      </c>
      <c r="K408" s="15" t="str">
        <f t="shared" ca="1" si="57"/>
        <v>I2C_Expander_02!B51</v>
      </c>
      <c r="M408" s="15" t="str">
        <f>ADDRESS(O408,3,4,1,$R$1)</f>
        <v>konfig!C22</v>
      </c>
      <c r="N408" s="15" t="str">
        <f>ADDRESS(O408,1,4,1,$R$1)</f>
        <v>konfig!A22</v>
      </c>
      <c r="O408" s="15">
        <v>22</v>
      </c>
      <c r="P408" s="15">
        <v>4</v>
      </c>
    </row>
    <row r="409" spans="1:16" x14ac:dyDescent="0.25">
      <c r="A409" s="3" t="str">
        <f t="shared" ca="1" si="53"/>
        <v xml:space="preserve">device = MCP23017 </v>
      </c>
      <c r="G409" s="15">
        <f ca="1">G408+1</f>
        <v>52</v>
      </c>
      <c r="H409" s="15">
        <v>1</v>
      </c>
      <c r="I409" s="15" t="str">
        <f ca="1">I408</f>
        <v>I2C_Expander_02</v>
      </c>
      <c r="J409" s="15" t="str">
        <f t="shared" ca="1" si="56"/>
        <v>I2C_Expander_02!A52</v>
      </c>
      <c r="K409" s="15" t="str">
        <f t="shared" ca="1" si="57"/>
        <v>I2C_Expander_02!B52</v>
      </c>
    </row>
    <row r="410" spans="1:16" x14ac:dyDescent="0.25">
      <c r="A410" s="3" t="str">
        <f t="shared" ca="1" si="53"/>
        <v xml:space="preserve">i2c_addr = 0x22 </v>
      </c>
      <c r="G410" s="15">
        <f t="shared" ref="G410:G427" ca="1" si="62">G409+1</f>
        <v>53</v>
      </c>
      <c r="H410" s="15">
        <v>1</v>
      </c>
      <c r="I410" s="15" t="str">
        <f t="shared" ref="I410:I427" ca="1" si="63">I409</f>
        <v>I2C_Expander_02</v>
      </c>
      <c r="J410" s="15" t="str">
        <f t="shared" ca="1" si="56"/>
        <v>I2C_Expander_02!A53</v>
      </c>
      <c r="K410" s="15" t="str">
        <f t="shared" ca="1" si="57"/>
        <v>I2C_Expander_02!B53</v>
      </c>
    </row>
    <row r="411" spans="1:16" x14ac:dyDescent="0.25">
      <c r="A411" s="3" t="str">
        <f t="shared" ca="1" si="53"/>
        <v xml:space="preserve">i2c_num = /dev/i2c-1 </v>
      </c>
      <c r="C411" s="16"/>
      <c r="G411" s="15">
        <f t="shared" ca="1" si="62"/>
        <v>54</v>
      </c>
      <c r="H411" s="15">
        <v>1</v>
      </c>
      <c r="I411" s="15" t="str">
        <f t="shared" ca="1" si="63"/>
        <v>I2C_Expander_02</v>
      </c>
      <c r="J411" s="15" t="str">
        <f t="shared" ca="1" si="56"/>
        <v>I2C_Expander_02!A54</v>
      </c>
      <c r="K411" s="15" t="str">
        <f t="shared" ca="1" si="57"/>
        <v>I2C_Expander_02!B54</v>
      </c>
    </row>
    <row r="412" spans="1:16" x14ac:dyDescent="0.25">
      <c r="A412" s="3" t="str">
        <f t="shared" ref="A412:A475" ca="1" si="64">IFERROR(IF(INDIRECT(J412)&lt;&gt;"",CONCATENATE(INDIRECT(J412)," = ",INDIRECT(K412)," "),""),"")</f>
        <v xml:space="preserve">pins_mode = 0xD27C </v>
      </c>
      <c r="G412" s="15">
        <f t="shared" ca="1" si="62"/>
        <v>55</v>
      </c>
      <c r="H412" s="15">
        <v>1</v>
      </c>
      <c r="I412" s="15" t="str">
        <f t="shared" ca="1" si="63"/>
        <v>I2C_Expander_02</v>
      </c>
      <c r="J412" s="15" t="str">
        <f t="shared" ca="1" si="56"/>
        <v>I2C_Expander_02!A55</v>
      </c>
      <c r="K412" s="15" t="str">
        <f t="shared" ca="1" si="57"/>
        <v>I2C_Expander_02!B55</v>
      </c>
    </row>
    <row r="413" spans="1:16" x14ac:dyDescent="0.25">
      <c r="A413" s="3" t="str">
        <f t="shared" ca="1" si="64"/>
        <v xml:space="preserve">pins_state = 0x2D03 </v>
      </c>
      <c r="G413" s="15">
        <f t="shared" ca="1" si="62"/>
        <v>56</v>
      </c>
      <c r="H413" s="15">
        <v>1</v>
      </c>
      <c r="I413" s="15" t="str">
        <f t="shared" ca="1" si="63"/>
        <v>I2C_Expander_02</v>
      </c>
      <c r="J413" s="15" t="str">
        <f t="shared" ca="1" si="56"/>
        <v>I2C_Expander_02!A56</v>
      </c>
      <c r="K413" s="15" t="str">
        <f t="shared" ca="1" si="57"/>
        <v>I2C_Expander_02!B56</v>
      </c>
    </row>
    <row r="414" spans="1:16" x14ac:dyDescent="0.25">
      <c r="A414" s="3" t="str">
        <f t="shared" ca="1" si="64"/>
        <v xml:space="preserve">pins_pull_up = 0x1000 </v>
      </c>
      <c r="G414" s="15">
        <f t="shared" ca="1" si="62"/>
        <v>57</v>
      </c>
      <c r="H414" s="15">
        <v>1</v>
      </c>
      <c r="I414" s="15" t="str">
        <f t="shared" ca="1" si="63"/>
        <v>I2C_Expander_02</v>
      </c>
      <c r="J414" s="15" t="str">
        <f t="shared" ca="1" si="56"/>
        <v>I2C_Expander_02!A57</v>
      </c>
      <c r="K414" s="15" t="str">
        <f t="shared" ca="1" si="57"/>
        <v>I2C_Expander_02!B57</v>
      </c>
    </row>
    <row r="415" spans="1:16" x14ac:dyDescent="0.25">
      <c r="A415" s="3" t="str">
        <f t="shared" ca="1" si="64"/>
        <v xml:space="preserve">#pins_int = 0x0000 </v>
      </c>
      <c r="G415" s="15">
        <f t="shared" ca="1" si="62"/>
        <v>58</v>
      </c>
      <c r="H415" s="15">
        <v>1</v>
      </c>
      <c r="I415" s="15" t="str">
        <f t="shared" ca="1" si="63"/>
        <v>I2C_Expander_02</v>
      </c>
      <c r="J415" s="15" t="str">
        <f t="shared" ca="1" si="56"/>
        <v>I2C_Expander_02!A58</v>
      </c>
      <c r="K415" s="15" t="str">
        <f t="shared" ca="1" si="57"/>
        <v>I2C_Expander_02!B58</v>
      </c>
    </row>
    <row r="416" spans="1:16" x14ac:dyDescent="0.25">
      <c r="A416" s="3" t="str">
        <f t="shared" ca="1" si="64"/>
        <v xml:space="preserve">#pins_def_val = 0x0000 </v>
      </c>
      <c r="G416" s="15">
        <f t="shared" ca="1" si="62"/>
        <v>59</v>
      </c>
      <c r="H416" s="15">
        <v>1</v>
      </c>
      <c r="I416" s="15" t="str">
        <f t="shared" ca="1" si="63"/>
        <v>I2C_Expander_02</v>
      </c>
      <c r="J416" s="15" t="str">
        <f t="shared" ca="1" si="56"/>
        <v>I2C_Expander_02!A59</v>
      </c>
      <c r="K416" s="15" t="str">
        <f t="shared" ca="1" si="57"/>
        <v>I2C_Expander_02!B59</v>
      </c>
    </row>
    <row r="417" spans="1:16" x14ac:dyDescent="0.25">
      <c r="A417" s="3" t="str">
        <f t="shared" ca="1" si="64"/>
        <v/>
      </c>
      <c r="G417" s="15">
        <f t="shared" ca="1" si="62"/>
        <v>60</v>
      </c>
      <c r="H417" s="15">
        <v>1</v>
      </c>
      <c r="I417" s="15" t="str">
        <f t="shared" ca="1" si="63"/>
        <v>I2C_Expander_02</v>
      </c>
      <c r="J417" s="15" t="str">
        <f t="shared" ca="1" si="56"/>
        <v>I2C_Expander_02!A60</v>
      </c>
      <c r="K417" s="15" t="str">
        <f t="shared" ca="1" si="57"/>
        <v>I2C_Expander_02!B60</v>
      </c>
    </row>
    <row r="418" spans="1:16" x14ac:dyDescent="0.25">
      <c r="A418" s="3" t="str">
        <f t="shared" ca="1" si="64"/>
        <v xml:space="preserve">time = 10 </v>
      </c>
      <c r="G418" s="15">
        <f t="shared" ca="1" si="62"/>
        <v>61</v>
      </c>
      <c r="H418" s="15">
        <v>1</v>
      </c>
      <c r="I418" s="15" t="str">
        <f t="shared" ca="1" si="63"/>
        <v>I2C_Expander_02</v>
      </c>
      <c r="J418" s="15" t="str">
        <f t="shared" ca="1" si="56"/>
        <v>I2C_Expander_02!A61</v>
      </c>
      <c r="K418" s="15" t="str">
        <f t="shared" ca="1" si="57"/>
        <v>I2C_Expander_02!B61</v>
      </c>
    </row>
    <row r="419" spans="1:16" x14ac:dyDescent="0.25">
      <c r="A419" s="3" t="str">
        <f t="shared" ca="1" si="64"/>
        <v/>
      </c>
      <c r="C419" s="16"/>
      <c r="G419" s="15">
        <f t="shared" ca="1" si="62"/>
        <v>62</v>
      </c>
      <c r="H419" s="15">
        <v>1</v>
      </c>
      <c r="I419" s="15" t="str">
        <f t="shared" ca="1" si="63"/>
        <v>I2C_Expander_02</v>
      </c>
      <c r="J419" s="15" t="str">
        <f t="shared" ca="1" si="56"/>
        <v>I2C_Expander_02!A62</v>
      </c>
      <c r="K419" s="15" t="str">
        <f t="shared" ca="1" si="57"/>
        <v>I2C_Expander_02!B62</v>
      </c>
    </row>
    <row r="420" spans="1:16" x14ac:dyDescent="0.25">
      <c r="A420" s="3" t="str">
        <f t="shared" ca="1" si="64"/>
        <v/>
      </c>
      <c r="G420" s="15">
        <f t="shared" ca="1" si="62"/>
        <v>63</v>
      </c>
      <c r="H420" s="15">
        <v>1</v>
      </c>
      <c r="I420" s="15" t="str">
        <f t="shared" ca="1" si="63"/>
        <v>I2C_Expander_02</v>
      </c>
      <c r="J420" s="15" t="str">
        <f t="shared" ca="1" si="56"/>
        <v>I2C_Expander_02!A63</v>
      </c>
      <c r="K420" s="15" t="str">
        <f t="shared" ca="1" si="57"/>
        <v>I2C_Expander_02!B63</v>
      </c>
    </row>
    <row r="421" spans="1:16" x14ac:dyDescent="0.25">
      <c r="A421" s="3" t="str">
        <f t="shared" ca="1" si="64"/>
        <v/>
      </c>
      <c r="G421" s="15">
        <f t="shared" ca="1" si="62"/>
        <v>64</v>
      </c>
      <c r="H421" s="15">
        <v>1</v>
      </c>
      <c r="I421" s="15" t="str">
        <f t="shared" ca="1" si="63"/>
        <v>I2C_Expander_02</v>
      </c>
      <c r="J421" s="15" t="str">
        <f t="shared" ca="1" si="56"/>
        <v>I2C_Expander_02!A64</v>
      </c>
      <c r="K421" s="15" t="str">
        <f t="shared" ca="1" si="57"/>
        <v>I2C_Expander_02!B64</v>
      </c>
    </row>
    <row r="422" spans="1:16" x14ac:dyDescent="0.25">
      <c r="A422" s="3" t="str">
        <f t="shared" ca="1" si="64"/>
        <v/>
      </c>
      <c r="G422" s="15">
        <f t="shared" ca="1" si="62"/>
        <v>65</v>
      </c>
      <c r="H422" s="15">
        <v>1</v>
      </c>
      <c r="I422" s="15" t="str">
        <f t="shared" ca="1" si="63"/>
        <v>I2C_Expander_02</v>
      </c>
      <c r="J422" s="15" t="str">
        <f t="shared" ca="1" si="56"/>
        <v>I2C_Expander_02!A65</v>
      </c>
      <c r="K422" s="15" t="str">
        <f t="shared" ca="1" si="57"/>
        <v>I2C_Expander_02!B65</v>
      </c>
    </row>
    <row r="423" spans="1:16" x14ac:dyDescent="0.25">
      <c r="A423" s="3" t="str">
        <f t="shared" ca="1" si="64"/>
        <v/>
      </c>
      <c r="G423" s="15">
        <f t="shared" ca="1" si="62"/>
        <v>66</v>
      </c>
      <c r="H423" s="15">
        <v>1</v>
      </c>
      <c r="I423" s="15" t="str">
        <f t="shared" ca="1" si="63"/>
        <v>I2C_Expander_02</v>
      </c>
      <c r="J423" s="15" t="str">
        <f t="shared" ca="1" si="56"/>
        <v>I2C_Expander_02!A66</v>
      </c>
      <c r="K423" s="15" t="str">
        <f t="shared" ca="1" si="57"/>
        <v>I2C_Expander_02!B66</v>
      </c>
    </row>
    <row r="424" spans="1:16" x14ac:dyDescent="0.25">
      <c r="A424" s="3" t="str">
        <f t="shared" ca="1" si="64"/>
        <v/>
      </c>
      <c r="G424" s="15">
        <f t="shared" ca="1" si="62"/>
        <v>67</v>
      </c>
      <c r="H424" s="15">
        <v>1</v>
      </c>
      <c r="I424" s="15" t="str">
        <f t="shared" ca="1" si="63"/>
        <v>I2C_Expander_02</v>
      </c>
      <c r="J424" s="15" t="str">
        <f t="shared" ca="1" si="56"/>
        <v>I2C_Expander_02!A67</v>
      </c>
      <c r="K424" s="15" t="str">
        <f t="shared" ca="1" si="57"/>
        <v>I2C_Expander_02!B67</v>
      </c>
    </row>
    <row r="425" spans="1:16" x14ac:dyDescent="0.25">
      <c r="A425" s="3" t="str">
        <f t="shared" ca="1" si="64"/>
        <v/>
      </c>
      <c r="G425" s="15">
        <f t="shared" ca="1" si="62"/>
        <v>68</v>
      </c>
      <c r="H425" s="15">
        <v>1</v>
      </c>
      <c r="I425" s="15" t="str">
        <f t="shared" ca="1" si="63"/>
        <v>I2C_Expander_02</v>
      </c>
      <c r="J425" s="15" t="str">
        <f t="shared" ca="1" si="56"/>
        <v>I2C_Expander_02!A68</v>
      </c>
      <c r="K425" s="15" t="str">
        <f t="shared" ca="1" si="57"/>
        <v>I2C_Expander_02!B68</v>
      </c>
    </row>
    <row r="426" spans="1:16" x14ac:dyDescent="0.25">
      <c r="A426" s="3" t="str">
        <f t="shared" ca="1" si="64"/>
        <v/>
      </c>
      <c r="G426" s="15">
        <f t="shared" ca="1" si="62"/>
        <v>69</v>
      </c>
      <c r="H426" s="15">
        <v>1</v>
      </c>
      <c r="I426" s="15" t="str">
        <f t="shared" ca="1" si="63"/>
        <v>I2C_Expander_02</v>
      </c>
      <c r="J426" s="15" t="str">
        <f t="shared" ca="1" si="56"/>
        <v>I2C_Expander_02!A69</v>
      </c>
      <c r="K426" s="15" t="str">
        <f t="shared" ca="1" si="57"/>
        <v>I2C_Expander_02!B69</v>
      </c>
    </row>
    <row r="427" spans="1:16" x14ac:dyDescent="0.25">
      <c r="A427" s="3" t="str">
        <f t="shared" ca="1" si="64"/>
        <v/>
      </c>
      <c r="G427" s="15">
        <f t="shared" ca="1" si="62"/>
        <v>70</v>
      </c>
      <c r="H427" s="15">
        <v>1</v>
      </c>
      <c r="I427" s="15" t="str">
        <f t="shared" ca="1" si="63"/>
        <v>I2C_Expander_02</v>
      </c>
      <c r="J427" s="15" t="str">
        <f t="shared" ca="1" si="56"/>
        <v>I2C_Expander_02!A70</v>
      </c>
      <c r="K427" s="15" t="str">
        <f t="shared" ca="1" si="57"/>
        <v>I2C_Expander_02!B70</v>
      </c>
    </row>
    <row r="428" spans="1:16" x14ac:dyDescent="0.25">
      <c r="A428" s="3" t="str">
        <f t="shared" ca="1" si="64"/>
        <v xml:space="preserve">#I2C_Bridge_GPIO:exp_group_1x =  </v>
      </c>
      <c r="G428" s="15">
        <f ca="1">INDIRECT(M428)</f>
        <v>71</v>
      </c>
      <c r="H428" s="15">
        <v>1</v>
      </c>
      <c r="I428" s="15" t="str">
        <f ca="1">INDIRECT(N428)</f>
        <v>I2C_Bridge_GPIO</v>
      </c>
      <c r="J428" s="15" t="str">
        <f t="shared" ref="J428:J491" ca="1" si="65">ADDRESS(G428,H428,4,1,I428)</f>
        <v>I2C_Bridge_GPIO!A71</v>
      </c>
      <c r="K428" s="15" t="str">
        <f t="shared" ref="K428:K491" ca="1" si="66">ADDRESS(G428,H428+1,4,1,I428)</f>
        <v>I2C_Bridge_GPIO!B71</v>
      </c>
      <c r="M428" s="15" t="str">
        <f>ADDRESS(O428,3,4,1,$R$1)</f>
        <v>konfig!C23</v>
      </c>
      <c r="N428" s="15" t="str">
        <f>ADDRESS(O428,1,4,1,$R$1)</f>
        <v>konfig!A23</v>
      </c>
      <c r="O428" s="15">
        <v>23</v>
      </c>
      <c r="P428" s="15">
        <v>4</v>
      </c>
    </row>
    <row r="429" spans="1:16" x14ac:dyDescent="0.25">
      <c r="A429" s="3" t="str">
        <f t="shared" ca="1" si="64"/>
        <v xml:space="preserve">device = TCA9548 </v>
      </c>
      <c r="G429" s="15">
        <f ca="1">G428+1</f>
        <v>72</v>
      </c>
      <c r="H429" s="15">
        <v>1</v>
      </c>
      <c r="I429" s="15" t="str">
        <f ca="1">I428</f>
        <v>I2C_Bridge_GPIO</v>
      </c>
      <c r="J429" s="15" t="str">
        <f t="shared" ca="1" si="65"/>
        <v>I2C_Bridge_GPIO!A72</v>
      </c>
      <c r="K429" s="15" t="str">
        <f t="shared" ca="1" si="66"/>
        <v>I2C_Bridge_GPIO!B72</v>
      </c>
    </row>
    <row r="430" spans="1:16" x14ac:dyDescent="0.25">
      <c r="A430" s="3" t="str">
        <f t="shared" ca="1" si="64"/>
        <v xml:space="preserve">i2c_addr = 0x73 </v>
      </c>
      <c r="G430" s="15">
        <f t="shared" ref="G430:G447" ca="1" si="67">G429+1</f>
        <v>73</v>
      </c>
      <c r="H430" s="15">
        <v>1</v>
      </c>
      <c r="I430" s="15" t="str">
        <f t="shared" ref="I430:I447" ca="1" si="68">I429</f>
        <v>I2C_Bridge_GPIO</v>
      </c>
      <c r="J430" s="15" t="str">
        <f t="shared" ca="1" si="65"/>
        <v>I2C_Bridge_GPIO!A73</v>
      </c>
      <c r="K430" s="15" t="str">
        <f t="shared" ca="1" si="66"/>
        <v>I2C_Bridge_GPIO!B73</v>
      </c>
    </row>
    <row r="431" spans="1:16" x14ac:dyDescent="0.25">
      <c r="A431" s="3" t="str">
        <f t="shared" ca="1" si="64"/>
        <v xml:space="preserve">i2c_num = /dev/i2c-1 </v>
      </c>
      <c r="C431" s="16"/>
      <c r="G431" s="15">
        <f t="shared" ca="1" si="67"/>
        <v>74</v>
      </c>
      <c r="H431" s="15">
        <v>1</v>
      </c>
      <c r="I431" s="15" t="str">
        <f t="shared" ca="1" si="68"/>
        <v>I2C_Bridge_GPIO</v>
      </c>
      <c r="J431" s="15" t="str">
        <f t="shared" ca="1" si="65"/>
        <v>I2C_Bridge_GPIO!A74</v>
      </c>
      <c r="K431" s="15" t="str">
        <f t="shared" ca="1" si="66"/>
        <v>I2C_Bridge_GPIO!B74</v>
      </c>
    </row>
    <row r="432" spans="1:16" x14ac:dyDescent="0.25">
      <c r="A432" s="3" t="str">
        <f t="shared" ca="1" si="64"/>
        <v xml:space="preserve">ctrl_reg = 0x10 </v>
      </c>
      <c r="G432" s="15">
        <f t="shared" ca="1" si="67"/>
        <v>75</v>
      </c>
      <c r="H432" s="15">
        <v>1</v>
      </c>
      <c r="I432" s="15" t="str">
        <f t="shared" ca="1" si="68"/>
        <v>I2C_Bridge_GPIO</v>
      </c>
      <c r="J432" s="15" t="str">
        <f t="shared" ca="1" si="65"/>
        <v>I2C_Bridge_GPIO!A75</v>
      </c>
      <c r="K432" s="15" t="str">
        <f t="shared" ca="1" si="66"/>
        <v>I2C_Bridge_GPIO!B75</v>
      </c>
    </row>
    <row r="433" spans="1:16" x14ac:dyDescent="0.25">
      <c r="A433" s="3" t="str">
        <f t="shared" ca="1" si="64"/>
        <v/>
      </c>
      <c r="G433" s="15">
        <f t="shared" ca="1" si="67"/>
        <v>76</v>
      </c>
      <c r="H433" s="15">
        <v>1</v>
      </c>
      <c r="I433" s="15" t="str">
        <f t="shared" ca="1" si="68"/>
        <v>I2C_Bridge_GPIO</v>
      </c>
      <c r="J433" s="15" t="str">
        <f t="shared" ca="1" si="65"/>
        <v>I2C_Bridge_GPIO!A76</v>
      </c>
      <c r="K433" s="15" t="str">
        <f t="shared" ca="1" si="66"/>
        <v>I2C_Bridge_GPIO!B76</v>
      </c>
    </row>
    <row r="434" spans="1:16" x14ac:dyDescent="0.25">
      <c r="A434" s="3" t="str">
        <f t="shared" ca="1" si="64"/>
        <v xml:space="preserve">time = 11 </v>
      </c>
      <c r="G434" s="15">
        <f t="shared" ca="1" si="67"/>
        <v>77</v>
      </c>
      <c r="H434" s="15">
        <v>1</v>
      </c>
      <c r="I434" s="15" t="str">
        <f t="shared" ca="1" si="68"/>
        <v>I2C_Bridge_GPIO</v>
      </c>
      <c r="J434" s="15" t="str">
        <f t="shared" ca="1" si="65"/>
        <v>I2C_Bridge_GPIO!A77</v>
      </c>
      <c r="K434" s="15" t="str">
        <f t="shared" ca="1" si="66"/>
        <v>I2C_Bridge_GPIO!B77</v>
      </c>
    </row>
    <row r="435" spans="1:16" x14ac:dyDescent="0.25">
      <c r="A435" s="3" t="str">
        <f t="shared" ca="1" si="64"/>
        <v/>
      </c>
      <c r="G435" s="15">
        <f t="shared" ca="1" si="67"/>
        <v>78</v>
      </c>
      <c r="H435" s="15">
        <v>1</v>
      </c>
      <c r="I435" s="15" t="str">
        <f t="shared" ca="1" si="68"/>
        <v>I2C_Bridge_GPIO</v>
      </c>
      <c r="J435" s="15" t="str">
        <f t="shared" ca="1" si="65"/>
        <v>I2C_Bridge_GPIO!A78</v>
      </c>
      <c r="K435" s="15" t="str">
        <f t="shared" ca="1" si="66"/>
        <v>I2C_Bridge_GPIO!B78</v>
      </c>
    </row>
    <row r="436" spans="1:16" x14ac:dyDescent="0.25">
      <c r="A436" s="3" t="str">
        <f t="shared" ca="1" si="64"/>
        <v/>
      </c>
      <c r="G436" s="15">
        <f t="shared" ca="1" si="67"/>
        <v>79</v>
      </c>
      <c r="H436" s="15">
        <v>1</v>
      </c>
      <c r="I436" s="15" t="str">
        <f t="shared" ca="1" si="68"/>
        <v>I2C_Bridge_GPIO</v>
      </c>
      <c r="J436" s="15" t="str">
        <f t="shared" ca="1" si="65"/>
        <v>I2C_Bridge_GPIO!A79</v>
      </c>
      <c r="K436" s="15" t="str">
        <f t="shared" ca="1" si="66"/>
        <v>I2C_Bridge_GPIO!B79</v>
      </c>
    </row>
    <row r="437" spans="1:16" x14ac:dyDescent="0.25">
      <c r="A437" s="3" t="str">
        <f t="shared" ca="1" si="64"/>
        <v/>
      </c>
      <c r="G437" s="15">
        <f t="shared" ca="1" si="67"/>
        <v>80</v>
      </c>
      <c r="H437" s="15">
        <v>1</v>
      </c>
      <c r="I437" s="15" t="str">
        <f t="shared" ca="1" si="68"/>
        <v>I2C_Bridge_GPIO</v>
      </c>
      <c r="J437" s="15" t="str">
        <f t="shared" ca="1" si="65"/>
        <v>I2C_Bridge_GPIO!A80</v>
      </c>
      <c r="K437" s="15" t="str">
        <f t="shared" ca="1" si="66"/>
        <v>I2C_Bridge_GPIO!B80</v>
      </c>
    </row>
    <row r="438" spans="1:16" x14ac:dyDescent="0.25">
      <c r="A438" s="3" t="str">
        <f t="shared" ca="1" si="64"/>
        <v/>
      </c>
      <c r="G438" s="15">
        <f t="shared" ca="1" si="67"/>
        <v>81</v>
      </c>
      <c r="H438" s="15">
        <v>1</v>
      </c>
      <c r="I438" s="15" t="str">
        <f t="shared" ca="1" si="68"/>
        <v>I2C_Bridge_GPIO</v>
      </c>
      <c r="J438" s="15" t="str">
        <f t="shared" ca="1" si="65"/>
        <v>I2C_Bridge_GPIO!A81</v>
      </c>
      <c r="K438" s="15" t="str">
        <f t="shared" ca="1" si="66"/>
        <v>I2C_Bridge_GPIO!B81</v>
      </c>
    </row>
    <row r="439" spans="1:16" x14ac:dyDescent="0.25">
      <c r="A439" s="3" t="str">
        <f t="shared" ca="1" si="64"/>
        <v/>
      </c>
      <c r="C439" s="16"/>
      <c r="G439" s="15">
        <f t="shared" ca="1" si="67"/>
        <v>82</v>
      </c>
      <c r="H439" s="15">
        <v>1</v>
      </c>
      <c r="I439" s="15" t="str">
        <f t="shared" ca="1" si="68"/>
        <v>I2C_Bridge_GPIO</v>
      </c>
      <c r="J439" s="15" t="str">
        <f t="shared" ca="1" si="65"/>
        <v>I2C_Bridge_GPIO!A82</v>
      </c>
      <c r="K439" s="15" t="str">
        <f t="shared" ca="1" si="66"/>
        <v>I2C_Bridge_GPIO!B82</v>
      </c>
    </row>
    <row r="440" spans="1:16" x14ac:dyDescent="0.25">
      <c r="A440" s="3" t="str">
        <f t="shared" ca="1" si="64"/>
        <v/>
      </c>
      <c r="G440" s="15">
        <f t="shared" ca="1" si="67"/>
        <v>83</v>
      </c>
      <c r="H440" s="15">
        <v>1</v>
      </c>
      <c r="I440" s="15" t="str">
        <f t="shared" ca="1" si="68"/>
        <v>I2C_Bridge_GPIO</v>
      </c>
      <c r="J440" s="15" t="str">
        <f t="shared" ca="1" si="65"/>
        <v>I2C_Bridge_GPIO!A83</v>
      </c>
      <c r="K440" s="15" t="str">
        <f t="shared" ca="1" si="66"/>
        <v>I2C_Bridge_GPIO!B83</v>
      </c>
    </row>
    <row r="441" spans="1:16" x14ac:dyDescent="0.25">
      <c r="A441" s="3" t="str">
        <f t="shared" ca="1" si="64"/>
        <v/>
      </c>
      <c r="G441" s="15">
        <f t="shared" ca="1" si="67"/>
        <v>84</v>
      </c>
      <c r="H441" s="15">
        <v>1</v>
      </c>
      <c r="I441" s="15" t="str">
        <f t="shared" ca="1" si="68"/>
        <v>I2C_Bridge_GPIO</v>
      </c>
      <c r="J441" s="15" t="str">
        <f t="shared" ca="1" si="65"/>
        <v>I2C_Bridge_GPIO!A84</v>
      </c>
      <c r="K441" s="15" t="str">
        <f t="shared" ca="1" si="66"/>
        <v>I2C_Bridge_GPIO!B84</v>
      </c>
    </row>
    <row r="442" spans="1:16" x14ac:dyDescent="0.25">
      <c r="A442" s="3" t="str">
        <f t="shared" ca="1" si="64"/>
        <v/>
      </c>
      <c r="G442" s="15">
        <f t="shared" ca="1" si="67"/>
        <v>85</v>
      </c>
      <c r="H442" s="15">
        <v>1</v>
      </c>
      <c r="I442" s="15" t="str">
        <f t="shared" ca="1" si="68"/>
        <v>I2C_Bridge_GPIO</v>
      </c>
      <c r="J442" s="15" t="str">
        <f t="shared" ca="1" si="65"/>
        <v>I2C_Bridge_GPIO!A85</v>
      </c>
      <c r="K442" s="15" t="str">
        <f t="shared" ca="1" si="66"/>
        <v>I2C_Bridge_GPIO!B85</v>
      </c>
    </row>
    <row r="443" spans="1:16" x14ac:dyDescent="0.25">
      <c r="A443" s="3" t="str">
        <f t="shared" ca="1" si="64"/>
        <v/>
      </c>
      <c r="G443" s="15">
        <f t="shared" ca="1" si="67"/>
        <v>86</v>
      </c>
      <c r="H443" s="15">
        <v>1</v>
      </c>
      <c r="I443" s="15" t="str">
        <f t="shared" ca="1" si="68"/>
        <v>I2C_Bridge_GPIO</v>
      </c>
      <c r="J443" s="15" t="str">
        <f t="shared" ca="1" si="65"/>
        <v>I2C_Bridge_GPIO!A86</v>
      </c>
      <c r="K443" s="15" t="str">
        <f t="shared" ca="1" si="66"/>
        <v>I2C_Bridge_GPIO!B86</v>
      </c>
    </row>
    <row r="444" spans="1:16" x14ac:dyDescent="0.25">
      <c r="A444" s="3" t="str">
        <f t="shared" ca="1" si="64"/>
        <v/>
      </c>
      <c r="G444" s="15">
        <f t="shared" ca="1" si="67"/>
        <v>87</v>
      </c>
      <c r="H444" s="15">
        <v>1</v>
      </c>
      <c r="I444" s="15" t="str">
        <f t="shared" ca="1" si="68"/>
        <v>I2C_Bridge_GPIO</v>
      </c>
      <c r="J444" s="15" t="str">
        <f t="shared" ca="1" si="65"/>
        <v>I2C_Bridge_GPIO!A87</v>
      </c>
      <c r="K444" s="15" t="str">
        <f t="shared" ca="1" si="66"/>
        <v>I2C_Bridge_GPIO!B87</v>
      </c>
    </row>
    <row r="445" spans="1:16" x14ac:dyDescent="0.25">
      <c r="A445" s="3" t="str">
        <f t="shared" ca="1" si="64"/>
        <v/>
      </c>
      <c r="G445" s="15">
        <f t="shared" ca="1" si="67"/>
        <v>88</v>
      </c>
      <c r="H445" s="15">
        <v>1</v>
      </c>
      <c r="I445" s="15" t="str">
        <f t="shared" ca="1" si="68"/>
        <v>I2C_Bridge_GPIO</v>
      </c>
      <c r="J445" s="15" t="str">
        <f t="shared" ca="1" si="65"/>
        <v>I2C_Bridge_GPIO!A88</v>
      </c>
      <c r="K445" s="15" t="str">
        <f t="shared" ca="1" si="66"/>
        <v>I2C_Bridge_GPIO!B88</v>
      </c>
    </row>
    <row r="446" spans="1:16" x14ac:dyDescent="0.25">
      <c r="A446" s="3" t="str">
        <f t="shared" ca="1" si="64"/>
        <v/>
      </c>
      <c r="G446" s="15">
        <f t="shared" ca="1" si="67"/>
        <v>89</v>
      </c>
      <c r="H446" s="15">
        <v>1</v>
      </c>
      <c r="I446" s="15" t="str">
        <f t="shared" ca="1" si="68"/>
        <v>I2C_Bridge_GPIO</v>
      </c>
      <c r="J446" s="15" t="str">
        <f t="shared" ca="1" si="65"/>
        <v>I2C_Bridge_GPIO!A89</v>
      </c>
      <c r="K446" s="15" t="str">
        <f t="shared" ca="1" si="66"/>
        <v>I2C_Bridge_GPIO!B89</v>
      </c>
    </row>
    <row r="447" spans="1:16" x14ac:dyDescent="0.25">
      <c r="A447" s="3" t="str">
        <f t="shared" ca="1" si="64"/>
        <v/>
      </c>
      <c r="G447" s="15">
        <f t="shared" ca="1" si="67"/>
        <v>90</v>
      </c>
      <c r="H447" s="15">
        <v>1</v>
      </c>
      <c r="I447" s="15" t="str">
        <f t="shared" ca="1" si="68"/>
        <v>I2C_Bridge_GPIO</v>
      </c>
      <c r="J447" s="15" t="str">
        <f t="shared" ca="1" si="65"/>
        <v>I2C_Bridge_GPIO!A90</v>
      </c>
      <c r="K447" s="15" t="str">
        <f t="shared" ca="1" si="66"/>
        <v>I2C_Bridge_GPIO!B90</v>
      </c>
    </row>
    <row r="448" spans="1:16" x14ac:dyDescent="0.25">
      <c r="A448" s="3" t="str">
        <f t="shared" ca="1" si="64"/>
        <v xml:space="preserve">#I2C_Expander_10:etap 1 =  </v>
      </c>
      <c r="G448" s="15">
        <f ca="1">INDIRECT(M448)</f>
        <v>51</v>
      </c>
      <c r="H448" s="15">
        <v>1</v>
      </c>
      <c r="I448" s="15" t="str">
        <f ca="1">INDIRECT(N448)</f>
        <v>I2C_Expander_10</v>
      </c>
      <c r="J448" s="15" t="str">
        <f t="shared" ca="1" si="65"/>
        <v>I2C_Expander_10!A51</v>
      </c>
      <c r="K448" s="15" t="str">
        <f t="shared" ca="1" si="66"/>
        <v>I2C_Expander_10!B51</v>
      </c>
      <c r="M448" s="15" t="str">
        <f>ADDRESS(O448,3,4,1,$R$1)</f>
        <v>konfig!C24</v>
      </c>
      <c r="N448" s="15" t="str">
        <f>ADDRESS(O448,1,4,1,$R$1)</f>
        <v>konfig!A24</v>
      </c>
      <c r="O448" s="15">
        <v>24</v>
      </c>
      <c r="P448" s="15">
        <v>4</v>
      </c>
    </row>
    <row r="449" spans="1:11" x14ac:dyDescent="0.25">
      <c r="A449" s="3" t="str">
        <f t="shared" ca="1" si="64"/>
        <v xml:space="preserve">device = MCP23017 </v>
      </c>
      <c r="G449" s="15">
        <f ca="1">G448+1</f>
        <v>52</v>
      </c>
      <c r="H449" s="15">
        <v>1</v>
      </c>
      <c r="I449" s="15" t="str">
        <f ca="1">I448</f>
        <v>I2C_Expander_10</v>
      </c>
      <c r="J449" s="15" t="str">
        <f t="shared" ca="1" si="65"/>
        <v>I2C_Expander_10!A52</v>
      </c>
      <c r="K449" s="15" t="str">
        <f t="shared" ca="1" si="66"/>
        <v>I2C_Expander_10!B52</v>
      </c>
    </row>
    <row r="450" spans="1:11" x14ac:dyDescent="0.25">
      <c r="A450" s="3" t="str">
        <f t="shared" ca="1" si="64"/>
        <v xml:space="preserve">i2c_addr = 0x20 </v>
      </c>
      <c r="G450" s="15">
        <f t="shared" ref="G450:G467" ca="1" si="69">G449+1</f>
        <v>53</v>
      </c>
      <c r="H450" s="15">
        <v>1</v>
      </c>
      <c r="I450" s="15" t="str">
        <f t="shared" ref="I450:I467" ca="1" si="70">I449</f>
        <v>I2C_Expander_10</v>
      </c>
      <c r="J450" s="15" t="str">
        <f t="shared" ca="1" si="65"/>
        <v>I2C_Expander_10!A53</v>
      </c>
      <c r="K450" s="15" t="str">
        <f t="shared" ca="1" si="66"/>
        <v>I2C_Expander_10!B53</v>
      </c>
    </row>
    <row r="451" spans="1:11" x14ac:dyDescent="0.25">
      <c r="A451" s="3" t="str">
        <f t="shared" ca="1" si="64"/>
        <v xml:space="preserve">i2c_num = /dev/i2c-1 </v>
      </c>
      <c r="C451" s="16"/>
      <c r="G451" s="15">
        <f t="shared" ca="1" si="69"/>
        <v>54</v>
      </c>
      <c r="H451" s="15">
        <v>1</v>
      </c>
      <c r="I451" s="15" t="str">
        <f t="shared" ca="1" si="70"/>
        <v>I2C_Expander_10</v>
      </c>
      <c r="J451" s="15" t="str">
        <f t="shared" ca="1" si="65"/>
        <v>I2C_Expander_10!A54</v>
      </c>
      <c r="K451" s="15" t="str">
        <f t="shared" ca="1" si="66"/>
        <v>I2C_Expander_10!B54</v>
      </c>
    </row>
    <row r="452" spans="1:11" x14ac:dyDescent="0.25">
      <c r="A452" s="3" t="str">
        <f t="shared" ca="1" si="64"/>
        <v xml:space="preserve">pins_mode = 0x1BFE </v>
      </c>
      <c r="G452" s="15">
        <f t="shared" ca="1" si="69"/>
        <v>55</v>
      </c>
      <c r="H452" s="15">
        <v>1</v>
      </c>
      <c r="I452" s="15" t="str">
        <f t="shared" ca="1" si="70"/>
        <v>I2C_Expander_10</v>
      </c>
      <c r="J452" s="15" t="str">
        <f t="shared" ca="1" si="65"/>
        <v>I2C_Expander_10!A55</v>
      </c>
      <c r="K452" s="15" t="str">
        <f t="shared" ca="1" si="66"/>
        <v>I2C_Expander_10!B55</v>
      </c>
    </row>
    <row r="453" spans="1:11" x14ac:dyDescent="0.25">
      <c r="A453" s="3" t="str">
        <f t="shared" ca="1" si="64"/>
        <v xml:space="preserve">pins_state = 0xE000 </v>
      </c>
      <c r="G453" s="15">
        <f t="shared" ca="1" si="69"/>
        <v>56</v>
      </c>
      <c r="H453" s="15">
        <v>1</v>
      </c>
      <c r="I453" s="15" t="str">
        <f t="shared" ca="1" si="70"/>
        <v>I2C_Expander_10</v>
      </c>
      <c r="J453" s="15" t="str">
        <f t="shared" ca="1" si="65"/>
        <v>I2C_Expander_10!A56</v>
      </c>
      <c r="K453" s="15" t="str">
        <f t="shared" ca="1" si="66"/>
        <v>I2C_Expander_10!B56</v>
      </c>
    </row>
    <row r="454" spans="1:11" x14ac:dyDescent="0.25">
      <c r="A454" s="3" t="str">
        <f t="shared" ca="1" si="64"/>
        <v xml:space="preserve">pins_pull_up = 0x0000 </v>
      </c>
      <c r="G454" s="15">
        <f t="shared" ca="1" si="69"/>
        <v>57</v>
      </c>
      <c r="H454" s="15">
        <v>1</v>
      </c>
      <c r="I454" s="15" t="str">
        <f t="shared" ca="1" si="70"/>
        <v>I2C_Expander_10</v>
      </c>
      <c r="J454" s="15" t="str">
        <f t="shared" ca="1" si="65"/>
        <v>I2C_Expander_10!A57</v>
      </c>
      <c r="K454" s="15" t="str">
        <f t="shared" ca="1" si="66"/>
        <v>I2C_Expander_10!B57</v>
      </c>
    </row>
    <row r="455" spans="1:11" x14ac:dyDescent="0.25">
      <c r="A455" s="3" t="str">
        <f t="shared" ca="1" si="64"/>
        <v xml:space="preserve">#pins_int = 0x0000 </v>
      </c>
      <c r="G455" s="15">
        <f t="shared" ca="1" si="69"/>
        <v>58</v>
      </c>
      <c r="H455" s="15">
        <v>1</v>
      </c>
      <c r="I455" s="15" t="str">
        <f t="shared" ca="1" si="70"/>
        <v>I2C_Expander_10</v>
      </c>
      <c r="J455" s="15" t="str">
        <f t="shared" ca="1" si="65"/>
        <v>I2C_Expander_10!A58</v>
      </c>
      <c r="K455" s="15" t="str">
        <f t="shared" ca="1" si="66"/>
        <v>I2C_Expander_10!B58</v>
      </c>
    </row>
    <row r="456" spans="1:11" x14ac:dyDescent="0.25">
      <c r="A456" s="3" t="str">
        <f t="shared" ca="1" si="64"/>
        <v xml:space="preserve">#pins_def_val = 0x0000 </v>
      </c>
      <c r="G456" s="15">
        <f t="shared" ca="1" si="69"/>
        <v>59</v>
      </c>
      <c r="H456" s="15">
        <v>1</v>
      </c>
      <c r="I456" s="15" t="str">
        <f t="shared" ca="1" si="70"/>
        <v>I2C_Expander_10</v>
      </c>
      <c r="J456" s="15" t="str">
        <f t="shared" ca="1" si="65"/>
        <v>I2C_Expander_10!A59</v>
      </c>
      <c r="K456" s="15" t="str">
        <f t="shared" ca="1" si="66"/>
        <v>I2C_Expander_10!B59</v>
      </c>
    </row>
    <row r="457" spans="1:11" x14ac:dyDescent="0.25">
      <c r="A457" s="3" t="str">
        <f t="shared" ca="1" si="64"/>
        <v/>
      </c>
      <c r="G457" s="15">
        <f t="shared" ca="1" si="69"/>
        <v>60</v>
      </c>
      <c r="H457" s="15">
        <v>1</v>
      </c>
      <c r="I457" s="15" t="str">
        <f t="shared" ca="1" si="70"/>
        <v>I2C_Expander_10</v>
      </c>
      <c r="J457" s="15" t="str">
        <f t="shared" ca="1" si="65"/>
        <v>I2C_Expander_10!A60</v>
      </c>
      <c r="K457" s="15" t="str">
        <f t="shared" ca="1" si="66"/>
        <v>I2C_Expander_10!B60</v>
      </c>
    </row>
    <row r="458" spans="1:11" x14ac:dyDescent="0.25">
      <c r="A458" s="3" t="str">
        <f t="shared" ca="1" si="64"/>
        <v xml:space="preserve">time = 10 </v>
      </c>
      <c r="G458" s="15">
        <f t="shared" ca="1" si="69"/>
        <v>61</v>
      </c>
      <c r="H458" s="15">
        <v>1</v>
      </c>
      <c r="I458" s="15" t="str">
        <f t="shared" ca="1" si="70"/>
        <v>I2C_Expander_10</v>
      </c>
      <c r="J458" s="15" t="str">
        <f t="shared" ca="1" si="65"/>
        <v>I2C_Expander_10!A61</v>
      </c>
      <c r="K458" s="15" t="str">
        <f t="shared" ca="1" si="66"/>
        <v>I2C_Expander_10!B61</v>
      </c>
    </row>
    <row r="459" spans="1:11" x14ac:dyDescent="0.25">
      <c r="A459" s="3" t="str">
        <f t="shared" ca="1" si="64"/>
        <v/>
      </c>
      <c r="C459" s="16"/>
      <c r="G459" s="15">
        <f t="shared" ca="1" si="69"/>
        <v>62</v>
      </c>
      <c r="H459" s="15">
        <v>1</v>
      </c>
      <c r="I459" s="15" t="str">
        <f t="shared" ca="1" si="70"/>
        <v>I2C_Expander_10</v>
      </c>
      <c r="J459" s="15" t="str">
        <f t="shared" ca="1" si="65"/>
        <v>I2C_Expander_10!A62</v>
      </c>
      <c r="K459" s="15" t="str">
        <f t="shared" ca="1" si="66"/>
        <v>I2C_Expander_10!B62</v>
      </c>
    </row>
    <row r="460" spans="1:11" x14ac:dyDescent="0.25">
      <c r="A460" s="3" t="str">
        <f t="shared" ca="1" si="64"/>
        <v/>
      </c>
      <c r="G460" s="15">
        <f t="shared" ca="1" si="69"/>
        <v>63</v>
      </c>
      <c r="H460" s="15">
        <v>1</v>
      </c>
      <c r="I460" s="15" t="str">
        <f t="shared" ca="1" si="70"/>
        <v>I2C_Expander_10</v>
      </c>
      <c r="J460" s="15" t="str">
        <f t="shared" ca="1" si="65"/>
        <v>I2C_Expander_10!A63</v>
      </c>
      <c r="K460" s="15" t="str">
        <f t="shared" ca="1" si="66"/>
        <v>I2C_Expander_10!B63</v>
      </c>
    </row>
    <row r="461" spans="1:11" x14ac:dyDescent="0.25">
      <c r="A461" s="3" t="str">
        <f t="shared" ca="1" si="64"/>
        <v/>
      </c>
      <c r="G461" s="15">
        <f t="shared" ca="1" si="69"/>
        <v>64</v>
      </c>
      <c r="H461" s="15">
        <v>1</v>
      </c>
      <c r="I461" s="15" t="str">
        <f t="shared" ca="1" si="70"/>
        <v>I2C_Expander_10</v>
      </c>
      <c r="J461" s="15" t="str">
        <f t="shared" ca="1" si="65"/>
        <v>I2C_Expander_10!A64</v>
      </c>
      <c r="K461" s="15" t="str">
        <f t="shared" ca="1" si="66"/>
        <v>I2C_Expander_10!B64</v>
      </c>
    </row>
    <row r="462" spans="1:11" x14ac:dyDescent="0.25">
      <c r="A462" s="3" t="str">
        <f t="shared" ca="1" si="64"/>
        <v/>
      </c>
      <c r="G462" s="15">
        <f t="shared" ca="1" si="69"/>
        <v>65</v>
      </c>
      <c r="H462" s="15">
        <v>1</v>
      </c>
      <c r="I462" s="15" t="str">
        <f t="shared" ca="1" si="70"/>
        <v>I2C_Expander_10</v>
      </c>
      <c r="J462" s="15" t="str">
        <f t="shared" ca="1" si="65"/>
        <v>I2C_Expander_10!A65</v>
      </c>
      <c r="K462" s="15" t="str">
        <f t="shared" ca="1" si="66"/>
        <v>I2C_Expander_10!B65</v>
      </c>
    </row>
    <row r="463" spans="1:11" x14ac:dyDescent="0.25">
      <c r="A463" s="3" t="str">
        <f t="shared" ca="1" si="64"/>
        <v/>
      </c>
      <c r="G463" s="15">
        <f t="shared" ca="1" si="69"/>
        <v>66</v>
      </c>
      <c r="H463" s="15">
        <v>1</v>
      </c>
      <c r="I463" s="15" t="str">
        <f t="shared" ca="1" si="70"/>
        <v>I2C_Expander_10</v>
      </c>
      <c r="J463" s="15" t="str">
        <f t="shared" ca="1" si="65"/>
        <v>I2C_Expander_10!A66</v>
      </c>
      <c r="K463" s="15" t="str">
        <f t="shared" ca="1" si="66"/>
        <v>I2C_Expander_10!B66</v>
      </c>
    </row>
    <row r="464" spans="1:11" x14ac:dyDescent="0.25">
      <c r="A464" s="3" t="str">
        <f t="shared" ca="1" si="64"/>
        <v/>
      </c>
      <c r="G464" s="15">
        <f t="shared" ca="1" si="69"/>
        <v>67</v>
      </c>
      <c r="H464" s="15">
        <v>1</v>
      </c>
      <c r="I464" s="15" t="str">
        <f t="shared" ca="1" si="70"/>
        <v>I2C_Expander_10</v>
      </c>
      <c r="J464" s="15" t="str">
        <f t="shared" ca="1" si="65"/>
        <v>I2C_Expander_10!A67</v>
      </c>
      <c r="K464" s="15" t="str">
        <f t="shared" ca="1" si="66"/>
        <v>I2C_Expander_10!B67</v>
      </c>
    </row>
    <row r="465" spans="1:16" x14ac:dyDescent="0.25">
      <c r="A465" s="3" t="str">
        <f t="shared" ca="1" si="64"/>
        <v/>
      </c>
      <c r="G465" s="15">
        <f t="shared" ca="1" si="69"/>
        <v>68</v>
      </c>
      <c r="H465" s="15">
        <v>1</v>
      </c>
      <c r="I465" s="15" t="str">
        <f t="shared" ca="1" si="70"/>
        <v>I2C_Expander_10</v>
      </c>
      <c r="J465" s="15" t="str">
        <f t="shared" ca="1" si="65"/>
        <v>I2C_Expander_10!A68</v>
      </c>
      <c r="K465" s="15" t="str">
        <f t="shared" ca="1" si="66"/>
        <v>I2C_Expander_10!B68</v>
      </c>
    </row>
    <row r="466" spans="1:16" x14ac:dyDescent="0.25">
      <c r="A466" s="3" t="str">
        <f t="shared" ca="1" si="64"/>
        <v/>
      </c>
      <c r="G466" s="15">
        <f t="shared" ca="1" si="69"/>
        <v>69</v>
      </c>
      <c r="H466" s="15">
        <v>1</v>
      </c>
      <c r="I466" s="15" t="str">
        <f t="shared" ca="1" si="70"/>
        <v>I2C_Expander_10</v>
      </c>
      <c r="J466" s="15" t="str">
        <f t="shared" ca="1" si="65"/>
        <v>I2C_Expander_10!A69</v>
      </c>
      <c r="K466" s="15" t="str">
        <f t="shared" ca="1" si="66"/>
        <v>I2C_Expander_10!B69</v>
      </c>
    </row>
    <row r="467" spans="1:16" x14ac:dyDescent="0.25">
      <c r="A467" s="3" t="str">
        <f t="shared" ca="1" si="64"/>
        <v/>
      </c>
      <c r="G467" s="15">
        <f t="shared" ca="1" si="69"/>
        <v>70</v>
      </c>
      <c r="H467" s="15">
        <v>1</v>
      </c>
      <c r="I467" s="15" t="str">
        <f t="shared" ca="1" si="70"/>
        <v>I2C_Expander_10</v>
      </c>
      <c r="J467" s="15" t="str">
        <f t="shared" ca="1" si="65"/>
        <v>I2C_Expander_10!A70</v>
      </c>
      <c r="K467" s="15" t="str">
        <f t="shared" ca="1" si="66"/>
        <v>I2C_Expander_10!B70</v>
      </c>
    </row>
    <row r="468" spans="1:16" x14ac:dyDescent="0.25">
      <c r="A468" s="3" t="str">
        <f t="shared" ca="1" si="64"/>
        <v xml:space="preserve">#I2C_Expander_11:etap 1 =  </v>
      </c>
      <c r="G468" s="15">
        <f ca="1">INDIRECT(M468)</f>
        <v>51</v>
      </c>
      <c r="H468" s="15">
        <v>1</v>
      </c>
      <c r="I468" s="15" t="str">
        <f ca="1">INDIRECT(N468)</f>
        <v>I2C_Expander_11</v>
      </c>
      <c r="J468" s="15" t="str">
        <f t="shared" ca="1" si="65"/>
        <v>I2C_Expander_11!A51</v>
      </c>
      <c r="K468" s="15" t="str">
        <f t="shared" ca="1" si="66"/>
        <v>I2C_Expander_11!B51</v>
      </c>
      <c r="M468" s="15" t="str">
        <f>ADDRESS(O468,3,4,1,$R$1)</f>
        <v>konfig!C25</v>
      </c>
      <c r="N468" s="15" t="str">
        <f>ADDRESS(O468,1,4,1,$R$1)</f>
        <v>konfig!A25</v>
      </c>
      <c r="O468" s="15">
        <v>25</v>
      </c>
      <c r="P468" s="15">
        <v>4</v>
      </c>
    </row>
    <row r="469" spans="1:16" x14ac:dyDescent="0.25">
      <c r="A469" s="3" t="str">
        <f t="shared" ca="1" si="64"/>
        <v xml:space="preserve">device = MCP23017 </v>
      </c>
      <c r="G469" s="15">
        <f ca="1">G468+1</f>
        <v>52</v>
      </c>
      <c r="H469" s="15">
        <v>1</v>
      </c>
      <c r="I469" s="15" t="str">
        <f ca="1">I468</f>
        <v>I2C_Expander_11</v>
      </c>
      <c r="J469" s="15" t="str">
        <f t="shared" ca="1" si="65"/>
        <v>I2C_Expander_11!A52</v>
      </c>
      <c r="K469" s="15" t="str">
        <f t="shared" ca="1" si="66"/>
        <v>I2C_Expander_11!B52</v>
      </c>
    </row>
    <row r="470" spans="1:16" x14ac:dyDescent="0.25">
      <c r="A470" s="3" t="str">
        <f t="shared" ca="1" si="64"/>
        <v xml:space="preserve">i2c_addr = 0x21 </v>
      </c>
      <c r="G470" s="15">
        <f t="shared" ref="G470:G487" ca="1" si="71">G469+1</f>
        <v>53</v>
      </c>
      <c r="H470" s="15">
        <v>1</v>
      </c>
      <c r="I470" s="15" t="str">
        <f t="shared" ref="I470:I487" ca="1" si="72">I469</f>
        <v>I2C_Expander_11</v>
      </c>
      <c r="J470" s="15" t="str">
        <f t="shared" ca="1" si="65"/>
        <v>I2C_Expander_11!A53</v>
      </c>
      <c r="K470" s="15" t="str">
        <f t="shared" ca="1" si="66"/>
        <v>I2C_Expander_11!B53</v>
      </c>
    </row>
    <row r="471" spans="1:16" x14ac:dyDescent="0.25">
      <c r="A471" s="3" t="str">
        <f t="shared" ca="1" si="64"/>
        <v xml:space="preserve">i2c_num = /dev/i2c-1 </v>
      </c>
      <c r="C471" s="16"/>
      <c r="G471" s="15">
        <f t="shared" ca="1" si="71"/>
        <v>54</v>
      </c>
      <c r="H471" s="15">
        <v>1</v>
      </c>
      <c r="I471" s="15" t="str">
        <f t="shared" ca="1" si="72"/>
        <v>I2C_Expander_11</v>
      </c>
      <c r="J471" s="15" t="str">
        <f t="shared" ca="1" si="65"/>
        <v>I2C_Expander_11!A54</v>
      </c>
      <c r="K471" s="15" t="str">
        <f t="shared" ca="1" si="66"/>
        <v>I2C_Expander_11!B54</v>
      </c>
    </row>
    <row r="472" spans="1:16" x14ac:dyDescent="0.25">
      <c r="A472" s="3" t="str">
        <f t="shared" ca="1" si="64"/>
        <v xml:space="preserve">pins_mode = 0x7450 </v>
      </c>
      <c r="G472" s="15">
        <f t="shared" ca="1" si="71"/>
        <v>55</v>
      </c>
      <c r="H472" s="15">
        <v>1</v>
      </c>
      <c r="I472" s="15" t="str">
        <f t="shared" ca="1" si="72"/>
        <v>I2C_Expander_11</v>
      </c>
      <c r="J472" s="15" t="str">
        <f t="shared" ca="1" si="65"/>
        <v>I2C_Expander_11!A55</v>
      </c>
      <c r="K472" s="15" t="str">
        <f t="shared" ca="1" si="66"/>
        <v>I2C_Expander_11!B55</v>
      </c>
    </row>
    <row r="473" spans="1:16" x14ac:dyDescent="0.25">
      <c r="A473" s="3" t="str">
        <f t="shared" ca="1" si="64"/>
        <v xml:space="preserve">pins_state = 0x0BAB </v>
      </c>
      <c r="G473" s="15">
        <f t="shared" ca="1" si="71"/>
        <v>56</v>
      </c>
      <c r="H473" s="15">
        <v>1</v>
      </c>
      <c r="I473" s="15" t="str">
        <f t="shared" ca="1" si="72"/>
        <v>I2C_Expander_11</v>
      </c>
      <c r="J473" s="15" t="str">
        <f t="shared" ca="1" si="65"/>
        <v>I2C_Expander_11!A56</v>
      </c>
      <c r="K473" s="15" t="str">
        <f t="shared" ca="1" si="66"/>
        <v>I2C_Expander_11!B56</v>
      </c>
    </row>
    <row r="474" spans="1:16" x14ac:dyDescent="0.25">
      <c r="A474" s="3" t="str">
        <f t="shared" ca="1" si="64"/>
        <v xml:space="preserve">pins_pull_up = 0x0000 </v>
      </c>
      <c r="G474" s="15">
        <f t="shared" ca="1" si="71"/>
        <v>57</v>
      </c>
      <c r="H474" s="15">
        <v>1</v>
      </c>
      <c r="I474" s="15" t="str">
        <f t="shared" ca="1" si="72"/>
        <v>I2C_Expander_11</v>
      </c>
      <c r="J474" s="15" t="str">
        <f t="shared" ca="1" si="65"/>
        <v>I2C_Expander_11!A57</v>
      </c>
      <c r="K474" s="15" t="str">
        <f t="shared" ca="1" si="66"/>
        <v>I2C_Expander_11!B57</v>
      </c>
    </row>
    <row r="475" spans="1:16" x14ac:dyDescent="0.25">
      <c r="A475" s="3" t="str">
        <f t="shared" ca="1" si="64"/>
        <v xml:space="preserve">#pins_int = 0x0000 </v>
      </c>
      <c r="G475" s="15">
        <f t="shared" ca="1" si="71"/>
        <v>58</v>
      </c>
      <c r="H475" s="15">
        <v>1</v>
      </c>
      <c r="I475" s="15" t="str">
        <f t="shared" ca="1" si="72"/>
        <v>I2C_Expander_11</v>
      </c>
      <c r="J475" s="15" t="str">
        <f t="shared" ca="1" si="65"/>
        <v>I2C_Expander_11!A58</v>
      </c>
      <c r="K475" s="15" t="str">
        <f t="shared" ca="1" si="66"/>
        <v>I2C_Expander_11!B58</v>
      </c>
    </row>
    <row r="476" spans="1:16" x14ac:dyDescent="0.25">
      <c r="A476" s="3" t="str">
        <f t="shared" ref="A476:A539" ca="1" si="73">IFERROR(IF(INDIRECT(J476)&lt;&gt;"",CONCATENATE(INDIRECT(J476)," = ",INDIRECT(K476)," "),""),"")</f>
        <v xml:space="preserve">#pins_def_val = 0x0000 </v>
      </c>
      <c r="G476" s="15">
        <f t="shared" ca="1" si="71"/>
        <v>59</v>
      </c>
      <c r="H476" s="15">
        <v>1</v>
      </c>
      <c r="I476" s="15" t="str">
        <f t="shared" ca="1" si="72"/>
        <v>I2C_Expander_11</v>
      </c>
      <c r="J476" s="15" t="str">
        <f t="shared" ca="1" si="65"/>
        <v>I2C_Expander_11!A59</v>
      </c>
      <c r="K476" s="15" t="str">
        <f t="shared" ca="1" si="66"/>
        <v>I2C_Expander_11!B59</v>
      </c>
    </row>
    <row r="477" spans="1:16" x14ac:dyDescent="0.25">
      <c r="A477" s="3" t="str">
        <f t="shared" ca="1" si="73"/>
        <v/>
      </c>
      <c r="G477" s="15">
        <f t="shared" ca="1" si="71"/>
        <v>60</v>
      </c>
      <c r="H477" s="15">
        <v>1</v>
      </c>
      <c r="I477" s="15" t="str">
        <f t="shared" ca="1" si="72"/>
        <v>I2C_Expander_11</v>
      </c>
      <c r="J477" s="15" t="str">
        <f t="shared" ca="1" si="65"/>
        <v>I2C_Expander_11!A60</v>
      </c>
      <c r="K477" s="15" t="str">
        <f t="shared" ca="1" si="66"/>
        <v>I2C_Expander_11!B60</v>
      </c>
    </row>
    <row r="478" spans="1:16" x14ac:dyDescent="0.25">
      <c r="A478" s="3" t="str">
        <f t="shared" ca="1" si="73"/>
        <v xml:space="preserve">time = 10 </v>
      </c>
      <c r="G478" s="15">
        <f t="shared" ca="1" si="71"/>
        <v>61</v>
      </c>
      <c r="H478" s="15">
        <v>1</v>
      </c>
      <c r="I478" s="15" t="str">
        <f t="shared" ca="1" si="72"/>
        <v>I2C_Expander_11</v>
      </c>
      <c r="J478" s="15" t="str">
        <f t="shared" ca="1" si="65"/>
        <v>I2C_Expander_11!A61</v>
      </c>
      <c r="K478" s="15" t="str">
        <f t="shared" ca="1" si="66"/>
        <v>I2C_Expander_11!B61</v>
      </c>
    </row>
    <row r="479" spans="1:16" x14ac:dyDescent="0.25">
      <c r="A479" s="3" t="str">
        <f t="shared" ca="1" si="73"/>
        <v/>
      </c>
      <c r="C479" s="16"/>
      <c r="G479" s="15">
        <f t="shared" ca="1" si="71"/>
        <v>62</v>
      </c>
      <c r="H479" s="15">
        <v>1</v>
      </c>
      <c r="I479" s="15" t="str">
        <f t="shared" ca="1" si="72"/>
        <v>I2C_Expander_11</v>
      </c>
      <c r="J479" s="15" t="str">
        <f t="shared" ca="1" si="65"/>
        <v>I2C_Expander_11!A62</v>
      </c>
      <c r="K479" s="15" t="str">
        <f t="shared" ca="1" si="66"/>
        <v>I2C_Expander_11!B62</v>
      </c>
    </row>
    <row r="480" spans="1:16" x14ac:dyDescent="0.25">
      <c r="A480" s="3" t="str">
        <f t="shared" ca="1" si="73"/>
        <v/>
      </c>
      <c r="G480" s="15">
        <f t="shared" ca="1" si="71"/>
        <v>63</v>
      </c>
      <c r="H480" s="15">
        <v>1</v>
      </c>
      <c r="I480" s="15" t="str">
        <f t="shared" ca="1" si="72"/>
        <v>I2C_Expander_11</v>
      </c>
      <c r="J480" s="15" t="str">
        <f t="shared" ca="1" si="65"/>
        <v>I2C_Expander_11!A63</v>
      </c>
      <c r="K480" s="15" t="str">
        <f t="shared" ca="1" si="66"/>
        <v>I2C_Expander_11!B63</v>
      </c>
    </row>
    <row r="481" spans="1:16" x14ac:dyDescent="0.25">
      <c r="A481" s="3" t="str">
        <f t="shared" ca="1" si="73"/>
        <v/>
      </c>
      <c r="G481" s="15">
        <f t="shared" ca="1" si="71"/>
        <v>64</v>
      </c>
      <c r="H481" s="15">
        <v>1</v>
      </c>
      <c r="I481" s="15" t="str">
        <f t="shared" ca="1" si="72"/>
        <v>I2C_Expander_11</v>
      </c>
      <c r="J481" s="15" t="str">
        <f t="shared" ca="1" si="65"/>
        <v>I2C_Expander_11!A64</v>
      </c>
      <c r="K481" s="15" t="str">
        <f t="shared" ca="1" si="66"/>
        <v>I2C_Expander_11!B64</v>
      </c>
    </row>
    <row r="482" spans="1:16" x14ac:dyDescent="0.25">
      <c r="A482" s="3" t="str">
        <f t="shared" ca="1" si="73"/>
        <v/>
      </c>
      <c r="G482" s="15">
        <f t="shared" ca="1" si="71"/>
        <v>65</v>
      </c>
      <c r="H482" s="15">
        <v>1</v>
      </c>
      <c r="I482" s="15" t="str">
        <f t="shared" ca="1" si="72"/>
        <v>I2C_Expander_11</v>
      </c>
      <c r="J482" s="15" t="str">
        <f t="shared" ca="1" si="65"/>
        <v>I2C_Expander_11!A65</v>
      </c>
      <c r="K482" s="15" t="str">
        <f t="shared" ca="1" si="66"/>
        <v>I2C_Expander_11!B65</v>
      </c>
    </row>
    <row r="483" spans="1:16" x14ac:dyDescent="0.25">
      <c r="A483" s="3" t="str">
        <f t="shared" ca="1" si="73"/>
        <v/>
      </c>
      <c r="G483" s="15">
        <f t="shared" ca="1" si="71"/>
        <v>66</v>
      </c>
      <c r="H483" s="15">
        <v>1</v>
      </c>
      <c r="I483" s="15" t="str">
        <f t="shared" ca="1" si="72"/>
        <v>I2C_Expander_11</v>
      </c>
      <c r="J483" s="15" t="str">
        <f t="shared" ca="1" si="65"/>
        <v>I2C_Expander_11!A66</v>
      </c>
      <c r="K483" s="15" t="str">
        <f t="shared" ca="1" si="66"/>
        <v>I2C_Expander_11!B66</v>
      </c>
    </row>
    <row r="484" spans="1:16" x14ac:dyDescent="0.25">
      <c r="A484" s="3" t="str">
        <f t="shared" ca="1" si="73"/>
        <v/>
      </c>
      <c r="G484" s="15">
        <f t="shared" ca="1" si="71"/>
        <v>67</v>
      </c>
      <c r="H484" s="15">
        <v>1</v>
      </c>
      <c r="I484" s="15" t="str">
        <f t="shared" ca="1" si="72"/>
        <v>I2C_Expander_11</v>
      </c>
      <c r="J484" s="15" t="str">
        <f t="shared" ca="1" si="65"/>
        <v>I2C_Expander_11!A67</v>
      </c>
      <c r="K484" s="15" t="str">
        <f t="shared" ca="1" si="66"/>
        <v>I2C_Expander_11!B67</v>
      </c>
    </row>
    <row r="485" spans="1:16" x14ac:dyDescent="0.25">
      <c r="A485" s="3" t="str">
        <f t="shared" ca="1" si="73"/>
        <v/>
      </c>
      <c r="G485" s="15">
        <f t="shared" ca="1" si="71"/>
        <v>68</v>
      </c>
      <c r="H485" s="15">
        <v>1</v>
      </c>
      <c r="I485" s="15" t="str">
        <f t="shared" ca="1" si="72"/>
        <v>I2C_Expander_11</v>
      </c>
      <c r="J485" s="15" t="str">
        <f t="shared" ca="1" si="65"/>
        <v>I2C_Expander_11!A68</v>
      </c>
      <c r="K485" s="15" t="str">
        <f t="shared" ca="1" si="66"/>
        <v>I2C_Expander_11!B68</v>
      </c>
    </row>
    <row r="486" spans="1:16" x14ac:dyDescent="0.25">
      <c r="A486" s="3" t="str">
        <f t="shared" ca="1" si="73"/>
        <v/>
      </c>
      <c r="G486" s="15">
        <f t="shared" ca="1" si="71"/>
        <v>69</v>
      </c>
      <c r="H486" s="15">
        <v>1</v>
      </c>
      <c r="I486" s="15" t="str">
        <f t="shared" ca="1" si="72"/>
        <v>I2C_Expander_11</v>
      </c>
      <c r="J486" s="15" t="str">
        <f t="shared" ca="1" si="65"/>
        <v>I2C_Expander_11!A69</v>
      </c>
      <c r="K486" s="15" t="str">
        <f t="shared" ca="1" si="66"/>
        <v>I2C_Expander_11!B69</v>
      </c>
    </row>
    <row r="487" spans="1:16" x14ac:dyDescent="0.25">
      <c r="A487" s="3" t="str">
        <f t="shared" ca="1" si="73"/>
        <v/>
      </c>
      <c r="G487" s="15">
        <f t="shared" ca="1" si="71"/>
        <v>70</v>
      </c>
      <c r="H487" s="15">
        <v>1</v>
      </c>
      <c r="I487" s="15" t="str">
        <f t="shared" ca="1" si="72"/>
        <v>I2C_Expander_11</v>
      </c>
      <c r="J487" s="15" t="str">
        <f t="shared" ca="1" si="65"/>
        <v>I2C_Expander_11!A70</v>
      </c>
      <c r="K487" s="15" t="str">
        <f t="shared" ca="1" si="66"/>
        <v>I2C_Expander_11!B70</v>
      </c>
    </row>
    <row r="488" spans="1:16" x14ac:dyDescent="0.25">
      <c r="A488" s="3" t="str">
        <f t="shared" ca="1" si="73"/>
        <v xml:space="preserve">#I2C_Expander_12:etap 1 =  </v>
      </c>
      <c r="G488" s="15">
        <f ca="1">INDIRECT(M488)</f>
        <v>51</v>
      </c>
      <c r="H488" s="15">
        <v>1</v>
      </c>
      <c r="I488" s="15" t="str">
        <f ca="1">INDIRECT(N488)</f>
        <v>I2C_Expander_12</v>
      </c>
      <c r="J488" s="15" t="str">
        <f t="shared" ca="1" si="65"/>
        <v>I2C_Expander_12!A51</v>
      </c>
      <c r="K488" s="15" t="str">
        <f t="shared" ca="1" si="66"/>
        <v>I2C_Expander_12!B51</v>
      </c>
      <c r="M488" s="15" t="str">
        <f>ADDRESS(O488,3,4,1,$R$1)</f>
        <v>konfig!C26</v>
      </c>
      <c r="N488" s="15" t="str">
        <f>ADDRESS(O488,1,4,1,$R$1)</f>
        <v>konfig!A26</v>
      </c>
      <c r="O488" s="15">
        <v>26</v>
      </c>
      <c r="P488" s="15">
        <v>4</v>
      </c>
    </row>
    <row r="489" spans="1:16" x14ac:dyDescent="0.25">
      <c r="A489" s="3" t="str">
        <f t="shared" ca="1" si="73"/>
        <v xml:space="preserve">device = MCP23017 </v>
      </c>
      <c r="G489" s="15">
        <f ca="1">G488+1</f>
        <v>52</v>
      </c>
      <c r="H489" s="15">
        <v>1</v>
      </c>
      <c r="I489" s="15" t="str">
        <f ca="1">I488</f>
        <v>I2C_Expander_12</v>
      </c>
      <c r="J489" s="15" t="str">
        <f t="shared" ca="1" si="65"/>
        <v>I2C_Expander_12!A52</v>
      </c>
      <c r="K489" s="15" t="str">
        <f t="shared" ca="1" si="66"/>
        <v>I2C_Expander_12!B52</v>
      </c>
    </row>
    <row r="490" spans="1:16" x14ac:dyDescent="0.25">
      <c r="A490" s="3" t="str">
        <f t="shared" ca="1" si="73"/>
        <v xml:space="preserve">i2c_addr = 0x22 </v>
      </c>
      <c r="G490" s="15">
        <f t="shared" ref="G490:G507" ca="1" si="74">G489+1</f>
        <v>53</v>
      </c>
      <c r="H490" s="15">
        <v>1</v>
      </c>
      <c r="I490" s="15" t="str">
        <f t="shared" ref="I490:I507" ca="1" si="75">I489</f>
        <v>I2C_Expander_12</v>
      </c>
      <c r="J490" s="15" t="str">
        <f t="shared" ca="1" si="65"/>
        <v>I2C_Expander_12!A53</v>
      </c>
      <c r="K490" s="15" t="str">
        <f t="shared" ca="1" si="66"/>
        <v>I2C_Expander_12!B53</v>
      </c>
    </row>
    <row r="491" spans="1:16" x14ac:dyDescent="0.25">
      <c r="A491" s="3" t="str">
        <f t="shared" ca="1" si="73"/>
        <v xml:space="preserve">i2c_num = /dev/i2c-1 </v>
      </c>
      <c r="C491" s="16"/>
      <c r="G491" s="15">
        <f t="shared" ca="1" si="74"/>
        <v>54</v>
      </c>
      <c r="H491" s="15">
        <v>1</v>
      </c>
      <c r="I491" s="15" t="str">
        <f t="shared" ca="1" si="75"/>
        <v>I2C_Expander_12</v>
      </c>
      <c r="J491" s="15" t="str">
        <f t="shared" ca="1" si="65"/>
        <v>I2C_Expander_12!A54</v>
      </c>
      <c r="K491" s="15" t="str">
        <f t="shared" ca="1" si="66"/>
        <v>I2C_Expander_12!B54</v>
      </c>
    </row>
    <row r="492" spans="1:16" x14ac:dyDescent="0.25">
      <c r="A492" s="3" t="str">
        <f t="shared" ca="1" si="73"/>
        <v xml:space="preserve">pins_mode = 0xFFFF </v>
      </c>
      <c r="G492" s="15">
        <f t="shared" ca="1" si="74"/>
        <v>55</v>
      </c>
      <c r="H492" s="15">
        <v>1</v>
      </c>
      <c r="I492" s="15" t="str">
        <f t="shared" ca="1" si="75"/>
        <v>I2C_Expander_12</v>
      </c>
      <c r="J492" s="15" t="str">
        <f t="shared" ref="J492:J555" ca="1" si="76">ADDRESS(G492,H492,4,1,I492)</f>
        <v>I2C_Expander_12!A55</v>
      </c>
      <c r="K492" s="15" t="str">
        <f t="shared" ref="K492:K555" ca="1" si="77">ADDRESS(G492,H492+1,4,1,I492)</f>
        <v>I2C_Expander_12!B55</v>
      </c>
    </row>
    <row r="493" spans="1:16" x14ac:dyDescent="0.25">
      <c r="A493" s="3" t="str">
        <f t="shared" ca="1" si="73"/>
        <v xml:space="preserve">pins_state = 0x0000 </v>
      </c>
      <c r="G493" s="15">
        <f t="shared" ca="1" si="74"/>
        <v>56</v>
      </c>
      <c r="H493" s="15">
        <v>1</v>
      </c>
      <c r="I493" s="15" t="str">
        <f t="shared" ca="1" si="75"/>
        <v>I2C_Expander_12</v>
      </c>
      <c r="J493" s="15" t="str">
        <f t="shared" ca="1" si="76"/>
        <v>I2C_Expander_12!A56</v>
      </c>
      <c r="K493" s="15" t="str">
        <f t="shared" ca="1" si="77"/>
        <v>I2C_Expander_12!B56</v>
      </c>
    </row>
    <row r="494" spans="1:16" x14ac:dyDescent="0.25">
      <c r="A494" s="3" t="str">
        <f t="shared" ca="1" si="73"/>
        <v xml:space="preserve">pins_pull_up = 0x84C0 </v>
      </c>
      <c r="G494" s="15">
        <f t="shared" ca="1" si="74"/>
        <v>57</v>
      </c>
      <c r="H494" s="15">
        <v>1</v>
      </c>
      <c r="I494" s="15" t="str">
        <f t="shared" ca="1" si="75"/>
        <v>I2C_Expander_12</v>
      </c>
      <c r="J494" s="15" t="str">
        <f t="shared" ca="1" si="76"/>
        <v>I2C_Expander_12!A57</v>
      </c>
      <c r="K494" s="15" t="str">
        <f t="shared" ca="1" si="77"/>
        <v>I2C_Expander_12!B57</v>
      </c>
    </row>
    <row r="495" spans="1:16" x14ac:dyDescent="0.25">
      <c r="A495" s="3" t="str">
        <f t="shared" ca="1" si="73"/>
        <v xml:space="preserve">#pins_int = 0x0000 </v>
      </c>
      <c r="G495" s="15">
        <f t="shared" ca="1" si="74"/>
        <v>58</v>
      </c>
      <c r="H495" s="15">
        <v>1</v>
      </c>
      <c r="I495" s="15" t="str">
        <f t="shared" ca="1" si="75"/>
        <v>I2C_Expander_12</v>
      </c>
      <c r="J495" s="15" t="str">
        <f t="shared" ca="1" si="76"/>
        <v>I2C_Expander_12!A58</v>
      </c>
      <c r="K495" s="15" t="str">
        <f t="shared" ca="1" si="77"/>
        <v>I2C_Expander_12!B58</v>
      </c>
    </row>
    <row r="496" spans="1:16" x14ac:dyDescent="0.25">
      <c r="A496" s="3" t="str">
        <f t="shared" ca="1" si="73"/>
        <v xml:space="preserve">#pins_def_val = 0x0000 </v>
      </c>
      <c r="G496" s="15">
        <f t="shared" ca="1" si="74"/>
        <v>59</v>
      </c>
      <c r="H496" s="15">
        <v>1</v>
      </c>
      <c r="I496" s="15" t="str">
        <f t="shared" ca="1" si="75"/>
        <v>I2C_Expander_12</v>
      </c>
      <c r="J496" s="15" t="str">
        <f t="shared" ca="1" si="76"/>
        <v>I2C_Expander_12!A59</v>
      </c>
      <c r="K496" s="15" t="str">
        <f t="shared" ca="1" si="77"/>
        <v>I2C_Expander_12!B59</v>
      </c>
    </row>
    <row r="497" spans="1:16" x14ac:dyDescent="0.25">
      <c r="A497" s="3" t="str">
        <f t="shared" ca="1" si="73"/>
        <v/>
      </c>
      <c r="G497" s="15">
        <f t="shared" ca="1" si="74"/>
        <v>60</v>
      </c>
      <c r="H497" s="15">
        <v>1</v>
      </c>
      <c r="I497" s="15" t="str">
        <f t="shared" ca="1" si="75"/>
        <v>I2C_Expander_12</v>
      </c>
      <c r="J497" s="15" t="str">
        <f t="shared" ca="1" si="76"/>
        <v>I2C_Expander_12!A60</v>
      </c>
      <c r="K497" s="15" t="str">
        <f t="shared" ca="1" si="77"/>
        <v>I2C_Expander_12!B60</v>
      </c>
    </row>
    <row r="498" spans="1:16" x14ac:dyDescent="0.25">
      <c r="A498" s="3" t="str">
        <f t="shared" ca="1" si="73"/>
        <v xml:space="preserve">time = 10 </v>
      </c>
      <c r="G498" s="15">
        <f t="shared" ca="1" si="74"/>
        <v>61</v>
      </c>
      <c r="H498" s="15">
        <v>1</v>
      </c>
      <c r="I498" s="15" t="str">
        <f t="shared" ca="1" si="75"/>
        <v>I2C_Expander_12</v>
      </c>
      <c r="J498" s="15" t="str">
        <f t="shared" ca="1" si="76"/>
        <v>I2C_Expander_12!A61</v>
      </c>
      <c r="K498" s="15" t="str">
        <f t="shared" ca="1" si="77"/>
        <v>I2C_Expander_12!B61</v>
      </c>
    </row>
    <row r="499" spans="1:16" x14ac:dyDescent="0.25">
      <c r="A499" s="3" t="str">
        <f t="shared" ca="1" si="73"/>
        <v/>
      </c>
      <c r="C499" s="16"/>
      <c r="G499" s="15">
        <f t="shared" ca="1" si="74"/>
        <v>62</v>
      </c>
      <c r="H499" s="15">
        <v>1</v>
      </c>
      <c r="I499" s="15" t="str">
        <f t="shared" ca="1" si="75"/>
        <v>I2C_Expander_12</v>
      </c>
      <c r="J499" s="15" t="str">
        <f t="shared" ca="1" si="76"/>
        <v>I2C_Expander_12!A62</v>
      </c>
      <c r="K499" s="15" t="str">
        <f t="shared" ca="1" si="77"/>
        <v>I2C_Expander_12!B62</v>
      </c>
    </row>
    <row r="500" spans="1:16" x14ac:dyDescent="0.25">
      <c r="A500" s="3" t="str">
        <f t="shared" ca="1" si="73"/>
        <v/>
      </c>
      <c r="G500" s="15">
        <f t="shared" ca="1" si="74"/>
        <v>63</v>
      </c>
      <c r="H500" s="15">
        <v>1</v>
      </c>
      <c r="I500" s="15" t="str">
        <f t="shared" ca="1" si="75"/>
        <v>I2C_Expander_12</v>
      </c>
      <c r="J500" s="15" t="str">
        <f t="shared" ca="1" si="76"/>
        <v>I2C_Expander_12!A63</v>
      </c>
      <c r="K500" s="15" t="str">
        <f t="shared" ca="1" si="77"/>
        <v>I2C_Expander_12!B63</v>
      </c>
    </row>
    <row r="501" spans="1:16" x14ac:dyDescent="0.25">
      <c r="A501" s="3" t="str">
        <f t="shared" ca="1" si="73"/>
        <v/>
      </c>
      <c r="G501" s="15">
        <f t="shared" ca="1" si="74"/>
        <v>64</v>
      </c>
      <c r="H501" s="15">
        <v>1</v>
      </c>
      <c r="I501" s="15" t="str">
        <f t="shared" ca="1" si="75"/>
        <v>I2C_Expander_12</v>
      </c>
      <c r="J501" s="15" t="str">
        <f t="shared" ca="1" si="76"/>
        <v>I2C_Expander_12!A64</v>
      </c>
      <c r="K501" s="15" t="str">
        <f t="shared" ca="1" si="77"/>
        <v>I2C_Expander_12!B64</v>
      </c>
    </row>
    <row r="502" spans="1:16" x14ac:dyDescent="0.25">
      <c r="A502" s="3" t="str">
        <f t="shared" ca="1" si="73"/>
        <v/>
      </c>
      <c r="G502" s="15">
        <f t="shared" ca="1" si="74"/>
        <v>65</v>
      </c>
      <c r="H502" s="15">
        <v>1</v>
      </c>
      <c r="I502" s="15" t="str">
        <f t="shared" ca="1" si="75"/>
        <v>I2C_Expander_12</v>
      </c>
      <c r="J502" s="15" t="str">
        <f t="shared" ca="1" si="76"/>
        <v>I2C_Expander_12!A65</v>
      </c>
      <c r="K502" s="15" t="str">
        <f t="shared" ca="1" si="77"/>
        <v>I2C_Expander_12!B65</v>
      </c>
    </row>
    <row r="503" spans="1:16" x14ac:dyDescent="0.25">
      <c r="A503" s="3" t="str">
        <f t="shared" ca="1" si="73"/>
        <v/>
      </c>
      <c r="G503" s="15">
        <f t="shared" ca="1" si="74"/>
        <v>66</v>
      </c>
      <c r="H503" s="15">
        <v>1</v>
      </c>
      <c r="I503" s="15" t="str">
        <f t="shared" ca="1" si="75"/>
        <v>I2C_Expander_12</v>
      </c>
      <c r="J503" s="15" t="str">
        <f t="shared" ca="1" si="76"/>
        <v>I2C_Expander_12!A66</v>
      </c>
      <c r="K503" s="15" t="str">
        <f t="shared" ca="1" si="77"/>
        <v>I2C_Expander_12!B66</v>
      </c>
    </row>
    <row r="504" spans="1:16" x14ac:dyDescent="0.25">
      <c r="A504" s="3" t="str">
        <f t="shared" ca="1" si="73"/>
        <v/>
      </c>
      <c r="G504" s="15">
        <f t="shared" ca="1" si="74"/>
        <v>67</v>
      </c>
      <c r="H504" s="15">
        <v>1</v>
      </c>
      <c r="I504" s="15" t="str">
        <f t="shared" ca="1" si="75"/>
        <v>I2C_Expander_12</v>
      </c>
      <c r="J504" s="15" t="str">
        <f t="shared" ca="1" si="76"/>
        <v>I2C_Expander_12!A67</v>
      </c>
      <c r="K504" s="15" t="str">
        <f t="shared" ca="1" si="77"/>
        <v>I2C_Expander_12!B67</v>
      </c>
    </row>
    <row r="505" spans="1:16" x14ac:dyDescent="0.25">
      <c r="A505" s="3" t="str">
        <f t="shared" ca="1" si="73"/>
        <v/>
      </c>
      <c r="G505" s="15">
        <f t="shared" ca="1" si="74"/>
        <v>68</v>
      </c>
      <c r="H505" s="15">
        <v>1</v>
      </c>
      <c r="I505" s="15" t="str">
        <f t="shared" ca="1" si="75"/>
        <v>I2C_Expander_12</v>
      </c>
      <c r="J505" s="15" t="str">
        <f t="shared" ca="1" si="76"/>
        <v>I2C_Expander_12!A68</v>
      </c>
      <c r="K505" s="15" t="str">
        <f t="shared" ca="1" si="77"/>
        <v>I2C_Expander_12!B68</v>
      </c>
    </row>
    <row r="506" spans="1:16" x14ac:dyDescent="0.25">
      <c r="A506" s="3" t="str">
        <f t="shared" ca="1" si="73"/>
        <v/>
      </c>
      <c r="G506" s="15">
        <f t="shared" ca="1" si="74"/>
        <v>69</v>
      </c>
      <c r="H506" s="15">
        <v>1</v>
      </c>
      <c r="I506" s="15" t="str">
        <f t="shared" ca="1" si="75"/>
        <v>I2C_Expander_12</v>
      </c>
      <c r="J506" s="15" t="str">
        <f t="shared" ca="1" si="76"/>
        <v>I2C_Expander_12!A69</v>
      </c>
      <c r="K506" s="15" t="str">
        <f t="shared" ca="1" si="77"/>
        <v>I2C_Expander_12!B69</v>
      </c>
    </row>
    <row r="507" spans="1:16" x14ac:dyDescent="0.25">
      <c r="A507" s="3" t="str">
        <f t="shared" ca="1" si="73"/>
        <v/>
      </c>
      <c r="G507" s="15">
        <f t="shared" ca="1" si="74"/>
        <v>70</v>
      </c>
      <c r="H507" s="15">
        <v>1</v>
      </c>
      <c r="I507" s="15" t="str">
        <f t="shared" ca="1" si="75"/>
        <v>I2C_Expander_12</v>
      </c>
      <c r="J507" s="15" t="str">
        <f t="shared" ca="1" si="76"/>
        <v>I2C_Expander_12!A70</v>
      </c>
      <c r="K507" s="15" t="str">
        <f t="shared" ca="1" si="77"/>
        <v>I2C_Expander_12!B70</v>
      </c>
    </row>
    <row r="508" spans="1:16" x14ac:dyDescent="0.25">
      <c r="A508" s="3" t="str">
        <f t="shared" ca="1" si="73"/>
        <v xml:space="preserve">#I2C_Bridge_GPIO:exp_group_0x =  </v>
      </c>
      <c r="G508" s="15">
        <f ca="1">INDIRECT(M508)</f>
        <v>51</v>
      </c>
      <c r="H508" s="15">
        <v>1</v>
      </c>
      <c r="I508" s="15" t="str">
        <f ca="1">INDIRECT(N508)</f>
        <v>I2C_Bridge_GPIO</v>
      </c>
      <c r="J508" s="15" t="str">
        <f t="shared" ca="1" si="76"/>
        <v>I2C_Bridge_GPIO!A51</v>
      </c>
      <c r="K508" s="15" t="str">
        <f t="shared" ca="1" si="77"/>
        <v>I2C_Bridge_GPIO!B51</v>
      </c>
      <c r="M508" s="15" t="str">
        <f>ADDRESS(O508,3,4,1,$R$1)</f>
        <v>konfig!C27</v>
      </c>
      <c r="N508" s="15" t="str">
        <f>ADDRESS(O508,1,4,1,$R$1)</f>
        <v>konfig!A27</v>
      </c>
      <c r="O508" s="15">
        <v>27</v>
      </c>
      <c r="P508" s="15">
        <v>4</v>
      </c>
    </row>
    <row r="509" spans="1:16" x14ac:dyDescent="0.25">
      <c r="A509" s="3" t="str">
        <f t="shared" ca="1" si="73"/>
        <v xml:space="preserve">device = TCA9548 </v>
      </c>
      <c r="G509" s="15">
        <f ca="1">G508+1</f>
        <v>52</v>
      </c>
      <c r="H509" s="15">
        <v>1</v>
      </c>
      <c r="I509" s="15" t="str">
        <f ca="1">I508</f>
        <v>I2C_Bridge_GPIO</v>
      </c>
      <c r="J509" s="15" t="str">
        <f t="shared" ca="1" si="76"/>
        <v>I2C_Bridge_GPIO!A52</v>
      </c>
      <c r="K509" s="15" t="str">
        <f t="shared" ca="1" si="77"/>
        <v>I2C_Bridge_GPIO!B52</v>
      </c>
    </row>
    <row r="510" spans="1:16" x14ac:dyDescent="0.25">
      <c r="A510" s="3" t="str">
        <f t="shared" ca="1" si="73"/>
        <v xml:space="preserve">i2c_addr = 0x73 </v>
      </c>
      <c r="G510" s="15">
        <f t="shared" ref="G510:G527" ca="1" si="78">G509+1</f>
        <v>53</v>
      </c>
      <c r="H510" s="15">
        <v>1</v>
      </c>
      <c r="I510" s="15" t="str">
        <f t="shared" ref="I510:I527" ca="1" si="79">I509</f>
        <v>I2C_Bridge_GPIO</v>
      </c>
      <c r="J510" s="15" t="str">
        <f t="shared" ca="1" si="76"/>
        <v>I2C_Bridge_GPIO!A53</v>
      </c>
      <c r="K510" s="15" t="str">
        <f t="shared" ca="1" si="77"/>
        <v>I2C_Bridge_GPIO!B53</v>
      </c>
    </row>
    <row r="511" spans="1:16" x14ac:dyDescent="0.25">
      <c r="A511" s="3" t="str">
        <f t="shared" ca="1" si="73"/>
        <v xml:space="preserve">i2c_num = /dev/i2c-1 </v>
      </c>
      <c r="C511" s="16"/>
      <c r="G511" s="15">
        <f t="shared" ca="1" si="78"/>
        <v>54</v>
      </c>
      <c r="H511" s="15">
        <v>1</v>
      </c>
      <c r="I511" s="15" t="str">
        <f t="shared" ca="1" si="79"/>
        <v>I2C_Bridge_GPIO</v>
      </c>
      <c r="J511" s="15" t="str">
        <f t="shared" ca="1" si="76"/>
        <v>I2C_Bridge_GPIO!A54</v>
      </c>
      <c r="K511" s="15" t="str">
        <f t="shared" ca="1" si="77"/>
        <v>I2C_Bridge_GPIO!B54</v>
      </c>
    </row>
    <row r="512" spans="1:16" x14ac:dyDescent="0.25">
      <c r="A512" s="3" t="str">
        <f t="shared" ca="1" si="73"/>
        <v xml:space="preserve">ctrl_reg = 0x01 </v>
      </c>
      <c r="G512" s="15">
        <f t="shared" ca="1" si="78"/>
        <v>55</v>
      </c>
      <c r="H512" s="15">
        <v>1</v>
      </c>
      <c r="I512" s="15" t="str">
        <f t="shared" ca="1" si="79"/>
        <v>I2C_Bridge_GPIO</v>
      </c>
      <c r="J512" s="15" t="str">
        <f t="shared" ca="1" si="76"/>
        <v>I2C_Bridge_GPIO!A55</v>
      </c>
      <c r="K512" s="15" t="str">
        <f t="shared" ca="1" si="77"/>
        <v>I2C_Bridge_GPIO!B55</v>
      </c>
    </row>
    <row r="513" spans="1:16" x14ac:dyDescent="0.25">
      <c r="A513" s="3" t="str">
        <f t="shared" ca="1" si="73"/>
        <v/>
      </c>
      <c r="G513" s="15">
        <f t="shared" ca="1" si="78"/>
        <v>56</v>
      </c>
      <c r="H513" s="15">
        <v>1</v>
      </c>
      <c r="I513" s="15" t="str">
        <f t="shared" ca="1" si="79"/>
        <v>I2C_Bridge_GPIO</v>
      </c>
      <c r="J513" s="15" t="str">
        <f t="shared" ca="1" si="76"/>
        <v>I2C_Bridge_GPIO!A56</v>
      </c>
      <c r="K513" s="15" t="str">
        <f t="shared" ca="1" si="77"/>
        <v>I2C_Bridge_GPIO!B56</v>
      </c>
    </row>
    <row r="514" spans="1:16" x14ac:dyDescent="0.25">
      <c r="A514" s="3" t="str">
        <f t="shared" ca="1" si="73"/>
        <v xml:space="preserve">time = 10 </v>
      </c>
      <c r="G514" s="15">
        <f t="shared" ca="1" si="78"/>
        <v>57</v>
      </c>
      <c r="H514" s="15">
        <v>1</v>
      </c>
      <c r="I514" s="15" t="str">
        <f t="shared" ca="1" si="79"/>
        <v>I2C_Bridge_GPIO</v>
      </c>
      <c r="J514" s="15" t="str">
        <f t="shared" ca="1" si="76"/>
        <v>I2C_Bridge_GPIO!A57</v>
      </c>
      <c r="K514" s="15" t="str">
        <f t="shared" ca="1" si="77"/>
        <v>I2C_Bridge_GPIO!B57</v>
      </c>
    </row>
    <row r="515" spans="1:16" x14ac:dyDescent="0.25">
      <c r="A515" s="3" t="str">
        <f t="shared" ca="1" si="73"/>
        <v/>
      </c>
      <c r="G515" s="15">
        <f t="shared" ca="1" si="78"/>
        <v>58</v>
      </c>
      <c r="H515" s="15">
        <v>1</v>
      </c>
      <c r="I515" s="15" t="str">
        <f t="shared" ca="1" si="79"/>
        <v>I2C_Bridge_GPIO</v>
      </c>
      <c r="J515" s="15" t="str">
        <f t="shared" ca="1" si="76"/>
        <v>I2C_Bridge_GPIO!A58</v>
      </c>
      <c r="K515" s="15" t="str">
        <f t="shared" ca="1" si="77"/>
        <v>I2C_Bridge_GPIO!B58</v>
      </c>
    </row>
    <row r="516" spans="1:16" x14ac:dyDescent="0.25">
      <c r="A516" s="3" t="str">
        <f t="shared" ca="1" si="73"/>
        <v/>
      </c>
      <c r="G516" s="15">
        <f t="shared" ca="1" si="78"/>
        <v>59</v>
      </c>
      <c r="H516" s="15">
        <v>1</v>
      </c>
      <c r="I516" s="15" t="str">
        <f t="shared" ca="1" si="79"/>
        <v>I2C_Bridge_GPIO</v>
      </c>
      <c r="J516" s="15" t="str">
        <f t="shared" ca="1" si="76"/>
        <v>I2C_Bridge_GPIO!A59</v>
      </c>
      <c r="K516" s="15" t="str">
        <f t="shared" ca="1" si="77"/>
        <v>I2C_Bridge_GPIO!B59</v>
      </c>
    </row>
    <row r="517" spans="1:16" x14ac:dyDescent="0.25">
      <c r="A517" s="3" t="str">
        <f t="shared" ca="1" si="73"/>
        <v/>
      </c>
      <c r="G517" s="15">
        <f t="shared" ca="1" si="78"/>
        <v>60</v>
      </c>
      <c r="H517" s="15">
        <v>1</v>
      </c>
      <c r="I517" s="15" t="str">
        <f t="shared" ca="1" si="79"/>
        <v>I2C_Bridge_GPIO</v>
      </c>
      <c r="J517" s="15" t="str">
        <f t="shared" ca="1" si="76"/>
        <v>I2C_Bridge_GPIO!A60</v>
      </c>
      <c r="K517" s="15" t="str">
        <f t="shared" ca="1" si="77"/>
        <v>I2C_Bridge_GPIO!B60</v>
      </c>
    </row>
    <row r="518" spans="1:16" x14ac:dyDescent="0.25">
      <c r="A518" s="3" t="str">
        <f t="shared" ca="1" si="73"/>
        <v/>
      </c>
      <c r="G518" s="15">
        <f t="shared" ca="1" si="78"/>
        <v>61</v>
      </c>
      <c r="H518" s="15">
        <v>1</v>
      </c>
      <c r="I518" s="15" t="str">
        <f t="shared" ca="1" si="79"/>
        <v>I2C_Bridge_GPIO</v>
      </c>
      <c r="J518" s="15" t="str">
        <f t="shared" ca="1" si="76"/>
        <v>I2C_Bridge_GPIO!A61</v>
      </c>
      <c r="K518" s="15" t="str">
        <f t="shared" ca="1" si="77"/>
        <v>I2C_Bridge_GPIO!B61</v>
      </c>
    </row>
    <row r="519" spans="1:16" x14ac:dyDescent="0.25">
      <c r="A519" s="3" t="str">
        <f t="shared" ca="1" si="73"/>
        <v/>
      </c>
      <c r="C519" s="16"/>
      <c r="G519" s="15">
        <f t="shared" ca="1" si="78"/>
        <v>62</v>
      </c>
      <c r="H519" s="15">
        <v>1</v>
      </c>
      <c r="I519" s="15" t="str">
        <f t="shared" ca="1" si="79"/>
        <v>I2C_Bridge_GPIO</v>
      </c>
      <c r="J519" s="15" t="str">
        <f t="shared" ca="1" si="76"/>
        <v>I2C_Bridge_GPIO!A62</v>
      </c>
      <c r="K519" s="15" t="str">
        <f t="shared" ca="1" si="77"/>
        <v>I2C_Bridge_GPIO!B62</v>
      </c>
    </row>
    <row r="520" spans="1:16" x14ac:dyDescent="0.25">
      <c r="A520" s="3" t="str">
        <f t="shared" ca="1" si="73"/>
        <v/>
      </c>
      <c r="G520" s="15">
        <f t="shared" ca="1" si="78"/>
        <v>63</v>
      </c>
      <c r="H520" s="15">
        <v>1</v>
      </c>
      <c r="I520" s="15" t="str">
        <f t="shared" ca="1" si="79"/>
        <v>I2C_Bridge_GPIO</v>
      </c>
      <c r="J520" s="15" t="str">
        <f t="shared" ca="1" si="76"/>
        <v>I2C_Bridge_GPIO!A63</v>
      </c>
      <c r="K520" s="15" t="str">
        <f t="shared" ca="1" si="77"/>
        <v>I2C_Bridge_GPIO!B63</v>
      </c>
    </row>
    <row r="521" spans="1:16" x14ac:dyDescent="0.25">
      <c r="A521" s="3" t="str">
        <f t="shared" ca="1" si="73"/>
        <v/>
      </c>
      <c r="G521" s="15">
        <f t="shared" ca="1" si="78"/>
        <v>64</v>
      </c>
      <c r="H521" s="15">
        <v>1</v>
      </c>
      <c r="I521" s="15" t="str">
        <f t="shared" ca="1" si="79"/>
        <v>I2C_Bridge_GPIO</v>
      </c>
      <c r="J521" s="15" t="str">
        <f t="shared" ca="1" si="76"/>
        <v>I2C_Bridge_GPIO!A64</v>
      </c>
      <c r="K521" s="15" t="str">
        <f t="shared" ca="1" si="77"/>
        <v>I2C_Bridge_GPIO!B64</v>
      </c>
    </row>
    <row r="522" spans="1:16" x14ac:dyDescent="0.25">
      <c r="A522" s="3" t="str">
        <f t="shared" ca="1" si="73"/>
        <v/>
      </c>
      <c r="G522" s="15">
        <f t="shared" ca="1" si="78"/>
        <v>65</v>
      </c>
      <c r="H522" s="15">
        <v>1</v>
      </c>
      <c r="I522" s="15" t="str">
        <f t="shared" ca="1" si="79"/>
        <v>I2C_Bridge_GPIO</v>
      </c>
      <c r="J522" s="15" t="str">
        <f t="shared" ca="1" si="76"/>
        <v>I2C_Bridge_GPIO!A65</v>
      </c>
      <c r="K522" s="15" t="str">
        <f t="shared" ca="1" si="77"/>
        <v>I2C_Bridge_GPIO!B65</v>
      </c>
    </row>
    <row r="523" spans="1:16" x14ac:dyDescent="0.25">
      <c r="A523" s="3" t="str">
        <f t="shared" ca="1" si="73"/>
        <v/>
      </c>
      <c r="G523" s="15">
        <f t="shared" ca="1" si="78"/>
        <v>66</v>
      </c>
      <c r="H523" s="15">
        <v>1</v>
      </c>
      <c r="I523" s="15" t="str">
        <f t="shared" ca="1" si="79"/>
        <v>I2C_Bridge_GPIO</v>
      </c>
      <c r="J523" s="15" t="str">
        <f t="shared" ca="1" si="76"/>
        <v>I2C_Bridge_GPIO!A66</v>
      </c>
      <c r="K523" s="15" t="str">
        <f t="shared" ca="1" si="77"/>
        <v>I2C_Bridge_GPIO!B66</v>
      </c>
    </row>
    <row r="524" spans="1:16" x14ac:dyDescent="0.25">
      <c r="A524" s="3" t="str">
        <f t="shared" ca="1" si="73"/>
        <v/>
      </c>
      <c r="G524" s="15">
        <f t="shared" ca="1" si="78"/>
        <v>67</v>
      </c>
      <c r="H524" s="15">
        <v>1</v>
      </c>
      <c r="I524" s="15" t="str">
        <f t="shared" ca="1" si="79"/>
        <v>I2C_Bridge_GPIO</v>
      </c>
      <c r="J524" s="15" t="str">
        <f t="shared" ca="1" si="76"/>
        <v>I2C_Bridge_GPIO!A67</v>
      </c>
      <c r="K524" s="15" t="str">
        <f t="shared" ca="1" si="77"/>
        <v>I2C_Bridge_GPIO!B67</v>
      </c>
    </row>
    <row r="525" spans="1:16" x14ac:dyDescent="0.25">
      <c r="A525" s="3" t="str">
        <f t="shared" ca="1" si="73"/>
        <v/>
      </c>
      <c r="G525" s="15">
        <f t="shared" ca="1" si="78"/>
        <v>68</v>
      </c>
      <c r="H525" s="15">
        <v>1</v>
      </c>
      <c r="I525" s="15" t="str">
        <f t="shared" ca="1" si="79"/>
        <v>I2C_Bridge_GPIO</v>
      </c>
      <c r="J525" s="15" t="str">
        <f t="shared" ca="1" si="76"/>
        <v>I2C_Bridge_GPIO!A68</v>
      </c>
      <c r="K525" s="15" t="str">
        <f t="shared" ca="1" si="77"/>
        <v>I2C_Bridge_GPIO!B68</v>
      </c>
    </row>
    <row r="526" spans="1:16" x14ac:dyDescent="0.25">
      <c r="A526" s="3" t="str">
        <f t="shared" ca="1" si="73"/>
        <v/>
      </c>
      <c r="G526" s="15">
        <f t="shared" ca="1" si="78"/>
        <v>69</v>
      </c>
      <c r="H526" s="15">
        <v>1</v>
      </c>
      <c r="I526" s="15" t="str">
        <f t="shared" ca="1" si="79"/>
        <v>I2C_Bridge_GPIO</v>
      </c>
      <c r="J526" s="15" t="str">
        <f t="shared" ca="1" si="76"/>
        <v>I2C_Bridge_GPIO!A69</v>
      </c>
      <c r="K526" s="15" t="str">
        <f t="shared" ca="1" si="77"/>
        <v>I2C_Bridge_GPIO!B69</v>
      </c>
    </row>
    <row r="527" spans="1:16" x14ac:dyDescent="0.25">
      <c r="A527" s="3" t="str">
        <f t="shared" ca="1" si="73"/>
        <v/>
      </c>
      <c r="G527" s="15">
        <f t="shared" ca="1" si="78"/>
        <v>70</v>
      </c>
      <c r="H527" s="15">
        <v>1</v>
      </c>
      <c r="I527" s="15" t="str">
        <f t="shared" ca="1" si="79"/>
        <v>I2C_Bridge_GPIO</v>
      </c>
      <c r="J527" s="15" t="str">
        <f t="shared" ca="1" si="76"/>
        <v>I2C_Bridge_GPIO!A70</v>
      </c>
      <c r="K527" s="15" t="str">
        <f t="shared" ca="1" si="77"/>
        <v>I2C_Bridge_GPIO!B70</v>
      </c>
    </row>
    <row r="528" spans="1:16" x14ac:dyDescent="0.25">
      <c r="A528" s="3" t="str">
        <f t="shared" ca="1" si="73"/>
        <v xml:space="preserve">#I2C_Expander_00:etap 2 =  </v>
      </c>
      <c r="G528" s="15">
        <f ca="1">INDIRECT(M528)</f>
        <v>71</v>
      </c>
      <c r="H528" s="15">
        <v>1</v>
      </c>
      <c r="I528" s="15" t="str">
        <f ca="1">INDIRECT(N528)</f>
        <v>I2C_Expander_00</v>
      </c>
      <c r="J528" s="15" t="str">
        <f t="shared" ca="1" si="76"/>
        <v>I2C_Expander_00!A71</v>
      </c>
      <c r="K528" s="15" t="str">
        <f t="shared" ca="1" si="77"/>
        <v>I2C_Expander_00!B71</v>
      </c>
      <c r="M528" s="15" t="str">
        <f>ADDRESS(O528,3,4,1,$R$1)</f>
        <v>konfig!C28</v>
      </c>
      <c r="N528" s="15" t="str">
        <f>ADDRESS(O528,1,4,1,$R$1)</f>
        <v>konfig!A28</v>
      </c>
      <c r="O528" s="15">
        <v>28</v>
      </c>
      <c r="P528" s="15">
        <v>4</v>
      </c>
    </row>
    <row r="529" spans="1:11" x14ac:dyDescent="0.25">
      <c r="A529" s="3" t="str">
        <f t="shared" ca="1" si="73"/>
        <v xml:space="preserve">device = MCP23017 </v>
      </c>
      <c r="G529" s="15">
        <f ca="1">G528+1</f>
        <v>72</v>
      </c>
      <c r="H529" s="15">
        <v>1</v>
      </c>
      <c r="I529" s="15" t="str">
        <f ca="1">I528</f>
        <v>I2C_Expander_00</v>
      </c>
      <c r="J529" s="15" t="str">
        <f t="shared" ca="1" si="76"/>
        <v>I2C_Expander_00!A72</v>
      </c>
      <c r="K529" s="15" t="str">
        <f t="shared" ca="1" si="77"/>
        <v>I2C_Expander_00!B72</v>
      </c>
    </row>
    <row r="530" spans="1:11" x14ac:dyDescent="0.25">
      <c r="A530" s="3" t="str">
        <f t="shared" ca="1" si="73"/>
        <v xml:space="preserve">i2c_addr = 0x20 </v>
      </c>
      <c r="G530" s="15">
        <f t="shared" ref="G530:G547" ca="1" si="80">G529+1</f>
        <v>73</v>
      </c>
      <c r="H530" s="15">
        <v>1</v>
      </c>
      <c r="I530" s="15" t="str">
        <f t="shared" ref="I530:I547" ca="1" si="81">I529</f>
        <v>I2C_Expander_00</v>
      </c>
      <c r="J530" s="15" t="str">
        <f t="shared" ca="1" si="76"/>
        <v>I2C_Expander_00!A73</v>
      </c>
      <c r="K530" s="15" t="str">
        <f t="shared" ca="1" si="77"/>
        <v>I2C_Expander_00!B73</v>
      </c>
    </row>
    <row r="531" spans="1:11" x14ac:dyDescent="0.25">
      <c r="A531" s="3" t="str">
        <f t="shared" ca="1" si="73"/>
        <v xml:space="preserve">i2c_num = /dev/i2c-1 </v>
      </c>
      <c r="C531" s="16"/>
      <c r="G531" s="15">
        <f t="shared" ca="1" si="80"/>
        <v>74</v>
      </c>
      <c r="H531" s="15">
        <v>1</v>
      </c>
      <c r="I531" s="15" t="str">
        <f t="shared" ca="1" si="81"/>
        <v>I2C_Expander_00</v>
      </c>
      <c r="J531" s="15" t="str">
        <f t="shared" ca="1" si="76"/>
        <v>I2C_Expander_00!A74</v>
      </c>
      <c r="K531" s="15" t="str">
        <f t="shared" ca="1" si="77"/>
        <v>I2C_Expander_00!B74</v>
      </c>
    </row>
    <row r="532" spans="1:11" x14ac:dyDescent="0.25">
      <c r="A532" s="3" t="str">
        <f t="shared" ca="1" si="73"/>
        <v xml:space="preserve">pins_mode = 0xFFFB </v>
      </c>
      <c r="G532" s="15">
        <f t="shared" ca="1" si="80"/>
        <v>75</v>
      </c>
      <c r="H532" s="15">
        <v>1</v>
      </c>
      <c r="I532" s="15" t="str">
        <f t="shared" ca="1" si="81"/>
        <v>I2C_Expander_00</v>
      </c>
      <c r="J532" s="15" t="str">
        <f t="shared" ca="1" si="76"/>
        <v>I2C_Expander_00!A75</v>
      </c>
      <c r="K532" s="15" t="str">
        <f t="shared" ca="1" si="77"/>
        <v>I2C_Expander_00!B75</v>
      </c>
    </row>
    <row r="533" spans="1:11" x14ac:dyDescent="0.25">
      <c r="A533" s="3" t="str">
        <f t="shared" ca="1" si="73"/>
        <v xml:space="preserve">pins_state = 0x0004 </v>
      </c>
      <c r="G533" s="15">
        <f t="shared" ca="1" si="80"/>
        <v>76</v>
      </c>
      <c r="H533" s="15">
        <v>1</v>
      </c>
      <c r="I533" s="15" t="str">
        <f t="shared" ca="1" si="81"/>
        <v>I2C_Expander_00</v>
      </c>
      <c r="J533" s="15" t="str">
        <f t="shared" ca="1" si="76"/>
        <v>I2C_Expander_00!A76</v>
      </c>
      <c r="K533" s="15" t="str">
        <f t="shared" ca="1" si="77"/>
        <v>I2C_Expander_00!B76</v>
      </c>
    </row>
    <row r="534" spans="1:11" x14ac:dyDescent="0.25">
      <c r="A534" s="3" t="str">
        <f t="shared" ca="1" si="73"/>
        <v xml:space="preserve">pins_pull_up = 0x0060 </v>
      </c>
      <c r="G534" s="15">
        <f t="shared" ca="1" si="80"/>
        <v>77</v>
      </c>
      <c r="H534" s="15">
        <v>1</v>
      </c>
      <c r="I534" s="15" t="str">
        <f t="shared" ca="1" si="81"/>
        <v>I2C_Expander_00</v>
      </c>
      <c r="J534" s="15" t="str">
        <f t="shared" ca="1" si="76"/>
        <v>I2C_Expander_00!A77</v>
      </c>
      <c r="K534" s="15" t="str">
        <f t="shared" ca="1" si="77"/>
        <v>I2C_Expander_00!B77</v>
      </c>
    </row>
    <row r="535" spans="1:11" x14ac:dyDescent="0.25">
      <c r="A535" s="3" t="str">
        <f t="shared" ca="1" si="73"/>
        <v xml:space="preserve">#pins_int = 0x0000 </v>
      </c>
      <c r="G535" s="15">
        <f t="shared" ca="1" si="80"/>
        <v>78</v>
      </c>
      <c r="H535" s="15">
        <v>1</v>
      </c>
      <c r="I535" s="15" t="str">
        <f t="shared" ca="1" si="81"/>
        <v>I2C_Expander_00</v>
      </c>
      <c r="J535" s="15" t="str">
        <f t="shared" ca="1" si="76"/>
        <v>I2C_Expander_00!A78</v>
      </c>
      <c r="K535" s="15" t="str">
        <f t="shared" ca="1" si="77"/>
        <v>I2C_Expander_00!B78</v>
      </c>
    </row>
    <row r="536" spans="1:11" x14ac:dyDescent="0.25">
      <c r="A536" s="3" t="str">
        <f t="shared" ca="1" si="73"/>
        <v xml:space="preserve">#pins_def_val = 0x0000 </v>
      </c>
      <c r="G536" s="15">
        <f t="shared" ca="1" si="80"/>
        <v>79</v>
      </c>
      <c r="H536" s="15">
        <v>1</v>
      </c>
      <c r="I536" s="15" t="str">
        <f t="shared" ca="1" si="81"/>
        <v>I2C_Expander_00</v>
      </c>
      <c r="J536" s="15" t="str">
        <f t="shared" ca="1" si="76"/>
        <v>I2C_Expander_00!A79</v>
      </c>
      <c r="K536" s="15" t="str">
        <f t="shared" ca="1" si="77"/>
        <v>I2C_Expander_00!B79</v>
      </c>
    </row>
    <row r="537" spans="1:11" x14ac:dyDescent="0.25">
      <c r="A537" s="3" t="str">
        <f t="shared" ca="1" si="73"/>
        <v/>
      </c>
      <c r="G537" s="15">
        <f t="shared" ca="1" si="80"/>
        <v>80</v>
      </c>
      <c r="H537" s="15">
        <v>1</v>
      </c>
      <c r="I537" s="15" t="str">
        <f t="shared" ca="1" si="81"/>
        <v>I2C_Expander_00</v>
      </c>
      <c r="J537" s="15" t="str">
        <f t="shared" ca="1" si="76"/>
        <v>I2C_Expander_00!A80</v>
      </c>
      <c r="K537" s="15" t="str">
        <f t="shared" ca="1" si="77"/>
        <v>I2C_Expander_00!B80</v>
      </c>
    </row>
    <row r="538" spans="1:11" x14ac:dyDescent="0.25">
      <c r="A538" s="3" t="str">
        <f t="shared" ca="1" si="73"/>
        <v xml:space="preserve">#pins_int = 10 </v>
      </c>
      <c r="G538" s="15">
        <f t="shared" ca="1" si="80"/>
        <v>81</v>
      </c>
      <c r="H538" s="15">
        <v>1</v>
      </c>
      <c r="I538" s="15" t="str">
        <f t="shared" ca="1" si="81"/>
        <v>I2C_Expander_00</v>
      </c>
      <c r="J538" s="15" t="str">
        <f t="shared" ca="1" si="76"/>
        <v>I2C_Expander_00!A81</v>
      </c>
      <c r="K538" s="15" t="str">
        <f t="shared" ca="1" si="77"/>
        <v>I2C_Expander_00!B81</v>
      </c>
    </row>
    <row r="539" spans="1:11" x14ac:dyDescent="0.25">
      <c r="A539" s="3" t="str">
        <f t="shared" ca="1" si="73"/>
        <v/>
      </c>
      <c r="C539" s="16"/>
      <c r="G539" s="15">
        <f t="shared" ca="1" si="80"/>
        <v>82</v>
      </c>
      <c r="H539" s="15">
        <v>1</v>
      </c>
      <c r="I539" s="15" t="str">
        <f t="shared" ca="1" si="81"/>
        <v>I2C_Expander_00</v>
      </c>
      <c r="J539" s="15" t="str">
        <f t="shared" ca="1" si="76"/>
        <v>I2C_Expander_00!A82</v>
      </c>
      <c r="K539" s="15" t="str">
        <f t="shared" ca="1" si="77"/>
        <v>I2C_Expander_00!B82</v>
      </c>
    </row>
    <row r="540" spans="1:11" x14ac:dyDescent="0.25">
      <c r="A540" s="3" t="str">
        <f t="shared" ref="A540:A603" ca="1" si="82">IFERROR(IF(INDIRECT(J540)&lt;&gt;"",CONCATENATE(INDIRECT(J540)," = ",INDIRECT(K540)," "),""),"")</f>
        <v/>
      </c>
      <c r="G540" s="15">
        <f t="shared" ca="1" si="80"/>
        <v>83</v>
      </c>
      <c r="H540" s="15">
        <v>1</v>
      </c>
      <c r="I540" s="15" t="str">
        <f t="shared" ca="1" si="81"/>
        <v>I2C_Expander_00</v>
      </c>
      <c r="J540" s="15" t="str">
        <f t="shared" ca="1" si="76"/>
        <v>I2C_Expander_00!A83</v>
      </c>
      <c r="K540" s="15" t="str">
        <f t="shared" ca="1" si="77"/>
        <v>I2C_Expander_00!B83</v>
      </c>
    </row>
    <row r="541" spans="1:11" x14ac:dyDescent="0.25">
      <c r="A541" s="3" t="str">
        <f t="shared" ca="1" si="82"/>
        <v/>
      </c>
      <c r="G541" s="15">
        <f t="shared" ca="1" si="80"/>
        <v>84</v>
      </c>
      <c r="H541" s="15">
        <v>1</v>
      </c>
      <c r="I541" s="15" t="str">
        <f t="shared" ca="1" si="81"/>
        <v>I2C_Expander_00</v>
      </c>
      <c r="J541" s="15" t="str">
        <f t="shared" ca="1" si="76"/>
        <v>I2C_Expander_00!A84</v>
      </c>
      <c r="K541" s="15" t="str">
        <f t="shared" ca="1" si="77"/>
        <v>I2C_Expander_00!B84</v>
      </c>
    </row>
    <row r="542" spans="1:11" x14ac:dyDescent="0.25">
      <c r="A542" s="3" t="str">
        <f t="shared" ca="1" si="82"/>
        <v/>
      </c>
      <c r="G542" s="15">
        <f t="shared" ca="1" si="80"/>
        <v>85</v>
      </c>
      <c r="H542" s="15">
        <v>1</v>
      </c>
      <c r="I542" s="15" t="str">
        <f t="shared" ca="1" si="81"/>
        <v>I2C_Expander_00</v>
      </c>
      <c r="J542" s="15" t="str">
        <f t="shared" ca="1" si="76"/>
        <v>I2C_Expander_00!A85</v>
      </c>
      <c r="K542" s="15" t="str">
        <f t="shared" ca="1" si="77"/>
        <v>I2C_Expander_00!B85</v>
      </c>
    </row>
    <row r="543" spans="1:11" x14ac:dyDescent="0.25">
      <c r="A543" s="3" t="str">
        <f t="shared" ca="1" si="82"/>
        <v/>
      </c>
      <c r="G543" s="15">
        <f t="shared" ca="1" si="80"/>
        <v>86</v>
      </c>
      <c r="H543" s="15">
        <v>1</v>
      </c>
      <c r="I543" s="15" t="str">
        <f t="shared" ca="1" si="81"/>
        <v>I2C_Expander_00</v>
      </c>
      <c r="J543" s="15" t="str">
        <f t="shared" ca="1" si="76"/>
        <v>I2C_Expander_00!A86</v>
      </c>
      <c r="K543" s="15" t="str">
        <f t="shared" ca="1" si="77"/>
        <v>I2C_Expander_00!B86</v>
      </c>
    </row>
    <row r="544" spans="1:11" x14ac:dyDescent="0.25">
      <c r="A544" s="3" t="str">
        <f t="shared" ca="1" si="82"/>
        <v/>
      </c>
      <c r="G544" s="15">
        <f t="shared" ca="1" si="80"/>
        <v>87</v>
      </c>
      <c r="H544" s="15">
        <v>1</v>
      </c>
      <c r="I544" s="15" t="str">
        <f t="shared" ca="1" si="81"/>
        <v>I2C_Expander_00</v>
      </c>
      <c r="J544" s="15" t="str">
        <f t="shared" ca="1" si="76"/>
        <v>I2C_Expander_00!A87</v>
      </c>
      <c r="K544" s="15" t="str">
        <f t="shared" ca="1" si="77"/>
        <v>I2C_Expander_00!B87</v>
      </c>
    </row>
    <row r="545" spans="1:16" x14ac:dyDescent="0.25">
      <c r="A545" s="3" t="str">
        <f t="shared" ca="1" si="82"/>
        <v/>
      </c>
      <c r="G545" s="15">
        <f t="shared" ca="1" si="80"/>
        <v>88</v>
      </c>
      <c r="H545" s="15">
        <v>1</v>
      </c>
      <c r="I545" s="15" t="str">
        <f t="shared" ca="1" si="81"/>
        <v>I2C_Expander_00</v>
      </c>
      <c r="J545" s="15" t="str">
        <f t="shared" ca="1" si="76"/>
        <v>I2C_Expander_00!A88</v>
      </c>
      <c r="K545" s="15" t="str">
        <f t="shared" ca="1" si="77"/>
        <v>I2C_Expander_00!B88</v>
      </c>
    </row>
    <row r="546" spans="1:16" x14ac:dyDescent="0.25">
      <c r="A546" s="3" t="str">
        <f t="shared" ca="1" si="82"/>
        <v/>
      </c>
      <c r="G546" s="15">
        <f t="shared" ca="1" si="80"/>
        <v>89</v>
      </c>
      <c r="H546" s="15">
        <v>1</v>
      </c>
      <c r="I546" s="15" t="str">
        <f t="shared" ca="1" si="81"/>
        <v>I2C_Expander_00</v>
      </c>
      <c r="J546" s="15" t="str">
        <f t="shared" ca="1" si="76"/>
        <v>I2C_Expander_00!A89</v>
      </c>
      <c r="K546" s="15" t="str">
        <f t="shared" ca="1" si="77"/>
        <v>I2C_Expander_00!B89</v>
      </c>
    </row>
    <row r="547" spans="1:16" x14ac:dyDescent="0.25">
      <c r="A547" s="3" t="str">
        <f t="shared" ca="1" si="82"/>
        <v/>
      </c>
      <c r="G547" s="15">
        <f t="shared" ca="1" si="80"/>
        <v>90</v>
      </c>
      <c r="H547" s="15">
        <v>1</v>
      </c>
      <c r="I547" s="15" t="str">
        <f t="shared" ca="1" si="81"/>
        <v>I2C_Expander_00</v>
      </c>
      <c r="J547" s="15" t="str">
        <f t="shared" ca="1" si="76"/>
        <v>I2C_Expander_00!A90</v>
      </c>
      <c r="K547" s="15" t="str">
        <f t="shared" ca="1" si="77"/>
        <v>I2C_Expander_00!B90</v>
      </c>
    </row>
    <row r="548" spans="1:16" x14ac:dyDescent="0.25">
      <c r="A548" s="3" t="str">
        <f t="shared" ca="1" si="82"/>
        <v xml:space="preserve">#I2C_Expander_01:etap 2 =  </v>
      </c>
      <c r="G548" s="15">
        <f ca="1">INDIRECT(M548)</f>
        <v>71</v>
      </c>
      <c r="H548" s="15">
        <v>1</v>
      </c>
      <c r="I548" s="15" t="str">
        <f ca="1">INDIRECT(N548)</f>
        <v>I2C_Expander_01</v>
      </c>
      <c r="J548" s="15" t="str">
        <f t="shared" ca="1" si="76"/>
        <v>I2C_Expander_01!A71</v>
      </c>
      <c r="K548" s="15" t="str">
        <f t="shared" ca="1" si="77"/>
        <v>I2C_Expander_01!B71</v>
      </c>
      <c r="M548" s="15" t="str">
        <f>ADDRESS(O548,3,4,1,$R$1)</f>
        <v>konfig!C29</v>
      </c>
      <c r="N548" s="15" t="str">
        <f>ADDRESS(O548,1,4,1,$R$1)</f>
        <v>konfig!A29</v>
      </c>
      <c r="O548" s="15">
        <v>29</v>
      </c>
      <c r="P548" s="15">
        <v>4</v>
      </c>
    </row>
    <row r="549" spans="1:16" x14ac:dyDescent="0.25">
      <c r="A549" s="3" t="str">
        <f t="shared" ca="1" si="82"/>
        <v xml:space="preserve">device = MCP23017 </v>
      </c>
      <c r="G549" s="15">
        <f ca="1">G548+1</f>
        <v>72</v>
      </c>
      <c r="H549" s="15">
        <v>1</v>
      </c>
      <c r="I549" s="15" t="str">
        <f ca="1">I548</f>
        <v>I2C_Expander_01</v>
      </c>
      <c r="J549" s="15" t="str">
        <f t="shared" ca="1" si="76"/>
        <v>I2C_Expander_01!A72</v>
      </c>
      <c r="K549" s="15" t="str">
        <f t="shared" ca="1" si="77"/>
        <v>I2C_Expander_01!B72</v>
      </c>
    </row>
    <row r="550" spans="1:16" x14ac:dyDescent="0.25">
      <c r="A550" s="3" t="str">
        <f t="shared" ca="1" si="82"/>
        <v xml:space="preserve">i2c_addr = 0x21 </v>
      </c>
      <c r="G550" s="15">
        <f t="shared" ref="G550:G567" ca="1" si="83">G549+1</f>
        <v>73</v>
      </c>
      <c r="H550" s="15">
        <v>1</v>
      </c>
      <c r="I550" s="15" t="str">
        <f t="shared" ref="I550:I567" ca="1" si="84">I549</f>
        <v>I2C_Expander_01</v>
      </c>
      <c r="J550" s="15" t="str">
        <f t="shared" ca="1" si="76"/>
        <v>I2C_Expander_01!A73</v>
      </c>
      <c r="K550" s="15" t="str">
        <f t="shared" ca="1" si="77"/>
        <v>I2C_Expander_01!B73</v>
      </c>
    </row>
    <row r="551" spans="1:16" x14ac:dyDescent="0.25">
      <c r="A551" s="3" t="str">
        <f t="shared" ca="1" si="82"/>
        <v xml:space="preserve">i2c_num = /dev/i2c-1 </v>
      </c>
      <c r="C551" s="16"/>
      <c r="G551" s="15">
        <f t="shared" ca="1" si="83"/>
        <v>74</v>
      </c>
      <c r="H551" s="15">
        <v>1</v>
      </c>
      <c r="I551" s="15" t="str">
        <f t="shared" ca="1" si="84"/>
        <v>I2C_Expander_01</v>
      </c>
      <c r="J551" s="15" t="str">
        <f t="shared" ca="1" si="76"/>
        <v>I2C_Expander_01!A74</v>
      </c>
      <c r="K551" s="15" t="str">
        <f t="shared" ca="1" si="77"/>
        <v>I2C_Expander_01!B74</v>
      </c>
    </row>
    <row r="552" spans="1:16" x14ac:dyDescent="0.25">
      <c r="A552" s="3" t="str">
        <f t="shared" ca="1" si="82"/>
        <v xml:space="preserve">pins_mode = 0xFBFF </v>
      </c>
      <c r="G552" s="15">
        <f t="shared" ca="1" si="83"/>
        <v>75</v>
      </c>
      <c r="H552" s="15">
        <v>1</v>
      </c>
      <c r="I552" s="15" t="str">
        <f t="shared" ca="1" si="84"/>
        <v>I2C_Expander_01</v>
      </c>
      <c r="J552" s="15" t="str">
        <f t="shared" ca="1" si="76"/>
        <v>I2C_Expander_01!A75</v>
      </c>
      <c r="K552" s="15" t="str">
        <f t="shared" ca="1" si="77"/>
        <v>I2C_Expander_01!B75</v>
      </c>
    </row>
    <row r="553" spans="1:16" x14ac:dyDescent="0.25">
      <c r="A553" s="3" t="str">
        <f t="shared" ca="1" si="82"/>
        <v xml:space="preserve">pins_state = 0x0400 </v>
      </c>
      <c r="G553" s="15">
        <f t="shared" ca="1" si="83"/>
        <v>76</v>
      </c>
      <c r="H553" s="15">
        <v>1</v>
      </c>
      <c r="I553" s="15" t="str">
        <f t="shared" ca="1" si="84"/>
        <v>I2C_Expander_01</v>
      </c>
      <c r="J553" s="15" t="str">
        <f t="shared" ca="1" si="76"/>
        <v>I2C_Expander_01!A76</v>
      </c>
      <c r="K553" s="15" t="str">
        <f t="shared" ca="1" si="77"/>
        <v>I2C_Expander_01!B76</v>
      </c>
    </row>
    <row r="554" spans="1:16" x14ac:dyDescent="0.25">
      <c r="A554" s="3" t="str">
        <f t="shared" ca="1" si="82"/>
        <v xml:space="preserve">pins_pull_up = 0xC020 </v>
      </c>
      <c r="G554" s="15">
        <f t="shared" ca="1" si="83"/>
        <v>77</v>
      </c>
      <c r="H554" s="15">
        <v>1</v>
      </c>
      <c r="I554" s="15" t="str">
        <f t="shared" ca="1" si="84"/>
        <v>I2C_Expander_01</v>
      </c>
      <c r="J554" s="15" t="str">
        <f t="shared" ca="1" si="76"/>
        <v>I2C_Expander_01!A77</v>
      </c>
      <c r="K554" s="15" t="str">
        <f t="shared" ca="1" si="77"/>
        <v>I2C_Expander_01!B77</v>
      </c>
    </row>
    <row r="555" spans="1:16" x14ac:dyDescent="0.25">
      <c r="A555" s="3" t="str">
        <f t="shared" ca="1" si="82"/>
        <v xml:space="preserve">#pins_int = 0x0000 </v>
      </c>
      <c r="G555" s="15">
        <f t="shared" ca="1" si="83"/>
        <v>78</v>
      </c>
      <c r="H555" s="15">
        <v>1</v>
      </c>
      <c r="I555" s="15" t="str">
        <f t="shared" ca="1" si="84"/>
        <v>I2C_Expander_01</v>
      </c>
      <c r="J555" s="15" t="str">
        <f t="shared" ca="1" si="76"/>
        <v>I2C_Expander_01!A78</v>
      </c>
      <c r="K555" s="15" t="str">
        <f t="shared" ca="1" si="77"/>
        <v>I2C_Expander_01!B78</v>
      </c>
    </row>
    <row r="556" spans="1:16" x14ac:dyDescent="0.25">
      <c r="A556" s="3" t="str">
        <f t="shared" ca="1" si="82"/>
        <v xml:space="preserve">#pins_def_val = 0x0000 </v>
      </c>
      <c r="G556" s="15">
        <f t="shared" ca="1" si="83"/>
        <v>79</v>
      </c>
      <c r="H556" s="15">
        <v>1</v>
      </c>
      <c r="I556" s="15" t="str">
        <f t="shared" ca="1" si="84"/>
        <v>I2C_Expander_01</v>
      </c>
      <c r="J556" s="15" t="str">
        <f t="shared" ref="J556:J619" ca="1" si="85">ADDRESS(G556,H556,4,1,I556)</f>
        <v>I2C_Expander_01!A79</v>
      </c>
      <c r="K556" s="15" t="str">
        <f t="shared" ref="K556:K619" ca="1" si="86">ADDRESS(G556,H556+1,4,1,I556)</f>
        <v>I2C_Expander_01!B79</v>
      </c>
    </row>
    <row r="557" spans="1:16" x14ac:dyDescent="0.25">
      <c r="A557" s="3" t="str">
        <f t="shared" ca="1" si="82"/>
        <v/>
      </c>
      <c r="G557" s="15">
        <f t="shared" ca="1" si="83"/>
        <v>80</v>
      </c>
      <c r="H557" s="15">
        <v>1</v>
      </c>
      <c r="I557" s="15" t="str">
        <f t="shared" ca="1" si="84"/>
        <v>I2C_Expander_01</v>
      </c>
      <c r="J557" s="15" t="str">
        <f t="shared" ca="1" si="85"/>
        <v>I2C_Expander_01!A80</v>
      </c>
      <c r="K557" s="15" t="str">
        <f t="shared" ca="1" si="86"/>
        <v>I2C_Expander_01!B80</v>
      </c>
    </row>
    <row r="558" spans="1:16" x14ac:dyDescent="0.25">
      <c r="A558" s="3" t="str">
        <f t="shared" ca="1" si="82"/>
        <v xml:space="preserve">#pins_int = 10 </v>
      </c>
      <c r="G558" s="15">
        <f t="shared" ca="1" si="83"/>
        <v>81</v>
      </c>
      <c r="H558" s="15">
        <v>1</v>
      </c>
      <c r="I558" s="15" t="str">
        <f t="shared" ca="1" si="84"/>
        <v>I2C_Expander_01</v>
      </c>
      <c r="J558" s="15" t="str">
        <f t="shared" ca="1" si="85"/>
        <v>I2C_Expander_01!A81</v>
      </c>
      <c r="K558" s="15" t="str">
        <f t="shared" ca="1" si="86"/>
        <v>I2C_Expander_01!B81</v>
      </c>
    </row>
    <row r="559" spans="1:16" x14ac:dyDescent="0.25">
      <c r="A559" s="3" t="str">
        <f t="shared" ca="1" si="82"/>
        <v/>
      </c>
      <c r="C559" s="16"/>
      <c r="G559" s="15">
        <f t="shared" ca="1" si="83"/>
        <v>82</v>
      </c>
      <c r="H559" s="15">
        <v>1</v>
      </c>
      <c r="I559" s="15" t="str">
        <f t="shared" ca="1" si="84"/>
        <v>I2C_Expander_01</v>
      </c>
      <c r="J559" s="15" t="str">
        <f t="shared" ca="1" si="85"/>
        <v>I2C_Expander_01!A82</v>
      </c>
      <c r="K559" s="15" t="str">
        <f t="shared" ca="1" si="86"/>
        <v>I2C_Expander_01!B82</v>
      </c>
    </row>
    <row r="560" spans="1:16" x14ac:dyDescent="0.25">
      <c r="A560" s="3" t="str">
        <f t="shared" ca="1" si="82"/>
        <v/>
      </c>
      <c r="G560" s="15">
        <f t="shared" ca="1" si="83"/>
        <v>83</v>
      </c>
      <c r="H560" s="15">
        <v>1</v>
      </c>
      <c r="I560" s="15" t="str">
        <f t="shared" ca="1" si="84"/>
        <v>I2C_Expander_01</v>
      </c>
      <c r="J560" s="15" t="str">
        <f t="shared" ca="1" si="85"/>
        <v>I2C_Expander_01!A83</v>
      </c>
      <c r="K560" s="15" t="str">
        <f t="shared" ca="1" si="86"/>
        <v>I2C_Expander_01!B83</v>
      </c>
    </row>
    <row r="561" spans="1:16" x14ac:dyDescent="0.25">
      <c r="A561" s="3" t="str">
        <f t="shared" ca="1" si="82"/>
        <v/>
      </c>
      <c r="G561" s="15">
        <f t="shared" ca="1" si="83"/>
        <v>84</v>
      </c>
      <c r="H561" s="15">
        <v>1</v>
      </c>
      <c r="I561" s="15" t="str">
        <f t="shared" ca="1" si="84"/>
        <v>I2C_Expander_01</v>
      </c>
      <c r="J561" s="15" t="str">
        <f t="shared" ca="1" si="85"/>
        <v>I2C_Expander_01!A84</v>
      </c>
      <c r="K561" s="15" t="str">
        <f t="shared" ca="1" si="86"/>
        <v>I2C_Expander_01!B84</v>
      </c>
    </row>
    <row r="562" spans="1:16" x14ac:dyDescent="0.25">
      <c r="A562" s="3" t="str">
        <f t="shared" ca="1" si="82"/>
        <v/>
      </c>
      <c r="G562" s="15">
        <f t="shared" ca="1" si="83"/>
        <v>85</v>
      </c>
      <c r="H562" s="15">
        <v>1</v>
      </c>
      <c r="I562" s="15" t="str">
        <f t="shared" ca="1" si="84"/>
        <v>I2C_Expander_01</v>
      </c>
      <c r="J562" s="15" t="str">
        <f t="shared" ca="1" si="85"/>
        <v>I2C_Expander_01!A85</v>
      </c>
      <c r="K562" s="15" t="str">
        <f t="shared" ca="1" si="86"/>
        <v>I2C_Expander_01!B85</v>
      </c>
    </row>
    <row r="563" spans="1:16" x14ac:dyDescent="0.25">
      <c r="A563" s="3" t="str">
        <f t="shared" ca="1" si="82"/>
        <v/>
      </c>
      <c r="G563" s="15">
        <f t="shared" ca="1" si="83"/>
        <v>86</v>
      </c>
      <c r="H563" s="15">
        <v>1</v>
      </c>
      <c r="I563" s="15" t="str">
        <f t="shared" ca="1" si="84"/>
        <v>I2C_Expander_01</v>
      </c>
      <c r="J563" s="15" t="str">
        <f t="shared" ca="1" si="85"/>
        <v>I2C_Expander_01!A86</v>
      </c>
      <c r="K563" s="15" t="str">
        <f t="shared" ca="1" si="86"/>
        <v>I2C_Expander_01!B86</v>
      </c>
    </row>
    <row r="564" spans="1:16" x14ac:dyDescent="0.25">
      <c r="A564" s="3" t="str">
        <f t="shared" ca="1" si="82"/>
        <v/>
      </c>
      <c r="G564" s="15">
        <f t="shared" ca="1" si="83"/>
        <v>87</v>
      </c>
      <c r="H564" s="15">
        <v>1</v>
      </c>
      <c r="I564" s="15" t="str">
        <f t="shared" ca="1" si="84"/>
        <v>I2C_Expander_01</v>
      </c>
      <c r="J564" s="15" t="str">
        <f t="shared" ca="1" si="85"/>
        <v>I2C_Expander_01!A87</v>
      </c>
      <c r="K564" s="15" t="str">
        <f t="shared" ca="1" si="86"/>
        <v>I2C_Expander_01!B87</v>
      </c>
    </row>
    <row r="565" spans="1:16" x14ac:dyDescent="0.25">
      <c r="A565" s="3" t="str">
        <f t="shared" ca="1" si="82"/>
        <v/>
      </c>
      <c r="G565" s="15">
        <f t="shared" ca="1" si="83"/>
        <v>88</v>
      </c>
      <c r="H565" s="15">
        <v>1</v>
      </c>
      <c r="I565" s="15" t="str">
        <f t="shared" ca="1" si="84"/>
        <v>I2C_Expander_01</v>
      </c>
      <c r="J565" s="15" t="str">
        <f t="shared" ca="1" si="85"/>
        <v>I2C_Expander_01!A88</v>
      </c>
      <c r="K565" s="15" t="str">
        <f t="shared" ca="1" si="86"/>
        <v>I2C_Expander_01!B88</v>
      </c>
    </row>
    <row r="566" spans="1:16" x14ac:dyDescent="0.25">
      <c r="A566" s="3" t="str">
        <f t="shared" ca="1" si="82"/>
        <v/>
      </c>
      <c r="G566" s="15">
        <f t="shared" ca="1" si="83"/>
        <v>89</v>
      </c>
      <c r="H566" s="15">
        <v>1</v>
      </c>
      <c r="I566" s="15" t="str">
        <f t="shared" ca="1" si="84"/>
        <v>I2C_Expander_01</v>
      </c>
      <c r="J566" s="15" t="str">
        <f t="shared" ca="1" si="85"/>
        <v>I2C_Expander_01!A89</v>
      </c>
      <c r="K566" s="15" t="str">
        <f t="shared" ca="1" si="86"/>
        <v>I2C_Expander_01!B89</v>
      </c>
    </row>
    <row r="567" spans="1:16" x14ac:dyDescent="0.25">
      <c r="A567" s="3" t="str">
        <f t="shared" ca="1" si="82"/>
        <v/>
      </c>
      <c r="G567" s="15">
        <f t="shared" ca="1" si="83"/>
        <v>90</v>
      </c>
      <c r="H567" s="15">
        <v>1</v>
      </c>
      <c r="I567" s="15" t="str">
        <f t="shared" ca="1" si="84"/>
        <v>I2C_Expander_01</v>
      </c>
      <c r="J567" s="15" t="str">
        <f t="shared" ca="1" si="85"/>
        <v>I2C_Expander_01!A90</v>
      </c>
      <c r="K567" s="15" t="str">
        <f t="shared" ca="1" si="86"/>
        <v>I2C_Expander_01!B90</v>
      </c>
    </row>
    <row r="568" spans="1:16" x14ac:dyDescent="0.25">
      <c r="A568" s="3" t="str">
        <f t="shared" ca="1" si="82"/>
        <v xml:space="preserve">#I2C_Expander_02:etap 2 =  </v>
      </c>
      <c r="G568" s="15">
        <f ca="1">INDIRECT(M568)</f>
        <v>71</v>
      </c>
      <c r="H568" s="15">
        <v>1</v>
      </c>
      <c r="I568" s="15" t="str">
        <f ca="1">INDIRECT(N568)</f>
        <v>I2C_Expander_02</v>
      </c>
      <c r="J568" s="15" t="str">
        <f t="shared" ca="1" si="85"/>
        <v>I2C_Expander_02!A71</v>
      </c>
      <c r="K568" s="15" t="str">
        <f t="shared" ca="1" si="86"/>
        <v>I2C_Expander_02!B71</v>
      </c>
      <c r="M568" s="15" t="str">
        <f>ADDRESS(O568,3,4,1,$R$1)</f>
        <v>konfig!C30</v>
      </c>
      <c r="N568" s="15" t="str">
        <f>ADDRESS(O568,1,4,1,$R$1)</f>
        <v>konfig!A30</v>
      </c>
      <c r="O568" s="15">
        <v>30</v>
      </c>
      <c r="P568" s="15">
        <v>4</v>
      </c>
    </row>
    <row r="569" spans="1:16" x14ac:dyDescent="0.25">
      <c r="A569" s="3" t="str">
        <f t="shared" ca="1" si="82"/>
        <v xml:space="preserve">device = MCP23017 </v>
      </c>
      <c r="G569" s="15">
        <f ca="1">G568+1</f>
        <v>72</v>
      </c>
      <c r="H569" s="15">
        <v>1</v>
      </c>
      <c r="I569" s="15" t="str">
        <f ca="1">I568</f>
        <v>I2C_Expander_02</v>
      </c>
      <c r="J569" s="15" t="str">
        <f t="shared" ca="1" si="85"/>
        <v>I2C_Expander_02!A72</v>
      </c>
      <c r="K569" s="15" t="str">
        <f t="shared" ca="1" si="86"/>
        <v>I2C_Expander_02!B72</v>
      </c>
    </row>
    <row r="570" spans="1:16" x14ac:dyDescent="0.25">
      <c r="A570" s="3" t="str">
        <f t="shared" ca="1" si="82"/>
        <v xml:space="preserve">i2c_addr = 0x22 </v>
      </c>
      <c r="G570" s="15">
        <f t="shared" ref="G570:G587" ca="1" si="87">G569+1</f>
        <v>73</v>
      </c>
      <c r="H570" s="15">
        <v>1</v>
      </c>
      <c r="I570" s="15" t="str">
        <f t="shared" ref="I570:I587" ca="1" si="88">I569</f>
        <v>I2C_Expander_02</v>
      </c>
      <c r="J570" s="15" t="str">
        <f t="shared" ca="1" si="85"/>
        <v>I2C_Expander_02!A73</v>
      </c>
      <c r="K570" s="15" t="str">
        <f t="shared" ca="1" si="86"/>
        <v>I2C_Expander_02!B73</v>
      </c>
    </row>
    <row r="571" spans="1:16" x14ac:dyDescent="0.25">
      <c r="A571" s="3" t="str">
        <f t="shared" ca="1" si="82"/>
        <v xml:space="preserve">i2c_num = /dev/i2c-1 </v>
      </c>
      <c r="C571" s="16"/>
      <c r="G571" s="15">
        <f t="shared" ca="1" si="87"/>
        <v>74</v>
      </c>
      <c r="H571" s="15">
        <v>1</v>
      </c>
      <c r="I571" s="15" t="str">
        <f t="shared" ca="1" si="88"/>
        <v>I2C_Expander_02</v>
      </c>
      <c r="J571" s="15" t="str">
        <f t="shared" ca="1" si="85"/>
        <v>I2C_Expander_02!A74</v>
      </c>
      <c r="K571" s="15" t="str">
        <f t="shared" ca="1" si="86"/>
        <v>I2C_Expander_02!B74</v>
      </c>
    </row>
    <row r="572" spans="1:16" x14ac:dyDescent="0.25">
      <c r="A572" s="3" t="str">
        <f t="shared" ca="1" si="82"/>
        <v xml:space="preserve">pins_mode = 0xD27C </v>
      </c>
      <c r="G572" s="15">
        <f t="shared" ca="1" si="87"/>
        <v>75</v>
      </c>
      <c r="H572" s="15">
        <v>1</v>
      </c>
      <c r="I572" s="15" t="str">
        <f t="shared" ca="1" si="88"/>
        <v>I2C_Expander_02</v>
      </c>
      <c r="J572" s="15" t="str">
        <f t="shared" ca="1" si="85"/>
        <v>I2C_Expander_02!A75</v>
      </c>
      <c r="K572" s="15" t="str">
        <f t="shared" ca="1" si="86"/>
        <v>I2C_Expander_02!B75</v>
      </c>
    </row>
    <row r="573" spans="1:16" x14ac:dyDescent="0.25">
      <c r="A573" s="3" t="str">
        <f t="shared" ca="1" si="82"/>
        <v xml:space="preserve">pins_state = 0x2D83 </v>
      </c>
      <c r="G573" s="15">
        <f t="shared" ca="1" si="87"/>
        <v>76</v>
      </c>
      <c r="H573" s="15">
        <v>1</v>
      </c>
      <c r="I573" s="15" t="str">
        <f t="shared" ca="1" si="88"/>
        <v>I2C_Expander_02</v>
      </c>
      <c r="J573" s="15" t="str">
        <f t="shared" ca="1" si="85"/>
        <v>I2C_Expander_02!A76</v>
      </c>
      <c r="K573" s="15" t="str">
        <f t="shared" ca="1" si="86"/>
        <v>I2C_Expander_02!B76</v>
      </c>
    </row>
    <row r="574" spans="1:16" x14ac:dyDescent="0.25">
      <c r="A574" s="3" t="str">
        <f t="shared" ca="1" si="82"/>
        <v xml:space="preserve">pins_pull_up = 0x1000 </v>
      </c>
      <c r="G574" s="15">
        <f t="shared" ca="1" si="87"/>
        <v>77</v>
      </c>
      <c r="H574" s="15">
        <v>1</v>
      </c>
      <c r="I574" s="15" t="str">
        <f t="shared" ca="1" si="88"/>
        <v>I2C_Expander_02</v>
      </c>
      <c r="J574" s="15" t="str">
        <f t="shared" ca="1" si="85"/>
        <v>I2C_Expander_02!A77</v>
      </c>
      <c r="K574" s="15" t="str">
        <f t="shared" ca="1" si="86"/>
        <v>I2C_Expander_02!B77</v>
      </c>
    </row>
    <row r="575" spans="1:16" x14ac:dyDescent="0.25">
      <c r="A575" s="3" t="str">
        <f t="shared" ca="1" si="82"/>
        <v xml:space="preserve">#pins_int = 0x0000 </v>
      </c>
      <c r="G575" s="15">
        <f t="shared" ca="1" si="87"/>
        <v>78</v>
      </c>
      <c r="H575" s="15">
        <v>1</v>
      </c>
      <c r="I575" s="15" t="str">
        <f t="shared" ca="1" si="88"/>
        <v>I2C_Expander_02</v>
      </c>
      <c r="J575" s="15" t="str">
        <f t="shared" ca="1" si="85"/>
        <v>I2C_Expander_02!A78</v>
      </c>
      <c r="K575" s="15" t="str">
        <f t="shared" ca="1" si="86"/>
        <v>I2C_Expander_02!B78</v>
      </c>
    </row>
    <row r="576" spans="1:16" x14ac:dyDescent="0.25">
      <c r="A576" s="3" t="str">
        <f t="shared" ca="1" si="82"/>
        <v xml:space="preserve">#pins_def_val = 0x0000 </v>
      </c>
      <c r="G576" s="15">
        <f t="shared" ca="1" si="87"/>
        <v>79</v>
      </c>
      <c r="H576" s="15">
        <v>1</v>
      </c>
      <c r="I576" s="15" t="str">
        <f t="shared" ca="1" si="88"/>
        <v>I2C_Expander_02</v>
      </c>
      <c r="J576" s="15" t="str">
        <f t="shared" ca="1" si="85"/>
        <v>I2C_Expander_02!A79</v>
      </c>
      <c r="K576" s="15" t="str">
        <f t="shared" ca="1" si="86"/>
        <v>I2C_Expander_02!B79</v>
      </c>
    </row>
    <row r="577" spans="1:16" x14ac:dyDescent="0.25">
      <c r="A577" s="3" t="str">
        <f t="shared" ca="1" si="82"/>
        <v/>
      </c>
      <c r="G577" s="15">
        <f t="shared" ca="1" si="87"/>
        <v>80</v>
      </c>
      <c r="H577" s="15">
        <v>1</v>
      </c>
      <c r="I577" s="15" t="str">
        <f t="shared" ca="1" si="88"/>
        <v>I2C_Expander_02</v>
      </c>
      <c r="J577" s="15" t="str">
        <f t="shared" ca="1" si="85"/>
        <v>I2C_Expander_02!A80</v>
      </c>
      <c r="K577" s="15" t="str">
        <f t="shared" ca="1" si="86"/>
        <v>I2C_Expander_02!B80</v>
      </c>
    </row>
    <row r="578" spans="1:16" x14ac:dyDescent="0.25">
      <c r="A578" s="3" t="str">
        <f t="shared" ca="1" si="82"/>
        <v xml:space="preserve">#pins_int = 10 </v>
      </c>
      <c r="G578" s="15">
        <f t="shared" ca="1" si="87"/>
        <v>81</v>
      </c>
      <c r="H578" s="15">
        <v>1</v>
      </c>
      <c r="I578" s="15" t="str">
        <f t="shared" ca="1" si="88"/>
        <v>I2C_Expander_02</v>
      </c>
      <c r="J578" s="15" t="str">
        <f t="shared" ca="1" si="85"/>
        <v>I2C_Expander_02!A81</v>
      </c>
      <c r="K578" s="15" t="str">
        <f t="shared" ca="1" si="86"/>
        <v>I2C_Expander_02!B81</v>
      </c>
    </row>
    <row r="579" spans="1:16" x14ac:dyDescent="0.25">
      <c r="A579" s="3" t="str">
        <f t="shared" ca="1" si="82"/>
        <v/>
      </c>
      <c r="C579" s="16"/>
      <c r="G579" s="15">
        <f t="shared" ca="1" si="87"/>
        <v>82</v>
      </c>
      <c r="H579" s="15">
        <v>1</v>
      </c>
      <c r="I579" s="15" t="str">
        <f t="shared" ca="1" si="88"/>
        <v>I2C_Expander_02</v>
      </c>
      <c r="J579" s="15" t="str">
        <f t="shared" ca="1" si="85"/>
        <v>I2C_Expander_02!A82</v>
      </c>
      <c r="K579" s="15" t="str">
        <f t="shared" ca="1" si="86"/>
        <v>I2C_Expander_02!B82</v>
      </c>
    </row>
    <row r="580" spans="1:16" x14ac:dyDescent="0.25">
      <c r="A580" s="3" t="str">
        <f t="shared" ca="1" si="82"/>
        <v/>
      </c>
      <c r="G580" s="15">
        <f t="shared" ca="1" si="87"/>
        <v>83</v>
      </c>
      <c r="H580" s="15">
        <v>1</v>
      </c>
      <c r="I580" s="15" t="str">
        <f t="shared" ca="1" si="88"/>
        <v>I2C_Expander_02</v>
      </c>
      <c r="J580" s="15" t="str">
        <f t="shared" ca="1" si="85"/>
        <v>I2C_Expander_02!A83</v>
      </c>
      <c r="K580" s="15" t="str">
        <f t="shared" ca="1" si="86"/>
        <v>I2C_Expander_02!B83</v>
      </c>
    </row>
    <row r="581" spans="1:16" x14ac:dyDescent="0.25">
      <c r="A581" s="3" t="str">
        <f t="shared" ca="1" si="82"/>
        <v/>
      </c>
      <c r="G581" s="15">
        <f t="shared" ca="1" si="87"/>
        <v>84</v>
      </c>
      <c r="H581" s="15">
        <v>1</v>
      </c>
      <c r="I581" s="15" t="str">
        <f t="shared" ca="1" si="88"/>
        <v>I2C_Expander_02</v>
      </c>
      <c r="J581" s="15" t="str">
        <f t="shared" ca="1" si="85"/>
        <v>I2C_Expander_02!A84</v>
      </c>
      <c r="K581" s="15" t="str">
        <f t="shared" ca="1" si="86"/>
        <v>I2C_Expander_02!B84</v>
      </c>
    </row>
    <row r="582" spans="1:16" x14ac:dyDescent="0.25">
      <c r="A582" s="3" t="str">
        <f t="shared" ca="1" si="82"/>
        <v/>
      </c>
      <c r="G582" s="15">
        <f t="shared" ca="1" si="87"/>
        <v>85</v>
      </c>
      <c r="H582" s="15">
        <v>1</v>
      </c>
      <c r="I582" s="15" t="str">
        <f t="shared" ca="1" si="88"/>
        <v>I2C_Expander_02</v>
      </c>
      <c r="J582" s="15" t="str">
        <f t="shared" ca="1" si="85"/>
        <v>I2C_Expander_02!A85</v>
      </c>
      <c r="K582" s="15" t="str">
        <f t="shared" ca="1" si="86"/>
        <v>I2C_Expander_02!B85</v>
      </c>
    </row>
    <row r="583" spans="1:16" x14ac:dyDescent="0.25">
      <c r="A583" s="3" t="str">
        <f t="shared" ca="1" si="82"/>
        <v/>
      </c>
      <c r="G583" s="15">
        <f t="shared" ca="1" si="87"/>
        <v>86</v>
      </c>
      <c r="H583" s="15">
        <v>1</v>
      </c>
      <c r="I583" s="15" t="str">
        <f t="shared" ca="1" si="88"/>
        <v>I2C_Expander_02</v>
      </c>
      <c r="J583" s="15" t="str">
        <f t="shared" ca="1" si="85"/>
        <v>I2C_Expander_02!A86</v>
      </c>
      <c r="K583" s="15" t="str">
        <f t="shared" ca="1" si="86"/>
        <v>I2C_Expander_02!B86</v>
      </c>
    </row>
    <row r="584" spans="1:16" x14ac:dyDescent="0.25">
      <c r="A584" s="3" t="str">
        <f t="shared" ca="1" si="82"/>
        <v/>
      </c>
      <c r="G584" s="15">
        <f t="shared" ca="1" si="87"/>
        <v>87</v>
      </c>
      <c r="H584" s="15">
        <v>1</v>
      </c>
      <c r="I584" s="15" t="str">
        <f t="shared" ca="1" si="88"/>
        <v>I2C_Expander_02</v>
      </c>
      <c r="J584" s="15" t="str">
        <f t="shared" ca="1" si="85"/>
        <v>I2C_Expander_02!A87</v>
      </c>
      <c r="K584" s="15" t="str">
        <f t="shared" ca="1" si="86"/>
        <v>I2C_Expander_02!B87</v>
      </c>
    </row>
    <row r="585" spans="1:16" x14ac:dyDescent="0.25">
      <c r="A585" s="3" t="str">
        <f t="shared" ca="1" si="82"/>
        <v/>
      </c>
      <c r="G585" s="15">
        <f t="shared" ca="1" si="87"/>
        <v>88</v>
      </c>
      <c r="H585" s="15">
        <v>1</v>
      </c>
      <c r="I585" s="15" t="str">
        <f t="shared" ca="1" si="88"/>
        <v>I2C_Expander_02</v>
      </c>
      <c r="J585" s="15" t="str">
        <f t="shared" ca="1" si="85"/>
        <v>I2C_Expander_02!A88</v>
      </c>
      <c r="K585" s="15" t="str">
        <f t="shared" ca="1" si="86"/>
        <v>I2C_Expander_02!B88</v>
      </c>
    </row>
    <row r="586" spans="1:16" x14ac:dyDescent="0.25">
      <c r="A586" s="3" t="str">
        <f t="shared" ca="1" si="82"/>
        <v/>
      </c>
      <c r="G586" s="15">
        <f t="shared" ca="1" si="87"/>
        <v>89</v>
      </c>
      <c r="H586" s="15">
        <v>1</v>
      </c>
      <c r="I586" s="15" t="str">
        <f t="shared" ca="1" si="88"/>
        <v>I2C_Expander_02</v>
      </c>
      <c r="J586" s="15" t="str">
        <f t="shared" ca="1" si="85"/>
        <v>I2C_Expander_02!A89</v>
      </c>
      <c r="K586" s="15" t="str">
        <f t="shared" ca="1" si="86"/>
        <v>I2C_Expander_02!B89</v>
      </c>
    </row>
    <row r="587" spans="1:16" x14ac:dyDescent="0.25">
      <c r="A587" s="3" t="str">
        <f t="shared" ca="1" si="82"/>
        <v/>
      </c>
      <c r="G587" s="15">
        <f t="shared" ca="1" si="87"/>
        <v>90</v>
      </c>
      <c r="H587" s="15">
        <v>1</v>
      </c>
      <c r="I587" s="15" t="str">
        <f t="shared" ca="1" si="88"/>
        <v>I2C_Expander_02</v>
      </c>
      <c r="J587" s="15" t="str">
        <f t="shared" ca="1" si="85"/>
        <v>I2C_Expander_02!A90</v>
      </c>
      <c r="K587" s="15" t="str">
        <f t="shared" ca="1" si="86"/>
        <v>I2C_Expander_02!B90</v>
      </c>
    </row>
    <row r="588" spans="1:16" x14ac:dyDescent="0.25">
      <c r="A588" s="3" t="str">
        <f t="shared" ca="1" si="82"/>
        <v xml:space="preserve">#I2C_Bridge_GPIO:exp_group_1x =  </v>
      </c>
      <c r="G588" s="15">
        <f ca="1">INDIRECT(M588)</f>
        <v>71</v>
      </c>
      <c r="H588" s="15">
        <v>1</v>
      </c>
      <c r="I588" s="15" t="str">
        <f ca="1">INDIRECT(N588)</f>
        <v>I2C_Bridge_GPIO</v>
      </c>
      <c r="J588" s="15" t="str">
        <f t="shared" ca="1" si="85"/>
        <v>I2C_Bridge_GPIO!A71</v>
      </c>
      <c r="K588" s="15" t="str">
        <f t="shared" ca="1" si="86"/>
        <v>I2C_Bridge_GPIO!B71</v>
      </c>
      <c r="M588" s="15" t="str">
        <f>ADDRESS(O588,3,4,1,$R$1)</f>
        <v>konfig!C31</v>
      </c>
      <c r="N588" s="15" t="str">
        <f>ADDRESS(O588,1,4,1,$R$1)</f>
        <v>konfig!A31</v>
      </c>
      <c r="O588" s="15">
        <v>31</v>
      </c>
      <c r="P588" s="15">
        <v>4</v>
      </c>
    </row>
    <row r="589" spans="1:16" x14ac:dyDescent="0.25">
      <c r="A589" s="3" t="str">
        <f t="shared" ca="1" si="82"/>
        <v xml:space="preserve">device = TCA9548 </v>
      </c>
      <c r="G589" s="15">
        <f ca="1">G588+1</f>
        <v>72</v>
      </c>
      <c r="H589" s="15">
        <v>1</v>
      </c>
      <c r="I589" s="15" t="str">
        <f ca="1">I588</f>
        <v>I2C_Bridge_GPIO</v>
      </c>
      <c r="J589" s="15" t="str">
        <f t="shared" ca="1" si="85"/>
        <v>I2C_Bridge_GPIO!A72</v>
      </c>
      <c r="K589" s="15" t="str">
        <f t="shared" ca="1" si="86"/>
        <v>I2C_Bridge_GPIO!B72</v>
      </c>
    </row>
    <row r="590" spans="1:16" x14ac:dyDescent="0.25">
      <c r="A590" s="3" t="str">
        <f t="shared" ca="1" si="82"/>
        <v xml:space="preserve">i2c_addr = 0x73 </v>
      </c>
      <c r="G590" s="15">
        <f t="shared" ref="G590:G607" ca="1" si="89">G589+1</f>
        <v>73</v>
      </c>
      <c r="H590" s="15">
        <v>1</v>
      </c>
      <c r="I590" s="15" t="str">
        <f t="shared" ref="I590:I607" ca="1" si="90">I589</f>
        <v>I2C_Bridge_GPIO</v>
      </c>
      <c r="J590" s="15" t="str">
        <f t="shared" ca="1" si="85"/>
        <v>I2C_Bridge_GPIO!A73</v>
      </c>
      <c r="K590" s="15" t="str">
        <f t="shared" ca="1" si="86"/>
        <v>I2C_Bridge_GPIO!B73</v>
      </c>
    </row>
    <row r="591" spans="1:16" x14ac:dyDescent="0.25">
      <c r="A591" s="3" t="str">
        <f t="shared" ca="1" si="82"/>
        <v xml:space="preserve">i2c_num = /dev/i2c-1 </v>
      </c>
      <c r="C591" s="16"/>
      <c r="G591" s="15">
        <f t="shared" ca="1" si="89"/>
        <v>74</v>
      </c>
      <c r="H591" s="15">
        <v>1</v>
      </c>
      <c r="I591" s="15" t="str">
        <f t="shared" ca="1" si="90"/>
        <v>I2C_Bridge_GPIO</v>
      </c>
      <c r="J591" s="15" t="str">
        <f t="shared" ca="1" si="85"/>
        <v>I2C_Bridge_GPIO!A74</v>
      </c>
      <c r="K591" s="15" t="str">
        <f t="shared" ca="1" si="86"/>
        <v>I2C_Bridge_GPIO!B74</v>
      </c>
    </row>
    <row r="592" spans="1:16" x14ac:dyDescent="0.25">
      <c r="A592" s="3" t="str">
        <f t="shared" ca="1" si="82"/>
        <v xml:space="preserve">ctrl_reg = 0x10 </v>
      </c>
      <c r="G592" s="15">
        <f t="shared" ca="1" si="89"/>
        <v>75</v>
      </c>
      <c r="H592" s="15">
        <v>1</v>
      </c>
      <c r="I592" s="15" t="str">
        <f t="shared" ca="1" si="90"/>
        <v>I2C_Bridge_GPIO</v>
      </c>
      <c r="J592" s="15" t="str">
        <f t="shared" ca="1" si="85"/>
        <v>I2C_Bridge_GPIO!A75</v>
      </c>
      <c r="K592" s="15" t="str">
        <f t="shared" ca="1" si="86"/>
        <v>I2C_Bridge_GPIO!B75</v>
      </c>
    </row>
    <row r="593" spans="1:16" x14ac:dyDescent="0.25">
      <c r="A593" s="3" t="str">
        <f t="shared" ca="1" si="82"/>
        <v/>
      </c>
      <c r="G593" s="15">
        <f t="shared" ca="1" si="89"/>
        <v>76</v>
      </c>
      <c r="H593" s="15">
        <v>1</v>
      </c>
      <c r="I593" s="15" t="str">
        <f t="shared" ca="1" si="90"/>
        <v>I2C_Bridge_GPIO</v>
      </c>
      <c r="J593" s="15" t="str">
        <f t="shared" ca="1" si="85"/>
        <v>I2C_Bridge_GPIO!A76</v>
      </c>
      <c r="K593" s="15" t="str">
        <f t="shared" ca="1" si="86"/>
        <v>I2C_Bridge_GPIO!B76</v>
      </c>
    </row>
    <row r="594" spans="1:16" x14ac:dyDescent="0.25">
      <c r="A594" s="3" t="str">
        <f t="shared" ca="1" si="82"/>
        <v xml:space="preserve">time = 11 </v>
      </c>
      <c r="G594" s="15">
        <f t="shared" ca="1" si="89"/>
        <v>77</v>
      </c>
      <c r="H594" s="15">
        <v>1</v>
      </c>
      <c r="I594" s="15" t="str">
        <f t="shared" ca="1" si="90"/>
        <v>I2C_Bridge_GPIO</v>
      </c>
      <c r="J594" s="15" t="str">
        <f t="shared" ca="1" si="85"/>
        <v>I2C_Bridge_GPIO!A77</v>
      </c>
      <c r="K594" s="15" t="str">
        <f t="shared" ca="1" si="86"/>
        <v>I2C_Bridge_GPIO!B77</v>
      </c>
    </row>
    <row r="595" spans="1:16" x14ac:dyDescent="0.25">
      <c r="A595" s="3" t="str">
        <f t="shared" ca="1" si="82"/>
        <v/>
      </c>
      <c r="G595" s="15">
        <f t="shared" ca="1" si="89"/>
        <v>78</v>
      </c>
      <c r="H595" s="15">
        <v>1</v>
      </c>
      <c r="I595" s="15" t="str">
        <f t="shared" ca="1" si="90"/>
        <v>I2C_Bridge_GPIO</v>
      </c>
      <c r="J595" s="15" t="str">
        <f t="shared" ca="1" si="85"/>
        <v>I2C_Bridge_GPIO!A78</v>
      </c>
      <c r="K595" s="15" t="str">
        <f t="shared" ca="1" si="86"/>
        <v>I2C_Bridge_GPIO!B78</v>
      </c>
    </row>
    <row r="596" spans="1:16" x14ac:dyDescent="0.25">
      <c r="A596" s="3" t="str">
        <f t="shared" ca="1" si="82"/>
        <v/>
      </c>
      <c r="G596" s="15">
        <f t="shared" ca="1" si="89"/>
        <v>79</v>
      </c>
      <c r="H596" s="15">
        <v>1</v>
      </c>
      <c r="I596" s="15" t="str">
        <f t="shared" ca="1" si="90"/>
        <v>I2C_Bridge_GPIO</v>
      </c>
      <c r="J596" s="15" t="str">
        <f t="shared" ca="1" si="85"/>
        <v>I2C_Bridge_GPIO!A79</v>
      </c>
      <c r="K596" s="15" t="str">
        <f t="shared" ca="1" si="86"/>
        <v>I2C_Bridge_GPIO!B79</v>
      </c>
    </row>
    <row r="597" spans="1:16" x14ac:dyDescent="0.25">
      <c r="A597" s="3" t="str">
        <f t="shared" ca="1" si="82"/>
        <v/>
      </c>
      <c r="G597" s="15">
        <f t="shared" ca="1" si="89"/>
        <v>80</v>
      </c>
      <c r="H597" s="15">
        <v>1</v>
      </c>
      <c r="I597" s="15" t="str">
        <f t="shared" ca="1" si="90"/>
        <v>I2C_Bridge_GPIO</v>
      </c>
      <c r="J597" s="15" t="str">
        <f t="shared" ca="1" si="85"/>
        <v>I2C_Bridge_GPIO!A80</v>
      </c>
      <c r="K597" s="15" t="str">
        <f t="shared" ca="1" si="86"/>
        <v>I2C_Bridge_GPIO!B80</v>
      </c>
    </row>
    <row r="598" spans="1:16" x14ac:dyDescent="0.25">
      <c r="A598" s="3" t="str">
        <f t="shared" ca="1" si="82"/>
        <v/>
      </c>
      <c r="G598" s="15">
        <f t="shared" ca="1" si="89"/>
        <v>81</v>
      </c>
      <c r="H598" s="15">
        <v>1</v>
      </c>
      <c r="I598" s="15" t="str">
        <f t="shared" ca="1" si="90"/>
        <v>I2C_Bridge_GPIO</v>
      </c>
      <c r="J598" s="15" t="str">
        <f t="shared" ca="1" si="85"/>
        <v>I2C_Bridge_GPIO!A81</v>
      </c>
      <c r="K598" s="15" t="str">
        <f t="shared" ca="1" si="86"/>
        <v>I2C_Bridge_GPIO!B81</v>
      </c>
    </row>
    <row r="599" spans="1:16" x14ac:dyDescent="0.25">
      <c r="A599" s="3" t="str">
        <f t="shared" ca="1" si="82"/>
        <v/>
      </c>
      <c r="C599" s="16"/>
      <c r="G599" s="15">
        <f t="shared" ca="1" si="89"/>
        <v>82</v>
      </c>
      <c r="H599" s="15">
        <v>1</v>
      </c>
      <c r="I599" s="15" t="str">
        <f t="shared" ca="1" si="90"/>
        <v>I2C_Bridge_GPIO</v>
      </c>
      <c r="J599" s="15" t="str">
        <f t="shared" ca="1" si="85"/>
        <v>I2C_Bridge_GPIO!A82</v>
      </c>
      <c r="K599" s="15" t="str">
        <f t="shared" ca="1" si="86"/>
        <v>I2C_Bridge_GPIO!B82</v>
      </c>
    </row>
    <row r="600" spans="1:16" x14ac:dyDescent="0.25">
      <c r="A600" s="3" t="str">
        <f t="shared" ca="1" si="82"/>
        <v/>
      </c>
      <c r="G600" s="15">
        <f t="shared" ca="1" si="89"/>
        <v>83</v>
      </c>
      <c r="H600" s="15">
        <v>1</v>
      </c>
      <c r="I600" s="15" t="str">
        <f t="shared" ca="1" si="90"/>
        <v>I2C_Bridge_GPIO</v>
      </c>
      <c r="J600" s="15" t="str">
        <f t="shared" ca="1" si="85"/>
        <v>I2C_Bridge_GPIO!A83</v>
      </c>
      <c r="K600" s="15" t="str">
        <f t="shared" ca="1" si="86"/>
        <v>I2C_Bridge_GPIO!B83</v>
      </c>
    </row>
    <row r="601" spans="1:16" x14ac:dyDescent="0.25">
      <c r="A601" s="3" t="str">
        <f t="shared" ca="1" si="82"/>
        <v/>
      </c>
      <c r="G601" s="15">
        <f t="shared" ca="1" si="89"/>
        <v>84</v>
      </c>
      <c r="H601" s="15">
        <v>1</v>
      </c>
      <c r="I601" s="15" t="str">
        <f t="shared" ca="1" si="90"/>
        <v>I2C_Bridge_GPIO</v>
      </c>
      <c r="J601" s="15" t="str">
        <f t="shared" ca="1" si="85"/>
        <v>I2C_Bridge_GPIO!A84</v>
      </c>
      <c r="K601" s="15" t="str">
        <f t="shared" ca="1" si="86"/>
        <v>I2C_Bridge_GPIO!B84</v>
      </c>
    </row>
    <row r="602" spans="1:16" x14ac:dyDescent="0.25">
      <c r="A602" s="3" t="str">
        <f t="shared" ca="1" si="82"/>
        <v/>
      </c>
      <c r="G602" s="15">
        <f t="shared" ca="1" si="89"/>
        <v>85</v>
      </c>
      <c r="H602" s="15">
        <v>1</v>
      </c>
      <c r="I602" s="15" t="str">
        <f t="shared" ca="1" si="90"/>
        <v>I2C_Bridge_GPIO</v>
      </c>
      <c r="J602" s="15" t="str">
        <f t="shared" ca="1" si="85"/>
        <v>I2C_Bridge_GPIO!A85</v>
      </c>
      <c r="K602" s="15" t="str">
        <f t="shared" ca="1" si="86"/>
        <v>I2C_Bridge_GPIO!B85</v>
      </c>
    </row>
    <row r="603" spans="1:16" x14ac:dyDescent="0.25">
      <c r="A603" s="3" t="str">
        <f t="shared" ca="1" si="82"/>
        <v/>
      </c>
      <c r="G603" s="15">
        <f t="shared" ca="1" si="89"/>
        <v>86</v>
      </c>
      <c r="H603" s="15">
        <v>1</v>
      </c>
      <c r="I603" s="15" t="str">
        <f t="shared" ca="1" si="90"/>
        <v>I2C_Bridge_GPIO</v>
      </c>
      <c r="J603" s="15" t="str">
        <f t="shared" ca="1" si="85"/>
        <v>I2C_Bridge_GPIO!A86</v>
      </c>
      <c r="K603" s="15" t="str">
        <f t="shared" ca="1" si="86"/>
        <v>I2C_Bridge_GPIO!B86</v>
      </c>
    </row>
    <row r="604" spans="1:16" x14ac:dyDescent="0.25">
      <c r="A604" s="3" t="str">
        <f t="shared" ref="A604:A667" ca="1" si="91">IFERROR(IF(INDIRECT(J604)&lt;&gt;"",CONCATENATE(INDIRECT(J604)," = ",INDIRECT(K604)," "),""),"")</f>
        <v/>
      </c>
      <c r="G604" s="15">
        <f t="shared" ca="1" si="89"/>
        <v>87</v>
      </c>
      <c r="H604" s="15">
        <v>1</v>
      </c>
      <c r="I604" s="15" t="str">
        <f t="shared" ca="1" si="90"/>
        <v>I2C_Bridge_GPIO</v>
      </c>
      <c r="J604" s="15" t="str">
        <f t="shared" ca="1" si="85"/>
        <v>I2C_Bridge_GPIO!A87</v>
      </c>
      <c r="K604" s="15" t="str">
        <f t="shared" ca="1" si="86"/>
        <v>I2C_Bridge_GPIO!B87</v>
      </c>
    </row>
    <row r="605" spans="1:16" x14ac:dyDescent="0.25">
      <c r="A605" s="3" t="str">
        <f t="shared" ca="1" si="91"/>
        <v/>
      </c>
      <c r="G605" s="15">
        <f t="shared" ca="1" si="89"/>
        <v>88</v>
      </c>
      <c r="H605" s="15">
        <v>1</v>
      </c>
      <c r="I605" s="15" t="str">
        <f t="shared" ca="1" si="90"/>
        <v>I2C_Bridge_GPIO</v>
      </c>
      <c r="J605" s="15" t="str">
        <f t="shared" ca="1" si="85"/>
        <v>I2C_Bridge_GPIO!A88</v>
      </c>
      <c r="K605" s="15" t="str">
        <f t="shared" ca="1" si="86"/>
        <v>I2C_Bridge_GPIO!B88</v>
      </c>
    </row>
    <row r="606" spans="1:16" x14ac:dyDescent="0.25">
      <c r="A606" s="3" t="str">
        <f t="shared" ca="1" si="91"/>
        <v/>
      </c>
      <c r="G606" s="15">
        <f t="shared" ca="1" si="89"/>
        <v>89</v>
      </c>
      <c r="H606" s="15">
        <v>1</v>
      </c>
      <c r="I606" s="15" t="str">
        <f t="shared" ca="1" si="90"/>
        <v>I2C_Bridge_GPIO</v>
      </c>
      <c r="J606" s="15" t="str">
        <f t="shared" ca="1" si="85"/>
        <v>I2C_Bridge_GPIO!A89</v>
      </c>
      <c r="K606" s="15" t="str">
        <f t="shared" ca="1" si="86"/>
        <v>I2C_Bridge_GPIO!B89</v>
      </c>
    </row>
    <row r="607" spans="1:16" x14ac:dyDescent="0.25">
      <c r="A607" s="3" t="str">
        <f t="shared" ca="1" si="91"/>
        <v/>
      </c>
      <c r="G607" s="15">
        <f t="shared" ca="1" si="89"/>
        <v>90</v>
      </c>
      <c r="H607" s="15">
        <v>1</v>
      </c>
      <c r="I607" s="15" t="str">
        <f t="shared" ca="1" si="90"/>
        <v>I2C_Bridge_GPIO</v>
      </c>
      <c r="J607" s="15" t="str">
        <f t="shared" ca="1" si="85"/>
        <v>I2C_Bridge_GPIO!A90</v>
      </c>
      <c r="K607" s="15" t="str">
        <f t="shared" ca="1" si="86"/>
        <v>I2C_Bridge_GPIO!B90</v>
      </c>
    </row>
    <row r="608" spans="1:16" x14ac:dyDescent="0.25">
      <c r="A608" s="3" t="str">
        <f t="shared" ca="1" si="91"/>
        <v xml:space="preserve">#I2C_Expander_10:etap 2 =  </v>
      </c>
      <c r="G608" s="15">
        <f ca="1">INDIRECT(M608)</f>
        <v>71</v>
      </c>
      <c r="H608" s="15">
        <v>1</v>
      </c>
      <c r="I608" s="15" t="str">
        <f ca="1">INDIRECT(N608)</f>
        <v>I2C_Expander_10</v>
      </c>
      <c r="J608" s="15" t="str">
        <f t="shared" ca="1" si="85"/>
        <v>I2C_Expander_10!A71</v>
      </c>
      <c r="K608" s="15" t="str">
        <f t="shared" ca="1" si="86"/>
        <v>I2C_Expander_10!B71</v>
      </c>
      <c r="M608" s="15" t="str">
        <f>ADDRESS(O608,3,4,1,$R$1)</f>
        <v>konfig!C32</v>
      </c>
      <c r="N608" s="15" t="str">
        <f>ADDRESS(O608,1,4,1,$R$1)</f>
        <v>konfig!A32</v>
      </c>
      <c r="O608" s="15">
        <v>32</v>
      </c>
      <c r="P608" s="15">
        <v>4</v>
      </c>
    </row>
    <row r="609" spans="1:11" x14ac:dyDescent="0.25">
      <c r="A609" s="3" t="str">
        <f t="shared" ca="1" si="91"/>
        <v xml:space="preserve">device = MCP23017 </v>
      </c>
      <c r="G609" s="15">
        <f ca="1">G608+1</f>
        <v>72</v>
      </c>
      <c r="H609" s="15">
        <v>1</v>
      </c>
      <c r="I609" s="15" t="str">
        <f ca="1">I608</f>
        <v>I2C_Expander_10</v>
      </c>
      <c r="J609" s="15" t="str">
        <f t="shared" ca="1" si="85"/>
        <v>I2C_Expander_10!A72</v>
      </c>
      <c r="K609" s="15" t="str">
        <f t="shared" ca="1" si="86"/>
        <v>I2C_Expander_10!B72</v>
      </c>
    </row>
    <row r="610" spans="1:11" x14ac:dyDescent="0.25">
      <c r="A610" s="3" t="str">
        <f t="shared" ca="1" si="91"/>
        <v xml:space="preserve">i2c_addr = 0x20 </v>
      </c>
      <c r="G610" s="15">
        <f t="shared" ref="G610:G627" ca="1" si="92">G609+1</f>
        <v>73</v>
      </c>
      <c r="H610" s="15">
        <v>1</v>
      </c>
      <c r="I610" s="15" t="str">
        <f t="shared" ref="I610:I627" ca="1" si="93">I609</f>
        <v>I2C_Expander_10</v>
      </c>
      <c r="J610" s="15" t="str">
        <f t="shared" ca="1" si="85"/>
        <v>I2C_Expander_10!A73</v>
      </c>
      <c r="K610" s="15" t="str">
        <f t="shared" ca="1" si="86"/>
        <v>I2C_Expander_10!B73</v>
      </c>
    </row>
    <row r="611" spans="1:11" x14ac:dyDescent="0.25">
      <c r="A611" s="3" t="str">
        <f t="shared" ca="1" si="91"/>
        <v xml:space="preserve">i2c_num = /dev/i2c-1 </v>
      </c>
      <c r="C611" s="16"/>
      <c r="G611" s="15">
        <f t="shared" ca="1" si="92"/>
        <v>74</v>
      </c>
      <c r="H611" s="15">
        <v>1</v>
      </c>
      <c r="I611" s="15" t="str">
        <f t="shared" ca="1" si="93"/>
        <v>I2C_Expander_10</v>
      </c>
      <c r="J611" s="15" t="str">
        <f t="shared" ca="1" si="85"/>
        <v>I2C_Expander_10!A74</v>
      </c>
      <c r="K611" s="15" t="str">
        <f t="shared" ca="1" si="86"/>
        <v>I2C_Expander_10!B74</v>
      </c>
    </row>
    <row r="612" spans="1:11" x14ac:dyDescent="0.25">
      <c r="A612" s="3" t="str">
        <f t="shared" ca="1" si="91"/>
        <v xml:space="preserve">pins_mode = 0x1BFE </v>
      </c>
      <c r="G612" s="15">
        <f t="shared" ca="1" si="92"/>
        <v>75</v>
      </c>
      <c r="H612" s="15">
        <v>1</v>
      </c>
      <c r="I612" s="15" t="str">
        <f t="shared" ca="1" si="93"/>
        <v>I2C_Expander_10</v>
      </c>
      <c r="J612" s="15" t="str">
        <f t="shared" ca="1" si="85"/>
        <v>I2C_Expander_10!A75</v>
      </c>
      <c r="K612" s="15" t="str">
        <f t="shared" ca="1" si="86"/>
        <v>I2C_Expander_10!B75</v>
      </c>
    </row>
    <row r="613" spans="1:11" x14ac:dyDescent="0.25">
      <c r="A613" s="3" t="str">
        <f t="shared" ca="1" si="91"/>
        <v xml:space="preserve">pins_state = 0xE401 </v>
      </c>
      <c r="G613" s="15">
        <f t="shared" ca="1" si="92"/>
        <v>76</v>
      </c>
      <c r="H613" s="15">
        <v>1</v>
      </c>
      <c r="I613" s="15" t="str">
        <f t="shared" ca="1" si="93"/>
        <v>I2C_Expander_10</v>
      </c>
      <c r="J613" s="15" t="str">
        <f t="shared" ca="1" si="85"/>
        <v>I2C_Expander_10!A76</v>
      </c>
      <c r="K613" s="15" t="str">
        <f t="shared" ca="1" si="86"/>
        <v>I2C_Expander_10!B76</v>
      </c>
    </row>
    <row r="614" spans="1:11" x14ac:dyDescent="0.25">
      <c r="A614" s="3" t="str">
        <f t="shared" ca="1" si="91"/>
        <v xml:space="preserve">pins_pull_up = 0x0000 </v>
      </c>
      <c r="G614" s="15">
        <f t="shared" ca="1" si="92"/>
        <v>77</v>
      </c>
      <c r="H614" s="15">
        <v>1</v>
      </c>
      <c r="I614" s="15" t="str">
        <f t="shared" ca="1" si="93"/>
        <v>I2C_Expander_10</v>
      </c>
      <c r="J614" s="15" t="str">
        <f t="shared" ca="1" si="85"/>
        <v>I2C_Expander_10!A77</v>
      </c>
      <c r="K614" s="15" t="str">
        <f t="shared" ca="1" si="86"/>
        <v>I2C_Expander_10!B77</v>
      </c>
    </row>
    <row r="615" spans="1:11" x14ac:dyDescent="0.25">
      <c r="A615" s="3" t="str">
        <f t="shared" ca="1" si="91"/>
        <v xml:space="preserve">#pins_int = 0x0000 </v>
      </c>
      <c r="G615" s="15">
        <f t="shared" ca="1" si="92"/>
        <v>78</v>
      </c>
      <c r="H615" s="15">
        <v>1</v>
      </c>
      <c r="I615" s="15" t="str">
        <f t="shared" ca="1" si="93"/>
        <v>I2C_Expander_10</v>
      </c>
      <c r="J615" s="15" t="str">
        <f t="shared" ca="1" si="85"/>
        <v>I2C_Expander_10!A78</v>
      </c>
      <c r="K615" s="15" t="str">
        <f t="shared" ca="1" si="86"/>
        <v>I2C_Expander_10!B78</v>
      </c>
    </row>
    <row r="616" spans="1:11" x14ac:dyDescent="0.25">
      <c r="A616" s="3" t="str">
        <f t="shared" ca="1" si="91"/>
        <v xml:space="preserve">#pins_def_val = 0x0000 </v>
      </c>
      <c r="G616" s="15">
        <f t="shared" ca="1" si="92"/>
        <v>79</v>
      </c>
      <c r="H616" s="15">
        <v>1</v>
      </c>
      <c r="I616" s="15" t="str">
        <f t="shared" ca="1" si="93"/>
        <v>I2C_Expander_10</v>
      </c>
      <c r="J616" s="15" t="str">
        <f t="shared" ca="1" si="85"/>
        <v>I2C_Expander_10!A79</v>
      </c>
      <c r="K616" s="15" t="str">
        <f t="shared" ca="1" si="86"/>
        <v>I2C_Expander_10!B79</v>
      </c>
    </row>
    <row r="617" spans="1:11" x14ac:dyDescent="0.25">
      <c r="A617" s="3" t="str">
        <f t="shared" ca="1" si="91"/>
        <v/>
      </c>
      <c r="G617" s="15">
        <f t="shared" ca="1" si="92"/>
        <v>80</v>
      </c>
      <c r="H617" s="15">
        <v>1</v>
      </c>
      <c r="I617" s="15" t="str">
        <f t="shared" ca="1" si="93"/>
        <v>I2C_Expander_10</v>
      </c>
      <c r="J617" s="15" t="str">
        <f t="shared" ca="1" si="85"/>
        <v>I2C_Expander_10!A80</v>
      </c>
      <c r="K617" s="15" t="str">
        <f t="shared" ca="1" si="86"/>
        <v>I2C_Expander_10!B80</v>
      </c>
    </row>
    <row r="618" spans="1:11" x14ac:dyDescent="0.25">
      <c r="A618" s="3" t="str">
        <f t="shared" ca="1" si="91"/>
        <v xml:space="preserve">#pins_int = 10 </v>
      </c>
      <c r="G618" s="15">
        <f t="shared" ca="1" si="92"/>
        <v>81</v>
      </c>
      <c r="H618" s="15">
        <v>1</v>
      </c>
      <c r="I618" s="15" t="str">
        <f t="shared" ca="1" si="93"/>
        <v>I2C_Expander_10</v>
      </c>
      <c r="J618" s="15" t="str">
        <f t="shared" ca="1" si="85"/>
        <v>I2C_Expander_10!A81</v>
      </c>
      <c r="K618" s="15" t="str">
        <f t="shared" ca="1" si="86"/>
        <v>I2C_Expander_10!B81</v>
      </c>
    </row>
    <row r="619" spans="1:11" x14ac:dyDescent="0.25">
      <c r="A619" s="3" t="str">
        <f t="shared" ca="1" si="91"/>
        <v/>
      </c>
      <c r="C619" s="16"/>
      <c r="G619" s="15">
        <f t="shared" ca="1" si="92"/>
        <v>82</v>
      </c>
      <c r="H619" s="15">
        <v>1</v>
      </c>
      <c r="I619" s="15" t="str">
        <f t="shared" ca="1" si="93"/>
        <v>I2C_Expander_10</v>
      </c>
      <c r="J619" s="15" t="str">
        <f t="shared" ca="1" si="85"/>
        <v>I2C_Expander_10!A82</v>
      </c>
      <c r="K619" s="15" t="str">
        <f t="shared" ca="1" si="86"/>
        <v>I2C_Expander_10!B82</v>
      </c>
    </row>
    <row r="620" spans="1:11" x14ac:dyDescent="0.25">
      <c r="A620" s="3" t="str">
        <f t="shared" ca="1" si="91"/>
        <v/>
      </c>
      <c r="G620" s="15">
        <f t="shared" ca="1" si="92"/>
        <v>83</v>
      </c>
      <c r="H620" s="15">
        <v>1</v>
      </c>
      <c r="I620" s="15" t="str">
        <f t="shared" ca="1" si="93"/>
        <v>I2C_Expander_10</v>
      </c>
      <c r="J620" s="15" t="str">
        <f t="shared" ref="J620:J683" ca="1" si="94">ADDRESS(G620,H620,4,1,I620)</f>
        <v>I2C_Expander_10!A83</v>
      </c>
      <c r="K620" s="15" t="str">
        <f t="shared" ref="K620:K683" ca="1" si="95">ADDRESS(G620,H620+1,4,1,I620)</f>
        <v>I2C_Expander_10!B83</v>
      </c>
    </row>
    <row r="621" spans="1:11" x14ac:dyDescent="0.25">
      <c r="A621" s="3" t="str">
        <f t="shared" ca="1" si="91"/>
        <v/>
      </c>
      <c r="G621" s="15">
        <f t="shared" ca="1" si="92"/>
        <v>84</v>
      </c>
      <c r="H621" s="15">
        <v>1</v>
      </c>
      <c r="I621" s="15" t="str">
        <f t="shared" ca="1" si="93"/>
        <v>I2C_Expander_10</v>
      </c>
      <c r="J621" s="15" t="str">
        <f t="shared" ca="1" si="94"/>
        <v>I2C_Expander_10!A84</v>
      </c>
      <c r="K621" s="15" t="str">
        <f t="shared" ca="1" si="95"/>
        <v>I2C_Expander_10!B84</v>
      </c>
    </row>
    <row r="622" spans="1:11" x14ac:dyDescent="0.25">
      <c r="A622" s="3" t="str">
        <f t="shared" ca="1" si="91"/>
        <v/>
      </c>
      <c r="G622" s="15">
        <f t="shared" ca="1" si="92"/>
        <v>85</v>
      </c>
      <c r="H622" s="15">
        <v>1</v>
      </c>
      <c r="I622" s="15" t="str">
        <f t="shared" ca="1" si="93"/>
        <v>I2C_Expander_10</v>
      </c>
      <c r="J622" s="15" t="str">
        <f t="shared" ca="1" si="94"/>
        <v>I2C_Expander_10!A85</v>
      </c>
      <c r="K622" s="15" t="str">
        <f t="shared" ca="1" si="95"/>
        <v>I2C_Expander_10!B85</v>
      </c>
    </row>
    <row r="623" spans="1:11" x14ac:dyDescent="0.25">
      <c r="A623" s="3" t="str">
        <f t="shared" ca="1" si="91"/>
        <v/>
      </c>
      <c r="G623" s="15">
        <f t="shared" ca="1" si="92"/>
        <v>86</v>
      </c>
      <c r="H623" s="15">
        <v>1</v>
      </c>
      <c r="I623" s="15" t="str">
        <f t="shared" ca="1" si="93"/>
        <v>I2C_Expander_10</v>
      </c>
      <c r="J623" s="15" t="str">
        <f t="shared" ca="1" si="94"/>
        <v>I2C_Expander_10!A86</v>
      </c>
      <c r="K623" s="15" t="str">
        <f t="shared" ca="1" si="95"/>
        <v>I2C_Expander_10!B86</v>
      </c>
    </row>
    <row r="624" spans="1:11" x14ac:dyDescent="0.25">
      <c r="A624" s="3" t="str">
        <f t="shared" ca="1" si="91"/>
        <v/>
      </c>
      <c r="G624" s="15">
        <f t="shared" ca="1" si="92"/>
        <v>87</v>
      </c>
      <c r="H624" s="15">
        <v>1</v>
      </c>
      <c r="I624" s="15" t="str">
        <f t="shared" ca="1" si="93"/>
        <v>I2C_Expander_10</v>
      </c>
      <c r="J624" s="15" t="str">
        <f t="shared" ca="1" si="94"/>
        <v>I2C_Expander_10!A87</v>
      </c>
      <c r="K624" s="15" t="str">
        <f t="shared" ca="1" si="95"/>
        <v>I2C_Expander_10!B87</v>
      </c>
    </row>
    <row r="625" spans="1:16" x14ac:dyDescent="0.25">
      <c r="A625" s="3" t="str">
        <f t="shared" ca="1" si="91"/>
        <v/>
      </c>
      <c r="G625" s="15">
        <f t="shared" ca="1" si="92"/>
        <v>88</v>
      </c>
      <c r="H625" s="15">
        <v>1</v>
      </c>
      <c r="I625" s="15" t="str">
        <f t="shared" ca="1" si="93"/>
        <v>I2C_Expander_10</v>
      </c>
      <c r="J625" s="15" t="str">
        <f t="shared" ca="1" si="94"/>
        <v>I2C_Expander_10!A88</v>
      </c>
      <c r="K625" s="15" t="str">
        <f t="shared" ca="1" si="95"/>
        <v>I2C_Expander_10!B88</v>
      </c>
    </row>
    <row r="626" spans="1:16" x14ac:dyDescent="0.25">
      <c r="A626" s="3" t="str">
        <f t="shared" ca="1" si="91"/>
        <v/>
      </c>
      <c r="G626" s="15">
        <f t="shared" ca="1" si="92"/>
        <v>89</v>
      </c>
      <c r="H626" s="15">
        <v>1</v>
      </c>
      <c r="I626" s="15" t="str">
        <f t="shared" ca="1" si="93"/>
        <v>I2C_Expander_10</v>
      </c>
      <c r="J626" s="15" t="str">
        <f t="shared" ca="1" si="94"/>
        <v>I2C_Expander_10!A89</v>
      </c>
      <c r="K626" s="15" t="str">
        <f t="shared" ca="1" si="95"/>
        <v>I2C_Expander_10!B89</v>
      </c>
    </row>
    <row r="627" spans="1:16" x14ac:dyDescent="0.25">
      <c r="A627" s="3" t="str">
        <f t="shared" ca="1" si="91"/>
        <v/>
      </c>
      <c r="G627" s="15">
        <f t="shared" ca="1" si="92"/>
        <v>90</v>
      </c>
      <c r="H627" s="15">
        <v>1</v>
      </c>
      <c r="I627" s="15" t="str">
        <f t="shared" ca="1" si="93"/>
        <v>I2C_Expander_10</v>
      </c>
      <c r="J627" s="15" t="str">
        <f t="shared" ca="1" si="94"/>
        <v>I2C_Expander_10!A90</v>
      </c>
      <c r="K627" s="15" t="str">
        <f t="shared" ca="1" si="95"/>
        <v>I2C_Expander_10!B90</v>
      </c>
    </row>
    <row r="628" spans="1:16" x14ac:dyDescent="0.25">
      <c r="A628" s="3" t="str">
        <f t="shared" ca="1" si="91"/>
        <v xml:space="preserve">#I2C_Expander_11:etap 2 =  </v>
      </c>
      <c r="G628" s="15">
        <f ca="1">INDIRECT(M628)</f>
        <v>71</v>
      </c>
      <c r="H628" s="15">
        <v>1</v>
      </c>
      <c r="I628" s="15" t="str">
        <f ca="1">INDIRECT(N628)</f>
        <v>I2C_Expander_11</v>
      </c>
      <c r="J628" s="15" t="str">
        <f t="shared" ca="1" si="94"/>
        <v>I2C_Expander_11!A71</v>
      </c>
      <c r="K628" s="15" t="str">
        <f t="shared" ca="1" si="95"/>
        <v>I2C_Expander_11!B71</v>
      </c>
      <c r="M628" s="15" t="str">
        <f>ADDRESS(O628,3,4,1,$R$1)</f>
        <v>konfig!C33</v>
      </c>
      <c r="N628" s="15" t="str">
        <f>ADDRESS(O628,1,4,1,$R$1)</f>
        <v>konfig!A33</v>
      </c>
      <c r="O628" s="15">
        <v>33</v>
      </c>
      <c r="P628" s="15">
        <v>4</v>
      </c>
    </row>
    <row r="629" spans="1:16" x14ac:dyDescent="0.25">
      <c r="A629" s="3" t="str">
        <f t="shared" ca="1" si="91"/>
        <v xml:space="preserve">device = MCP23017 </v>
      </c>
      <c r="G629" s="15">
        <f ca="1">G628+1</f>
        <v>72</v>
      </c>
      <c r="H629" s="15">
        <v>1</v>
      </c>
      <c r="I629" s="15" t="str">
        <f ca="1">I628</f>
        <v>I2C_Expander_11</v>
      </c>
      <c r="J629" s="15" t="str">
        <f t="shared" ca="1" si="94"/>
        <v>I2C_Expander_11!A72</v>
      </c>
      <c r="K629" s="15" t="str">
        <f t="shared" ca="1" si="95"/>
        <v>I2C_Expander_11!B72</v>
      </c>
    </row>
    <row r="630" spans="1:16" x14ac:dyDescent="0.25">
      <c r="A630" s="3" t="str">
        <f t="shared" ca="1" si="91"/>
        <v xml:space="preserve">i2c_addr = 0x21 </v>
      </c>
      <c r="G630" s="15">
        <f t="shared" ref="G630:G647" ca="1" si="96">G629+1</f>
        <v>73</v>
      </c>
      <c r="H630" s="15">
        <v>1</v>
      </c>
      <c r="I630" s="15" t="str">
        <f t="shared" ref="I630:I647" ca="1" si="97">I629</f>
        <v>I2C_Expander_11</v>
      </c>
      <c r="J630" s="15" t="str">
        <f t="shared" ca="1" si="94"/>
        <v>I2C_Expander_11!A73</v>
      </c>
      <c r="K630" s="15" t="str">
        <f t="shared" ca="1" si="95"/>
        <v>I2C_Expander_11!B73</v>
      </c>
    </row>
    <row r="631" spans="1:16" x14ac:dyDescent="0.25">
      <c r="A631" s="3" t="str">
        <f t="shared" ca="1" si="91"/>
        <v xml:space="preserve">i2c_num = /dev/i2c-1 </v>
      </c>
      <c r="C631" s="16"/>
      <c r="G631" s="15">
        <f t="shared" ca="1" si="96"/>
        <v>74</v>
      </c>
      <c r="H631" s="15">
        <v>1</v>
      </c>
      <c r="I631" s="15" t="str">
        <f t="shared" ca="1" si="97"/>
        <v>I2C_Expander_11</v>
      </c>
      <c r="J631" s="15" t="str">
        <f t="shared" ca="1" si="94"/>
        <v>I2C_Expander_11!A74</v>
      </c>
      <c r="K631" s="15" t="str">
        <f t="shared" ca="1" si="95"/>
        <v>I2C_Expander_11!B74</v>
      </c>
    </row>
    <row r="632" spans="1:16" x14ac:dyDescent="0.25">
      <c r="A632" s="3" t="str">
        <f t="shared" ca="1" si="91"/>
        <v xml:space="preserve">pins_mode = 0x7450 </v>
      </c>
      <c r="G632" s="15">
        <f t="shared" ca="1" si="96"/>
        <v>75</v>
      </c>
      <c r="H632" s="15">
        <v>1</v>
      </c>
      <c r="I632" s="15" t="str">
        <f t="shared" ca="1" si="97"/>
        <v>I2C_Expander_11</v>
      </c>
      <c r="J632" s="15" t="str">
        <f t="shared" ca="1" si="94"/>
        <v>I2C_Expander_11!A75</v>
      </c>
      <c r="K632" s="15" t="str">
        <f t="shared" ca="1" si="95"/>
        <v>I2C_Expander_11!B75</v>
      </c>
    </row>
    <row r="633" spans="1:16" x14ac:dyDescent="0.25">
      <c r="A633" s="3" t="str">
        <f t="shared" ca="1" si="91"/>
        <v xml:space="preserve">pins_state = 0x0BAF </v>
      </c>
      <c r="G633" s="15">
        <f t="shared" ca="1" si="96"/>
        <v>76</v>
      </c>
      <c r="H633" s="15">
        <v>1</v>
      </c>
      <c r="I633" s="15" t="str">
        <f t="shared" ca="1" si="97"/>
        <v>I2C_Expander_11</v>
      </c>
      <c r="J633" s="15" t="str">
        <f t="shared" ca="1" si="94"/>
        <v>I2C_Expander_11!A76</v>
      </c>
      <c r="K633" s="15" t="str">
        <f t="shared" ca="1" si="95"/>
        <v>I2C_Expander_11!B76</v>
      </c>
    </row>
    <row r="634" spans="1:16" x14ac:dyDescent="0.25">
      <c r="A634" s="3" t="str">
        <f t="shared" ca="1" si="91"/>
        <v xml:space="preserve">pins_pull_up = 0x0000 </v>
      </c>
      <c r="G634" s="15">
        <f t="shared" ca="1" si="96"/>
        <v>77</v>
      </c>
      <c r="H634" s="15">
        <v>1</v>
      </c>
      <c r="I634" s="15" t="str">
        <f t="shared" ca="1" si="97"/>
        <v>I2C_Expander_11</v>
      </c>
      <c r="J634" s="15" t="str">
        <f t="shared" ca="1" si="94"/>
        <v>I2C_Expander_11!A77</v>
      </c>
      <c r="K634" s="15" t="str">
        <f t="shared" ca="1" si="95"/>
        <v>I2C_Expander_11!B77</v>
      </c>
    </row>
    <row r="635" spans="1:16" x14ac:dyDescent="0.25">
      <c r="A635" s="3" t="str">
        <f t="shared" ca="1" si="91"/>
        <v xml:space="preserve">#pins_int = 0x0000 </v>
      </c>
      <c r="G635" s="15">
        <f t="shared" ca="1" si="96"/>
        <v>78</v>
      </c>
      <c r="H635" s="15">
        <v>1</v>
      </c>
      <c r="I635" s="15" t="str">
        <f t="shared" ca="1" si="97"/>
        <v>I2C_Expander_11</v>
      </c>
      <c r="J635" s="15" t="str">
        <f t="shared" ca="1" si="94"/>
        <v>I2C_Expander_11!A78</v>
      </c>
      <c r="K635" s="15" t="str">
        <f t="shared" ca="1" si="95"/>
        <v>I2C_Expander_11!B78</v>
      </c>
    </row>
    <row r="636" spans="1:16" x14ac:dyDescent="0.25">
      <c r="A636" s="3" t="str">
        <f t="shared" ca="1" si="91"/>
        <v xml:space="preserve">#pins_def_val = 0x0000 </v>
      </c>
      <c r="G636" s="15">
        <f t="shared" ca="1" si="96"/>
        <v>79</v>
      </c>
      <c r="H636" s="15">
        <v>1</v>
      </c>
      <c r="I636" s="15" t="str">
        <f t="shared" ca="1" si="97"/>
        <v>I2C_Expander_11</v>
      </c>
      <c r="J636" s="15" t="str">
        <f t="shared" ca="1" si="94"/>
        <v>I2C_Expander_11!A79</v>
      </c>
      <c r="K636" s="15" t="str">
        <f t="shared" ca="1" si="95"/>
        <v>I2C_Expander_11!B79</v>
      </c>
    </row>
    <row r="637" spans="1:16" x14ac:dyDescent="0.25">
      <c r="A637" s="3" t="str">
        <f t="shared" ca="1" si="91"/>
        <v/>
      </c>
      <c r="G637" s="15">
        <f t="shared" ca="1" si="96"/>
        <v>80</v>
      </c>
      <c r="H637" s="15">
        <v>1</v>
      </c>
      <c r="I637" s="15" t="str">
        <f t="shared" ca="1" si="97"/>
        <v>I2C_Expander_11</v>
      </c>
      <c r="J637" s="15" t="str">
        <f t="shared" ca="1" si="94"/>
        <v>I2C_Expander_11!A80</v>
      </c>
      <c r="K637" s="15" t="str">
        <f t="shared" ca="1" si="95"/>
        <v>I2C_Expander_11!B80</v>
      </c>
    </row>
    <row r="638" spans="1:16" x14ac:dyDescent="0.25">
      <c r="A638" s="3" t="str">
        <f t="shared" ca="1" si="91"/>
        <v xml:space="preserve">#pins_int = 10 </v>
      </c>
      <c r="G638" s="15">
        <f t="shared" ca="1" si="96"/>
        <v>81</v>
      </c>
      <c r="H638" s="15">
        <v>1</v>
      </c>
      <c r="I638" s="15" t="str">
        <f t="shared" ca="1" si="97"/>
        <v>I2C_Expander_11</v>
      </c>
      <c r="J638" s="15" t="str">
        <f t="shared" ca="1" si="94"/>
        <v>I2C_Expander_11!A81</v>
      </c>
      <c r="K638" s="15" t="str">
        <f t="shared" ca="1" si="95"/>
        <v>I2C_Expander_11!B81</v>
      </c>
    </row>
    <row r="639" spans="1:16" x14ac:dyDescent="0.25">
      <c r="A639" s="3" t="str">
        <f t="shared" ca="1" si="91"/>
        <v/>
      </c>
      <c r="C639" s="16"/>
      <c r="G639" s="15">
        <f t="shared" ca="1" si="96"/>
        <v>82</v>
      </c>
      <c r="H639" s="15">
        <v>1</v>
      </c>
      <c r="I639" s="15" t="str">
        <f t="shared" ca="1" si="97"/>
        <v>I2C_Expander_11</v>
      </c>
      <c r="J639" s="15" t="str">
        <f t="shared" ca="1" si="94"/>
        <v>I2C_Expander_11!A82</v>
      </c>
      <c r="K639" s="15" t="str">
        <f t="shared" ca="1" si="95"/>
        <v>I2C_Expander_11!B82</v>
      </c>
    </row>
    <row r="640" spans="1:16" x14ac:dyDescent="0.25">
      <c r="A640" s="3" t="str">
        <f t="shared" ca="1" si="91"/>
        <v/>
      </c>
      <c r="G640" s="15">
        <f t="shared" ca="1" si="96"/>
        <v>83</v>
      </c>
      <c r="H640" s="15">
        <v>1</v>
      </c>
      <c r="I640" s="15" t="str">
        <f t="shared" ca="1" si="97"/>
        <v>I2C_Expander_11</v>
      </c>
      <c r="J640" s="15" t="str">
        <f t="shared" ca="1" si="94"/>
        <v>I2C_Expander_11!A83</v>
      </c>
      <c r="K640" s="15" t="str">
        <f t="shared" ca="1" si="95"/>
        <v>I2C_Expander_11!B83</v>
      </c>
    </row>
    <row r="641" spans="1:16" x14ac:dyDescent="0.25">
      <c r="A641" s="3" t="str">
        <f t="shared" ca="1" si="91"/>
        <v/>
      </c>
      <c r="G641" s="15">
        <f t="shared" ca="1" si="96"/>
        <v>84</v>
      </c>
      <c r="H641" s="15">
        <v>1</v>
      </c>
      <c r="I641" s="15" t="str">
        <f t="shared" ca="1" si="97"/>
        <v>I2C_Expander_11</v>
      </c>
      <c r="J641" s="15" t="str">
        <f t="shared" ca="1" si="94"/>
        <v>I2C_Expander_11!A84</v>
      </c>
      <c r="K641" s="15" t="str">
        <f t="shared" ca="1" si="95"/>
        <v>I2C_Expander_11!B84</v>
      </c>
    </row>
    <row r="642" spans="1:16" x14ac:dyDescent="0.25">
      <c r="A642" s="3" t="str">
        <f t="shared" ca="1" si="91"/>
        <v/>
      </c>
      <c r="G642" s="15">
        <f t="shared" ca="1" si="96"/>
        <v>85</v>
      </c>
      <c r="H642" s="15">
        <v>1</v>
      </c>
      <c r="I642" s="15" t="str">
        <f t="shared" ca="1" si="97"/>
        <v>I2C_Expander_11</v>
      </c>
      <c r="J642" s="15" t="str">
        <f t="shared" ca="1" si="94"/>
        <v>I2C_Expander_11!A85</v>
      </c>
      <c r="K642" s="15" t="str">
        <f t="shared" ca="1" si="95"/>
        <v>I2C_Expander_11!B85</v>
      </c>
    </row>
    <row r="643" spans="1:16" x14ac:dyDescent="0.25">
      <c r="A643" s="3" t="str">
        <f t="shared" ca="1" si="91"/>
        <v/>
      </c>
      <c r="G643" s="15">
        <f t="shared" ca="1" si="96"/>
        <v>86</v>
      </c>
      <c r="H643" s="15">
        <v>1</v>
      </c>
      <c r="I643" s="15" t="str">
        <f t="shared" ca="1" si="97"/>
        <v>I2C_Expander_11</v>
      </c>
      <c r="J643" s="15" t="str">
        <f t="shared" ca="1" si="94"/>
        <v>I2C_Expander_11!A86</v>
      </c>
      <c r="K643" s="15" t="str">
        <f t="shared" ca="1" si="95"/>
        <v>I2C_Expander_11!B86</v>
      </c>
    </row>
    <row r="644" spans="1:16" x14ac:dyDescent="0.25">
      <c r="A644" s="3" t="str">
        <f t="shared" ca="1" si="91"/>
        <v/>
      </c>
      <c r="G644" s="15">
        <f t="shared" ca="1" si="96"/>
        <v>87</v>
      </c>
      <c r="H644" s="15">
        <v>1</v>
      </c>
      <c r="I644" s="15" t="str">
        <f t="shared" ca="1" si="97"/>
        <v>I2C_Expander_11</v>
      </c>
      <c r="J644" s="15" t="str">
        <f t="shared" ca="1" si="94"/>
        <v>I2C_Expander_11!A87</v>
      </c>
      <c r="K644" s="15" t="str">
        <f t="shared" ca="1" si="95"/>
        <v>I2C_Expander_11!B87</v>
      </c>
    </row>
    <row r="645" spans="1:16" x14ac:dyDescent="0.25">
      <c r="A645" s="3" t="str">
        <f t="shared" ca="1" si="91"/>
        <v/>
      </c>
      <c r="G645" s="15">
        <f t="shared" ca="1" si="96"/>
        <v>88</v>
      </c>
      <c r="H645" s="15">
        <v>1</v>
      </c>
      <c r="I645" s="15" t="str">
        <f t="shared" ca="1" si="97"/>
        <v>I2C_Expander_11</v>
      </c>
      <c r="J645" s="15" t="str">
        <f t="shared" ca="1" si="94"/>
        <v>I2C_Expander_11!A88</v>
      </c>
      <c r="K645" s="15" t="str">
        <f t="shared" ca="1" si="95"/>
        <v>I2C_Expander_11!B88</v>
      </c>
    </row>
    <row r="646" spans="1:16" x14ac:dyDescent="0.25">
      <c r="A646" s="3" t="str">
        <f t="shared" ca="1" si="91"/>
        <v/>
      </c>
      <c r="G646" s="15">
        <f t="shared" ca="1" si="96"/>
        <v>89</v>
      </c>
      <c r="H646" s="15">
        <v>1</v>
      </c>
      <c r="I646" s="15" t="str">
        <f t="shared" ca="1" si="97"/>
        <v>I2C_Expander_11</v>
      </c>
      <c r="J646" s="15" t="str">
        <f t="shared" ca="1" si="94"/>
        <v>I2C_Expander_11!A89</v>
      </c>
      <c r="K646" s="15" t="str">
        <f t="shared" ca="1" si="95"/>
        <v>I2C_Expander_11!B89</v>
      </c>
    </row>
    <row r="647" spans="1:16" x14ac:dyDescent="0.25">
      <c r="A647" s="3" t="str">
        <f t="shared" ca="1" si="91"/>
        <v/>
      </c>
      <c r="G647" s="15">
        <f t="shared" ca="1" si="96"/>
        <v>90</v>
      </c>
      <c r="H647" s="15">
        <v>1</v>
      </c>
      <c r="I647" s="15" t="str">
        <f t="shared" ca="1" si="97"/>
        <v>I2C_Expander_11</v>
      </c>
      <c r="J647" s="15" t="str">
        <f t="shared" ca="1" si="94"/>
        <v>I2C_Expander_11!A90</v>
      </c>
      <c r="K647" s="15" t="str">
        <f t="shared" ca="1" si="95"/>
        <v>I2C_Expander_11!B90</v>
      </c>
    </row>
    <row r="648" spans="1:16" x14ac:dyDescent="0.25">
      <c r="A648" s="3" t="str">
        <f t="shared" ca="1" si="91"/>
        <v xml:space="preserve">#I2C_Expander_12:etap 2 =  </v>
      </c>
      <c r="G648" s="15">
        <f ca="1">INDIRECT(M648)</f>
        <v>71</v>
      </c>
      <c r="H648" s="15">
        <v>1</v>
      </c>
      <c r="I648" s="15" t="str">
        <f ca="1">INDIRECT(N648)</f>
        <v>I2C_Expander_12</v>
      </c>
      <c r="J648" s="15" t="str">
        <f t="shared" ca="1" si="94"/>
        <v>I2C_Expander_12!A71</v>
      </c>
      <c r="K648" s="15" t="str">
        <f t="shared" ca="1" si="95"/>
        <v>I2C_Expander_12!B71</v>
      </c>
      <c r="M648" s="15" t="str">
        <f>ADDRESS(O648,3,4,1,$R$1)</f>
        <v>konfig!C34</v>
      </c>
      <c r="N648" s="15" t="str">
        <f>ADDRESS(O648,1,4,1,$R$1)</f>
        <v>konfig!A34</v>
      </c>
      <c r="O648" s="15">
        <v>34</v>
      </c>
      <c r="P648" s="15">
        <v>4</v>
      </c>
    </row>
    <row r="649" spans="1:16" x14ac:dyDescent="0.25">
      <c r="A649" s="3" t="str">
        <f t="shared" ca="1" si="91"/>
        <v xml:space="preserve">device = MCP23017 </v>
      </c>
      <c r="G649" s="15">
        <f ca="1">G648+1</f>
        <v>72</v>
      </c>
      <c r="H649" s="15">
        <v>1</v>
      </c>
      <c r="I649" s="15" t="str">
        <f ca="1">I648</f>
        <v>I2C_Expander_12</v>
      </c>
      <c r="J649" s="15" t="str">
        <f t="shared" ca="1" si="94"/>
        <v>I2C_Expander_12!A72</v>
      </c>
      <c r="K649" s="15" t="str">
        <f t="shared" ca="1" si="95"/>
        <v>I2C_Expander_12!B72</v>
      </c>
    </row>
    <row r="650" spans="1:16" x14ac:dyDescent="0.25">
      <c r="A650" s="3" t="str">
        <f t="shared" ca="1" si="91"/>
        <v xml:space="preserve">i2c_addr = 0x22 </v>
      </c>
      <c r="G650" s="15">
        <f t="shared" ref="G650:G667" ca="1" si="98">G649+1</f>
        <v>73</v>
      </c>
      <c r="H650" s="15">
        <v>1</v>
      </c>
      <c r="I650" s="15" t="str">
        <f t="shared" ref="I650:I667" ca="1" si="99">I649</f>
        <v>I2C_Expander_12</v>
      </c>
      <c r="J650" s="15" t="str">
        <f t="shared" ca="1" si="94"/>
        <v>I2C_Expander_12!A73</v>
      </c>
      <c r="K650" s="15" t="str">
        <f t="shared" ca="1" si="95"/>
        <v>I2C_Expander_12!B73</v>
      </c>
    </row>
    <row r="651" spans="1:16" x14ac:dyDescent="0.25">
      <c r="A651" s="3" t="str">
        <f t="shared" ca="1" si="91"/>
        <v xml:space="preserve">i2c_num = /dev/i2c-1 </v>
      </c>
      <c r="C651" s="16"/>
      <c r="G651" s="15">
        <f t="shared" ca="1" si="98"/>
        <v>74</v>
      </c>
      <c r="H651" s="15">
        <v>1</v>
      </c>
      <c r="I651" s="15" t="str">
        <f t="shared" ca="1" si="99"/>
        <v>I2C_Expander_12</v>
      </c>
      <c r="J651" s="15" t="str">
        <f t="shared" ca="1" si="94"/>
        <v>I2C_Expander_12!A74</v>
      </c>
      <c r="K651" s="15" t="str">
        <f t="shared" ca="1" si="95"/>
        <v>I2C_Expander_12!B74</v>
      </c>
    </row>
    <row r="652" spans="1:16" x14ac:dyDescent="0.25">
      <c r="A652" s="3" t="str">
        <f t="shared" ca="1" si="91"/>
        <v xml:space="preserve">pins_mode = 0xFFFF </v>
      </c>
      <c r="G652" s="15">
        <f t="shared" ca="1" si="98"/>
        <v>75</v>
      </c>
      <c r="H652" s="15">
        <v>1</v>
      </c>
      <c r="I652" s="15" t="str">
        <f t="shared" ca="1" si="99"/>
        <v>I2C_Expander_12</v>
      </c>
      <c r="J652" s="15" t="str">
        <f t="shared" ca="1" si="94"/>
        <v>I2C_Expander_12!A75</v>
      </c>
      <c r="K652" s="15" t="str">
        <f t="shared" ca="1" si="95"/>
        <v>I2C_Expander_12!B75</v>
      </c>
    </row>
    <row r="653" spans="1:16" x14ac:dyDescent="0.25">
      <c r="A653" s="3" t="str">
        <f t="shared" ca="1" si="91"/>
        <v xml:space="preserve">pins_state = 0x0000 </v>
      </c>
      <c r="G653" s="15">
        <f t="shared" ca="1" si="98"/>
        <v>76</v>
      </c>
      <c r="H653" s="15">
        <v>1</v>
      </c>
      <c r="I653" s="15" t="str">
        <f t="shared" ca="1" si="99"/>
        <v>I2C_Expander_12</v>
      </c>
      <c r="J653" s="15" t="str">
        <f t="shared" ca="1" si="94"/>
        <v>I2C_Expander_12!A76</v>
      </c>
      <c r="K653" s="15" t="str">
        <f t="shared" ca="1" si="95"/>
        <v>I2C_Expander_12!B76</v>
      </c>
    </row>
    <row r="654" spans="1:16" x14ac:dyDescent="0.25">
      <c r="A654" s="3" t="str">
        <f t="shared" ca="1" si="91"/>
        <v xml:space="preserve">pins_pull_up = 0x84C0 </v>
      </c>
      <c r="G654" s="15">
        <f t="shared" ca="1" si="98"/>
        <v>77</v>
      </c>
      <c r="H654" s="15">
        <v>1</v>
      </c>
      <c r="I654" s="15" t="str">
        <f t="shared" ca="1" si="99"/>
        <v>I2C_Expander_12</v>
      </c>
      <c r="J654" s="15" t="str">
        <f t="shared" ca="1" si="94"/>
        <v>I2C_Expander_12!A77</v>
      </c>
      <c r="K654" s="15" t="str">
        <f t="shared" ca="1" si="95"/>
        <v>I2C_Expander_12!B77</v>
      </c>
    </row>
    <row r="655" spans="1:16" x14ac:dyDescent="0.25">
      <c r="A655" s="3" t="str">
        <f t="shared" ca="1" si="91"/>
        <v xml:space="preserve">#pins_int = 0x0000 </v>
      </c>
      <c r="G655" s="15">
        <f t="shared" ca="1" si="98"/>
        <v>78</v>
      </c>
      <c r="H655" s="15">
        <v>1</v>
      </c>
      <c r="I655" s="15" t="str">
        <f t="shared" ca="1" si="99"/>
        <v>I2C_Expander_12</v>
      </c>
      <c r="J655" s="15" t="str">
        <f t="shared" ca="1" si="94"/>
        <v>I2C_Expander_12!A78</v>
      </c>
      <c r="K655" s="15" t="str">
        <f t="shared" ca="1" si="95"/>
        <v>I2C_Expander_12!B78</v>
      </c>
    </row>
    <row r="656" spans="1:16" x14ac:dyDescent="0.25">
      <c r="A656" s="3" t="str">
        <f t="shared" ca="1" si="91"/>
        <v xml:space="preserve">#pins_def_val = 0x0000 </v>
      </c>
      <c r="G656" s="15">
        <f t="shared" ca="1" si="98"/>
        <v>79</v>
      </c>
      <c r="H656" s="15">
        <v>1</v>
      </c>
      <c r="I656" s="15" t="str">
        <f t="shared" ca="1" si="99"/>
        <v>I2C_Expander_12</v>
      </c>
      <c r="J656" s="15" t="str">
        <f t="shared" ca="1" si="94"/>
        <v>I2C_Expander_12!A79</v>
      </c>
      <c r="K656" s="15" t="str">
        <f t="shared" ca="1" si="95"/>
        <v>I2C_Expander_12!B79</v>
      </c>
    </row>
    <row r="657" spans="1:16" x14ac:dyDescent="0.25">
      <c r="A657" s="3" t="str">
        <f t="shared" ca="1" si="91"/>
        <v/>
      </c>
      <c r="G657" s="15">
        <f t="shared" ca="1" si="98"/>
        <v>80</v>
      </c>
      <c r="H657" s="15">
        <v>1</v>
      </c>
      <c r="I657" s="15" t="str">
        <f t="shared" ca="1" si="99"/>
        <v>I2C_Expander_12</v>
      </c>
      <c r="J657" s="15" t="str">
        <f t="shared" ca="1" si="94"/>
        <v>I2C_Expander_12!A80</v>
      </c>
      <c r="K657" s="15" t="str">
        <f t="shared" ca="1" si="95"/>
        <v>I2C_Expander_12!B80</v>
      </c>
    </row>
    <row r="658" spans="1:16" x14ac:dyDescent="0.25">
      <c r="A658" s="3" t="str">
        <f t="shared" ca="1" si="91"/>
        <v xml:space="preserve">#pins_int = 10 </v>
      </c>
      <c r="G658" s="15">
        <f t="shared" ca="1" si="98"/>
        <v>81</v>
      </c>
      <c r="H658" s="15">
        <v>1</v>
      </c>
      <c r="I658" s="15" t="str">
        <f t="shared" ca="1" si="99"/>
        <v>I2C_Expander_12</v>
      </c>
      <c r="J658" s="15" t="str">
        <f t="shared" ca="1" si="94"/>
        <v>I2C_Expander_12!A81</v>
      </c>
      <c r="K658" s="15" t="str">
        <f t="shared" ca="1" si="95"/>
        <v>I2C_Expander_12!B81</v>
      </c>
    </row>
    <row r="659" spans="1:16" x14ac:dyDescent="0.25">
      <c r="A659" s="3" t="str">
        <f t="shared" ca="1" si="91"/>
        <v/>
      </c>
      <c r="C659" s="16"/>
      <c r="G659" s="15">
        <f t="shared" ca="1" si="98"/>
        <v>82</v>
      </c>
      <c r="H659" s="15">
        <v>1</v>
      </c>
      <c r="I659" s="15" t="str">
        <f t="shared" ca="1" si="99"/>
        <v>I2C_Expander_12</v>
      </c>
      <c r="J659" s="15" t="str">
        <f t="shared" ca="1" si="94"/>
        <v>I2C_Expander_12!A82</v>
      </c>
      <c r="K659" s="15" t="str">
        <f t="shared" ca="1" si="95"/>
        <v>I2C_Expander_12!B82</v>
      </c>
    </row>
    <row r="660" spans="1:16" x14ac:dyDescent="0.25">
      <c r="A660" s="3" t="str">
        <f t="shared" ca="1" si="91"/>
        <v/>
      </c>
      <c r="G660" s="15">
        <f t="shared" ca="1" si="98"/>
        <v>83</v>
      </c>
      <c r="H660" s="15">
        <v>1</v>
      </c>
      <c r="I660" s="15" t="str">
        <f t="shared" ca="1" si="99"/>
        <v>I2C_Expander_12</v>
      </c>
      <c r="J660" s="15" t="str">
        <f t="shared" ca="1" si="94"/>
        <v>I2C_Expander_12!A83</v>
      </c>
      <c r="K660" s="15" t="str">
        <f t="shared" ca="1" si="95"/>
        <v>I2C_Expander_12!B83</v>
      </c>
    </row>
    <row r="661" spans="1:16" x14ac:dyDescent="0.25">
      <c r="A661" s="3" t="str">
        <f t="shared" ca="1" si="91"/>
        <v/>
      </c>
      <c r="G661" s="15">
        <f t="shared" ca="1" si="98"/>
        <v>84</v>
      </c>
      <c r="H661" s="15">
        <v>1</v>
      </c>
      <c r="I661" s="15" t="str">
        <f t="shared" ca="1" si="99"/>
        <v>I2C_Expander_12</v>
      </c>
      <c r="J661" s="15" t="str">
        <f t="shared" ca="1" si="94"/>
        <v>I2C_Expander_12!A84</v>
      </c>
      <c r="K661" s="15" t="str">
        <f t="shared" ca="1" si="95"/>
        <v>I2C_Expander_12!B84</v>
      </c>
    </row>
    <row r="662" spans="1:16" x14ac:dyDescent="0.25">
      <c r="A662" s="3" t="str">
        <f t="shared" ca="1" si="91"/>
        <v/>
      </c>
      <c r="G662" s="15">
        <f t="shared" ca="1" si="98"/>
        <v>85</v>
      </c>
      <c r="H662" s="15">
        <v>1</v>
      </c>
      <c r="I662" s="15" t="str">
        <f t="shared" ca="1" si="99"/>
        <v>I2C_Expander_12</v>
      </c>
      <c r="J662" s="15" t="str">
        <f t="shared" ca="1" si="94"/>
        <v>I2C_Expander_12!A85</v>
      </c>
      <c r="K662" s="15" t="str">
        <f t="shared" ca="1" si="95"/>
        <v>I2C_Expander_12!B85</v>
      </c>
    </row>
    <row r="663" spans="1:16" x14ac:dyDescent="0.25">
      <c r="A663" s="3" t="str">
        <f t="shared" ca="1" si="91"/>
        <v/>
      </c>
      <c r="G663" s="15">
        <f t="shared" ca="1" si="98"/>
        <v>86</v>
      </c>
      <c r="H663" s="15">
        <v>1</v>
      </c>
      <c r="I663" s="15" t="str">
        <f t="shared" ca="1" si="99"/>
        <v>I2C_Expander_12</v>
      </c>
      <c r="J663" s="15" t="str">
        <f t="shared" ca="1" si="94"/>
        <v>I2C_Expander_12!A86</v>
      </c>
      <c r="K663" s="15" t="str">
        <f t="shared" ca="1" si="95"/>
        <v>I2C_Expander_12!B86</v>
      </c>
    </row>
    <row r="664" spans="1:16" x14ac:dyDescent="0.25">
      <c r="A664" s="3" t="str">
        <f t="shared" ca="1" si="91"/>
        <v/>
      </c>
      <c r="G664" s="15">
        <f t="shared" ca="1" si="98"/>
        <v>87</v>
      </c>
      <c r="H664" s="15">
        <v>1</v>
      </c>
      <c r="I664" s="15" t="str">
        <f t="shared" ca="1" si="99"/>
        <v>I2C_Expander_12</v>
      </c>
      <c r="J664" s="15" t="str">
        <f t="shared" ca="1" si="94"/>
        <v>I2C_Expander_12!A87</v>
      </c>
      <c r="K664" s="15" t="str">
        <f t="shared" ca="1" si="95"/>
        <v>I2C_Expander_12!B87</v>
      </c>
    </row>
    <row r="665" spans="1:16" x14ac:dyDescent="0.25">
      <c r="A665" s="3" t="str">
        <f t="shared" ca="1" si="91"/>
        <v/>
      </c>
      <c r="G665" s="15">
        <f t="shared" ca="1" si="98"/>
        <v>88</v>
      </c>
      <c r="H665" s="15">
        <v>1</v>
      </c>
      <c r="I665" s="15" t="str">
        <f t="shared" ca="1" si="99"/>
        <v>I2C_Expander_12</v>
      </c>
      <c r="J665" s="15" t="str">
        <f t="shared" ca="1" si="94"/>
        <v>I2C_Expander_12!A88</v>
      </c>
      <c r="K665" s="15" t="str">
        <f t="shared" ca="1" si="95"/>
        <v>I2C_Expander_12!B88</v>
      </c>
    </row>
    <row r="666" spans="1:16" x14ac:dyDescent="0.25">
      <c r="A666" s="3" t="str">
        <f t="shared" ca="1" si="91"/>
        <v/>
      </c>
      <c r="G666" s="15">
        <f t="shared" ca="1" si="98"/>
        <v>89</v>
      </c>
      <c r="H666" s="15">
        <v>1</v>
      </c>
      <c r="I666" s="15" t="str">
        <f t="shared" ca="1" si="99"/>
        <v>I2C_Expander_12</v>
      </c>
      <c r="J666" s="15" t="str">
        <f t="shared" ca="1" si="94"/>
        <v>I2C_Expander_12!A89</v>
      </c>
      <c r="K666" s="15" t="str">
        <f t="shared" ca="1" si="95"/>
        <v>I2C_Expander_12!B89</v>
      </c>
    </row>
    <row r="667" spans="1:16" x14ac:dyDescent="0.25">
      <c r="A667" s="3" t="str">
        <f t="shared" ca="1" si="91"/>
        <v/>
      </c>
      <c r="G667" s="15">
        <f t="shared" ca="1" si="98"/>
        <v>90</v>
      </c>
      <c r="H667" s="15">
        <v>1</v>
      </c>
      <c r="I667" s="15" t="str">
        <f t="shared" ca="1" si="99"/>
        <v>I2C_Expander_12</v>
      </c>
      <c r="J667" s="15" t="str">
        <f t="shared" ca="1" si="94"/>
        <v>I2C_Expander_12!A90</v>
      </c>
      <c r="K667" s="15" t="str">
        <f t="shared" ca="1" si="95"/>
        <v>I2C_Expander_12!B90</v>
      </c>
    </row>
    <row r="668" spans="1:16" x14ac:dyDescent="0.25">
      <c r="A668" s="3" t="str">
        <f t="shared" ref="A668:A731" ca="1" si="100">IFERROR(IF(INDIRECT(J668)&lt;&gt;"",CONCATENATE(INDIRECT(J668)," = ",INDIRECT(K668)," "),""),"")</f>
        <v xml:space="preserve">#I2C_Bridge_GPIO:exp_group_0x =  </v>
      </c>
      <c r="G668" s="15">
        <f ca="1">INDIRECT(M668)</f>
        <v>51</v>
      </c>
      <c r="H668" s="15">
        <v>1</v>
      </c>
      <c r="I668" s="15" t="str">
        <f ca="1">INDIRECT(N668)</f>
        <v>I2C_Bridge_GPIO</v>
      </c>
      <c r="J668" s="15" t="str">
        <f t="shared" ca="1" si="94"/>
        <v>I2C_Bridge_GPIO!A51</v>
      </c>
      <c r="K668" s="15" t="str">
        <f t="shared" ca="1" si="95"/>
        <v>I2C_Bridge_GPIO!B51</v>
      </c>
      <c r="M668" s="15" t="str">
        <f>ADDRESS(O668,3,4,1,$R$1)</f>
        <v>konfig!C35</v>
      </c>
      <c r="N668" s="15" t="str">
        <f>ADDRESS(O668,1,4,1,$R$1)</f>
        <v>konfig!A35</v>
      </c>
      <c r="O668" s="15">
        <v>35</v>
      </c>
      <c r="P668" s="15">
        <v>4</v>
      </c>
    </row>
    <row r="669" spans="1:16" x14ac:dyDescent="0.25">
      <c r="A669" s="3" t="str">
        <f t="shared" ca="1" si="100"/>
        <v xml:space="preserve">device = TCA9548 </v>
      </c>
      <c r="G669" s="15">
        <f ca="1">G668+1</f>
        <v>52</v>
      </c>
      <c r="H669" s="15">
        <v>1</v>
      </c>
      <c r="I669" s="15" t="str">
        <f ca="1">I668</f>
        <v>I2C_Bridge_GPIO</v>
      </c>
      <c r="J669" s="15" t="str">
        <f t="shared" ca="1" si="94"/>
        <v>I2C_Bridge_GPIO!A52</v>
      </c>
      <c r="K669" s="15" t="str">
        <f t="shared" ca="1" si="95"/>
        <v>I2C_Bridge_GPIO!B52</v>
      </c>
    </row>
    <row r="670" spans="1:16" x14ac:dyDescent="0.25">
      <c r="A670" s="3" t="str">
        <f t="shared" ca="1" si="100"/>
        <v xml:space="preserve">i2c_addr = 0x73 </v>
      </c>
      <c r="G670" s="15">
        <f t="shared" ref="G670:G687" ca="1" si="101">G669+1</f>
        <v>53</v>
      </c>
      <c r="H670" s="15">
        <v>1</v>
      </c>
      <c r="I670" s="15" t="str">
        <f t="shared" ref="I670:I687" ca="1" si="102">I669</f>
        <v>I2C_Bridge_GPIO</v>
      </c>
      <c r="J670" s="15" t="str">
        <f t="shared" ca="1" si="94"/>
        <v>I2C_Bridge_GPIO!A53</v>
      </c>
      <c r="K670" s="15" t="str">
        <f t="shared" ca="1" si="95"/>
        <v>I2C_Bridge_GPIO!B53</v>
      </c>
    </row>
    <row r="671" spans="1:16" x14ac:dyDescent="0.25">
      <c r="A671" s="3" t="str">
        <f t="shared" ca="1" si="100"/>
        <v xml:space="preserve">i2c_num = /dev/i2c-1 </v>
      </c>
      <c r="C671" s="16"/>
      <c r="G671" s="15">
        <f t="shared" ca="1" si="101"/>
        <v>54</v>
      </c>
      <c r="H671" s="15">
        <v>1</v>
      </c>
      <c r="I671" s="15" t="str">
        <f t="shared" ca="1" si="102"/>
        <v>I2C_Bridge_GPIO</v>
      </c>
      <c r="J671" s="15" t="str">
        <f t="shared" ca="1" si="94"/>
        <v>I2C_Bridge_GPIO!A54</v>
      </c>
      <c r="K671" s="15" t="str">
        <f t="shared" ca="1" si="95"/>
        <v>I2C_Bridge_GPIO!B54</v>
      </c>
    </row>
    <row r="672" spans="1:16" x14ac:dyDescent="0.25">
      <c r="A672" s="3" t="str">
        <f t="shared" ca="1" si="100"/>
        <v xml:space="preserve">ctrl_reg = 0x01 </v>
      </c>
      <c r="G672" s="15">
        <f t="shared" ca="1" si="101"/>
        <v>55</v>
      </c>
      <c r="H672" s="15">
        <v>1</v>
      </c>
      <c r="I672" s="15" t="str">
        <f t="shared" ca="1" si="102"/>
        <v>I2C_Bridge_GPIO</v>
      </c>
      <c r="J672" s="15" t="str">
        <f t="shared" ca="1" si="94"/>
        <v>I2C_Bridge_GPIO!A55</v>
      </c>
      <c r="K672" s="15" t="str">
        <f t="shared" ca="1" si="95"/>
        <v>I2C_Bridge_GPIO!B55</v>
      </c>
    </row>
    <row r="673" spans="1:16" x14ac:dyDescent="0.25">
      <c r="A673" s="3" t="str">
        <f t="shared" ca="1" si="100"/>
        <v/>
      </c>
      <c r="G673" s="15">
        <f t="shared" ca="1" si="101"/>
        <v>56</v>
      </c>
      <c r="H673" s="15">
        <v>1</v>
      </c>
      <c r="I673" s="15" t="str">
        <f t="shared" ca="1" si="102"/>
        <v>I2C_Bridge_GPIO</v>
      </c>
      <c r="J673" s="15" t="str">
        <f t="shared" ca="1" si="94"/>
        <v>I2C_Bridge_GPIO!A56</v>
      </c>
      <c r="K673" s="15" t="str">
        <f t="shared" ca="1" si="95"/>
        <v>I2C_Bridge_GPIO!B56</v>
      </c>
    </row>
    <row r="674" spans="1:16" x14ac:dyDescent="0.25">
      <c r="A674" s="3" t="str">
        <f t="shared" ca="1" si="100"/>
        <v xml:space="preserve">time = 10 </v>
      </c>
      <c r="G674" s="15">
        <f t="shared" ca="1" si="101"/>
        <v>57</v>
      </c>
      <c r="H674" s="15">
        <v>1</v>
      </c>
      <c r="I674" s="15" t="str">
        <f t="shared" ca="1" si="102"/>
        <v>I2C_Bridge_GPIO</v>
      </c>
      <c r="J674" s="15" t="str">
        <f t="shared" ca="1" si="94"/>
        <v>I2C_Bridge_GPIO!A57</v>
      </c>
      <c r="K674" s="15" t="str">
        <f t="shared" ca="1" si="95"/>
        <v>I2C_Bridge_GPIO!B57</v>
      </c>
    </row>
    <row r="675" spans="1:16" x14ac:dyDescent="0.25">
      <c r="A675" s="3" t="str">
        <f t="shared" ca="1" si="100"/>
        <v/>
      </c>
      <c r="G675" s="15">
        <f t="shared" ca="1" si="101"/>
        <v>58</v>
      </c>
      <c r="H675" s="15">
        <v>1</v>
      </c>
      <c r="I675" s="15" t="str">
        <f t="shared" ca="1" si="102"/>
        <v>I2C_Bridge_GPIO</v>
      </c>
      <c r="J675" s="15" t="str">
        <f t="shared" ca="1" si="94"/>
        <v>I2C_Bridge_GPIO!A58</v>
      </c>
      <c r="K675" s="15" t="str">
        <f t="shared" ca="1" si="95"/>
        <v>I2C_Bridge_GPIO!B58</v>
      </c>
    </row>
    <row r="676" spans="1:16" x14ac:dyDescent="0.25">
      <c r="A676" s="3" t="str">
        <f t="shared" ca="1" si="100"/>
        <v/>
      </c>
      <c r="G676" s="15">
        <f t="shared" ca="1" si="101"/>
        <v>59</v>
      </c>
      <c r="H676" s="15">
        <v>1</v>
      </c>
      <c r="I676" s="15" t="str">
        <f t="shared" ca="1" si="102"/>
        <v>I2C_Bridge_GPIO</v>
      </c>
      <c r="J676" s="15" t="str">
        <f t="shared" ca="1" si="94"/>
        <v>I2C_Bridge_GPIO!A59</v>
      </c>
      <c r="K676" s="15" t="str">
        <f t="shared" ca="1" si="95"/>
        <v>I2C_Bridge_GPIO!B59</v>
      </c>
    </row>
    <row r="677" spans="1:16" x14ac:dyDescent="0.25">
      <c r="A677" s="3" t="str">
        <f t="shared" ca="1" si="100"/>
        <v/>
      </c>
      <c r="G677" s="15">
        <f t="shared" ca="1" si="101"/>
        <v>60</v>
      </c>
      <c r="H677" s="15">
        <v>1</v>
      </c>
      <c r="I677" s="15" t="str">
        <f t="shared" ca="1" si="102"/>
        <v>I2C_Bridge_GPIO</v>
      </c>
      <c r="J677" s="15" t="str">
        <f t="shared" ca="1" si="94"/>
        <v>I2C_Bridge_GPIO!A60</v>
      </c>
      <c r="K677" s="15" t="str">
        <f t="shared" ca="1" si="95"/>
        <v>I2C_Bridge_GPIO!B60</v>
      </c>
    </row>
    <row r="678" spans="1:16" x14ac:dyDescent="0.25">
      <c r="A678" s="3" t="str">
        <f t="shared" ca="1" si="100"/>
        <v/>
      </c>
      <c r="G678" s="15">
        <f t="shared" ca="1" si="101"/>
        <v>61</v>
      </c>
      <c r="H678" s="15">
        <v>1</v>
      </c>
      <c r="I678" s="15" t="str">
        <f t="shared" ca="1" si="102"/>
        <v>I2C_Bridge_GPIO</v>
      </c>
      <c r="J678" s="15" t="str">
        <f t="shared" ca="1" si="94"/>
        <v>I2C_Bridge_GPIO!A61</v>
      </c>
      <c r="K678" s="15" t="str">
        <f t="shared" ca="1" si="95"/>
        <v>I2C_Bridge_GPIO!B61</v>
      </c>
    </row>
    <row r="679" spans="1:16" x14ac:dyDescent="0.25">
      <c r="A679" s="3" t="str">
        <f t="shared" ca="1" si="100"/>
        <v/>
      </c>
      <c r="C679" s="16"/>
      <c r="G679" s="15">
        <f t="shared" ca="1" si="101"/>
        <v>62</v>
      </c>
      <c r="H679" s="15">
        <v>1</v>
      </c>
      <c r="I679" s="15" t="str">
        <f t="shared" ca="1" si="102"/>
        <v>I2C_Bridge_GPIO</v>
      </c>
      <c r="J679" s="15" t="str">
        <f t="shared" ca="1" si="94"/>
        <v>I2C_Bridge_GPIO!A62</v>
      </c>
      <c r="K679" s="15" t="str">
        <f t="shared" ca="1" si="95"/>
        <v>I2C_Bridge_GPIO!B62</v>
      </c>
    </row>
    <row r="680" spans="1:16" x14ac:dyDescent="0.25">
      <c r="A680" s="3" t="str">
        <f t="shared" ca="1" si="100"/>
        <v/>
      </c>
      <c r="G680" s="15">
        <f t="shared" ca="1" si="101"/>
        <v>63</v>
      </c>
      <c r="H680" s="15">
        <v>1</v>
      </c>
      <c r="I680" s="15" t="str">
        <f t="shared" ca="1" si="102"/>
        <v>I2C_Bridge_GPIO</v>
      </c>
      <c r="J680" s="15" t="str">
        <f t="shared" ca="1" si="94"/>
        <v>I2C_Bridge_GPIO!A63</v>
      </c>
      <c r="K680" s="15" t="str">
        <f t="shared" ca="1" si="95"/>
        <v>I2C_Bridge_GPIO!B63</v>
      </c>
    </row>
    <row r="681" spans="1:16" x14ac:dyDescent="0.25">
      <c r="A681" s="3" t="str">
        <f t="shared" ca="1" si="100"/>
        <v/>
      </c>
      <c r="G681" s="15">
        <f t="shared" ca="1" si="101"/>
        <v>64</v>
      </c>
      <c r="H681" s="15">
        <v>1</v>
      </c>
      <c r="I681" s="15" t="str">
        <f t="shared" ca="1" si="102"/>
        <v>I2C_Bridge_GPIO</v>
      </c>
      <c r="J681" s="15" t="str">
        <f t="shared" ca="1" si="94"/>
        <v>I2C_Bridge_GPIO!A64</v>
      </c>
      <c r="K681" s="15" t="str">
        <f t="shared" ca="1" si="95"/>
        <v>I2C_Bridge_GPIO!B64</v>
      </c>
    </row>
    <row r="682" spans="1:16" x14ac:dyDescent="0.25">
      <c r="A682" s="3" t="str">
        <f t="shared" ca="1" si="100"/>
        <v/>
      </c>
      <c r="G682" s="15">
        <f t="shared" ca="1" si="101"/>
        <v>65</v>
      </c>
      <c r="H682" s="15">
        <v>1</v>
      </c>
      <c r="I682" s="15" t="str">
        <f t="shared" ca="1" si="102"/>
        <v>I2C_Bridge_GPIO</v>
      </c>
      <c r="J682" s="15" t="str">
        <f t="shared" ca="1" si="94"/>
        <v>I2C_Bridge_GPIO!A65</v>
      </c>
      <c r="K682" s="15" t="str">
        <f t="shared" ca="1" si="95"/>
        <v>I2C_Bridge_GPIO!B65</v>
      </c>
    </row>
    <row r="683" spans="1:16" x14ac:dyDescent="0.25">
      <c r="A683" s="3" t="str">
        <f t="shared" ca="1" si="100"/>
        <v/>
      </c>
      <c r="G683" s="15">
        <f t="shared" ca="1" si="101"/>
        <v>66</v>
      </c>
      <c r="H683" s="15">
        <v>1</v>
      </c>
      <c r="I683" s="15" t="str">
        <f t="shared" ca="1" si="102"/>
        <v>I2C_Bridge_GPIO</v>
      </c>
      <c r="J683" s="15" t="str">
        <f t="shared" ca="1" si="94"/>
        <v>I2C_Bridge_GPIO!A66</v>
      </c>
      <c r="K683" s="15" t="str">
        <f t="shared" ca="1" si="95"/>
        <v>I2C_Bridge_GPIO!B66</v>
      </c>
    </row>
    <row r="684" spans="1:16" x14ac:dyDescent="0.25">
      <c r="A684" s="3" t="str">
        <f t="shared" ca="1" si="100"/>
        <v/>
      </c>
      <c r="G684" s="15">
        <f t="shared" ca="1" si="101"/>
        <v>67</v>
      </c>
      <c r="H684" s="15">
        <v>1</v>
      </c>
      <c r="I684" s="15" t="str">
        <f t="shared" ca="1" si="102"/>
        <v>I2C_Bridge_GPIO</v>
      </c>
      <c r="J684" s="15" t="str">
        <f t="shared" ref="J684:J747" ca="1" si="103">ADDRESS(G684,H684,4,1,I684)</f>
        <v>I2C_Bridge_GPIO!A67</v>
      </c>
      <c r="K684" s="15" t="str">
        <f t="shared" ref="K684:K747" ca="1" si="104">ADDRESS(G684,H684+1,4,1,I684)</f>
        <v>I2C_Bridge_GPIO!B67</v>
      </c>
    </row>
    <row r="685" spans="1:16" x14ac:dyDescent="0.25">
      <c r="A685" s="3" t="str">
        <f t="shared" ca="1" si="100"/>
        <v/>
      </c>
      <c r="G685" s="15">
        <f t="shared" ca="1" si="101"/>
        <v>68</v>
      </c>
      <c r="H685" s="15">
        <v>1</v>
      </c>
      <c r="I685" s="15" t="str">
        <f t="shared" ca="1" si="102"/>
        <v>I2C_Bridge_GPIO</v>
      </c>
      <c r="J685" s="15" t="str">
        <f t="shared" ca="1" si="103"/>
        <v>I2C_Bridge_GPIO!A68</v>
      </c>
      <c r="K685" s="15" t="str">
        <f t="shared" ca="1" si="104"/>
        <v>I2C_Bridge_GPIO!B68</v>
      </c>
    </row>
    <row r="686" spans="1:16" x14ac:dyDescent="0.25">
      <c r="A686" s="3" t="str">
        <f t="shared" ca="1" si="100"/>
        <v/>
      </c>
      <c r="G686" s="15">
        <f t="shared" ca="1" si="101"/>
        <v>69</v>
      </c>
      <c r="H686" s="15">
        <v>1</v>
      </c>
      <c r="I686" s="15" t="str">
        <f t="shared" ca="1" si="102"/>
        <v>I2C_Bridge_GPIO</v>
      </c>
      <c r="J686" s="15" t="str">
        <f t="shared" ca="1" si="103"/>
        <v>I2C_Bridge_GPIO!A69</v>
      </c>
      <c r="K686" s="15" t="str">
        <f t="shared" ca="1" si="104"/>
        <v>I2C_Bridge_GPIO!B69</v>
      </c>
    </row>
    <row r="687" spans="1:16" x14ac:dyDescent="0.25">
      <c r="A687" s="3" t="str">
        <f t="shared" ca="1" si="100"/>
        <v/>
      </c>
      <c r="G687" s="15">
        <f t="shared" ca="1" si="101"/>
        <v>70</v>
      </c>
      <c r="H687" s="15">
        <v>1</v>
      </c>
      <c r="I687" s="15" t="str">
        <f t="shared" ca="1" si="102"/>
        <v>I2C_Bridge_GPIO</v>
      </c>
      <c r="J687" s="15" t="str">
        <f t="shared" ca="1" si="103"/>
        <v>I2C_Bridge_GPIO!A70</v>
      </c>
      <c r="K687" s="15" t="str">
        <f t="shared" ca="1" si="104"/>
        <v>I2C_Bridge_GPIO!B70</v>
      </c>
    </row>
    <row r="688" spans="1:16" x14ac:dyDescent="0.25">
      <c r="A688" s="3" t="str">
        <f t="shared" ca="1" si="100"/>
        <v xml:space="preserve">#I2C_Expander_01:LTC6952_1 =  </v>
      </c>
      <c r="G688" s="15">
        <f ca="1">INDIRECT(M688)</f>
        <v>91</v>
      </c>
      <c r="H688" s="15">
        <v>1</v>
      </c>
      <c r="I688" s="15" t="str">
        <f ca="1">INDIRECT(N688)</f>
        <v>I2C_Expander_01</v>
      </c>
      <c r="J688" s="15" t="str">
        <f t="shared" ca="1" si="103"/>
        <v>I2C_Expander_01!A91</v>
      </c>
      <c r="K688" s="15" t="str">
        <f t="shared" ca="1" si="104"/>
        <v>I2C_Expander_01!B91</v>
      </c>
      <c r="M688" s="15" t="str">
        <f>ADDRESS(O688,3,4,1,$R$1)</f>
        <v>konfig!C36</v>
      </c>
      <c r="N688" s="15" t="str">
        <f>ADDRESS(O688,1,4,1,$R$1)</f>
        <v>konfig!A36</v>
      </c>
      <c r="O688" s="15">
        <v>36</v>
      </c>
      <c r="P688" s="15">
        <v>4</v>
      </c>
    </row>
    <row r="689" spans="1:11" x14ac:dyDescent="0.25">
      <c r="A689" s="3" t="str">
        <f t="shared" ca="1" si="100"/>
        <v xml:space="preserve">device = MCP23017 </v>
      </c>
      <c r="G689" s="15">
        <f ca="1">G688+1</f>
        <v>92</v>
      </c>
      <c r="H689" s="15">
        <v>1</v>
      </c>
      <c r="I689" s="15" t="str">
        <f ca="1">I688</f>
        <v>I2C_Expander_01</v>
      </c>
      <c r="J689" s="15" t="str">
        <f t="shared" ca="1" si="103"/>
        <v>I2C_Expander_01!A92</v>
      </c>
      <c r="K689" s="15" t="str">
        <f t="shared" ca="1" si="104"/>
        <v>I2C_Expander_01!B92</v>
      </c>
    </row>
    <row r="690" spans="1:11" x14ac:dyDescent="0.25">
      <c r="A690" s="3" t="str">
        <f t="shared" ca="1" si="100"/>
        <v xml:space="preserve">i2c_addr = 0x21 </v>
      </c>
      <c r="G690" s="15">
        <f t="shared" ref="G690:G707" ca="1" si="105">G689+1</f>
        <v>93</v>
      </c>
      <c r="H690" s="15">
        <v>1</v>
      </c>
      <c r="I690" s="15" t="str">
        <f t="shared" ref="I690:I707" ca="1" si="106">I689</f>
        <v>I2C_Expander_01</v>
      </c>
      <c r="J690" s="15" t="str">
        <f t="shared" ca="1" si="103"/>
        <v>I2C_Expander_01!A93</v>
      </c>
      <c r="K690" s="15" t="str">
        <f t="shared" ca="1" si="104"/>
        <v>I2C_Expander_01!B93</v>
      </c>
    </row>
    <row r="691" spans="1:11" x14ac:dyDescent="0.25">
      <c r="A691" s="3" t="str">
        <f t="shared" ca="1" si="100"/>
        <v xml:space="preserve">i2c_num = /dev/i2c-1 </v>
      </c>
      <c r="C691" s="16"/>
      <c r="G691" s="15">
        <f t="shared" ca="1" si="105"/>
        <v>94</v>
      </c>
      <c r="H691" s="15">
        <v>1</v>
      </c>
      <c r="I691" s="15" t="str">
        <f t="shared" ca="1" si="106"/>
        <v>I2C_Expander_01</v>
      </c>
      <c r="J691" s="15" t="str">
        <f t="shared" ca="1" si="103"/>
        <v>I2C_Expander_01!A94</v>
      </c>
      <c r="K691" s="15" t="str">
        <f t="shared" ca="1" si="104"/>
        <v>I2C_Expander_01!B94</v>
      </c>
    </row>
    <row r="692" spans="1:11" x14ac:dyDescent="0.25">
      <c r="A692" s="3" t="str">
        <f t="shared" ca="1" si="100"/>
        <v xml:space="preserve">pins_mode = 0xFBFF </v>
      </c>
      <c r="G692" s="15">
        <f t="shared" ca="1" si="105"/>
        <v>95</v>
      </c>
      <c r="H692" s="15">
        <v>1</v>
      </c>
      <c r="I692" s="15" t="str">
        <f t="shared" ca="1" si="106"/>
        <v>I2C_Expander_01</v>
      </c>
      <c r="J692" s="15" t="str">
        <f t="shared" ca="1" si="103"/>
        <v>I2C_Expander_01!A95</v>
      </c>
      <c r="K692" s="15" t="str">
        <f t="shared" ca="1" si="104"/>
        <v>I2C_Expander_01!B95</v>
      </c>
    </row>
    <row r="693" spans="1:11" x14ac:dyDescent="0.25">
      <c r="A693" s="3" t="str">
        <f t="shared" ca="1" si="100"/>
        <v xml:space="preserve">pins_state = 0x0000 </v>
      </c>
      <c r="G693" s="15">
        <f t="shared" ca="1" si="105"/>
        <v>96</v>
      </c>
      <c r="H693" s="15">
        <v>1</v>
      </c>
      <c r="I693" s="15" t="str">
        <f t="shared" ca="1" si="106"/>
        <v>I2C_Expander_01</v>
      </c>
      <c r="J693" s="15" t="str">
        <f t="shared" ca="1" si="103"/>
        <v>I2C_Expander_01!A96</v>
      </c>
      <c r="K693" s="15" t="str">
        <f t="shared" ca="1" si="104"/>
        <v>I2C_Expander_01!B96</v>
      </c>
    </row>
    <row r="694" spans="1:11" x14ac:dyDescent="0.25">
      <c r="A694" s="3" t="str">
        <f t="shared" ca="1" si="100"/>
        <v xml:space="preserve">pins_pull_up = 0xC020 </v>
      </c>
      <c r="G694" s="15">
        <f t="shared" ca="1" si="105"/>
        <v>97</v>
      </c>
      <c r="H694" s="15">
        <v>1</v>
      </c>
      <c r="I694" s="15" t="str">
        <f t="shared" ca="1" si="106"/>
        <v>I2C_Expander_01</v>
      </c>
      <c r="J694" s="15" t="str">
        <f t="shared" ca="1" si="103"/>
        <v>I2C_Expander_01!A97</v>
      </c>
      <c r="K694" s="15" t="str">
        <f t="shared" ca="1" si="104"/>
        <v>I2C_Expander_01!B97</v>
      </c>
    </row>
    <row r="695" spans="1:11" x14ac:dyDescent="0.25">
      <c r="A695" s="3" t="str">
        <f t="shared" ca="1" si="100"/>
        <v xml:space="preserve">#pins_int = 0x0000 </v>
      </c>
      <c r="G695" s="15">
        <f t="shared" ca="1" si="105"/>
        <v>98</v>
      </c>
      <c r="H695" s="15">
        <v>1</v>
      </c>
      <c r="I695" s="15" t="str">
        <f t="shared" ca="1" si="106"/>
        <v>I2C_Expander_01</v>
      </c>
      <c r="J695" s="15" t="str">
        <f t="shared" ca="1" si="103"/>
        <v>I2C_Expander_01!A98</v>
      </c>
      <c r="K695" s="15" t="str">
        <f t="shared" ca="1" si="104"/>
        <v>I2C_Expander_01!B98</v>
      </c>
    </row>
    <row r="696" spans="1:11" x14ac:dyDescent="0.25">
      <c r="A696" s="3" t="str">
        <f t="shared" ca="1" si="100"/>
        <v xml:space="preserve">#pins_def_val = 0x0000 </v>
      </c>
      <c r="G696" s="15">
        <f t="shared" ca="1" si="105"/>
        <v>99</v>
      </c>
      <c r="H696" s="15">
        <v>1</v>
      </c>
      <c r="I696" s="15" t="str">
        <f t="shared" ca="1" si="106"/>
        <v>I2C_Expander_01</v>
      </c>
      <c r="J696" s="15" t="str">
        <f t="shared" ca="1" si="103"/>
        <v>I2C_Expander_01!A99</v>
      </c>
      <c r="K696" s="15" t="str">
        <f t="shared" ca="1" si="104"/>
        <v>I2C_Expander_01!B99</v>
      </c>
    </row>
    <row r="697" spans="1:11" x14ac:dyDescent="0.25">
      <c r="A697" s="3" t="str">
        <f t="shared" ca="1" si="100"/>
        <v/>
      </c>
      <c r="G697" s="15">
        <f t="shared" ca="1" si="105"/>
        <v>100</v>
      </c>
      <c r="H697" s="15">
        <v>1</v>
      </c>
      <c r="I697" s="15" t="str">
        <f t="shared" ca="1" si="106"/>
        <v>I2C_Expander_01</v>
      </c>
      <c r="J697" s="15" t="str">
        <f t="shared" ca="1" si="103"/>
        <v>I2C_Expander_01!A100</v>
      </c>
      <c r="K697" s="15" t="str">
        <f t="shared" ca="1" si="104"/>
        <v>I2C_Expander_01!B100</v>
      </c>
    </row>
    <row r="698" spans="1:11" x14ac:dyDescent="0.25">
      <c r="A698" s="3" t="str">
        <f t="shared" ca="1" si="100"/>
        <v xml:space="preserve">#pins_int = 10 </v>
      </c>
      <c r="G698" s="15">
        <f t="shared" ca="1" si="105"/>
        <v>101</v>
      </c>
      <c r="H698" s="15">
        <v>1</v>
      </c>
      <c r="I698" s="15" t="str">
        <f t="shared" ca="1" si="106"/>
        <v>I2C_Expander_01</v>
      </c>
      <c r="J698" s="15" t="str">
        <f t="shared" ca="1" si="103"/>
        <v>I2C_Expander_01!A101</v>
      </c>
      <c r="K698" s="15" t="str">
        <f t="shared" ca="1" si="104"/>
        <v>I2C_Expander_01!B101</v>
      </c>
    </row>
    <row r="699" spans="1:11" x14ac:dyDescent="0.25">
      <c r="A699" s="3" t="str">
        <f t="shared" ca="1" si="100"/>
        <v/>
      </c>
      <c r="C699" s="16"/>
      <c r="G699" s="15">
        <f t="shared" ca="1" si="105"/>
        <v>102</v>
      </c>
      <c r="H699" s="15">
        <v>1</v>
      </c>
      <c r="I699" s="15" t="str">
        <f t="shared" ca="1" si="106"/>
        <v>I2C_Expander_01</v>
      </c>
      <c r="J699" s="15" t="str">
        <f t="shared" ca="1" si="103"/>
        <v>I2C_Expander_01!A102</v>
      </c>
      <c r="K699" s="15" t="str">
        <f t="shared" ca="1" si="104"/>
        <v>I2C_Expander_01!B102</v>
      </c>
    </row>
    <row r="700" spans="1:11" x14ac:dyDescent="0.25">
      <c r="A700" s="3" t="str">
        <f t="shared" ca="1" si="100"/>
        <v/>
      </c>
      <c r="G700" s="15">
        <f t="shared" ca="1" si="105"/>
        <v>103</v>
      </c>
      <c r="H700" s="15">
        <v>1</v>
      </c>
      <c r="I700" s="15" t="str">
        <f t="shared" ca="1" si="106"/>
        <v>I2C_Expander_01</v>
      </c>
      <c r="J700" s="15" t="str">
        <f t="shared" ca="1" si="103"/>
        <v>I2C_Expander_01!A103</v>
      </c>
      <c r="K700" s="15" t="str">
        <f t="shared" ca="1" si="104"/>
        <v>I2C_Expander_01!B103</v>
      </c>
    </row>
    <row r="701" spans="1:11" x14ac:dyDescent="0.25">
      <c r="A701" s="3" t="str">
        <f t="shared" ca="1" si="100"/>
        <v/>
      </c>
      <c r="G701" s="15">
        <f t="shared" ca="1" si="105"/>
        <v>104</v>
      </c>
      <c r="H701" s="15">
        <v>1</v>
      </c>
      <c r="I701" s="15" t="str">
        <f t="shared" ca="1" si="106"/>
        <v>I2C_Expander_01</v>
      </c>
      <c r="J701" s="15" t="str">
        <f t="shared" ca="1" si="103"/>
        <v>I2C_Expander_01!A104</v>
      </c>
      <c r="K701" s="15" t="str">
        <f t="shared" ca="1" si="104"/>
        <v>I2C_Expander_01!B104</v>
      </c>
    </row>
    <row r="702" spans="1:11" x14ac:dyDescent="0.25">
      <c r="A702" s="3" t="str">
        <f t="shared" ca="1" si="100"/>
        <v/>
      </c>
      <c r="G702" s="15">
        <f t="shared" ca="1" si="105"/>
        <v>105</v>
      </c>
      <c r="H702" s="15">
        <v>1</v>
      </c>
      <c r="I702" s="15" t="str">
        <f t="shared" ca="1" si="106"/>
        <v>I2C_Expander_01</v>
      </c>
      <c r="J702" s="15" t="str">
        <f t="shared" ca="1" si="103"/>
        <v>I2C_Expander_01!A105</v>
      </c>
      <c r="K702" s="15" t="str">
        <f t="shared" ca="1" si="104"/>
        <v>I2C_Expander_01!B105</v>
      </c>
    </row>
    <row r="703" spans="1:11" x14ac:dyDescent="0.25">
      <c r="A703" s="3" t="str">
        <f t="shared" ca="1" si="100"/>
        <v/>
      </c>
      <c r="G703" s="15">
        <f t="shared" ca="1" si="105"/>
        <v>106</v>
      </c>
      <c r="H703" s="15">
        <v>1</v>
      </c>
      <c r="I703" s="15" t="str">
        <f t="shared" ca="1" si="106"/>
        <v>I2C_Expander_01</v>
      </c>
      <c r="J703" s="15" t="str">
        <f t="shared" ca="1" si="103"/>
        <v>I2C_Expander_01!A106</v>
      </c>
      <c r="K703" s="15" t="str">
        <f t="shared" ca="1" si="104"/>
        <v>I2C_Expander_01!B106</v>
      </c>
    </row>
    <row r="704" spans="1:11" x14ac:dyDescent="0.25">
      <c r="A704" s="3" t="str">
        <f t="shared" ca="1" si="100"/>
        <v/>
      </c>
      <c r="G704" s="15">
        <f t="shared" ca="1" si="105"/>
        <v>107</v>
      </c>
      <c r="H704" s="15">
        <v>1</v>
      </c>
      <c r="I704" s="15" t="str">
        <f t="shared" ca="1" si="106"/>
        <v>I2C_Expander_01</v>
      </c>
      <c r="J704" s="15" t="str">
        <f t="shared" ca="1" si="103"/>
        <v>I2C_Expander_01!A107</v>
      </c>
      <c r="K704" s="15" t="str">
        <f t="shared" ca="1" si="104"/>
        <v>I2C_Expander_01!B107</v>
      </c>
    </row>
    <row r="705" spans="1:16" x14ac:dyDescent="0.25">
      <c r="A705" s="3" t="str">
        <f t="shared" ca="1" si="100"/>
        <v/>
      </c>
      <c r="G705" s="15">
        <f t="shared" ca="1" si="105"/>
        <v>108</v>
      </c>
      <c r="H705" s="15">
        <v>1</v>
      </c>
      <c r="I705" s="15" t="str">
        <f t="shared" ca="1" si="106"/>
        <v>I2C_Expander_01</v>
      </c>
      <c r="J705" s="15" t="str">
        <f t="shared" ca="1" si="103"/>
        <v>I2C_Expander_01!A108</v>
      </c>
      <c r="K705" s="15" t="str">
        <f t="shared" ca="1" si="104"/>
        <v>I2C_Expander_01!B108</v>
      </c>
    </row>
    <row r="706" spans="1:16" x14ac:dyDescent="0.25">
      <c r="A706" s="3" t="str">
        <f t="shared" ca="1" si="100"/>
        <v/>
      </c>
      <c r="G706" s="15">
        <f t="shared" ca="1" si="105"/>
        <v>109</v>
      </c>
      <c r="H706" s="15">
        <v>1</v>
      </c>
      <c r="I706" s="15" t="str">
        <f t="shared" ca="1" si="106"/>
        <v>I2C_Expander_01</v>
      </c>
      <c r="J706" s="15" t="str">
        <f t="shared" ca="1" si="103"/>
        <v>I2C_Expander_01!A109</v>
      </c>
      <c r="K706" s="15" t="str">
        <f t="shared" ca="1" si="104"/>
        <v>I2C_Expander_01!B109</v>
      </c>
    </row>
    <row r="707" spans="1:16" x14ac:dyDescent="0.25">
      <c r="A707" s="3" t="str">
        <f t="shared" ca="1" si="100"/>
        <v/>
      </c>
      <c r="G707" s="15">
        <f t="shared" ca="1" si="105"/>
        <v>110</v>
      </c>
      <c r="H707" s="15">
        <v>1</v>
      </c>
      <c r="I707" s="15" t="str">
        <f t="shared" ca="1" si="106"/>
        <v>I2C_Expander_01</v>
      </c>
      <c r="J707" s="15" t="str">
        <f t="shared" ca="1" si="103"/>
        <v>I2C_Expander_01!A110</v>
      </c>
      <c r="K707" s="15" t="str">
        <f t="shared" ca="1" si="104"/>
        <v>I2C_Expander_01!B110</v>
      </c>
    </row>
    <row r="708" spans="1:16" x14ac:dyDescent="0.25">
      <c r="A708" s="3" t="str">
        <f t="shared" ca="1" si="100"/>
        <v xml:space="preserve">#LTC6952_Config_Safe =  </v>
      </c>
      <c r="G708" s="15">
        <f ca="1">INDIRECT(M708)</f>
        <v>31</v>
      </c>
      <c r="H708" s="15">
        <v>1</v>
      </c>
      <c r="I708" s="15" t="str">
        <f ca="1">INDIRECT(N708)</f>
        <v>LTC6952_0</v>
      </c>
      <c r="J708" s="15" t="str">
        <f t="shared" ca="1" si="103"/>
        <v>LTC6952_0!A31</v>
      </c>
      <c r="K708" s="15" t="str">
        <f t="shared" ca="1" si="104"/>
        <v>LTC6952_0!B31</v>
      </c>
      <c r="M708" s="15" t="str">
        <f>ADDRESS(O708,3,4,1,$R$1)</f>
        <v>konfig!C37</v>
      </c>
      <c r="N708" s="15" t="str">
        <f>ADDRESS(O708,1,4,1,$R$1)</f>
        <v>konfig!A37</v>
      </c>
      <c r="O708" s="15">
        <v>37</v>
      </c>
      <c r="P708" s="15">
        <v>4</v>
      </c>
    </row>
    <row r="709" spans="1:16" x14ac:dyDescent="0.25">
      <c r="A709" s="3" t="str">
        <f t="shared" ca="1" si="100"/>
        <v xml:space="preserve">device = LTC6952 </v>
      </c>
      <c r="G709" s="15">
        <f ca="1">G708+1</f>
        <v>32</v>
      </c>
      <c r="H709" s="15">
        <v>1</v>
      </c>
      <c r="I709" s="15" t="str">
        <f ca="1">I708</f>
        <v>LTC6952_0</v>
      </c>
      <c r="J709" s="15" t="str">
        <f t="shared" ca="1" si="103"/>
        <v>LTC6952_0!A32</v>
      </c>
      <c r="K709" s="15" t="str">
        <f t="shared" ca="1" si="104"/>
        <v>LTC6952_0!B32</v>
      </c>
    </row>
    <row r="710" spans="1:16" x14ac:dyDescent="0.25">
      <c r="A710" s="3" t="str">
        <f t="shared" ca="1" si="100"/>
        <v xml:space="preserve">spi_num = /dev/spidev0.0 </v>
      </c>
      <c r="G710" s="15">
        <f t="shared" ref="G710:G727" ca="1" si="107">G709+1</f>
        <v>33</v>
      </c>
      <c r="H710" s="15">
        <v>1</v>
      </c>
      <c r="I710" s="15" t="str">
        <f t="shared" ref="I710:I727" ca="1" si="108">I709</f>
        <v>LTC6952_0</v>
      </c>
      <c r="J710" s="15" t="str">
        <f t="shared" ca="1" si="103"/>
        <v>LTC6952_0!A33</v>
      </c>
      <c r="K710" s="15" t="str">
        <f t="shared" ca="1" si="104"/>
        <v>LTC6952_0!B33</v>
      </c>
    </row>
    <row r="711" spans="1:16" x14ac:dyDescent="0.25">
      <c r="A711" s="3" t="str">
        <f t="shared" ca="1" si="100"/>
        <v xml:space="preserve">path_cfg = ./device_config_files/LTC6952_1_0.cfg </v>
      </c>
      <c r="C711" s="16"/>
      <c r="G711" s="15">
        <f t="shared" ca="1" si="107"/>
        <v>34</v>
      </c>
      <c r="H711" s="15">
        <v>1</v>
      </c>
      <c r="I711" s="15" t="str">
        <f t="shared" ca="1" si="108"/>
        <v>LTC6952_0</v>
      </c>
      <c r="J711" s="15" t="str">
        <f t="shared" ca="1" si="103"/>
        <v>LTC6952_0!A34</v>
      </c>
      <c r="K711" s="15" t="str">
        <f t="shared" ca="1" si="104"/>
        <v>LTC6952_0!B34</v>
      </c>
    </row>
    <row r="712" spans="1:16" x14ac:dyDescent="0.25">
      <c r="A712" s="3" t="str">
        <f t="shared" ca="1" si="100"/>
        <v/>
      </c>
      <c r="G712" s="15">
        <f t="shared" ca="1" si="107"/>
        <v>35</v>
      </c>
      <c r="H712" s="15">
        <v>1</v>
      </c>
      <c r="I712" s="15" t="str">
        <f t="shared" ca="1" si="108"/>
        <v>LTC6952_0</v>
      </c>
      <c r="J712" s="15" t="str">
        <f t="shared" ca="1" si="103"/>
        <v>LTC6952_0!A35</v>
      </c>
      <c r="K712" s="15" t="str">
        <f t="shared" ca="1" si="104"/>
        <v>LTC6952_0!B35</v>
      </c>
    </row>
    <row r="713" spans="1:16" x14ac:dyDescent="0.25">
      <c r="A713" s="3" t="str">
        <f t="shared" ca="1" si="100"/>
        <v xml:space="preserve">time = 10 </v>
      </c>
      <c r="G713" s="15">
        <f t="shared" ca="1" si="107"/>
        <v>36</v>
      </c>
      <c r="H713" s="15">
        <v>1</v>
      </c>
      <c r="I713" s="15" t="str">
        <f t="shared" ca="1" si="108"/>
        <v>LTC6952_0</v>
      </c>
      <c r="J713" s="15" t="str">
        <f t="shared" ca="1" si="103"/>
        <v>LTC6952_0!A36</v>
      </c>
      <c r="K713" s="15" t="str">
        <f t="shared" ca="1" si="104"/>
        <v>LTC6952_0!B36</v>
      </c>
    </row>
    <row r="714" spans="1:16" x14ac:dyDescent="0.25">
      <c r="A714" s="3" t="str">
        <f t="shared" ca="1" si="100"/>
        <v/>
      </c>
      <c r="G714" s="15">
        <f t="shared" ca="1" si="107"/>
        <v>37</v>
      </c>
      <c r="H714" s="15">
        <v>1</v>
      </c>
      <c r="I714" s="15" t="str">
        <f t="shared" ca="1" si="108"/>
        <v>LTC6952_0</v>
      </c>
      <c r="J714" s="15" t="str">
        <f t="shared" ca="1" si="103"/>
        <v>LTC6952_0!A37</v>
      </c>
      <c r="K714" s="15" t="str">
        <f t="shared" ca="1" si="104"/>
        <v>LTC6952_0!B37</v>
      </c>
    </row>
    <row r="715" spans="1:16" x14ac:dyDescent="0.25">
      <c r="A715" s="3" t="str">
        <f t="shared" ca="1" si="100"/>
        <v/>
      </c>
      <c r="G715" s="15">
        <f t="shared" ca="1" si="107"/>
        <v>38</v>
      </c>
      <c r="H715" s="15">
        <v>1</v>
      </c>
      <c r="I715" s="15" t="str">
        <f t="shared" ca="1" si="108"/>
        <v>LTC6952_0</v>
      </c>
      <c r="J715" s="15" t="str">
        <f t="shared" ca="1" si="103"/>
        <v>LTC6952_0!A38</v>
      </c>
      <c r="K715" s="15" t="str">
        <f t="shared" ca="1" si="104"/>
        <v>LTC6952_0!B38</v>
      </c>
    </row>
    <row r="716" spans="1:16" x14ac:dyDescent="0.25">
      <c r="A716" s="3" t="str">
        <f t="shared" ca="1" si="100"/>
        <v/>
      </c>
      <c r="G716" s="15">
        <f t="shared" ca="1" si="107"/>
        <v>39</v>
      </c>
      <c r="H716" s="15">
        <v>1</v>
      </c>
      <c r="I716" s="15" t="str">
        <f t="shared" ca="1" si="108"/>
        <v>LTC6952_0</v>
      </c>
      <c r="J716" s="15" t="str">
        <f t="shared" ca="1" si="103"/>
        <v>LTC6952_0!A39</v>
      </c>
      <c r="K716" s="15" t="str">
        <f t="shared" ca="1" si="104"/>
        <v>LTC6952_0!B39</v>
      </c>
    </row>
    <row r="717" spans="1:16" x14ac:dyDescent="0.25">
      <c r="A717" s="3" t="str">
        <f t="shared" ca="1" si="100"/>
        <v/>
      </c>
      <c r="G717" s="15">
        <f t="shared" ca="1" si="107"/>
        <v>40</v>
      </c>
      <c r="H717" s="15">
        <v>1</v>
      </c>
      <c r="I717" s="15" t="str">
        <f t="shared" ca="1" si="108"/>
        <v>LTC6952_0</v>
      </c>
      <c r="J717" s="15" t="str">
        <f t="shared" ca="1" si="103"/>
        <v>LTC6952_0!A40</v>
      </c>
      <c r="K717" s="15" t="str">
        <f t="shared" ca="1" si="104"/>
        <v>LTC6952_0!B40</v>
      </c>
    </row>
    <row r="718" spans="1:16" x14ac:dyDescent="0.25">
      <c r="A718" s="3" t="str">
        <f t="shared" ca="1" si="100"/>
        <v/>
      </c>
      <c r="G718" s="15">
        <f t="shared" ca="1" si="107"/>
        <v>41</v>
      </c>
      <c r="H718" s="15">
        <v>1</v>
      </c>
      <c r="I718" s="15" t="str">
        <f t="shared" ca="1" si="108"/>
        <v>LTC6952_0</v>
      </c>
      <c r="J718" s="15" t="str">
        <f t="shared" ca="1" si="103"/>
        <v>LTC6952_0!A41</v>
      </c>
      <c r="K718" s="15" t="str">
        <f t="shared" ca="1" si="104"/>
        <v>LTC6952_0!B41</v>
      </c>
    </row>
    <row r="719" spans="1:16" x14ac:dyDescent="0.25">
      <c r="A719" s="3" t="str">
        <f t="shared" ca="1" si="100"/>
        <v/>
      </c>
      <c r="C719" s="16"/>
      <c r="G719" s="15">
        <f t="shared" ca="1" si="107"/>
        <v>42</v>
      </c>
      <c r="H719" s="15">
        <v>1</v>
      </c>
      <c r="I719" s="15" t="str">
        <f t="shared" ca="1" si="108"/>
        <v>LTC6952_0</v>
      </c>
      <c r="J719" s="15" t="str">
        <f t="shared" ca="1" si="103"/>
        <v>LTC6952_0!A42</v>
      </c>
      <c r="K719" s="15" t="str">
        <f t="shared" ca="1" si="104"/>
        <v>LTC6952_0!B42</v>
      </c>
    </row>
    <row r="720" spans="1:16" x14ac:dyDescent="0.25">
      <c r="A720" s="3" t="str">
        <f t="shared" ca="1" si="100"/>
        <v/>
      </c>
      <c r="G720" s="15">
        <f t="shared" ca="1" si="107"/>
        <v>43</v>
      </c>
      <c r="H720" s="15">
        <v>1</v>
      </c>
      <c r="I720" s="15" t="str">
        <f t="shared" ca="1" si="108"/>
        <v>LTC6952_0</v>
      </c>
      <c r="J720" s="15" t="str">
        <f t="shared" ca="1" si="103"/>
        <v>LTC6952_0!A43</v>
      </c>
      <c r="K720" s="15" t="str">
        <f t="shared" ca="1" si="104"/>
        <v>LTC6952_0!B43</v>
      </c>
    </row>
    <row r="721" spans="1:16" x14ac:dyDescent="0.25">
      <c r="A721" s="3" t="str">
        <f t="shared" ca="1" si="100"/>
        <v/>
      </c>
      <c r="G721" s="15">
        <f t="shared" ca="1" si="107"/>
        <v>44</v>
      </c>
      <c r="H721" s="15">
        <v>1</v>
      </c>
      <c r="I721" s="15" t="str">
        <f t="shared" ca="1" si="108"/>
        <v>LTC6952_0</v>
      </c>
      <c r="J721" s="15" t="str">
        <f t="shared" ca="1" si="103"/>
        <v>LTC6952_0!A44</v>
      </c>
      <c r="K721" s="15" t="str">
        <f t="shared" ca="1" si="104"/>
        <v>LTC6952_0!B44</v>
      </c>
    </row>
    <row r="722" spans="1:16" x14ac:dyDescent="0.25">
      <c r="A722" s="3" t="str">
        <f t="shared" ca="1" si="100"/>
        <v/>
      </c>
      <c r="G722" s="15">
        <f t="shared" ca="1" si="107"/>
        <v>45</v>
      </c>
      <c r="H722" s="15">
        <v>1</v>
      </c>
      <c r="I722" s="15" t="str">
        <f t="shared" ca="1" si="108"/>
        <v>LTC6952_0</v>
      </c>
      <c r="J722" s="15" t="str">
        <f t="shared" ca="1" si="103"/>
        <v>LTC6952_0!A45</v>
      </c>
      <c r="K722" s="15" t="str">
        <f t="shared" ca="1" si="104"/>
        <v>LTC6952_0!B45</v>
      </c>
    </row>
    <row r="723" spans="1:16" x14ac:dyDescent="0.25">
      <c r="A723" s="3" t="str">
        <f t="shared" ca="1" si="100"/>
        <v/>
      </c>
      <c r="G723" s="15">
        <f t="shared" ca="1" si="107"/>
        <v>46</v>
      </c>
      <c r="H723" s="15">
        <v>1</v>
      </c>
      <c r="I723" s="15" t="str">
        <f t="shared" ca="1" si="108"/>
        <v>LTC6952_0</v>
      </c>
      <c r="J723" s="15" t="str">
        <f t="shared" ca="1" si="103"/>
        <v>LTC6952_0!A46</v>
      </c>
      <c r="K723" s="15" t="str">
        <f t="shared" ca="1" si="104"/>
        <v>LTC6952_0!B46</v>
      </c>
    </row>
    <row r="724" spans="1:16" x14ac:dyDescent="0.25">
      <c r="A724" s="3" t="str">
        <f t="shared" ca="1" si="100"/>
        <v/>
      </c>
      <c r="G724" s="15">
        <f t="shared" ca="1" si="107"/>
        <v>47</v>
      </c>
      <c r="H724" s="15">
        <v>1</v>
      </c>
      <c r="I724" s="15" t="str">
        <f t="shared" ca="1" si="108"/>
        <v>LTC6952_0</v>
      </c>
      <c r="J724" s="15" t="str">
        <f t="shared" ca="1" si="103"/>
        <v>LTC6952_0!A47</v>
      </c>
      <c r="K724" s="15" t="str">
        <f t="shared" ca="1" si="104"/>
        <v>LTC6952_0!B47</v>
      </c>
    </row>
    <row r="725" spans="1:16" x14ac:dyDescent="0.25">
      <c r="A725" s="3" t="str">
        <f t="shared" ca="1" si="100"/>
        <v/>
      </c>
      <c r="G725" s="15">
        <f t="shared" ca="1" si="107"/>
        <v>48</v>
      </c>
      <c r="H725" s="15">
        <v>1</v>
      </c>
      <c r="I725" s="15" t="str">
        <f t="shared" ca="1" si="108"/>
        <v>LTC6952_0</v>
      </c>
      <c r="J725" s="15" t="str">
        <f t="shared" ca="1" si="103"/>
        <v>LTC6952_0!A48</v>
      </c>
      <c r="K725" s="15" t="str">
        <f t="shared" ca="1" si="104"/>
        <v>LTC6952_0!B48</v>
      </c>
    </row>
    <row r="726" spans="1:16" x14ac:dyDescent="0.25">
      <c r="A726" s="3" t="str">
        <f t="shared" ca="1" si="100"/>
        <v/>
      </c>
      <c r="G726" s="15">
        <f t="shared" ca="1" si="107"/>
        <v>49</v>
      </c>
      <c r="H726" s="15">
        <v>1</v>
      </c>
      <c r="I726" s="15" t="str">
        <f t="shared" ca="1" si="108"/>
        <v>LTC6952_0</v>
      </c>
      <c r="J726" s="15" t="str">
        <f t="shared" ca="1" si="103"/>
        <v>LTC6952_0!A49</v>
      </c>
      <c r="K726" s="15" t="str">
        <f t="shared" ca="1" si="104"/>
        <v>LTC6952_0!B49</v>
      </c>
    </row>
    <row r="727" spans="1:16" x14ac:dyDescent="0.25">
      <c r="A727" s="3" t="str">
        <f t="shared" ca="1" si="100"/>
        <v/>
      </c>
      <c r="G727" s="15">
        <f t="shared" ca="1" si="107"/>
        <v>50</v>
      </c>
      <c r="H727" s="15">
        <v>1</v>
      </c>
      <c r="I727" s="15" t="str">
        <f t="shared" ca="1" si="108"/>
        <v>LTC6952_0</v>
      </c>
      <c r="J727" s="15" t="str">
        <f t="shared" ca="1" si="103"/>
        <v>LTC6952_0!A50</v>
      </c>
      <c r="K727" s="15" t="str">
        <f t="shared" ca="1" si="104"/>
        <v>LTC6952_0!B50</v>
      </c>
    </row>
    <row r="728" spans="1:16" x14ac:dyDescent="0.25">
      <c r="A728" s="3" t="str">
        <f t="shared" ca="1" si="100"/>
        <v xml:space="preserve">#I2C_Expander_01:etap 2 =  </v>
      </c>
      <c r="G728" s="15">
        <f ca="1">INDIRECT(M728)</f>
        <v>71</v>
      </c>
      <c r="H728" s="15">
        <v>1</v>
      </c>
      <c r="I728" s="15" t="str">
        <f ca="1">INDIRECT(N728)</f>
        <v>I2C_Expander_01</v>
      </c>
      <c r="J728" s="15" t="str">
        <f t="shared" ca="1" si="103"/>
        <v>I2C_Expander_01!A71</v>
      </c>
      <c r="K728" s="15" t="str">
        <f t="shared" ca="1" si="104"/>
        <v>I2C_Expander_01!B71</v>
      </c>
      <c r="M728" s="15" t="str">
        <f>ADDRESS(O728,3,4,1,$R$1)</f>
        <v>konfig!C38</v>
      </c>
      <c r="N728" s="15" t="str">
        <f>ADDRESS(O728,1,4,1,$R$1)</f>
        <v>konfig!A38</v>
      </c>
      <c r="O728" s="15">
        <v>38</v>
      </c>
      <c r="P728" s="15">
        <v>4</v>
      </c>
    </row>
    <row r="729" spans="1:16" x14ac:dyDescent="0.25">
      <c r="A729" s="3" t="str">
        <f t="shared" ca="1" si="100"/>
        <v xml:space="preserve">device = MCP23017 </v>
      </c>
      <c r="G729" s="15">
        <f ca="1">G728+1</f>
        <v>72</v>
      </c>
      <c r="H729" s="15">
        <v>1</v>
      </c>
      <c r="I729" s="15" t="str">
        <f ca="1">I728</f>
        <v>I2C_Expander_01</v>
      </c>
      <c r="J729" s="15" t="str">
        <f t="shared" ca="1" si="103"/>
        <v>I2C_Expander_01!A72</v>
      </c>
      <c r="K729" s="15" t="str">
        <f t="shared" ca="1" si="104"/>
        <v>I2C_Expander_01!B72</v>
      </c>
    </row>
    <row r="730" spans="1:16" x14ac:dyDescent="0.25">
      <c r="A730" s="3" t="str">
        <f t="shared" ca="1" si="100"/>
        <v xml:space="preserve">i2c_addr = 0x21 </v>
      </c>
      <c r="G730" s="15">
        <f t="shared" ref="G730:G747" ca="1" si="109">G729+1</f>
        <v>73</v>
      </c>
      <c r="H730" s="15">
        <v>1</v>
      </c>
      <c r="I730" s="15" t="str">
        <f t="shared" ref="I730:I747" ca="1" si="110">I729</f>
        <v>I2C_Expander_01</v>
      </c>
      <c r="J730" s="15" t="str">
        <f t="shared" ca="1" si="103"/>
        <v>I2C_Expander_01!A73</v>
      </c>
      <c r="K730" s="15" t="str">
        <f t="shared" ca="1" si="104"/>
        <v>I2C_Expander_01!B73</v>
      </c>
    </row>
    <row r="731" spans="1:16" x14ac:dyDescent="0.25">
      <c r="A731" s="3" t="str">
        <f t="shared" ca="1" si="100"/>
        <v xml:space="preserve">i2c_num = /dev/i2c-1 </v>
      </c>
      <c r="C731" s="16"/>
      <c r="G731" s="15">
        <f t="shared" ca="1" si="109"/>
        <v>74</v>
      </c>
      <c r="H731" s="15">
        <v>1</v>
      </c>
      <c r="I731" s="15" t="str">
        <f t="shared" ca="1" si="110"/>
        <v>I2C_Expander_01</v>
      </c>
      <c r="J731" s="15" t="str">
        <f t="shared" ca="1" si="103"/>
        <v>I2C_Expander_01!A74</v>
      </c>
      <c r="K731" s="15" t="str">
        <f t="shared" ca="1" si="104"/>
        <v>I2C_Expander_01!B74</v>
      </c>
    </row>
    <row r="732" spans="1:16" x14ac:dyDescent="0.25">
      <c r="A732" s="3" t="str">
        <f t="shared" ref="A732:A795" ca="1" si="111">IFERROR(IF(INDIRECT(J732)&lt;&gt;"",CONCATENATE(INDIRECT(J732)," = ",INDIRECT(K732)," "),""),"")</f>
        <v xml:space="preserve">pins_mode = 0xFBFF </v>
      </c>
      <c r="G732" s="15">
        <f t="shared" ca="1" si="109"/>
        <v>75</v>
      </c>
      <c r="H732" s="15">
        <v>1</v>
      </c>
      <c r="I732" s="15" t="str">
        <f t="shared" ca="1" si="110"/>
        <v>I2C_Expander_01</v>
      </c>
      <c r="J732" s="15" t="str">
        <f t="shared" ca="1" si="103"/>
        <v>I2C_Expander_01!A75</v>
      </c>
      <c r="K732" s="15" t="str">
        <f t="shared" ca="1" si="104"/>
        <v>I2C_Expander_01!B75</v>
      </c>
    </row>
    <row r="733" spans="1:16" x14ac:dyDescent="0.25">
      <c r="A733" s="3" t="str">
        <f t="shared" ca="1" si="111"/>
        <v xml:space="preserve">pins_state = 0x0400 </v>
      </c>
      <c r="G733" s="15">
        <f t="shared" ca="1" si="109"/>
        <v>76</v>
      </c>
      <c r="H733" s="15">
        <v>1</v>
      </c>
      <c r="I733" s="15" t="str">
        <f t="shared" ca="1" si="110"/>
        <v>I2C_Expander_01</v>
      </c>
      <c r="J733" s="15" t="str">
        <f t="shared" ca="1" si="103"/>
        <v>I2C_Expander_01!A76</v>
      </c>
      <c r="K733" s="15" t="str">
        <f t="shared" ca="1" si="104"/>
        <v>I2C_Expander_01!B76</v>
      </c>
    </row>
    <row r="734" spans="1:16" x14ac:dyDescent="0.25">
      <c r="A734" s="3" t="str">
        <f t="shared" ca="1" si="111"/>
        <v xml:space="preserve">pins_pull_up = 0xC020 </v>
      </c>
      <c r="G734" s="15">
        <f t="shared" ca="1" si="109"/>
        <v>77</v>
      </c>
      <c r="H734" s="15">
        <v>1</v>
      </c>
      <c r="I734" s="15" t="str">
        <f t="shared" ca="1" si="110"/>
        <v>I2C_Expander_01</v>
      </c>
      <c r="J734" s="15" t="str">
        <f t="shared" ca="1" si="103"/>
        <v>I2C_Expander_01!A77</v>
      </c>
      <c r="K734" s="15" t="str">
        <f t="shared" ca="1" si="104"/>
        <v>I2C_Expander_01!B77</v>
      </c>
    </row>
    <row r="735" spans="1:16" x14ac:dyDescent="0.25">
      <c r="A735" s="3" t="str">
        <f t="shared" ca="1" si="111"/>
        <v xml:space="preserve">#pins_int = 0x0000 </v>
      </c>
      <c r="G735" s="15">
        <f t="shared" ca="1" si="109"/>
        <v>78</v>
      </c>
      <c r="H735" s="15">
        <v>1</v>
      </c>
      <c r="I735" s="15" t="str">
        <f t="shared" ca="1" si="110"/>
        <v>I2C_Expander_01</v>
      </c>
      <c r="J735" s="15" t="str">
        <f t="shared" ca="1" si="103"/>
        <v>I2C_Expander_01!A78</v>
      </c>
      <c r="K735" s="15" t="str">
        <f t="shared" ca="1" si="104"/>
        <v>I2C_Expander_01!B78</v>
      </c>
    </row>
    <row r="736" spans="1:16" x14ac:dyDescent="0.25">
      <c r="A736" s="3" t="str">
        <f t="shared" ca="1" si="111"/>
        <v xml:space="preserve">#pins_def_val = 0x0000 </v>
      </c>
      <c r="G736" s="15">
        <f t="shared" ca="1" si="109"/>
        <v>79</v>
      </c>
      <c r="H736" s="15">
        <v>1</v>
      </c>
      <c r="I736" s="15" t="str">
        <f t="shared" ca="1" si="110"/>
        <v>I2C_Expander_01</v>
      </c>
      <c r="J736" s="15" t="str">
        <f t="shared" ca="1" si="103"/>
        <v>I2C_Expander_01!A79</v>
      </c>
      <c r="K736" s="15" t="str">
        <f t="shared" ca="1" si="104"/>
        <v>I2C_Expander_01!B79</v>
      </c>
    </row>
    <row r="737" spans="1:16" x14ac:dyDescent="0.25">
      <c r="A737" s="3" t="str">
        <f t="shared" ca="1" si="111"/>
        <v/>
      </c>
      <c r="G737" s="15">
        <f t="shared" ca="1" si="109"/>
        <v>80</v>
      </c>
      <c r="H737" s="15">
        <v>1</v>
      </c>
      <c r="I737" s="15" t="str">
        <f t="shared" ca="1" si="110"/>
        <v>I2C_Expander_01</v>
      </c>
      <c r="J737" s="15" t="str">
        <f t="shared" ca="1" si="103"/>
        <v>I2C_Expander_01!A80</v>
      </c>
      <c r="K737" s="15" t="str">
        <f t="shared" ca="1" si="104"/>
        <v>I2C_Expander_01!B80</v>
      </c>
    </row>
    <row r="738" spans="1:16" x14ac:dyDescent="0.25">
      <c r="A738" s="3" t="str">
        <f t="shared" ca="1" si="111"/>
        <v xml:space="preserve">#pins_int = 10 </v>
      </c>
      <c r="G738" s="15">
        <f t="shared" ca="1" si="109"/>
        <v>81</v>
      </c>
      <c r="H738" s="15">
        <v>1</v>
      </c>
      <c r="I738" s="15" t="str">
        <f t="shared" ca="1" si="110"/>
        <v>I2C_Expander_01</v>
      </c>
      <c r="J738" s="15" t="str">
        <f t="shared" ca="1" si="103"/>
        <v>I2C_Expander_01!A81</v>
      </c>
      <c r="K738" s="15" t="str">
        <f t="shared" ca="1" si="104"/>
        <v>I2C_Expander_01!B81</v>
      </c>
    </row>
    <row r="739" spans="1:16" x14ac:dyDescent="0.25">
      <c r="A739" s="3" t="str">
        <f t="shared" ca="1" si="111"/>
        <v/>
      </c>
      <c r="C739" s="16"/>
      <c r="G739" s="15">
        <f t="shared" ca="1" si="109"/>
        <v>82</v>
      </c>
      <c r="H739" s="15">
        <v>1</v>
      </c>
      <c r="I739" s="15" t="str">
        <f t="shared" ca="1" si="110"/>
        <v>I2C_Expander_01</v>
      </c>
      <c r="J739" s="15" t="str">
        <f t="shared" ca="1" si="103"/>
        <v>I2C_Expander_01!A82</v>
      </c>
      <c r="K739" s="15" t="str">
        <f t="shared" ca="1" si="104"/>
        <v>I2C_Expander_01!B82</v>
      </c>
    </row>
    <row r="740" spans="1:16" x14ac:dyDescent="0.25">
      <c r="A740" s="3" t="str">
        <f t="shared" ca="1" si="111"/>
        <v/>
      </c>
      <c r="G740" s="15">
        <f t="shared" ca="1" si="109"/>
        <v>83</v>
      </c>
      <c r="H740" s="15">
        <v>1</v>
      </c>
      <c r="I740" s="15" t="str">
        <f t="shared" ca="1" si="110"/>
        <v>I2C_Expander_01</v>
      </c>
      <c r="J740" s="15" t="str">
        <f t="shared" ca="1" si="103"/>
        <v>I2C_Expander_01!A83</v>
      </c>
      <c r="K740" s="15" t="str">
        <f t="shared" ca="1" si="104"/>
        <v>I2C_Expander_01!B83</v>
      </c>
    </row>
    <row r="741" spans="1:16" x14ac:dyDescent="0.25">
      <c r="A741" s="3" t="str">
        <f t="shared" ca="1" si="111"/>
        <v/>
      </c>
      <c r="G741" s="15">
        <f t="shared" ca="1" si="109"/>
        <v>84</v>
      </c>
      <c r="H741" s="15">
        <v>1</v>
      </c>
      <c r="I741" s="15" t="str">
        <f t="shared" ca="1" si="110"/>
        <v>I2C_Expander_01</v>
      </c>
      <c r="J741" s="15" t="str">
        <f t="shared" ca="1" si="103"/>
        <v>I2C_Expander_01!A84</v>
      </c>
      <c r="K741" s="15" t="str">
        <f t="shared" ca="1" si="104"/>
        <v>I2C_Expander_01!B84</v>
      </c>
    </row>
    <row r="742" spans="1:16" x14ac:dyDescent="0.25">
      <c r="A742" s="3" t="str">
        <f t="shared" ca="1" si="111"/>
        <v/>
      </c>
      <c r="G742" s="15">
        <f t="shared" ca="1" si="109"/>
        <v>85</v>
      </c>
      <c r="H742" s="15">
        <v>1</v>
      </c>
      <c r="I742" s="15" t="str">
        <f t="shared" ca="1" si="110"/>
        <v>I2C_Expander_01</v>
      </c>
      <c r="J742" s="15" t="str">
        <f t="shared" ca="1" si="103"/>
        <v>I2C_Expander_01!A85</v>
      </c>
      <c r="K742" s="15" t="str">
        <f t="shared" ca="1" si="104"/>
        <v>I2C_Expander_01!B85</v>
      </c>
    </row>
    <row r="743" spans="1:16" x14ac:dyDescent="0.25">
      <c r="A743" s="3" t="str">
        <f t="shared" ca="1" si="111"/>
        <v/>
      </c>
      <c r="G743" s="15">
        <f t="shared" ca="1" si="109"/>
        <v>86</v>
      </c>
      <c r="H743" s="15">
        <v>1</v>
      </c>
      <c r="I743" s="15" t="str">
        <f t="shared" ca="1" si="110"/>
        <v>I2C_Expander_01</v>
      </c>
      <c r="J743" s="15" t="str">
        <f t="shared" ca="1" si="103"/>
        <v>I2C_Expander_01!A86</v>
      </c>
      <c r="K743" s="15" t="str">
        <f t="shared" ca="1" si="104"/>
        <v>I2C_Expander_01!B86</v>
      </c>
    </row>
    <row r="744" spans="1:16" x14ac:dyDescent="0.25">
      <c r="A744" s="3" t="str">
        <f t="shared" ca="1" si="111"/>
        <v/>
      </c>
      <c r="G744" s="15">
        <f t="shared" ca="1" si="109"/>
        <v>87</v>
      </c>
      <c r="H744" s="15">
        <v>1</v>
      </c>
      <c r="I744" s="15" t="str">
        <f t="shared" ca="1" si="110"/>
        <v>I2C_Expander_01</v>
      </c>
      <c r="J744" s="15" t="str">
        <f t="shared" ca="1" si="103"/>
        <v>I2C_Expander_01!A87</v>
      </c>
      <c r="K744" s="15" t="str">
        <f t="shared" ca="1" si="104"/>
        <v>I2C_Expander_01!B87</v>
      </c>
    </row>
    <row r="745" spans="1:16" x14ac:dyDescent="0.25">
      <c r="A745" s="3" t="str">
        <f t="shared" ca="1" si="111"/>
        <v/>
      </c>
      <c r="G745" s="15">
        <f t="shared" ca="1" si="109"/>
        <v>88</v>
      </c>
      <c r="H745" s="15">
        <v>1</v>
      </c>
      <c r="I745" s="15" t="str">
        <f t="shared" ca="1" si="110"/>
        <v>I2C_Expander_01</v>
      </c>
      <c r="J745" s="15" t="str">
        <f t="shared" ca="1" si="103"/>
        <v>I2C_Expander_01!A88</v>
      </c>
      <c r="K745" s="15" t="str">
        <f t="shared" ca="1" si="104"/>
        <v>I2C_Expander_01!B88</v>
      </c>
    </row>
    <row r="746" spans="1:16" x14ac:dyDescent="0.25">
      <c r="A746" s="3" t="str">
        <f t="shared" ca="1" si="111"/>
        <v/>
      </c>
      <c r="G746" s="15">
        <f t="shared" ca="1" si="109"/>
        <v>89</v>
      </c>
      <c r="H746" s="15">
        <v>1</v>
      </c>
      <c r="I746" s="15" t="str">
        <f t="shared" ca="1" si="110"/>
        <v>I2C_Expander_01</v>
      </c>
      <c r="J746" s="15" t="str">
        <f t="shared" ca="1" si="103"/>
        <v>I2C_Expander_01!A89</v>
      </c>
      <c r="K746" s="15" t="str">
        <f t="shared" ca="1" si="104"/>
        <v>I2C_Expander_01!B89</v>
      </c>
    </row>
    <row r="747" spans="1:16" x14ac:dyDescent="0.25">
      <c r="A747" s="3" t="str">
        <f t="shared" ca="1" si="111"/>
        <v/>
      </c>
      <c r="G747" s="15">
        <f t="shared" ca="1" si="109"/>
        <v>90</v>
      </c>
      <c r="H747" s="15">
        <v>1</v>
      </c>
      <c r="I747" s="15" t="str">
        <f t="shared" ca="1" si="110"/>
        <v>I2C_Expander_01</v>
      </c>
      <c r="J747" s="15" t="str">
        <f t="shared" ca="1" si="103"/>
        <v>I2C_Expander_01!A90</v>
      </c>
      <c r="K747" s="15" t="str">
        <f t="shared" ca="1" si="104"/>
        <v>I2C_Expander_01!B90</v>
      </c>
    </row>
    <row r="748" spans="1:16" x14ac:dyDescent="0.25">
      <c r="A748" s="3" t="str">
        <f t="shared" ca="1" si="111"/>
        <v xml:space="preserve">#I2C_Expander_Main_Rst:etap 3 =  </v>
      </c>
      <c r="G748" s="15">
        <f ca="1">INDIRECT(M748)</f>
        <v>91</v>
      </c>
      <c r="H748" s="15">
        <v>1</v>
      </c>
      <c r="I748" s="15" t="str">
        <f ca="1">INDIRECT(N748)</f>
        <v>I2C_Expander_Main_Rst</v>
      </c>
      <c r="J748" s="15" t="str">
        <f t="shared" ref="J748:J807" ca="1" si="112">ADDRESS(G748,H748,4,1,I748)</f>
        <v>I2C_Expander_Main_Rst!A91</v>
      </c>
      <c r="K748" s="15" t="str">
        <f t="shared" ref="K748:K807" ca="1" si="113">ADDRESS(G748,H748+1,4,1,I748)</f>
        <v>I2C_Expander_Main_Rst!B91</v>
      </c>
      <c r="M748" s="15" t="str">
        <f>ADDRESS(O748,3,4,1,$R$1)</f>
        <v>konfig!C39</v>
      </c>
      <c r="N748" s="15" t="str">
        <f>ADDRESS(O748,1,4,1,$R$1)</f>
        <v>konfig!A39</v>
      </c>
      <c r="O748" s="15">
        <v>39</v>
      </c>
      <c r="P748" s="15">
        <v>4</v>
      </c>
    </row>
    <row r="749" spans="1:16" x14ac:dyDescent="0.25">
      <c r="A749" s="3" t="str">
        <f t="shared" ca="1" si="111"/>
        <v xml:space="preserve">device = MCP23017 </v>
      </c>
      <c r="G749" s="15">
        <f ca="1">G748+1</f>
        <v>92</v>
      </c>
      <c r="H749" s="15">
        <v>1</v>
      </c>
      <c r="I749" s="15" t="str">
        <f ca="1">I748</f>
        <v>I2C_Expander_Main_Rst</v>
      </c>
      <c r="J749" s="15" t="str">
        <f t="shared" ca="1" si="112"/>
        <v>I2C_Expander_Main_Rst!A92</v>
      </c>
      <c r="K749" s="15" t="str">
        <f t="shared" ca="1" si="113"/>
        <v>I2C_Expander_Main_Rst!B92</v>
      </c>
    </row>
    <row r="750" spans="1:16" x14ac:dyDescent="0.25">
      <c r="A750" s="3" t="str">
        <f t="shared" ca="1" si="111"/>
        <v xml:space="preserve">i2c_addr = 0x24 </v>
      </c>
      <c r="G750" s="15">
        <f t="shared" ref="G750:G767" ca="1" si="114">G749+1</f>
        <v>93</v>
      </c>
      <c r="H750" s="15">
        <v>1</v>
      </c>
      <c r="I750" s="15" t="str">
        <f t="shared" ref="I750:I767" ca="1" si="115">I749</f>
        <v>I2C_Expander_Main_Rst</v>
      </c>
      <c r="J750" s="15" t="str">
        <f t="shared" ca="1" si="112"/>
        <v>I2C_Expander_Main_Rst!A93</v>
      </c>
      <c r="K750" s="15" t="str">
        <f t="shared" ca="1" si="113"/>
        <v>I2C_Expander_Main_Rst!B93</v>
      </c>
    </row>
    <row r="751" spans="1:16" x14ac:dyDescent="0.25">
      <c r="A751" s="3" t="str">
        <f t="shared" ca="1" si="111"/>
        <v xml:space="preserve">i2c_num = /dev/i2c-1 </v>
      </c>
      <c r="C751" s="16"/>
      <c r="G751" s="15">
        <f t="shared" ca="1" si="114"/>
        <v>94</v>
      </c>
      <c r="H751" s="15">
        <v>1</v>
      </c>
      <c r="I751" s="15" t="str">
        <f t="shared" ca="1" si="115"/>
        <v>I2C_Expander_Main_Rst</v>
      </c>
      <c r="J751" s="15" t="str">
        <f t="shared" ca="1" si="112"/>
        <v>I2C_Expander_Main_Rst!A94</v>
      </c>
      <c r="K751" s="15" t="str">
        <f t="shared" ca="1" si="113"/>
        <v>I2C_Expander_Main_Rst!B94</v>
      </c>
    </row>
    <row r="752" spans="1:16" x14ac:dyDescent="0.25">
      <c r="A752" s="3" t="str">
        <f t="shared" ca="1" si="111"/>
        <v xml:space="preserve">pins_mode = 0x81F8 </v>
      </c>
      <c r="G752" s="15">
        <f t="shared" ca="1" si="114"/>
        <v>95</v>
      </c>
      <c r="H752" s="15">
        <v>1</v>
      </c>
      <c r="I752" s="15" t="str">
        <f t="shared" ca="1" si="115"/>
        <v>I2C_Expander_Main_Rst</v>
      </c>
      <c r="J752" s="15" t="str">
        <f t="shared" ca="1" si="112"/>
        <v>I2C_Expander_Main_Rst!A95</v>
      </c>
      <c r="K752" s="15" t="str">
        <f t="shared" ca="1" si="113"/>
        <v>I2C_Expander_Main_Rst!B95</v>
      </c>
    </row>
    <row r="753" spans="1:16" x14ac:dyDescent="0.25">
      <c r="A753" s="3" t="str">
        <f t="shared" ca="1" si="111"/>
        <v xml:space="preserve">pins_state = 0x7E07 </v>
      </c>
      <c r="G753" s="15">
        <f t="shared" ca="1" si="114"/>
        <v>96</v>
      </c>
      <c r="H753" s="15">
        <v>1</v>
      </c>
      <c r="I753" s="15" t="str">
        <f t="shared" ca="1" si="115"/>
        <v>I2C_Expander_Main_Rst</v>
      </c>
      <c r="J753" s="15" t="str">
        <f t="shared" ca="1" si="112"/>
        <v>I2C_Expander_Main_Rst!A96</v>
      </c>
      <c r="K753" s="15" t="str">
        <f t="shared" ca="1" si="113"/>
        <v>I2C_Expander_Main_Rst!B96</v>
      </c>
    </row>
    <row r="754" spans="1:16" x14ac:dyDescent="0.25">
      <c r="A754" s="3" t="str">
        <f t="shared" ca="1" si="111"/>
        <v xml:space="preserve">pins_pull_up = 0x0000 </v>
      </c>
      <c r="G754" s="15">
        <f t="shared" ca="1" si="114"/>
        <v>97</v>
      </c>
      <c r="H754" s="15">
        <v>1</v>
      </c>
      <c r="I754" s="15" t="str">
        <f t="shared" ca="1" si="115"/>
        <v>I2C_Expander_Main_Rst</v>
      </c>
      <c r="J754" s="15" t="str">
        <f t="shared" ca="1" si="112"/>
        <v>I2C_Expander_Main_Rst!A97</v>
      </c>
      <c r="K754" s="15" t="str">
        <f t="shared" ca="1" si="113"/>
        <v>I2C_Expander_Main_Rst!B97</v>
      </c>
    </row>
    <row r="755" spans="1:16" x14ac:dyDescent="0.25">
      <c r="A755" s="3" t="str">
        <f t="shared" ca="1" si="111"/>
        <v xml:space="preserve">#pins_int = 0x0000 </v>
      </c>
      <c r="G755" s="15">
        <f t="shared" ca="1" si="114"/>
        <v>98</v>
      </c>
      <c r="H755" s="15">
        <v>1</v>
      </c>
      <c r="I755" s="15" t="str">
        <f t="shared" ca="1" si="115"/>
        <v>I2C_Expander_Main_Rst</v>
      </c>
      <c r="J755" s="15" t="str">
        <f t="shared" ca="1" si="112"/>
        <v>I2C_Expander_Main_Rst!A98</v>
      </c>
      <c r="K755" s="15" t="str">
        <f t="shared" ca="1" si="113"/>
        <v>I2C_Expander_Main_Rst!B98</v>
      </c>
    </row>
    <row r="756" spans="1:16" x14ac:dyDescent="0.25">
      <c r="A756" s="3" t="str">
        <f t="shared" ca="1" si="111"/>
        <v xml:space="preserve">#pins_def_val = 0x0000 </v>
      </c>
      <c r="G756" s="15">
        <f t="shared" ca="1" si="114"/>
        <v>99</v>
      </c>
      <c r="H756" s="15">
        <v>1</v>
      </c>
      <c r="I756" s="15" t="str">
        <f t="shared" ca="1" si="115"/>
        <v>I2C_Expander_Main_Rst</v>
      </c>
      <c r="J756" s="15" t="str">
        <f t="shared" ca="1" si="112"/>
        <v>I2C_Expander_Main_Rst!A99</v>
      </c>
      <c r="K756" s="15" t="str">
        <f t="shared" ca="1" si="113"/>
        <v>I2C_Expander_Main_Rst!B99</v>
      </c>
    </row>
    <row r="757" spans="1:16" x14ac:dyDescent="0.25">
      <c r="A757" s="3" t="str">
        <f t="shared" ca="1" si="111"/>
        <v/>
      </c>
      <c r="G757" s="15">
        <f t="shared" ca="1" si="114"/>
        <v>100</v>
      </c>
      <c r="H757" s="15">
        <v>1</v>
      </c>
      <c r="I757" s="15" t="str">
        <f t="shared" ca="1" si="115"/>
        <v>I2C_Expander_Main_Rst</v>
      </c>
      <c r="J757" s="15" t="str">
        <f t="shared" ca="1" si="112"/>
        <v>I2C_Expander_Main_Rst!A100</v>
      </c>
      <c r="K757" s="15" t="str">
        <f t="shared" ca="1" si="113"/>
        <v>I2C_Expander_Main_Rst!B100</v>
      </c>
    </row>
    <row r="758" spans="1:16" x14ac:dyDescent="0.25">
      <c r="A758" s="3" t="str">
        <f t="shared" ca="1" si="111"/>
        <v xml:space="preserve">#pins_int = 10 </v>
      </c>
      <c r="G758" s="15">
        <f t="shared" ca="1" si="114"/>
        <v>101</v>
      </c>
      <c r="H758" s="15">
        <v>1</v>
      </c>
      <c r="I758" s="15" t="str">
        <f t="shared" ca="1" si="115"/>
        <v>I2C_Expander_Main_Rst</v>
      </c>
      <c r="J758" s="15" t="str">
        <f t="shared" ca="1" si="112"/>
        <v>I2C_Expander_Main_Rst!A101</v>
      </c>
      <c r="K758" s="15" t="str">
        <f t="shared" ca="1" si="113"/>
        <v>I2C_Expander_Main_Rst!B101</v>
      </c>
    </row>
    <row r="759" spans="1:16" x14ac:dyDescent="0.25">
      <c r="A759" s="3" t="str">
        <f t="shared" ca="1" si="111"/>
        <v/>
      </c>
      <c r="C759" s="16"/>
      <c r="G759" s="15">
        <f t="shared" ca="1" si="114"/>
        <v>102</v>
      </c>
      <c r="H759" s="15">
        <v>1</v>
      </c>
      <c r="I759" s="15" t="str">
        <f t="shared" ca="1" si="115"/>
        <v>I2C_Expander_Main_Rst</v>
      </c>
      <c r="J759" s="15" t="str">
        <f t="shared" ca="1" si="112"/>
        <v>I2C_Expander_Main_Rst!A102</v>
      </c>
      <c r="K759" s="15" t="str">
        <f t="shared" ca="1" si="113"/>
        <v>I2C_Expander_Main_Rst!B102</v>
      </c>
    </row>
    <row r="760" spans="1:16" x14ac:dyDescent="0.25">
      <c r="A760" s="3" t="str">
        <f t="shared" ca="1" si="111"/>
        <v/>
      </c>
      <c r="G760" s="15">
        <f t="shared" ca="1" si="114"/>
        <v>103</v>
      </c>
      <c r="H760" s="15">
        <v>1</v>
      </c>
      <c r="I760" s="15" t="str">
        <f t="shared" ca="1" si="115"/>
        <v>I2C_Expander_Main_Rst</v>
      </c>
      <c r="J760" s="15" t="str">
        <f t="shared" ca="1" si="112"/>
        <v>I2C_Expander_Main_Rst!A103</v>
      </c>
      <c r="K760" s="15" t="str">
        <f t="shared" ca="1" si="113"/>
        <v>I2C_Expander_Main_Rst!B103</v>
      </c>
    </row>
    <row r="761" spans="1:16" x14ac:dyDescent="0.25">
      <c r="A761" s="3" t="str">
        <f t="shared" ca="1" si="111"/>
        <v/>
      </c>
      <c r="G761" s="15">
        <f t="shared" ca="1" si="114"/>
        <v>104</v>
      </c>
      <c r="H761" s="15">
        <v>1</v>
      </c>
      <c r="I761" s="15" t="str">
        <f t="shared" ca="1" si="115"/>
        <v>I2C_Expander_Main_Rst</v>
      </c>
      <c r="J761" s="15" t="str">
        <f t="shared" ca="1" si="112"/>
        <v>I2C_Expander_Main_Rst!A104</v>
      </c>
      <c r="K761" s="15" t="str">
        <f t="shared" ca="1" si="113"/>
        <v>I2C_Expander_Main_Rst!B104</v>
      </c>
    </row>
    <row r="762" spans="1:16" x14ac:dyDescent="0.25">
      <c r="A762" s="3" t="str">
        <f t="shared" ca="1" si="111"/>
        <v/>
      </c>
      <c r="G762" s="15">
        <f t="shared" ca="1" si="114"/>
        <v>105</v>
      </c>
      <c r="H762" s="15">
        <v>1</v>
      </c>
      <c r="I762" s="15" t="str">
        <f t="shared" ca="1" si="115"/>
        <v>I2C_Expander_Main_Rst</v>
      </c>
      <c r="J762" s="15" t="str">
        <f t="shared" ca="1" si="112"/>
        <v>I2C_Expander_Main_Rst!A105</v>
      </c>
      <c r="K762" s="15" t="str">
        <f t="shared" ca="1" si="113"/>
        <v>I2C_Expander_Main_Rst!B105</v>
      </c>
    </row>
    <row r="763" spans="1:16" x14ac:dyDescent="0.25">
      <c r="A763" s="3" t="str">
        <f t="shared" ca="1" si="111"/>
        <v/>
      </c>
      <c r="G763" s="15">
        <f t="shared" ca="1" si="114"/>
        <v>106</v>
      </c>
      <c r="H763" s="15">
        <v>1</v>
      </c>
      <c r="I763" s="15" t="str">
        <f t="shared" ca="1" si="115"/>
        <v>I2C_Expander_Main_Rst</v>
      </c>
      <c r="J763" s="15" t="str">
        <f t="shared" ca="1" si="112"/>
        <v>I2C_Expander_Main_Rst!A106</v>
      </c>
      <c r="K763" s="15" t="str">
        <f t="shared" ca="1" si="113"/>
        <v>I2C_Expander_Main_Rst!B106</v>
      </c>
    </row>
    <row r="764" spans="1:16" x14ac:dyDescent="0.25">
      <c r="A764" s="3" t="str">
        <f t="shared" ca="1" si="111"/>
        <v/>
      </c>
      <c r="G764" s="15">
        <f t="shared" ca="1" si="114"/>
        <v>107</v>
      </c>
      <c r="H764" s="15">
        <v>1</v>
      </c>
      <c r="I764" s="15" t="str">
        <f t="shared" ca="1" si="115"/>
        <v>I2C_Expander_Main_Rst</v>
      </c>
      <c r="J764" s="15" t="str">
        <f t="shared" ca="1" si="112"/>
        <v>I2C_Expander_Main_Rst!A107</v>
      </c>
      <c r="K764" s="15" t="str">
        <f t="shared" ca="1" si="113"/>
        <v>I2C_Expander_Main_Rst!B107</v>
      </c>
    </row>
    <row r="765" spans="1:16" x14ac:dyDescent="0.25">
      <c r="A765" s="3" t="str">
        <f t="shared" ca="1" si="111"/>
        <v/>
      </c>
      <c r="G765" s="15">
        <f t="shared" ca="1" si="114"/>
        <v>108</v>
      </c>
      <c r="H765" s="15">
        <v>1</v>
      </c>
      <c r="I765" s="15" t="str">
        <f t="shared" ca="1" si="115"/>
        <v>I2C_Expander_Main_Rst</v>
      </c>
      <c r="J765" s="15" t="str">
        <f t="shared" ca="1" si="112"/>
        <v>I2C_Expander_Main_Rst!A108</v>
      </c>
      <c r="K765" s="15" t="str">
        <f t="shared" ca="1" si="113"/>
        <v>I2C_Expander_Main_Rst!B108</v>
      </c>
    </row>
    <row r="766" spans="1:16" x14ac:dyDescent="0.25">
      <c r="A766" s="3" t="str">
        <f t="shared" ca="1" si="111"/>
        <v/>
      </c>
      <c r="G766" s="15">
        <f t="shared" ca="1" si="114"/>
        <v>109</v>
      </c>
      <c r="H766" s="15">
        <v>1</v>
      </c>
      <c r="I766" s="15" t="str">
        <f t="shared" ca="1" si="115"/>
        <v>I2C_Expander_Main_Rst</v>
      </c>
      <c r="J766" s="15" t="str">
        <f t="shared" ca="1" si="112"/>
        <v>I2C_Expander_Main_Rst!A109</v>
      </c>
      <c r="K766" s="15" t="str">
        <f t="shared" ca="1" si="113"/>
        <v>I2C_Expander_Main_Rst!B109</v>
      </c>
    </row>
    <row r="767" spans="1:16" x14ac:dyDescent="0.25">
      <c r="A767" s="3" t="str">
        <f t="shared" ca="1" si="111"/>
        <v/>
      </c>
      <c r="G767" s="15">
        <f t="shared" ca="1" si="114"/>
        <v>110</v>
      </c>
      <c r="H767" s="15">
        <v>1</v>
      </c>
      <c r="I767" s="15" t="str">
        <f t="shared" ca="1" si="115"/>
        <v>I2C_Expander_Main_Rst</v>
      </c>
      <c r="J767" s="15" t="str">
        <f t="shared" ca="1" si="112"/>
        <v>I2C_Expander_Main_Rst!A110</v>
      </c>
      <c r="K767" s="15" t="str">
        <f t="shared" ca="1" si="113"/>
        <v>I2C_Expander_Main_Rst!B110</v>
      </c>
    </row>
    <row r="768" spans="1:16" x14ac:dyDescent="0.25">
      <c r="A768" s="3" t="str">
        <f t="shared" ca="1" si="111"/>
        <v xml:space="preserve">#I2C_Bridge_GPIO:exp_group_1x =  </v>
      </c>
      <c r="G768" s="15">
        <f ca="1">INDIRECT(M768)</f>
        <v>71</v>
      </c>
      <c r="H768" s="15">
        <v>1</v>
      </c>
      <c r="I768" s="15" t="str">
        <f ca="1">INDIRECT(N768)</f>
        <v>I2C_Bridge_GPIO</v>
      </c>
      <c r="J768" s="15" t="str">
        <f t="shared" ca="1" si="112"/>
        <v>I2C_Bridge_GPIO!A71</v>
      </c>
      <c r="K768" s="15" t="str">
        <f t="shared" ca="1" si="113"/>
        <v>I2C_Bridge_GPIO!B71</v>
      </c>
      <c r="M768" s="15" t="str">
        <f>ADDRESS(O768,3,4,1,$R$1)</f>
        <v>konfig!C40</v>
      </c>
      <c r="N768" s="15" t="str">
        <f>ADDRESS(O768,1,4,1,$R$1)</f>
        <v>konfig!A40</v>
      </c>
      <c r="O768" s="15">
        <v>40</v>
      </c>
      <c r="P768" s="15">
        <v>4</v>
      </c>
    </row>
    <row r="769" spans="1:11" x14ac:dyDescent="0.25">
      <c r="A769" s="3" t="str">
        <f t="shared" ca="1" si="111"/>
        <v xml:space="preserve">device = TCA9548 </v>
      </c>
      <c r="G769" s="15">
        <f ca="1">G768+1</f>
        <v>72</v>
      </c>
      <c r="H769" s="15">
        <v>1</v>
      </c>
      <c r="I769" s="15" t="str">
        <f ca="1">I768</f>
        <v>I2C_Bridge_GPIO</v>
      </c>
      <c r="J769" s="15" t="str">
        <f t="shared" ca="1" si="112"/>
        <v>I2C_Bridge_GPIO!A72</v>
      </c>
      <c r="K769" s="15" t="str">
        <f t="shared" ca="1" si="113"/>
        <v>I2C_Bridge_GPIO!B72</v>
      </c>
    </row>
    <row r="770" spans="1:11" x14ac:dyDescent="0.25">
      <c r="A770" s="3" t="str">
        <f t="shared" ca="1" si="111"/>
        <v xml:space="preserve">i2c_addr = 0x73 </v>
      </c>
      <c r="G770" s="15">
        <f t="shared" ref="G770:G787" ca="1" si="116">G769+1</f>
        <v>73</v>
      </c>
      <c r="H770" s="15">
        <v>1</v>
      </c>
      <c r="I770" s="15" t="str">
        <f t="shared" ref="I770:I787" ca="1" si="117">I769</f>
        <v>I2C_Bridge_GPIO</v>
      </c>
      <c r="J770" s="15" t="str">
        <f t="shared" ca="1" si="112"/>
        <v>I2C_Bridge_GPIO!A73</v>
      </c>
      <c r="K770" s="15" t="str">
        <f t="shared" ca="1" si="113"/>
        <v>I2C_Bridge_GPIO!B73</v>
      </c>
    </row>
    <row r="771" spans="1:11" x14ac:dyDescent="0.25">
      <c r="A771" s="3" t="str">
        <f t="shared" ca="1" si="111"/>
        <v xml:space="preserve">i2c_num = /dev/i2c-1 </v>
      </c>
      <c r="C771" s="16"/>
      <c r="G771" s="15">
        <f t="shared" ca="1" si="116"/>
        <v>74</v>
      </c>
      <c r="H771" s="15">
        <v>1</v>
      </c>
      <c r="I771" s="15" t="str">
        <f t="shared" ca="1" si="117"/>
        <v>I2C_Bridge_GPIO</v>
      </c>
      <c r="J771" s="15" t="str">
        <f t="shared" ca="1" si="112"/>
        <v>I2C_Bridge_GPIO!A74</v>
      </c>
      <c r="K771" s="15" t="str">
        <f t="shared" ca="1" si="113"/>
        <v>I2C_Bridge_GPIO!B74</v>
      </c>
    </row>
    <row r="772" spans="1:11" x14ac:dyDescent="0.25">
      <c r="A772" s="3" t="str">
        <f t="shared" ca="1" si="111"/>
        <v xml:space="preserve">ctrl_reg = 0x10 </v>
      </c>
      <c r="G772" s="15">
        <f t="shared" ca="1" si="116"/>
        <v>75</v>
      </c>
      <c r="H772" s="15">
        <v>1</v>
      </c>
      <c r="I772" s="15" t="str">
        <f t="shared" ca="1" si="117"/>
        <v>I2C_Bridge_GPIO</v>
      </c>
      <c r="J772" s="15" t="str">
        <f t="shared" ca="1" si="112"/>
        <v>I2C_Bridge_GPIO!A75</v>
      </c>
      <c r="K772" s="15" t="str">
        <f t="shared" ca="1" si="113"/>
        <v>I2C_Bridge_GPIO!B75</v>
      </c>
    </row>
    <row r="773" spans="1:11" x14ac:dyDescent="0.25">
      <c r="A773" s="3" t="str">
        <f t="shared" ca="1" si="111"/>
        <v/>
      </c>
      <c r="G773" s="15">
        <f t="shared" ca="1" si="116"/>
        <v>76</v>
      </c>
      <c r="H773" s="15">
        <v>1</v>
      </c>
      <c r="I773" s="15" t="str">
        <f t="shared" ca="1" si="117"/>
        <v>I2C_Bridge_GPIO</v>
      </c>
      <c r="J773" s="15" t="str">
        <f t="shared" ca="1" si="112"/>
        <v>I2C_Bridge_GPIO!A76</v>
      </c>
      <c r="K773" s="15" t="str">
        <f t="shared" ca="1" si="113"/>
        <v>I2C_Bridge_GPIO!B76</v>
      </c>
    </row>
    <row r="774" spans="1:11" x14ac:dyDescent="0.25">
      <c r="A774" s="3" t="str">
        <f t="shared" ca="1" si="111"/>
        <v xml:space="preserve">time = 11 </v>
      </c>
      <c r="G774" s="15">
        <f t="shared" ca="1" si="116"/>
        <v>77</v>
      </c>
      <c r="H774" s="15">
        <v>1</v>
      </c>
      <c r="I774" s="15" t="str">
        <f t="shared" ca="1" si="117"/>
        <v>I2C_Bridge_GPIO</v>
      </c>
      <c r="J774" s="15" t="str">
        <f t="shared" ca="1" si="112"/>
        <v>I2C_Bridge_GPIO!A77</v>
      </c>
      <c r="K774" s="15" t="str">
        <f t="shared" ca="1" si="113"/>
        <v>I2C_Bridge_GPIO!B77</v>
      </c>
    </row>
    <row r="775" spans="1:11" x14ac:dyDescent="0.25">
      <c r="A775" s="3" t="str">
        <f t="shared" ca="1" si="111"/>
        <v/>
      </c>
      <c r="G775" s="15">
        <f t="shared" ca="1" si="116"/>
        <v>78</v>
      </c>
      <c r="H775" s="15">
        <v>1</v>
      </c>
      <c r="I775" s="15" t="str">
        <f t="shared" ca="1" si="117"/>
        <v>I2C_Bridge_GPIO</v>
      </c>
      <c r="J775" s="15" t="str">
        <f t="shared" ca="1" si="112"/>
        <v>I2C_Bridge_GPIO!A78</v>
      </c>
      <c r="K775" s="15" t="str">
        <f t="shared" ca="1" si="113"/>
        <v>I2C_Bridge_GPIO!B78</v>
      </c>
    </row>
    <row r="776" spans="1:11" x14ac:dyDescent="0.25">
      <c r="A776" s="3" t="str">
        <f t="shared" ca="1" si="111"/>
        <v/>
      </c>
      <c r="G776" s="15">
        <f t="shared" ca="1" si="116"/>
        <v>79</v>
      </c>
      <c r="H776" s="15">
        <v>1</v>
      </c>
      <c r="I776" s="15" t="str">
        <f t="shared" ca="1" si="117"/>
        <v>I2C_Bridge_GPIO</v>
      </c>
      <c r="J776" s="15" t="str">
        <f t="shared" ca="1" si="112"/>
        <v>I2C_Bridge_GPIO!A79</v>
      </c>
      <c r="K776" s="15" t="str">
        <f t="shared" ca="1" si="113"/>
        <v>I2C_Bridge_GPIO!B79</v>
      </c>
    </row>
    <row r="777" spans="1:11" x14ac:dyDescent="0.25">
      <c r="A777" s="3" t="str">
        <f t="shared" ca="1" si="111"/>
        <v/>
      </c>
      <c r="G777" s="15">
        <f t="shared" ca="1" si="116"/>
        <v>80</v>
      </c>
      <c r="H777" s="15">
        <v>1</v>
      </c>
      <c r="I777" s="15" t="str">
        <f t="shared" ca="1" si="117"/>
        <v>I2C_Bridge_GPIO</v>
      </c>
      <c r="J777" s="15" t="str">
        <f t="shared" ca="1" si="112"/>
        <v>I2C_Bridge_GPIO!A80</v>
      </c>
      <c r="K777" s="15" t="str">
        <f t="shared" ca="1" si="113"/>
        <v>I2C_Bridge_GPIO!B80</v>
      </c>
    </row>
    <row r="778" spans="1:11" x14ac:dyDescent="0.25">
      <c r="A778" s="3" t="str">
        <f t="shared" ca="1" si="111"/>
        <v/>
      </c>
      <c r="G778" s="15">
        <f t="shared" ca="1" si="116"/>
        <v>81</v>
      </c>
      <c r="H778" s="15">
        <v>1</v>
      </c>
      <c r="I778" s="15" t="str">
        <f t="shared" ca="1" si="117"/>
        <v>I2C_Bridge_GPIO</v>
      </c>
      <c r="J778" s="15" t="str">
        <f t="shared" ca="1" si="112"/>
        <v>I2C_Bridge_GPIO!A81</v>
      </c>
      <c r="K778" s="15" t="str">
        <f t="shared" ca="1" si="113"/>
        <v>I2C_Bridge_GPIO!B81</v>
      </c>
    </row>
    <row r="779" spans="1:11" x14ac:dyDescent="0.25">
      <c r="A779" s="3" t="str">
        <f t="shared" ca="1" si="111"/>
        <v/>
      </c>
      <c r="C779" s="16"/>
      <c r="G779" s="15">
        <f t="shared" ca="1" si="116"/>
        <v>82</v>
      </c>
      <c r="H779" s="15">
        <v>1</v>
      </c>
      <c r="I779" s="15" t="str">
        <f t="shared" ca="1" si="117"/>
        <v>I2C_Bridge_GPIO</v>
      </c>
      <c r="J779" s="15" t="str">
        <f t="shared" ca="1" si="112"/>
        <v>I2C_Bridge_GPIO!A82</v>
      </c>
      <c r="K779" s="15" t="str">
        <f t="shared" ca="1" si="113"/>
        <v>I2C_Bridge_GPIO!B82</v>
      </c>
    </row>
    <row r="780" spans="1:11" x14ac:dyDescent="0.25">
      <c r="A780" s="3" t="str">
        <f t="shared" ca="1" si="111"/>
        <v/>
      </c>
      <c r="G780" s="15">
        <f t="shared" ca="1" si="116"/>
        <v>83</v>
      </c>
      <c r="H780" s="15">
        <v>1</v>
      </c>
      <c r="I780" s="15" t="str">
        <f t="shared" ca="1" si="117"/>
        <v>I2C_Bridge_GPIO</v>
      </c>
      <c r="J780" s="15" t="str">
        <f t="shared" ca="1" si="112"/>
        <v>I2C_Bridge_GPIO!A83</v>
      </c>
      <c r="K780" s="15" t="str">
        <f t="shared" ca="1" si="113"/>
        <v>I2C_Bridge_GPIO!B83</v>
      </c>
    </row>
    <row r="781" spans="1:11" x14ac:dyDescent="0.25">
      <c r="A781" s="3" t="str">
        <f t="shared" ca="1" si="111"/>
        <v/>
      </c>
      <c r="G781" s="15">
        <f t="shared" ca="1" si="116"/>
        <v>84</v>
      </c>
      <c r="H781" s="15">
        <v>1</v>
      </c>
      <c r="I781" s="15" t="str">
        <f t="shared" ca="1" si="117"/>
        <v>I2C_Bridge_GPIO</v>
      </c>
      <c r="J781" s="15" t="str">
        <f t="shared" ca="1" si="112"/>
        <v>I2C_Bridge_GPIO!A84</v>
      </c>
      <c r="K781" s="15" t="str">
        <f t="shared" ca="1" si="113"/>
        <v>I2C_Bridge_GPIO!B84</v>
      </c>
    </row>
    <row r="782" spans="1:11" x14ac:dyDescent="0.25">
      <c r="A782" s="3" t="str">
        <f t="shared" ca="1" si="111"/>
        <v/>
      </c>
      <c r="G782" s="15">
        <f t="shared" ca="1" si="116"/>
        <v>85</v>
      </c>
      <c r="H782" s="15">
        <v>1</v>
      </c>
      <c r="I782" s="15" t="str">
        <f t="shared" ca="1" si="117"/>
        <v>I2C_Bridge_GPIO</v>
      </c>
      <c r="J782" s="15" t="str">
        <f t="shared" ca="1" si="112"/>
        <v>I2C_Bridge_GPIO!A85</v>
      </c>
      <c r="K782" s="15" t="str">
        <f t="shared" ca="1" si="113"/>
        <v>I2C_Bridge_GPIO!B85</v>
      </c>
    </row>
    <row r="783" spans="1:11" x14ac:dyDescent="0.25">
      <c r="A783" s="3" t="str">
        <f t="shared" ca="1" si="111"/>
        <v/>
      </c>
      <c r="G783" s="15">
        <f t="shared" ca="1" si="116"/>
        <v>86</v>
      </c>
      <c r="H783" s="15">
        <v>1</v>
      </c>
      <c r="I783" s="15" t="str">
        <f t="shared" ca="1" si="117"/>
        <v>I2C_Bridge_GPIO</v>
      </c>
      <c r="J783" s="15" t="str">
        <f t="shared" ca="1" si="112"/>
        <v>I2C_Bridge_GPIO!A86</v>
      </c>
      <c r="K783" s="15" t="str">
        <f t="shared" ca="1" si="113"/>
        <v>I2C_Bridge_GPIO!B86</v>
      </c>
    </row>
    <row r="784" spans="1:11" x14ac:dyDescent="0.25">
      <c r="A784" s="3" t="str">
        <f t="shared" ca="1" si="111"/>
        <v/>
      </c>
      <c r="G784" s="15">
        <f t="shared" ca="1" si="116"/>
        <v>87</v>
      </c>
      <c r="H784" s="15">
        <v>1</v>
      </c>
      <c r="I784" s="15" t="str">
        <f t="shared" ca="1" si="117"/>
        <v>I2C_Bridge_GPIO</v>
      </c>
      <c r="J784" s="15" t="str">
        <f t="shared" ca="1" si="112"/>
        <v>I2C_Bridge_GPIO!A87</v>
      </c>
      <c r="K784" s="15" t="str">
        <f t="shared" ca="1" si="113"/>
        <v>I2C_Bridge_GPIO!B87</v>
      </c>
    </row>
    <row r="785" spans="1:16" x14ac:dyDescent="0.25">
      <c r="A785" s="3" t="str">
        <f t="shared" ca="1" si="111"/>
        <v/>
      </c>
      <c r="G785" s="15">
        <f t="shared" ca="1" si="116"/>
        <v>88</v>
      </c>
      <c r="H785" s="15">
        <v>1</v>
      </c>
      <c r="I785" s="15" t="str">
        <f t="shared" ca="1" si="117"/>
        <v>I2C_Bridge_GPIO</v>
      </c>
      <c r="J785" s="15" t="str">
        <f t="shared" ca="1" si="112"/>
        <v>I2C_Bridge_GPIO!A88</v>
      </c>
      <c r="K785" s="15" t="str">
        <f t="shared" ca="1" si="113"/>
        <v>I2C_Bridge_GPIO!B88</v>
      </c>
    </row>
    <row r="786" spans="1:16" x14ac:dyDescent="0.25">
      <c r="A786" s="3" t="str">
        <f t="shared" ca="1" si="111"/>
        <v/>
      </c>
      <c r="G786" s="15">
        <f t="shared" ca="1" si="116"/>
        <v>89</v>
      </c>
      <c r="H786" s="15">
        <v>1</v>
      </c>
      <c r="I786" s="15" t="str">
        <f t="shared" ca="1" si="117"/>
        <v>I2C_Bridge_GPIO</v>
      </c>
      <c r="J786" s="15" t="str">
        <f t="shared" ca="1" si="112"/>
        <v>I2C_Bridge_GPIO!A89</v>
      </c>
      <c r="K786" s="15" t="str">
        <f t="shared" ca="1" si="113"/>
        <v>I2C_Bridge_GPIO!B89</v>
      </c>
    </row>
    <row r="787" spans="1:16" x14ac:dyDescent="0.25">
      <c r="A787" s="3" t="str">
        <f t="shared" ca="1" si="111"/>
        <v/>
      </c>
      <c r="G787" s="15">
        <f t="shared" ca="1" si="116"/>
        <v>90</v>
      </c>
      <c r="H787" s="15">
        <v>1</v>
      </c>
      <c r="I787" s="15" t="str">
        <f t="shared" ca="1" si="117"/>
        <v>I2C_Bridge_GPIO</v>
      </c>
      <c r="J787" s="15" t="str">
        <f t="shared" ca="1" si="112"/>
        <v>I2C_Bridge_GPIO!A90</v>
      </c>
      <c r="K787" s="15" t="str">
        <f t="shared" ca="1" si="113"/>
        <v>I2C_Bridge_GPIO!B90</v>
      </c>
    </row>
    <row r="788" spans="1:16" x14ac:dyDescent="0.25">
      <c r="A788" s="3" t="str">
        <f t="shared" ca="1" si="111"/>
        <v xml:space="preserve">#I2C_Expander_11:LTC6952_2 =  </v>
      </c>
      <c r="G788" s="15">
        <f ca="1">INDIRECT(M788)</f>
        <v>91</v>
      </c>
      <c r="H788" s="15">
        <v>1</v>
      </c>
      <c r="I788" s="15" t="str">
        <f ca="1">INDIRECT(N788)</f>
        <v>I2C_Expander_11</v>
      </c>
      <c r="J788" s="15" t="str">
        <f t="shared" ca="1" si="112"/>
        <v>I2C_Expander_11!A91</v>
      </c>
      <c r="K788" s="15" t="str">
        <f t="shared" ca="1" si="113"/>
        <v>I2C_Expander_11!B91</v>
      </c>
      <c r="M788" s="15" t="str">
        <f>ADDRESS(O788,3,4,1,$R$1)</f>
        <v>konfig!C41</v>
      </c>
      <c r="N788" s="15" t="str">
        <f>ADDRESS(O788,1,4,1,$R$1)</f>
        <v>konfig!A41</v>
      </c>
      <c r="O788" s="15">
        <v>41</v>
      </c>
      <c r="P788" s="15">
        <v>4</v>
      </c>
    </row>
    <row r="789" spans="1:16" x14ac:dyDescent="0.25">
      <c r="A789" s="3" t="str">
        <f t="shared" ca="1" si="111"/>
        <v xml:space="preserve">device = MCP23017 </v>
      </c>
      <c r="G789" s="15">
        <f ca="1">G788+1</f>
        <v>92</v>
      </c>
      <c r="H789" s="15">
        <v>1</v>
      </c>
      <c r="I789" s="15" t="str">
        <f ca="1">I788</f>
        <v>I2C_Expander_11</v>
      </c>
      <c r="J789" s="15" t="str">
        <f t="shared" ca="1" si="112"/>
        <v>I2C_Expander_11!A92</v>
      </c>
      <c r="K789" s="15" t="str">
        <f t="shared" ca="1" si="113"/>
        <v>I2C_Expander_11!B92</v>
      </c>
    </row>
    <row r="790" spans="1:16" x14ac:dyDescent="0.25">
      <c r="A790" s="3" t="str">
        <f t="shared" ca="1" si="111"/>
        <v xml:space="preserve">i2c_addr = 0x21 </v>
      </c>
      <c r="G790" s="15">
        <f t="shared" ref="G790:G807" ca="1" si="118">G789+1</f>
        <v>93</v>
      </c>
      <c r="H790" s="15">
        <v>1</v>
      </c>
      <c r="I790" s="15" t="str">
        <f t="shared" ref="I790:I807" ca="1" si="119">I789</f>
        <v>I2C_Expander_11</v>
      </c>
      <c r="J790" s="15" t="str">
        <f t="shared" ca="1" si="112"/>
        <v>I2C_Expander_11!A93</v>
      </c>
      <c r="K790" s="15" t="str">
        <f t="shared" ca="1" si="113"/>
        <v>I2C_Expander_11!B93</v>
      </c>
    </row>
    <row r="791" spans="1:16" x14ac:dyDescent="0.25">
      <c r="A791" s="3" t="str">
        <f t="shared" ca="1" si="111"/>
        <v xml:space="preserve">i2c_num = /dev/i2c-1 </v>
      </c>
      <c r="C791" s="16"/>
      <c r="G791" s="15">
        <f t="shared" ca="1" si="118"/>
        <v>94</v>
      </c>
      <c r="H791" s="15">
        <v>1</v>
      </c>
      <c r="I791" s="15" t="str">
        <f t="shared" ca="1" si="119"/>
        <v>I2C_Expander_11</v>
      </c>
      <c r="J791" s="15" t="str">
        <f t="shared" ca="1" si="112"/>
        <v>I2C_Expander_11!A94</v>
      </c>
      <c r="K791" s="15" t="str">
        <f t="shared" ca="1" si="113"/>
        <v>I2C_Expander_11!B94</v>
      </c>
    </row>
    <row r="792" spans="1:16" x14ac:dyDescent="0.25">
      <c r="A792" s="3" t="str">
        <f t="shared" ca="1" si="111"/>
        <v xml:space="preserve">pins_mode = 0x7450 </v>
      </c>
      <c r="G792" s="15">
        <f t="shared" ca="1" si="118"/>
        <v>95</v>
      </c>
      <c r="H792" s="15">
        <v>1</v>
      </c>
      <c r="I792" s="15" t="str">
        <f t="shared" ca="1" si="119"/>
        <v>I2C_Expander_11</v>
      </c>
      <c r="J792" s="15" t="str">
        <f t="shared" ca="1" si="112"/>
        <v>I2C_Expander_11!A95</v>
      </c>
      <c r="K792" s="15" t="str">
        <f t="shared" ca="1" si="113"/>
        <v>I2C_Expander_11!B95</v>
      </c>
    </row>
    <row r="793" spans="1:16" x14ac:dyDescent="0.25">
      <c r="A793" s="3" t="str">
        <f t="shared" ca="1" si="111"/>
        <v xml:space="preserve">pins_state = 0x0B8F </v>
      </c>
      <c r="G793" s="15">
        <f t="shared" ca="1" si="118"/>
        <v>96</v>
      </c>
      <c r="H793" s="15">
        <v>1</v>
      </c>
      <c r="I793" s="15" t="str">
        <f t="shared" ca="1" si="119"/>
        <v>I2C_Expander_11</v>
      </c>
      <c r="J793" s="15" t="str">
        <f t="shared" ca="1" si="112"/>
        <v>I2C_Expander_11!A96</v>
      </c>
      <c r="K793" s="15" t="str">
        <f t="shared" ca="1" si="113"/>
        <v>I2C_Expander_11!B96</v>
      </c>
    </row>
    <row r="794" spans="1:16" x14ac:dyDescent="0.25">
      <c r="A794" s="3" t="str">
        <f t="shared" ca="1" si="111"/>
        <v xml:space="preserve">pins_pull_up = 0x0000 </v>
      </c>
      <c r="G794" s="15">
        <f t="shared" ca="1" si="118"/>
        <v>97</v>
      </c>
      <c r="H794" s="15">
        <v>1</v>
      </c>
      <c r="I794" s="15" t="str">
        <f t="shared" ca="1" si="119"/>
        <v>I2C_Expander_11</v>
      </c>
      <c r="J794" s="15" t="str">
        <f t="shared" ca="1" si="112"/>
        <v>I2C_Expander_11!A97</v>
      </c>
      <c r="K794" s="15" t="str">
        <f t="shared" ca="1" si="113"/>
        <v>I2C_Expander_11!B97</v>
      </c>
    </row>
    <row r="795" spans="1:16" x14ac:dyDescent="0.25">
      <c r="A795" s="3" t="str">
        <f t="shared" ca="1" si="111"/>
        <v xml:space="preserve">#pins_int = 0x0000 </v>
      </c>
      <c r="G795" s="15">
        <f t="shared" ca="1" si="118"/>
        <v>98</v>
      </c>
      <c r="H795" s="15">
        <v>1</v>
      </c>
      <c r="I795" s="15" t="str">
        <f t="shared" ca="1" si="119"/>
        <v>I2C_Expander_11</v>
      </c>
      <c r="J795" s="15" t="str">
        <f t="shared" ca="1" si="112"/>
        <v>I2C_Expander_11!A98</v>
      </c>
      <c r="K795" s="15" t="str">
        <f t="shared" ca="1" si="113"/>
        <v>I2C_Expander_11!B98</v>
      </c>
    </row>
    <row r="796" spans="1:16" x14ac:dyDescent="0.25">
      <c r="A796" s="3" t="str">
        <f t="shared" ref="A796:A835" ca="1" si="120">IFERROR(IF(INDIRECT(J796)&lt;&gt;"",CONCATENATE(INDIRECT(J796)," = ",INDIRECT(K796)," "),""),"")</f>
        <v xml:space="preserve">#pins_def_val = 0x0000 </v>
      </c>
      <c r="G796" s="15">
        <f t="shared" ca="1" si="118"/>
        <v>99</v>
      </c>
      <c r="H796" s="15">
        <v>1</v>
      </c>
      <c r="I796" s="15" t="str">
        <f t="shared" ca="1" si="119"/>
        <v>I2C_Expander_11</v>
      </c>
      <c r="J796" s="15" t="str">
        <f t="shared" ca="1" si="112"/>
        <v>I2C_Expander_11!A99</v>
      </c>
      <c r="K796" s="15" t="str">
        <f t="shared" ca="1" si="113"/>
        <v>I2C_Expander_11!B99</v>
      </c>
    </row>
    <row r="797" spans="1:16" x14ac:dyDescent="0.25">
      <c r="A797" s="3" t="str">
        <f t="shared" ca="1" si="120"/>
        <v/>
      </c>
      <c r="G797" s="15">
        <f t="shared" ca="1" si="118"/>
        <v>100</v>
      </c>
      <c r="H797" s="15">
        <v>1</v>
      </c>
      <c r="I797" s="15" t="str">
        <f t="shared" ca="1" si="119"/>
        <v>I2C_Expander_11</v>
      </c>
      <c r="J797" s="15" t="str">
        <f t="shared" ca="1" si="112"/>
        <v>I2C_Expander_11!A100</v>
      </c>
      <c r="K797" s="15" t="str">
        <f t="shared" ca="1" si="113"/>
        <v>I2C_Expander_11!B100</v>
      </c>
    </row>
    <row r="798" spans="1:16" x14ac:dyDescent="0.25">
      <c r="A798" s="3" t="str">
        <f t="shared" ca="1" si="120"/>
        <v xml:space="preserve">#pins_int = 10 </v>
      </c>
      <c r="G798" s="15">
        <f t="shared" ca="1" si="118"/>
        <v>101</v>
      </c>
      <c r="H798" s="15">
        <v>1</v>
      </c>
      <c r="I798" s="15" t="str">
        <f t="shared" ca="1" si="119"/>
        <v>I2C_Expander_11</v>
      </c>
      <c r="J798" s="15" t="str">
        <f t="shared" ca="1" si="112"/>
        <v>I2C_Expander_11!A101</v>
      </c>
      <c r="K798" s="15" t="str">
        <f t="shared" ca="1" si="113"/>
        <v>I2C_Expander_11!B101</v>
      </c>
    </row>
    <row r="799" spans="1:16" x14ac:dyDescent="0.25">
      <c r="A799" s="3" t="str">
        <f t="shared" ca="1" si="120"/>
        <v/>
      </c>
      <c r="C799" s="16"/>
      <c r="G799" s="15">
        <f t="shared" ca="1" si="118"/>
        <v>102</v>
      </c>
      <c r="H799" s="15">
        <v>1</v>
      </c>
      <c r="I799" s="15" t="str">
        <f t="shared" ca="1" si="119"/>
        <v>I2C_Expander_11</v>
      </c>
      <c r="J799" s="15" t="str">
        <f t="shared" ca="1" si="112"/>
        <v>I2C_Expander_11!A102</v>
      </c>
      <c r="K799" s="15" t="str">
        <f t="shared" ca="1" si="113"/>
        <v>I2C_Expander_11!B102</v>
      </c>
    </row>
    <row r="800" spans="1:16" x14ac:dyDescent="0.25">
      <c r="A800" s="3" t="str">
        <f t="shared" ca="1" si="120"/>
        <v/>
      </c>
      <c r="G800" s="15">
        <f t="shared" ca="1" si="118"/>
        <v>103</v>
      </c>
      <c r="H800" s="15">
        <v>1</v>
      </c>
      <c r="I800" s="15" t="str">
        <f t="shared" ca="1" si="119"/>
        <v>I2C_Expander_11</v>
      </c>
      <c r="J800" s="15" t="str">
        <f t="shared" ca="1" si="112"/>
        <v>I2C_Expander_11!A103</v>
      </c>
      <c r="K800" s="15" t="str">
        <f t="shared" ca="1" si="113"/>
        <v>I2C_Expander_11!B103</v>
      </c>
    </row>
    <row r="801" spans="1:16" x14ac:dyDescent="0.25">
      <c r="A801" s="3" t="str">
        <f t="shared" ca="1" si="120"/>
        <v/>
      </c>
      <c r="G801" s="15">
        <f t="shared" ca="1" si="118"/>
        <v>104</v>
      </c>
      <c r="H801" s="15">
        <v>1</v>
      </c>
      <c r="I801" s="15" t="str">
        <f t="shared" ca="1" si="119"/>
        <v>I2C_Expander_11</v>
      </c>
      <c r="J801" s="15" t="str">
        <f t="shared" ca="1" si="112"/>
        <v>I2C_Expander_11!A104</v>
      </c>
      <c r="K801" s="15" t="str">
        <f t="shared" ca="1" si="113"/>
        <v>I2C_Expander_11!B104</v>
      </c>
    </row>
    <row r="802" spans="1:16" x14ac:dyDescent="0.25">
      <c r="A802" s="3" t="str">
        <f t="shared" ca="1" si="120"/>
        <v/>
      </c>
      <c r="G802" s="15">
        <f t="shared" ca="1" si="118"/>
        <v>105</v>
      </c>
      <c r="H802" s="15">
        <v>1</v>
      </c>
      <c r="I802" s="15" t="str">
        <f t="shared" ca="1" si="119"/>
        <v>I2C_Expander_11</v>
      </c>
      <c r="J802" s="15" t="str">
        <f t="shared" ca="1" si="112"/>
        <v>I2C_Expander_11!A105</v>
      </c>
      <c r="K802" s="15" t="str">
        <f t="shared" ca="1" si="113"/>
        <v>I2C_Expander_11!B105</v>
      </c>
    </row>
    <row r="803" spans="1:16" x14ac:dyDescent="0.25">
      <c r="A803" s="3" t="str">
        <f t="shared" ca="1" si="120"/>
        <v/>
      </c>
      <c r="G803" s="15">
        <f t="shared" ca="1" si="118"/>
        <v>106</v>
      </c>
      <c r="H803" s="15">
        <v>1</v>
      </c>
      <c r="I803" s="15" t="str">
        <f t="shared" ca="1" si="119"/>
        <v>I2C_Expander_11</v>
      </c>
      <c r="J803" s="15" t="str">
        <f t="shared" ca="1" si="112"/>
        <v>I2C_Expander_11!A106</v>
      </c>
      <c r="K803" s="15" t="str">
        <f t="shared" ca="1" si="113"/>
        <v>I2C_Expander_11!B106</v>
      </c>
    </row>
    <row r="804" spans="1:16" x14ac:dyDescent="0.25">
      <c r="A804" s="3" t="str">
        <f t="shared" ca="1" si="120"/>
        <v/>
      </c>
      <c r="G804" s="15">
        <f t="shared" ca="1" si="118"/>
        <v>107</v>
      </c>
      <c r="H804" s="15">
        <v>1</v>
      </c>
      <c r="I804" s="15" t="str">
        <f t="shared" ca="1" si="119"/>
        <v>I2C_Expander_11</v>
      </c>
      <c r="J804" s="15" t="str">
        <f t="shared" ca="1" si="112"/>
        <v>I2C_Expander_11!A107</v>
      </c>
      <c r="K804" s="15" t="str">
        <f t="shared" ca="1" si="113"/>
        <v>I2C_Expander_11!B107</v>
      </c>
    </row>
    <row r="805" spans="1:16" x14ac:dyDescent="0.25">
      <c r="A805" s="3" t="str">
        <f t="shared" ca="1" si="120"/>
        <v/>
      </c>
      <c r="G805" s="15">
        <f t="shared" ca="1" si="118"/>
        <v>108</v>
      </c>
      <c r="H805" s="15">
        <v>1</v>
      </c>
      <c r="I805" s="15" t="str">
        <f t="shared" ca="1" si="119"/>
        <v>I2C_Expander_11</v>
      </c>
      <c r="J805" s="15" t="str">
        <f t="shared" ca="1" si="112"/>
        <v>I2C_Expander_11!A108</v>
      </c>
      <c r="K805" s="15" t="str">
        <f t="shared" ca="1" si="113"/>
        <v>I2C_Expander_11!B108</v>
      </c>
    </row>
    <row r="806" spans="1:16" x14ac:dyDescent="0.25">
      <c r="A806" s="3" t="str">
        <f t="shared" ca="1" si="120"/>
        <v/>
      </c>
      <c r="G806" s="15">
        <f t="shared" ca="1" si="118"/>
        <v>109</v>
      </c>
      <c r="H806" s="15">
        <v>1</v>
      </c>
      <c r="I806" s="15" t="str">
        <f t="shared" ca="1" si="119"/>
        <v>I2C_Expander_11</v>
      </c>
      <c r="J806" s="15" t="str">
        <f t="shared" ca="1" si="112"/>
        <v>I2C_Expander_11!A109</v>
      </c>
      <c r="K806" s="15" t="str">
        <f t="shared" ca="1" si="113"/>
        <v>I2C_Expander_11!B109</v>
      </c>
    </row>
    <row r="807" spans="1:16" x14ac:dyDescent="0.25">
      <c r="A807" s="3" t="str">
        <f t="shared" ca="1" si="120"/>
        <v/>
      </c>
      <c r="G807" s="15">
        <f t="shared" ca="1" si="118"/>
        <v>110</v>
      </c>
      <c r="H807" s="15">
        <v>1</v>
      </c>
      <c r="I807" s="15" t="str">
        <f t="shared" ca="1" si="119"/>
        <v>I2C_Expander_11</v>
      </c>
      <c r="J807" s="15" t="str">
        <f t="shared" ca="1" si="112"/>
        <v>I2C_Expander_11!A110</v>
      </c>
      <c r="K807" s="15" t="str">
        <f t="shared" ca="1" si="113"/>
        <v>I2C_Expander_11!B110</v>
      </c>
    </row>
    <row r="808" spans="1:16" x14ac:dyDescent="0.25">
      <c r="A808" s="3" t="str">
        <f t="shared" ca="1" si="120"/>
        <v xml:space="preserve">#LTC6952_Config_Safe =  </v>
      </c>
      <c r="G808" s="15">
        <f ca="1">INDIRECT(M808)</f>
        <v>31</v>
      </c>
      <c r="H808" s="15">
        <v>1</v>
      </c>
      <c r="I808" s="15" t="str">
        <f ca="1">INDIRECT(N808)</f>
        <v>LTC6952_1</v>
      </c>
      <c r="J808" s="15" t="str">
        <f t="shared" ref="J808:J871" ca="1" si="121">ADDRESS(G808,H808,4,1,I808)</f>
        <v>LTC6952_1!A31</v>
      </c>
      <c r="K808" s="15" t="str">
        <f t="shared" ref="K808:K871" ca="1" si="122">ADDRESS(G808,H808+1,4,1,I808)</f>
        <v>LTC6952_1!B31</v>
      </c>
      <c r="M808" s="15" t="str">
        <f>ADDRESS(O808,3,4,1,$R$1)</f>
        <v>konfig!C42</v>
      </c>
      <c r="N808" s="15" t="str">
        <f>ADDRESS(O808,1,4,1,$R$1)</f>
        <v>konfig!A42</v>
      </c>
      <c r="O808" s="15">
        <v>42</v>
      </c>
      <c r="P808" s="15">
        <v>4</v>
      </c>
    </row>
    <row r="809" spans="1:16" x14ac:dyDescent="0.25">
      <c r="A809" s="3" t="str">
        <f t="shared" ca="1" si="120"/>
        <v xml:space="preserve">device = LTC6952 </v>
      </c>
      <c r="G809" s="15">
        <f ca="1">G808+1</f>
        <v>32</v>
      </c>
      <c r="H809" s="15">
        <v>1</v>
      </c>
      <c r="I809" s="15" t="str">
        <f ca="1">I808</f>
        <v>LTC6952_1</v>
      </c>
      <c r="J809" s="15" t="str">
        <f t="shared" ca="1" si="121"/>
        <v>LTC6952_1!A32</v>
      </c>
      <c r="K809" s="15" t="str">
        <f t="shared" ca="1" si="122"/>
        <v>LTC6952_1!B32</v>
      </c>
    </row>
    <row r="810" spans="1:16" x14ac:dyDescent="0.25">
      <c r="A810" s="3" t="str">
        <f t="shared" ca="1" si="120"/>
        <v xml:space="preserve">spi_num = /dev/spidev0.0 </v>
      </c>
      <c r="G810" s="15">
        <f t="shared" ref="G810:G827" ca="1" si="123">G809+1</f>
        <v>33</v>
      </c>
      <c r="H810" s="15">
        <v>1</v>
      </c>
      <c r="I810" s="15" t="str">
        <f t="shared" ref="I810:I827" ca="1" si="124">I809</f>
        <v>LTC6952_1</v>
      </c>
      <c r="J810" s="15" t="str">
        <f t="shared" ca="1" si="121"/>
        <v>LTC6952_1!A33</v>
      </c>
      <c r="K810" s="15" t="str">
        <f t="shared" ca="1" si="122"/>
        <v>LTC6952_1!B33</v>
      </c>
    </row>
    <row r="811" spans="1:16" x14ac:dyDescent="0.25">
      <c r="A811" s="3" t="str">
        <f t="shared" ca="1" si="120"/>
        <v xml:space="preserve">path_cfg = ./device_config_files/LTC6952_2.cfg </v>
      </c>
      <c r="C811" s="16"/>
      <c r="G811" s="15">
        <f t="shared" ca="1" si="123"/>
        <v>34</v>
      </c>
      <c r="H811" s="15">
        <v>1</v>
      </c>
      <c r="I811" s="15" t="str">
        <f t="shared" ca="1" si="124"/>
        <v>LTC6952_1</v>
      </c>
      <c r="J811" s="15" t="str">
        <f t="shared" ca="1" si="121"/>
        <v>LTC6952_1!A34</v>
      </c>
      <c r="K811" s="15" t="str">
        <f t="shared" ca="1" si="122"/>
        <v>LTC6952_1!B34</v>
      </c>
    </row>
    <row r="812" spans="1:16" x14ac:dyDescent="0.25">
      <c r="A812" s="3" t="str">
        <f t="shared" ca="1" si="120"/>
        <v/>
      </c>
      <c r="G812" s="15">
        <f t="shared" ca="1" si="123"/>
        <v>35</v>
      </c>
      <c r="H812" s="15">
        <v>1</v>
      </c>
      <c r="I812" s="15" t="str">
        <f t="shared" ca="1" si="124"/>
        <v>LTC6952_1</v>
      </c>
      <c r="J812" s="15" t="str">
        <f t="shared" ca="1" si="121"/>
        <v>LTC6952_1!A35</v>
      </c>
      <c r="K812" s="15" t="str">
        <f t="shared" ca="1" si="122"/>
        <v>LTC6952_1!B35</v>
      </c>
    </row>
    <row r="813" spans="1:16" x14ac:dyDescent="0.25">
      <c r="A813" s="3" t="str">
        <f t="shared" ca="1" si="120"/>
        <v xml:space="preserve">time = 10 </v>
      </c>
      <c r="G813" s="15">
        <f t="shared" ca="1" si="123"/>
        <v>36</v>
      </c>
      <c r="H813" s="15">
        <v>1</v>
      </c>
      <c r="I813" s="15" t="str">
        <f t="shared" ca="1" si="124"/>
        <v>LTC6952_1</v>
      </c>
      <c r="J813" s="15" t="str">
        <f t="shared" ca="1" si="121"/>
        <v>LTC6952_1!A36</v>
      </c>
      <c r="K813" s="15" t="str">
        <f t="shared" ca="1" si="122"/>
        <v>LTC6952_1!B36</v>
      </c>
    </row>
    <row r="814" spans="1:16" x14ac:dyDescent="0.25">
      <c r="A814" s="3" t="str">
        <f t="shared" ca="1" si="120"/>
        <v/>
      </c>
      <c r="G814" s="15">
        <f t="shared" ca="1" si="123"/>
        <v>37</v>
      </c>
      <c r="H814" s="15">
        <v>1</v>
      </c>
      <c r="I814" s="15" t="str">
        <f t="shared" ca="1" si="124"/>
        <v>LTC6952_1</v>
      </c>
      <c r="J814" s="15" t="str">
        <f t="shared" ca="1" si="121"/>
        <v>LTC6952_1!A37</v>
      </c>
      <c r="K814" s="15" t="str">
        <f t="shared" ca="1" si="122"/>
        <v>LTC6952_1!B37</v>
      </c>
    </row>
    <row r="815" spans="1:16" x14ac:dyDescent="0.25">
      <c r="A815" s="3" t="str">
        <f t="shared" ca="1" si="120"/>
        <v/>
      </c>
      <c r="G815" s="15">
        <f t="shared" ca="1" si="123"/>
        <v>38</v>
      </c>
      <c r="H815" s="15">
        <v>1</v>
      </c>
      <c r="I815" s="15" t="str">
        <f t="shared" ca="1" si="124"/>
        <v>LTC6952_1</v>
      </c>
      <c r="J815" s="15" t="str">
        <f t="shared" ca="1" si="121"/>
        <v>LTC6952_1!A38</v>
      </c>
      <c r="K815" s="15" t="str">
        <f t="shared" ca="1" si="122"/>
        <v>LTC6952_1!B38</v>
      </c>
    </row>
    <row r="816" spans="1:16" x14ac:dyDescent="0.25">
      <c r="A816" s="3" t="str">
        <f t="shared" ca="1" si="120"/>
        <v/>
      </c>
      <c r="G816" s="15">
        <f t="shared" ca="1" si="123"/>
        <v>39</v>
      </c>
      <c r="H816" s="15">
        <v>1</v>
      </c>
      <c r="I816" s="15" t="str">
        <f t="shared" ca="1" si="124"/>
        <v>LTC6952_1</v>
      </c>
      <c r="J816" s="15" t="str">
        <f t="shared" ca="1" si="121"/>
        <v>LTC6952_1!A39</v>
      </c>
      <c r="K816" s="15" t="str">
        <f t="shared" ca="1" si="122"/>
        <v>LTC6952_1!B39</v>
      </c>
    </row>
    <row r="817" spans="1:16" x14ac:dyDescent="0.25">
      <c r="A817" s="3" t="str">
        <f t="shared" ca="1" si="120"/>
        <v/>
      </c>
      <c r="G817" s="15">
        <f t="shared" ca="1" si="123"/>
        <v>40</v>
      </c>
      <c r="H817" s="15">
        <v>1</v>
      </c>
      <c r="I817" s="15" t="str">
        <f t="shared" ca="1" si="124"/>
        <v>LTC6952_1</v>
      </c>
      <c r="J817" s="15" t="str">
        <f t="shared" ca="1" si="121"/>
        <v>LTC6952_1!A40</v>
      </c>
      <c r="K817" s="15" t="str">
        <f t="shared" ca="1" si="122"/>
        <v>LTC6952_1!B40</v>
      </c>
    </row>
    <row r="818" spans="1:16" x14ac:dyDescent="0.25">
      <c r="A818" s="3" t="str">
        <f t="shared" ca="1" si="120"/>
        <v/>
      </c>
      <c r="G818" s="15">
        <f t="shared" ca="1" si="123"/>
        <v>41</v>
      </c>
      <c r="H818" s="15">
        <v>1</v>
      </c>
      <c r="I818" s="15" t="str">
        <f t="shared" ca="1" si="124"/>
        <v>LTC6952_1</v>
      </c>
      <c r="J818" s="15" t="str">
        <f t="shared" ca="1" si="121"/>
        <v>LTC6952_1!A41</v>
      </c>
      <c r="K818" s="15" t="str">
        <f t="shared" ca="1" si="122"/>
        <v>LTC6952_1!B41</v>
      </c>
    </row>
    <row r="819" spans="1:16" x14ac:dyDescent="0.25">
      <c r="A819" s="3" t="str">
        <f t="shared" ca="1" si="120"/>
        <v/>
      </c>
      <c r="C819" s="16"/>
      <c r="G819" s="15">
        <f t="shared" ca="1" si="123"/>
        <v>42</v>
      </c>
      <c r="H819" s="15">
        <v>1</v>
      </c>
      <c r="I819" s="15" t="str">
        <f t="shared" ca="1" si="124"/>
        <v>LTC6952_1</v>
      </c>
      <c r="J819" s="15" t="str">
        <f t="shared" ca="1" si="121"/>
        <v>LTC6952_1!A42</v>
      </c>
      <c r="K819" s="15" t="str">
        <f t="shared" ca="1" si="122"/>
        <v>LTC6952_1!B42</v>
      </c>
    </row>
    <row r="820" spans="1:16" x14ac:dyDescent="0.25">
      <c r="A820" s="3" t="str">
        <f t="shared" ca="1" si="120"/>
        <v/>
      </c>
      <c r="G820" s="15">
        <f t="shared" ca="1" si="123"/>
        <v>43</v>
      </c>
      <c r="H820" s="15">
        <v>1</v>
      </c>
      <c r="I820" s="15" t="str">
        <f t="shared" ca="1" si="124"/>
        <v>LTC6952_1</v>
      </c>
      <c r="J820" s="15" t="str">
        <f t="shared" ca="1" si="121"/>
        <v>LTC6952_1!A43</v>
      </c>
      <c r="K820" s="15" t="str">
        <f t="shared" ca="1" si="122"/>
        <v>LTC6952_1!B43</v>
      </c>
    </row>
    <row r="821" spans="1:16" x14ac:dyDescent="0.25">
      <c r="A821" s="3" t="str">
        <f t="shared" ca="1" si="120"/>
        <v/>
      </c>
      <c r="G821" s="15">
        <f t="shared" ca="1" si="123"/>
        <v>44</v>
      </c>
      <c r="H821" s="15">
        <v>1</v>
      </c>
      <c r="I821" s="15" t="str">
        <f t="shared" ca="1" si="124"/>
        <v>LTC6952_1</v>
      </c>
      <c r="J821" s="15" t="str">
        <f t="shared" ca="1" si="121"/>
        <v>LTC6952_1!A44</v>
      </c>
      <c r="K821" s="15" t="str">
        <f t="shared" ca="1" si="122"/>
        <v>LTC6952_1!B44</v>
      </c>
    </row>
    <row r="822" spans="1:16" x14ac:dyDescent="0.25">
      <c r="A822" s="3" t="str">
        <f t="shared" ca="1" si="120"/>
        <v/>
      </c>
      <c r="G822" s="15">
        <f t="shared" ca="1" si="123"/>
        <v>45</v>
      </c>
      <c r="H822" s="15">
        <v>1</v>
      </c>
      <c r="I822" s="15" t="str">
        <f t="shared" ca="1" si="124"/>
        <v>LTC6952_1</v>
      </c>
      <c r="J822" s="15" t="str">
        <f t="shared" ca="1" si="121"/>
        <v>LTC6952_1!A45</v>
      </c>
      <c r="K822" s="15" t="str">
        <f t="shared" ca="1" si="122"/>
        <v>LTC6952_1!B45</v>
      </c>
    </row>
    <row r="823" spans="1:16" x14ac:dyDescent="0.25">
      <c r="A823" s="3" t="str">
        <f t="shared" ca="1" si="120"/>
        <v/>
      </c>
      <c r="G823" s="15">
        <f t="shared" ca="1" si="123"/>
        <v>46</v>
      </c>
      <c r="H823" s="15">
        <v>1</v>
      </c>
      <c r="I823" s="15" t="str">
        <f t="shared" ca="1" si="124"/>
        <v>LTC6952_1</v>
      </c>
      <c r="J823" s="15" t="str">
        <f t="shared" ca="1" si="121"/>
        <v>LTC6952_1!A46</v>
      </c>
      <c r="K823" s="15" t="str">
        <f t="shared" ca="1" si="122"/>
        <v>LTC6952_1!B46</v>
      </c>
    </row>
    <row r="824" spans="1:16" x14ac:dyDescent="0.25">
      <c r="A824" s="3" t="str">
        <f t="shared" ca="1" si="120"/>
        <v/>
      </c>
      <c r="G824" s="15">
        <f t="shared" ca="1" si="123"/>
        <v>47</v>
      </c>
      <c r="H824" s="15">
        <v>1</v>
      </c>
      <c r="I824" s="15" t="str">
        <f t="shared" ca="1" si="124"/>
        <v>LTC6952_1</v>
      </c>
      <c r="J824" s="15" t="str">
        <f t="shared" ca="1" si="121"/>
        <v>LTC6952_1!A47</v>
      </c>
      <c r="K824" s="15" t="str">
        <f t="shared" ca="1" si="122"/>
        <v>LTC6952_1!B47</v>
      </c>
    </row>
    <row r="825" spans="1:16" x14ac:dyDescent="0.25">
      <c r="A825" s="3" t="str">
        <f t="shared" ca="1" si="120"/>
        <v/>
      </c>
      <c r="G825" s="15">
        <f t="shared" ca="1" si="123"/>
        <v>48</v>
      </c>
      <c r="H825" s="15">
        <v>1</v>
      </c>
      <c r="I825" s="15" t="str">
        <f t="shared" ca="1" si="124"/>
        <v>LTC6952_1</v>
      </c>
      <c r="J825" s="15" t="str">
        <f t="shared" ca="1" si="121"/>
        <v>LTC6952_1!A48</v>
      </c>
      <c r="K825" s="15" t="str">
        <f t="shared" ca="1" si="122"/>
        <v>LTC6952_1!B48</v>
      </c>
    </row>
    <row r="826" spans="1:16" x14ac:dyDescent="0.25">
      <c r="A826" s="3" t="str">
        <f t="shared" ca="1" si="120"/>
        <v/>
      </c>
      <c r="G826" s="15">
        <f t="shared" ca="1" si="123"/>
        <v>49</v>
      </c>
      <c r="H826" s="15">
        <v>1</v>
      </c>
      <c r="I826" s="15" t="str">
        <f t="shared" ca="1" si="124"/>
        <v>LTC6952_1</v>
      </c>
      <c r="J826" s="15" t="str">
        <f t="shared" ca="1" si="121"/>
        <v>LTC6952_1!A49</v>
      </c>
      <c r="K826" s="15" t="str">
        <f t="shared" ca="1" si="122"/>
        <v>LTC6952_1!B49</v>
      </c>
    </row>
    <row r="827" spans="1:16" x14ac:dyDescent="0.25">
      <c r="A827" s="3" t="str">
        <f t="shared" ca="1" si="120"/>
        <v/>
      </c>
      <c r="G827" s="15">
        <f t="shared" ca="1" si="123"/>
        <v>50</v>
      </c>
      <c r="H827" s="15">
        <v>1</v>
      </c>
      <c r="I827" s="15" t="str">
        <f t="shared" ca="1" si="124"/>
        <v>LTC6952_1</v>
      </c>
      <c r="J827" s="15" t="str">
        <f t="shared" ca="1" si="121"/>
        <v>LTC6952_1!A50</v>
      </c>
      <c r="K827" s="15" t="str">
        <f t="shared" ca="1" si="122"/>
        <v>LTC6952_1!B50</v>
      </c>
    </row>
    <row r="828" spans="1:16" x14ac:dyDescent="0.25">
      <c r="A828" s="3" t="str">
        <f t="shared" ca="1" si="120"/>
        <v xml:space="preserve">#I2C_Expander_11:LMK05028 =  </v>
      </c>
      <c r="G828" s="15">
        <f ca="1">INDIRECT(M828)</f>
        <v>111</v>
      </c>
      <c r="H828" s="15">
        <v>1</v>
      </c>
      <c r="I828" s="15" t="str">
        <f ca="1">INDIRECT(N828)</f>
        <v>I2C_Expander_11</v>
      </c>
      <c r="J828" s="15" t="str">
        <f t="shared" ca="1" si="121"/>
        <v>I2C_Expander_11!A111</v>
      </c>
      <c r="K828" s="15" t="str">
        <f t="shared" ca="1" si="122"/>
        <v>I2C_Expander_11!B111</v>
      </c>
      <c r="M828" s="15" t="str">
        <f>ADDRESS(O828,3,4,1,$R$1)</f>
        <v>konfig!C43</v>
      </c>
      <c r="N828" s="15" t="str">
        <f>ADDRESS(O828,1,4,1,$R$1)</f>
        <v>konfig!A43</v>
      </c>
      <c r="O828" s="15">
        <v>43</v>
      </c>
      <c r="P828" s="15">
        <v>4</v>
      </c>
    </row>
    <row r="829" spans="1:16" x14ac:dyDescent="0.25">
      <c r="A829" s="3" t="str">
        <f t="shared" ca="1" si="120"/>
        <v xml:space="preserve">device = MCP23017 </v>
      </c>
      <c r="G829" s="15">
        <f ca="1">G828+1</f>
        <v>112</v>
      </c>
      <c r="H829" s="15">
        <v>1</v>
      </c>
      <c r="I829" s="15" t="str">
        <f ca="1">I828</f>
        <v>I2C_Expander_11</v>
      </c>
      <c r="J829" s="15" t="str">
        <f t="shared" ca="1" si="121"/>
        <v>I2C_Expander_11!A112</v>
      </c>
      <c r="K829" s="15" t="str">
        <f t="shared" ca="1" si="122"/>
        <v>I2C_Expander_11!B112</v>
      </c>
    </row>
    <row r="830" spans="1:16" x14ac:dyDescent="0.25">
      <c r="A830" s="3" t="str">
        <f t="shared" ca="1" si="120"/>
        <v xml:space="preserve">i2c_addr = 0x21 </v>
      </c>
      <c r="G830" s="15">
        <f t="shared" ref="G830:G847" ca="1" si="125">G829+1</f>
        <v>113</v>
      </c>
      <c r="H830" s="15">
        <v>1</v>
      </c>
      <c r="I830" s="15" t="str">
        <f t="shared" ref="I830:I847" ca="1" si="126">I829</f>
        <v>I2C_Expander_11</v>
      </c>
      <c r="J830" s="15" t="str">
        <f t="shared" ca="1" si="121"/>
        <v>I2C_Expander_11!A113</v>
      </c>
      <c r="K830" s="15" t="str">
        <f t="shared" ca="1" si="122"/>
        <v>I2C_Expander_11!B113</v>
      </c>
    </row>
    <row r="831" spans="1:16" x14ac:dyDescent="0.25">
      <c r="A831" s="3" t="str">
        <f t="shared" ca="1" si="120"/>
        <v xml:space="preserve">i2c_num = /dev/i2c-1 </v>
      </c>
      <c r="C831" s="16"/>
      <c r="G831" s="15">
        <f t="shared" ca="1" si="125"/>
        <v>114</v>
      </c>
      <c r="H831" s="15">
        <v>1</v>
      </c>
      <c r="I831" s="15" t="str">
        <f t="shared" ca="1" si="126"/>
        <v>I2C_Expander_11</v>
      </c>
      <c r="J831" s="15" t="str">
        <f t="shared" ca="1" si="121"/>
        <v>I2C_Expander_11!A114</v>
      </c>
      <c r="K831" s="15" t="str">
        <f t="shared" ca="1" si="122"/>
        <v>I2C_Expander_11!B114</v>
      </c>
    </row>
    <row r="832" spans="1:16" x14ac:dyDescent="0.25">
      <c r="A832" s="3" t="str">
        <f t="shared" ca="1" si="120"/>
        <v xml:space="preserve">pins_mode = 0x7450 </v>
      </c>
      <c r="G832" s="15">
        <f t="shared" ca="1" si="125"/>
        <v>115</v>
      </c>
      <c r="H832" s="15">
        <v>1</v>
      </c>
      <c r="I832" s="15" t="str">
        <f t="shared" ca="1" si="126"/>
        <v>I2C_Expander_11</v>
      </c>
      <c r="J832" s="15" t="str">
        <f t="shared" ca="1" si="121"/>
        <v>I2C_Expander_11!A115</v>
      </c>
      <c r="K832" s="15" t="str">
        <f t="shared" ca="1" si="122"/>
        <v>I2C_Expander_11!B115</v>
      </c>
    </row>
    <row r="833" spans="1:16" x14ac:dyDescent="0.25">
      <c r="A833" s="3" t="str">
        <f t="shared" ca="1" si="120"/>
        <v xml:space="preserve">pins_state = 0x03AF </v>
      </c>
      <c r="G833" s="15">
        <f t="shared" ca="1" si="125"/>
        <v>116</v>
      </c>
      <c r="H833" s="15">
        <v>1</v>
      </c>
      <c r="I833" s="15" t="str">
        <f t="shared" ca="1" si="126"/>
        <v>I2C_Expander_11</v>
      </c>
      <c r="J833" s="15" t="str">
        <f t="shared" ca="1" si="121"/>
        <v>I2C_Expander_11!A116</v>
      </c>
      <c r="K833" s="15" t="str">
        <f t="shared" ca="1" si="122"/>
        <v>I2C_Expander_11!B116</v>
      </c>
    </row>
    <row r="834" spans="1:16" x14ac:dyDescent="0.25">
      <c r="A834" s="3" t="str">
        <f t="shared" ca="1" si="120"/>
        <v xml:space="preserve">pins_pull_up = 0x0000 </v>
      </c>
      <c r="G834" s="15">
        <f t="shared" ca="1" si="125"/>
        <v>117</v>
      </c>
      <c r="H834" s="15">
        <v>1</v>
      </c>
      <c r="I834" s="15" t="str">
        <f t="shared" ca="1" si="126"/>
        <v>I2C_Expander_11</v>
      </c>
      <c r="J834" s="15" t="str">
        <f t="shared" ca="1" si="121"/>
        <v>I2C_Expander_11!A117</v>
      </c>
      <c r="K834" s="15" t="str">
        <f t="shared" ca="1" si="122"/>
        <v>I2C_Expander_11!B117</v>
      </c>
    </row>
    <row r="835" spans="1:16" x14ac:dyDescent="0.25">
      <c r="A835" s="3" t="str">
        <f t="shared" ca="1" si="120"/>
        <v xml:space="preserve">#pins_int = 0x0000 </v>
      </c>
      <c r="G835" s="15">
        <f t="shared" ca="1" si="125"/>
        <v>118</v>
      </c>
      <c r="H835" s="15">
        <v>1</v>
      </c>
      <c r="I835" s="15" t="str">
        <f t="shared" ca="1" si="126"/>
        <v>I2C_Expander_11</v>
      </c>
      <c r="J835" s="15" t="str">
        <f t="shared" ca="1" si="121"/>
        <v>I2C_Expander_11!A118</v>
      </c>
      <c r="K835" s="15" t="str">
        <f t="shared" ca="1" si="122"/>
        <v>I2C_Expander_11!B118</v>
      </c>
    </row>
    <row r="836" spans="1:16" x14ac:dyDescent="0.25">
      <c r="A836" s="3" t="str">
        <f t="shared" ref="A836:A899" ca="1" si="127">IFERROR(IF(INDIRECT(J836)&lt;&gt;"",CONCATENATE(INDIRECT(J836)," = ",INDIRECT(K836)," "),""),"")</f>
        <v xml:space="preserve">#pins_def_val = 0x0000 </v>
      </c>
      <c r="G836" s="15">
        <f t="shared" ca="1" si="125"/>
        <v>119</v>
      </c>
      <c r="H836" s="15">
        <v>1</v>
      </c>
      <c r="I836" s="15" t="str">
        <f t="shared" ca="1" si="126"/>
        <v>I2C_Expander_11</v>
      </c>
      <c r="J836" s="15" t="str">
        <f t="shared" ca="1" si="121"/>
        <v>I2C_Expander_11!A119</v>
      </c>
      <c r="K836" s="15" t="str">
        <f t="shared" ca="1" si="122"/>
        <v>I2C_Expander_11!B119</v>
      </c>
    </row>
    <row r="837" spans="1:16" x14ac:dyDescent="0.25">
      <c r="A837" s="3" t="str">
        <f t="shared" ca="1" si="127"/>
        <v/>
      </c>
      <c r="G837" s="15">
        <f t="shared" ca="1" si="125"/>
        <v>120</v>
      </c>
      <c r="H837" s="15">
        <v>1</v>
      </c>
      <c r="I837" s="15" t="str">
        <f t="shared" ca="1" si="126"/>
        <v>I2C_Expander_11</v>
      </c>
      <c r="J837" s="15" t="str">
        <f t="shared" ca="1" si="121"/>
        <v>I2C_Expander_11!A120</v>
      </c>
      <c r="K837" s="15" t="str">
        <f t="shared" ca="1" si="122"/>
        <v>I2C_Expander_11!B120</v>
      </c>
    </row>
    <row r="838" spans="1:16" x14ac:dyDescent="0.25">
      <c r="A838" s="3" t="str">
        <f t="shared" ca="1" si="127"/>
        <v xml:space="preserve">#pins_int = 10 </v>
      </c>
      <c r="G838" s="15">
        <f t="shared" ca="1" si="125"/>
        <v>121</v>
      </c>
      <c r="H838" s="15">
        <v>1</v>
      </c>
      <c r="I838" s="15" t="str">
        <f t="shared" ca="1" si="126"/>
        <v>I2C_Expander_11</v>
      </c>
      <c r="J838" s="15" t="str">
        <f t="shared" ca="1" si="121"/>
        <v>I2C_Expander_11!A121</v>
      </c>
      <c r="K838" s="15" t="str">
        <f t="shared" ca="1" si="122"/>
        <v>I2C_Expander_11!B121</v>
      </c>
    </row>
    <row r="839" spans="1:16" x14ac:dyDescent="0.25">
      <c r="A839" s="3" t="str">
        <f t="shared" ca="1" si="127"/>
        <v/>
      </c>
      <c r="C839" s="16"/>
      <c r="G839" s="15">
        <f t="shared" ca="1" si="125"/>
        <v>122</v>
      </c>
      <c r="H839" s="15">
        <v>1</v>
      </c>
      <c r="I839" s="15" t="str">
        <f t="shared" ca="1" si="126"/>
        <v>I2C_Expander_11</v>
      </c>
      <c r="J839" s="15" t="str">
        <f t="shared" ca="1" si="121"/>
        <v>I2C_Expander_11!A122</v>
      </c>
      <c r="K839" s="15" t="str">
        <f t="shared" ca="1" si="122"/>
        <v>I2C_Expander_11!B122</v>
      </c>
    </row>
    <row r="840" spans="1:16" x14ac:dyDescent="0.25">
      <c r="A840" s="3" t="str">
        <f t="shared" ca="1" si="127"/>
        <v/>
      </c>
      <c r="G840" s="15">
        <f t="shared" ca="1" si="125"/>
        <v>123</v>
      </c>
      <c r="H840" s="15">
        <v>1</v>
      </c>
      <c r="I840" s="15" t="str">
        <f t="shared" ca="1" si="126"/>
        <v>I2C_Expander_11</v>
      </c>
      <c r="J840" s="15" t="str">
        <f t="shared" ca="1" si="121"/>
        <v>I2C_Expander_11!A123</v>
      </c>
      <c r="K840" s="15" t="str">
        <f t="shared" ca="1" si="122"/>
        <v>I2C_Expander_11!B123</v>
      </c>
    </row>
    <row r="841" spans="1:16" x14ac:dyDescent="0.25">
      <c r="A841" s="3" t="str">
        <f t="shared" ca="1" si="127"/>
        <v/>
      </c>
      <c r="G841" s="15">
        <f t="shared" ca="1" si="125"/>
        <v>124</v>
      </c>
      <c r="H841" s="15">
        <v>1</v>
      </c>
      <c r="I841" s="15" t="str">
        <f t="shared" ca="1" si="126"/>
        <v>I2C_Expander_11</v>
      </c>
      <c r="J841" s="15" t="str">
        <f t="shared" ca="1" si="121"/>
        <v>I2C_Expander_11!A124</v>
      </c>
      <c r="K841" s="15" t="str">
        <f t="shared" ca="1" si="122"/>
        <v>I2C_Expander_11!B124</v>
      </c>
    </row>
    <row r="842" spans="1:16" x14ac:dyDescent="0.25">
      <c r="A842" s="3" t="str">
        <f t="shared" ca="1" si="127"/>
        <v/>
      </c>
      <c r="G842" s="15">
        <f t="shared" ca="1" si="125"/>
        <v>125</v>
      </c>
      <c r="H842" s="15">
        <v>1</v>
      </c>
      <c r="I842" s="15" t="str">
        <f t="shared" ca="1" si="126"/>
        <v>I2C_Expander_11</v>
      </c>
      <c r="J842" s="15" t="str">
        <f t="shared" ca="1" si="121"/>
        <v>I2C_Expander_11!A125</v>
      </c>
      <c r="K842" s="15" t="str">
        <f t="shared" ca="1" si="122"/>
        <v>I2C_Expander_11!B125</v>
      </c>
    </row>
    <row r="843" spans="1:16" x14ac:dyDescent="0.25">
      <c r="A843" s="3" t="str">
        <f t="shared" ca="1" si="127"/>
        <v/>
      </c>
      <c r="G843" s="15">
        <f t="shared" ca="1" si="125"/>
        <v>126</v>
      </c>
      <c r="H843" s="15">
        <v>1</v>
      </c>
      <c r="I843" s="15" t="str">
        <f t="shared" ca="1" si="126"/>
        <v>I2C_Expander_11</v>
      </c>
      <c r="J843" s="15" t="str">
        <f t="shared" ca="1" si="121"/>
        <v>I2C_Expander_11!A126</v>
      </c>
      <c r="K843" s="15" t="str">
        <f t="shared" ca="1" si="122"/>
        <v>I2C_Expander_11!B126</v>
      </c>
    </row>
    <row r="844" spans="1:16" x14ac:dyDescent="0.25">
      <c r="A844" s="3" t="str">
        <f t="shared" ca="1" si="127"/>
        <v/>
      </c>
      <c r="G844" s="15">
        <f t="shared" ca="1" si="125"/>
        <v>127</v>
      </c>
      <c r="H844" s="15">
        <v>1</v>
      </c>
      <c r="I844" s="15" t="str">
        <f t="shared" ca="1" si="126"/>
        <v>I2C_Expander_11</v>
      </c>
      <c r="J844" s="15" t="str">
        <f t="shared" ca="1" si="121"/>
        <v>I2C_Expander_11!A127</v>
      </c>
      <c r="K844" s="15" t="str">
        <f t="shared" ca="1" si="122"/>
        <v>I2C_Expander_11!B127</v>
      </c>
    </row>
    <row r="845" spans="1:16" x14ac:dyDescent="0.25">
      <c r="A845" s="3" t="str">
        <f t="shared" ca="1" si="127"/>
        <v/>
      </c>
      <c r="G845" s="15">
        <f t="shared" ca="1" si="125"/>
        <v>128</v>
      </c>
      <c r="H845" s="15">
        <v>1</v>
      </c>
      <c r="I845" s="15" t="str">
        <f t="shared" ca="1" si="126"/>
        <v>I2C_Expander_11</v>
      </c>
      <c r="J845" s="15" t="str">
        <f t="shared" ca="1" si="121"/>
        <v>I2C_Expander_11!A128</v>
      </c>
      <c r="K845" s="15" t="str">
        <f t="shared" ca="1" si="122"/>
        <v>I2C_Expander_11!B128</v>
      </c>
    </row>
    <row r="846" spans="1:16" x14ac:dyDescent="0.25">
      <c r="A846" s="3" t="str">
        <f t="shared" ca="1" si="127"/>
        <v/>
      </c>
      <c r="G846" s="15">
        <f t="shared" ca="1" si="125"/>
        <v>129</v>
      </c>
      <c r="H846" s="15">
        <v>1</v>
      </c>
      <c r="I846" s="15" t="str">
        <f t="shared" ca="1" si="126"/>
        <v>I2C_Expander_11</v>
      </c>
      <c r="J846" s="15" t="str">
        <f t="shared" ca="1" si="121"/>
        <v>I2C_Expander_11!A129</v>
      </c>
      <c r="K846" s="15" t="str">
        <f t="shared" ca="1" si="122"/>
        <v>I2C_Expander_11!B129</v>
      </c>
    </row>
    <row r="847" spans="1:16" x14ac:dyDescent="0.25">
      <c r="A847" s="3" t="str">
        <f t="shared" ca="1" si="127"/>
        <v/>
      </c>
      <c r="G847" s="15">
        <f t="shared" ca="1" si="125"/>
        <v>130</v>
      </c>
      <c r="H847" s="15">
        <v>1</v>
      </c>
      <c r="I847" s="15" t="str">
        <f t="shared" ca="1" si="126"/>
        <v>I2C_Expander_11</v>
      </c>
      <c r="J847" s="15" t="str">
        <f t="shared" ca="1" si="121"/>
        <v>I2C_Expander_11!A130</v>
      </c>
      <c r="K847" s="15" t="str">
        <f t="shared" ca="1" si="122"/>
        <v>I2C_Expander_11!B130</v>
      </c>
    </row>
    <row r="848" spans="1:16" x14ac:dyDescent="0.25">
      <c r="A848" s="3" t="str">
        <f t="shared" ca="1" si="127"/>
        <v xml:space="preserve">#I2C_Expander_Main_Rst:etap 3 =  </v>
      </c>
      <c r="G848" s="15">
        <f ca="1">INDIRECT(M848)</f>
        <v>91</v>
      </c>
      <c r="H848" s="15">
        <v>1</v>
      </c>
      <c r="I848" s="15" t="str">
        <f ca="1">INDIRECT(N848)</f>
        <v>I2C_Expander_Main_Rst</v>
      </c>
      <c r="J848" s="15" t="str">
        <f t="shared" ca="1" si="121"/>
        <v>I2C_Expander_Main_Rst!A91</v>
      </c>
      <c r="K848" s="15" t="str">
        <f t="shared" ca="1" si="122"/>
        <v>I2C_Expander_Main_Rst!B91</v>
      </c>
      <c r="M848" s="15" t="str">
        <f>ADDRESS(O848,3,4,1,$R$1)</f>
        <v>konfig!C44</v>
      </c>
      <c r="N848" s="15" t="str">
        <f>ADDRESS(O848,1,4,1,$R$1)</f>
        <v>konfig!A44</v>
      </c>
      <c r="O848" s="15">
        <v>44</v>
      </c>
      <c r="P848" s="15">
        <v>4</v>
      </c>
    </row>
    <row r="849" spans="1:11" x14ac:dyDescent="0.25">
      <c r="A849" s="3" t="str">
        <f t="shared" ca="1" si="127"/>
        <v xml:space="preserve">device = MCP23017 </v>
      </c>
      <c r="G849" s="15">
        <f ca="1">G848+1</f>
        <v>92</v>
      </c>
      <c r="H849" s="15">
        <v>1</v>
      </c>
      <c r="I849" s="15" t="str">
        <f ca="1">I848</f>
        <v>I2C_Expander_Main_Rst</v>
      </c>
      <c r="J849" s="15" t="str">
        <f t="shared" ca="1" si="121"/>
        <v>I2C_Expander_Main_Rst!A92</v>
      </c>
      <c r="K849" s="15" t="str">
        <f t="shared" ca="1" si="122"/>
        <v>I2C_Expander_Main_Rst!B92</v>
      </c>
    </row>
    <row r="850" spans="1:11" x14ac:dyDescent="0.25">
      <c r="A850" s="3" t="str">
        <f t="shared" ca="1" si="127"/>
        <v xml:space="preserve">i2c_addr = 0x24 </v>
      </c>
      <c r="G850" s="15">
        <f t="shared" ref="G850:G867" ca="1" si="128">G849+1</f>
        <v>93</v>
      </c>
      <c r="H850" s="15">
        <v>1</v>
      </c>
      <c r="I850" s="15" t="str">
        <f t="shared" ref="I850:I867" ca="1" si="129">I849</f>
        <v>I2C_Expander_Main_Rst</v>
      </c>
      <c r="J850" s="15" t="str">
        <f t="shared" ca="1" si="121"/>
        <v>I2C_Expander_Main_Rst!A93</v>
      </c>
      <c r="K850" s="15" t="str">
        <f t="shared" ca="1" si="122"/>
        <v>I2C_Expander_Main_Rst!B93</v>
      </c>
    </row>
    <row r="851" spans="1:11" x14ac:dyDescent="0.25">
      <c r="A851" s="3" t="str">
        <f t="shared" ca="1" si="127"/>
        <v xml:space="preserve">i2c_num = /dev/i2c-1 </v>
      </c>
      <c r="C851" s="16"/>
      <c r="G851" s="15">
        <f t="shared" ca="1" si="128"/>
        <v>94</v>
      </c>
      <c r="H851" s="15">
        <v>1</v>
      </c>
      <c r="I851" s="15" t="str">
        <f t="shared" ca="1" si="129"/>
        <v>I2C_Expander_Main_Rst</v>
      </c>
      <c r="J851" s="15" t="str">
        <f t="shared" ca="1" si="121"/>
        <v>I2C_Expander_Main_Rst!A94</v>
      </c>
      <c r="K851" s="15" t="str">
        <f t="shared" ca="1" si="122"/>
        <v>I2C_Expander_Main_Rst!B94</v>
      </c>
    </row>
    <row r="852" spans="1:11" x14ac:dyDescent="0.25">
      <c r="A852" s="3" t="str">
        <f t="shared" ca="1" si="127"/>
        <v xml:space="preserve">pins_mode = 0x81F8 </v>
      </c>
      <c r="G852" s="15">
        <f t="shared" ca="1" si="128"/>
        <v>95</v>
      </c>
      <c r="H852" s="15">
        <v>1</v>
      </c>
      <c r="I852" s="15" t="str">
        <f t="shared" ca="1" si="129"/>
        <v>I2C_Expander_Main_Rst</v>
      </c>
      <c r="J852" s="15" t="str">
        <f t="shared" ca="1" si="121"/>
        <v>I2C_Expander_Main_Rst!A95</v>
      </c>
      <c r="K852" s="15" t="str">
        <f t="shared" ca="1" si="122"/>
        <v>I2C_Expander_Main_Rst!B95</v>
      </c>
    </row>
    <row r="853" spans="1:11" x14ac:dyDescent="0.25">
      <c r="A853" s="3" t="str">
        <f t="shared" ca="1" si="127"/>
        <v xml:space="preserve">pins_state = 0x7E07 </v>
      </c>
      <c r="G853" s="15">
        <f t="shared" ca="1" si="128"/>
        <v>96</v>
      </c>
      <c r="H853" s="15">
        <v>1</v>
      </c>
      <c r="I853" s="15" t="str">
        <f t="shared" ca="1" si="129"/>
        <v>I2C_Expander_Main_Rst</v>
      </c>
      <c r="J853" s="15" t="str">
        <f t="shared" ca="1" si="121"/>
        <v>I2C_Expander_Main_Rst!A96</v>
      </c>
      <c r="K853" s="15" t="str">
        <f t="shared" ca="1" si="122"/>
        <v>I2C_Expander_Main_Rst!B96</v>
      </c>
    </row>
    <row r="854" spans="1:11" x14ac:dyDescent="0.25">
      <c r="A854" s="3" t="str">
        <f t="shared" ca="1" si="127"/>
        <v xml:space="preserve">pins_pull_up = 0x0000 </v>
      </c>
      <c r="G854" s="15">
        <f t="shared" ca="1" si="128"/>
        <v>97</v>
      </c>
      <c r="H854" s="15">
        <v>1</v>
      </c>
      <c r="I854" s="15" t="str">
        <f t="shared" ca="1" si="129"/>
        <v>I2C_Expander_Main_Rst</v>
      </c>
      <c r="J854" s="15" t="str">
        <f t="shared" ca="1" si="121"/>
        <v>I2C_Expander_Main_Rst!A97</v>
      </c>
      <c r="K854" s="15" t="str">
        <f t="shared" ca="1" si="122"/>
        <v>I2C_Expander_Main_Rst!B97</v>
      </c>
    </row>
    <row r="855" spans="1:11" x14ac:dyDescent="0.25">
      <c r="A855" s="3" t="str">
        <f t="shared" ca="1" si="127"/>
        <v xml:space="preserve">#pins_int = 0x0000 </v>
      </c>
      <c r="G855" s="15">
        <f t="shared" ca="1" si="128"/>
        <v>98</v>
      </c>
      <c r="H855" s="15">
        <v>1</v>
      </c>
      <c r="I855" s="15" t="str">
        <f t="shared" ca="1" si="129"/>
        <v>I2C_Expander_Main_Rst</v>
      </c>
      <c r="J855" s="15" t="str">
        <f t="shared" ca="1" si="121"/>
        <v>I2C_Expander_Main_Rst!A98</v>
      </c>
      <c r="K855" s="15" t="str">
        <f t="shared" ca="1" si="122"/>
        <v>I2C_Expander_Main_Rst!B98</v>
      </c>
    </row>
    <row r="856" spans="1:11" x14ac:dyDescent="0.25">
      <c r="A856" s="3" t="str">
        <f t="shared" ca="1" si="127"/>
        <v xml:space="preserve">#pins_def_val = 0x0000 </v>
      </c>
      <c r="G856" s="15">
        <f t="shared" ca="1" si="128"/>
        <v>99</v>
      </c>
      <c r="H856" s="15">
        <v>1</v>
      </c>
      <c r="I856" s="15" t="str">
        <f t="shared" ca="1" si="129"/>
        <v>I2C_Expander_Main_Rst</v>
      </c>
      <c r="J856" s="15" t="str">
        <f t="shared" ca="1" si="121"/>
        <v>I2C_Expander_Main_Rst!A99</v>
      </c>
      <c r="K856" s="15" t="str">
        <f t="shared" ca="1" si="122"/>
        <v>I2C_Expander_Main_Rst!B99</v>
      </c>
    </row>
    <row r="857" spans="1:11" x14ac:dyDescent="0.25">
      <c r="A857" s="3" t="str">
        <f t="shared" ca="1" si="127"/>
        <v/>
      </c>
      <c r="G857" s="15">
        <f t="shared" ca="1" si="128"/>
        <v>100</v>
      </c>
      <c r="H857" s="15">
        <v>1</v>
      </c>
      <c r="I857" s="15" t="str">
        <f t="shared" ca="1" si="129"/>
        <v>I2C_Expander_Main_Rst</v>
      </c>
      <c r="J857" s="15" t="str">
        <f t="shared" ca="1" si="121"/>
        <v>I2C_Expander_Main_Rst!A100</v>
      </c>
      <c r="K857" s="15" t="str">
        <f t="shared" ca="1" si="122"/>
        <v>I2C_Expander_Main_Rst!B100</v>
      </c>
    </row>
    <row r="858" spans="1:11" x14ac:dyDescent="0.25">
      <c r="A858" s="3" t="str">
        <f t="shared" ca="1" si="127"/>
        <v xml:space="preserve">#pins_int = 10 </v>
      </c>
      <c r="G858" s="15">
        <f t="shared" ca="1" si="128"/>
        <v>101</v>
      </c>
      <c r="H858" s="15">
        <v>1</v>
      </c>
      <c r="I858" s="15" t="str">
        <f t="shared" ca="1" si="129"/>
        <v>I2C_Expander_Main_Rst</v>
      </c>
      <c r="J858" s="15" t="str">
        <f t="shared" ca="1" si="121"/>
        <v>I2C_Expander_Main_Rst!A101</v>
      </c>
      <c r="K858" s="15" t="str">
        <f t="shared" ca="1" si="122"/>
        <v>I2C_Expander_Main_Rst!B101</v>
      </c>
    </row>
    <row r="859" spans="1:11" x14ac:dyDescent="0.25">
      <c r="A859" s="3" t="str">
        <f t="shared" ca="1" si="127"/>
        <v/>
      </c>
      <c r="C859" s="16"/>
      <c r="G859" s="15">
        <f t="shared" ca="1" si="128"/>
        <v>102</v>
      </c>
      <c r="H859" s="15">
        <v>1</v>
      </c>
      <c r="I859" s="15" t="str">
        <f t="shared" ca="1" si="129"/>
        <v>I2C_Expander_Main_Rst</v>
      </c>
      <c r="J859" s="15" t="str">
        <f t="shared" ca="1" si="121"/>
        <v>I2C_Expander_Main_Rst!A102</v>
      </c>
      <c r="K859" s="15" t="str">
        <f t="shared" ca="1" si="122"/>
        <v>I2C_Expander_Main_Rst!B102</v>
      </c>
    </row>
    <row r="860" spans="1:11" x14ac:dyDescent="0.25">
      <c r="A860" s="3" t="str">
        <f t="shared" ca="1" si="127"/>
        <v/>
      </c>
      <c r="G860" s="15">
        <f t="shared" ca="1" si="128"/>
        <v>103</v>
      </c>
      <c r="H860" s="15">
        <v>1</v>
      </c>
      <c r="I860" s="15" t="str">
        <f t="shared" ca="1" si="129"/>
        <v>I2C_Expander_Main_Rst</v>
      </c>
      <c r="J860" s="15" t="str">
        <f t="shared" ca="1" si="121"/>
        <v>I2C_Expander_Main_Rst!A103</v>
      </c>
      <c r="K860" s="15" t="str">
        <f t="shared" ca="1" si="122"/>
        <v>I2C_Expander_Main_Rst!B103</v>
      </c>
    </row>
    <row r="861" spans="1:11" x14ac:dyDescent="0.25">
      <c r="A861" s="3" t="str">
        <f t="shared" ca="1" si="127"/>
        <v/>
      </c>
      <c r="G861" s="15">
        <f t="shared" ca="1" si="128"/>
        <v>104</v>
      </c>
      <c r="H861" s="15">
        <v>1</v>
      </c>
      <c r="I861" s="15" t="str">
        <f t="shared" ca="1" si="129"/>
        <v>I2C_Expander_Main_Rst</v>
      </c>
      <c r="J861" s="15" t="str">
        <f t="shared" ca="1" si="121"/>
        <v>I2C_Expander_Main_Rst!A104</v>
      </c>
      <c r="K861" s="15" t="str">
        <f t="shared" ca="1" si="122"/>
        <v>I2C_Expander_Main_Rst!B104</v>
      </c>
    </row>
    <row r="862" spans="1:11" x14ac:dyDescent="0.25">
      <c r="A862" s="3" t="str">
        <f t="shared" ca="1" si="127"/>
        <v/>
      </c>
      <c r="G862" s="15">
        <f t="shared" ca="1" si="128"/>
        <v>105</v>
      </c>
      <c r="H862" s="15">
        <v>1</v>
      </c>
      <c r="I862" s="15" t="str">
        <f t="shared" ca="1" si="129"/>
        <v>I2C_Expander_Main_Rst</v>
      </c>
      <c r="J862" s="15" t="str">
        <f t="shared" ca="1" si="121"/>
        <v>I2C_Expander_Main_Rst!A105</v>
      </c>
      <c r="K862" s="15" t="str">
        <f t="shared" ca="1" si="122"/>
        <v>I2C_Expander_Main_Rst!B105</v>
      </c>
    </row>
    <row r="863" spans="1:11" x14ac:dyDescent="0.25">
      <c r="A863" s="3" t="str">
        <f t="shared" ca="1" si="127"/>
        <v/>
      </c>
      <c r="G863" s="15">
        <f t="shared" ca="1" si="128"/>
        <v>106</v>
      </c>
      <c r="H863" s="15">
        <v>1</v>
      </c>
      <c r="I863" s="15" t="str">
        <f t="shared" ca="1" si="129"/>
        <v>I2C_Expander_Main_Rst</v>
      </c>
      <c r="J863" s="15" t="str">
        <f t="shared" ca="1" si="121"/>
        <v>I2C_Expander_Main_Rst!A106</v>
      </c>
      <c r="K863" s="15" t="str">
        <f t="shared" ca="1" si="122"/>
        <v>I2C_Expander_Main_Rst!B106</v>
      </c>
    </row>
    <row r="864" spans="1:11" x14ac:dyDescent="0.25">
      <c r="A864" s="3" t="str">
        <f t="shared" ca="1" si="127"/>
        <v/>
      </c>
      <c r="G864" s="15">
        <f t="shared" ca="1" si="128"/>
        <v>107</v>
      </c>
      <c r="H864" s="15">
        <v>1</v>
      </c>
      <c r="I864" s="15" t="str">
        <f t="shared" ca="1" si="129"/>
        <v>I2C_Expander_Main_Rst</v>
      </c>
      <c r="J864" s="15" t="str">
        <f t="shared" ca="1" si="121"/>
        <v>I2C_Expander_Main_Rst!A107</v>
      </c>
      <c r="K864" s="15" t="str">
        <f t="shared" ca="1" si="122"/>
        <v>I2C_Expander_Main_Rst!B107</v>
      </c>
    </row>
    <row r="865" spans="1:16" x14ac:dyDescent="0.25">
      <c r="A865" s="3" t="str">
        <f t="shared" ca="1" si="127"/>
        <v/>
      </c>
      <c r="G865" s="15">
        <f t="shared" ca="1" si="128"/>
        <v>108</v>
      </c>
      <c r="H865" s="15">
        <v>1</v>
      </c>
      <c r="I865" s="15" t="str">
        <f t="shared" ca="1" si="129"/>
        <v>I2C_Expander_Main_Rst</v>
      </c>
      <c r="J865" s="15" t="str">
        <f t="shared" ca="1" si="121"/>
        <v>I2C_Expander_Main_Rst!A108</v>
      </c>
      <c r="K865" s="15" t="str">
        <f t="shared" ca="1" si="122"/>
        <v>I2C_Expander_Main_Rst!B108</v>
      </c>
    </row>
    <row r="866" spans="1:16" x14ac:dyDescent="0.25">
      <c r="A866" s="3" t="str">
        <f t="shared" ca="1" si="127"/>
        <v/>
      </c>
      <c r="G866" s="15">
        <f t="shared" ca="1" si="128"/>
        <v>109</v>
      </c>
      <c r="H866" s="15">
        <v>1</v>
      </c>
      <c r="I866" s="15" t="str">
        <f t="shared" ca="1" si="129"/>
        <v>I2C_Expander_Main_Rst</v>
      </c>
      <c r="J866" s="15" t="str">
        <f t="shared" ca="1" si="121"/>
        <v>I2C_Expander_Main_Rst!A109</v>
      </c>
      <c r="K866" s="15" t="str">
        <f t="shared" ca="1" si="122"/>
        <v>I2C_Expander_Main_Rst!B109</v>
      </c>
    </row>
    <row r="867" spans="1:16" x14ac:dyDescent="0.25">
      <c r="A867" s="3" t="str">
        <f t="shared" ca="1" si="127"/>
        <v/>
      </c>
      <c r="G867" s="15">
        <f t="shared" ca="1" si="128"/>
        <v>110</v>
      </c>
      <c r="H867" s="15">
        <v>1</v>
      </c>
      <c r="I867" s="15" t="str">
        <f t="shared" ca="1" si="129"/>
        <v>I2C_Expander_Main_Rst</v>
      </c>
      <c r="J867" s="15" t="str">
        <f t="shared" ca="1" si="121"/>
        <v>I2C_Expander_Main_Rst!A110</v>
      </c>
      <c r="K867" s="15" t="str">
        <f t="shared" ca="1" si="122"/>
        <v>I2C_Expander_Main_Rst!B110</v>
      </c>
    </row>
    <row r="868" spans="1:16" x14ac:dyDescent="0.25">
      <c r="A868" s="3" t="str">
        <f t="shared" ca="1" si="127"/>
        <v xml:space="preserve">#I2C_Expander_11:LMK05028 =  </v>
      </c>
      <c r="G868" s="15">
        <f ca="1">INDIRECT(M868)</f>
        <v>111</v>
      </c>
      <c r="H868" s="15">
        <v>1</v>
      </c>
      <c r="I868" s="15" t="str">
        <f ca="1">INDIRECT(N868)</f>
        <v>I2C_Expander_11</v>
      </c>
      <c r="J868" s="15" t="str">
        <f t="shared" ca="1" si="121"/>
        <v>I2C_Expander_11!A111</v>
      </c>
      <c r="K868" s="15" t="str">
        <f t="shared" ca="1" si="122"/>
        <v>I2C_Expander_11!B111</v>
      </c>
      <c r="M868" s="15" t="str">
        <f>ADDRESS(O868,3,4,1,$R$1)</f>
        <v>konfig!C45</v>
      </c>
      <c r="N868" s="15" t="str">
        <f>ADDRESS(O868,1,4,1,$R$1)</f>
        <v>konfig!A45</v>
      </c>
      <c r="O868" s="15">
        <v>45</v>
      </c>
      <c r="P868" s="15">
        <v>4</v>
      </c>
    </row>
    <row r="869" spans="1:16" x14ac:dyDescent="0.25">
      <c r="A869" s="3" t="str">
        <f t="shared" ca="1" si="127"/>
        <v xml:space="preserve">device = MCP23017 </v>
      </c>
      <c r="G869" s="15">
        <f ca="1">G868+1</f>
        <v>112</v>
      </c>
      <c r="H869" s="15">
        <v>1</v>
      </c>
      <c r="I869" s="15" t="str">
        <f ca="1">I868</f>
        <v>I2C_Expander_11</v>
      </c>
      <c r="J869" s="15" t="str">
        <f t="shared" ca="1" si="121"/>
        <v>I2C_Expander_11!A112</v>
      </c>
      <c r="K869" s="15" t="str">
        <f t="shared" ca="1" si="122"/>
        <v>I2C_Expander_11!B112</v>
      </c>
    </row>
    <row r="870" spans="1:16" x14ac:dyDescent="0.25">
      <c r="A870" s="3" t="str">
        <f t="shared" ca="1" si="127"/>
        <v xml:space="preserve">i2c_addr = 0x21 </v>
      </c>
      <c r="G870" s="15">
        <f t="shared" ref="G870:G887" ca="1" si="130">G869+1</f>
        <v>113</v>
      </c>
      <c r="H870" s="15">
        <v>1</v>
      </c>
      <c r="I870" s="15" t="str">
        <f t="shared" ref="I870:I887" ca="1" si="131">I869</f>
        <v>I2C_Expander_11</v>
      </c>
      <c r="J870" s="15" t="str">
        <f t="shared" ca="1" si="121"/>
        <v>I2C_Expander_11!A113</v>
      </c>
      <c r="K870" s="15" t="str">
        <f t="shared" ca="1" si="122"/>
        <v>I2C_Expander_11!B113</v>
      </c>
    </row>
    <row r="871" spans="1:16" x14ac:dyDescent="0.25">
      <c r="A871" s="3" t="str">
        <f t="shared" ca="1" si="127"/>
        <v xml:space="preserve">i2c_num = /dev/i2c-1 </v>
      </c>
      <c r="C871" s="16"/>
      <c r="G871" s="15">
        <f t="shared" ca="1" si="130"/>
        <v>114</v>
      </c>
      <c r="H871" s="15">
        <v>1</v>
      </c>
      <c r="I871" s="15" t="str">
        <f t="shared" ca="1" si="131"/>
        <v>I2C_Expander_11</v>
      </c>
      <c r="J871" s="15" t="str">
        <f t="shared" ca="1" si="121"/>
        <v>I2C_Expander_11!A114</v>
      </c>
      <c r="K871" s="15" t="str">
        <f t="shared" ca="1" si="122"/>
        <v>I2C_Expander_11!B114</v>
      </c>
    </row>
    <row r="872" spans="1:16" x14ac:dyDescent="0.25">
      <c r="A872" s="3" t="str">
        <f t="shared" ca="1" si="127"/>
        <v xml:space="preserve">pins_mode = 0x7450 </v>
      </c>
      <c r="G872" s="15">
        <f t="shared" ca="1" si="130"/>
        <v>115</v>
      </c>
      <c r="H872" s="15">
        <v>1</v>
      </c>
      <c r="I872" s="15" t="str">
        <f t="shared" ca="1" si="131"/>
        <v>I2C_Expander_11</v>
      </c>
      <c r="J872" s="15" t="str">
        <f t="shared" ref="J872:J935" ca="1" si="132">ADDRESS(G872,H872,4,1,I872)</f>
        <v>I2C_Expander_11!A115</v>
      </c>
      <c r="K872" s="15" t="str">
        <f t="shared" ref="K872:K935" ca="1" si="133">ADDRESS(G872,H872+1,4,1,I872)</f>
        <v>I2C_Expander_11!B115</v>
      </c>
    </row>
    <row r="873" spans="1:16" x14ac:dyDescent="0.25">
      <c r="A873" s="3" t="str">
        <f t="shared" ca="1" si="127"/>
        <v xml:space="preserve">pins_state = 0x03AF </v>
      </c>
      <c r="G873" s="15">
        <f t="shared" ca="1" si="130"/>
        <v>116</v>
      </c>
      <c r="H873" s="15">
        <v>1</v>
      </c>
      <c r="I873" s="15" t="str">
        <f t="shared" ca="1" si="131"/>
        <v>I2C_Expander_11</v>
      </c>
      <c r="J873" s="15" t="str">
        <f t="shared" ca="1" si="132"/>
        <v>I2C_Expander_11!A116</v>
      </c>
      <c r="K873" s="15" t="str">
        <f t="shared" ca="1" si="133"/>
        <v>I2C_Expander_11!B116</v>
      </c>
    </row>
    <row r="874" spans="1:16" x14ac:dyDescent="0.25">
      <c r="A874" s="3" t="str">
        <f t="shared" ca="1" si="127"/>
        <v xml:space="preserve">pins_pull_up = 0x0000 </v>
      </c>
      <c r="G874" s="15">
        <f t="shared" ca="1" si="130"/>
        <v>117</v>
      </c>
      <c r="H874" s="15">
        <v>1</v>
      </c>
      <c r="I874" s="15" t="str">
        <f t="shared" ca="1" si="131"/>
        <v>I2C_Expander_11</v>
      </c>
      <c r="J874" s="15" t="str">
        <f t="shared" ca="1" si="132"/>
        <v>I2C_Expander_11!A117</v>
      </c>
      <c r="K874" s="15" t="str">
        <f t="shared" ca="1" si="133"/>
        <v>I2C_Expander_11!B117</v>
      </c>
    </row>
    <row r="875" spans="1:16" x14ac:dyDescent="0.25">
      <c r="A875" s="3" t="str">
        <f t="shared" ca="1" si="127"/>
        <v xml:space="preserve">#pins_int = 0x0000 </v>
      </c>
      <c r="G875" s="15">
        <f t="shared" ca="1" si="130"/>
        <v>118</v>
      </c>
      <c r="H875" s="15">
        <v>1</v>
      </c>
      <c r="I875" s="15" t="str">
        <f t="shared" ca="1" si="131"/>
        <v>I2C_Expander_11</v>
      </c>
      <c r="J875" s="15" t="str">
        <f t="shared" ca="1" si="132"/>
        <v>I2C_Expander_11!A118</v>
      </c>
      <c r="K875" s="15" t="str">
        <f t="shared" ca="1" si="133"/>
        <v>I2C_Expander_11!B118</v>
      </c>
    </row>
    <row r="876" spans="1:16" x14ac:dyDescent="0.25">
      <c r="A876" s="3" t="str">
        <f t="shared" ca="1" si="127"/>
        <v xml:space="preserve">#pins_def_val = 0x0000 </v>
      </c>
      <c r="G876" s="15">
        <f t="shared" ca="1" si="130"/>
        <v>119</v>
      </c>
      <c r="H876" s="15">
        <v>1</v>
      </c>
      <c r="I876" s="15" t="str">
        <f t="shared" ca="1" si="131"/>
        <v>I2C_Expander_11</v>
      </c>
      <c r="J876" s="15" t="str">
        <f t="shared" ca="1" si="132"/>
        <v>I2C_Expander_11!A119</v>
      </c>
      <c r="K876" s="15" t="str">
        <f t="shared" ca="1" si="133"/>
        <v>I2C_Expander_11!B119</v>
      </c>
    </row>
    <row r="877" spans="1:16" x14ac:dyDescent="0.25">
      <c r="A877" s="3" t="str">
        <f t="shared" ca="1" si="127"/>
        <v/>
      </c>
      <c r="G877" s="15">
        <f t="shared" ca="1" si="130"/>
        <v>120</v>
      </c>
      <c r="H877" s="15">
        <v>1</v>
      </c>
      <c r="I877" s="15" t="str">
        <f t="shared" ca="1" si="131"/>
        <v>I2C_Expander_11</v>
      </c>
      <c r="J877" s="15" t="str">
        <f t="shared" ca="1" si="132"/>
        <v>I2C_Expander_11!A120</v>
      </c>
      <c r="K877" s="15" t="str">
        <f t="shared" ca="1" si="133"/>
        <v>I2C_Expander_11!B120</v>
      </c>
    </row>
    <row r="878" spans="1:16" x14ac:dyDescent="0.25">
      <c r="A878" s="3" t="str">
        <f t="shared" ca="1" si="127"/>
        <v xml:space="preserve">#pins_int = 10 </v>
      </c>
      <c r="G878" s="15">
        <f t="shared" ca="1" si="130"/>
        <v>121</v>
      </c>
      <c r="H878" s="15">
        <v>1</v>
      </c>
      <c r="I878" s="15" t="str">
        <f t="shared" ca="1" si="131"/>
        <v>I2C_Expander_11</v>
      </c>
      <c r="J878" s="15" t="str">
        <f t="shared" ca="1" si="132"/>
        <v>I2C_Expander_11!A121</v>
      </c>
      <c r="K878" s="15" t="str">
        <f t="shared" ca="1" si="133"/>
        <v>I2C_Expander_11!B121</v>
      </c>
    </row>
    <row r="879" spans="1:16" x14ac:dyDescent="0.25">
      <c r="A879" s="3" t="str">
        <f t="shared" ca="1" si="127"/>
        <v/>
      </c>
      <c r="C879" s="16"/>
      <c r="G879" s="15">
        <f t="shared" ca="1" si="130"/>
        <v>122</v>
      </c>
      <c r="H879" s="15">
        <v>1</v>
      </c>
      <c r="I879" s="15" t="str">
        <f t="shared" ca="1" si="131"/>
        <v>I2C_Expander_11</v>
      </c>
      <c r="J879" s="15" t="str">
        <f t="shared" ca="1" si="132"/>
        <v>I2C_Expander_11!A122</v>
      </c>
      <c r="K879" s="15" t="str">
        <f t="shared" ca="1" si="133"/>
        <v>I2C_Expander_11!B122</v>
      </c>
    </row>
    <row r="880" spans="1:16" x14ac:dyDescent="0.25">
      <c r="A880" s="3" t="str">
        <f t="shared" ca="1" si="127"/>
        <v/>
      </c>
      <c r="G880" s="15">
        <f t="shared" ca="1" si="130"/>
        <v>123</v>
      </c>
      <c r="H880" s="15">
        <v>1</v>
      </c>
      <c r="I880" s="15" t="str">
        <f t="shared" ca="1" si="131"/>
        <v>I2C_Expander_11</v>
      </c>
      <c r="J880" s="15" t="str">
        <f t="shared" ca="1" si="132"/>
        <v>I2C_Expander_11!A123</v>
      </c>
      <c r="K880" s="15" t="str">
        <f t="shared" ca="1" si="133"/>
        <v>I2C_Expander_11!B123</v>
      </c>
    </row>
    <row r="881" spans="1:16" x14ac:dyDescent="0.25">
      <c r="A881" s="3" t="str">
        <f t="shared" ca="1" si="127"/>
        <v/>
      </c>
      <c r="G881" s="15">
        <f t="shared" ca="1" si="130"/>
        <v>124</v>
      </c>
      <c r="H881" s="15">
        <v>1</v>
      </c>
      <c r="I881" s="15" t="str">
        <f t="shared" ca="1" si="131"/>
        <v>I2C_Expander_11</v>
      </c>
      <c r="J881" s="15" t="str">
        <f t="shared" ca="1" si="132"/>
        <v>I2C_Expander_11!A124</v>
      </c>
      <c r="K881" s="15" t="str">
        <f t="shared" ca="1" si="133"/>
        <v>I2C_Expander_11!B124</v>
      </c>
    </row>
    <row r="882" spans="1:16" x14ac:dyDescent="0.25">
      <c r="A882" s="3" t="str">
        <f t="shared" ca="1" si="127"/>
        <v/>
      </c>
      <c r="G882" s="15">
        <f t="shared" ca="1" si="130"/>
        <v>125</v>
      </c>
      <c r="H882" s="15">
        <v>1</v>
      </c>
      <c r="I882" s="15" t="str">
        <f t="shared" ca="1" si="131"/>
        <v>I2C_Expander_11</v>
      </c>
      <c r="J882" s="15" t="str">
        <f t="shared" ca="1" si="132"/>
        <v>I2C_Expander_11!A125</v>
      </c>
      <c r="K882" s="15" t="str">
        <f t="shared" ca="1" si="133"/>
        <v>I2C_Expander_11!B125</v>
      </c>
    </row>
    <row r="883" spans="1:16" x14ac:dyDescent="0.25">
      <c r="A883" s="3" t="str">
        <f t="shared" ca="1" si="127"/>
        <v/>
      </c>
      <c r="G883" s="15">
        <f t="shared" ca="1" si="130"/>
        <v>126</v>
      </c>
      <c r="H883" s="15">
        <v>1</v>
      </c>
      <c r="I883" s="15" t="str">
        <f t="shared" ca="1" si="131"/>
        <v>I2C_Expander_11</v>
      </c>
      <c r="J883" s="15" t="str">
        <f t="shared" ca="1" si="132"/>
        <v>I2C_Expander_11!A126</v>
      </c>
      <c r="K883" s="15" t="str">
        <f t="shared" ca="1" si="133"/>
        <v>I2C_Expander_11!B126</v>
      </c>
    </row>
    <row r="884" spans="1:16" x14ac:dyDescent="0.25">
      <c r="A884" s="3" t="str">
        <f t="shared" ca="1" si="127"/>
        <v/>
      </c>
      <c r="G884" s="15">
        <f t="shared" ca="1" si="130"/>
        <v>127</v>
      </c>
      <c r="H884" s="15">
        <v>1</v>
      </c>
      <c r="I884" s="15" t="str">
        <f t="shared" ca="1" si="131"/>
        <v>I2C_Expander_11</v>
      </c>
      <c r="J884" s="15" t="str">
        <f t="shared" ca="1" si="132"/>
        <v>I2C_Expander_11!A127</v>
      </c>
      <c r="K884" s="15" t="str">
        <f t="shared" ca="1" si="133"/>
        <v>I2C_Expander_11!B127</v>
      </c>
    </row>
    <row r="885" spans="1:16" x14ac:dyDescent="0.25">
      <c r="A885" s="3" t="str">
        <f t="shared" ca="1" si="127"/>
        <v/>
      </c>
      <c r="G885" s="15">
        <f t="shared" ca="1" si="130"/>
        <v>128</v>
      </c>
      <c r="H885" s="15">
        <v>1</v>
      </c>
      <c r="I885" s="15" t="str">
        <f t="shared" ca="1" si="131"/>
        <v>I2C_Expander_11</v>
      </c>
      <c r="J885" s="15" t="str">
        <f t="shared" ca="1" si="132"/>
        <v>I2C_Expander_11!A128</v>
      </c>
      <c r="K885" s="15" t="str">
        <f t="shared" ca="1" si="133"/>
        <v>I2C_Expander_11!B128</v>
      </c>
    </row>
    <row r="886" spans="1:16" x14ac:dyDescent="0.25">
      <c r="A886" s="3" t="str">
        <f t="shared" ca="1" si="127"/>
        <v/>
      </c>
      <c r="G886" s="15">
        <f t="shared" ca="1" si="130"/>
        <v>129</v>
      </c>
      <c r="H886" s="15">
        <v>1</v>
      </c>
      <c r="I886" s="15" t="str">
        <f t="shared" ca="1" si="131"/>
        <v>I2C_Expander_11</v>
      </c>
      <c r="J886" s="15" t="str">
        <f t="shared" ca="1" si="132"/>
        <v>I2C_Expander_11!A129</v>
      </c>
      <c r="K886" s="15" t="str">
        <f t="shared" ca="1" si="133"/>
        <v>I2C_Expander_11!B129</v>
      </c>
    </row>
    <row r="887" spans="1:16" x14ac:dyDescent="0.25">
      <c r="A887" s="3" t="str">
        <f t="shared" ca="1" si="127"/>
        <v/>
      </c>
      <c r="G887" s="15">
        <f t="shared" ca="1" si="130"/>
        <v>130</v>
      </c>
      <c r="H887" s="15">
        <v>1</v>
      </c>
      <c r="I887" s="15" t="str">
        <f t="shared" ca="1" si="131"/>
        <v>I2C_Expander_11</v>
      </c>
      <c r="J887" s="15" t="str">
        <f t="shared" ca="1" si="132"/>
        <v>I2C_Expander_11!A130</v>
      </c>
      <c r="K887" s="15" t="str">
        <f t="shared" ca="1" si="133"/>
        <v>I2C_Expander_11!B130</v>
      </c>
    </row>
    <row r="888" spans="1:16" x14ac:dyDescent="0.25">
      <c r="A888" s="3" t="str">
        <f t="shared" ca="1" si="127"/>
        <v/>
      </c>
      <c r="G888" s="15">
        <f ca="1">INDIRECT(M888)</f>
        <v>51</v>
      </c>
      <c r="H888" s="15">
        <v>1</v>
      </c>
      <c r="I888" s="15" t="str">
        <f ca="1">INDIRECT(N888)</f>
        <v>LMK05028</v>
      </c>
      <c r="J888" s="15" t="str">
        <f t="shared" ca="1" si="132"/>
        <v>'LMK05028'!A51</v>
      </c>
      <c r="K888" s="15" t="str">
        <f t="shared" ca="1" si="133"/>
        <v>'LMK05028'!B51</v>
      </c>
      <c r="M888" s="15" t="str">
        <f>ADDRESS(O888,3,4,1,$R$1)</f>
        <v>konfig!C46</v>
      </c>
      <c r="N888" s="15" t="str">
        <f>ADDRESS(O888,1,4,1,$R$1)</f>
        <v>konfig!A46</v>
      </c>
      <c r="O888" s="15">
        <v>46</v>
      </c>
      <c r="P888" s="15">
        <v>4</v>
      </c>
    </row>
    <row r="889" spans="1:16" x14ac:dyDescent="0.25">
      <c r="A889" s="3" t="str">
        <f t="shared" ca="1" si="127"/>
        <v/>
      </c>
      <c r="G889" s="15">
        <f ca="1">G888+1</f>
        <v>52</v>
      </c>
      <c r="H889" s="15">
        <v>1</v>
      </c>
      <c r="I889" s="15" t="str">
        <f ca="1">I888</f>
        <v>LMK05028</v>
      </c>
      <c r="J889" s="15" t="str">
        <f t="shared" ca="1" si="132"/>
        <v>'LMK05028'!A52</v>
      </c>
      <c r="K889" s="15" t="str">
        <f t="shared" ca="1" si="133"/>
        <v>'LMK05028'!B52</v>
      </c>
    </row>
    <row r="890" spans="1:16" x14ac:dyDescent="0.25">
      <c r="A890" s="3" t="str">
        <f t="shared" ca="1" si="127"/>
        <v/>
      </c>
      <c r="G890" s="15">
        <f t="shared" ref="G890:G907" ca="1" si="134">G889+1</f>
        <v>53</v>
      </c>
      <c r="H890" s="15">
        <v>1</v>
      </c>
      <c r="I890" s="15" t="str">
        <f t="shared" ref="I890:I907" ca="1" si="135">I889</f>
        <v>LMK05028</v>
      </c>
      <c r="J890" s="15" t="str">
        <f t="shared" ca="1" si="132"/>
        <v>'LMK05028'!A53</v>
      </c>
      <c r="K890" s="15" t="str">
        <f t="shared" ca="1" si="133"/>
        <v>'LMK05028'!B53</v>
      </c>
    </row>
    <row r="891" spans="1:16" x14ac:dyDescent="0.25">
      <c r="A891" s="3" t="str">
        <f t="shared" ca="1" si="127"/>
        <v/>
      </c>
      <c r="C891" s="16"/>
      <c r="G891" s="15">
        <f t="shared" ca="1" si="134"/>
        <v>54</v>
      </c>
      <c r="H891" s="15">
        <v>1</v>
      </c>
      <c r="I891" s="15" t="str">
        <f t="shared" ca="1" si="135"/>
        <v>LMK05028</v>
      </c>
      <c r="J891" s="15" t="str">
        <f t="shared" ca="1" si="132"/>
        <v>'LMK05028'!A54</v>
      </c>
      <c r="K891" s="15" t="str">
        <f t="shared" ca="1" si="133"/>
        <v>'LMK05028'!B54</v>
      </c>
    </row>
    <row r="892" spans="1:16" x14ac:dyDescent="0.25">
      <c r="A892" s="3" t="str">
        <f t="shared" ca="1" si="127"/>
        <v/>
      </c>
      <c r="G892" s="15">
        <f t="shared" ca="1" si="134"/>
        <v>55</v>
      </c>
      <c r="H892" s="15">
        <v>1</v>
      </c>
      <c r="I892" s="15" t="str">
        <f t="shared" ca="1" si="135"/>
        <v>LMK05028</v>
      </c>
      <c r="J892" s="15" t="str">
        <f t="shared" ca="1" si="132"/>
        <v>'LMK05028'!A55</v>
      </c>
      <c r="K892" s="15" t="str">
        <f t="shared" ca="1" si="133"/>
        <v>'LMK05028'!B55</v>
      </c>
    </row>
    <row r="893" spans="1:16" x14ac:dyDescent="0.25">
      <c r="A893" s="3" t="str">
        <f t="shared" ca="1" si="127"/>
        <v/>
      </c>
      <c r="G893" s="15">
        <f t="shared" ca="1" si="134"/>
        <v>56</v>
      </c>
      <c r="H893" s="15">
        <v>1</v>
      </c>
      <c r="I893" s="15" t="str">
        <f t="shared" ca="1" si="135"/>
        <v>LMK05028</v>
      </c>
      <c r="J893" s="15" t="str">
        <f t="shared" ca="1" si="132"/>
        <v>'LMK05028'!A56</v>
      </c>
      <c r="K893" s="15" t="str">
        <f t="shared" ca="1" si="133"/>
        <v>'LMK05028'!B56</v>
      </c>
    </row>
    <row r="894" spans="1:16" x14ac:dyDescent="0.25">
      <c r="A894" s="3" t="str">
        <f t="shared" ca="1" si="127"/>
        <v/>
      </c>
      <c r="G894" s="15">
        <f t="shared" ca="1" si="134"/>
        <v>57</v>
      </c>
      <c r="H894" s="15">
        <v>1</v>
      </c>
      <c r="I894" s="15" t="str">
        <f t="shared" ca="1" si="135"/>
        <v>LMK05028</v>
      </c>
      <c r="J894" s="15" t="str">
        <f t="shared" ca="1" si="132"/>
        <v>'LMK05028'!A57</v>
      </c>
      <c r="K894" s="15" t="str">
        <f t="shared" ca="1" si="133"/>
        <v>'LMK05028'!B57</v>
      </c>
    </row>
    <row r="895" spans="1:16" x14ac:dyDescent="0.25">
      <c r="A895" s="3" t="str">
        <f t="shared" ca="1" si="127"/>
        <v/>
      </c>
      <c r="G895" s="15">
        <f t="shared" ca="1" si="134"/>
        <v>58</v>
      </c>
      <c r="H895" s="15">
        <v>1</v>
      </c>
      <c r="I895" s="15" t="str">
        <f t="shared" ca="1" si="135"/>
        <v>LMK05028</v>
      </c>
      <c r="J895" s="15" t="str">
        <f t="shared" ca="1" si="132"/>
        <v>'LMK05028'!A58</v>
      </c>
      <c r="K895" s="15" t="str">
        <f t="shared" ca="1" si="133"/>
        <v>'LMK05028'!B58</v>
      </c>
    </row>
    <row r="896" spans="1:16" x14ac:dyDescent="0.25">
      <c r="A896" s="3" t="str">
        <f t="shared" ca="1" si="127"/>
        <v/>
      </c>
      <c r="G896" s="15">
        <f t="shared" ca="1" si="134"/>
        <v>59</v>
      </c>
      <c r="H896" s="15">
        <v>1</v>
      </c>
      <c r="I896" s="15" t="str">
        <f t="shared" ca="1" si="135"/>
        <v>LMK05028</v>
      </c>
      <c r="J896" s="15" t="str">
        <f t="shared" ca="1" si="132"/>
        <v>'LMK05028'!A59</v>
      </c>
      <c r="K896" s="15" t="str">
        <f t="shared" ca="1" si="133"/>
        <v>'LMK05028'!B59</v>
      </c>
    </row>
    <row r="897" spans="1:16" x14ac:dyDescent="0.25">
      <c r="A897" s="3" t="str">
        <f t="shared" ca="1" si="127"/>
        <v/>
      </c>
      <c r="G897" s="15">
        <f t="shared" ca="1" si="134"/>
        <v>60</v>
      </c>
      <c r="H897" s="15">
        <v>1</v>
      </c>
      <c r="I897" s="15" t="str">
        <f t="shared" ca="1" si="135"/>
        <v>LMK05028</v>
      </c>
      <c r="J897" s="15" t="str">
        <f t="shared" ca="1" si="132"/>
        <v>'LMK05028'!A60</v>
      </c>
      <c r="K897" s="15" t="str">
        <f t="shared" ca="1" si="133"/>
        <v>'LMK05028'!B60</v>
      </c>
    </row>
    <row r="898" spans="1:16" x14ac:dyDescent="0.25">
      <c r="A898" s="3" t="str">
        <f t="shared" ca="1" si="127"/>
        <v/>
      </c>
      <c r="G898" s="15">
        <f t="shared" ca="1" si="134"/>
        <v>61</v>
      </c>
      <c r="H898" s="15">
        <v>1</v>
      </c>
      <c r="I898" s="15" t="str">
        <f t="shared" ca="1" si="135"/>
        <v>LMK05028</v>
      </c>
      <c r="J898" s="15" t="str">
        <f t="shared" ca="1" si="132"/>
        <v>'LMK05028'!A61</v>
      </c>
      <c r="K898" s="15" t="str">
        <f t="shared" ca="1" si="133"/>
        <v>'LMK05028'!B61</v>
      </c>
    </row>
    <row r="899" spans="1:16" x14ac:dyDescent="0.25">
      <c r="A899" s="3" t="str">
        <f t="shared" ca="1" si="127"/>
        <v/>
      </c>
      <c r="C899" s="16"/>
      <c r="G899" s="15">
        <f t="shared" ca="1" si="134"/>
        <v>62</v>
      </c>
      <c r="H899" s="15">
        <v>1</v>
      </c>
      <c r="I899" s="15" t="str">
        <f t="shared" ca="1" si="135"/>
        <v>LMK05028</v>
      </c>
      <c r="J899" s="15" t="str">
        <f t="shared" ca="1" si="132"/>
        <v>'LMK05028'!A62</v>
      </c>
      <c r="K899" s="15" t="str">
        <f t="shared" ca="1" si="133"/>
        <v>'LMK05028'!B62</v>
      </c>
    </row>
    <row r="900" spans="1:16" x14ac:dyDescent="0.25">
      <c r="A900" s="3" t="str">
        <f t="shared" ref="A900:A963" ca="1" si="136">IFERROR(IF(INDIRECT(J900)&lt;&gt;"",CONCATENATE(INDIRECT(J900)," = ",INDIRECT(K900)," "),""),"")</f>
        <v/>
      </c>
      <c r="G900" s="15">
        <f t="shared" ca="1" si="134"/>
        <v>63</v>
      </c>
      <c r="H900" s="15">
        <v>1</v>
      </c>
      <c r="I900" s="15" t="str">
        <f t="shared" ca="1" si="135"/>
        <v>LMK05028</v>
      </c>
      <c r="J900" s="15" t="str">
        <f t="shared" ca="1" si="132"/>
        <v>'LMK05028'!A63</v>
      </c>
      <c r="K900" s="15" t="str">
        <f t="shared" ca="1" si="133"/>
        <v>'LMK05028'!B63</v>
      </c>
    </row>
    <row r="901" spans="1:16" x14ac:dyDescent="0.25">
      <c r="A901" s="3" t="str">
        <f t="shared" ca="1" si="136"/>
        <v/>
      </c>
      <c r="G901" s="15">
        <f t="shared" ca="1" si="134"/>
        <v>64</v>
      </c>
      <c r="H901" s="15">
        <v>1</v>
      </c>
      <c r="I901" s="15" t="str">
        <f t="shared" ca="1" si="135"/>
        <v>LMK05028</v>
      </c>
      <c r="J901" s="15" t="str">
        <f t="shared" ca="1" si="132"/>
        <v>'LMK05028'!A64</v>
      </c>
      <c r="K901" s="15" t="str">
        <f t="shared" ca="1" si="133"/>
        <v>'LMK05028'!B64</v>
      </c>
    </row>
    <row r="902" spans="1:16" x14ac:dyDescent="0.25">
      <c r="A902" s="3" t="str">
        <f t="shared" ca="1" si="136"/>
        <v/>
      </c>
      <c r="G902" s="15">
        <f t="shared" ca="1" si="134"/>
        <v>65</v>
      </c>
      <c r="H902" s="15">
        <v>1</v>
      </c>
      <c r="I902" s="15" t="str">
        <f t="shared" ca="1" si="135"/>
        <v>LMK05028</v>
      </c>
      <c r="J902" s="15" t="str">
        <f t="shared" ca="1" si="132"/>
        <v>'LMK05028'!A65</v>
      </c>
      <c r="K902" s="15" t="str">
        <f t="shared" ca="1" si="133"/>
        <v>'LMK05028'!B65</v>
      </c>
    </row>
    <row r="903" spans="1:16" x14ac:dyDescent="0.25">
      <c r="A903" s="3" t="str">
        <f t="shared" ca="1" si="136"/>
        <v/>
      </c>
      <c r="G903" s="15">
        <f t="shared" ca="1" si="134"/>
        <v>66</v>
      </c>
      <c r="H903" s="15">
        <v>1</v>
      </c>
      <c r="I903" s="15" t="str">
        <f t="shared" ca="1" si="135"/>
        <v>LMK05028</v>
      </c>
      <c r="J903" s="15" t="str">
        <f t="shared" ca="1" si="132"/>
        <v>'LMK05028'!A66</v>
      </c>
      <c r="K903" s="15" t="str">
        <f t="shared" ca="1" si="133"/>
        <v>'LMK05028'!B66</v>
      </c>
    </row>
    <row r="904" spans="1:16" x14ac:dyDescent="0.25">
      <c r="A904" s="3" t="str">
        <f t="shared" ca="1" si="136"/>
        <v/>
      </c>
      <c r="G904" s="15">
        <f t="shared" ca="1" si="134"/>
        <v>67</v>
      </c>
      <c r="H904" s="15">
        <v>1</v>
      </c>
      <c r="I904" s="15" t="str">
        <f t="shared" ca="1" si="135"/>
        <v>LMK05028</v>
      </c>
      <c r="J904" s="15" t="str">
        <f t="shared" ca="1" si="132"/>
        <v>'LMK05028'!A67</v>
      </c>
      <c r="K904" s="15" t="str">
        <f t="shared" ca="1" si="133"/>
        <v>'LMK05028'!B67</v>
      </c>
    </row>
    <row r="905" spans="1:16" x14ac:dyDescent="0.25">
      <c r="A905" s="3" t="str">
        <f t="shared" ca="1" si="136"/>
        <v/>
      </c>
      <c r="G905" s="15">
        <f t="shared" ca="1" si="134"/>
        <v>68</v>
      </c>
      <c r="H905" s="15">
        <v>1</v>
      </c>
      <c r="I905" s="15" t="str">
        <f t="shared" ca="1" si="135"/>
        <v>LMK05028</v>
      </c>
      <c r="J905" s="15" t="str">
        <f t="shared" ca="1" si="132"/>
        <v>'LMK05028'!A68</v>
      </c>
      <c r="K905" s="15" t="str">
        <f t="shared" ca="1" si="133"/>
        <v>'LMK05028'!B68</v>
      </c>
    </row>
    <row r="906" spans="1:16" x14ac:dyDescent="0.25">
      <c r="A906" s="3" t="str">
        <f t="shared" ca="1" si="136"/>
        <v/>
      </c>
      <c r="G906" s="15">
        <f t="shared" ca="1" si="134"/>
        <v>69</v>
      </c>
      <c r="H906" s="15">
        <v>1</v>
      </c>
      <c r="I906" s="15" t="str">
        <f t="shared" ca="1" si="135"/>
        <v>LMK05028</v>
      </c>
      <c r="J906" s="15" t="str">
        <f t="shared" ca="1" si="132"/>
        <v>'LMK05028'!A69</v>
      </c>
      <c r="K906" s="15" t="str">
        <f t="shared" ca="1" si="133"/>
        <v>'LMK05028'!B69</v>
      </c>
    </row>
    <row r="907" spans="1:16" x14ac:dyDescent="0.25">
      <c r="A907" s="3" t="str">
        <f t="shared" ca="1" si="136"/>
        <v/>
      </c>
      <c r="G907" s="15">
        <f t="shared" ca="1" si="134"/>
        <v>70</v>
      </c>
      <c r="H907" s="15">
        <v>1</v>
      </c>
      <c r="I907" s="15" t="str">
        <f t="shared" ca="1" si="135"/>
        <v>LMK05028</v>
      </c>
      <c r="J907" s="15" t="str">
        <f t="shared" ca="1" si="132"/>
        <v>'LMK05028'!A70</v>
      </c>
      <c r="K907" s="15" t="str">
        <f t="shared" ca="1" si="133"/>
        <v>'LMK05028'!B70</v>
      </c>
    </row>
    <row r="908" spans="1:16" x14ac:dyDescent="0.25">
      <c r="A908" s="3" t="str">
        <f t="shared" ca="1" si="136"/>
        <v xml:space="preserve">#I2C_Expander_11:etap 2 =  </v>
      </c>
      <c r="G908" s="15">
        <f ca="1">INDIRECT(M908)</f>
        <v>71</v>
      </c>
      <c r="H908" s="15">
        <v>1</v>
      </c>
      <c r="I908" s="15" t="str">
        <f ca="1">INDIRECT(N908)</f>
        <v>I2C_Expander_11</v>
      </c>
      <c r="J908" s="15" t="str">
        <f t="shared" ca="1" si="132"/>
        <v>I2C_Expander_11!A71</v>
      </c>
      <c r="K908" s="15" t="str">
        <f t="shared" ca="1" si="133"/>
        <v>I2C_Expander_11!B71</v>
      </c>
      <c r="M908" s="15" t="str">
        <f>ADDRESS(O908,3,4,1,$R$1)</f>
        <v>konfig!C47</v>
      </c>
      <c r="N908" s="15" t="str">
        <f>ADDRESS(O908,1,4,1,$R$1)</f>
        <v>konfig!A47</v>
      </c>
      <c r="O908" s="15">
        <v>47</v>
      </c>
      <c r="P908" s="15">
        <v>4</v>
      </c>
    </row>
    <row r="909" spans="1:16" x14ac:dyDescent="0.25">
      <c r="A909" s="3" t="str">
        <f t="shared" ca="1" si="136"/>
        <v xml:space="preserve">device = MCP23017 </v>
      </c>
      <c r="G909" s="15">
        <f ca="1">G908+1</f>
        <v>72</v>
      </c>
      <c r="H909" s="15">
        <v>1</v>
      </c>
      <c r="I909" s="15" t="str">
        <f ca="1">I908</f>
        <v>I2C_Expander_11</v>
      </c>
      <c r="J909" s="15" t="str">
        <f t="shared" ca="1" si="132"/>
        <v>I2C_Expander_11!A72</v>
      </c>
      <c r="K909" s="15" t="str">
        <f t="shared" ca="1" si="133"/>
        <v>I2C_Expander_11!B72</v>
      </c>
    </row>
    <row r="910" spans="1:16" x14ac:dyDescent="0.25">
      <c r="A910" s="3" t="str">
        <f t="shared" ca="1" si="136"/>
        <v xml:space="preserve">i2c_addr = 0x21 </v>
      </c>
      <c r="G910" s="15">
        <f t="shared" ref="G910:G927" ca="1" si="137">G909+1</f>
        <v>73</v>
      </c>
      <c r="H910" s="15">
        <v>1</v>
      </c>
      <c r="I910" s="15" t="str">
        <f t="shared" ref="I910:I927" ca="1" si="138">I909</f>
        <v>I2C_Expander_11</v>
      </c>
      <c r="J910" s="15" t="str">
        <f t="shared" ca="1" si="132"/>
        <v>I2C_Expander_11!A73</v>
      </c>
      <c r="K910" s="15" t="str">
        <f t="shared" ca="1" si="133"/>
        <v>I2C_Expander_11!B73</v>
      </c>
    </row>
    <row r="911" spans="1:16" x14ac:dyDescent="0.25">
      <c r="A911" s="3" t="str">
        <f t="shared" ca="1" si="136"/>
        <v xml:space="preserve">i2c_num = /dev/i2c-1 </v>
      </c>
      <c r="C911" s="16"/>
      <c r="G911" s="15">
        <f t="shared" ca="1" si="137"/>
        <v>74</v>
      </c>
      <c r="H911" s="15">
        <v>1</v>
      </c>
      <c r="I911" s="15" t="str">
        <f t="shared" ca="1" si="138"/>
        <v>I2C_Expander_11</v>
      </c>
      <c r="J911" s="15" t="str">
        <f t="shared" ca="1" si="132"/>
        <v>I2C_Expander_11!A74</v>
      </c>
      <c r="K911" s="15" t="str">
        <f t="shared" ca="1" si="133"/>
        <v>I2C_Expander_11!B74</v>
      </c>
    </row>
    <row r="912" spans="1:16" x14ac:dyDescent="0.25">
      <c r="A912" s="3" t="str">
        <f t="shared" ca="1" si="136"/>
        <v xml:space="preserve">pins_mode = 0x7450 </v>
      </c>
      <c r="G912" s="15">
        <f t="shared" ca="1" si="137"/>
        <v>75</v>
      </c>
      <c r="H912" s="15">
        <v>1</v>
      </c>
      <c r="I912" s="15" t="str">
        <f t="shared" ca="1" si="138"/>
        <v>I2C_Expander_11</v>
      </c>
      <c r="J912" s="15" t="str">
        <f t="shared" ca="1" si="132"/>
        <v>I2C_Expander_11!A75</v>
      </c>
      <c r="K912" s="15" t="str">
        <f t="shared" ca="1" si="133"/>
        <v>I2C_Expander_11!B75</v>
      </c>
    </row>
    <row r="913" spans="1:16" x14ac:dyDescent="0.25">
      <c r="A913" s="3" t="str">
        <f t="shared" ca="1" si="136"/>
        <v xml:space="preserve">pins_state = 0x0BAF </v>
      </c>
      <c r="G913" s="15">
        <f t="shared" ca="1" si="137"/>
        <v>76</v>
      </c>
      <c r="H913" s="15">
        <v>1</v>
      </c>
      <c r="I913" s="15" t="str">
        <f t="shared" ca="1" si="138"/>
        <v>I2C_Expander_11</v>
      </c>
      <c r="J913" s="15" t="str">
        <f t="shared" ca="1" si="132"/>
        <v>I2C_Expander_11!A76</v>
      </c>
      <c r="K913" s="15" t="str">
        <f t="shared" ca="1" si="133"/>
        <v>I2C_Expander_11!B76</v>
      </c>
    </row>
    <row r="914" spans="1:16" x14ac:dyDescent="0.25">
      <c r="A914" s="3" t="str">
        <f t="shared" ca="1" si="136"/>
        <v xml:space="preserve">pins_pull_up = 0x0000 </v>
      </c>
      <c r="G914" s="15">
        <f t="shared" ca="1" si="137"/>
        <v>77</v>
      </c>
      <c r="H914" s="15">
        <v>1</v>
      </c>
      <c r="I914" s="15" t="str">
        <f t="shared" ca="1" si="138"/>
        <v>I2C_Expander_11</v>
      </c>
      <c r="J914" s="15" t="str">
        <f t="shared" ca="1" si="132"/>
        <v>I2C_Expander_11!A77</v>
      </c>
      <c r="K914" s="15" t="str">
        <f t="shared" ca="1" si="133"/>
        <v>I2C_Expander_11!B77</v>
      </c>
    </row>
    <row r="915" spans="1:16" x14ac:dyDescent="0.25">
      <c r="A915" s="3" t="str">
        <f t="shared" ca="1" si="136"/>
        <v xml:space="preserve">#pins_int = 0x0000 </v>
      </c>
      <c r="G915" s="15">
        <f t="shared" ca="1" si="137"/>
        <v>78</v>
      </c>
      <c r="H915" s="15">
        <v>1</v>
      </c>
      <c r="I915" s="15" t="str">
        <f t="shared" ca="1" si="138"/>
        <v>I2C_Expander_11</v>
      </c>
      <c r="J915" s="15" t="str">
        <f t="shared" ca="1" si="132"/>
        <v>I2C_Expander_11!A78</v>
      </c>
      <c r="K915" s="15" t="str">
        <f t="shared" ca="1" si="133"/>
        <v>I2C_Expander_11!B78</v>
      </c>
    </row>
    <row r="916" spans="1:16" x14ac:dyDescent="0.25">
      <c r="A916" s="3" t="str">
        <f t="shared" ca="1" si="136"/>
        <v xml:space="preserve">#pins_def_val = 0x0000 </v>
      </c>
      <c r="G916" s="15">
        <f t="shared" ca="1" si="137"/>
        <v>79</v>
      </c>
      <c r="H916" s="15">
        <v>1</v>
      </c>
      <c r="I916" s="15" t="str">
        <f t="shared" ca="1" si="138"/>
        <v>I2C_Expander_11</v>
      </c>
      <c r="J916" s="15" t="str">
        <f t="shared" ca="1" si="132"/>
        <v>I2C_Expander_11!A79</v>
      </c>
      <c r="K916" s="15" t="str">
        <f t="shared" ca="1" si="133"/>
        <v>I2C_Expander_11!B79</v>
      </c>
    </row>
    <row r="917" spans="1:16" x14ac:dyDescent="0.25">
      <c r="A917" s="3" t="str">
        <f t="shared" ca="1" si="136"/>
        <v/>
      </c>
      <c r="G917" s="15">
        <f t="shared" ca="1" si="137"/>
        <v>80</v>
      </c>
      <c r="H917" s="15">
        <v>1</v>
      </c>
      <c r="I917" s="15" t="str">
        <f t="shared" ca="1" si="138"/>
        <v>I2C_Expander_11</v>
      </c>
      <c r="J917" s="15" t="str">
        <f t="shared" ca="1" si="132"/>
        <v>I2C_Expander_11!A80</v>
      </c>
      <c r="K917" s="15" t="str">
        <f t="shared" ca="1" si="133"/>
        <v>I2C_Expander_11!B80</v>
      </c>
    </row>
    <row r="918" spans="1:16" x14ac:dyDescent="0.25">
      <c r="A918" s="3" t="str">
        <f t="shared" ca="1" si="136"/>
        <v xml:space="preserve">#pins_int = 10 </v>
      </c>
      <c r="G918" s="15">
        <f t="shared" ca="1" si="137"/>
        <v>81</v>
      </c>
      <c r="H918" s="15">
        <v>1</v>
      </c>
      <c r="I918" s="15" t="str">
        <f t="shared" ca="1" si="138"/>
        <v>I2C_Expander_11</v>
      </c>
      <c r="J918" s="15" t="str">
        <f t="shared" ca="1" si="132"/>
        <v>I2C_Expander_11!A81</v>
      </c>
      <c r="K918" s="15" t="str">
        <f t="shared" ca="1" si="133"/>
        <v>I2C_Expander_11!B81</v>
      </c>
    </row>
    <row r="919" spans="1:16" x14ac:dyDescent="0.25">
      <c r="A919" s="3" t="str">
        <f t="shared" ca="1" si="136"/>
        <v/>
      </c>
      <c r="C919" s="16"/>
      <c r="G919" s="15">
        <f t="shared" ca="1" si="137"/>
        <v>82</v>
      </c>
      <c r="H919" s="15">
        <v>1</v>
      </c>
      <c r="I919" s="15" t="str">
        <f t="shared" ca="1" si="138"/>
        <v>I2C_Expander_11</v>
      </c>
      <c r="J919" s="15" t="str">
        <f t="shared" ca="1" si="132"/>
        <v>I2C_Expander_11!A82</v>
      </c>
      <c r="K919" s="15" t="str">
        <f t="shared" ca="1" si="133"/>
        <v>I2C_Expander_11!B82</v>
      </c>
    </row>
    <row r="920" spans="1:16" x14ac:dyDescent="0.25">
      <c r="A920" s="3" t="str">
        <f t="shared" ca="1" si="136"/>
        <v/>
      </c>
      <c r="G920" s="15">
        <f t="shared" ca="1" si="137"/>
        <v>83</v>
      </c>
      <c r="H920" s="15">
        <v>1</v>
      </c>
      <c r="I920" s="15" t="str">
        <f t="shared" ca="1" si="138"/>
        <v>I2C_Expander_11</v>
      </c>
      <c r="J920" s="15" t="str">
        <f t="shared" ca="1" si="132"/>
        <v>I2C_Expander_11!A83</v>
      </c>
      <c r="K920" s="15" t="str">
        <f t="shared" ca="1" si="133"/>
        <v>I2C_Expander_11!B83</v>
      </c>
    </row>
    <row r="921" spans="1:16" x14ac:dyDescent="0.25">
      <c r="A921" s="3" t="str">
        <f t="shared" ca="1" si="136"/>
        <v/>
      </c>
      <c r="G921" s="15">
        <f t="shared" ca="1" si="137"/>
        <v>84</v>
      </c>
      <c r="H921" s="15">
        <v>1</v>
      </c>
      <c r="I921" s="15" t="str">
        <f t="shared" ca="1" si="138"/>
        <v>I2C_Expander_11</v>
      </c>
      <c r="J921" s="15" t="str">
        <f t="shared" ca="1" si="132"/>
        <v>I2C_Expander_11!A84</v>
      </c>
      <c r="K921" s="15" t="str">
        <f t="shared" ca="1" si="133"/>
        <v>I2C_Expander_11!B84</v>
      </c>
    </row>
    <row r="922" spans="1:16" x14ac:dyDescent="0.25">
      <c r="A922" s="3" t="str">
        <f t="shared" ca="1" si="136"/>
        <v/>
      </c>
      <c r="G922" s="15">
        <f t="shared" ca="1" si="137"/>
        <v>85</v>
      </c>
      <c r="H922" s="15">
        <v>1</v>
      </c>
      <c r="I922" s="15" t="str">
        <f t="shared" ca="1" si="138"/>
        <v>I2C_Expander_11</v>
      </c>
      <c r="J922" s="15" t="str">
        <f t="shared" ca="1" si="132"/>
        <v>I2C_Expander_11!A85</v>
      </c>
      <c r="K922" s="15" t="str">
        <f t="shared" ca="1" si="133"/>
        <v>I2C_Expander_11!B85</v>
      </c>
    </row>
    <row r="923" spans="1:16" x14ac:dyDescent="0.25">
      <c r="A923" s="3" t="str">
        <f t="shared" ca="1" si="136"/>
        <v/>
      </c>
      <c r="G923" s="15">
        <f t="shared" ca="1" si="137"/>
        <v>86</v>
      </c>
      <c r="H923" s="15">
        <v>1</v>
      </c>
      <c r="I923" s="15" t="str">
        <f t="shared" ca="1" si="138"/>
        <v>I2C_Expander_11</v>
      </c>
      <c r="J923" s="15" t="str">
        <f t="shared" ca="1" si="132"/>
        <v>I2C_Expander_11!A86</v>
      </c>
      <c r="K923" s="15" t="str">
        <f t="shared" ca="1" si="133"/>
        <v>I2C_Expander_11!B86</v>
      </c>
    </row>
    <row r="924" spans="1:16" x14ac:dyDescent="0.25">
      <c r="A924" s="3" t="str">
        <f t="shared" ca="1" si="136"/>
        <v/>
      </c>
      <c r="G924" s="15">
        <f t="shared" ca="1" si="137"/>
        <v>87</v>
      </c>
      <c r="H924" s="15">
        <v>1</v>
      </c>
      <c r="I924" s="15" t="str">
        <f t="shared" ca="1" si="138"/>
        <v>I2C_Expander_11</v>
      </c>
      <c r="J924" s="15" t="str">
        <f t="shared" ca="1" si="132"/>
        <v>I2C_Expander_11!A87</v>
      </c>
      <c r="K924" s="15" t="str">
        <f t="shared" ca="1" si="133"/>
        <v>I2C_Expander_11!B87</v>
      </c>
    </row>
    <row r="925" spans="1:16" x14ac:dyDescent="0.25">
      <c r="A925" s="3" t="str">
        <f t="shared" ca="1" si="136"/>
        <v/>
      </c>
      <c r="G925" s="15">
        <f t="shared" ca="1" si="137"/>
        <v>88</v>
      </c>
      <c r="H925" s="15">
        <v>1</v>
      </c>
      <c r="I925" s="15" t="str">
        <f t="shared" ca="1" si="138"/>
        <v>I2C_Expander_11</v>
      </c>
      <c r="J925" s="15" t="str">
        <f t="shared" ca="1" si="132"/>
        <v>I2C_Expander_11!A88</v>
      </c>
      <c r="K925" s="15" t="str">
        <f t="shared" ca="1" si="133"/>
        <v>I2C_Expander_11!B88</v>
      </c>
    </row>
    <row r="926" spans="1:16" x14ac:dyDescent="0.25">
      <c r="A926" s="3" t="str">
        <f t="shared" ca="1" si="136"/>
        <v/>
      </c>
      <c r="G926" s="15">
        <f t="shared" ca="1" si="137"/>
        <v>89</v>
      </c>
      <c r="H926" s="15">
        <v>1</v>
      </c>
      <c r="I926" s="15" t="str">
        <f t="shared" ca="1" si="138"/>
        <v>I2C_Expander_11</v>
      </c>
      <c r="J926" s="15" t="str">
        <f t="shared" ca="1" si="132"/>
        <v>I2C_Expander_11!A89</v>
      </c>
      <c r="K926" s="15" t="str">
        <f t="shared" ca="1" si="133"/>
        <v>I2C_Expander_11!B89</v>
      </c>
    </row>
    <row r="927" spans="1:16" x14ac:dyDescent="0.25">
      <c r="A927" s="3" t="str">
        <f t="shared" ca="1" si="136"/>
        <v/>
      </c>
      <c r="G927" s="15">
        <f t="shared" ca="1" si="137"/>
        <v>90</v>
      </c>
      <c r="H927" s="15">
        <v>1</v>
      </c>
      <c r="I927" s="15" t="str">
        <f t="shared" ca="1" si="138"/>
        <v>I2C_Expander_11</v>
      </c>
      <c r="J927" s="15" t="str">
        <f t="shared" ca="1" si="132"/>
        <v>I2C_Expander_11!A90</v>
      </c>
      <c r="K927" s="15" t="str">
        <f t="shared" ca="1" si="133"/>
        <v>I2C_Expander_11!B90</v>
      </c>
    </row>
    <row r="928" spans="1:16" x14ac:dyDescent="0.25">
      <c r="A928" s="3" t="str">
        <f t="shared" ca="1" si="136"/>
        <v xml:space="preserve">#I2C_Bridge_GPIO:exp_group_0x =  </v>
      </c>
      <c r="G928" s="15">
        <f ca="1">INDIRECT(M928)</f>
        <v>51</v>
      </c>
      <c r="H928" s="15">
        <v>1</v>
      </c>
      <c r="I928" s="15" t="str">
        <f ca="1">INDIRECT(N928)</f>
        <v>I2C_Bridge_GPIO</v>
      </c>
      <c r="J928" s="15" t="str">
        <f t="shared" ca="1" si="132"/>
        <v>I2C_Bridge_GPIO!A51</v>
      </c>
      <c r="K928" s="15" t="str">
        <f t="shared" ca="1" si="133"/>
        <v>I2C_Bridge_GPIO!B51</v>
      </c>
      <c r="M928" s="15" t="str">
        <f>ADDRESS(O928,3,4,1,$R$1)</f>
        <v>konfig!C48</v>
      </c>
      <c r="N928" s="15" t="str">
        <f>ADDRESS(O928,1,4,1,$R$1)</f>
        <v>konfig!A48</v>
      </c>
      <c r="O928" s="15">
        <v>48</v>
      </c>
      <c r="P928" s="15">
        <v>4</v>
      </c>
    </row>
    <row r="929" spans="1:11" x14ac:dyDescent="0.25">
      <c r="A929" s="3" t="str">
        <f t="shared" ca="1" si="136"/>
        <v xml:space="preserve">device = TCA9548 </v>
      </c>
      <c r="G929" s="15">
        <f ca="1">G928+1</f>
        <v>52</v>
      </c>
      <c r="H929" s="15">
        <v>1</v>
      </c>
      <c r="I929" s="15" t="str">
        <f ca="1">I928</f>
        <v>I2C_Bridge_GPIO</v>
      </c>
      <c r="J929" s="15" t="str">
        <f t="shared" ca="1" si="132"/>
        <v>I2C_Bridge_GPIO!A52</v>
      </c>
      <c r="K929" s="15" t="str">
        <f t="shared" ca="1" si="133"/>
        <v>I2C_Bridge_GPIO!B52</v>
      </c>
    </row>
    <row r="930" spans="1:11" x14ac:dyDescent="0.25">
      <c r="A930" s="3" t="str">
        <f t="shared" ca="1" si="136"/>
        <v xml:space="preserve">i2c_addr = 0x73 </v>
      </c>
      <c r="G930" s="15">
        <f t="shared" ref="G930:G947" ca="1" si="139">G929+1</f>
        <v>53</v>
      </c>
      <c r="H930" s="15">
        <v>1</v>
      </c>
      <c r="I930" s="15" t="str">
        <f t="shared" ref="I930:I947" ca="1" si="140">I929</f>
        <v>I2C_Bridge_GPIO</v>
      </c>
      <c r="J930" s="15" t="str">
        <f t="shared" ca="1" si="132"/>
        <v>I2C_Bridge_GPIO!A53</v>
      </c>
      <c r="K930" s="15" t="str">
        <f t="shared" ca="1" si="133"/>
        <v>I2C_Bridge_GPIO!B53</v>
      </c>
    </row>
    <row r="931" spans="1:11" x14ac:dyDescent="0.25">
      <c r="A931" s="3" t="str">
        <f t="shared" ca="1" si="136"/>
        <v xml:space="preserve">i2c_num = /dev/i2c-1 </v>
      </c>
      <c r="C931" s="16"/>
      <c r="G931" s="15">
        <f t="shared" ca="1" si="139"/>
        <v>54</v>
      </c>
      <c r="H931" s="15">
        <v>1</v>
      </c>
      <c r="I931" s="15" t="str">
        <f t="shared" ca="1" si="140"/>
        <v>I2C_Bridge_GPIO</v>
      </c>
      <c r="J931" s="15" t="str">
        <f t="shared" ca="1" si="132"/>
        <v>I2C_Bridge_GPIO!A54</v>
      </c>
      <c r="K931" s="15" t="str">
        <f t="shared" ca="1" si="133"/>
        <v>I2C_Bridge_GPIO!B54</v>
      </c>
    </row>
    <row r="932" spans="1:11" x14ac:dyDescent="0.25">
      <c r="A932" s="3" t="str">
        <f t="shared" ca="1" si="136"/>
        <v xml:space="preserve">ctrl_reg = 0x01 </v>
      </c>
      <c r="G932" s="15">
        <f t="shared" ca="1" si="139"/>
        <v>55</v>
      </c>
      <c r="H932" s="15">
        <v>1</v>
      </c>
      <c r="I932" s="15" t="str">
        <f t="shared" ca="1" si="140"/>
        <v>I2C_Bridge_GPIO</v>
      </c>
      <c r="J932" s="15" t="str">
        <f t="shared" ca="1" si="132"/>
        <v>I2C_Bridge_GPIO!A55</v>
      </c>
      <c r="K932" s="15" t="str">
        <f t="shared" ca="1" si="133"/>
        <v>I2C_Bridge_GPIO!B55</v>
      </c>
    </row>
    <row r="933" spans="1:11" x14ac:dyDescent="0.25">
      <c r="A933" s="3" t="str">
        <f t="shared" ca="1" si="136"/>
        <v/>
      </c>
      <c r="G933" s="15">
        <f t="shared" ca="1" si="139"/>
        <v>56</v>
      </c>
      <c r="H933" s="15">
        <v>1</v>
      </c>
      <c r="I933" s="15" t="str">
        <f t="shared" ca="1" si="140"/>
        <v>I2C_Bridge_GPIO</v>
      </c>
      <c r="J933" s="15" t="str">
        <f t="shared" ca="1" si="132"/>
        <v>I2C_Bridge_GPIO!A56</v>
      </c>
      <c r="K933" s="15" t="str">
        <f t="shared" ca="1" si="133"/>
        <v>I2C_Bridge_GPIO!B56</v>
      </c>
    </row>
    <row r="934" spans="1:11" x14ac:dyDescent="0.25">
      <c r="A934" s="3" t="str">
        <f t="shared" ca="1" si="136"/>
        <v xml:space="preserve">time = 10 </v>
      </c>
      <c r="G934" s="15">
        <f t="shared" ca="1" si="139"/>
        <v>57</v>
      </c>
      <c r="H934" s="15">
        <v>1</v>
      </c>
      <c r="I934" s="15" t="str">
        <f t="shared" ca="1" si="140"/>
        <v>I2C_Bridge_GPIO</v>
      </c>
      <c r="J934" s="15" t="str">
        <f t="shared" ca="1" si="132"/>
        <v>I2C_Bridge_GPIO!A57</v>
      </c>
      <c r="K934" s="15" t="str">
        <f t="shared" ca="1" si="133"/>
        <v>I2C_Bridge_GPIO!B57</v>
      </c>
    </row>
    <row r="935" spans="1:11" x14ac:dyDescent="0.25">
      <c r="A935" s="3" t="str">
        <f t="shared" ca="1" si="136"/>
        <v/>
      </c>
      <c r="G935" s="15">
        <f t="shared" ca="1" si="139"/>
        <v>58</v>
      </c>
      <c r="H935" s="15">
        <v>1</v>
      </c>
      <c r="I935" s="15" t="str">
        <f t="shared" ca="1" si="140"/>
        <v>I2C_Bridge_GPIO</v>
      </c>
      <c r="J935" s="15" t="str">
        <f t="shared" ca="1" si="132"/>
        <v>I2C_Bridge_GPIO!A58</v>
      </c>
      <c r="K935" s="15" t="str">
        <f t="shared" ca="1" si="133"/>
        <v>I2C_Bridge_GPIO!B58</v>
      </c>
    </row>
    <row r="936" spans="1:11" x14ac:dyDescent="0.25">
      <c r="A936" s="3" t="str">
        <f t="shared" ca="1" si="136"/>
        <v/>
      </c>
      <c r="G936" s="15">
        <f t="shared" ca="1" si="139"/>
        <v>59</v>
      </c>
      <c r="H936" s="15">
        <v>1</v>
      </c>
      <c r="I936" s="15" t="str">
        <f t="shared" ca="1" si="140"/>
        <v>I2C_Bridge_GPIO</v>
      </c>
      <c r="J936" s="15" t="str">
        <f t="shared" ref="J936:J955" ca="1" si="141">ADDRESS(G936,H936,4,1,I936)</f>
        <v>I2C_Bridge_GPIO!A59</v>
      </c>
      <c r="K936" s="15" t="str">
        <f t="shared" ref="K936:K955" ca="1" si="142">ADDRESS(G936,H936+1,4,1,I936)</f>
        <v>I2C_Bridge_GPIO!B59</v>
      </c>
    </row>
    <row r="937" spans="1:11" x14ac:dyDescent="0.25">
      <c r="A937" s="3" t="str">
        <f t="shared" ca="1" si="136"/>
        <v/>
      </c>
      <c r="G937" s="15">
        <f t="shared" ca="1" si="139"/>
        <v>60</v>
      </c>
      <c r="H937" s="15">
        <v>1</v>
      </c>
      <c r="I937" s="15" t="str">
        <f t="shared" ca="1" si="140"/>
        <v>I2C_Bridge_GPIO</v>
      </c>
      <c r="J937" s="15" t="str">
        <f t="shared" ca="1" si="141"/>
        <v>I2C_Bridge_GPIO!A60</v>
      </c>
      <c r="K937" s="15" t="str">
        <f t="shared" ca="1" si="142"/>
        <v>I2C_Bridge_GPIO!B60</v>
      </c>
    </row>
    <row r="938" spans="1:11" x14ac:dyDescent="0.25">
      <c r="A938" s="3" t="str">
        <f t="shared" ca="1" si="136"/>
        <v/>
      </c>
      <c r="G938" s="15">
        <f t="shared" ca="1" si="139"/>
        <v>61</v>
      </c>
      <c r="H938" s="15">
        <v>1</v>
      </c>
      <c r="I938" s="15" t="str">
        <f t="shared" ca="1" si="140"/>
        <v>I2C_Bridge_GPIO</v>
      </c>
      <c r="J938" s="15" t="str">
        <f t="shared" ca="1" si="141"/>
        <v>I2C_Bridge_GPIO!A61</v>
      </c>
      <c r="K938" s="15" t="str">
        <f t="shared" ca="1" si="142"/>
        <v>I2C_Bridge_GPIO!B61</v>
      </c>
    </row>
    <row r="939" spans="1:11" x14ac:dyDescent="0.25">
      <c r="A939" s="3" t="str">
        <f t="shared" ca="1" si="136"/>
        <v/>
      </c>
      <c r="C939" s="16"/>
      <c r="G939" s="15">
        <f t="shared" ca="1" si="139"/>
        <v>62</v>
      </c>
      <c r="H939" s="15">
        <v>1</v>
      </c>
      <c r="I939" s="15" t="str">
        <f t="shared" ca="1" si="140"/>
        <v>I2C_Bridge_GPIO</v>
      </c>
      <c r="J939" s="15" t="str">
        <f t="shared" ca="1" si="141"/>
        <v>I2C_Bridge_GPIO!A62</v>
      </c>
      <c r="K939" s="15" t="str">
        <f t="shared" ca="1" si="142"/>
        <v>I2C_Bridge_GPIO!B62</v>
      </c>
    </row>
    <row r="940" spans="1:11" x14ac:dyDescent="0.25">
      <c r="A940" s="3" t="str">
        <f t="shared" ca="1" si="136"/>
        <v/>
      </c>
      <c r="G940" s="15">
        <f t="shared" ca="1" si="139"/>
        <v>63</v>
      </c>
      <c r="H940" s="15">
        <v>1</v>
      </c>
      <c r="I940" s="15" t="str">
        <f t="shared" ca="1" si="140"/>
        <v>I2C_Bridge_GPIO</v>
      </c>
      <c r="J940" s="15" t="str">
        <f t="shared" ca="1" si="141"/>
        <v>I2C_Bridge_GPIO!A63</v>
      </c>
      <c r="K940" s="15" t="str">
        <f t="shared" ca="1" si="142"/>
        <v>I2C_Bridge_GPIO!B63</v>
      </c>
    </row>
    <row r="941" spans="1:11" x14ac:dyDescent="0.25">
      <c r="A941" s="3" t="str">
        <f t="shared" ca="1" si="136"/>
        <v/>
      </c>
      <c r="G941" s="15">
        <f t="shared" ca="1" si="139"/>
        <v>64</v>
      </c>
      <c r="H941" s="15">
        <v>1</v>
      </c>
      <c r="I941" s="15" t="str">
        <f t="shared" ca="1" si="140"/>
        <v>I2C_Bridge_GPIO</v>
      </c>
      <c r="J941" s="15" t="str">
        <f t="shared" ca="1" si="141"/>
        <v>I2C_Bridge_GPIO!A64</v>
      </c>
      <c r="K941" s="15" t="str">
        <f t="shared" ca="1" si="142"/>
        <v>I2C_Bridge_GPIO!B64</v>
      </c>
    </row>
    <row r="942" spans="1:11" x14ac:dyDescent="0.25">
      <c r="A942" s="3" t="str">
        <f t="shared" ca="1" si="136"/>
        <v/>
      </c>
      <c r="G942" s="15">
        <f t="shared" ca="1" si="139"/>
        <v>65</v>
      </c>
      <c r="H942" s="15">
        <v>1</v>
      </c>
      <c r="I942" s="15" t="str">
        <f t="shared" ca="1" si="140"/>
        <v>I2C_Bridge_GPIO</v>
      </c>
      <c r="J942" s="15" t="str">
        <f t="shared" ca="1" si="141"/>
        <v>I2C_Bridge_GPIO!A65</v>
      </c>
      <c r="K942" s="15" t="str">
        <f t="shared" ca="1" si="142"/>
        <v>I2C_Bridge_GPIO!B65</v>
      </c>
    </row>
    <row r="943" spans="1:11" x14ac:dyDescent="0.25">
      <c r="A943" s="3" t="str">
        <f t="shared" ca="1" si="136"/>
        <v/>
      </c>
      <c r="G943" s="15">
        <f t="shared" ca="1" si="139"/>
        <v>66</v>
      </c>
      <c r="H943" s="15">
        <v>1</v>
      </c>
      <c r="I943" s="15" t="str">
        <f t="shared" ca="1" si="140"/>
        <v>I2C_Bridge_GPIO</v>
      </c>
      <c r="J943" s="15" t="str">
        <f t="shared" ca="1" si="141"/>
        <v>I2C_Bridge_GPIO!A66</v>
      </c>
      <c r="K943" s="15" t="str">
        <f t="shared" ca="1" si="142"/>
        <v>I2C_Bridge_GPIO!B66</v>
      </c>
    </row>
    <row r="944" spans="1:11" x14ac:dyDescent="0.25">
      <c r="A944" s="3" t="str">
        <f t="shared" ca="1" si="136"/>
        <v/>
      </c>
      <c r="G944" s="15">
        <f t="shared" ca="1" si="139"/>
        <v>67</v>
      </c>
      <c r="H944" s="15">
        <v>1</v>
      </c>
      <c r="I944" s="15" t="str">
        <f t="shared" ca="1" si="140"/>
        <v>I2C_Bridge_GPIO</v>
      </c>
      <c r="J944" s="15" t="str">
        <f t="shared" ca="1" si="141"/>
        <v>I2C_Bridge_GPIO!A67</v>
      </c>
      <c r="K944" s="15" t="str">
        <f t="shared" ca="1" si="142"/>
        <v>I2C_Bridge_GPIO!B67</v>
      </c>
    </row>
    <row r="945" spans="1:16" x14ac:dyDescent="0.25">
      <c r="A945" s="3" t="str">
        <f t="shared" ca="1" si="136"/>
        <v/>
      </c>
      <c r="G945" s="15">
        <f t="shared" ca="1" si="139"/>
        <v>68</v>
      </c>
      <c r="H945" s="15">
        <v>1</v>
      </c>
      <c r="I945" s="15" t="str">
        <f t="shared" ca="1" si="140"/>
        <v>I2C_Bridge_GPIO</v>
      </c>
      <c r="J945" s="15" t="str">
        <f t="shared" ca="1" si="141"/>
        <v>I2C_Bridge_GPIO!A68</v>
      </c>
      <c r="K945" s="15" t="str">
        <f t="shared" ca="1" si="142"/>
        <v>I2C_Bridge_GPIO!B68</v>
      </c>
    </row>
    <row r="946" spans="1:16" x14ac:dyDescent="0.25">
      <c r="A946" s="3" t="str">
        <f t="shared" ca="1" si="136"/>
        <v/>
      </c>
      <c r="G946" s="15">
        <f t="shared" ca="1" si="139"/>
        <v>69</v>
      </c>
      <c r="H946" s="15">
        <v>1</v>
      </c>
      <c r="I946" s="15" t="str">
        <f t="shared" ca="1" si="140"/>
        <v>I2C_Bridge_GPIO</v>
      </c>
      <c r="J946" s="15" t="str">
        <f t="shared" ca="1" si="141"/>
        <v>I2C_Bridge_GPIO!A69</v>
      </c>
      <c r="K946" s="15" t="str">
        <f t="shared" ca="1" si="142"/>
        <v>I2C_Bridge_GPIO!B69</v>
      </c>
    </row>
    <row r="947" spans="1:16" x14ac:dyDescent="0.25">
      <c r="A947" s="3" t="str">
        <f t="shared" ca="1" si="136"/>
        <v/>
      </c>
      <c r="G947" s="15">
        <f t="shared" ca="1" si="139"/>
        <v>70</v>
      </c>
      <c r="H947" s="15">
        <v>1</v>
      </c>
      <c r="I947" s="15" t="str">
        <f t="shared" ca="1" si="140"/>
        <v>I2C_Bridge_GPIO</v>
      </c>
      <c r="J947" s="15" t="str">
        <f t="shared" ca="1" si="141"/>
        <v>I2C_Bridge_GPIO!A70</v>
      </c>
      <c r="K947" s="15" t="str">
        <f t="shared" ca="1" si="142"/>
        <v>I2C_Bridge_GPIO!B70</v>
      </c>
    </row>
    <row r="948" spans="1:16" x14ac:dyDescent="0.25">
      <c r="A948" s="3" t="str">
        <f t="shared" ca="1" si="136"/>
        <v xml:space="preserve">#I2C_Expander_02:DAC1220 =  </v>
      </c>
      <c r="G948" s="15">
        <f t="shared" ref="G948" ca="1" si="143">INDIRECT(M948)</f>
        <v>91</v>
      </c>
      <c r="H948" s="15">
        <v>1</v>
      </c>
      <c r="I948" s="15" t="str">
        <f t="shared" ref="I948" ca="1" si="144">INDIRECT(N948)</f>
        <v>I2C_Expander_02</v>
      </c>
      <c r="J948" s="15" t="str">
        <f t="shared" ca="1" si="141"/>
        <v>I2C_Expander_02!A91</v>
      </c>
      <c r="K948" s="15" t="str">
        <f t="shared" ca="1" si="142"/>
        <v>I2C_Expander_02!B91</v>
      </c>
      <c r="M948" s="15" t="str">
        <f t="shared" ref="M948" si="145">ADDRESS(O948,3,4,1,$R$1)</f>
        <v>konfig!C49</v>
      </c>
      <c r="N948" s="15" t="str">
        <f t="shared" ref="N948" si="146">ADDRESS(O948,1,4,1,$R$1)</f>
        <v>konfig!A49</v>
      </c>
      <c r="O948" s="15">
        <v>49</v>
      </c>
      <c r="P948" s="15">
        <v>4</v>
      </c>
    </row>
    <row r="949" spans="1:16" x14ac:dyDescent="0.25">
      <c r="A949" s="3" t="str">
        <f t="shared" ca="1" si="136"/>
        <v xml:space="preserve">device = MCP23017 </v>
      </c>
      <c r="G949" s="15">
        <f t="shared" ref="G949:G1012" ca="1" si="147">G948+1</f>
        <v>92</v>
      </c>
      <c r="H949" s="15">
        <v>1</v>
      </c>
      <c r="I949" s="15" t="str">
        <f t="shared" ref="I949:I1012" ca="1" si="148">I948</f>
        <v>I2C_Expander_02</v>
      </c>
      <c r="J949" s="15" t="str">
        <f t="shared" ca="1" si="141"/>
        <v>I2C_Expander_02!A92</v>
      </c>
      <c r="K949" s="15" t="str">
        <f t="shared" ca="1" si="142"/>
        <v>I2C_Expander_02!B92</v>
      </c>
    </row>
    <row r="950" spans="1:16" x14ac:dyDescent="0.25">
      <c r="A950" s="3" t="str">
        <f t="shared" ca="1" si="136"/>
        <v xml:space="preserve">i2c_addr = 0x22 </v>
      </c>
      <c r="G950" s="15">
        <f t="shared" ca="1" si="147"/>
        <v>93</v>
      </c>
      <c r="H950" s="15">
        <v>1</v>
      </c>
      <c r="I950" s="15" t="str">
        <f t="shared" ca="1" si="148"/>
        <v>I2C_Expander_02</v>
      </c>
      <c r="J950" s="15" t="str">
        <f t="shared" ca="1" si="141"/>
        <v>I2C_Expander_02!A93</v>
      </c>
      <c r="K950" s="15" t="str">
        <f t="shared" ca="1" si="142"/>
        <v>I2C_Expander_02!B93</v>
      </c>
    </row>
    <row r="951" spans="1:16" x14ac:dyDescent="0.25">
      <c r="A951" s="3" t="str">
        <f t="shared" ca="1" si="136"/>
        <v xml:space="preserve">i2c_num = /dev/i2c-1 </v>
      </c>
      <c r="C951" s="16"/>
      <c r="G951" s="15">
        <f t="shared" ca="1" si="147"/>
        <v>94</v>
      </c>
      <c r="H951" s="15">
        <v>1</v>
      </c>
      <c r="I951" s="15" t="str">
        <f t="shared" ca="1" si="148"/>
        <v>I2C_Expander_02</v>
      </c>
      <c r="J951" s="15" t="str">
        <f t="shared" ca="1" si="141"/>
        <v>I2C_Expander_02!A94</v>
      </c>
      <c r="K951" s="15" t="str">
        <f t="shared" ca="1" si="142"/>
        <v>I2C_Expander_02!B94</v>
      </c>
    </row>
    <row r="952" spans="1:16" x14ac:dyDescent="0.25">
      <c r="A952" s="3" t="str">
        <f t="shared" ca="1" si="136"/>
        <v xml:space="preserve">pins_mode = 0xD27C </v>
      </c>
      <c r="G952" s="15">
        <f t="shared" ca="1" si="147"/>
        <v>95</v>
      </c>
      <c r="H952" s="15">
        <v>1</v>
      </c>
      <c r="I952" s="15" t="str">
        <f t="shared" ca="1" si="148"/>
        <v>I2C_Expander_02</v>
      </c>
      <c r="J952" s="15" t="str">
        <f t="shared" ca="1" si="141"/>
        <v>I2C_Expander_02!A95</v>
      </c>
      <c r="K952" s="15" t="str">
        <f t="shared" ca="1" si="142"/>
        <v>I2C_Expander_02!B95</v>
      </c>
    </row>
    <row r="953" spans="1:16" x14ac:dyDescent="0.25">
      <c r="A953" s="3" t="str">
        <f t="shared" ca="1" si="136"/>
        <v xml:space="preserve">pins_state = 0x2D81 </v>
      </c>
      <c r="G953" s="15">
        <f t="shared" ca="1" si="147"/>
        <v>96</v>
      </c>
      <c r="H953" s="15">
        <v>1</v>
      </c>
      <c r="I953" s="15" t="str">
        <f t="shared" ca="1" si="148"/>
        <v>I2C_Expander_02</v>
      </c>
      <c r="J953" s="15" t="str">
        <f t="shared" ca="1" si="141"/>
        <v>I2C_Expander_02!A96</v>
      </c>
      <c r="K953" s="15" t="str">
        <f t="shared" ca="1" si="142"/>
        <v>I2C_Expander_02!B96</v>
      </c>
    </row>
    <row r="954" spans="1:16" x14ac:dyDescent="0.25">
      <c r="A954" s="3" t="str">
        <f t="shared" ca="1" si="136"/>
        <v xml:space="preserve">pins_pull_up = 0x1000 </v>
      </c>
      <c r="G954" s="15">
        <f t="shared" ca="1" si="147"/>
        <v>97</v>
      </c>
      <c r="H954" s="15">
        <v>1</v>
      </c>
      <c r="I954" s="15" t="str">
        <f t="shared" ca="1" si="148"/>
        <v>I2C_Expander_02</v>
      </c>
      <c r="J954" s="15" t="str">
        <f t="shared" ca="1" si="141"/>
        <v>I2C_Expander_02!A97</v>
      </c>
      <c r="K954" s="15" t="str">
        <f t="shared" ca="1" si="142"/>
        <v>I2C_Expander_02!B97</v>
      </c>
    </row>
    <row r="955" spans="1:16" x14ac:dyDescent="0.25">
      <c r="A955" s="3" t="str">
        <f t="shared" ca="1" si="136"/>
        <v xml:space="preserve">#pins_int = 0x0000 </v>
      </c>
      <c r="G955" s="15">
        <f t="shared" ca="1" si="147"/>
        <v>98</v>
      </c>
      <c r="H955" s="15">
        <v>1</v>
      </c>
      <c r="I955" s="15" t="str">
        <f t="shared" ca="1" si="148"/>
        <v>I2C_Expander_02</v>
      </c>
      <c r="J955" s="15" t="str">
        <f t="shared" ca="1" si="141"/>
        <v>I2C_Expander_02!A98</v>
      </c>
      <c r="K955" s="15" t="str">
        <f t="shared" ca="1" si="142"/>
        <v>I2C_Expander_02!B98</v>
      </c>
    </row>
    <row r="956" spans="1:16" x14ac:dyDescent="0.25">
      <c r="A956" s="3" t="str">
        <f t="shared" ca="1" si="136"/>
        <v xml:space="preserve">#pins_def_val = 0x0000 </v>
      </c>
      <c r="G956" s="15">
        <f t="shared" ca="1" si="147"/>
        <v>99</v>
      </c>
      <c r="H956" s="15">
        <v>1</v>
      </c>
      <c r="I956" s="15" t="str">
        <f t="shared" ca="1" si="148"/>
        <v>I2C_Expander_02</v>
      </c>
      <c r="J956" s="15" t="str">
        <f t="shared" ref="J956:J1019" ca="1" si="149">ADDRESS(G956,H956,4,1,I956)</f>
        <v>I2C_Expander_02!A99</v>
      </c>
      <c r="K956" s="15" t="str">
        <f t="shared" ref="K956:K1019" ca="1" si="150">ADDRESS(G956,H956+1,4,1,I956)</f>
        <v>I2C_Expander_02!B99</v>
      </c>
    </row>
    <row r="957" spans="1:16" x14ac:dyDescent="0.25">
      <c r="A957" s="3" t="str">
        <f t="shared" ca="1" si="136"/>
        <v/>
      </c>
      <c r="G957" s="15">
        <f t="shared" ca="1" si="147"/>
        <v>100</v>
      </c>
      <c r="H957" s="15">
        <v>1</v>
      </c>
      <c r="I957" s="15" t="str">
        <f t="shared" ca="1" si="148"/>
        <v>I2C_Expander_02</v>
      </c>
      <c r="J957" s="15" t="str">
        <f t="shared" ca="1" si="149"/>
        <v>I2C_Expander_02!A100</v>
      </c>
      <c r="K957" s="15" t="str">
        <f t="shared" ca="1" si="150"/>
        <v>I2C_Expander_02!B100</v>
      </c>
    </row>
    <row r="958" spans="1:16" x14ac:dyDescent="0.25">
      <c r="A958" s="3" t="str">
        <f t="shared" ca="1" si="136"/>
        <v xml:space="preserve">#pins_int = 10 </v>
      </c>
      <c r="G958" s="15">
        <f t="shared" ca="1" si="147"/>
        <v>101</v>
      </c>
      <c r="H958" s="15">
        <v>1</v>
      </c>
      <c r="I958" s="15" t="str">
        <f t="shared" ca="1" si="148"/>
        <v>I2C_Expander_02</v>
      </c>
      <c r="J958" s="15" t="str">
        <f t="shared" ca="1" si="149"/>
        <v>I2C_Expander_02!A101</v>
      </c>
      <c r="K958" s="15" t="str">
        <f t="shared" ca="1" si="150"/>
        <v>I2C_Expander_02!B101</v>
      </c>
    </row>
    <row r="959" spans="1:16" x14ac:dyDescent="0.25">
      <c r="A959" s="3" t="str">
        <f t="shared" ca="1" si="136"/>
        <v/>
      </c>
      <c r="C959" s="16"/>
      <c r="G959" s="15">
        <f t="shared" ca="1" si="147"/>
        <v>102</v>
      </c>
      <c r="H959" s="15">
        <v>1</v>
      </c>
      <c r="I959" s="15" t="str">
        <f t="shared" ca="1" si="148"/>
        <v>I2C_Expander_02</v>
      </c>
      <c r="J959" s="15" t="str">
        <f t="shared" ca="1" si="149"/>
        <v>I2C_Expander_02!A102</v>
      </c>
      <c r="K959" s="15" t="str">
        <f t="shared" ca="1" si="150"/>
        <v>I2C_Expander_02!B102</v>
      </c>
    </row>
    <row r="960" spans="1:16" x14ac:dyDescent="0.25">
      <c r="A960" s="3" t="str">
        <f t="shared" ca="1" si="136"/>
        <v/>
      </c>
      <c r="G960" s="15">
        <f t="shared" ca="1" si="147"/>
        <v>103</v>
      </c>
      <c r="H960" s="15">
        <v>1</v>
      </c>
      <c r="I960" s="15" t="str">
        <f t="shared" ca="1" si="148"/>
        <v>I2C_Expander_02</v>
      </c>
      <c r="J960" s="15" t="str">
        <f t="shared" ca="1" si="149"/>
        <v>I2C_Expander_02!A103</v>
      </c>
      <c r="K960" s="15" t="str">
        <f t="shared" ca="1" si="150"/>
        <v>I2C_Expander_02!B103</v>
      </c>
    </row>
    <row r="961" spans="1:16" x14ac:dyDescent="0.25">
      <c r="A961" s="3" t="str">
        <f t="shared" ca="1" si="136"/>
        <v/>
      </c>
      <c r="G961" s="15">
        <f t="shared" ca="1" si="147"/>
        <v>104</v>
      </c>
      <c r="H961" s="15">
        <v>1</v>
      </c>
      <c r="I961" s="15" t="str">
        <f t="shared" ca="1" si="148"/>
        <v>I2C_Expander_02</v>
      </c>
      <c r="J961" s="15" t="str">
        <f t="shared" ca="1" si="149"/>
        <v>I2C_Expander_02!A104</v>
      </c>
      <c r="K961" s="15" t="str">
        <f t="shared" ca="1" si="150"/>
        <v>I2C_Expander_02!B104</v>
      </c>
    </row>
    <row r="962" spans="1:16" x14ac:dyDescent="0.25">
      <c r="A962" s="3" t="str">
        <f t="shared" ca="1" si="136"/>
        <v/>
      </c>
      <c r="G962" s="15">
        <f t="shared" ca="1" si="147"/>
        <v>105</v>
      </c>
      <c r="H962" s="15">
        <v>1</v>
      </c>
      <c r="I962" s="15" t="str">
        <f t="shared" ca="1" si="148"/>
        <v>I2C_Expander_02</v>
      </c>
      <c r="J962" s="15" t="str">
        <f t="shared" ca="1" si="149"/>
        <v>I2C_Expander_02!A105</v>
      </c>
      <c r="K962" s="15" t="str">
        <f t="shared" ca="1" si="150"/>
        <v>I2C_Expander_02!B105</v>
      </c>
    </row>
    <row r="963" spans="1:16" x14ac:dyDescent="0.25">
      <c r="A963" s="3" t="str">
        <f t="shared" ca="1" si="136"/>
        <v/>
      </c>
      <c r="G963" s="15">
        <f t="shared" ca="1" si="147"/>
        <v>106</v>
      </c>
      <c r="H963" s="15">
        <v>1</v>
      </c>
      <c r="I963" s="15" t="str">
        <f t="shared" ca="1" si="148"/>
        <v>I2C_Expander_02</v>
      </c>
      <c r="J963" s="15" t="str">
        <f t="shared" ca="1" si="149"/>
        <v>I2C_Expander_02!A106</v>
      </c>
      <c r="K963" s="15" t="str">
        <f t="shared" ca="1" si="150"/>
        <v>I2C_Expander_02!B106</v>
      </c>
    </row>
    <row r="964" spans="1:16" x14ac:dyDescent="0.25">
      <c r="A964" s="3" t="str">
        <f t="shared" ref="A964:A1027" ca="1" si="151">IFERROR(IF(INDIRECT(J964)&lt;&gt;"",CONCATENATE(INDIRECT(J964)," = ",INDIRECT(K964)," "),""),"")</f>
        <v/>
      </c>
      <c r="G964" s="15">
        <f t="shared" ca="1" si="147"/>
        <v>107</v>
      </c>
      <c r="H964" s="15">
        <v>1</v>
      </c>
      <c r="I964" s="15" t="str">
        <f t="shared" ca="1" si="148"/>
        <v>I2C_Expander_02</v>
      </c>
      <c r="J964" s="15" t="str">
        <f t="shared" ca="1" si="149"/>
        <v>I2C_Expander_02!A107</v>
      </c>
      <c r="K964" s="15" t="str">
        <f t="shared" ca="1" si="150"/>
        <v>I2C_Expander_02!B107</v>
      </c>
    </row>
    <row r="965" spans="1:16" x14ac:dyDescent="0.25">
      <c r="A965" s="3" t="str">
        <f t="shared" ca="1" si="151"/>
        <v/>
      </c>
      <c r="G965" s="15">
        <f t="shared" ca="1" si="147"/>
        <v>108</v>
      </c>
      <c r="H965" s="15">
        <v>1</v>
      </c>
      <c r="I965" s="15" t="str">
        <f t="shared" ca="1" si="148"/>
        <v>I2C_Expander_02</v>
      </c>
      <c r="J965" s="15" t="str">
        <f t="shared" ca="1" si="149"/>
        <v>I2C_Expander_02!A108</v>
      </c>
      <c r="K965" s="15" t="str">
        <f t="shared" ca="1" si="150"/>
        <v>I2C_Expander_02!B108</v>
      </c>
    </row>
    <row r="966" spans="1:16" x14ac:dyDescent="0.25">
      <c r="A966" s="3" t="str">
        <f t="shared" ca="1" si="151"/>
        <v/>
      </c>
      <c r="G966" s="15">
        <f t="shared" ca="1" si="147"/>
        <v>109</v>
      </c>
      <c r="H966" s="15">
        <v>1</v>
      </c>
      <c r="I966" s="15" t="str">
        <f t="shared" ca="1" si="148"/>
        <v>I2C_Expander_02</v>
      </c>
      <c r="J966" s="15" t="str">
        <f t="shared" ca="1" si="149"/>
        <v>I2C_Expander_02!A109</v>
      </c>
      <c r="K966" s="15" t="str">
        <f t="shared" ca="1" si="150"/>
        <v>I2C_Expander_02!B109</v>
      </c>
    </row>
    <row r="967" spans="1:16" x14ac:dyDescent="0.25">
      <c r="A967" s="3" t="str">
        <f t="shared" ca="1" si="151"/>
        <v/>
      </c>
      <c r="G967" s="15">
        <f t="shared" ca="1" si="147"/>
        <v>110</v>
      </c>
      <c r="H967" s="15">
        <v>1</v>
      </c>
      <c r="I967" s="15" t="str">
        <f t="shared" ca="1" si="148"/>
        <v>I2C_Expander_02</v>
      </c>
      <c r="J967" s="15" t="str">
        <f t="shared" ca="1" si="149"/>
        <v>I2C_Expander_02!A110</v>
      </c>
      <c r="K967" s="15" t="str">
        <f t="shared" ca="1" si="150"/>
        <v>I2C_Expander_02!B110</v>
      </c>
    </row>
    <row r="968" spans="1:16" x14ac:dyDescent="0.25">
      <c r="A968" s="3" t="str">
        <f t="shared" ca="1" si="151"/>
        <v xml:space="preserve">#DAC1220 configuration =  </v>
      </c>
      <c r="G968" s="15">
        <f t="shared" ref="G968" ca="1" si="152">INDIRECT(M968)</f>
        <v>31</v>
      </c>
      <c r="H968" s="15">
        <v>1</v>
      </c>
      <c r="I968" s="15" t="str">
        <f t="shared" ref="I968" ca="1" si="153">INDIRECT(N968)</f>
        <v>DAC1220</v>
      </c>
      <c r="J968" s="15" t="str">
        <f t="shared" ca="1" si="149"/>
        <v>'DAC1220'!A31</v>
      </c>
      <c r="K968" s="15" t="str">
        <f t="shared" ca="1" si="150"/>
        <v>'DAC1220'!B31</v>
      </c>
      <c r="M968" s="15" t="str">
        <f t="shared" ref="M968" si="154">ADDRESS(O968,3,4,1,$R$1)</f>
        <v>konfig!C50</v>
      </c>
      <c r="N968" s="15" t="str">
        <f t="shared" ref="N968" si="155">ADDRESS(O968,1,4,1,$R$1)</f>
        <v>konfig!A50</v>
      </c>
      <c r="O968" s="15">
        <v>50</v>
      </c>
      <c r="P968" s="15">
        <v>4</v>
      </c>
    </row>
    <row r="969" spans="1:16" x14ac:dyDescent="0.25">
      <c r="A969" s="3" t="str">
        <f t="shared" ca="1" si="151"/>
        <v xml:space="preserve">device = DAC1220 </v>
      </c>
      <c r="G969" s="15">
        <f t="shared" ref="G969" ca="1" si="156">G968+1</f>
        <v>32</v>
      </c>
      <c r="H969" s="15">
        <v>1</v>
      </c>
      <c r="I969" s="15" t="str">
        <f t="shared" ref="I969" ca="1" si="157">I968</f>
        <v>DAC1220</v>
      </c>
      <c r="J969" s="15" t="str">
        <f t="shared" ca="1" si="149"/>
        <v>'DAC1220'!A32</v>
      </c>
      <c r="K969" s="15" t="str">
        <f t="shared" ca="1" si="150"/>
        <v>'DAC1220'!B32</v>
      </c>
    </row>
    <row r="970" spans="1:16" x14ac:dyDescent="0.25">
      <c r="A970" s="3" t="str">
        <f t="shared" ca="1" si="151"/>
        <v xml:space="preserve">spi_num = /dev/spidev0.0 </v>
      </c>
      <c r="G970" s="15">
        <f t="shared" ca="1" si="147"/>
        <v>33</v>
      </c>
      <c r="H970" s="15">
        <v>1</v>
      </c>
      <c r="I970" s="15" t="str">
        <f t="shared" ca="1" si="148"/>
        <v>DAC1220</v>
      </c>
      <c r="J970" s="15" t="str">
        <f t="shared" ca="1" si="149"/>
        <v>'DAC1220'!A33</v>
      </c>
      <c r="K970" s="15" t="str">
        <f t="shared" ca="1" si="150"/>
        <v>'DAC1220'!B33</v>
      </c>
    </row>
    <row r="971" spans="1:16" x14ac:dyDescent="0.25">
      <c r="A971" s="3" t="str">
        <f t="shared" ca="1" si="151"/>
        <v xml:space="preserve">path_cfg = ./device_config_files/DAC1220.cfg </v>
      </c>
      <c r="C971" s="16"/>
      <c r="G971" s="15">
        <f t="shared" ca="1" si="147"/>
        <v>34</v>
      </c>
      <c r="H971" s="15">
        <v>1</v>
      </c>
      <c r="I971" s="15" t="str">
        <f t="shared" ca="1" si="148"/>
        <v>DAC1220</v>
      </c>
      <c r="J971" s="15" t="str">
        <f t="shared" ca="1" si="149"/>
        <v>'DAC1220'!A34</v>
      </c>
      <c r="K971" s="15" t="str">
        <f t="shared" ca="1" si="150"/>
        <v>'DAC1220'!B34</v>
      </c>
    </row>
    <row r="972" spans="1:16" x14ac:dyDescent="0.25">
      <c r="A972" s="3" t="str">
        <f t="shared" ca="1" si="151"/>
        <v/>
      </c>
      <c r="G972" s="15">
        <f t="shared" ca="1" si="147"/>
        <v>35</v>
      </c>
      <c r="H972" s="15">
        <v>1</v>
      </c>
      <c r="I972" s="15" t="str">
        <f t="shared" ca="1" si="148"/>
        <v>DAC1220</v>
      </c>
      <c r="J972" s="15" t="str">
        <f t="shared" ca="1" si="149"/>
        <v>'DAC1220'!A35</v>
      </c>
      <c r="K972" s="15" t="str">
        <f t="shared" ca="1" si="150"/>
        <v>'DAC1220'!B35</v>
      </c>
    </row>
    <row r="973" spans="1:16" x14ac:dyDescent="0.25">
      <c r="A973" s="3" t="str">
        <f t="shared" ca="1" si="151"/>
        <v/>
      </c>
      <c r="G973" s="15">
        <f t="shared" ca="1" si="147"/>
        <v>36</v>
      </c>
      <c r="H973" s="15">
        <v>1</v>
      </c>
      <c r="I973" s="15" t="str">
        <f t="shared" ca="1" si="148"/>
        <v>DAC1220</v>
      </c>
      <c r="J973" s="15" t="str">
        <f t="shared" ca="1" si="149"/>
        <v>'DAC1220'!A36</v>
      </c>
      <c r="K973" s="15" t="str">
        <f t="shared" ca="1" si="150"/>
        <v>'DAC1220'!B36</v>
      </c>
    </row>
    <row r="974" spans="1:16" x14ac:dyDescent="0.25">
      <c r="A974" s="3" t="str">
        <f t="shared" ca="1" si="151"/>
        <v/>
      </c>
      <c r="G974" s="15">
        <f t="shared" ca="1" si="147"/>
        <v>37</v>
      </c>
      <c r="H974" s="15">
        <v>1</v>
      </c>
      <c r="I974" s="15" t="str">
        <f t="shared" ca="1" si="148"/>
        <v>DAC1220</v>
      </c>
      <c r="J974" s="15" t="str">
        <f t="shared" ca="1" si="149"/>
        <v>'DAC1220'!A37</v>
      </c>
      <c r="K974" s="15" t="str">
        <f t="shared" ca="1" si="150"/>
        <v>'DAC1220'!B37</v>
      </c>
    </row>
    <row r="975" spans="1:16" x14ac:dyDescent="0.25">
      <c r="A975" s="3" t="str">
        <f t="shared" ca="1" si="151"/>
        <v/>
      </c>
      <c r="G975" s="15">
        <f t="shared" ca="1" si="147"/>
        <v>38</v>
      </c>
      <c r="H975" s="15">
        <v>1</v>
      </c>
      <c r="I975" s="15" t="str">
        <f t="shared" ca="1" si="148"/>
        <v>DAC1220</v>
      </c>
      <c r="J975" s="15" t="str">
        <f t="shared" ca="1" si="149"/>
        <v>'DAC1220'!A38</v>
      </c>
      <c r="K975" s="15" t="str">
        <f t="shared" ca="1" si="150"/>
        <v>'DAC1220'!B38</v>
      </c>
    </row>
    <row r="976" spans="1:16" x14ac:dyDescent="0.25">
      <c r="A976" s="3" t="str">
        <f t="shared" ca="1" si="151"/>
        <v/>
      </c>
      <c r="G976" s="15">
        <f t="shared" ca="1" si="147"/>
        <v>39</v>
      </c>
      <c r="H976" s="15">
        <v>1</v>
      </c>
      <c r="I976" s="15" t="str">
        <f t="shared" ca="1" si="148"/>
        <v>DAC1220</v>
      </c>
      <c r="J976" s="15" t="str">
        <f t="shared" ca="1" si="149"/>
        <v>'DAC1220'!A39</v>
      </c>
      <c r="K976" s="15" t="str">
        <f t="shared" ca="1" si="150"/>
        <v>'DAC1220'!B39</v>
      </c>
    </row>
    <row r="977" spans="1:16" x14ac:dyDescent="0.25">
      <c r="A977" s="3" t="str">
        <f t="shared" ca="1" si="151"/>
        <v/>
      </c>
      <c r="G977" s="15">
        <f t="shared" ca="1" si="147"/>
        <v>40</v>
      </c>
      <c r="H977" s="15">
        <v>1</v>
      </c>
      <c r="I977" s="15" t="str">
        <f t="shared" ca="1" si="148"/>
        <v>DAC1220</v>
      </c>
      <c r="J977" s="15" t="str">
        <f t="shared" ca="1" si="149"/>
        <v>'DAC1220'!A40</v>
      </c>
      <c r="K977" s="15" t="str">
        <f t="shared" ca="1" si="150"/>
        <v>'DAC1220'!B40</v>
      </c>
    </row>
    <row r="978" spans="1:16" x14ac:dyDescent="0.25">
      <c r="A978" s="3" t="str">
        <f t="shared" ca="1" si="151"/>
        <v/>
      </c>
      <c r="G978" s="15">
        <f t="shared" ca="1" si="147"/>
        <v>41</v>
      </c>
      <c r="H978" s="15">
        <v>1</v>
      </c>
      <c r="I978" s="15" t="str">
        <f t="shared" ca="1" si="148"/>
        <v>DAC1220</v>
      </c>
      <c r="J978" s="15" t="str">
        <f t="shared" ca="1" si="149"/>
        <v>'DAC1220'!A41</v>
      </c>
      <c r="K978" s="15" t="str">
        <f t="shared" ca="1" si="150"/>
        <v>'DAC1220'!B41</v>
      </c>
    </row>
    <row r="979" spans="1:16" x14ac:dyDescent="0.25">
      <c r="A979" s="3" t="str">
        <f t="shared" ca="1" si="151"/>
        <v/>
      </c>
      <c r="C979" s="16"/>
      <c r="G979" s="15">
        <f t="shared" ca="1" si="147"/>
        <v>42</v>
      </c>
      <c r="H979" s="15">
        <v>1</v>
      </c>
      <c r="I979" s="15" t="str">
        <f t="shared" ca="1" si="148"/>
        <v>DAC1220</v>
      </c>
      <c r="J979" s="15" t="str">
        <f t="shared" ca="1" si="149"/>
        <v>'DAC1220'!A42</v>
      </c>
      <c r="K979" s="15" t="str">
        <f t="shared" ca="1" si="150"/>
        <v>'DAC1220'!B42</v>
      </c>
    </row>
    <row r="980" spans="1:16" x14ac:dyDescent="0.25">
      <c r="A980" s="3" t="str">
        <f t="shared" ca="1" si="151"/>
        <v/>
      </c>
      <c r="G980" s="15">
        <f t="shared" ca="1" si="147"/>
        <v>43</v>
      </c>
      <c r="H980" s="15">
        <v>1</v>
      </c>
      <c r="I980" s="15" t="str">
        <f t="shared" ca="1" si="148"/>
        <v>DAC1220</v>
      </c>
      <c r="J980" s="15" t="str">
        <f t="shared" ca="1" si="149"/>
        <v>'DAC1220'!A43</v>
      </c>
      <c r="K980" s="15" t="str">
        <f t="shared" ca="1" si="150"/>
        <v>'DAC1220'!B43</v>
      </c>
    </row>
    <row r="981" spans="1:16" x14ac:dyDescent="0.25">
      <c r="A981" s="3" t="str">
        <f t="shared" ca="1" si="151"/>
        <v/>
      </c>
      <c r="G981" s="15">
        <f t="shared" ca="1" si="147"/>
        <v>44</v>
      </c>
      <c r="H981" s="15">
        <v>1</v>
      </c>
      <c r="I981" s="15" t="str">
        <f t="shared" ca="1" si="148"/>
        <v>DAC1220</v>
      </c>
      <c r="J981" s="15" t="str">
        <f t="shared" ca="1" si="149"/>
        <v>'DAC1220'!A44</v>
      </c>
      <c r="K981" s="15" t="str">
        <f t="shared" ca="1" si="150"/>
        <v>'DAC1220'!B44</v>
      </c>
    </row>
    <row r="982" spans="1:16" x14ac:dyDescent="0.25">
      <c r="A982" s="3" t="str">
        <f t="shared" ca="1" si="151"/>
        <v/>
      </c>
      <c r="G982" s="15">
        <f t="shared" ca="1" si="147"/>
        <v>45</v>
      </c>
      <c r="H982" s="15">
        <v>1</v>
      </c>
      <c r="I982" s="15" t="str">
        <f t="shared" ca="1" si="148"/>
        <v>DAC1220</v>
      </c>
      <c r="J982" s="15" t="str">
        <f t="shared" ca="1" si="149"/>
        <v>'DAC1220'!A45</v>
      </c>
      <c r="K982" s="15" t="str">
        <f t="shared" ca="1" si="150"/>
        <v>'DAC1220'!B45</v>
      </c>
    </row>
    <row r="983" spans="1:16" x14ac:dyDescent="0.25">
      <c r="A983" s="3" t="str">
        <f t="shared" ca="1" si="151"/>
        <v/>
      </c>
      <c r="G983" s="15">
        <f t="shared" ca="1" si="147"/>
        <v>46</v>
      </c>
      <c r="H983" s="15">
        <v>1</v>
      </c>
      <c r="I983" s="15" t="str">
        <f t="shared" ca="1" si="148"/>
        <v>DAC1220</v>
      </c>
      <c r="J983" s="15" t="str">
        <f t="shared" ca="1" si="149"/>
        <v>'DAC1220'!A46</v>
      </c>
      <c r="K983" s="15" t="str">
        <f t="shared" ca="1" si="150"/>
        <v>'DAC1220'!B46</v>
      </c>
    </row>
    <row r="984" spans="1:16" x14ac:dyDescent="0.25">
      <c r="A984" s="3" t="str">
        <f t="shared" ca="1" si="151"/>
        <v/>
      </c>
      <c r="G984" s="15">
        <f t="shared" ca="1" si="147"/>
        <v>47</v>
      </c>
      <c r="H984" s="15">
        <v>1</v>
      </c>
      <c r="I984" s="15" t="str">
        <f t="shared" ca="1" si="148"/>
        <v>DAC1220</v>
      </c>
      <c r="J984" s="15" t="str">
        <f t="shared" ca="1" si="149"/>
        <v>'DAC1220'!A47</v>
      </c>
      <c r="K984" s="15" t="str">
        <f t="shared" ca="1" si="150"/>
        <v>'DAC1220'!B47</v>
      </c>
    </row>
    <row r="985" spans="1:16" x14ac:dyDescent="0.25">
      <c r="A985" s="3" t="str">
        <f t="shared" ca="1" si="151"/>
        <v/>
      </c>
      <c r="G985" s="15">
        <f t="shared" ca="1" si="147"/>
        <v>48</v>
      </c>
      <c r="H985" s="15">
        <v>1</v>
      </c>
      <c r="I985" s="15" t="str">
        <f t="shared" ca="1" si="148"/>
        <v>DAC1220</v>
      </c>
      <c r="J985" s="15" t="str">
        <f t="shared" ca="1" si="149"/>
        <v>'DAC1220'!A48</v>
      </c>
      <c r="K985" s="15" t="str">
        <f t="shared" ca="1" si="150"/>
        <v>'DAC1220'!B48</v>
      </c>
    </row>
    <row r="986" spans="1:16" x14ac:dyDescent="0.25">
      <c r="A986" s="3" t="str">
        <f t="shared" ca="1" si="151"/>
        <v/>
      </c>
      <c r="G986" s="15">
        <f t="shared" ca="1" si="147"/>
        <v>49</v>
      </c>
      <c r="H986" s="15">
        <v>1</v>
      </c>
      <c r="I986" s="15" t="str">
        <f t="shared" ca="1" si="148"/>
        <v>DAC1220</v>
      </c>
      <c r="J986" s="15" t="str">
        <f t="shared" ca="1" si="149"/>
        <v>'DAC1220'!A49</v>
      </c>
      <c r="K986" s="15" t="str">
        <f t="shared" ca="1" si="150"/>
        <v>'DAC1220'!B49</v>
      </c>
    </row>
    <row r="987" spans="1:16" x14ac:dyDescent="0.25">
      <c r="A987" s="3" t="str">
        <f t="shared" ca="1" si="151"/>
        <v/>
      </c>
      <c r="G987" s="15">
        <f t="shared" ca="1" si="147"/>
        <v>50</v>
      </c>
      <c r="H987" s="15">
        <v>1</v>
      </c>
      <c r="I987" s="15" t="str">
        <f t="shared" ca="1" si="148"/>
        <v>DAC1220</v>
      </c>
      <c r="J987" s="15" t="str">
        <f t="shared" ca="1" si="149"/>
        <v>'DAC1220'!A50</v>
      </c>
      <c r="K987" s="15" t="str">
        <f t="shared" ca="1" si="150"/>
        <v>'DAC1220'!B50</v>
      </c>
    </row>
    <row r="988" spans="1:16" x14ac:dyDescent="0.25">
      <c r="A988" s="3" t="str">
        <f t="shared" ca="1" si="151"/>
        <v xml:space="preserve">#I2C_Expander_02:etap 2 =  </v>
      </c>
      <c r="G988" s="15">
        <f t="shared" ref="G988" ca="1" si="158">INDIRECT(M988)</f>
        <v>71</v>
      </c>
      <c r="H988" s="15">
        <v>1</v>
      </c>
      <c r="I988" s="15" t="str">
        <f t="shared" ref="I988" ca="1" si="159">INDIRECT(N988)</f>
        <v>I2C_Expander_02</v>
      </c>
      <c r="J988" s="15" t="str">
        <f t="shared" ca="1" si="149"/>
        <v>I2C_Expander_02!A71</v>
      </c>
      <c r="K988" s="15" t="str">
        <f t="shared" ca="1" si="150"/>
        <v>I2C_Expander_02!B71</v>
      </c>
      <c r="M988" s="15" t="str">
        <f t="shared" ref="M988" si="160">ADDRESS(O988,3,4,1,$R$1)</f>
        <v>konfig!C51</v>
      </c>
      <c r="N988" s="15" t="str">
        <f t="shared" ref="N988" si="161">ADDRESS(O988,1,4,1,$R$1)</f>
        <v>konfig!A51</v>
      </c>
      <c r="O988" s="15">
        <v>51</v>
      </c>
      <c r="P988" s="15">
        <v>4</v>
      </c>
    </row>
    <row r="989" spans="1:16" x14ac:dyDescent="0.25">
      <c r="A989" s="3" t="str">
        <f t="shared" ca="1" si="151"/>
        <v xml:space="preserve">device = MCP23017 </v>
      </c>
      <c r="G989" s="15">
        <f t="shared" ref="G989" ca="1" si="162">G988+1</f>
        <v>72</v>
      </c>
      <c r="H989" s="15">
        <v>1</v>
      </c>
      <c r="I989" s="15" t="str">
        <f t="shared" ref="I989" ca="1" si="163">I988</f>
        <v>I2C_Expander_02</v>
      </c>
      <c r="J989" s="15" t="str">
        <f t="shared" ca="1" si="149"/>
        <v>I2C_Expander_02!A72</v>
      </c>
      <c r="K989" s="15" t="str">
        <f t="shared" ca="1" si="150"/>
        <v>I2C_Expander_02!B72</v>
      </c>
    </row>
    <row r="990" spans="1:16" x14ac:dyDescent="0.25">
      <c r="A990" s="3" t="str">
        <f t="shared" ca="1" si="151"/>
        <v xml:space="preserve">i2c_addr = 0x22 </v>
      </c>
      <c r="G990" s="15">
        <f t="shared" ca="1" si="147"/>
        <v>73</v>
      </c>
      <c r="H990" s="15">
        <v>1</v>
      </c>
      <c r="I990" s="15" t="str">
        <f t="shared" ca="1" si="148"/>
        <v>I2C_Expander_02</v>
      </c>
      <c r="J990" s="15" t="str">
        <f t="shared" ca="1" si="149"/>
        <v>I2C_Expander_02!A73</v>
      </c>
      <c r="K990" s="15" t="str">
        <f t="shared" ca="1" si="150"/>
        <v>I2C_Expander_02!B73</v>
      </c>
    </row>
    <row r="991" spans="1:16" x14ac:dyDescent="0.25">
      <c r="A991" s="3" t="str">
        <f t="shared" ca="1" si="151"/>
        <v xml:space="preserve">i2c_num = /dev/i2c-1 </v>
      </c>
      <c r="C991" s="16"/>
      <c r="G991" s="15">
        <f t="shared" ca="1" si="147"/>
        <v>74</v>
      </c>
      <c r="H991" s="15">
        <v>1</v>
      </c>
      <c r="I991" s="15" t="str">
        <f t="shared" ca="1" si="148"/>
        <v>I2C_Expander_02</v>
      </c>
      <c r="J991" s="15" t="str">
        <f t="shared" ca="1" si="149"/>
        <v>I2C_Expander_02!A74</v>
      </c>
      <c r="K991" s="15" t="str">
        <f t="shared" ca="1" si="150"/>
        <v>I2C_Expander_02!B74</v>
      </c>
    </row>
    <row r="992" spans="1:16" x14ac:dyDescent="0.25">
      <c r="A992" s="3" t="str">
        <f t="shared" ca="1" si="151"/>
        <v xml:space="preserve">pins_mode = 0xD27C </v>
      </c>
      <c r="G992" s="15">
        <f t="shared" ca="1" si="147"/>
        <v>75</v>
      </c>
      <c r="H992" s="15">
        <v>1</v>
      </c>
      <c r="I992" s="15" t="str">
        <f t="shared" ca="1" si="148"/>
        <v>I2C_Expander_02</v>
      </c>
      <c r="J992" s="15" t="str">
        <f t="shared" ca="1" si="149"/>
        <v>I2C_Expander_02!A75</v>
      </c>
      <c r="K992" s="15" t="str">
        <f t="shared" ca="1" si="150"/>
        <v>I2C_Expander_02!B75</v>
      </c>
    </row>
    <row r="993" spans="1:16" x14ac:dyDescent="0.25">
      <c r="A993" s="3" t="str">
        <f t="shared" ca="1" si="151"/>
        <v xml:space="preserve">pins_state = 0x2D83 </v>
      </c>
      <c r="G993" s="15">
        <f t="shared" ca="1" si="147"/>
        <v>76</v>
      </c>
      <c r="H993" s="15">
        <v>1</v>
      </c>
      <c r="I993" s="15" t="str">
        <f t="shared" ca="1" si="148"/>
        <v>I2C_Expander_02</v>
      </c>
      <c r="J993" s="15" t="str">
        <f t="shared" ca="1" si="149"/>
        <v>I2C_Expander_02!A76</v>
      </c>
      <c r="K993" s="15" t="str">
        <f t="shared" ca="1" si="150"/>
        <v>I2C_Expander_02!B76</v>
      </c>
    </row>
    <row r="994" spans="1:16" x14ac:dyDescent="0.25">
      <c r="A994" s="3" t="str">
        <f t="shared" ca="1" si="151"/>
        <v xml:space="preserve">pins_pull_up = 0x1000 </v>
      </c>
      <c r="G994" s="15">
        <f t="shared" ca="1" si="147"/>
        <v>77</v>
      </c>
      <c r="H994" s="15">
        <v>1</v>
      </c>
      <c r="I994" s="15" t="str">
        <f t="shared" ca="1" si="148"/>
        <v>I2C_Expander_02</v>
      </c>
      <c r="J994" s="15" t="str">
        <f t="shared" ca="1" si="149"/>
        <v>I2C_Expander_02!A77</v>
      </c>
      <c r="K994" s="15" t="str">
        <f t="shared" ca="1" si="150"/>
        <v>I2C_Expander_02!B77</v>
      </c>
    </row>
    <row r="995" spans="1:16" x14ac:dyDescent="0.25">
      <c r="A995" s="3" t="str">
        <f t="shared" ca="1" si="151"/>
        <v xml:space="preserve">#pins_int = 0x0000 </v>
      </c>
      <c r="G995" s="15">
        <f t="shared" ca="1" si="147"/>
        <v>78</v>
      </c>
      <c r="H995" s="15">
        <v>1</v>
      </c>
      <c r="I995" s="15" t="str">
        <f t="shared" ca="1" si="148"/>
        <v>I2C_Expander_02</v>
      </c>
      <c r="J995" s="15" t="str">
        <f t="shared" ca="1" si="149"/>
        <v>I2C_Expander_02!A78</v>
      </c>
      <c r="K995" s="15" t="str">
        <f t="shared" ca="1" si="150"/>
        <v>I2C_Expander_02!B78</v>
      </c>
    </row>
    <row r="996" spans="1:16" x14ac:dyDescent="0.25">
      <c r="A996" s="3" t="str">
        <f t="shared" ca="1" si="151"/>
        <v xml:space="preserve">#pins_def_val = 0x0000 </v>
      </c>
      <c r="G996" s="15">
        <f t="shared" ca="1" si="147"/>
        <v>79</v>
      </c>
      <c r="H996" s="15">
        <v>1</v>
      </c>
      <c r="I996" s="15" t="str">
        <f t="shared" ca="1" si="148"/>
        <v>I2C_Expander_02</v>
      </c>
      <c r="J996" s="15" t="str">
        <f t="shared" ca="1" si="149"/>
        <v>I2C_Expander_02!A79</v>
      </c>
      <c r="K996" s="15" t="str">
        <f t="shared" ca="1" si="150"/>
        <v>I2C_Expander_02!B79</v>
      </c>
    </row>
    <row r="997" spans="1:16" x14ac:dyDescent="0.25">
      <c r="A997" s="3" t="str">
        <f t="shared" ca="1" si="151"/>
        <v/>
      </c>
      <c r="G997" s="15">
        <f t="shared" ca="1" si="147"/>
        <v>80</v>
      </c>
      <c r="H997" s="15">
        <v>1</v>
      </c>
      <c r="I997" s="15" t="str">
        <f t="shared" ca="1" si="148"/>
        <v>I2C_Expander_02</v>
      </c>
      <c r="J997" s="15" t="str">
        <f t="shared" ca="1" si="149"/>
        <v>I2C_Expander_02!A80</v>
      </c>
      <c r="K997" s="15" t="str">
        <f t="shared" ca="1" si="150"/>
        <v>I2C_Expander_02!B80</v>
      </c>
    </row>
    <row r="998" spans="1:16" x14ac:dyDescent="0.25">
      <c r="A998" s="3" t="str">
        <f t="shared" ca="1" si="151"/>
        <v xml:space="preserve">#pins_int = 10 </v>
      </c>
      <c r="G998" s="15">
        <f t="shared" ca="1" si="147"/>
        <v>81</v>
      </c>
      <c r="H998" s="15">
        <v>1</v>
      </c>
      <c r="I998" s="15" t="str">
        <f t="shared" ca="1" si="148"/>
        <v>I2C_Expander_02</v>
      </c>
      <c r="J998" s="15" t="str">
        <f t="shared" ca="1" si="149"/>
        <v>I2C_Expander_02!A81</v>
      </c>
      <c r="K998" s="15" t="str">
        <f t="shared" ca="1" si="150"/>
        <v>I2C_Expander_02!B81</v>
      </c>
    </row>
    <row r="999" spans="1:16" x14ac:dyDescent="0.25">
      <c r="A999" s="3" t="str">
        <f t="shared" ca="1" si="151"/>
        <v/>
      </c>
      <c r="C999" s="16"/>
      <c r="G999" s="15">
        <f t="shared" ca="1" si="147"/>
        <v>82</v>
      </c>
      <c r="H999" s="15">
        <v>1</v>
      </c>
      <c r="I999" s="15" t="str">
        <f t="shared" ca="1" si="148"/>
        <v>I2C_Expander_02</v>
      </c>
      <c r="J999" s="15" t="str">
        <f t="shared" ca="1" si="149"/>
        <v>I2C_Expander_02!A82</v>
      </c>
      <c r="K999" s="15" t="str">
        <f t="shared" ca="1" si="150"/>
        <v>I2C_Expander_02!B82</v>
      </c>
    </row>
    <row r="1000" spans="1:16" x14ac:dyDescent="0.25">
      <c r="A1000" s="3" t="str">
        <f t="shared" ca="1" si="151"/>
        <v/>
      </c>
      <c r="G1000" s="15">
        <f t="shared" ca="1" si="147"/>
        <v>83</v>
      </c>
      <c r="H1000" s="15">
        <v>1</v>
      </c>
      <c r="I1000" s="15" t="str">
        <f t="shared" ca="1" si="148"/>
        <v>I2C_Expander_02</v>
      </c>
      <c r="J1000" s="15" t="str">
        <f t="shared" ca="1" si="149"/>
        <v>I2C_Expander_02!A83</v>
      </c>
      <c r="K1000" s="15" t="str">
        <f t="shared" ca="1" si="150"/>
        <v>I2C_Expander_02!B83</v>
      </c>
    </row>
    <row r="1001" spans="1:16" x14ac:dyDescent="0.25">
      <c r="A1001" s="3" t="str">
        <f t="shared" ca="1" si="151"/>
        <v/>
      </c>
      <c r="G1001" s="15">
        <f t="shared" ca="1" si="147"/>
        <v>84</v>
      </c>
      <c r="H1001" s="15">
        <v>1</v>
      </c>
      <c r="I1001" s="15" t="str">
        <f t="shared" ca="1" si="148"/>
        <v>I2C_Expander_02</v>
      </c>
      <c r="J1001" s="15" t="str">
        <f t="shared" ca="1" si="149"/>
        <v>I2C_Expander_02!A84</v>
      </c>
      <c r="K1001" s="15" t="str">
        <f t="shared" ca="1" si="150"/>
        <v>I2C_Expander_02!B84</v>
      </c>
    </row>
    <row r="1002" spans="1:16" x14ac:dyDescent="0.25">
      <c r="A1002" s="3" t="str">
        <f t="shared" ca="1" si="151"/>
        <v/>
      </c>
      <c r="G1002" s="15">
        <f t="shared" ca="1" si="147"/>
        <v>85</v>
      </c>
      <c r="H1002" s="15">
        <v>1</v>
      </c>
      <c r="I1002" s="15" t="str">
        <f t="shared" ca="1" si="148"/>
        <v>I2C_Expander_02</v>
      </c>
      <c r="J1002" s="15" t="str">
        <f t="shared" ca="1" si="149"/>
        <v>I2C_Expander_02!A85</v>
      </c>
      <c r="K1002" s="15" t="str">
        <f t="shared" ca="1" si="150"/>
        <v>I2C_Expander_02!B85</v>
      </c>
    </row>
    <row r="1003" spans="1:16" x14ac:dyDescent="0.25">
      <c r="A1003" s="3" t="str">
        <f t="shared" ca="1" si="151"/>
        <v/>
      </c>
      <c r="G1003" s="15">
        <f t="shared" ca="1" si="147"/>
        <v>86</v>
      </c>
      <c r="H1003" s="15">
        <v>1</v>
      </c>
      <c r="I1003" s="15" t="str">
        <f t="shared" ca="1" si="148"/>
        <v>I2C_Expander_02</v>
      </c>
      <c r="J1003" s="15" t="str">
        <f t="shared" ca="1" si="149"/>
        <v>I2C_Expander_02!A86</v>
      </c>
      <c r="K1003" s="15" t="str">
        <f t="shared" ca="1" si="150"/>
        <v>I2C_Expander_02!B86</v>
      </c>
    </row>
    <row r="1004" spans="1:16" x14ac:dyDescent="0.25">
      <c r="A1004" s="3" t="str">
        <f t="shared" ca="1" si="151"/>
        <v/>
      </c>
      <c r="G1004" s="15">
        <f t="shared" ca="1" si="147"/>
        <v>87</v>
      </c>
      <c r="H1004" s="15">
        <v>1</v>
      </c>
      <c r="I1004" s="15" t="str">
        <f t="shared" ca="1" si="148"/>
        <v>I2C_Expander_02</v>
      </c>
      <c r="J1004" s="15" t="str">
        <f t="shared" ca="1" si="149"/>
        <v>I2C_Expander_02!A87</v>
      </c>
      <c r="K1004" s="15" t="str">
        <f t="shared" ca="1" si="150"/>
        <v>I2C_Expander_02!B87</v>
      </c>
    </row>
    <row r="1005" spans="1:16" x14ac:dyDescent="0.25">
      <c r="A1005" s="3" t="str">
        <f t="shared" ca="1" si="151"/>
        <v/>
      </c>
      <c r="G1005" s="15">
        <f t="shared" ca="1" si="147"/>
        <v>88</v>
      </c>
      <c r="H1005" s="15">
        <v>1</v>
      </c>
      <c r="I1005" s="15" t="str">
        <f t="shared" ca="1" si="148"/>
        <v>I2C_Expander_02</v>
      </c>
      <c r="J1005" s="15" t="str">
        <f t="shared" ca="1" si="149"/>
        <v>I2C_Expander_02!A88</v>
      </c>
      <c r="K1005" s="15" t="str">
        <f t="shared" ca="1" si="150"/>
        <v>I2C_Expander_02!B88</v>
      </c>
    </row>
    <row r="1006" spans="1:16" x14ac:dyDescent="0.25">
      <c r="A1006" s="3" t="str">
        <f t="shared" ca="1" si="151"/>
        <v/>
      </c>
      <c r="G1006" s="15">
        <f t="shared" ca="1" si="147"/>
        <v>89</v>
      </c>
      <c r="H1006" s="15">
        <v>1</v>
      </c>
      <c r="I1006" s="15" t="str">
        <f t="shared" ca="1" si="148"/>
        <v>I2C_Expander_02</v>
      </c>
      <c r="J1006" s="15" t="str">
        <f t="shared" ca="1" si="149"/>
        <v>I2C_Expander_02!A89</v>
      </c>
      <c r="K1006" s="15" t="str">
        <f t="shared" ca="1" si="150"/>
        <v>I2C_Expander_02!B89</v>
      </c>
    </row>
    <row r="1007" spans="1:16" x14ac:dyDescent="0.25">
      <c r="A1007" s="3" t="str">
        <f t="shared" ca="1" si="151"/>
        <v/>
      </c>
      <c r="G1007" s="15">
        <f t="shared" ca="1" si="147"/>
        <v>90</v>
      </c>
      <c r="H1007" s="15">
        <v>1</v>
      </c>
      <c r="I1007" s="15" t="str">
        <f t="shared" ca="1" si="148"/>
        <v>I2C_Expander_02</v>
      </c>
      <c r="J1007" s="15" t="str">
        <f t="shared" ca="1" si="149"/>
        <v>I2C_Expander_02!A90</v>
      </c>
      <c r="K1007" s="15" t="str">
        <f t="shared" ca="1" si="150"/>
        <v>I2C_Expander_02!B90</v>
      </c>
    </row>
    <row r="1008" spans="1:16" x14ac:dyDescent="0.25">
      <c r="A1008" s="3" t="str">
        <f t="shared" ca="1" si="151"/>
        <v xml:space="preserve">#I2C_Bridge_SFP:wylacz =  </v>
      </c>
      <c r="G1008" s="15">
        <f t="shared" ref="G1008" ca="1" si="164">INDIRECT(M1008)</f>
        <v>31</v>
      </c>
      <c r="H1008" s="15">
        <v>1</v>
      </c>
      <c r="I1008" s="15" t="str">
        <f t="shared" ref="I1008" ca="1" si="165">INDIRECT(N1008)</f>
        <v>I2C_Bridge_SFP</v>
      </c>
      <c r="J1008" s="15" t="str">
        <f t="shared" ca="1" si="149"/>
        <v>I2C_Bridge_SFP!A31</v>
      </c>
      <c r="K1008" s="15" t="str">
        <f t="shared" ca="1" si="150"/>
        <v>I2C_Bridge_SFP!B31</v>
      </c>
      <c r="M1008" s="15" t="str">
        <f t="shared" ref="M1008" si="166">ADDRESS(O1008,3,4,1,$R$1)</f>
        <v>konfig!C52</v>
      </c>
      <c r="N1008" s="15" t="str">
        <f t="shared" ref="N1008" si="167">ADDRESS(O1008,1,4,1,$R$1)</f>
        <v>konfig!A52</v>
      </c>
      <c r="O1008" s="15">
        <v>52</v>
      </c>
      <c r="P1008" s="15">
        <v>4</v>
      </c>
    </row>
    <row r="1009" spans="1:11" x14ac:dyDescent="0.25">
      <c r="A1009" s="3" t="str">
        <f t="shared" ca="1" si="151"/>
        <v xml:space="preserve">device = TCA9548 </v>
      </c>
      <c r="G1009" s="15">
        <f t="shared" ref="G1009" ca="1" si="168">G1008+1</f>
        <v>32</v>
      </c>
      <c r="H1009" s="15">
        <v>1</v>
      </c>
      <c r="I1009" s="15" t="str">
        <f t="shared" ref="I1009" ca="1" si="169">I1008</f>
        <v>I2C_Bridge_SFP</v>
      </c>
      <c r="J1009" s="15" t="str">
        <f t="shared" ca="1" si="149"/>
        <v>I2C_Bridge_SFP!A32</v>
      </c>
      <c r="K1009" s="15" t="str">
        <f t="shared" ca="1" si="150"/>
        <v>I2C_Bridge_SFP!B32</v>
      </c>
    </row>
    <row r="1010" spans="1:11" x14ac:dyDescent="0.25">
      <c r="A1010" s="3" t="str">
        <f t="shared" ca="1" si="151"/>
        <v xml:space="preserve">i2c_addr = 0x70 </v>
      </c>
      <c r="G1010" s="15">
        <f t="shared" ca="1" si="147"/>
        <v>33</v>
      </c>
      <c r="H1010" s="15">
        <v>1</v>
      </c>
      <c r="I1010" s="15" t="str">
        <f t="shared" ca="1" si="148"/>
        <v>I2C_Bridge_SFP</v>
      </c>
      <c r="J1010" s="15" t="str">
        <f t="shared" ca="1" si="149"/>
        <v>I2C_Bridge_SFP!A33</v>
      </c>
      <c r="K1010" s="15" t="str">
        <f t="shared" ca="1" si="150"/>
        <v>I2C_Bridge_SFP!B33</v>
      </c>
    </row>
    <row r="1011" spans="1:11" x14ac:dyDescent="0.25">
      <c r="A1011" s="3" t="str">
        <f t="shared" ca="1" si="151"/>
        <v xml:space="preserve">i2c_num = /dev/i2c-1 </v>
      </c>
      <c r="C1011" s="16"/>
      <c r="G1011" s="15">
        <f t="shared" ca="1" si="147"/>
        <v>34</v>
      </c>
      <c r="H1011" s="15">
        <v>1</v>
      </c>
      <c r="I1011" s="15" t="str">
        <f t="shared" ca="1" si="148"/>
        <v>I2C_Bridge_SFP</v>
      </c>
      <c r="J1011" s="15" t="str">
        <f t="shared" ca="1" si="149"/>
        <v>I2C_Bridge_SFP!A34</v>
      </c>
      <c r="K1011" s="15" t="str">
        <f t="shared" ca="1" si="150"/>
        <v>I2C_Bridge_SFP!B34</v>
      </c>
    </row>
    <row r="1012" spans="1:11" x14ac:dyDescent="0.25">
      <c r="A1012" s="3" t="str">
        <f t="shared" ca="1" si="151"/>
        <v xml:space="preserve">ctrl_reg = 0x00 </v>
      </c>
      <c r="G1012" s="15">
        <f t="shared" ca="1" si="147"/>
        <v>35</v>
      </c>
      <c r="H1012" s="15">
        <v>1</v>
      </c>
      <c r="I1012" s="15" t="str">
        <f t="shared" ca="1" si="148"/>
        <v>I2C_Bridge_SFP</v>
      </c>
      <c r="J1012" s="15" t="str">
        <f t="shared" ca="1" si="149"/>
        <v>I2C_Bridge_SFP!A35</v>
      </c>
      <c r="K1012" s="15" t="str">
        <f t="shared" ca="1" si="150"/>
        <v>I2C_Bridge_SFP!B35</v>
      </c>
    </row>
    <row r="1013" spans="1:11" x14ac:dyDescent="0.25">
      <c r="A1013" s="3" t="str">
        <f t="shared" ca="1" si="151"/>
        <v/>
      </c>
      <c r="G1013" s="15">
        <f t="shared" ref="G1013:G1076" ca="1" si="170">G1012+1</f>
        <v>36</v>
      </c>
      <c r="H1013" s="15">
        <v>1</v>
      </c>
      <c r="I1013" s="15" t="str">
        <f t="shared" ref="I1013:I1076" ca="1" si="171">I1012</f>
        <v>I2C_Bridge_SFP</v>
      </c>
      <c r="J1013" s="15" t="str">
        <f t="shared" ca="1" si="149"/>
        <v>I2C_Bridge_SFP!A36</v>
      </c>
      <c r="K1013" s="15" t="str">
        <f t="shared" ca="1" si="150"/>
        <v>I2C_Bridge_SFP!B36</v>
      </c>
    </row>
    <row r="1014" spans="1:11" x14ac:dyDescent="0.25">
      <c r="A1014" s="3" t="str">
        <f t="shared" ca="1" si="151"/>
        <v xml:space="preserve">time = 10 </v>
      </c>
      <c r="G1014" s="15">
        <f t="shared" ca="1" si="170"/>
        <v>37</v>
      </c>
      <c r="H1014" s="15">
        <v>1</v>
      </c>
      <c r="I1014" s="15" t="str">
        <f t="shared" ca="1" si="171"/>
        <v>I2C_Bridge_SFP</v>
      </c>
      <c r="J1014" s="15" t="str">
        <f t="shared" ca="1" si="149"/>
        <v>I2C_Bridge_SFP!A37</v>
      </c>
      <c r="K1014" s="15" t="str">
        <f t="shared" ca="1" si="150"/>
        <v>I2C_Bridge_SFP!B37</v>
      </c>
    </row>
    <row r="1015" spans="1:11" x14ac:dyDescent="0.25">
      <c r="A1015" s="3" t="str">
        <f t="shared" ca="1" si="151"/>
        <v/>
      </c>
      <c r="G1015" s="15">
        <f t="shared" ca="1" si="170"/>
        <v>38</v>
      </c>
      <c r="H1015" s="15">
        <v>1</v>
      </c>
      <c r="I1015" s="15" t="str">
        <f t="shared" ca="1" si="171"/>
        <v>I2C_Bridge_SFP</v>
      </c>
      <c r="J1015" s="15" t="str">
        <f t="shared" ca="1" si="149"/>
        <v>I2C_Bridge_SFP!A38</v>
      </c>
      <c r="K1015" s="15" t="str">
        <f t="shared" ca="1" si="150"/>
        <v>I2C_Bridge_SFP!B38</v>
      </c>
    </row>
    <row r="1016" spans="1:11" x14ac:dyDescent="0.25">
      <c r="A1016" s="3" t="str">
        <f t="shared" ca="1" si="151"/>
        <v/>
      </c>
      <c r="G1016" s="15">
        <f t="shared" ca="1" si="170"/>
        <v>39</v>
      </c>
      <c r="H1016" s="15">
        <v>1</v>
      </c>
      <c r="I1016" s="15" t="str">
        <f t="shared" ca="1" si="171"/>
        <v>I2C_Bridge_SFP</v>
      </c>
      <c r="J1016" s="15" t="str">
        <f t="shared" ca="1" si="149"/>
        <v>I2C_Bridge_SFP!A39</v>
      </c>
      <c r="K1016" s="15" t="str">
        <f t="shared" ca="1" si="150"/>
        <v>I2C_Bridge_SFP!B39</v>
      </c>
    </row>
    <row r="1017" spans="1:11" x14ac:dyDescent="0.25">
      <c r="A1017" s="3" t="str">
        <f t="shared" ca="1" si="151"/>
        <v/>
      </c>
      <c r="G1017" s="15">
        <f t="shared" ca="1" si="170"/>
        <v>40</v>
      </c>
      <c r="H1017" s="15">
        <v>1</v>
      </c>
      <c r="I1017" s="15" t="str">
        <f t="shared" ca="1" si="171"/>
        <v>I2C_Bridge_SFP</v>
      </c>
      <c r="J1017" s="15" t="str">
        <f t="shared" ca="1" si="149"/>
        <v>I2C_Bridge_SFP!A40</v>
      </c>
      <c r="K1017" s="15" t="str">
        <f t="shared" ca="1" si="150"/>
        <v>I2C_Bridge_SFP!B40</v>
      </c>
    </row>
    <row r="1018" spans="1:11" x14ac:dyDescent="0.25">
      <c r="A1018" s="3" t="str">
        <f t="shared" ca="1" si="151"/>
        <v/>
      </c>
      <c r="G1018" s="15">
        <f t="shared" ca="1" si="170"/>
        <v>41</v>
      </c>
      <c r="H1018" s="15">
        <v>1</v>
      </c>
      <c r="I1018" s="15" t="str">
        <f t="shared" ca="1" si="171"/>
        <v>I2C_Bridge_SFP</v>
      </c>
      <c r="J1018" s="15" t="str">
        <f t="shared" ca="1" si="149"/>
        <v>I2C_Bridge_SFP!A41</v>
      </c>
      <c r="K1018" s="15" t="str">
        <f t="shared" ca="1" si="150"/>
        <v>I2C_Bridge_SFP!B41</v>
      </c>
    </row>
    <row r="1019" spans="1:11" x14ac:dyDescent="0.25">
      <c r="A1019" s="3" t="str">
        <f t="shared" ca="1" si="151"/>
        <v/>
      </c>
      <c r="C1019" s="16"/>
      <c r="G1019" s="15">
        <f t="shared" ca="1" si="170"/>
        <v>42</v>
      </c>
      <c r="H1019" s="15">
        <v>1</v>
      </c>
      <c r="I1019" s="15" t="str">
        <f t="shared" ca="1" si="171"/>
        <v>I2C_Bridge_SFP</v>
      </c>
      <c r="J1019" s="15" t="str">
        <f t="shared" ca="1" si="149"/>
        <v>I2C_Bridge_SFP!A42</v>
      </c>
      <c r="K1019" s="15" t="str">
        <f t="shared" ca="1" si="150"/>
        <v>I2C_Bridge_SFP!B42</v>
      </c>
    </row>
    <row r="1020" spans="1:11" x14ac:dyDescent="0.25">
      <c r="A1020" s="3" t="str">
        <f t="shared" ca="1" si="151"/>
        <v/>
      </c>
      <c r="G1020" s="15">
        <f t="shared" ca="1" si="170"/>
        <v>43</v>
      </c>
      <c r="H1020" s="15">
        <v>1</v>
      </c>
      <c r="I1020" s="15" t="str">
        <f t="shared" ca="1" si="171"/>
        <v>I2C_Bridge_SFP</v>
      </c>
      <c r="J1020" s="15" t="str">
        <f t="shared" ref="J1020:J1059" ca="1" si="172">ADDRESS(G1020,H1020,4,1,I1020)</f>
        <v>I2C_Bridge_SFP!A43</v>
      </c>
      <c r="K1020" s="15" t="str">
        <f t="shared" ref="K1020:K1059" ca="1" si="173">ADDRESS(G1020,H1020+1,4,1,I1020)</f>
        <v>I2C_Bridge_SFP!B43</v>
      </c>
    </row>
    <row r="1021" spans="1:11" x14ac:dyDescent="0.25">
      <c r="A1021" s="3" t="str">
        <f t="shared" ca="1" si="151"/>
        <v/>
      </c>
      <c r="G1021" s="15">
        <f t="shared" ca="1" si="170"/>
        <v>44</v>
      </c>
      <c r="H1021" s="15">
        <v>1</v>
      </c>
      <c r="I1021" s="15" t="str">
        <f t="shared" ca="1" si="171"/>
        <v>I2C_Bridge_SFP</v>
      </c>
      <c r="J1021" s="15" t="str">
        <f t="shared" ca="1" si="172"/>
        <v>I2C_Bridge_SFP!A44</v>
      </c>
      <c r="K1021" s="15" t="str">
        <f t="shared" ca="1" si="173"/>
        <v>I2C_Bridge_SFP!B44</v>
      </c>
    </row>
    <row r="1022" spans="1:11" x14ac:dyDescent="0.25">
      <c r="A1022" s="3" t="str">
        <f t="shared" ca="1" si="151"/>
        <v/>
      </c>
      <c r="G1022" s="15">
        <f t="shared" ca="1" si="170"/>
        <v>45</v>
      </c>
      <c r="H1022" s="15">
        <v>1</v>
      </c>
      <c r="I1022" s="15" t="str">
        <f t="shared" ca="1" si="171"/>
        <v>I2C_Bridge_SFP</v>
      </c>
      <c r="J1022" s="15" t="str">
        <f t="shared" ca="1" si="172"/>
        <v>I2C_Bridge_SFP!A45</v>
      </c>
      <c r="K1022" s="15" t="str">
        <f t="shared" ca="1" si="173"/>
        <v>I2C_Bridge_SFP!B45</v>
      </c>
    </row>
    <row r="1023" spans="1:11" x14ac:dyDescent="0.25">
      <c r="A1023" s="3" t="str">
        <f t="shared" ca="1" si="151"/>
        <v/>
      </c>
      <c r="G1023" s="15">
        <f t="shared" ca="1" si="170"/>
        <v>46</v>
      </c>
      <c r="H1023" s="15">
        <v>1</v>
      </c>
      <c r="I1023" s="15" t="str">
        <f t="shared" ca="1" si="171"/>
        <v>I2C_Bridge_SFP</v>
      </c>
      <c r="J1023" s="15" t="str">
        <f t="shared" ca="1" si="172"/>
        <v>I2C_Bridge_SFP!A46</v>
      </c>
      <c r="K1023" s="15" t="str">
        <f t="shared" ca="1" si="173"/>
        <v>I2C_Bridge_SFP!B46</v>
      </c>
    </row>
    <row r="1024" spans="1:11" x14ac:dyDescent="0.25">
      <c r="A1024" s="3" t="str">
        <f t="shared" ca="1" si="151"/>
        <v/>
      </c>
      <c r="G1024" s="15">
        <f t="shared" ca="1" si="170"/>
        <v>47</v>
      </c>
      <c r="H1024" s="15">
        <v>1</v>
      </c>
      <c r="I1024" s="15" t="str">
        <f t="shared" ca="1" si="171"/>
        <v>I2C_Bridge_SFP</v>
      </c>
      <c r="J1024" s="15" t="str">
        <f t="shared" ca="1" si="172"/>
        <v>I2C_Bridge_SFP!A47</v>
      </c>
      <c r="K1024" s="15" t="str">
        <f t="shared" ca="1" si="173"/>
        <v>I2C_Bridge_SFP!B47</v>
      </c>
    </row>
    <row r="1025" spans="1:16" x14ac:dyDescent="0.25">
      <c r="A1025" s="3" t="str">
        <f t="shared" ca="1" si="151"/>
        <v/>
      </c>
      <c r="G1025" s="15">
        <f t="shared" ca="1" si="170"/>
        <v>48</v>
      </c>
      <c r="H1025" s="15">
        <v>1</v>
      </c>
      <c r="I1025" s="15" t="str">
        <f t="shared" ca="1" si="171"/>
        <v>I2C_Bridge_SFP</v>
      </c>
      <c r="J1025" s="15" t="str">
        <f t="shared" ca="1" si="172"/>
        <v>I2C_Bridge_SFP!A48</v>
      </c>
      <c r="K1025" s="15" t="str">
        <f t="shared" ca="1" si="173"/>
        <v>I2C_Bridge_SFP!B48</v>
      </c>
    </row>
    <row r="1026" spans="1:16" x14ac:dyDescent="0.25">
      <c r="A1026" s="3" t="str">
        <f t="shared" ca="1" si="151"/>
        <v/>
      </c>
      <c r="G1026" s="15">
        <f t="shared" ca="1" si="170"/>
        <v>49</v>
      </c>
      <c r="H1026" s="15">
        <v>1</v>
      </c>
      <c r="I1026" s="15" t="str">
        <f t="shared" ca="1" si="171"/>
        <v>I2C_Bridge_SFP</v>
      </c>
      <c r="J1026" s="15" t="str">
        <f t="shared" ca="1" si="172"/>
        <v>I2C_Bridge_SFP!A49</v>
      </c>
      <c r="K1026" s="15" t="str">
        <f t="shared" ca="1" si="173"/>
        <v>I2C_Bridge_SFP!B49</v>
      </c>
    </row>
    <row r="1027" spans="1:16" x14ac:dyDescent="0.25">
      <c r="A1027" s="3" t="str">
        <f t="shared" ca="1" si="151"/>
        <v/>
      </c>
      <c r="G1027" s="15">
        <f t="shared" ca="1" si="170"/>
        <v>50</v>
      </c>
      <c r="H1027" s="15">
        <v>1</v>
      </c>
      <c r="I1027" s="15" t="str">
        <f t="shared" ca="1" si="171"/>
        <v>I2C_Bridge_SFP</v>
      </c>
      <c r="J1027" s="15" t="str">
        <f t="shared" ca="1" si="172"/>
        <v>I2C_Bridge_SFP!A50</v>
      </c>
      <c r="K1027" s="15" t="str">
        <f t="shared" ca="1" si="173"/>
        <v>I2C_Bridge_SFP!B50</v>
      </c>
    </row>
    <row r="1028" spans="1:16" x14ac:dyDescent="0.25">
      <c r="A1028" s="3" t="str">
        <f t="shared" ref="A1028:A1067" ca="1" si="174">IFERROR(IF(INDIRECT(J1028)&lt;&gt;"",CONCATENATE(INDIRECT(J1028)," = ",INDIRECT(K1028)," "),""),"")</f>
        <v xml:space="preserve">#I2C_Expander_Main_Rst:etap 3 =  </v>
      </c>
      <c r="G1028" s="15">
        <f t="shared" ref="G1028" ca="1" si="175">INDIRECT(M1028)</f>
        <v>91</v>
      </c>
      <c r="H1028" s="15">
        <v>1</v>
      </c>
      <c r="I1028" s="15" t="str">
        <f t="shared" ref="I1028" ca="1" si="176">INDIRECT(N1028)</f>
        <v>I2C_Expander_Main_Rst</v>
      </c>
      <c r="J1028" s="15" t="str">
        <f t="shared" ca="1" si="172"/>
        <v>I2C_Expander_Main_Rst!A91</v>
      </c>
      <c r="K1028" s="15" t="str">
        <f t="shared" ca="1" si="173"/>
        <v>I2C_Expander_Main_Rst!B91</v>
      </c>
      <c r="M1028" s="15" t="str">
        <f t="shared" ref="M1028" si="177">ADDRESS(O1028,3,4,1,$R$1)</f>
        <v>konfig!C53</v>
      </c>
      <c r="N1028" s="15" t="str">
        <f t="shared" ref="N1028" si="178">ADDRESS(O1028,1,4,1,$R$1)</f>
        <v>konfig!A53</v>
      </c>
      <c r="O1028" s="15">
        <v>53</v>
      </c>
      <c r="P1028" s="15">
        <v>4</v>
      </c>
    </row>
    <row r="1029" spans="1:16" x14ac:dyDescent="0.25">
      <c r="A1029" s="3" t="str">
        <f t="shared" ca="1" si="174"/>
        <v xml:space="preserve">device = MCP23017 </v>
      </c>
      <c r="G1029" s="15">
        <f t="shared" ref="G1029" ca="1" si="179">G1028+1</f>
        <v>92</v>
      </c>
      <c r="H1029" s="15">
        <v>1</v>
      </c>
      <c r="I1029" s="15" t="str">
        <f t="shared" ref="I1029" ca="1" si="180">I1028</f>
        <v>I2C_Expander_Main_Rst</v>
      </c>
      <c r="J1029" s="15" t="str">
        <f t="shared" ca="1" si="172"/>
        <v>I2C_Expander_Main_Rst!A92</v>
      </c>
      <c r="K1029" s="15" t="str">
        <f t="shared" ca="1" si="173"/>
        <v>I2C_Expander_Main_Rst!B92</v>
      </c>
    </row>
    <row r="1030" spans="1:16" x14ac:dyDescent="0.25">
      <c r="A1030" s="3" t="str">
        <f t="shared" ca="1" si="174"/>
        <v xml:space="preserve">i2c_addr = 0x24 </v>
      </c>
      <c r="G1030" s="15">
        <f t="shared" ca="1" si="170"/>
        <v>93</v>
      </c>
      <c r="H1030" s="15">
        <v>1</v>
      </c>
      <c r="I1030" s="15" t="str">
        <f t="shared" ca="1" si="171"/>
        <v>I2C_Expander_Main_Rst</v>
      </c>
      <c r="J1030" s="15" t="str">
        <f t="shared" ca="1" si="172"/>
        <v>I2C_Expander_Main_Rst!A93</v>
      </c>
      <c r="K1030" s="15" t="str">
        <f t="shared" ca="1" si="173"/>
        <v>I2C_Expander_Main_Rst!B93</v>
      </c>
    </row>
    <row r="1031" spans="1:16" x14ac:dyDescent="0.25">
      <c r="A1031" s="3" t="str">
        <f t="shared" ca="1" si="174"/>
        <v xml:space="preserve">i2c_num = /dev/i2c-1 </v>
      </c>
      <c r="C1031" s="16"/>
      <c r="G1031" s="15">
        <f t="shared" ca="1" si="170"/>
        <v>94</v>
      </c>
      <c r="H1031" s="15">
        <v>1</v>
      </c>
      <c r="I1031" s="15" t="str">
        <f t="shared" ca="1" si="171"/>
        <v>I2C_Expander_Main_Rst</v>
      </c>
      <c r="J1031" s="15" t="str">
        <f t="shared" ca="1" si="172"/>
        <v>I2C_Expander_Main_Rst!A94</v>
      </c>
      <c r="K1031" s="15" t="str">
        <f t="shared" ca="1" si="173"/>
        <v>I2C_Expander_Main_Rst!B94</v>
      </c>
    </row>
    <row r="1032" spans="1:16" x14ac:dyDescent="0.25">
      <c r="A1032" s="3" t="str">
        <f t="shared" ca="1" si="174"/>
        <v xml:space="preserve">pins_mode = 0x81F8 </v>
      </c>
      <c r="G1032" s="15">
        <f t="shared" ca="1" si="170"/>
        <v>95</v>
      </c>
      <c r="H1032" s="15">
        <v>1</v>
      </c>
      <c r="I1032" s="15" t="str">
        <f t="shared" ca="1" si="171"/>
        <v>I2C_Expander_Main_Rst</v>
      </c>
      <c r="J1032" s="15" t="str">
        <f t="shared" ca="1" si="172"/>
        <v>I2C_Expander_Main_Rst!A95</v>
      </c>
      <c r="K1032" s="15" t="str">
        <f t="shared" ca="1" si="173"/>
        <v>I2C_Expander_Main_Rst!B95</v>
      </c>
    </row>
    <row r="1033" spans="1:16" x14ac:dyDescent="0.25">
      <c r="A1033" s="3" t="str">
        <f t="shared" ca="1" si="174"/>
        <v xml:space="preserve">pins_state = 0x7E07 </v>
      </c>
      <c r="G1033" s="15">
        <f t="shared" ca="1" si="170"/>
        <v>96</v>
      </c>
      <c r="H1033" s="15">
        <v>1</v>
      </c>
      <c r="I1033" s="15" t="str">
        <f t="shared" ca="1" si="171"/>
        <v>I2C_Expander_Main_Rst</v>
      </c>
      <c r="J1033" s="15" t="str">
        <f t="shared" ca="1" si="172"/>
        <v>I2C_Expander_Main_Rst!A96</v>
      </c>
      <c r="K1033" s="15" t="str">
        <f t="shared" ca="1" si="173"/>
        <v>I2C_Expander_Main_Rst!B96</v>
      </c>
    </row>
    <row r="1034" spans="1:16" x14ac:dyDescent="0.25">
      <c r="A1034" s="3" t="str">
        <f t="shared" ca="1" si="174"/>
        <v xml:space="preserve">pins_pull_up = 0x0000 </v>
      </c>
      <c r="G1034" s="15">
        <f t="shared" ca="1" si="170"/>
        <v>97</v>
      </c>
      <c r="H1034" s="15">
        <v>1</v>
      </c>
      <c r="I1034" s="15" t="str">
        <f t="shared" ca="1" si="171"/>
        <v>I2C_Expander_Main_Rst</v>
      </c>
      <c r="J1034" s="15" t="str">
        <f t="shared" ca="1" si="172"/>
        <v>I2C_Expander_Main_Rst!A97</v>
      </c>
      <c r="K1034" s="15" t="str">
        <f t="shared" ca="1" si="173"/>
        <v>I2C_Expander_Main_Rst!B97</v>
      </c>
    </row>
    <row r="1035" spans="1:16" x14ac:dyDescent="0.25">
      <c r="A1035" s="3" t="str">
        <f t="shared" ca="1" si="174"/>
        <v xml:space="preserve">#pins_int = 0x0000 </v>
      </c>
      <c r="G1035" s="15">
        <f t="shared" ca="1" si="170"/>
        <v>98</v>
      </c>
      <c r="H1035" s="15">
        <v>1</v>
      </c>
      <c r="I1035" s="15" t="str">
        <f t="shared" ca="1" si="171"/>
        <v>I2C_Expander_Main_Rst</v>
      </c>
      <c r="J1035" s="15" t="str">
        <f t="shared" ca="1" si="172"/>
        <v>I2C_Expander_Main_Rst!A98</v>
      </c>
      <c r="K1035" s="15" t="str">
        <f t="shared" ca="1" si="173"/>
        <v>I2C_Expander_Main_Rst!B98</v>
      </c>
    </row>
    <row r="1036" spans="1:16" x14ac:dyDescent="0.25">
      <c r="A1036" s="3" t="str">
        <f t="shared" ca="1" si="174"/>
        <v xml:space="preserve">#pins_def_val = 0x0000 </v>
      </c>
      <c r="G1036" s="15">
        <f t="shared" ca="1" si="170"/>
        <v>99</v>
      </c>
      <c r="H1036" s="15">
        <v>1</v>
      </c>
      <c r="I1036" s="15" t="str">
        <f t="shared" ca="1" si="171"/>
        <v>I2C_Expander_Main_Rst</v>
      </c>
      <c r="J1036" s="15" t="str">
        <f t="shared" ca="1" si="172"/>
        <v>I2C_Expander_Main_Rst!A99</v>
      </c>
      <c r="K1036" s="15" t="str">
        <f t="shared" ca="1" si="173"/>
        <v>I2C_Expander_Main_Rst!B99</v>
      </c>
    </row>
    <row r="1037" spans="1:16" x14ac:dyDescent="0.25">
      <c r="A1037" s="3" t="str">
        <f t="shared" ca="1" si="174"/>
        <v/>
      </c>
      <c r="G1037" s="15">
        <f t="shared" ca="1" si="170"/>
        <v>100</v>
      </c>
      <c r="H1037" s="15">
        <v>1</v>
      </c>
      <c r="I1037" s="15" t="str">
        <f t="shared" ca="1" si="171"/>
        <v>I2C_Expander_Main_Rst</v>
      </c>
      <c r="J1037" s="15" t="str">
        <f t="shared" ca="1" si="172"/>
        <v>I2C_Expander_Main_Rst!A100</v>
      </c>
      <c r="K1037" s="15" t="str">
        <f t="shared" ca="1" si="173"/>
        <v>I2C_Expander_Main_Rst!B100</v>
      </c>
    </row>
    <row r="1038" spans="1:16" x14ac:dyDescent="0.25">
      <c r="A1038" s="3" t="str">
        <f t="shared" ca="1" si="174"/>
        <v xml:space="preserve">#pins_int = 10 </v>
      </c>
      <c r="G1038" s="15">
        <f t="shared" ca="1" si="170"/>
        <v>101</v>
      </c>
      <c r="H1038" s="15">
        <v>1</v>
      </c>
      <c r="I1038" s="15" t="str">
        <f t="shared" ca="1" si="171"/>
        <v>I2C_Expander_Main_Rst</v>
      </c>
      <c r="J1038" s="15" t="str">
        <f t="shared" ca="1" si="172"/>
        <v>I2C_Expander_Main_Rst!A101</v>
      </c>
      <c r="K1038" s="15" t="str">
        <f t="shared" ca="1" si="173"/>
        <v>I2C_Expander_Main_Rst!B101</v>
      </c>
    </row>
    <row r="1039" spans="1:16" x14ac:dyDescent="0.25">
      <c r="A1039" s="3" t="str">
        <f t="shared" ca="1" si="174"/>
        <v/>
      </c>
      <c r="C1039" s="16"/>
      <c r="G1039" s="15">
        <f t="shared" ca="1" si="170"/>
        <v>102</v>
      </c>
      <c r="H1039" s="15">
        <v>1</v>
      </c>
      <c r="I1039" s="15" t="str">
        <f t="shared" ca="1" si="171"/>
        <v>I2C_Expander_Main_Rst</v>
      </c>
      <c r="J1039" s="15" t="str">
        <f t="shared" ca="1" si="172"/>
        <v>I2C_Expander_Main_Rst!A102</v>
      </c>
      <c r="K1039" s="15" t="str">
        <f t="shared" ca="1" si="173"/>
        <v>I2C_Expander_Main_Rst!B102</v>
      </c>
    </row>
    <row r="1040" spans="1:16" x14ac:dyDescent="0.25">
      <c r="A1040" s="3" t="str">
        <f t="shared" ca="1" si="174"/>
        <v/>
      </c>
      <c r="G1040" s="15">
        <f t="shared" ca="1" si="170"/>
        <v>103</v>
      </c>
      <c r="H1040" s="15">
        <v>1</v>
      </c>
      <c r="I1040" s="15" t="str">
        <f t="shared" ca="1" si="171"/>
        <v>I2C_Expander_Main_Rst</v>
      </c>
      <c r="J1040" s="15" t="str">
        <f t="shared" ca="1" si="172"/>
        <v>I2C_Expander_Main_Rst!A103</v>
      </c>
      <c r="K1040" s="15" t="str">
        <f t="shared" ca="1" si="173"/>
        <v>I2C_Expander_Main_Rst!B103</v>
      </c>
    </row>
    <row r="1041" spans="1:16" x14ac:dyDescent="0.25">
      <c r="A1041" s="3" t="str">
        <f t="shared" ca="1" si="174"/>
        <v/>
      </c>
      <c r="G1041" s="15">
        <f t="shared" ca="1" si="170"/>
        <v>104</v>
      </c>
      <c r="H1041" s="15">
        <v>1</v>
      </c>
      <c r="I1041" s="15" t="str">
        <f t="shared" ca="1" si="171"/>
        <v>I2C_Expander_Main_Rst</v>
      </c>
      <c r="J1041" s="15" t="str">
        <f t="shared" ca="1" si="172"/>
        <v>I2C_Expander_Main_Rst!A104</v>
      </c>
      <c r="K1041" s="15" t="str">
        <f t="shared" ca="1" si="173"/>
        <v>I2C_Expander_Main_Rst!B104</v>
      </c>
    </row>
    <row r="1042" spans="1:16" x14ac:dyDescent="0.25">
      <c r="A1042" s="3" t="str">
        <f t="shared" ca="1" si="174"/>
        <v/>
      </c>
      <c r="G1042" s="15">
        <f t="shared" ca="1" si="170"/>
        <v>105</v>
      </c>
      <c r="H1042" s="15">
        <v>1</v>
      </c>
      <c r="I1042" s="15" t="str">
        <f t="shared" ca="1" si="171"/>
        <v>I2C_Expander_Main_Rst</v>
      </c>
      <c r="J1042" s="15" t="str">
        <f t="shared" ca="1" si="172"/>
        <v>I2C_Expander_Main_Rst!A105</v>
      </c>
      <c r="K1042" s="15" t="str">
        <f t="shared" ca="1" si="173"/>
        <v>I2C_Expander_Main_Rst!B105</v>
      </c>
    </row>
    <row r="1043" spans="1:16" x14ac:dyDescent="0.25">
      <c r="A1043" s="3" t="str">
        <f t="shared" ca="1" si="174"/>
        <v/>
      </c>
      <c r="G1043" s="15">
        <f t="shared" ca="1" si="170"/>
        <v>106</v>
      </c>
      <c r="H1043" s="15">
        <v>1</v>
      </c>
      <c r="I1043" s="15" t="str">
        <f t="shared" ca="1" si="171"/>
        <v>I2C_Expander_Main_Rst</v>
      </c>
      <c r="J1043" s="15" t="str">
        <f t="shared" ca="1" si="172"/>
        <v>I2C_Expander_Main_Rst!A106</v>
      </c>
      <c r="K1043" s="15" t="str">
        <f t="shared" ca="1" si="173"/>
        <v>I2C_Expander_Main_Rst!B106</v>
      </c>
    </row>
    <row r="1044" spans="1:16" x14ac:dyDescent="0.25">
      <c r="A1044" s="3" t="str">
        <f t="shared" ca="1" si="174"/>
        <v/>
      </c>
      <c r="G1044" s="15">
        <f t="shared" ca="1" si="170"/>
        <v>107</v>
      </c>
      <c r="H1044" s="15">
        <v>1</v>
      </c>
      <c r="I1044" s="15" t="str">
        <f t="shared" ca="1" si="171"/>
        <v>I2C_Expander_Main_Rst</v>
      </c>
      <c r="J1044" s="15" t="str">
        <f t="shared" ca="1" si="172"/>
        <v>I2C_Expander_Main_Rst!A107</v>
      </c>
      <c r="K1044" s="15" t="str">
        <f t="shared" ca="1" si="173"/>
        <v>I2C_Expander_Main_Rst!B107</v>
      </c>
    </row>
    <row r="1045" spans="1:16" x14ac:dyDescent="0.25">
      <c r="A1045" s="3" t="str">
        <f t="shared" ca="1" si="174"/>
        <v/>
      </c>
      <c r="G1045" s="15">
        <f t="shared" ca="1" si="170"/>
        <v>108</v>
      </c>
      <c r="H1045" s="15">
        <v>1</v>
      </c>
      <c r="I1045" s="15" t="str">
        <f t="shared" ca="1" si="171"/>
        <v>I2C_Expander_Main_Rst</v>
      </c>
      <c r="J1045" s="15" t="str">
        <f t="shared" ca="1" si="172"/>
        <v>I2C_Expander_Main_Rst!A108</v>
      </c>
      <c r="K1045" s="15" t="str">
        <f t="shared" ca="1" si="173"/>
        <v>I2C_Expander_Main_Rst!B108</v>
      </c>
    </row>
    <row r="1046" spans="1:16" x14ac:dyDescent="0.25">
      <c r="A1046" s="3" t="str">
        <f t="shared" ca="1" si="174"/>
        <v/>
      </c>
      <c r="G1046" s="15">
        <f t="shared" ca="1" si="170"/>
        <v>109</v>
      </c>
      <c r="H1046" s="15">
        <v>1</v>
      </c>
      <c r="I1046" s="15" t="str">
        <f t="shared" ca="1" si="171"/>
        <v>I2C_Expander_Main_Rst</v>
      </c>
      <c r="J1046" s="15" t="str">
        <f t="shared" ca="1" si="172"/>
        <v>I2C_Expander_Main_Rst!A109</v>
      </c>
      <c r="K1046" s="15" t="str">
        <f t="shared" ca="1" si="173"/>
        <v>I2C_Expander_Main_Rst!B109</v>
      </c>
    </row>
    <row r="1047" spans="1:16" x14ac:dyDescent="0.25">
      <c r="A1047" s="3" t="str">
        <f t="shared" ca="1" si="174"/>
        <v/>
      </c>
      <c r="G1047" s="15">
        <f t="shared" ca="1" si="170"/>
        <v>110</v>
      </c>
      <c r="H1047" s="15">
        <v>1</v>
      </c>
      <c r="I1047" s="15" t="str">
        <f t="shared" ca="1" si="171"/>
        <v>I2C_Expander_Main_Rst</v>
      </c>
      <c r="J1047" s="15" t="str">
        <f t="shared" ca="1" si="172"/>
        <v>I2C_Expander_Main_Rst!A110</v>
      </c>
      <c r="K1047" s="15" t="str">
        <f t="shared" ca="1" si="173"/>
        <v>I2C_Expander_Main_Rst!B110</v>
      </c>
    </row>
    <row r="1048" spans="1:16" x14ac:dyDescent="0.25">
      <c r="A1048" s="3" t="str">
        <f t="shared" ca="1" si="174"/>
        <v/>
      </c>
      <c r="G1048" s="15">
        <f t="shared" ref="G1048" ca="1" si="181">INDIRECT(M1048)</f>
        <v>31</v>
      </c>
      <c r="H1048" s="15">
        <v>1</v>
      </c>
      <c r="I1048" s="15" t="str">
        <f t="shared" ref="I1048" ca="1" si="182">INDIRECT(N1048)</f>
        <v>Programowanie kart</v>
      </c>
      <c r="J1048" s="15" t="str">
        <f t="shared" ca="1" si="172"/>
        <v>'Programowanie kart'!A31</v>
      </c>
      <c r="K1048" s="15" t="str">
        <f t="shared" ca="1" si="173"/>
        <v>'Programowanie kart'!B31</v>
      </c>
      <c r="M1048" s="15" t="str">
        <f t="shared" ref="M1048" si="183">ADDRESS(O1048,3,4,1,$R$1)</f>
        <v>konfig!C54</v>
      </c>
      <c r="N1048" s="15" t="str">
        <f t="shared" ref="N1048" si="184">ADDRESS(O1048,1,4,1,$R$1)</f>
        <v>konfig!A54</v>
      </c>
      <c r="O1048" s="15">
        <v>54</v>
      </c>
      <c r="P1048" s="15">
        <v>4</v>
      </c>
    </row>
    <row r="1049" spans="1:16" x14ac:dyDescent="0.25">
      <c r="A1049" s="3" t="str">
        <f t="shared" ca="1" si="174"/>
        <v/>
      </c>
      <c r="G1049" s="15">
        <f t="shared" ref="G1049:G1092" ca="1" si="185">G1048+1</f>
        <v>32</v>
      </c>
      <c r="H1049" s="15">
        <v>1</v>
      </c>
      <c r="I1049" s="15" t="str">
        <f t="shared" ref="I1049:I1092" ca="1" si="186">I1048</f>
        <v>Programowanie kart</v>
      </c>
      <c r="J1049" s="15" t="str">
        <f t="shared" ca="1" si="172"/>
        <v>'Programowanie kart'!A32</v>
      </c>
      <c r="K1049" s="15" t="str">
        <f t="shared" ca="1" si="173"/>
        <v>'Programowanie kart'!B32</v>
      </c>
    </row>
    <row r="1050" spans="1:16" x14ac:dyDescent="0.25">
      <c r="A1050" s="3" t="str">
        <f t="shared" ca="1" si="174"/>
        <v/>
      </c>
      <c r="G1050" s="15">
        <f t="shared" ca="1" si="185"/>
        <v>33</v>
      </c>
      <c r="H1050" s="15">
        <v>1</v>
      </c>
      <c r="I1050" s="15" t="str">
        <f t="shared" ca="1" si="186"/>
        <v>Programowanie kart</v>
      </c>
      <c r="J1050" s="15" t="str">
        <f t="shared" ca="1" si="172"/>
        <v>'Programowanie kart'!A33</v>
      </c>
      <c r="K1050" s="15" t="str">
        <f t="shared" ca="1" si="173"/>
        <v>'Programowanie kart'!B33</v>
      </c>
    </row>
    <row r="1051" spans="1:16" x14ac:dyDescent="0.25">
      <c r="A1051" s="3" t="str">
        <f t="shared" ca="1" si="174"/>
        <v/>
      </c>
      <c r="C1051" s="16"/>
      <c r="G1051" s="15">
        <f t="shared" ca="1" si="185"/>
        <v>34</v>
      </c>
      <c r="H1051" s="15">
        <v>1</v>
      </c>
      <c r="I1051" s="15" t="str">
        <f t="shared" ca="1" si="186"/>
        <v>Programowanie kart</v>
      </c>
      <c r="J1051" s="15" t="str">
        <f t="shared" ca="1" si="172"/>
        <v>'Programowanie kart'!A34</v>
      </c>
      <c r="K1051" s="15" t="str">
        <f t="shared" ca="1" si="173"/>
        <v>'Programowanie kart'!B34</v>
      </c>
    </row>
    <row r="1052" spans="1:16" x14ac:dyDescent="0.25">
      <c r="A1052" s="3" t="str">
        <f t="shared" ca="1" si="174"/>
        <v/>
      </c>
      <c r="G1052" s="15">
        <f t="shared" ca="1" si="185"/>
        <v>35</v>
      </c>
      <c r="H1052" s="15">
        <v>1</v>
      </c>
      <c r="I1052" s="15" t="str">
        <f t="shared" ca="1" si="186"/>
        <v>Programowanie kart</v>
      </c>
      <c r="J1052" s="15" t="str">
        <f t="shared" ca="1" si="172"/>
        <v>'Programowanie kart'!A35</v>
      </c>
      <c r="K1052" s="15" t="str">
        <f t="shared" ca="1" si="173"/>
        <v>'Programowanie kart'!B35</v>
      </c>
    </row>
    <row r="1053" spans="1:16" x14ac:dyDescent="0.25">
      <c r="A1053" s="3" t="str">
        <f t="shared" ca="1" si="174"/>
        <v/>
      </c>
      <c r="G1053" s="15">
        <f t="shared" ca="1" si="170"/>
        <v>36</v>
      </c>
      <c r="H1053" s="15">
        <v>1</v>
      </c>
      <c r="I1053" s="15" t="str">
        <f t="shared" ca="1" si="171"/>
        <v>Programowanie kart</v>
      </c>
      <c r="J1053" s="15" t="str">
        <f t="shared" ca="1" si="172"/>
        <v>'Programowanie kart'!A36</v>
      </c>
      <c r="K1053" s="15" t="str">
        <f t="shared" ca="1" si="173"/>
        <v>'Programowanie kart'!B36</v>
      </c>
    </row>
    <row r="1054" spans="1:16" x14ac:dyDescent="0.25">
      <c r="A1054" s="3" t="str">
        <f t="shared" ca="1" si="174"/>
        <v/>
      </c>
      <c r="G1054" s="15">
        <f t="shared" ca="1" si="170"/>
        <v>37</v>
      </c>
      <c r="H1054" s="15">
        <v>1</v>
      </c>
      <c r="I1054" s="15" t="str">
        <f t="shared" ca="1" si="171"/>
        <v>Programowanie kart</v>
      </c>
      <c r="J1054" s="15" t="str">
        <f t="shared" ca="1" si="172"/>
        <v>'Programowanie kart'!A37</v>
      </c>
      <c r="K1054" s="15" t="str">
        <f t="shared" ca="1" si="173"/>
        <v>'Programowanie kart'!B37</v>
      </c>
    </row>
    <row r="1055" spans="1:16" x14ac:dyDescent="0.25">
      <c r="A1055" s="3" t="str">
        <f t="shared" ca="1" si="174"/>
        <v/>
      </c>
      <c r="G1055" s="15">
        <f t="shared" ca="1" si="170"/>
        <v>38</v>
      </c>
      <c r="H1055" s="15">
        <v>1</v>
      </c>
      <c r="I1055" s="15" t="str">
        <f t="shared" ca="1" si="171"/>
        <v>Programowanie kart</v>
      </c>
      <c r="J1055" s="15" t="str">
        <f t="shared" ca="1" si="172"/>
        <v>'Programowanie kart'!A38</v>
      </c>
      <c r="K1055" s="15" t="str">
        <f t="shared" ca="1" si="173"/>
        <v>'Programowanie kart'!B38</v>
      </c>
    </row>
    <row r="1056" spans="1:16" x14ac:dyDescent="0.25">
      <c r="A1056" s="3" t="str">
        <f t="shared" ca="1" si="174"/>
        <v/>
      </c>
      <c r="G1056" s="15">
        <f t="shared" ca="1" si="170"/>
        <v>39</v>
      </c>
      <c r="H1056" s="15">
        <v>1</v>
      </c>
      <c r="I1056" s="15" t="str">
        <f t="shared" ca="1" si="171"/>
        <v>Programowanie kart</v>
      </c>
      <c r="J1056" s="15" t="str">
        <f t="shared" ca="1" si="172"/>
        <v>'Programowanie kart'!A39</v>
      </c>
      <c r="K1056" s="15" t="str">
        <f t="shared" ca="1" si="173"/>
        <v>'Programowanie kart'!B39</v>
      </c>
    </row>
    <row r="1057" spans="1:16" x14ac:dyDescent="0.25">
      <c r="A1057" s="3" t="str">
        <f t="shared" ca="1" si="174"/>
        <v/>
      </c>
      <c r="G1057" s="15">
        <f t="shared" ca="1" si="170"/>
        <v>40</v>
      </c>
      <c r="H1057" s="15">
        <v>1</v>
      </c>
      <c r="I1057" s="15" t="str">
        <f t="shared" ca="1" si="171"/>
        <v>Programowanie kart</v>
      </c>
      <c r="J1057" s="15" t="str">
        <f t="shared" ca="1" si="172"/>
        <v>'Programowanie kart'!A40</v>
      </c>
      <c r="K1057" s="15" t="str">
        <f t="shared" ca="1" si="173"/>
        <v>'Programowanie kart'!B40</v>
      </c>
    </row>
    <row r="1058" spans="1:16" x14ac:dyDescent="0.25">
      <c r="A1058" s="3" t="str">
        <f t="shared" ca="1" si="174"/>
        <v/>
      </c>
      <c r="G1058" s="15">
        <f t="shared" ca="1" si="170"/>
        <v>41</v>
      </c>
      <c r="H1058" s="15">
        <v>1</v>
      </c>
      <c r="I1058" s="15" t="str">
        <f t="shared" ca="1" si="171"/>
        <v>Programowanie kart</v>
      </c>
      <c r="J1058" s="15" t="str">
        <f t="shared" ca="1" si="172"/>
        <v>'Programowanie kart'!A41</v>
      </c>
      <c r="K1058" s="15" t="str">
        <f t="shared" ca="1" si="173"/>
        <v>'Programowanie kart'!B41</v>
      </c>
    </row>
    <row r="1059" spans="1:16" x14ac:dyDescent="0.25">
      <c r="A1059" s="3" t="str">
        <f t="shared" ca="1" si="174"/>
        <v/>
      </c>
      <c r="C1059" s="16"/>
      <c r="G1059" s="15">
        <f t="shared" ca="1" si="170"/>
        <v>42</v>
      </c>
      <c r="H1059" s="15">
        <v>1</v>
      </c>
      <c r="I1059" s="15" t="str">
        <f t="shared" ca="1" si="171"/>
        <v>Programowanie kart</v>
      </c>
      <c r="J1059" s="15" t="str">
        <f t="shared" ca="1" si="172"/>
        <v>'Programowanie kart'!A42</v>
      </c>
      <c r="K1059" s="15" t="str">
        <f t="shared" ca="1" si="173"/>
        <v>'Programowanie kart'!B42</v>
      </c>
    </row>
    <row r="1060" spans="1:16" x14ac:dyDescent="0.25">
      <c r="A1060" s="3" t="str">
        <f t="shared" ca="1" si="174"/>
        <v/>
      </c>
      <c r="G1060" s="15">
        <f t="shared" ca="1" si="170"/>
        <v>43</v>
      </c>
      <c r="H1060" s="15">
        <v>1</v>
      </c>
      <c r="I1060" s="15" t="str">
        <f t="shared" ca="1" si="171"/>
        <v>Programowanie kart</v>
      </c>
      <c r="J1060" s="15" t="str">
        <f t="shared" ref="J1060:J1123" ca="1" si="187">ADDRESS(G1060,H1060,4,1,I1060)</f>
        <v>'Programowanie kart'!A43</v>
      </c>
      <c r="K1060" s="15" t="str">
        <f t="shared" ref="K1060:K1123" ca="1" si="188">ADDRESS(G1060,H1060+1,4,1,I1060)</f>
        <v>'Programowanie kart'!B43</v>
      </c>
    </row>
    <row r="1061" spans="1:16" x14ac:dyDescent="0.25">
      <c r="A1061" s="3" t="str">
        <f t="shared" ca="1" si="174"/>
        <v/>
      </c>
      <c r="G1061" s="15">
        <f t="shared" ca="1" si="170"/>
        <v>44</v>
      </c>
      <c r="H1061" s="15">
        <v>1</v>
      </c>
      <c r="I1061" s="15" t="str">
        <f t="shared" ca="1" si="171"/>
        <v>Programowanie kart</v>
      </c>
      <c r="J1061" s="15" t="str">
        <f t="shared" ca="1" si="187"/>
        <v>'Programowanie kart'!A44</v>
      </c>
      <c r="K1061" s="15" t="str">
        <f t="shared" ca="1" si="188"/>
        <v>'Programowanie kart'!B44</v>
      </c>
    </row>
    <row r="1062" spans="1:16" x14ac:dyDescent="0.25">
      <c r="A1062" s="3" t="str">
        <f t="shared" ca="1" si="174"/>
        <v/>
      </c>
      <c r="G1062" s="15">
        <f t="shared" ca="1" si="170"/>
        <v>45</v>
      </c>
      <c r="H1062" s="15">
        <v>1</v>
      </c>
      <c r="I1062" s="15" t="str">
        <f t="shared" ca="1" si="171"/>
        <v>Programowanie kart</v>
      </c>
      <c r="J1062" s="15" t="str">
        <f t="shared" ca="1" si="187"/>
        <v>'Programowanie kart'!A45</v>
      </c>
      <c r="K1062" s="15" t="str">
        <f t="shared" ca="1" si="188"/>
        <v>'Programowanie kart'!B45</v>
      </c>
    </row>
    <row r="1063" spans="1:16" x14ac:dyDescent="0.25">
      <c r="A1063" s="3" t="str">
        <f t="shared" ca="1" si="174"/>
        <v/>
      </c>
      <c r="G1063" s="15">
        <f t="shared" ca="1" si="170"/>
        <v>46</v>
      </c>
      <c r="H1063" s="15">
        <v>1</v>
      </c>
      <c r="I1063" s="15" t="str">
        <f t="shared" ca="1" si="171"/>
        <v>Programowanie kart</v>
      </c>
      <c r="J1063" s="15" t="str">
        <f t="shared" ca="1" si="187"/>
        <v>'Programowanie kart'!A46</v>
      </c>
      <c r="K1063" s="15" t="str">
        <f t="shared" ca="1" si="188"/>
        <v>'Programowanie kart'!B46</v>
      </c>
    </row>
    <row r="1064" spans="1:16" x14ac:dyDescent="0.25">
      <c r="A1064" s="3" t="str">
        <f t="shared" ca="1" si="174"/>
        <v/>
      </c>
      <c r="G1064" s="15">
        <f t="shared" ca="1" si="170"/>
        <v>47</v>
      </c>
      <c r="H1064" s="15">
        <v>1</v>
      </c>
      <c r="I1064" s="15" t="str">
        <f t="shared" ca="1" si="171"/>
        <v>Programowanie kart</v>
      </c>
      <c r="J1064" s="15" t="str">
        <f t="shared" ca="1" si="187"/>
        <v>'Programowanie kart'!A47</v>
      </c>
      <c r="K1064" s="15" t="str">
        <f t="shared" ca="1" si="188"/>
        <v>'Programowanie kart'!B47</v>
      </c>
    </row>
    <row r="1065" spans="1:16" x14ac:dyDescent="0.25">
      <c r="A1065" s="3" t="str">
        <f t="shared" ca="1" si="174"/>
        <v/>
      </c>
      <c r="G1065" s="15">
        <f t="shared" ca="1" si="170"/>
        <v>48</v>
      </c>
      <c r="H1065" s="15">
        <v>1</v>
      </c>
      <c r="I1065" s="15" t="str">
        <f t="shared" ca="1" si="171"/>
        <v>Programowanie kart</v>
      </c>
      <c r="J1065" s="15" t="str">
        <f t="shared" ca="1" si="187"/>
        <v>'Programowanie kart'!A48</v>
      </c>
      <c r="K1065" s="15" t="str">
        <f t="shared" ca="1" si="188"/>
        <v>'Programowanie kart'!B48</v>
      </c>
    </row>
    <row r="1066" spans="1:16" x14ac:dyDescent="0.25">
      <c r="A1066" s="3" t="str">
        <f t="shared" ca="1" si="174"/>
        <v/>
      </c>
      <c r="G1066" s="15">
        <f t="shared" ca="1" si="170"/>
        <v>49</v>
      </c>
      <c r="H1066" s="15">
        <v>1</v>
      </c>
      <c r="I1066" s="15" t="str">
        <f t="shared" ca="1" si="171"/>
        <v>Programowanie kart</v>
      </c>
      <c r="J1066" s="15" t="str">
        <f t="shared" ca="1" si="187"/>
        <v>'Programowanie kart'!A49</v>
      </c>
      <c r="K1066" s="15" t="str">
        <f t="shared" ca="1" si="188"/>
        <v>'Programowanie kart'!B49</v>
      </c>
    </row>
    <row r="1067" spans="1:16" x14ac:dyDescent="0.25">
      <c r="A1067" s="3" t="str">
        <f t="shared" ca="1" si="174"/>
        <v/>
      </c>
      <c r="G1067" s="15">
        <f t="shared" ca="1" si="170"/>
        <v>50</v>
      </c>
      <c r="H1067" s="15">
        <v>1</v>
      </c>
      <c r="I1067" s="15" t="str">
        <f t="shared" ca="1" si="171"/>
        <v>Programowanie kart</v>
      </c>
      <c r="J1067" s="15" t="str">
        <f t="shared" ca="1" si="187"/>
        <v>'Programowanie kart'!A50</v>
      </c>
      <c r="K1067" s="15" t="str">
        <f t="shared" ca="1" si="188"/>
        <v>'Programowanie kart'!B50</v>
      </c>
    </row>
    <row r="1068" spans="1:16" x14ac:dyDescent="0.25">
      <c r="A1068" s="3" t="str">
        <f t="shared" ref="A1068:A1131" ca="1" si="189">IFERROR(IF(INDIRECT(J1068)&lt;&gt;"",CONCATENATE(INDIRECT(J1068)," = ",INDIRECT(K1068)," "),""),"")</f>
        <v xml:space="preserve">#I2C_Bridge_GPIO:exp_group_1x =  </v>
      </c>
      <c r="G1068" s="15">
        <f t="shared" ref="G1068" ca="1" si="190">INDIRECT(M1068)</f>
        <v>71</v>
      </c>
      <c r="H1068" s="15">
        <v>1</v>
      </c>
      <c r="I1068" s="15" t="str">
        <f t="shared" ref="I1068" ca="1" si="191">INDIRECT(N1068)</f>
        <v>I2C_Bridge_GPIO</v>
      </c>
      <c r="J1068" s="15" t="str">
        <f t="shared" ca="1" si="187"/>
        <v>I2C_Bridge_GPIO!A71</v>
      </c>
      <c r="K1068" s="15" t="str">
        <f t="shared" ca="1" si="188"/>
        <v>I2C_Bridge_GPIO!B71</v>
      </c>
      <c r="M1068" s="15" t="str">
        <f t="shared" ref="M1068" si="192">ADDRESS(O1068,3,4,1,$R$1)</f>
        <v>konfig!C55</v>
      </c>
      <c r="N1068" s="15" t="str">
        <f t="shared" ref="N1068" si="193">ADDRESS(O1068,1,4,1,$R$1)</f>
        <v>konfig!A55</v>
      </c>
      <c r="O1068" s="15">
        <v>55</v>
      </c>
      <c r="P1068" s="15">
        <v>4</v>
      </c>
    </row>
    <row r="1069" spans="1:16" x14ac:dyDescent="0.25">
      <c r="A1069" s="3" t="str">
        <f t="shared" ca="1" si="189"/>
        <v xml:space="preserve">device = TCA9548 </v>
      </c>
      <c r="G1069" s="15">
        <f t="shared" ref="G1069:G1109" ca="1" si="194">G1068+1</f>
        <v>72</v>
      </c>
      <c r="H1069" s="15">
        <v>1</v>
      </c>
      <c r="I1069" s="15" t="str">
        <f t="shared" ref="I1069:I1109" ca="1" si="195">I1068</f>
        <v>I2C_Bridge_GPIO</v>
      </c>
      <c r="J1069" s="15" t="str">
        <f t="shared" ca="1" si="187"/>
        <v>I2C_Bridge_GPIO!A72</v>
      </c>
      <c r="K1069" s="15" t="str">
        <f t="shared" ca="1" si="188"/>
        <v>I2C_Bridge_GPIO!B72</v>
      </c>
    </row>
    <row r="1070" spans="1:16" x14ac:dyDescent="0.25">
      <c r="A1070" s="3" t="str">
        <f t="shared" ca="1" si="189"/>
        <v xml:space="preserve">i2c_addr = 0x73 </v>
      </c>
      <c r="G1070" s="15">
        <f t="shared" ca="1" si="170"/>
        <v>73</v>
      </c>
      <c r="H1070" s="15">
        <v>1</v>
      </c>
      <c r="I1070" s="15" t="str">
        <f t="shared" ca="1" si="171"/>
        <v>I2C_Bridge_GPIO</v>
      </c>
      <c r="J1070" s="15" t="str">
        <f t="shared" ca="1" si="187"/>
        <v>I2C_Bridge_GPIO!A73</v>
      </c>
      <c r="K1070" s="15" t="str">
        <f t="shared" ca="1" si="188"/>
        <v>I2C_Bridge_GPIO!B73</v>
      </c>
    </row>
    <row r="1071" spans="1:16" x14ac:dyDescent="0.25">
      <c r="A1071" s="3" t="str">
        <f t="shared" ca="1" si="189"/>
        <v xml:space="preserve">i2c_num = /dev/i2c-1 </v>
      </c>
      <c r="C1071" s="16"/>
      <c r="G1071" s="15">
        <f t="shared" ca="1" si="170"/>
        <v>74</v>
      </c>
      <c r="H1071" s="15">
        <v>1</v>
      </c>
      <c r="I1071" s="15" t="str">
        <f t="shared" ca="1" si="171"/>
        <v>I2C_Bridge_GPIO</v>
      </c>
      <c r="J1071" s="15" t="str">
        <f t="shared" ca="1" si="187"/>
        <v>I2C_Bridge_GPIO!A74</v>
      </c>
      <c r="K1071" s="15" t="str">
        <f t="shared" ca="1" si="188"/>
        <v>I2C_Bridge_GPIO!B74</v>
      </c>
    </row>
    <row r="1072" spans="1:16" x14ac:dyDescent="0.25">
      <c r="A1072" s="3" t="str">
        <f t="shared" ca="1" si="189"/>
        <v xml:space="preserve">ctrl_reg = 0x10 </v>
      </c>
      <c r="G1072" s="15">
        <f t="shared" ca="1" si="170"/>
        <v>75</v>
      </c>
      <c r="H1072" s="15">
        <v>1</v>
      </c>
      <c r="I1072" s="15" t="str">
        <f t="shared" ca="1" si="171"/>
        <v>I2C_Bridge_GPIO</v>
      </c>
      <c r="J1072" s="15" t="str">
        <f t="shared" ca="1" si="187"/>
        <v>I2C_Bridge_GPIO!A75</v>
      </c>
      <c r="K1072" s="15" t="str">
        <f t="shared" ca="1" si="188"/>
        <v>I2C_Bridge_GPIO!B75</v>
      </c>
    </row>
    <row r="1073" spans="1:16" x14ac:dyDescent="0.25">
      <c r="A1073" s="3" t="str">
        <f t="shared" ca="1" si="189"/>
        <v/>
      </c>
      <c r="G1073" s="15">
        <f t="shared" ca="1" si="170"/>
        <v>76</v>
      </c>
      <c r="H1073" s="15">
        <v>1</v>
      </c>
      <c r="I1073" s="15" t="str">
        <f t="shared" ca="1" si="171"/>
        <v>I2C_Bridge_GPIO</v>
      </c>
      <c r="J1073" s="15" t="str">
        <f t="shared" ca="1" si="187"/>
        <v>I2C_Bridge_GPIO!A76</v>
      </c>
      <c r="K1073" s="15" t="str">
        <f t="shared" ca="1" si="188"/>
        <v>I2C_Bridge_GPIO!B76</v>
      </c>
    </row>
    <row r="1074" spans="1:16" x14ac:dyDescent="0.25">
      <c r="A1074" s="3" t="str">
        <f t="shared" ca="1" si="189"/>
        <v xml:space="preserve">time = 11 </v>
      </c>
      <c r="G1074" s="15">
        <f t="shared" ca="1" si="170"/>
        <v>77</v>
      </c>
      <c r="H1074" s="15">
        <v>1</v>
      </c>
      <c r="I1074" s="15" t="str">
        <f t="shared" ca="1" si="171"/>
        <v>I2C_Bridge_GPIO</v>
      </c>
      <c r="J1074" s="15" t="str">
        <f t="shared" ca="1" si="187"/>
        <v>I2C_Bridge_GPIO!A77</v>
      </c>
      <c r="K1074" s="15" t="str">
        <f t="shared" ca="1" si="188"/>
        <v>I2C_Bridge_GPIO!B77</v>
      </c>
    </row>
    <row r="1075" spans="1:16" x14ac:dyDescent="0.25">
      <c r="A1075" s="3" t="str">
        <f t="shared" ca="1" si="189"/>
        <v/>
      </c>
      <c r="G1075" s="15">
        <f t="shared" ca="1" si="170"/>
        <v>78</v>
      </c>
      <c r="H1075" s="15">
        <v>1</v>
      </c>
      <c r="I1075" s="15" t="str">
        <f t="shared" ca="1" si="171"/>
        <v>I2C_Bridge_GPIO</v>
      </c>
      <c r="J1075" s="15" t="str">
        <f t="shared" ca="1" si="187"/>
        <v>I2C_Bridge_GPIO!A78</v>
      </c>
      <c r="K1075" s="15" t="str">
        <f t="shared" ca="1" si="188"/>
        <v>I2C_Bridge_GPIO!B78</v>
      </c>
    </row>
    <row r="1076" spans="1:16" x14ac:dyDescent="0.25">
      <c r="A1076" s="3" t="str">
        <f t="shared" ca="1" si="189"/>
        <v/>
      </c>
      <c r="G1076" s="15">
        <f t="shared" ca="1" si="170"/>
        <v>79</v>
      </c>
      <c r="H1076" s="15">
        <v>1</v>
      </c>
      <c r="I1076" s="15" t="str">
        <f t="shared" ca="1" si="171"/>
        <v>I2C_Bridge_GPIO</v>
      </c>
      <c r="J1076" s="15" t="str">
        <f t="shared" ca="1" si="187"/>
        <v>I2C_Bridge_GPIO!A79</v>
      </c>
      <c r="K1076" s="15" t="str">
        <f t="shared" ca="1" si="188"/>
        <v>I2C_Bridge_GPIO!B79</v>
      </c>
    </row>
    <row r="1077" spans="1:16" x14ac:dyDescent="0.25">
      <c r="A1077" s="3" t="str">
        <f t="shared" ca="1" si="189"/>
        <v/>
      </c>
      <c r="G1077" s="15">
        <f t="shared" ref="G1077:G1140" ca="1" si="196">G1076+1</f>
        <v>80</v>
      </c>
      <c r="H1077" s="15">
        <v>1</v>
      </c>
      <c r="I1077" s="15" t="str">
        <f t="shared" ref="I1077:I1140" ca="1" si="197">I1076</f>
        <v>I2C_Bridge_GPIO</v>
      </c>
      <c r="J1077" s="15" t="str">
        <f t="shared" ca="1" si="187"/>
        <v>I2C_Bridge_GPIO!A80</v>
      </c>
      <c r="K1077" s="15" t="str">
        <f t="shared" ca="1" si="188"/>
        <v>I2C_Bridge_GPIO!B80</v>
      </c>
    </row>
    <row r="1078" spans="1:16" x14ac:dyDescent="0.25">
      <c r="A1078" s="3" t="str">
        <f t="shared" ca="1" si="189"/>
        <v/>
      </c>
      <c r="G1078" s="15">
        <f t="shared" ca="1" si="196"/>
        <v>81</v>
      </c>
      <c r="H1078" s="15">
        <v>1</v>
      </c>
      <c r="I1078" s="15" t="str">
        <f t="shared" ca="1" si="197"/>
        <v>I2C_Bridge_GPIO</v>
      </c>
      <c r="J1078" s="15" t="str">
        <f t="shared" ca="1" si="187"/>
        <v>I2C_Bridge_GPIO!A81</v>
      </c>
      <c r="K1078" s="15" t="str">
        <f t="shared" ca="1" si="188"/>
        <v>I2C_Bridge_GPIO!B81</v>
      </c>
    </row>
    <row r="1079" spans="1:16" x14ac:dyDescent="0.25">
      <c r="A1079" s="3" t="str">
        <f t="shared" ca="1" si="189"/>
        <v/>
      </c>
      <c r="C1079" s="16"/>
      <c r="G1079" s="15">
        <f t="shared" ca="1" si="196"/>
        <v>82</v>
      </c>
      <c r="H1079" s="15">
        <v>1</v>
      </c>
      <c r="I1079" s="15" t="str">
        <f t="shared" ca="1" si="197"/>
        <v>I2C_Bridge_GPIO</v>
      </c>
      <c r="J1079" s="15" t="str">
        <f t="shared" ca="1" si="187"/>
        <v>I2C_Bridge_GPIO!A82</v>
      </c>
      <c r="K1079" s="15" t="str">
        <f t="shared" ca="1" si="188"/>
        <v>I2C_Bridge_GPIO!B82</v>
      </c>
    </row>
    <row r="1080" spans="1:16" x14ac:dyDescent="0.25">
      <c r="A1080" s="3" t="str">
        <f t="shared" ca="1" si="189"/>
        <v/>
      </c>
      <c r="G1080" s="15">
        <f t="shared" ca="1" si="196"/>
        <v>83</v>
      </c>
      <c r="H1080" s="15">
        <v>1</v>
      </c>
      <c r="I1080" s="15" t="str">
        <f t="shared" ca="1" si="197"/>
        <v>I2C_Bridge_GPIO</v>
      </c>
      <c r="J1080" s="15" t="str">
        <f t="shared" ca="1" si="187"/>
        <v>I2C_Bridge_GPIO!A83</v>
      </c>
      <c r="K1080" s="15" t="str">
        <f t="shared" ca="1" si="188"/>
        <v>I2C_Bridge_GPIO!B83</v>
      </c>
    </row>
    <row r="1081" spans="1:16" x14ac:dyDescent="0.25">
      <c r="A1081" s="3" t="str">
        <f t="shared" ca="1" si="189"/>
        <v/>
      </c>
      <c r="G1081" s="15">
        <f t="shared" ca="1" si="196"/>
        <v>84</v>
      </c>
      <c r="H1081" s="15">
        <v>1</v>
      </c>
      <c r="I1081" s="15" t="str">
        <f t="shared" ca="1" si="197"/>
        <v>I2C_Bridge_GPIO</v>
      </c>
      <c r="J1081" s="15" t="str">
        <f t="shared" ca="1" si="187"/>
        <v>I2C_Bridge_GPIO!A84</v>
      </c>
      <c r="K1081" s="15" t="str">
        <f t="shared" ca="1" si="188"/>
        <v>I2C_Bridge_GPIO!B84</v>
      </c>
    </row>
    <row r="1082" spans="1:16" x14ac:dyDescent="0.25">
      <c r="A1082" s="3" t="str">
        <f t="shared" ca="1" si="189"/>
        <v/>
      </c>
      <c r="G1082" s="15">
        <f t="shared" ca="1" si="196"/>
        <v>85</v>
      </c>
      <c r="H1082" s="15">
        <v>1</v>
      </c>
      <c r="I1082" s="15" t="str">
        <f t="shared" ca="1" si="197"/>
        <v>I2C_Bridge_GPIO</v>
      </c>
      <c r="J1082" s="15" t="str">
        <f t="shared" ca="1" si="187"/>
        <v>I2C_Bridge_GPIO!A85</v>
      </c>
      <c r="K1082" s="15" t="str">
        <f t="shared" ca="1" si="188"/>
        <v>I2C_Bridge_GPIO!B85</v>
      </c>
    </row>
    <row r="1083" spans="1:16" x14ac:dyDescent="0.25">
      <c r="A1083" s="3" t="str">
        <f t="shared" ca="1" si="189"/>
        <v/>
      </c>
      <c r="G1083" s="15">
        <f t="shared" ca="1" si="196"/>
        <v>86</v>
      </c>
      <c r="H1083" s="15">
        <v>1</v>
      </c>
      <c r="I1083" s="15" t="str">
        <f t="shared" ca="1" si="197"/>
        <v>I2C_Bridge_GPIO</v>
      </c>
      <c r="J1083" s="15" t="str">
        <f t="shared" ca="1" si="187"/>
        <v>I2C_Bridge_GPIO!A86</v>
      </c>
      <c r="K1083" s="15" t="str">
        <f t="shared" ca="1" si="188"/>
        <v>I2C_Bridge_GPIO!B86</v>
      </c>
    </row>
    <row r="1084" spans="1:16" x14ac:dyDescent="0.25">
      <c r="A1084" s="3" t="str">
        <f t="shared" ca="1" si="189"/>
        <v/>
      </c>
      <c r="G1084" s="15">
        <f t="shared" ca="1" si="196"/>
        <v>87</v>
      </c>
      <c r="H1084" s="15">
        <v>1</v>
      </c>
      <c r="I1084" s="15" t="str">
        <f t="shared" ca="1" si="197"/>
        <v>I2C_Bridge_GPIO</v>
      </c>
      <c r="J1084" s="15" t="str">
        <f t="shared" ca="1" si="187"/>
        <v>I2C_Bridge_GPIO!A87</v>
      </c>
      <c r="K1084" s="15" t="str">
        <f t="shared" ca="1" si="188"/>
        <v>I2C_Bridge_GPIO!B87</v>
      </c>
    </row>
    <row r="1085" spans="1:16" x14ac:dyDescent="0.25">
      <c r="A1085" s="3" t="str">
        <f t="shared" ca="1" si="189"/>
        <v/>
      </c>
      <c r="G1085" s="15">
        <f t="shared" ca="1" si="196"/>
        <v>88</v>
      </c>
      <c r="H1085" s="15">
        <v>1</v>
      </c>
      <c r="I1085" s="15" t="str">
        <f t="shared" ca="1" si="197"/>
        <v>I2C_Bridge_GPIO</v>
      </c>
      <c r="J1085" s="15" t="str">
        <f t="shared" ca="1" si="187"/>
        <v>I2C_Bridge_GPIO!A88</v>
      </c>
      <c r="K1085" s="15" t="str">
        <f t="shared" ca="1" si="188"/>
        <v>I2C_Bridge_GPIO!B88</v>
      </c>
    </row>
    <row r="1086" spans="1:16" x14ac:dyDescent="0.25">
      <c r="A1086" s="3" t="str">
        <f t="shared" ca="1" si="189"/>
        <v/>
      </c>
      <c r="G1086" s="15">
        <f t="shared" ca="1" si="196"/>
        <v>89</v>
      </c>
      <c r="H1086" s="15">
        <v>1</v>
      </c>
      <c r="I1086" s="15" t="str">
        <f t="shared" ca="1" si="197"/>
        <v>I2C_Bridge_GPIO</v>
      </c>
      <c r="J1086" s="15" t="str">
        <f t="shared" ca="1" si="187"/>
        <v>I2C_Bridge_GPIO!A89</v>
      </c>
      <c r="K1086" s="15" t="str">
        <f t="shared" ca="1" si="188"/>
        <v>I2C_Bridge_GPIO!B89</v>
      </c>
    </row>
    <row r="1087" spans="1:16" x14ac:dyDescent="0.25">
      <c r="A1087" s="3" t="str">
        <f t="shared" ca="1" si="189"/>
        <v/>
      </c>
      <c r="G1087" s="15">
        <f t="shared" ca="1" si="196"/>
        <v>90</v>
      </c>
      <c r="H1087" s="15">
        <v>1</v>
      </c>
      <c r="I1087" s="15" t="str">
        <f t="shared" ca="1" si="197"/>
        <v>I2C_Bridge_GPIO</v>
      </c>
      <c r="J1087" s="15" t="str">
        <f t="shared" ca="1" si="187"/>
        <v>I2C_Bridge_GPIO!A90</v>
      </c>
      <c r="K1087" s="15" t="str">
        <f t="shared" ca="1" si="188"/>
        <v>I2C_Bridge_GPIO!B90</v>
      </c>
    </row>
    <row r="1088" spans="1:16" x14ac:dyDescent="0.25">
      <c r="A1088" s="3" t="str">
        <f t="shared" ca="1" si="189"/>
        <v xml:space="preserve">#I2C_Expander_11:etap 5- Karty =  </v>
      </c>
      <c r="G1088" s="15">
        <f t="shared" ref="G1088" ca="1" si="198">INDIRECT(M1088)</f>
        <v>131</v>
      </c>
      <c r="H1088" s="15">
        <v>1</v>
      </c>
      <c r="I1088" s="15" t="str">
        <f t="shared" ref="I1088" ca="1" si="199">INDIRECT(N1088)</f>
        <v>I2C_Expander_11</v>
      </c>
      <c r="J1088" s="15" t="str">
        <f t="shared" ca="1" si="187"/>
        <v>I2C_Expander_11!A131</v>
      </c>
      <c r="K1088" s="15" t="str">
        <f t="shared" ca="1" si="188"/>
        <v>I2C_Expander_11!B131</v>
      </c>
      <c r="M1088" s="15" t="str">
        <f t="shared" ref="M1088" si="200">ADDRESS(O1088,3,4,1,$R$1)</f>
        <v>konfig!C56</v>
      </c>
      <c r="N1088" s="15" t="str">
        <f t="shared" ref="N1088" si="201">ADDRESS(O1088,1,4,1,$R$1)</f>
        <v>konfig!A56</v>
      </c>
      <c r="O1088" s="15">
        <v>56</v>
      </c>
      <c r="P1088" s="15">
        <v>4</v>
      </c>
    </row>
    <row r="1089" spans="1:11" x14ac:dyDescent="0.25">
      <c r="A1089" s="3" t="str">
        <f t="shared" ca="1" si="189"/>
        <v xml:space="preserve">device = MCP23017 </v>
      </c>
      <c r="G1089" s="15">
        <f t="shared" ca="1" si="185"/>
        <v>132</v>
      </c>
      <c r="H1089" s="15">
        <v>1</v>
      </c>
      <c r="I1089" s="15" t="str">
        <f t="shared" ca="1" si="186"/>
        <v>I2C_Expander_11</v>
      </c>
      <c r="J1089" s="15" t="str">
        <f t="shared" ca="1" si="187"/>
        <v>I2C_Expander_11!A132</v>
      </c>
      <c r="K1089" s="15" t="str">
        <f t="shared" ca="1" si="188"/>
        <v>I2C_Expander_11!B132</v>
      </c>
    </row>
    <row r="1090" spans="1:11" x14ac:dyDescent="0.25">
      <c r="A1090" s="3" t="str">
        <f t="shared" ca="1" si="189"/>
        <v xml:space="preserve">i2c_addr = 0x21 </v>
      </c>
      <c r="G1090" s="15">
        <f t="shared" ca="1" si="185"/>
        <v>133</v>
      </c>
      <c r="H1090" s="15">
        <v>1</v>
      </c>
      <c r="I1090" s="15" t="str">
        <f t="shared" ca="1" si="186"/>
        <v>I2C_Expander_11</v>
      </c>
      <c r="J1090" s="15" t="str">
        <f t="shared" ca="1" si="187"/>
        <v>I2C_Expander_11!A133</v>
      </c>
      <c r="K1090" s="15" t="str">
        <f t="shared" ca="1" si="188"/>
        <v>I2C_Expander_11!B133</v>
      </c>
    </row>
    <row r="1091" spans="1:11" x14ac:dyDescent="0.25">
      <c r="A1091" s="3" t="str">
        <f t="shared" ca="1" si="189"/>
        <v xml:space="preserve">i2c_num = /dev/i2c-1 </v>
      </c>
      <c r="C1091" s="16"/>
      <c r="G1091" s="15">
        <f t="shared" ca="1" si="185"/>
        <v>134</v>
      </c>
      <c r="H1091" s="15">
        <v>1</v>
      </c>
      <c r="I1091" s="15" t="str">
        <f t="shared" ca="1" si="186"/>
        <v>I2C_Expander_11</v>
      </c>
      <c r="J1091" s="15" t="str">
        <f t="shared" ca="1" si="187"/>
        <v>I2C_Expander_11!A134</v>
      </c>
      <c r="K1091" s="15" t="str">
        <f t="shared" ca="1" si="188"/>
        <v>I2C_Expander_11!B134</v>
      </c>
    </row>
    <row r="1092" spans="1:11" x14ac:dyDescent="0.25">
      <c r="A1092" s="3" t="str">
        <f t="shared" ca="1" si="189"/>
        <v xml:space="preserve">pins_mode = 0x7450 </v>
      </c>
      <c r="G1092" s="15">
        <f t="shared" ca="1" si="185"/>
        <v>135</v>
      </c>
      <c r="H1092" s="15">
        <v>1</v>
      </c>
      <c r="I1092" s="15" t="str">
        <f t="shared" ca="1" si="186"/>
        <v>I2C_Expander_11</v>
      </c>
      <c r="J1092" s="15" t="str">
        <f t="shared" ca="1" si="187"/>
        <v>I2C_Expander_11!A135</v>
      </c>
      <c r="K1092" s="15" t="str">
        <f t="shared" ca="1" si="188"/>
        <v>I2C_Expander_11!B135</v>
      </c>
    </row>
    <row r="1093" spans="1:11" x14ac:dyDescent="0.25">
      <c r="A1093" s="3" t="str">
        <f t="shared" ca="1" si="189"/>
        <v xml:space="preserve">pins_state = 0x0BA7 </v>
      </c>
      <c r="G1093" s="15">
        <f t="shared" ca="1" si="196"/>
        <v>136</v>
      </c>
      <c r="H1093" s="15">
        <v>1</v>
      </c>
      <c r="I1093" s="15" t="str">
        <f t="shared" ca="1" si="197"/>
        <v>I2C_Expander_11</v>
      </c>
      <c r="J1093" s="15" t="str">
        <f t="shared" ca="1" si="187"/>
        <v>I2C_Expander_11!A136</v>
      </c>
      <c r="K1093" s="15" t="str">
        <f t="shared" ca="1" si="188"/>
        <v>I2C_Expander_11!B136</v>
      </c>
    </row>
    <row r="1094" spans="1:11" x14ac:dyDescent="0.25">
      <c r="A1094" s="3" t="str">
        <f t="shared" ca="1" si="189"/>
        <v xml:space="preserve">pins_pull_up = 0x0000 </v>
      </c>
      <c r="G1094" s="15">
        <f t="shared" ca="1" si="196"/>
        <v>137</v>
      </c>
      <c r="H1094" s="15">
        <v>1</v>
      </c>
      <c r="I1094" s="15" t="str">
        <f t="shared" ca="1" si="197"/>
        <v>I2C_Expander_11</v>
      </c>
      <c r="J1094" s="15" t="str">
        <f t="shared" ca="1" si="187"/>
        <v>I2C_Expander_11!A137</v>
      </c>
      <c r="K1094" s="15" t="str">
        <f t="shared" ca="1" si="188"/>
        <v>I2C_Expander_11!B137</v>
      </c>
    </row>
    <row r="1095" spans="1:11" x14ac:dyDescent="0.25">
      <c r="A1095" s="3" t="str">
        <f t="shared" ca="1" si="189"/>
        <v xml:space="preserve">#pins_int = 0x0000 </v>
      </c>
      <c r="G1095" s="15">
        <f t="shared" ca="1" si="196"/>
        <v>138</v>
      </c>
      <c r="H1095" s="15">
        <v>1</v>
      </c>
      <c r="I1095" s="15" t="str">
        <f t="shared" ca="1" si="197"/>
        <v>I2C_Expander_11</v>
      </c>
      <c r="J1095" s="15" t="str">
        <f t="shared" ca="1" si="187"/>
        <v>I2C_Expander_11!A138</v>
      </c>
      <c r="K1095" s="15" t="str">
        <f t="shared" ca="1" si="188"/>
        <v>I2C_Expander_11!B138</v>
      </c>
    </row>
    <row r="1096" spans="1:11" x14ac:dyDescent="0.25">
      <c r="A1096" s="3" t="str">
        <f t="shared" ca="1" si="189"/>
        <v xml:space="preserve">#pins_def_val = 0x0000 </v>
      </c>
      <c r="G1096" s="15">
        <f t="shared" ca="1" si="196"/>
        <v>139</v>
      </c>
      <c r="H1096" s="15">
        <v>1</v>
      </c>
      <c r="I1096" s="15" t="str">
        <f t="shared" ca="1" si="197"/>
        <v>I2C_Expander_11</v>
      </c>
      <c r="J1096" s="15" t="str">
        <f t="shared" ca="1" si="187"/>
        <v>I2C_Expander_11!A139</v>
      </c>
      <c r="K1096" s="15" t="str">
        <f t="shared" ca="1" si="188"/>
        <v>I2C_Expander_11!B139</v>
      </c>
    </row>
    <row r="1097" spans="1:11" x14ac:dyDescent="0.25">
      <c r="A1097" s="3" t="str">
        <f t="shared" ca="1" si="189"/>
        <v/>
      </c>
      <c r="G1097" s="15">
        <f t="shared" ca="1" si="196"/>
        <v>140</v>
      </c>
      <c r="H1097" s="15">
        <v>1</v>
      </c>
      <c r="I1097" s="15" t="str">
        <f t="shared" ca="1" si="197"/>
        <v>I2C_Expander_11</v>
      </c>
      <c r="J1097" s="15" t="str">
        <f t="shared" ca="1" si="187"/>
        <v>I2C_Expander_11!A140</v>
      </c>
      <c r="K1097" s="15" t="str">
        <f t="shared" ca="1" si="188"/>
        <v>I2C_Expander_11!B140</v>
      </c>
    </row>
    <row r="1098" spans="1:11" x14ac:dyDescent="0.25">
      <c r="A1098" s="3" t="str">
        <f t="shared" ca="1" si="189"/>
        <v xml:space="preserve">#pins_int = 10 </v>
      </c>
      <c r="G1098" s="15">
        <f t="shared" ca="1" si="196"/>
        <v>141</v>
      </c>
      <c r="H1098" s="15">
        <v>1</v>
      </c>
      <c r="I1098" s="15" t="str">
        <f t="shared" ca="1" si="197"/>
        <v>I2C_Expander_11</v>
      </c>
      <c r="J1098" s="15" t="str">
        <f t="shared" ca="1" si="187"/>
        <v>I2C_Expander_11!A141</v>
      </c>
      <c r="K1098" s="15" t="str">
        <f t="shared" ca="1" si="188"/>
        <v>I2C_Expander_11!B141</v>
      </c>
    </row>
    <row r="1099" spans="1:11" x14ac:dyDescent="0.25">
      <c r="A1099" s="3" t="str">
        <f t="shared" ca="1" si="189"/>
        <v/>
      </c>
      <c r="C1099" s="16"/>
      <c r="G1099" s="15">
        <f t="shared" ca="1" si="196"/>
        <v>142</v>
      </c>
      <c r="H1099" s="15">
        <v>1</v>
      </c>
      <c r="I1099" s="15" t="str">
        <f t="shared" ca="1" si="197"/>
        <v>I2C_Expander_11</v>
      </c>
      <c r="J1099" s="15" t="str">
        <f t="shared" ca="1" si="187"/>
        <v>I2C_Expander_11!A142</v>
      </c>
      <c r="K1099" s="15" t="str">
        <f t="shared" ca="1" si="188"/>
        <v>I2C_Expander_11!B142</v>
      </c>
    </row>
    <row r="1100" spans="1:11" x14ac:dyDescent="0.25">
      <c r="A1100" s="3" t="str">
        <f t="shared" ca="1" si="189"/>
        <v/>
      </c>
      <c r="G1100" s="15">
        <f t="shared" ca="1" si="196"/>
        <v>143</v>
      </c>
      <c r="H1100" s="15">
        <v>1</v>
      </c>
      <c r="I1100" s="15" t="str">
        <f t="shared" ca="1" si="197"/>
        <v>I2C_Expander_11</v>
      </c>
      <c r="J1100" s="15" t="str">
        <f t="shared" ca="1" si="187"/>
        <v>I2C_Expander_11!A143</v>
      </c>
      <c r="K1100" s="15" t="str">
        <f t="shared" ca="1" si="188"/>
        <v>I2C_Expander_11!B143</v>
      </c>
    </row>
    <row r="1101" spans="1:11" x14ac:dyDescent="0.25">
      <c r="A1101" s="3" t="str">
        <f t="shared" ca="1" si="189"/>
        <v/>
      </c>
      <c r="G1101" s="15">
        <f t="shared" ca="1" si="196"/>
        <v>144</v>
      </c>
      <c r="H1101" s="15">
        <v>1</v>
      </c>
      <c r="I1101" s="15" t="str">
        <f t="shared" ca="1" si="197"/>
        <v>I2C_Expander_11</v>
      </c>
      <c r="J1101" s="15" t="str">
        <f t="shared" ca="1" si="187"/>
        <v>I2C_Expander_11!A144</v>
      </c>
      <c r="K1101" s="15" t="str">
        <f t="shared" ca="1" si="188"/>
        <v>I2C_Expander_11!B144</v>
      </c>
    </row>
    <row r="1102" spans="1:11" x14ac:dyDescent="0.25">
      <c r="A1102" s="3" t="str">
        <f t="shared" ca="1" si="189"/>
        <v/>
      </c>
      <c r="G1102" s="15">
        <f t="shared" ca="1" si="196"/>
        <v>145</v>
      </c>
      <c r="H1102" s="15">
        <v>1</v>
      </c>
      <c r="I1102" s="15" t="str">
        <f t="shared" ca="1" si="197"/>
        <v>I2C_Expander_11</v>
      </c>
      <c r="J1102" s="15" t="str">
        <f t="shared" ca="1" si="187"/>
        <v>I2C_Expander_11!A145</v>
      </c>
      <c r="K1102" s="15" t="str">
        <f t="shared" ca="1" si="188"/>
        <v>I2C_Expander_11!B145</v>
      </c>
    </row>
    <row r="1103" spans="1:11" x14ac:dyDescent="0.25">
      <c r="A1103" s="3" t="str">
        <f t="shared" ca="1" si="189"/>
        <v/>
      </c>
      <c r="G1103" s="15">
        <f t="shared" ca="1" si="196"/>
        <v>146</v>
      </c>
      <c r="H1103" s="15">
        <v>1</v>
      </c>
      <c r="I1103" s="15" t="str">
        <f t="shared" ca="1" si="197"/>
        <v>I2C_Expander_11</v>
      </c>
      <c r="J1103" s="15" t="str">
        <f t="shared" ca="1" si="187"/>
        <v>I2C_Expander_11!A146</v>
      </c>
      <c r="K1103" s="15" t="str">
        <f t="shared" ca="1" si="188"/>
        <v>I2C_Expander_11!B146</v>
      </c>
    </row>
    <row r="1104" spans="1:11" x14ac:dyDescent="0.25">
      <c r="A1104" s="3" t="str">
        <f t="shared" ca="1" si="189"/>
        <v/>
      </c>
      <c r="G1104" s="15">
        <f t="shared" ca="1" si="196"/>
        <v>147</v>
      </c>
      <c r="H1104" s="15">
        <v>1</v>
      </c>
      <c r="I1104" s="15" t="str">
        <f t="shared" ca="1" si="197"/>
        <v>I2C_Expander_11</v>
      </c>
      <c r="J1104" s="15" t="str">
        <f t="shared" ca="1" si="187"/>
        <v>I2C_Expander_11!A147</v>
      </c>
      <c r="K1104" s="15" t="str">
        <f t="shared" ca="1" si="188"/>
        <v>I2C_Expander_11!B147</v>
      </c>
    </row>
    <row r="1105" spans="1:16" x14ac:dyDescent="0.25">
      <c r="A1105" s="3" t="str">
        <f t="shared" ca="1" si="189"/>
        <v/>
      </c>
      <c r="G1105" s="15">
        <f t="shared" ca="1" si="196"/>
        <v>148</v>
      </c>
      <c r="H1105" s="15">
        <v>1</v>
      </c>
      <c r="I1105" s="15" t="str">
        <f t="shared" ca="1" si="197"/>
        <v>I2C_Expander_11</v>
      </c>
      <c r="J1105" s="15" t="str">
        <f t="shared" ca="1" si="187"/>
        <v>I2C_Expander_11!A148</v>
      </c>
      <c r="K1105" s="15" t="str">
        <f t="shared" ca="1" si="188"/>
        <v>I2C_Expander_11!B148</v>
      </c>
    </row>
    <row r="1106" spans="1:16" x14ac:dyDescent="0.25">
      <c r="A1106" s="3" t="str">
        <f t="shared" ca="1" si="189"/>
        <v/>
      </c>
      <c r="G1106" s="15">
        <f t="shared" ca="1" si="196"/>
        <v>149</v>
      </c>
      <c r="H1106" s="15">
        <v>1</v>
      </c>
      <c r="I1106" s="15" t="str">
        <f t="shared" ca="1" si="197"/>
        <v>I2C_Expander_11</v>
      </c>
      <c r="J1106" s="15" t="str">
        <f t="shared" ca="1" si="187"/>
        <v>I2C_Expander_11!A149</v>
      </c>
      <c r="K1106" s="15" t="str">
        <f t="shared" ca="1" si="188"/>
        <v>I2C_Expander_11!B149</v>
      </c>
    </row>
    <row r="1107" spans="1:16" x14ac:dyDescent="0.25">
      <c r="A1107" s="3" t="str">
        <f t="shared" ca="1" si="189"/>
        <v/>
      </c>
      <c r="G1107" s="15">
        <f t="shared" ca="1" si="196"/>
        <v>150</v>
      </c>
      <c r="H1107" s="15">
        <v>1</v>
      </c>
      <c r="I1107" s="15" t="str">
        <f t="shared" ca="1" si="197"/>
        <v>I2C_Expander_11</v>
      </c>
      <c r="J1107" s="15" t="str">
        <f t="shared" ca="1" si="187"/>
        <v>I2C_Expander_11!A150</v>
      </c>
      <c r="K1107" s="15" t="str">
        <f t="shared" ca="1" si="188"/>
        <v>I2C_Expander_11!B150</v>
      </c>
    </row>
    <row r="1108" spans="1:16" x14ac:dyDescent="0.25">
      <c r="A1108" s="3" t="str">
        <f t="shared" ca="1" si="189"/>
        <v xml:space="preserve">#I2C_Bridge_SFP:I2C_Expander SFP =  </v>
      </c>
      <c r="G1108" s="15">
        <f t="shared" ref="G1108" ca="1" si="202">INDIRECT(M1108)</f>
        <v>71</v>
      </c>
      <c r="H1108" s="15">
        <v>1</v>
      </c>
      <c r="I1108" s="15" t="str">
        <f t="shared" ref="I1108" ca="1" si="203">INDIRECT(N1108)</f>
        <v>I2C_Bridge_SFP</v>
      </c>
      <c r="J1108" s="15" t="str">
        <f t="shared" ca="1" si="187"/>
        <v>I2C_Bridge_SFP!A71</v>
      </c>
      <c r="K1108" s="15" t="str">
        <f t="shared" ca="1" si="188"/>
        <v>I2C_Bridge_SFP!B71</v>
      </c>
      <c r="M1108" s="15" t="str">
        <f t="shared" ref="M1108" si="204">ADDRESS(O1108,3,4,1,$R$1)</f>
        <v>konfig!C57</v>
      </c>
      <c r="N1108" s="15" t="str">
        <f t="shared" ref="N1108" si="205">ADDRESS(O1108,1,4,1,$R$1)</f>
        <v>konfig!A57</v>
      </c>
      <c r="O1108" s="15">
        <v>57</v>
      </c>
      <c r="P1108" s="15">
        <v>4</v>
      </c>
    </row>
    <row r="1109" spans="1:16" x14ac:dyDescent="0.25">
      <c r="A1109" s="3" t="str">
        <f t="shared" ca="1" si="189"/>
        <v xml:space="preserve">device = TCA9548 </v>
      </c>
      <c r="G1109" s="15">
        <f t="shared" ca="1" si="194"/>
        <v>72</v>
      </c>
      <c r="H1109" s="15">
        <v>1</v>
      </c>
      <c r="I1109" s="15" t="str">
        <f t="shared" ca="1" si="195"/>
        <v>I2C_Bridge_SFP</v>
      </c>
      <c r="J1109" s="15" t="str">
        <f t="shared" ca="1" si="187"/>
        <v>I2C_Bridge_SFP!A72</v>
      </c>
      <c r="K1109" s="15" t="str">
        <f t="shared" ca="1" si="188"/>
        <v>I2C_Bridge_SFP!B72</v>
      </c>
    </row>
    <row r="1110" spans="1:16" x14ac:dyDescent="0.25">
      <c r="A1110" s="3" t="str">
        <f t="shared" ca="1" si="189"/>
        <v xml:space="preserve">i2c_addr = 0x70 </v>
      </c>
      <c r="G1110" s="15">
        <f t="shared" ca="1" si="196"/>
        <v>73</v>
      </c>
      <c r="H1110" s="15">
        <v>1</v>
      </c>
      <c r="I1110" s="15" t="str">
        <f t="shared" ca="1" si="197"/>
        <v>I2C_Bridge_SFP</v>
      </c>
      <c r="J1110" s="15" t="str">
        <f t="shared" ca="1" si="187"/>
        <v>I2C_Bridge_SFP!A73</v>
      </c>
      <c r="K1110" s="15" t="str">
        <f t="shared" ca="1" si="188"/>
        <v>I2C_Bridge_SFP!B73</v>
      </c>
    </row>
    <row r="1111" spans="1:16" x14ac:dyDescent="0.25">
      <c r="A1111" s="3" t="str">
        <f t="shared" ca="1" si="189"/>
        <v xml:space="preserve">i2c_num = /dev/i2c-1 </v>
      </c>
      <c r="C1111" s="16"/>
      <c r="G1111" s="15">
        <f t="shared" ca="1" si="196"/>
        <v>74</v>
      </c>
      <c r="H1111" s="15">
        <v>1</v>
      </c>
      <c r="I1111" s="15" t="str">
        <f t="shared" ca="1" si="197"/>
        <v>I2C_Bridge_SFP</v>
      </c>
      <c r="J1111" s="15" t="str">
        <f t="shared" ca="1" si="187"/>
        <v>I2C_Bridge_SFP!A74</v>
      </c>
      <c r="K1111" s="15" t="str">
        <f t="shared" ca="1" si="188"/>
        <v>I2C_Bridge_SFP!B74</v>
      </c>
    </row>
    <row r="1112" spans="1:16" x14ac:dyDescent="0.25">
      <c r="A1112" s="3" t="str">
        <f t="shared" ca="1" si="189"/>
        <v xml:space="preserve">ctrl_reg = 0x80 </v>
      </c>
      <c r="G1112" s="15">
        <f t="shared" ca="1" si="196"/>
        <v>75</v>
      </c>
      <c r="H1112" s="15">
        <v>1</v>
      </c>
      <c r="I1112" s="15" t="str">
        <f t="shared" ca="1" si="197"/>
        <v>I2C_Bridge_SFP</v>
      </c>
      <c r="J1112" s="15" t="str">
        <f t="shared" ca="1" si="187"/>
        <v>I2C_Bridge_SFP!A75</v>
      </c>
      <c r="K1112" s="15" t="str">
        <f t="shared" ca="1" si="188"/>
        <v>I2C_Bridge_SFP!B75</v>
      </c>
    </row>
    <row r="1113" spans="1:16" x14ac:dyDescent="0.25">
      <c r="A1113" s="3" t="str">
        <f t="shared" ca="1" si="189"/>
        <v/>
      </c>
      <c r="G1113" s="15">
        <f t="shared" ca="1" si="196"/>
        <v>76</v>
      </c>
      <c r="H1113" s="15">
        <v>1</v>
      </c>
      <c r="I1113" s="15" t="str">
        <f t="shared" ca="1" si="197"/>
        <v>I2C_Bridge_SFP</v>
      </c>
      <c r="J1113" s="15" t="str">
        <f t="shared" ca="1" si="187"/>
        <v>I2C_Bridge_SFP!A76</v>
      </c>
      <c r="K1113" s="15" t="str">
        <f t="shared" ca="1" si="188"/>
        <v>I2C_Bridge_SFP!B76</v>
      </c>
    </row>
    <row r="1114" spans="1:16" x14ac:dyDescent="0.25">
      <c r="A1114" s="3" t="str">
        <f t="shared" ca="1" si="189"/>
        <v xml:space="preserve">time = 11 </v>
      </c>
      <c r="G1114" s="15">
        <f t="shared" ca="1" si="196"/>
        <v>77</v>
      </c>
      <c r="H1114" s="15">
        <v>1</v>
      </c>
      <c r="I1114" s="15" t="str">
        <f t="shared" ca="1" si="197"/>
        <v>I2C_Bridge_SFP</v>
      </c>
      <c r="J1114" s="15" t="str">
        <f t="shared" ca="1" si="187"/>
        <v>I2C_Bridge_SFP!A77</v>
      </c>
      <c r="K1114" s="15" t="str">
        <f t="shared" ca="1" si="188"/>
        <v>I2C_Bridge_SFP!B77</v>
      </c>
    </row>
    <row r="1115" spans="1:16" x14ac:dyDescent="0.25">
      <c r="A1115" s="3" t="str">
        <f t="shared" ca="1" si="189"/>
        <v/>
      </c>
      <c r="G1115" s="15">
        <f t="shared" ca="1" si="196"/>
        <v>78</v>
      </c>
      <c r="H1115" s="15">
        <v>1</v>
      </c>
      <c r="I1115" s="15" t="str">
        <f t="shared" ca="1" si="197"/>
        <v>I2C_Bridge_SFP</v>
      </c>
      <c r="J1115" s="15" t="str">
        <f t="shared" ca="1" si="187"/>
        <v>I2C_Bridge_SFP!A78</v>
      </c>
      <c r="K1115" s="15" t="str">
        <f t="shared" ca="1" si="188"/>
        <v>I2C_Bridge_SFP!B78</v>
      </c>
    </row>
    <row r="1116" spans="1:16" x14ac:dyDescent="0.25">
      <c r="A1116" s="3" t="str">
        <f t="shared" ca="1" si="189"/>
        <v/>
      </c>
      <c r="G1116" s="15">
        <f t="shared" ca="1" si="196"/>
        <v>79</v>
      </c>
      <c r="H1116" s="15">
        <v>1</v>
      </c>
      <c r="I1116" s="15" t="str">
        <f t="shared" ca="1" si="197"/>
        <v>I2C_Bridge_SFP</v>
      </c>
      <c r="J1116" s="15" t="str">
        <f t="shared" ca="1" si="187"/>
        <v>I2C_Bridge_SFP!A79</v>
      </c>
      <c r="K1116" s="15" t="str">
        <f t="shared" ca="1" si="188"/>
        <v>I2C_Bridge_SFP!B79</v>
      </c>
    </row>
    <row r="1117" spans="1:16" x14ac:dyDescent="0.25">
      <c r="A1117" s="3" t="str">
        <f t="shared" ca="1" si="189"/>
        <v/>
      </c>
      <c r="G1117" s="15">
        <f t="shared" ca="1" si="196"/>
        <v>80</v>
      </c>
      <c r="H1117" s="15">
        <v>1</v>
      </c>
      <c r="I1117" s="15" t="str">
        <f t="shared" ca="1" si="197"/>
        <v>I2C_Bridge_SFP</v>
      </c>
      <c r="J1117" s="15" t="str">
        <f t="shared" ca="1" si="187"/>
        <v>I2C_Bridge_SFP!A80</v>
      </c>
      <c r="K1117" s="15" t="str">
        <f t="shared" ca="1" si="188"/>
        <v>I2C_Bridge_SFP!B80</v>
      </c>
    </row>
    <row r="1118" spans="1:16" x14ac:dyDescent="0.25">
      <c r="A1118" s="3" t="str">
        <f t="shared" ca="1" si="189"/>
        <v/>
      </c>
      <c r="G1118" s="15">
        <f t="shared" ca="1" si="196"/>
        <v>81</v>
      </c>
      <c r="H1118" s="15">
        <v>1</v>
      </c>
      <c r="I1118" s="15" t="str">
        <f t="shared" ca="1" si="197"/>
        <v>I2C_Bridge_SFP</v>
      </c>
      <c r="J1118" s="15" t="str">
        <f t="shared" ca="1" si="187"/>
        <v>I2C_Bridge_SFP!A81</v>
      </c>
      <c r="K1118" s="15" t="str">
        <f t="shared" ca="1" si="188"/>
        <v>I2C_Bridge_SFP!B81</v>
      </c>
    </row>
    <row r="1119" spans="1:16" x14ac:dyDescent="0.25">
      <c r="A1119" s="3" t="str">
        <f t="shared" ca="1" si="189"/>
        <v/>
      </c>
      <c r="C1119" s="16"/>
      <c r="G1119" s="15">
        <f t="shared" ca="1" si="196"/>
        <v>82</v>
      </c>
      <c r="H1119" s="15">
        <v>1</v>
      </c>
      <c r="I1119" s="15" t="str">
        <f t="shared" ca="1" si="197"/>
        <v>I2C_Bridge_SFP</v>
      </c>
      <c r="J1119" s="15" t="str">
        <f t="shared" ca="1" si="187"/>
        <v>I2C_Bridge_SFP!A82</v>
      </c>
      <c r="K1119" s="15" t="str">
        <f t="shared" ca="1" si="188"/>
        <v>I2C_Bridge_SFP!B82</v>
      </c>
    </row>
    <row r="1120" spans="1:16" x14ac:dyDescent="0.25">
      <c r="A1120" s="3" t="str">
        <f t="shared" ca="1" si="189"/>
        <v/>
      </c>
      <c r="G1120" s="15">
        <f t="shared" ca="1" si="196"/>
        <v>83</v>
      </c>
      <c r="H1120" s="15">
        <v>1</v>
      </c>
      <c r="I1120" s="15" t="str">
        <f t="shared" ca="1" si="197"/>
        <v>I2C_Bridge_SFP</v>
      </c>
      <c r="J1120" s="15" t="str">
        <f t="shared" ca="1" si="187"/>
        <v>I2C_Bridge_SFP!A83</v>
      </c>
      <c r="K1120" s="15" t="str">
        <f t="shared" ca="1" si="188"/>
        <v>I2C_Bridge_SFP!B83</v>
      </c>
    </row>
    <row r="1121" spans="1:16" x14ac:dyDescent="0.25">
      <c r="A1121" s="3" t="str">
        <f t="shared" ca="1" si="189"/>
        <v/>
      </c>
      <c r="G1121" s="15">
        <f t="shared" ca="1" si="196"/>
        <v>84</v>
      </c>
      <c r="H1121" s="15">
        <v>1</v>
      </c>
      <c r="I1121" s="15" t="str">
        <f t="shared" ca="1" si="197"/>
        <v>I2C_Bridge_SFP</v>
      </c>
      <c r="J1121" s="15" t="str">
        <f t="shared" ca="1" si="187"/>
        <v>I2C_Bridge_SFP!A84</v>
      </c>
      <c r="K1121" s="15" t="str">
        <f t="shared" ca="1" si="188"/>
        <v>I2C_Bridge_SFP!B84</v>
      </c>
    </row>
    <row r="1122" spans="1:16" x14ac:dyDescent="0.25">
      <c r="A1122" s="3" t="str">
        <f t="shared" ca="1" si="189"/>
        <v/>
      </c>
      <c r="G1122" s="15">
        <f t="shared" ca="1" si="196"/>
        <v>85</v>
      </c>
      <c r="H1122" s="15">
        <v>1</v>
      </c>
      <c r="I1122" s="15" t="str">
        <f t="shared" ca="1" si="197"/>
        <v>I2C_Bridge_SFP</v>
      </c>
      <c r="J1122" s="15" t="str">
        <f t="shared" ca="1" si="187"/>
        <v>I2C_Bridge_SFP!A85</v>
      </c>
      <c r="K1122" s="15" t="str">
        <f t="shared" ca="1" si="188"/>
        <v>I2C_Bridge_SFP!B85</v>
      </c>
    </row>
    <row r="1123" spans="1:16" x14ac:dyDescent="0.25">
      <c r="A1123" s="3" t="str">
        <f t="shared" ca="1" si="189"/>
        <v/>
      </c>
      <c r="G1123" s="15">
        <f t="shared" ca="1" si="196"/>
        <v>86</v>
      </c>
      <c r="H1123" s="15">
        <v>1</v>
      </c>
      <c r="I1123" s="15" t="str">
        <f t="shared" ca="1" si="197"/>
        <v>I2C_Bridge_SFP</v>
      </c>
      <c r="J1123" s="15" t="str">
        <f t="shared" ca="1" si="187"/>
        <v>I2C_Bridge_SFP!A86</v>
      </c>
      <c r="K1123" s="15" t="str">
        <f t="shared" ca="1" si="188"/>
        <v>I2C_Bridge_SFP!B86</v>
      </c>
    </row>
    <row r="1124" spans="1:16" x14ac:dyDescent="0.25">
      <c r="A1124" s="3" t="str">
        <f t="shared" ca="1" si="189"/>
        <v/>
      </c>
      <c r="G1124" s="15">
        <f t="shared" ca="1" si="196"/>
        <v>87</v>
      </c>
      <c r="H1124" s="15">
        <v>1</v>
      </c>
      <c r="I1124" s="15" t="str">
        <f t="shared" ca="1" si="197"/>
        <v>I2C_Bridge_SFP</v>
      </c>
      <c r="J1124" s="15" t="str">
        <f t="shared" ref="J1124:J1187" ca="1" si="206">ADDRESS(G1124,H1124,4,1,I1124)</f>
        <v>I2C_Bridge_SFP!A87</v>
      </c>
      <c r="K1124" s="15" t="str">
        <f t="shared" ref="K1124:K1187" ca="1" si="207">ADDRESS(G1124,H1124+1,4,1,I1124)</f>
        <v>I2C_Bridge_SFP!B87</v>
      </c>
    </row>
    <row r="1125" spans="1:16" x14ac:dyDescent="0.25">
      <c r="A1125" s="3" t="str">
        <f t="shared" ca="1" si="189"/>
        <v/>
      </c>
      <c r="G1125" s="15">
        <f t="shared" ca="1" si="196"/>
        <v>88</v>
      </c>
      <c r="H1125" s="15">
        <v>1</v>
      </c>
      <c r="I1125" s="15" t="str">
        <f t="shared" ca="1" si="197"/>
        <v>I2C_Bridge_SFP</v>
      </c>
      <c r="J1125" s="15" t="str">
        <f t="shared" ca="1" si="206"/>
        <v>I2C_Bridge_SFP!A88</v>
      </c>
      <c r="K1125" s="15" t="str">
        <f t="shared" ca="1" si="207"/>
        <v>I2C_Bridge_SFP!B88</v>
      </c>
    </row>
    <row r="1126" spans="1:16" x14ac:dyDescent="0.25">
      <c r="A1126" s="3" t="str">
        <f t="shared" ca="1" si="189"/>
        <v/>
      </c>
      <c r="G1126" s="15">
        <f t="shared" ca="1" si="196"/>
        <v>89</v>
      </c>
      <c r="H1126" s="15">
        <v>1</v>
      </c>
      <c r="I1126" s="15" t="str">
        <f t="shared" ca="1" si="197"/>
        <v>I2C_Bridge_SFP</v>
      </c>
      <c r="J1126" s="15" t="str">
        <f t="shared" ca="1" si="206"/>
        <v>I2C_Bridge_SFP!A89</v>
      </c>
      <c r="K1126" s="15" t="str">
        <f t="shared" ca="1" si="207"/>
        <v>I2C_Bridge_SFP!B89</v>
      </c>
    </row>
    <row r="1127" spans="1:16" x14ac:dyDescent="0.25">
      <c r="A1127" s="3" t="str">
        <f t="shared" ca="1" si="189"/>
        <v/>
      </c>
      <c r="G1127" s="15">
        <f t="shared" ca="1" si="196"/>
        <v>90</v>
      </c>
      <c r="H1127" s="15">
        <v>1</v>
      </c>
      <c r="I1127" s="15" t="str">
        <f t="shared" ca="1" si="197"/>
        <v>I2C_Bridge_SFP</v>
      </c>
      <c r="J1127" s="15" t="str">
        <f t="shared" ca="1" si="206"/>
        <v>I2C_Bridge_SFP!A90</v>
      </c>
      <c r="K1127" s="15" t="str">
        <f t="shared" ca="1" si="207"/>
        <v>I2C_Bridge_SFP!B90</v>
      </c>
    </row>
    <row r="1128" spans="1:16" x14ac:dyDescent="0.25">
      <c r="A1128" s="3" t="str">
        <f t="shared" ca="1" si="189"/>
        <v xml:space="preserve">#I2C_Expander_SFP:etap 2 - SFP tx enable =  </v>
      </c>
      <c r="G1128" s="15">
        <f t="shared" ref="G1128" ca="1" si="208">INDIRECT(M1128)</f>
        <v>71</v>
      </c>
      <c r="H1128" s="15">
        <v>1</v>
      </c>
      <c r="I1128" s="15" t="str">
        <f t="shared" ref="I1128" ca="1" si="209">INDIRECT(N1128)</f>
        <v>I2C_Expander_SFP</v>
      </c>
      <c r="J1128" s="15" t="str">
        <f t="shared" ca="1" si="206"/>
        <v>I2C_Expander_SFP!A71</v>
      </c>
      <c r="K1128" s="15" t="str">
        <f t="shared" ca="1" si="207"/>
        <v>I2C_Expander_SFP!B71</v>
      </c>
      <c r="M1128" s="15" t="str">
        <f t="shared" ref="M1128" si="210">ADDRESS(O1128,3,4,1,$R$1)</f>
        <v>konfig!C58</v>
      </c>
      <c r="N1128" s="15" t="str">
        <f t="shared" ref="N1128" si="211">ADDRESS(O1128,1,4,1,$R$1)</f>
        <v>konfig!A58</v>
      </c>
      <c r="O1128" s="15">
        <v>58</v>
      </c>
      <c r="P1128" s="15">
        <v>4</v>
      </c>
    </row>
    <row r="1129" spans="1:16" x14ac:dyDescent="0.25">
      <c r="A1129" s="3" t="str">
        <f t="shared" ca="1" si="189"/>
        <v xml:space="preserve">device = MCP23017 </v>
      </c>
      <c r="G1129" s="15">
        <f t="shared" ref="G1129:G1172" ca="1" si="212">G1128+1</f>
        <v>72</v>
      </c>
      <c r="H1129" s="15">
        <v>1</v>
      </c>
      <c r="I1129" s="15" t="str">
        <f t="shared" ref="I1129:I1172" ca="1" si="213">I1128</f>
        <v>I2C_Expander_SFP</v>
      </c>
      <c r="J1129" s="15" t="str">
        <f t="shared" ca="1" si="206"/>
        <v>I2C_Expander_SFP!A72</v>
      </c>
      <c r="K1129" s="15" t="str">
        <f t="shared" ca="1" si="207"/>
        <v>I2C_Expander_SFP!B72</v>
      </c>
    </row>
    <row r="1130" spans="1:16" x14ac:dyDescent="0.25">
      <c r="A1130" s="3" t="str">
        <f t="shared" ca="1" si="189"/>
        <v xml:space="preserve">i2c_addr = 0x26 </v>
      </c>
      <c r="G1130" s="15">
        <f t="shared" ca="1" si="212"/>
        <v>73</v>
      </c>
      <c r="H1130" s="15">
        <v>1</v>
      </c>
      <c r="I1130" s="15" t="str">
        <f t="shared" ca="1" si="213"/>
        <v>I2C_Expander_SFP</v>
      </c>
      <c r="J1130" s="15" t="str">
        <f t="shared" ca="1" si="206"/>
        <v>I2C_Expander_SFP!A73</v>
      </c>
      <c r="K1130" s="15" t="str">
        <f t="shared" ca="1" si="207"/>
        <v>I2C_Expander_SFP!B73</v>
      </c>
    </row>
    <row r="1131" spans="1:16" x14ac:dyDescent="0.25">
      <c r="A1131" s="3" t="str">
        <f t="shared" ca="1" si="189"/>
        <v xml:space="preserve">i2c_num = /dev/i2c-1 </v>
      </c>
      <c r="C1131" s="16"/>
      <c r="G1131" s="15">
        <f t="shared" ca="1" si="212"/>
        <v>74</v>
      </c>
      <c r="H1131" s="15">
        <v>1</v>
      </c>
      <c r="I1131" s="15" t="str">
        <f t="shared" ca="1" si="213"/>
        <v>I2C_Expander_SFP</v>
      </c>
      <c r="J1131" s="15" t="str">
        <f t="shared" ca="1" si="206"/>
        <v>I2C_Expander_SFP!A74</v>
      </c>
      <c r="K1131" s="15" t="str">
        <f t="shared" ca="1" si="207"/>
        <v>I2C_Expander_SFP!B74</v>
      </c>
    </row>
    <row r="1132" spans="1:16" x14ac:dyDescent="0.25">
      <c r="A1132" s="3" t="str">
        <f t="shared" ref="A1132:A1195" ca="1" si="214">IFERROR(IF(INDIRECT(J1132)&lt;&gt;"",CONCATENATE(INDIRECT(J1132)," = ",INDIRECT(K1132)," "),""),"")</f>
        <v xml:space="preserve">pins_mode = 0xBDBD </v>
      </c>
      <c r="G1132" s="15">
        <f t="shared" ca="1" si="212"/>
        <v>75</v>
      </c>
      <c r="H1132" s="15">
        <v>1</v>
      </c>
      <c r="I1132" s="15" t="str">
        <f t="shared" ca="1" si="213"/>
        <v>I2C_Expander_SFP</v>
      </c>
      <c r="J1132" s="15" t="str">
        <f t="shared" ca="1" si="206"/>
        <v>I2C_Expander_SFP!A75</v>
      </c>
      <c r="K1132" s="15" t="str">
        <f t="shared" ca="1" si="207"/>
        <v>I2C_Expander_SFP!B75</v>
      </c>
    </row>
    <row r="1133" spans="1:16" x14ac:dyDescent="0.25">
      <c r="A1133" s="3" t="str">
        <f t="shared" ca="1" si="214"/>
        <v xml:space="preserve">pins_state = 0x0000 </v>
      </c>
      <c r="G1133" s="15">
        <f t="shared" ca="1" si="196"/>
        <v>76</v>
      </c>
      <c r="H1133" s="15">
        <v>1</v>
      </c>
      <c r="I1133" s="15" t="str">
        <f t="shared" ca="1" si="197"/>
        <v>I2C_Expander_SFP</v>
      </c>
      <c r="J1133" s="15" t="str">
        <f t="shared" ca="1" si="206"/>
        <v>I2C_Expander_SFP!A76</v>
      </c>
      <c r="K1133" s="15" t="str">
        <f t="shared" ca="1" si="207"/>
        <v>I2C_Expander_SFP!B76</v>
      </c>
    </row>
    <row r="1134" spans="1:16" x14ac:dyDescent="0.25">
      <c r="A1134" s="3" t="str">
        <f t="shared" ca="1" si="214"/>
        <v xml:space="preserve">pins_pull_up = 0xE7E7 </v>
      </c>
      <c r="G1134" s="15">
        <f t="shared" ca="1" si="196"/>
        <v>77</v>
      </c>
      <c r="H1134" s="15">
        <v>1</v>
      </c>
      <c r="I1134" s="15" t="str">
        <f t="shared" ca="1" si="197"/>
        <v>I2C_Expander_SFP</v>
      </c>
      <c r="J1134" s="15" t="str">
        <f t="shared" ca="1" si="206"/>
        <v>I2C_Expander_SFP!A77</v>
      </c>
      <c r="K1134" s="15" t="str">
        <f t="shared" ca="1" si="207"/>
        <v>I2C_Expander_SFP!B77</v>
      </c>
    </row>
    <row r="1135" spans="1:16" x14ac:dyDescent="0.25">
      <c r="A1135" s="3" t="str">
        <f t="shared" ca="1" si="214"/>
        <v xml:space="preserve">#pins_int = 0x0000 </v>
      </c>
      <c r="G1135" s="15">
        <f t="shared" ca="1" si="196"/>
        <v>78</v>
      </c>
      <c r="H1135" s="15">
        <v>1</v>
      </c>
      <c r="I1135" s="15" t="str">
        <f t="shared" ca="1" si="197"/>
        <v>I2C_Expander_SFP</v>
      </c>
      <c r="J1135" s="15" t="str">
        <f t="shared" ca="1" si="206"/>
        <v>I2C_Expander_SFP!A78</v>
      </c>
      <c r="K1135" s="15" t="str">
        <f t="shared" ca="1" si="207"/>
        <v>I2C_Expander_SFP!B78</v>
      </c>
    </row>
    <row r="1136" spans="1:16" x14ac:dyDescent="0.25">
      <c r="A1136" s="3" t="str">
        <f t="shared" ca="1" si="214"/>
        <v xml:space="preserve">#pins_def_val = 0x0000 </v>
      </c>
      <c r="G1136" s="15">
        <f t="shared" ca="1" si="196"/>
        <v>79</v>
      </c>
      <c r="H1136" s="15">
        <v>1</v>
      </c>
      <c r="I1136" s="15" t="str">
        <f t="shared" ca="1" si="197"/>
        <v>I2C_Expander_SFP</v>
      </c>
      <c r="J1136" s="15" t="str">
        <f t="shared" ca="1" si="206"/>
        <v>I2C_Expander_SFP!A79</v>
      </c>
      <c r="K1136" s="15" t="str">
        <f t="shared" ca="1" si="207"/>
        <v>I2C_Expander_SFP!B79</v>
      </c>
    </row>
    <row r="1137" spans="1:16" x14ac:dyDescent="0.25">
      <c r="A1137" s="3" t="str">
        <f t="shared" ca="1" si="214"/>
        <v/>
      </c>
      <c r="G1137" s="15">
        <f t="shared" ca="1" si="196"/>
        <v>80</v>
      </c>
      <c r="H1137" s="15">
        <v>1</v>
      </c>
      <c r="I1137" s="15" t="str">
        <f t="shared" ca="1" si="197"/>
        <v>I2C_Expander_SFP</v>
      </c>
      <c r="J1137" s="15" t="str">
        <f t="shared" ca="1" si="206"/>
        <v>I2C_Expander_SFP!A80</v>
      </c>
      <c r="K1137" s="15" t="str">
        <f t="shared" ca="1" si="207"/>
        <v>I2C_Expander_SFP!B80</v>
      </c>
    </row>
    <row r="1138" spans="1:16" x14ac:dyDescent="0.25">
      <c r="A1138" s="3" t="str">
        <f t="shared" ca="1" si="214"/>
        <v xml:space="preserve">#pins_int = 10 </v>
      </c>
      <c r="G1138" s="15">
        <f t="shared" ca="1" si="196"/>
        <v>81</v>
      </c>
      <c r="H1138" s="15">
        <v>1</v>
      </c>
      <c r="I1138" s="15" t="str">
        <f t="shared" ca="1" si="197"/>
        <v>I2C_Expander_SFP</v>
      </c>
      <c r="J1138" s="15" t="str">
        <f t="shared" ca="1" si="206"/>
        <v>I2C_Expander_SFP!A81</v>
      </c>
      <c r="K1138" s="15" t="str">
        <f t="shared" ca="1" si="207"/>
        <v>I2C_Expander_SFP!B81</v>
      </c>
    </row>
    <row r="1139" spans="1:16" x14ac:dyDescent="0.25">
      <c r="A1139" s="3" t="str">
        <f t="shared" ca="1" si="214"/>
        <v/>
      </c>
      <c r="C1139" s="16"/>
      <c r="G1139" s="15">
        <f t="shared" ca="1" si="196"/>
        <v>82</v>
      </c>
      <c r="H1139" s="15">
        <v>1</v>
      </c>
      <c r="I1139" s="15" t="str">
        <f t="shared" ca="1" si="197"/>
        <v>I2C_Expander_SFP</v>
      </c>
      <c r="J1139" s="15" t="str">
        <f t="shared" ca="1" si="206"/>
        <v>I2C_Expander_SFP!A82</v>
      </c>
      <c r="K1139" s="15" t="str">
        <f t="shared" ca="1" si="207"/>
        <v>I2C_Expander_SFP!B82</v>
      </c>
    </row>
    <row r="1140" spans="1:16" x14ac:dyDescent="0.25">
      <c r="A1140" s="3" t="str">
        <f t="shared" ca="1" si="214"/>
        <v/>
      </c>
      <c r="G1140" s="15">
        <f t="shared" ca="1" si="196"/>
        <v>83</v>
      </c>
      <c r="H1140" s="15">
        <v>1</v>
      </c>
      <c r="I1140" s="15" t="str">
        <f t="shared" ca="1" si="197"/>
        <v>I2C_Expander_SFP</v>
      </c>
      <c r="J1140" s="15" t="str">
        <f t="shared" ca="1" si="206"/>
        <v>I2C_Expander_SFP!A83</v>
      </c>
      <c r="K1140" s="15" t="str">
        <f t="shared" ca="1" si="207"/>
        <v>I2C_Expander_SFP!B83</v>
      </c>
    </row>
    <row r="1141" spans="1:16" x14ac:dyDescent="0.25">
      <c r="A1141" s="3" t="str">
        <f t="shared" ca="1" si="214"/>
        <v/>
      </c>
      <c r="G1141" s="15">
        <f t="shared" ref="G1141:G1204" ca="1" si="215">G1140+1</f>
        <v>84</v>
      </c>
      <c r="H1141" s="15">
        <v>1</v>
      </c>
      <c r="I1141" s="15" t="str">
        <f t="shared" ref="I1141:I1204" ca="1" si="216">I1140</f>
        <v>I2C_Expander_SFP</v>
      </c>
      <c r="J1141" s="15" t="str">
        <f t="shared" ca="1" si="206"/>
        <v>I2C_Expander_SFP!A84</v>
      </c>
      <c r="K1141" s="15" t="str">
        <f t="shared" ca="1" si="207"/>
        <v>I2C_Expander_SFP!B84</v>
      </c>
    </row>
    <row r="1142" spans="1:16" x14ac:dyDescent="0.25">
      <c r="A1142" s="3" t="str">
        <f t="shared" ca="1" si="214"/>
        <v/>
      </c>
      <c r="G1142" s="15">
        <f t="shared" ca="1" si="215"/>
        <v>85</v>
      </c>
      <c r="H1142" s="15">
        <v>1</v>
      </c>
      <c r="I1142" s="15" t="str">
        <f t="shared" ca="1" si="216"/>
        <v>I2C_Expander_SFP</v>
      </c>
      <c r="J1142" s="15" t="str">
        <f t="shared" ca="1" si="206"/>
        <v>I2C_Expander_SFP!A85</v>
      </c>
      <c r="K1142" s="15" t="str">
        <f t="shared" ca="1" si="207"/>
        <v>I2C_Expander_SFP!B85</v>
      </c>
    </row>
    <row r="1143" spans="1:16" x14ac:dyDescent="0.25">
      <c r="A1143" s="3" t="str">
        <f t="shared" ca="1" si="214"/>
        <v/>
      </c>
      <c r="G1143" s="15">
        <f t="shared" ca="1" si="215"/>
        <v>86</v>
      </c>
      <c r="H1143" s="15">
        <v>1</v>
      </c>
      <c r="I1143" s="15" t="str">
        <f t="shared" ca="1" si="216"/>
        <v>I2C_Expander_SFP</v>
      </c>
      <c r="J1143" s="15" t="str">
        <f t="shared" ca="1" si="206"/>
        <v>I2C_Expander_SFP!A86</v>
      </c>
      <c r="K1143" s="15" t="str">
        <f t="shared" ca="1" si="207"/>
        <v>I2C_Expander_SFP!B86</v>
      </c>
    </row>
    <row r="1144" spans="1:16" x14ac:dyDescent="0.25">
      <c r="A1144" s="3" t="str">
        <f t="shared" ca="1" si="214"/>
        <v/>
      </c>
      <c r="G1144" s="15">
        <f t="shared" ca="1" si="215"/>
        <v>87</v>
      </c>
      <c r="H1144" s="15">
        <v>1</v>
      </c>
      <c r="I1144" s="15" t="str">
        <f t="shared" ca="1" si="216"/>
        <v>I2C_Expander_SFP</v>
      </c>
      <c r="J1144" s="15" t="str">
        <f t="shared" ca="1" si="206"/>
        <v>I2C_Expander_SFP!A87</v>
      </c>
      <c r="K1144" s="15" t="str">
        <f t="shared" ca="1" si="207"/>
        <v>I2C_Expander_SFP!B87</v>
      </c>
    </row>
    <row r="1145" spans="1:16" x14ac:dyDescent="0.25">
      <c r="A1145" s="3" t="str">
        <f t="shared" ca="1" si="214"/>
        <v/>
      </c>
      <c r="G1145" s="15">
        <f t="shared" ca="1" si="215"/>
        <v>88</v>
      </c>
      <c r="H1145" s="15">
        <v>1</v>
      </c>
      <c r="I1145" s="15" t="str">
        <f t="shared" ca="1" si="216"/>
        <v>I2C_Expander_SFP</v>
      </c>
      <c r="J1145" s="15" t="str">
        <f t="shared" ca="1" si="206"/>
        <v>I2C_Expander_SFP!A88</v>
      </c>
      <c r="K1145" s="15" t="str">
        <f t="shared" ca="1" si="207"/>
        <v>I2C_Expander_SFP!B88</v>
      </c>
    </row>
    <row r="1146" spans="1:16" x14ac:dyDescent="0.25">
      <c r="A1146" s="3" t="str">
        <f t="shared" ca="1" si="214"/>
        <v/>
      </c>
      <c r="G1146" s="15">
        <f t="shared" ca="1" si="215"/>
        <v>89</v>
      </c>
      <c r="H1146" s="15">
        <v>1</v>
      </c>
      <c r="I1146" s="15" t="str">
        <f t="shared" ca="1" si="216"/>
        <v>I2C_Expander_SFP</v>
      </c>
      <c r="J1146" s="15" t="str">
        <f t="shared" ca="1" si="206"/>
        <v>I2C_Expander_SFP!A89</v>
      </c>
      <c r="K1146" s="15" t="str">
        <f t="shared" ca="1" si="207"/>
        <v>I2C_Expander_SFP!B89</v>
      </c>
    </row>
    <row r="1147" spans="1:16" x14ac:dyDescent="0.25">
      <c r="A1147" s="3" t="str">
        <f t="shared" ca="1" si="214"/>
        <v/>
      </c>
      <c r="G1147" s="15">
        <f t="shared" ca="1" si="215"/>
        <v>90</v>
      </c>
      <c r="H1147" s="15">
        <v>1</v>
      </c>
      <c r="I1147" s="15" t="str">
        <f t="shared" ca="1" si="216"/>
        <v>I2C_Expander_SFP</v>
      </c>
      <c r="J1147" s="15" t="str">
        <f t="shared" ca="1" si="206"/>
        <v>I2C_Expander_SFP!A90</v>
      </c>
      <c r="K1147" s="15" t="str">
        <f t="shared" ca="1" si="207"/>
        <v>I2C_Expander_SFP!B90</v>
      </c>
    </row>
    <row r="1148" spans="1:16" x14ac:dyDescent="0.25">
      <c r="A1148" s="3" t="str">
        <f t="shared" ca="1" si="214"/>
        <v xml:space="preserve">#I2C_Bridge_SFP:PCIE_Bridge =  </v>
      </c>
      <c r="G1148" s="15">
        <f t="shared" ref="G1148" ca="1" si="217">INDIRECT(M1148)</f>
        <v>91</v>
      </c>
      <c r="H1148" s="15">
        <v>1</v>
      </c>
      <c r="I1148" s="15" t="str">
        <f t="shared" ref="I1148" ca="1" si="218">INDIRECT(N1148)</f>
        <v>I2C_Bridge_SFP</v>
      </c>
      <c r="J1148" s="15" t="str">
        <f t="shared" ca="1" si="206"/>
        <v>I2C_Bridge_SFP!A91</v>
      </c>
      <c r="K1148" s="15" t="str">
        <f t="shared" ca="1" si="207"/>
        <v>I2C_Bridge_SFP!B91</v>
      </c>
      <c r="M1148" s="15" t="str">
        <f t="shared" ref="M1148" si="219">ADDRESS(O1148,3,4,1,$R$1)</f>
        <v>konfig!C59</v>
      </c>
      <c r="N1148" s="15" t="str">
        <f t="shared" ref="N1148" si="220">ADDRESS(O1148,1,4,1,$R$1)</f>
        <v>konfig!A59</v>
      </c>
      <c r="O1148" s="15">
        <v>59</v>
      </c>
      <c r="P1148" s="15">
        <v>4</v>
      </c>
    </row>
    <row r="1149" spans="1:16" x14ac:dyDescent="0.25">
      <c r="A1149" s="3" t="str">
        <f t="shared" ca="1" si="214"/>
        <v xml:space="preserve">device = TCA9548 </v>
      </c>
      <c r="G1149" s="15">
        <f t="shared" ref="G1149:G1189" ca="1" si="221">G1148+1</f>
        <v>92</v>
      </c>
      <c r="H1149" s="15">
        <v>1</v>
      </c>
      <c r="I1149" s="15" t="str">
        <f t="shared" ref="I1149:I1189" ca="1" si="222">I1148</f>
        <v>I2C_Bridge_SFP</v>
      </c>
      <c r="J1149" s="15" t="str">
        <f t="shared" ca="1" si="206"/>
        <v>I2C_Bridge_SFP!A92</v>
      </c>
      <c r="K1149" s="15" t="str">
        <f t="shared" ca="1" si="207"/>
        <v>I2C_Bridge_SFP!B92</v>
      </c>
    </row>
    <row r="1150" spans="1:16" x14ac:dyDescent="0.25">
      <c r="A1150" s="3" t="str">
        <f t="shared" ca="1" si="214"/>
        <v xml:space="preserve">i2c_addr = 0x70 </v>
      </c>
      <c r="G1150" s="15">
        <f t="shared" ca="1" si="215"/>
        <v>93</v>
      </c>
      <c r="H1150" s="15">
        <v>1</v>
      </c>
      <c r="I1150" s="15" t="str">
        <f t="shared" ca="1" si="216"/>
        <v>I2C_Bridge_SFP</v>
      </c>
      <c r="J1150" s="15" t="str">
        <f t="shared" ca="1" si="206"/>
        <v>I2C_Bridge_SFP!A93</v>
      </c>
      <c r="K1150" s="15" t="str">
        <f t="shared" ca="1" si="207"/>
        <v>I2C_Bridge_SFP!B93</v>
      </c>
    </row>
    <row r="1151" spans="1:16" x14ac:dyDescent="0.25">
      <c r="A1151" s="3" t="str">
        <f t="shared" ca="1" si="214"/>
        <v xml:space="preserve">i2c_num = /dev/i2c-1 </v>
      </c>
      <c r="C1151" s="16"/>
      <c r="G1151" s="15">
        <f t="shared" ca="1" si="215"/>
        <v>94</v>
      </c>
      <c r="H1151" s="15">
        <v>1</v>
      </c>
      <c r="I1151" s="15" t="str">
        <f t="shared" ca="1" si="216"/>
        <v>I2C_Bridge_SFP</v>
      </c>
      <c r="J1151" s="15" t="str">
        <f t="shared" ca="1" si="206"/>
        <v>I2C_Bridge_SFP!A94</v>
      </c>
      <c r="K1151" s="15" t="str">
        <f t="shared" ca="1" si="207"/>
        <v>I2C_Bridge_SFP!B94</v>
      </c>
    </row>
    <row r="1152" spans="1:16" x14ac:dyDescent="0.25">
      <c r="A1152" s="3" t="str">
        <f t="shared" ca="1" si="214"/>
        <v xml:space="preserve">ctrl_reg = 0x40 </v>
      </c>
      <c r="G1152" s="15">
        <f t="shared" ca="1" si="215"/>
        <v>95</v>
      </c>
      <c r="H1152" s="15">
        <v>1</v>
      </c>
      <c r="I1152" s="15" t="str">
        <f t="shared" ca="1" si="216"/>
        <v>I2C_Bridge_SFP</v>
      </c>
      <c r="J1152" s="15" t="str">
        <f t="shared" ca="1" si="206"/>
        <v>I2C_Bridge_SFP!A95</v>
      </c>
      <c r="K1152" s="15" t="str">
        <f t="shared" ca="1" si="207"/>
        <v>I2C_Bridge_SFP!B95</v>
      </c>
    </row>
    <row r="1153" spans="1:16" x14ac:dyDescent="0.25">
      <c r="A1153" s="3" t="str">
        <f t="shared" ca="1" si="214"/>
        <v/>
      </c>
      <c r="G1153" s="15">
        <f t="shared" ca="1" si="215"/>
        <v>96</v>
      </c>
      <c r="H1153" s="15">
        <v>1</v>
      </c>
      <c r="I1153" s="15" t="str">
        <f t="shared" ca="1" si="216"/>
        <v>I2C_Bridge_SFP</v>
      </c>
      <c r="J1153" s="15" t="str">
        <f t="shared" ca="1" si="206"/>
        <v>I2C_Bridge_SFP!A96</v>
      </c>
      <c r="K1153" s="15" t="str">
        <f t="shared" ca="1" si="207"/>
        <v>I2C_Bridge_SFP!B96</v>
      </c>
    </row>
    <row r="1154" spans="1:16" x14ac:dyDescent="0.25">
      <c r="A1154" s="3" t="str">
        <f t="shared" ca="1" si="214"/>
        <v xml:space="preserve">time = 11 </v>
      </c>
      <c r="G1154" s="15">
        <f t="shared" ca="1" si="215"/>
        <v>97</v>
      </c>
      <c r="H1154" s="15">
        <v>1</v>
      </c>
      <c r="I1154" s="15" t="str">
        <f t="shared" ca="1" si="216"/>
        <v>I2C_Bridge_SFP</v>
      </c>
      <c r="J1154" s="15" t="str">
        <f t="shared" ca="1" si="206"/>
        <v>I2C_Bridge_SFP!A97</v>
      </c>
      <c r="K1154" s="15" t="str">
        <f t="shared" ca="1" si="207"/>
        <v>I2C_Bridge_SFP!B97</v>
      </c>
    </row>
    <row r="1155" spans="1:16" x14ac:dyDescent="0.25">
      <c r="A1155" s="3" t="str">
        <f t="shared" ca="1" si="214"/>
        <v/>
      </c>
      <c r="G1155" s="15">
        <f t="shared" ca="1" si="215"/>
        <v>98</v>
      </c>
      <c r="H1155" s="15">
        <v>1</v>
      </c>
      <c r="I1155" s="15" t="str">
        <f t="shared" ca="1" si="216"/>
        <v>I2C_Bridge_SFP</v>
      </c>
      <c r="J1155" s="15" t="str">
        <f t="shared" ca="1" si="206"/>
        <v>I2C_Bridge_SFP!A98</v>
      </c>
      <c r="K1155" s="15" t="str">
        <f t="shared" ca="1" si="207"/>
        <v>I2C_Bridge_SFP!B98</v>
      </c>
    </row>
    <row r="1156" spans="1:16" x14ac:dyDescent="0.25">
      <c r="A1156" s="3" t="str">
        <f t="shared" ca="1" si="214"/>
        <v/>
      </c>
      <c r="G1156" s="15">
        <f t="shared" ca="1" si="215"/>
        <v>99</v>
      </c>
      <c r="H1156" s="15">
        <v>1</v>
      </c>
      <c r="I1156" s="15" t="str">
        <f t="shared" ca="1" si="216"/>
        <v>I2C_Bridge_SFP</v>
      </c>
      <c r="J1156" s="15" t="str">
        <f t="shared" ca="1" si="206"/>
        <v>I2C_Bridge_SFP!A99</v>
      </c>
      <c r="K1156" s="15" t="str">
        <f t="shared" ca="1" si="207"/>
        <v>I2C_Bridge_SFP!B99</v>
      </c>
    </row>
    <row r="1157" spans="1:16" x14ac:dyDescent="0.25">
      <c r="A1157" s="3" t="str">
        <f t="shared" ca="1" si="214"/>
        <v/>
      </c>
      <c r="G1157" s="15">
        <f t="shared" ca="1" si="215"/>
        <v>100</v>
      </c>
      <c r="H1157" s="15">
        <v>1</v>
      </c>
      <c r="I1157" s="15" t="str">
        <f t="shared" ca="1" si="216"/>
        <v>I2C_Bridge_SFP</v>
      </c>
      <c r="J1157" s="15" t="str">
        <f t="shared" ca="1" si="206"/>
        <v>I2C_Bridge_SFP!A100</v>
      </c>
      <c r="K1157" s="15" t="str">
        <f t="shared" ca="1" si="207"/>
        <v>I2C_Bridge_SFP!B100</v>
      </c>
    </row>
    <row r="1158" spans="1:16" x14ac:dyDescent="0.25">
      <c r="A1158" s="3" t="str">
        <f t="shared" ca="1" si="214"/>
        <v/>
      </c>
      <c r="G1158" s="15">
        <f t="shared" ca="1" si="215"/>
        <v>101</v>
      </c>
      <c r="H1158" s="15">
        <v>1</v>
      </c>
      <c r="I1158" s="15" t="str">
        <f t="shared" ca="1" si="216"/>
        <v>I2C_Bridge_SFP</v>
      </c>
      <c r="J1158" s="15" t="str">
        <f t="shared" ca="1" si="206"/>
        <v>I2C_Bridge_SFP!A101</v>
      </c>
      <c r="K1158" s="15" t="str">
        <f t="shared" ca="1" si="207"/>
        <v>I2C_Bridge_SFP!B101</v>
      </c>
    </row>
    <row r="1159" spans="1:16" x14ac:dyDescent="0.25">
      <c r="A1159" s="3" t="str">
        <f t="shared" ca="1" si="214"/>
        <v/>
      </c>
      <c r="C1159" s="16"/>
      <c r="G1159" s="15">
        <f t="shared" ca="1" si="215"/>
        <v>102</v>
      </c>
      <c r="H1159" s="15">
        <v>1</v>
      </c>
      <c r="I1159" s="15" t="str">
        <f t="shared" ca="1" si="216"/>
        <v>I2C_Bridge_SFP</v>
      </c>
      <c r="J1159" s="15" t="str">
        <f t="shared" ca="1" si="206"/>
        <v>I2C_Bridge_SFP!A102</v>
      </c>
      <c r="K1159" s="15" t="str">
        <f t="shared" ca="1" si="207"/>
        <v>I2C_Bridge_SFP!B102</v>
      </c>
    </row>
    <row r="1160" spans="1:16" x14ac:dyDescent="0.25">
      <c r="A1160" s="3" t="str">
        <f t="shared" ca="1" si="214"/>
        <v/>
      </c>
      <c r="G1160" s="15">
        <f t="shared" ca="1" si="215"/>
        <v>103</v>
      </c>
      <c r="H1160" s="15">
        <v>1</v>
      </c>
      <c r="I1160" s="15" t="str">
        <f t="shared" ca="1" si="216"/>
        <v>I2C_Bridge_SFP</v>
      </c>
      <c r="J1160" s="15" t="str">
        <f t="shared" ca="1" si="206"/>
        <v>I2C_Bridge_SFP!A103</v>
      </c>
      <c r="K1160" s="15" t="str">
        <f t="shared" ca="1" si="207"/>
        <v>I2C_Bridge_SFP!B103</v>
      </c>
    </row>
    <row r="1161" spans="1:16" x14ac:dyDescent="0.25">
      <c r="A1161" s="3" t="str">
        <f t="shared" ca="1" si="214"/>
        <v/>
      </c>
      <c r="G1161" s="15">
        <f t="shared" ca="1" si="215"/>
        <v>104</v>
      </c>
      <c r="H1161" s="15">
        <v>1</v>
      </c>
      <c r="I1161" s="15" t="str">
        <f t="shared" ca="1" si="216"/>
        <v>I2C_Bridge_SFP</v>
      </c>
      <c r="J1161" s="15" t="str">
        <f t="shared" ca="1" si="206"/>
        <v>I2C_Bridge_SFP!A104</v>
      </c>
      <c r="K1161" s="15" t="str">
        <f t="shared" ca="1" si="207"/>
        <v>I2C_Bridge_SFP!B104</v>
      </c>
    </row>
    <row r="1162" spans="1:16" x14ac:dyDescent="0.25">
      <c r="A1162" s="3" t="str">
        <f t="shared" ca="1" si="214"/>
        <v/>
      </c>
      <c r="G1162" s="15">
        <f t="shared" ca="1" si="215"/>
        <v>105</v>
      </c>
      <c r="H1162" s="15">
        <v>1</v>
      </c>
      <c r="I1162" s="15" t="str">
        <f t="shared" ca="1" si="216"/>
        <v>I2C_Bridge_SFP</v>
      </c>
      <c r="J1162" s="15" t="str">
        <f t="shared" ca="1" si="206"/>
        <v>I2C_Bridge_SFP!A105</v>
      </c>
      <c r="K1162" s="15" t="str">
        <f t="shared" ca="1" si="207"/>
        <v>I2C_Bridge_SFP!B105</v>
      </c>
    </row>
    <row r="1163" spans="1:16" x14ac:dyDescent="0.25">
      <c r="A1163" s="3" t="str">
        <f t="shared" ca="1" si="214"/>
        <v/>
      </c>
      <c r="G1163" s="15">
        <f t="shared" ca="1" si="215"/>
        <v>106</v>
      </c>
      <c r="H1163" s="15">
        <v>1</v>
      </c>
      <c r="I1163" s="15" t="str">
        <f t="shared" ca="1" si="216"/>
        <v>I2C_Bridge_SFP</v>
      </c>
      <c r="J1163" s="15" t="str">
        <f t="shared" ca="1" si="206"/>
        <v>I2C_Bridge_SFP!A106</v>
      </c>
      <c r="K1163" s="15" t="str">
        <f t="shared" ca="1" si="207"/>
        <v>I2C_Bridge_SFP!B106</v>
      </c>
    </row>
    <row r="1164" spans="1:16" x14ac:dyDescent="0.25">
      <c r="A1164" s="3" t="str">
        <f t="shared" ca="1" si="214"/>
        <v/>
      </c>
      <c r="G1164" s="15">
        <f t="shared" ca="1" si="215"/>
        <v>107</v>
      </c>
      <c r="H1164" s="15">
        <v>1</v>
      </c>
      <c r="I1164" s="15" t="str">
        <f t="shared" ca="1" si="216"/>
        <v>I2C_Bridge_SFP</v>
      </c>
      <c r="J1164" s="15" t="str">
        <f t="shared" ca="1" si="206"/>
        <v>I2C_Bridge_SFP!A107</v>
      </c>
      <c r="K1164" s="15" t="str">
        <f t="shared" ca="1" si="207"/>
        <v>I2C_Bridge_SFP!B107</v>
      </c>
    </row>
    <row r="1165" spans="1:16" x14ac:dyDescent="0.25">
      <c r="A1165" s="3" t="str">
        <f t="shared" ca="1" si="214"/>
        <v/>
      </c>
      <c r="G1165" s="15">
        <f t="shared" ca="1" si="215"/>
        <v>108</v>
      </c>
      <c r="H1165" s="15">
        <v>1</v>
      </c>
      <c r="I1165" s="15" t="str">
        <f t="shared" ca="1" si="216"/>
        <v>I2C_Bridge_SFP</v>
      </c>
      <c r="J1165" s="15" t="str">
        <f t="shared" ca="1" si="206"/>
        <v>I2C_Bridge_SFP!A108</v>
      </c>
      <c r="K1165" s="15" t="str">
        <f t="shared" ca="1" si="207"/>
        <v>I2C_Bridge_SFP!B108</v>
      </c>
    </row>
    <row r="1166" spans="1:16" x14ac:dyDescent="0.25">
      <c r="A1166" s="3" t="str">
        <f t="shared" ca="1" si="214"/>
        <v/>
      </c>
      <c r="G1166" s="15">
        <f t="shared" ca="1" si="215"/>
        <v>109</v>
      </c>
      <c r="H1166" s="15">
        <v>1</v>
      </c>
      <c r="I1166" s="15" t="str">
        <f t="shared" ca="1" si="216"/>
        <v>I2C_Bridge_SFP</v>
      </c>
      <c r="J1166" s="15" t="str">
        <f t="shared" ca="1" si="206"/>
        <v>I2C_Bridge_SFP!A109</v>
      </c>
      <c r="K1166" s="15" t="str">
        <f t="shared" ca="1" si="207"/>
        <v>I2C_Bridge_SFP!B109</v>
      </c>
    </row>
    <row r="1167" spans="1:16" x14ac:dyDescent="0.25">
      <c r="A1167" s="3" t="str">
        <f t="shared" ca="1" si="214"/>
        <v/>
      </c>
      <c r="G1167" s="15">
        <f t="shared" ca="1" si="215"/>
        <v>110</v>
      </c>
      <c r="H1167" s="15">
        <v>1</v>
      </c>
      <c r="I1167" s="15" t="str">
        <f t="shared" ca="1" si="216"/>
        <v>I2C_Bridge_SFP</v>
      </c>
      <c r="J1167" s="15" t="str">
        <f t="shared" ca="1" si="206"/>
        <v>I2C_Bridge_SFP!A110</v>
      </c>
      <c r="K1167" s="15" t="str">
        <f t="shared" ca="1" si="207"/>
        <v>I2C_Bridge_SFP!B110</v>
      </c>
    </row>
    <row r="1168" spans="1:16" x14ac:dyDescent="0.25">
      <c r="A1168" s="3" t="str">
        <f t="shared" ca="1" si="214"/>
        <v/>
      </c>
      <c r="G1168" s="15">
        <f t="shared" ref="G1168" ca="1" si="223">INDIRECT(M1168)</f>
        <v>31</v>
      </c>
      <c r="H1168" s="15">
        <v>1</v>
      </c>
      <c r="I1168" s="15">
        <f t="shared" ref="I1168" ca="1" si="224">INDIRECT(N1168)</f>
        <v>0</v>
      </c>
      <c r="J1168" s="15" t="str">
        <f t="shared" ca="1" si="206"/>
        <v>'0'!A31</v>
      </c>
      <c r="K1168" s="15" t="str">
        <f t="shared" ca="1" si="207"/>
        <v>'0'!B31</v>
      </c>
      <c r="M1168" s="15" t="str">
        <f t="shared" ref="M1168" si="225">ADDRESS(O1168,3,4,1,$R$1)</f>
        <v>konfig!C60</v>
      </c>
      <c r="N1168" s="15" t="str">
        <f t="shared" ref="N1168" si="226">ADDRESS(O1168,1,4,1,$R$1)</f>
        <v>konfig!A60</v>
      </c>
      <c r="O1168" s="15">
        <v>60</v>
      </c>
      <c r="P1168" s="15">
        <v>4</v>
      </c>
    </row>
    <row r="1169" spans="1:11" x14ac:dyDescent="0.25">
      <c r="A1169" s="3" t="str">
        <f t="shared" ca="1" si="214"/>
        <v/>
      </c>
      <c r="G1169" s="15">
        <f t="shared" ca="1" si="212"/>
        <v>32</v>
      </c>
      <c r="H1169" s="15">
        <v>1</v>
      </c>
      <c r="I1169" s="15">
        <f t="shared" ca="1" si="213"/>
        <v>0</v>
      </c>
      <c r="J1169" s="15" t="str">
        <f t="shared" ca="1" si="206"/>
        <v>'0'!A32</v>
      </c>
      <c r="K1169" s="15" t="str">
        <f t="shared" ca="1" si="207"/>
        <v>'0'!B32</v>
      </c>
    </row>
    <row r="1170" spans="1:11" x14ac:dyDescent="0.25">
      <c r="A1170" s="3" t="str">
        <f t="shared" ca="1" si="214"/>
        <v/>
      </c>
      <c r="G1170" s="15">
        <f t="shared" ca="1" si="212"/>
        <v>33</v>
      </c>
      <c r="H1170" s="15">
        <v>1</v>
      </c>
      <c r="I1170" s="15">
        <f t="shared" ca="1" si="213"/>
        <v>0</v>
      </c>
      <c r="J1170" s="15" t="str">
        <f t="shared" ca="1" si="206"/>
        <v>'0'!A33</v>
      </c>
      <c r="K1170" s="15" t="str">
        <f t="shared" ca="1" si="207"/>
        <v>'0'!B33</v>
      </c>
    </row>
    <row r="1171" spans="1:11" x14ac:dyDescent="0.25">
      <c r="A1171" s="3" t="str">
        <f t="shared" ca="1" si="214"/>
        <v/>
      </c>
      <c r="C1171" s="16"/>
      <c r="G1171" s="15">
        <f t="shared" ca="1" si="212"/>
        <v>34</v>
      </c>
      <c r="H1171" s="15">
        <v>1</v>
      </c>
      <c r="I1171" s="15">
        <f t="shared" ca="1" si="213"/>
        <v>0</v>
      </c>
      <c r="J1171" s="15" t="str">
        <f t="shared" ca="1" si="206"/>
        <v>'0'!A34</v>
      </c>
      <c r="K1171" s="15" t="str">
        <f t="shared" ca="1" si="207"/>
        <v>'0'!B34</v>
      </c>
    </row>
    <row r="1172" spans="1:11" x14ac:dyDescent="0.25">
      <c r="A1172" s="3" t="str">
        <f t="shared" ca="1" si="214"/>
        <v/>
      </c>
      <c r="G1172" s="15">
        <f t="shared" ca="1" si="212"/>
        <v>35</v>
      </c>
      <c r="H1172" s="15">
        <v>1</v>
      </c>
      <c r="I1172" s="15">
        <f t="shared" ca="1" si="213"/>
        <v>0</v>
      </c>
      <c r="J1172" s="15" t="str">
        <f t="shared" ca="1" si="206"/>
        <v>'0'!A35</v>
      </c>
      <c r="K1172" s="15" t="str">
        <f t="shared" ca="1" si="207"/>
        <v>'0'!B35</v>
      </c>
    </row>
    <row r="1173" spans="1:11" x14ac:dyDescent="0.25">
      <c r="A1173" s="3" t="str">
        <f t="shared" ca="1" si="214"/>
        <v/>
      </c>
      <c r="G1173" s="15">
        <f t="shared" ca="1" si="215"/>
        <v>36</v>
      </c>
      <c r="H1173" s="15">
        <v>1</v>
      </c>
      <c r="I1173" s="15">
        <f t="shared" ca="1" si="216"/>
        <v>0</v>
      </c>
      <c r="J1173" s="15" t="str">
        <f t="shared" ca="1" si="206"/>
        <v>'0'!A36</v>
      </c>
      <c r="K1173" s="15" t="str">
        <f t="shared" ca="1" si="207"/>
        <v>'0'!B36</v>
      </c>
    </row>
    <row r="1174" spans="1:11" x14ac:dyDescent="0.25">
      <c r="A1174" s="3" t="str">
        <f t="shared" ca="1" si="214"/>
        <v/>
      </c>
      <c r="G1174" s="15">
        <f t="shared" ca="1" si="215"/>
        <v>37</v>
      </c>
      <c r="H1174" s="15">
        <v>1</v>
      </c>
      <c r="I1174" s="15">
        <f t="shared" ca="1" si="216"/>
        <v>0</v>
      </c>
      <c r="J1174" s="15" t="str">
        <f t="shared" ca="1" si="206"/>
        <v>'0'!A37</v>
      </c>
      <c r="K1174" s="15" t="str">
        <f t="shared" ca="1" si="207"/>
        <v>'0'!B37</v>
      </c>
    </row>
    <row r="1175" spans="1:11" x14ac:dyDescent="0.25">
      <c r="A1175" s="3" t="str">
        <f t="shared" ca="1" si="214"/>
        <v/>
      </c>
      <c r="G1175" s="15">
        <f t="shared" ca="1" si="215"/>
        <v>38</v>
      </c>
      <c r="H1175" s="15">
        <v>1</v>
      </c>
      <c r="I1175" s="15">
        <f t="shared" ca="1" si="216"/>
        <v>0</v>
      </c>
      <c r="J1175" s="15" t="str">
        <f t="shared" ca="1" si="206"/>
        <v>'0'!A38</v>
      </c>
      <c r="K1175" s="15" t="str">
        <f t="shared" ca="1" si="207"/>
        <v>'0'!B38</v>
      </c>
    </row>
    <row r="1176" spans="1:11" x14ac:dyDescent="0.25">
      <c r="A1176" s="3" t="str">
        <f t="shared" ca="1" si="214"/>
        <v/>
      </c>
      <c r="G1176" s="15">
        <f t="shared" ca="1" si="215"/>
        <v>39</v>
      </c>
      <c r="H1176" s="15">
        <v>1</v>
      </c>
      <c r="I1176" s="15">
        <f t="shared" ca="1" si="216"/>
        <v>0</v>
      </c>
      <c r="J1176" s="15" t="str">
        <f t="shared" ca="1" si="206"/>
        <v>'0'!A39</v>
      </c>
      <c r="K1176" s="15" t="str">
        <f t="shared" ca="1" si="207"/>
        <v>'0'!B39</v>
      </c>
    </row>
    <row r="1177" spans="1:11" x14ac:dyDescent="0.25">
      <c r="A1177" s="3" t="str">
        <f t="shared" ca="1" si="214"/>
        <v/>
      </c>
      <c r="G1177" s="15">
        <f t="shared" ca="1" si="215"/>
        <v>40</v>
      </c>
      <c r="H1177" s="15">
        <v>1</v>
      </c>
      <c r="I1177" s="15">
        <f t="shared" ca="1" si="216"/>
        <v>0</v>
      </c>
      <c r="J1177" s="15" t="str">
        <f t="shared" ca="1" si="206"/>
        <v>'0'!A40</v>
      </c>
      <c r="K1177" s="15" t="str">
        <f t="shared" ca="1" si="207"/>
        <v>'0'!B40</v>
      </c>
    </row>
    <row r="1178" spans="1:11" x14ac:dyDescent="0.25">
      <c r="A1178" s="3" t="str">
        <f t="shared" ca="1" si="214"/>
        <v/>
      </c>
      <c r="G1178" s="15">
        <f t="shared" ca="1" si="215"/>
        <v>41</v>
      </c>
      <c r="H1178" s="15">
        <v>1</v>
      </c>
      <c r="I1178" s="15">
        <f t="shared" ca="1" si="216"/>
        <v>0</v>
      </c>
      <c r="J1178" s="15" t="str">
        <f t="shared" ca="1" si="206"/>
        <v>'0'!A41</v>
      </c>
      <c r="K1178" s="15" t="str">
        <f t="shared" ca="1" si="207"/>
        <v>'0'!B41</v>
      </c>
    </row>
    <row r="1179" spans="1:11" x14ac:dyDescent="0.25">
      <c r="A1179" s="3" t="str">
        <f t="shared" ca="1" si="214"/>
        <v/>
      </c>
      <c r="C1179" s="16"/>
      <c r="G1179" s="15">
        <f t="shared" ca="1" si="215"/>
        <v>42</v>
      </c>
      <c r="H1179" s="15">
        <v>1</v>
      </c>
      <c r="I1179" s="15">
        <f t="shared" ca="1" si="216"/>
        <v>0</v>
      </c>
      <c r="J1179" s="15" t="str">
        <f t="shared" ca="1" si="206"/>
        <v>'0'!A42</v>
      </c>
      <c r="K1179" s="15" t="str">
        <f t="shared" ca="1" si="207"/>
        <v>'0'!B42</v>
      </c>
    </row>
    <row r="1180" spans="1:11" x14ac:dyDescent="0.25">
      <c r="A1180" s="3" t="str">
        <f t="shared" ca="1" si="214"/>
        <v/>
      </c>
      <c r="G1180" s="15">
        <f t="shared" ca="1" si="215"/>
        <v>43</v>
      </c>
      <c r="H1180" s="15">
        <v>1</v>
      </c>
      <c r="I1180" s="15">
        <f t="shared" ca="1" si="216"/>
        <v>0</v>
      </c>
      <c r="J1180" s="15" t="str">
        <f t="shared" ca="1" si="206"/>
        <v>'0'!A43</v>
      </c>
      <c r="K1180" s="15" t="str">
        <f t="shared" ca="1" si="207"/>
        <v>'0'!B43</v>
      </c>
    </row>
    <row r="1181" spans="1:11" x14ac:dyDescent="0.25">
      <c r="A1181" s="3" t="str">
        <f t="shared" ca="1" si="214"/>
        <v/>
      </c>
      <c r="G1181" s="15">
        <f t="shared" ca="1" si="215"/>
        <v>44</v>
      </c>
      <c r="H1181" s="15">
        <v>1</v>
      </c>
      <c r="I1181" s="15">
        <f t="shared" ca="1" si="216"/>
        <v>0</v>
      </c>
      <c r="J1181" s="15" t="str">
        <f t="shared" ca="1" si="206"/>
        <v>'0'!A44</v>
      </c>
      <c r="K1181" s="15" t="str">
        <f t="shared" ca="1" si="207"/>
        <v>'0'!B44</v>
      </c>
    </row>
    <row r="1182" spans="1:11" x14ac:dyDescent="0.25">
      <c r="A1182" s="3" t="str">
        <f t="shared" ca="1" si="214"/>
        <v/>
      </c>
      <c r="G1182" s="15">
        <f t="shared" ca="1" si="215"/>
        <v>45</v>
      </c>
      <c r="H1182" s="15">
        <v>1</v>
      </c>
      <c r="I1182" s="15">
        <f t="shared" ca="1" si="216"/>
        <v>0</v>
      </c>
      <c r="J1182" s="15" t="str">
        <f t="shared" ca="1" si="206"/>
        <v>'0'!A45</v>
      </c>
      <c r="K1182" s="15" t="str">
        <f t="shared" ca="1" si="207"/>
        <v>'0'!B45</v>
      </c>
    </row>
    <row r="1183" spans="1:11" x14ac:dyDescent="0.25">
      <c r="A1183" s="3" t="str">
        <f t="shared" ca="1" si="214"/>
        <v/>
      </c>
      <c r="G1183" s="15">
        <f t="shared" ca="1" si="215"/>
        <v>46</v>
      </c>
      <c r="H1183" s="15">
        <v>1</v>
      </c>
      <c r="I1183" s="15">
        <f t="shared" ca="1" si="216"/>
        <v>0</v>
      </c>
      <c r="J1183" s="15" t="str">
        <f t="shared" ca="1" si="206"/>
        <v>'0'!A46</v>
      </c>
      <c r="K1183" s="15" t="str">
        <f t="shared" ca="1" si="207"/>
        <v>'0'!B46</v>
      </c>
    </row>
    <row r="1184" spans="1:11" x14ac:dyDescent="0.25">
      <c r="A1184" s="3" t="str">
        <f t="shared" ca="1" si="214"/>
        <v/>
      </c>
      <c r="G1184" s="15">
        <f t="shared" ca="1" si="215"/>
        <v>47</v>
      </c>
      <c r="H1184" s="15">
        <v>1</v>
      </c>
      <c r="I1184" s="15">
        <f t="shared" ca="1" si="216"/>
        <v>0</v>
      </c>
      <c r="J1184" s="15" t="str">
        <f t="shared" ca="1" si="206"/>
        <v>'0'!A47</v>
      </c>
      <c r="K1184" s="15" t="str">
        <f t="shared" ca="1" si="207"/>
        <v>'0'!B47</v>
      </c>
    </row>
    <row r="1185" spans="1:16" x14ac:dyDescent="0.25">
      <c r="A1185" s="3" t="str">
        <f t="shared" ca="1" si="214"/>
        <v/>
      </c>
      <c r="G1185" s="15">
        <f t="shared" ca="1" si="215"/>
        <v>48</v>
      </c>
      <c r="H1185" s="15">
        <v>1</v>
      </c>
      <c r="I1185" s="15">
        <f t="shared" ca="1" si="216"/>
        <v>0</v>
      </c>
      <c r="J1185" s="15" t="str">
        <f t="shared" ca="1" si="206"/>
        <v>'0'!A48</v>
      </c>
      <c r="K1185" s="15" t="str">
        <f t="shared" ca="1" si="207"/>
        <v>'0'!B48</v>
      </c>
    </row>
    <row r="1186" spans="1:16" x14ac:dyDescent="0.25">
      <c r="A1186" s="3" t="str">
        <f t="shared" ca="1" si="214"/>
        <v/>
      </c>
      <c r="G1186" s="15">
        <f t="shared" ca="1" si="215"/>
        <v>49</v>
      </c>
      <c r="H1186" s="15">
        <v>1</v>
      </c>
      <c r="I1186" s="15">
        <f t="shared" ca="1" si="216"/>
        <v>0</v>
      </c>
      <c r="J1186" s="15" t="str">
        <f t="shared" ca="1" si="206"/>
        <v>'0'!A49</v>
      </c>
      <c r="K1186" s="15" t="str">
        <f t="shared" ca="1" si="207"/>
        <v>'0'!B49</v>
      </c>
    </row>
    <row r="1187" spans="1:16" x14ac:dyDescent="0.25">
      <c r="A1187" s="3" t="str">
        <f t="shared" ca="1" si="214"/>
        <v/>
      </c>
      <c r="G1187" s="15">
        <f t="shared" ca="1" si="215"/>
        <v>50</v>
      </c>
      <c r="H1187" s="15">
        <v>1</v>
      </c>
      <c r="I1187" s="15">
        <f t="shared" ca="1" si="216"/>
        <v>0</v>
      </c>
      <c r="J1187" s="15" t="str">
        <f t="shared" ca="1" si="206"/>
        <v>'0'!A50</v>
      </c>
      <c r="K1187" s="15" t="str">
        <f t="shared" ca="1" si="207"/>
        <v>'0'!B50</v>
      </c>
    </row>
    <row r="1188" spans="1:16" x14ac:dyDescent="0.25">
      <c r="A1188" s="3" t="str">
        <f t="shared" ca="1" si="214"/>
        <v/>
      </c>
      <c r="G1188" s="15">
        <f t="shared" ref="G1188" ca="1" si="227">INDIRECT(M1188)</f>
        <v>31</v>
      </c>
      <c r="H1188" s="15">
        <v>1</v>
      </c>
      <c r="I1188" s="15">
        <f t="shared" ref="I1188" ca="1" si="228">INDIRECT(N1188)</f>
        <v>0</v>
      </c>
      <c r="J1188" s="15" t="str">
        <f t="shared" ref="J1188:J1251" ca="1" si="229">ADDRESS(G1188,H1188,4,1,I1188)</f>
        <v>'0'!A31</v>
      </c>
      <c r="K1188" s="15" t="str">
        <f t="shared" ref="K1188:K1251" ca="1" si="230">ADDRESS(G1188,H1188+1,4,1,I1188)</f>
        <v>'0'!B31</v>
      </c>
      <c r="M1188" s="15" t="str">
        <f t="shared" ref="M1188" si="231">ADDRESS(O1188,3,4,1,$R$1)</f>
        <v>konfig!C61</v>
      </c>
      <c r="N1188" s="15" t="str">
        <f t="shared" ref="N1188" si="232">ADDRESS(O1188,1,4,1,$R$1)</f>
        <v>konfig!A61</v>
      </c>
      <c r="O1188" s="15">
        <v>61</v>
      </c>
      <c r="P1188" s="15">
        <v>4</v>
      </c>
    </row>
    <row r="1189" spans="1:16" x14ac:dyDescent="0.25">
      <c r="A1189" s="3" t="str">
        <f t="shared" ca="1" si="214"/>
        <v/>
      </c>
      <c r="G1189" s="15">
        <f t="shared" ca="1" si="221"/>
        <v>32</v>
      </c>
      <c r="H1189" s="15">
        <v>1</v>
      </c>
      <c r="I1189" s="15">
        <f t="shared" ca="1" si="222"/>
        <v>0</v>
      </c>
      <c r="J1189" s="15" t="str">
        <f t="shared" ca="1" si="229"/>
        <v>'0'!A32</v>
      </c>
      <c r="K1189" s="15" t="str">
        <f t="shared" ca="1" si="230"/>
        <v>'0'!B32</v>
      </c>
    </row>
    <row r="1190" spans="1:16" x14ac:dyDescent="0.25">
      <c r="A1190" s="3" t="str">
        <f t="shared" ca="1" si="214"/>
        <v/>
      </c>
      <c r="G1190" s="15">
        <f t="shared" ca="1" si="215"/>
        <v>33</v>
      </c>
      <c r="H1190" s="15">
        <v>1</v>
      </c>
      <c r="I1190" s="15">
        <f t="shared" ca="1" si="216"/>
        <v>0</v>
      </c>
      <c r="J1190" s="15" t="str">
        <f t="shared" ca="1" si="229"/>
        <v>'0'!A33</v>
      </c>
      <c r="K1190" s="15" t="str">
        <f t="shared" ca="1" si="230"/>
        <v>'0'!B33</v>
      </c>
    </row>
    <row r="1191" spans="1:16" x14ac:dyDescent="0.25">
      <c r="A1191" s="3" t="str">
        <f t="shared" ca="1" si="214"/>
        <v/>
      </c>
      <c r="C1191" s="16"/>
      <c r="G1191" s="15">
        <f t="shared" ca="1" si="215"/>
        <v>34</v>
      </c>
      <c r="H1191" s="15">
        <v>1</v>
      </c>
      <c r="I1191" s="15">
        <f t="shared" ca="1" si="216"/>
        <v>0</v>
      </c>
      <c r="J1191" s="15" t="str">
        <f t="shared" ca="1" si="229"/>
        <v>'0'!A34</v>
      </c>
      <c r="K1191" s="15" t="str">
        <f t="shared" ca="1" si="230"/>
        <v>'0'!B34</v>
      </c>
    </row>
    <row r="1192" spans="1:16" x14ac:dyDescent="0.25">
      <c r="A1192" s="3" t="str">
        <f t="shared" ca="1" si="214"/>
        <v/>
      </c>
      <c r="G1192" s="15">
        <f t="shared" ca="1" si="215"/>
        <v>35</v>
      </c>
      <c r="H1192" s="15">
        <v>1</v>
      </c>
      <c r="I1192" s="15">
        <f t="shared" ca="1" si="216"/>
        <v>0</v>
      </c>
      <c r="J1192" s="15" t="str">
        <f t="shared" ca="1" si="229"/>
        <v>'0'!A35</v>
      </c>
      <c r="K1192" s="15" t="str">
        <f t="shared" ca="1" si="230"/>
        <v>'0'!B35</v>
      </c>
    </row>
    <row r="1193" spans="1:16" x14ac:dyDescent="0.25">
      <c r="A1193" s="3" t="str">
        <f t="shared" ca="1" si="214"/>
        <v/>
      </c>
      <c r="G1193" s="15">
        <f t="shared" ca="1" si="215"/>
        <v>36</v>
      </c>
      <c r="H1193" s="15">
        <v>1</v>
      </c>
      <c r="I1193" s="15">
        <f t="shared" ca="1" si="216"/>
        <v>0</v>
      </c>
      <c r="J1193" s="15" t="str">
        <f t="shared" ca="1" si="229"/>
        <v>'0'!A36</v>
      </c>
      <c r="K1193" s="15" t="str">
        <f t="shared" ca="1" si="230"/>
        <v>'0'!B36</v>
      </c>
    </row>
    <row r="1194" spans="1:16" x14ac:dyDescent="0.25">
      <c r="A1194" s="3" t="str">
        <f t="shared" ca="1" si="214"/>
        <v/>
      </c>
      <c r="G1194" s="15">
        <f t="shared" ca="1" si="215"/>
        <v>37</v>
      </c>
      <c r="H1194" s="15">
        <v>1</v>
      </c>
      <c r="I1194" s="15">
        <f t="shared" ca="1" si="216"/>
        <v>0</v>
      </c>
      <c r="J1194" s="15" t="str">
        <f t="shared" ca="1" si="229"/>
        <v>'0'!A37</v>
      </c>
      <c r="K1194" s="15" t="str">
        <f t="shared" ca="1" si="230"/>
        <v>'0'!B37</v>
      </c>
    </row>
    <row r="1195" spans="1:16" x14ac:dyDescent="0.25">
      <c r="A1195" s="3" t="str">
        <f t="shared" ca="1" si="214"/>
        <v/>
      </c>
      <c r="G1195" s="15">
        <f t="shared" ca="1" si="215"/>
        <v>38</v>
      </c>
      <c r="H1195" s="15">
        <v>1</v>
      </c>
      <c r="I1195" s="15">
        <f t="shared" ca="1" si="216"/>
        <v>0</v>
      </c>
      <c r="J1195" s="15" t="str">
        <f t="shared" ca="1" si="229"/>
        <v>'0'!A38</v>
      </c>
      <c r="K1195" s="15" t="str">
        <f t="shared" ca="1" si="230"/>
        <v>'0'!B38</v>
      </c>
    </row>
    <row r="1196" spans="1:16" x14ac:dyDescent="0.25">
      <c r="A1196" s="3" t="str">
        <f t="shared" ref="A1196:A1259" ca="1" si="233">IFERROR(IF(INDIRECT(J1196)&lt;&gt;"",CONCATENATE(INDIRECT(J1196)," = ",INDIRECT(K1196)," "),""),"")</f>
        <v/>
      </c>
      <c r="G1196" s="15">
        <f t="shared" ca="1" si="215"/>
        <v>39</v>
      </c>
      <c r="H1196" s="15">
        <v>1</v>
      </c>
      <c r="I1196" s="15">
        <f t="shared" ca="1" si="216"/>
        <v>0</v>
      </c>
      <c r="J1196" s="15" t="str">
        <f t="shared" ca="1" si="229"/>
        <v>'0'!A39</v>
      </c>
      <c r="K1196" s="15" t="str">
        <f t="shared" ca="1" si="230"/>
        <v>'0'!B39</v>
      </c>
    </row>
    <row r="1197" spans="1:16" x14ac:dyDescent="0.25">
      <c r="A1197" s="3" t="str">
        <f t="shared" ca="1" si="233"/>
        <v/>
      </c>
      <c r="G1197" s="15">
        <f t="shared" ca="1" si="215"/>
        <v>40</v>
      </c>
      <c r="H1197" s="15">
        <v>1</v>
      </c>
      <c r="I1197" s="15">
        <f t="shared" ca="1" si="216"/>
        <v>0</v>
      </c>
      <c r="J1197" s="15" t="str">
        <f t="shared" ca="1" si="229"/>
        <v>'0'!A40</v>
      </c>
      <c r="K1197" s="15" t="str">
        <f t="shared" ca="1" si="230"/>
        <v>'0'!B40</v>
      </c>
    </row>
    <row r="1198" spans="1:16" x14ac:dyDescent="0.25">
      <c r="A1198" s="3" t="str">
        <f t="shared" ca="1" si="233"/>
        <v/>
      </c>
      <c r="G1198" s="15">
        <f t="shared" ca="1" si="215"/>
        <v>41</v>
      </c>
      <c r="H1198" s="15">
        <v>1</v>
      </c>
      <c r="I1198" s="15">
        <f t="shared" ca="1" si="216"/>
        <v>0</v>
      </c>
      <c r="J1198" s="15" t="str">
        <f t="shared" ca="1" si="229"/>
        <v>'0'!A41</v>
      </c>
      <c r="K1198" s="15" t="str">
        <f t="shared" ca="1" si="230"/>
        <v>'0'!B41</v>
      </c>
    </row>
    <row r="1199" spans="1:16" x14ac:dyDescent="0.25">
      <c r="A1199" s="3" t="str">
        <f t="shared" ca="1" si="233"/>
        <v/>
      </c>
      <c r="C1199" s="16"/>
      <c r="G1199" s="15">
        <f t="shared" ca="1" si="215"/>
        <v>42</v>
      </c>
      <c r="H1199" s="15">
        <v>1</v>
      </c>
      <c r="I1199" s="15">
        <f t="shared" ca="1" si="216"/>
        <v>0</v>
      </c>
      <c r="J1199" s="15" t="str">
        <f t="shared" ca="1" si="229"/>
        <v>'0'!A42</v>
      </c>
      <c r="K1199" s="15" t="str">
        <f t="shared" ca="1" si="230"/>
        <v>'0'!B42</v>
      </c>
    </row>
    <row r="1200" spans="1:16" x14ac:dyDescent="0.25">
      <c r="A1200" s="3" t="str">
        <f t="shared" ca="1" si="233"/>
        <v/>
      </c>
      <c r="G1200" s="15">
        <f t="shared" ca="1" si="215"/>
        <v>43</v>
      </c>
      <c r="H1200" s="15">
        <v>1</v>
      </c>
      <c r="I1200" s="15">
        <f t="shared" ca="1" si="216"/>
        <v>0</v>
      </c>
      <c r="J1200" s="15" t="str">
        <f t="shared" ca="1" si="229"/>
        <v>'0'!A43</v>
      </c>
      <c r="K1200" s="15" t="str">
        <f t="shared" ca="1" si="230"/>
        <v>'0'!B43</v>
      </c>
    </row>
    <row r="1201" spans="1:16" x14ac:dyDescent="0.25">
      <c r="A1201" s="3" t="str">
        <f t="shared" ca="1" si="233"/>
        <v/>
      </c>
      <c r="G1201" s="15">
        <f t="shared" ca="1" si="215"/>
        <v>44</v>
      </c>
      <c r="H1201" s="15">
        <v>1</v>
      </c>
      <c r="I1201" s="15">
        <f t="shared" ca="1" si="216"/>
        <v>0</v>
      </c>
      <c r="J1201" s="15" t="str">
        <f t="shared" ca="1" si="229"/>
        <v>'0'!A44</v>
      </c>
      <c r="K1201" s="15" t="str">
        <f t="shared" ca="1" si="230"/>
        <v>'0'!B44</v>
      </c>
    </row>
    <row r="1202" spans="1:16" x14ac:dyDescent="0.25">
      <c r="A1202" s="3" t="str">
        <f t="shared" ca="1" si="233"/>
        <v/>
      </c>
      <c r="G1202" s="15">
        <f t="shared" ca="1" si="215"/>
        <v>45</v>
      </c>
      <c r="H1202" s="15">
        <v>1</v>
      </c>
      <c r="I1202" s="15">
        <f t="shared" ca="1" si="216"/>
        <v>0</v>
      </c>
      <c r="J1202" s="15" t="str">
        <f t="shared" ca="1" si="229"/>
        <v>'0'!A45</v>
      </c>
      <c r="K1202" s="15" t="str">
        <f t="shared" ca="1" si="230"/>
        <v>'0'!B45</v>
      </c>
    </row>
    <row r="1203" spans="1:16" x14ac:dyDescent="0.25">
      <c r="A1203" s="3" t="str">
        <f t="shared" ca="1" si="233"/>
        <v/>
      </c>
      <c r="G1203" s="15">
        <f t="shared" ca="1" si="215"/>
        <v>46</v>
      </c>
      <c r="H1203" s="15">
        <v>1</v>
      </c>
      <c r="I1203" s="15">
        <f t="shared" ca="1" si="216"/>
        <v>0</v>
      </c>
      <c r="J1203" s="15" t="str">
        <f t="shared" ca="1" si="229"/>
        <v>'0'!A46</v>
      </c>
      <c r="K1203" s="15" t="str">
        <f t="shared" ca="1" si="230"/>
        <v>'0'!B46</v>
      </c>
    </row>
    <row r="1204" spans="1:16" x14ac:dyDescent="0.25">
      <c r="A1204" s="3" t="str">
        <f t="shared" ca="1" si="233"/>
        <v/>
      </c>
      <c r="G1204" s="15">
        <f t="shared" ca="1" si="215"/>
        <v>47</v>
      </c>
      <c r="H1204" s="15">
        <v>1</v>
      </c>
      <c r="I1204" s="15">
        <f t="shared" ca="1" si="216"/>
        <v>0</v>
      </c>
      <c r="J1204" s="15" t="str">
        <f t="shared" ca="1" si="229"/>
        <v>'0'!A47</v>
      </c>
      <c r="K1204" s="15" t="str">
        <f t="shared" ca="1" si="230"/>
        <v>'0'!B47</v>
      </c>
    </row>
    <row r="1205" spans="1:16" x14ac:dyDescent="0.25">
      <c r="A1205" s="3" t="str">
        <f t="shared" ca="1" si="233"/>
        <v/>
      </c>
      <c r="G1205" s="15">
        <f t="shared" ref="G1205:G1267" ca="1" si="234">G1204+1</f>
        <v>48</v>
      </c>
      <c r="H1205" s="15">
        <v>1</v>
      </c>
      <c r="I1205" s="15">
        <f t="shared" ref="I1205:I1267" ca="1" si="235">I1204</f>
        <v>0</v>
      </c>
      <c r="J1205" s="15" t="str">
        <f t="shared" ca="1" si="229"/>
        <v>'0'!A48</v>
      </c>
      <c r="K1205" s="15" t="str">
        <f t="shared" ca="1" si="230"/>
        <v>'0'!B48</v>
      </c>
    </row>
    <row r="1206" spans="1:16" x14ac:dyDescent="0.25">
      <c r="A1206" s="3" t="str">
        <f t="shared" ca="1" si="233"/>
        <v/>
      </c>
      <c r="G1206" s="15">
        <f t="shared" ca="1" si="234"/>
        <v>49</v>
      </c>
      <c r="H1206" s="15">
        <v>1</v>
      </c>
      <c r="I1206" s="15">
        <f t="shared" ca="1" si="235"/>
        <v>0</v>
      </c>
      <c r="J1206" s="15" t="str">
        <f t="shared" ca="1" si="229"/>
        <v>'0'!A49</v>
      </c>
      <c r="K1206" s="15" t="str">
        <f t="shared" ca="1" si="230"/>
        <v>'0'!B49</v>
      </c>
    </row>
    <row r="1207" spans="1:16" x14ac:dyDescent="0.25">
      <c r="A1207" s="3" t="str">
        <f t="shared" ca="1" si="233"/>
        <v/>
      </c>
      <c r="G1207" s="15">
        <f t="shared" ca="1" si="234"/>
        <v>50</v>
      </c>
      <c r="H1207" s="15">
        <v>1</v>
      </c>
      <c r="I1207" s="15">
        <f t="shared" ca="1" si="235"/>
        <v>0</v>
      </c>
      <c r="J1207" s="15" t="str">
        <f t="shared" ca="1" si="229"/>
        <v>'0'!A50</v>
      </c>
      <c r="K1207" s="15" t="str">
        <f t="shared" ca="1" si="230"/>
        <v>'0'!B50</v>
      </c>
    </row>
    <row r="1208" spans="1:16" x14ac:dyDescent="0.25">
      <c r="A1208" s="3" t="str">
        <f t="shared" ca="1" si="233"/>
        <v/>
      </c>
      <c r="G1208" s="15">
        <f t="shared" ref="G1208" ca="1" si="236">INDIRECT(M1208)</f>
        <v>31</v>
      </c>
      <c r="H1208" s="15">
        <v>1</v>
      </c>
      <c r="I1208" s="15">
        <f t="shared" ref="I1208" ca="1" si="237">INDIRECT(N1208)</f>
        <v>0</v>
      </c>
      <c r="J1208" s="15" t="str">
        <f t="shared" ca="1" si="229"/>
        <v>'0'!A31</v>
      </c>
      <c r="K1208" s="15" t="str">
        <f t="shared" ca="1" si="230"/>
        <v>'0'!B31</v>
      </c>
      <c r="M1208" s="15" t="str">
        <f t="shared" ref="M1208" si="238">ADDRESS(O1208,3,4,1,$R$1)</f>
        <v>konfig!C62</v>
      </c>
      <c r="N1208" s="15" t="str">
        <f t="shared" ref="N1208" si="239">ADDRESS(O1208,1,4,1,$R$1)</f>
        <v>konfig!A62</v>
      </c>
      <c r="O1208" s="15">
        <v>62</v>
      </c>
      <c r="P1208" s="15">
        <v>4</v>
      </c>
    </row>
    <row r="1209" spans="1:16" x14ac:dyDescent="0.25">
      <c r="A1209" s="3" t="str">
        <f t="shared" ca="1" si="233"/>
        <v/>
      </c>
      <c r="G1209" s="15">
        <f t="shared" ref="G1209:G1252" ca="1" si="240">G1208+1</f>
        <v>32</v>
      </c>
      <c r="H1209" s="15">
        <v>1</v>
      </c>
      <c r="I1209" s="15">
        <f t="shared" ref="I1209:I1252" ca="1" si="241">I1208</f>
        <v>0</v>
      </c>
      <c r="J1209" s="15" t="str">
        <f t="shared" ca="1" si="229"/>
        <v>'0'!A32</v>
      </c>
      <c r="K1209" s="15" t="str">
        <f t="shared" ca="1" si="230"/>
        <v>'0'!B32</v>
      </c>
    </row>
    <row r="1210" spans="1:16" x14ac:dyDescent="0.25">
      <c r="A1210" s="3" t="str">
        <f t="shared" ca="1" si="233"/>
        <v/>
      </c>
      <c r="G1210" s="15">
        <f t="shared" ca="1" si="240"/>
        <v>33</v>
      </c>
      <c r="H1210" s="15">
        <v>1</v>
      </c>
      <c r="I1210" s="15">
        <f t="shared" ca="1" si="241"/>
        <v>0</v>
      </c>
      <c r="J1210" s="15" t="str">
        <f t="shared" ca="1" si="229"/>
        <v>'0'!A33</v>
      </c>
      <c r="K1210" s="15" t="str">
        <f t="shared" ca="1" si="230"/>
        <v>'0'!B33</v>
      </c>
    </row>
    <row r="1211" spans="1:16" x14ac:dyDescent="0.25">
      <c r="A1211" s="3" t="str">
        <f t="shared" ca="1" si="233"/>
        <v/>
      </c>
      <c r="C1211" s="16"/>
      <c r="G1211" s="15">
        <f t="shared" ca="1" si="240"/>
        <v>34</v>
      </c>
      <c r="H1211" s="15">
        <v>1</v>
      </c>
      <c r="I1211" s="15">
        <f t="shared" ca="1" si="241"/>
        <v>0</v>
      </c>
      <c r="J1211" s="15" t="str">
        <f t="shared" ca="1" si="229"/>
        <v>'0'!A34</v>
      </c>
      <c r="K1211" s="15" t="str">
        <f t="shared" ca="1" si="230"/>
        <v>'0'!B34</v>
      </c>
    </row>
    <row r="1212" spans="1:16" x14ac:dyDescent="0.25">
      <c r="A1212" s="3" t="str">
        <f t="shared" ca="1" si="233"/>
        <v/>
      </c>
      <c r="G1212" s="15">
        <f t="shared" ca="1" si="240"/>
        <v>35</v>
      </c>
      <c r="H1212" s="15">
        <v>1</v>
      </c>
      <c r="I1212" s="15">
        <f t="shared" ca="1" si="241"/>
        <v>0</v>
      </c>
      <c r="J1212" s="15" t="str">
        <f t="shared" ca="1" si="229"/>
        <v>'0'!A35</v>
      </c>
      <c r="K1212" s="15" t="str">
        <f t="shared" ca="1" si="230"/>
        <v>'0'!B35</v>
      </c>
    </row>
    <row r="1213" spans="1:16" x14ac:dyDescent="0.25">
      <c r="A1213" s="3" t="str">
        <f t="shared" ca="1" si="233"/>
        <v/>
      </c>
      <c r="G1213" s="15">
        <f t="shared" ca="1" si="234"/>
        <v>36</v>
      </c>
      <c r="H1213" s="15">
        <v>1</v>
      </c>
      <c r="I1213" s="15">
        <f t="shared" ca="1" si="235"/>
        <v>0</v>
      </c>
      <c r="J1213" s="15" t="str">
        <f t="shared" ca="1" si="229"/>
        <v>'0'!A36</v>
      </c>
      <c r="K1213" s="15" t="str">
        <f t="shared" ca="1" si="230"/>
        <v>'0'!B36</v>
      </c>
    </row>
    <row r="1214" spans="1:16" x14ac:dyDescent="0.25">
      <c r="A1214" s="3" t="str">
        <f t="shared" ca="1" si="233"/>
        <v/>
      </c>
      <c r="G1214" s="15">
        <f t="shared" ca="1" si="234"/>
        <v>37</v>
      </c>
      <c r="H1214" s="15">
        <v>1</v>
      </c>
      <c r="I1214" s="15">
        <f t="shared" ca="1" si="235"/>
        <v>0</v>
      </c>
      <c r="J1214" s="15" t="str">
        <f t="shared" ca="1" si="229"/>
        <v>'0'!A37</v>
      </c>
      <c r="K1214" s="15" t="str">
        <f t="shared" ca="1" si="230"/>
        <v>'0'!B37</v>
      </c>
    </row>
    <row r="1215" spans="1:16" x14ac:dyDescent="0.25">
      <c r="A1215" s="3" t="str">
        <f t="shared" ca="1" si="233"/>
        <v/>
      </c>
      <c r="G1215" s="15">
        <f t="shared" ca="1" si="234"/>
        <v>38</v>
      </c>
      <c r="H1215" s="15">
        <v>1</v>
      </c>
      <c r="I1215" s="15">
        <f t="shared" ca="1" si="235"/>
        <v>0</v>
      </c>
      <c r="J1215" s="15" t="str">
        <f t="shared" ca="1" si="229"/>
        <v>'0'!A38</v>
      </c>
      <c r="K1215" s="15" t="str">
        <f t="shared" ca="1" si="230"/>
        <v>'0'!B38</v>
      </c>
    </row>
    <row r="1216" spans="1:16" x14ac:dyDescent="0.25">
      <c r="A1216" s="3" t="str">
        <f t="shared" ca="1" si="233"/>
        <v/>
      </c>
      <c r="G1216" s="15">
        <f t="shared" ca="1" si="234"/>
        <v>39</v>
      </c>
      <c r="H1216" s="15">
        <v>1</v>
      </c>
      <c r="I1216" s="15">
        <f t="shared" ca="1" si="235"/>
        <v>0</v>
      </c>
      <c r="J1216" s="15" t="str">
        <f t="shared" ca="1" si="229"/>
        <v>'0'!A39</v>
      </c>
      <c r="K1216" s="15" t="str">
        <f t="shared" ca="1" si="230"/>
        <v>'0'!B39</v>
      </c>
    </row>
    <row r="1217" spans="1:16" x14ac:dyDescent="0.25">
      <c r="A1217" s="3" t="str">
        <f t="shared" ca="1" si="233"/>
        <v/>
      </c>
      <c r="G1217" s="15">
        <f t="shared" ca="1" si="234"/>
        <v>40</v>
      </c>
      <c r="H1217" s="15">
        <v>1</v>
      </c>
      <c r="I1217" s="15">
        <f t="shared" ca="1" si="235"/>
        <v>0</v>
      </c>
      <c r="J1217" s="15" t="str">
        <f t="shared" ca="1" si="229"/>
        <v>'0'!A40</v>
      </c>
      <c r="K1217" s="15" t="str">
        <f t="shared" ca="1" si="230"/>
        <v>'0'!B40</v>
      </c>
    </row>
    <row r="1218" spans="1:16" x14ac:dyDescent="0.25">
      <c r="A1218" s="3" t="str">
        <f t="shared" ca="1" si="233"/>
        <v/>
      </c>
      <c r="G1218" s="15">
        <f t="shared" ca="1" si="234"/>
        <v>41</v>
      </c>
      <c r="H1218" s="15">
        <v>1</v>
      </c>
      <c r="I1218" s="15">
        <f t="shared" ca="1" si="235"/>
        <v>0</v>
      </c>
      <c r="J1218" s="15" t="str">
        <f t="shared" ca="1" si="229"/>
        <v>'0'!A41</v>
      </c>
      <c r="K1218" s="15" t="str">
        <f t="shared" ca="1" si="230"/>
        <v>'0'!B41</v>
      </c>
    </row>
    <row r="1219" spans="1:16" x14ac:dyDescent="0.25">
      <c r="A1219" s="3" t="str">
        <f t="shared" ca="1" si="233"/>
        <v/>
      </c>
      <c r="C1219" s="16"/>
      <c r="G1219" s="15">
        <f t="shared" ca="1" si="234"/>
        <v>42</v>
      </c>
      <c r="H1219" s="15">
        <v>1</v>
      </c>
      <c r="I1219" s="15">
        <f t="shared" ca="1" si="235"/>
        <v>0</v>
      </c>
      <c r="J1219" s="15" t="str">
        <f t="shared" ca="1" si="229"/>
        <v>'0'!A42</v>
      </c>
      <c r="K1219" s="15" t="str">
        <f t="shared" ca="1" si="230"/>
        <v>'0'!B42</v>
      </c>
    </row>
    <row r="1220" spans="1:16" x14ac:dyDescent="0.25">
      <c r="A1220" s="3" t="str">
        <f t="shared" ca="1" si="233"/>
        <v/>
      </c>
      <c r="G1220" s="15">
        <f t="shared" ca="1" si="234"/>
        <v>43</v>
      </c>
      <c r="H1220" s="15">
        <v>1</v>
      </c>
      <c r="I1220" s="15">
        <f t="shared" ca="1" si="235"/>
        <v>0</v>
      </c>
      <c r="J1220" s="15" t="str">
        <f t="shared" ca="1" si="229"/>
        <v>'0'!A43</v>
      </c>
      <c r="K1220" s="15" t="str">
        <f t="shared" ca="1" si="230"/>
        <v>'0'!B43</v>
      </c>
    </row>
    <row r="1221" spans="1:16" x14ac:dyDescent="0.25">
      <c r="A1221" s="3" t="str">
        <f t="shared" ca="1" si="233"/>
        <v/>
      </c>
      <c r="G1221" s="15">
        <f t="shared" ca="1" si="234"/>
        <v>44</v>
      </c>
      <c r="H1221" s="15">
        <v>1</v>
      </c>
      <c r="I1221" s="15">
        <f t="shared" ca="1" si="235"/>
        <v>0</v>
      </c>
      <c r="J1221" s="15" t="str">
        <f t="shared" ca="1" si="229"/>
        <v>'0'!A44</v>
      </c>
      <c r="K1221" s="15" t="str">
        <f t="shared" ca="1" si="230"/>
        <v>'0'!B44</v>
      </c>
    </row>
    <row r="1222" spans="1:16" x14ac:dyDescent="0.25">
      <c r="A1222" s="3" t="str">
        <f t="shared" ca="1" si="233"/>
        <v/>
      </c>
      <c r="G1222" s="15">
        <f t="shared" ca="1" si="234"/>
        <v>45</v>
      </c>
      <c r="H1222" s="15">
        <v>1</v>
      </c>
      <c r="I1222" s="15">
        <f t="shared" ca="1" si="235"/>
        <v>0</v>
      </c>
      <c r="J1222" s="15" t="str">
        <f t="shared" ca="1" si="229"/>
        <v>'0'!A45</v>
      </c>
      <c r="K1222" s="15" t="str">
        <f t="shared" ca="1" si="230"/>
        <v>'0'!B45</v>
      </c>
    </row>
    <row r="1223" spans="1:16" x14ac:dyDescent="0.25">
      <c r="A1223" s="3" t="str">
        <f t="shared" ca="1" si="233"/>
        <v/>
      </c>
      <c r="G1223" s="15">
        <f t="shared" ca="1" si="234"/>
        <v>46</v>
      </c>
      <c r="H1223" s="15">
        <v>1</v>
      </c>
      <c r="I1223" s="15">
        <f t="shared" ca="1" si="235"/>
        <v>0</v>
      </c>
      <c r="J1223" s="15" t="str">
        <f t="shared" ca="1" si="229"/>
        <v>'0'!A46</v>
      </c>
      <c r="K1223" s="15" t="str">
        <f t="shared" ca="1" si="230"/>
        <v>'0'!B46</v>
      </c>
    </row>
    <row r="1224" spans="1:16" x14ac:dyDescent="0.25">
      <c r="A1224" s="3" t="str">
        <f t="shared" ca="1" si="233"/>
        <v/>
      </c>
      <c r="G1224" s="15">
        <f t="shared" ca="1" si="234"/>
        <v>47</v>
      </c>
      <c r="H1224" s="15">
        <v>1</v>
      </c>
      <c r="I1224" s="15">
        <f t="shared" ca="1" si="235"/>
        <v>0</v>
      </c>
      <c r="J1224" s="15" t="str">
        <f t="shared" ca="1" si="229"/>
        <v>'0'!A47</v>
      </c>
      <c r="K1224" s="15" t="str">
        <f t="shared" ca="1" si="230"/>
        <v>'0'!B47</v>
      </c>
    </row>
    <row r="1225" spans="1:16" x14ac:dyDescent="0.25">
      <c r="A1225" s="3" t="str">
        <f t="shared" ca="1" si="233"/>
        <v/>
      </c>
      <c r="G1225" s="15">
        <f t="shared" ca="1" si="234"/>
        <v>48</v>
      </c>
      <c r="H1225" s="15">
        <v>1</v>
      </c>
      <c r="I1225" s="15">
        <f t="shared" ca="1" si="235"/>
        <v>0</v>
      </c>
      <c r="J1225" s="15" t="str">
        <f t="shared" ca="1" si="229"/>
        <v>'0'!A48</v>
      </c>
      <c r="K1225" s="15" t="str">
        <f t="shared" ca="1" si="230"/>
        <v>'0'!B48</v>
      </c>
    </row>
    <row r="1226" spans="1:16" x14ac:dyDescent="0.25">
      <c r="A1226" s="3" t="str">
        <f t="shared" ca="1" si="233"/>
        <v/>
      </c>
      <c r="G1226" s="15">
        <f t="shared" ca="1" si="234"/>
        <v>49</v>
      </c>
      <c r="H1226" s="15">
        <v>1</v>
      </c>
      <c r="I1226" s="15">
        <f t="shared" ca="1" si="235"/>
        <v>0</v>
      </c>
      <c r="J1226" s="15" t="str">
        <f t="shared" ca="1" si="229"/>
        <v>'0'!A49</v>
      </c>
      <c r="K1226" s="15" t="str">
        <f t="shared" ca="1" si="230"/>
        <v>'0'!B49</v>
      </c>
    </row>
    <row r="1227" spans="1:16" x14ac:dyDescent="0.25">
      <c r="A1227" s="3" t="str">
        <f t="shared" ca="1" si="233"/>
        <v/>
      </c>
      <c r="G1227" s="15">
        <f t="shared" ca="1" si="234"/>
        <v>50</v>
      </c>
      <c r="H1227" s="15">
        <v>1</v>
      </c>
      <c r="I1227" s="15">
        <f t="shared" ca="1" si="235"/>
        <v>0</v>
      </c>
      <c r="J1227" s="15" t="str">
        <f t="shared" ca="1" si="229"/>
        <v>'0'!A50</v>
      </c>
      <c r="K1227" s="15" t="str">
        <f t="shared" ca="1" si="230"/>
        <v>'0'!B50</v>
      </c>
    </row>
    <row r="1228" spans="1:16" x14ac:dyDescent="0.25">
      <c r="A1228" s="3" t="str">
        <f t="shared" ca="1" si="233"/>
        <v/>
      </c>
      <c r="G1228" s="15">
        <f t="shared" ref="G1228" ca="1" si="242">INDIRECT(M1228)</f>
        <v>31</v>
      </c>
      <c r="H1228" s="15">
        <v>1</v>
      </c>
      <c r="I1228" s="15">
        <f t="shared" ref="I1228" ca="1" si="243">INDIRECT(N1228)</f>
        <v>0</v>
      </c>
      <c r="J1228" s="15" t="str">
        <f t="shared" ca="1" si="229"/>
        <v>'0'!A31</v>
      </c>
      <c r="K1228" s="15" t="str">
        <f t="shared" ca="1" si="230"/>
        <v>'0'!B31</v>
      </c>
      <c r="M1228" s="15" t="str">
        <f t="shared" ref="M1228" si="244">ADDRESS(O1228,3,4,1,$R$1)</f>
        <v>konfig!C63</v>
      </c>
      <c r="N1228" s="15" t="str">
        <f t="shared" ref="N1228" si="245">ADDRESS(O1228,1,4,1,$R$1)</f>
        <v>konfig!A63</v>
      </c>
      <c r="O1228" s="15">
        <v>63</v>
      </c>
      <c r="P1228" s="15">
        <v>4</v>
      </c>
    </row>
    <row r="1229" spans="1:16" x14ac:dyDescent="0.25">
      <c r="A1229" s="3" t="str">
        <f t="shared" ca="1" si="233"/>
        <v/>
      </c>
      <c r="G1229" s="15">
        <f t="shared" ref="G1229:G1287" ca="1" si="246">G1228+1</f>
        <v>32</v>
      </c>
      <c r="H1229" s="15">
        <v>1</v>
      </c>
      <c r="I1229" s="15">
        <f t="shared" ref="I1229:I1287" ca="1" si="247">I1228</f>
        <v>0</v>
      </c>
      <c r="J1229" s="15" t="str">
        <f t="shared" ca="1" si="229"/>
        <v>'0'!A32</v>
      </c>
      <c r="K1229" s="15" t="str">
        <f t="shared" ca="1" si="230"/>
        <v>'0'!B32</v>
      </c>
    </row>
    <row r="1230" spans="1:16" x14ac:dyDescent="0.25">
      <c r="A1230" s="3" t="str">
        <f t="shared" ca="1" si="233"/>
        <v/>
      </c>
      <c r="G1230" s="15">
        <f t="shared" ca="1" si="234"/>
        <v>33</v>
      </c>
      <c r="H1230" s="15">
        <v>1</v>
      </c>
      <c r="I1230" s="15">
        <f t="shared" ca="1" si="235"/>
        <v>0</v>
      </c>
      <c r="J1230" s="15" t="str">
        <f t="shared" ca="1" si="229"/>
        <v>'0'!A33</v>
      </c>
      <c r="K1230" s="15" t="str">
        <f t="shared" ca="1" si="230"/>
        <v>'0'!B33</v>
      </c>
    </row>
    <row r="1231" spans="1:16" x14ac:dyDescent="0.25">
      <c r="A1231" s="3" t="str">
        <f t="shared" ca="1" si="233"/>
        <v/>
      </c>
      <c r="C1231" s="16"/>
      <c r="G1231" s="15">
        <f t="shared" ca="1" si="234"/>
        <v>34</v>
      </c>
      <c r="H1231" s="15">
        <v>1</v>
      </c>
      <c r="I1231" s="15">
        <f t="shared" ca="1" si="235"/>
        <v>0</v>
      </c>
      <c r="J1231" s="15" t="str">
        <f t="shared" ca="1" si="229"/>
        <v>'0'!A34</v>
      </c>
      <c r="K1231" s="15" t="str">
        <f t="shared" ca="1" si="230"/>
        <v>'0'!B34</v>
      </c>
    </row>
    <row r="1232" spans="1:16" x14ac:dyDescent="0.25">
      <c r="A1232" s="3" t="str">
        <f t="shared" ca="1" si="233"/>
        <v/>
      </c>
      <c r="G1232" s="15">
        <f t="shared" ca="1" si="234"/>
        <v>35</v>
      </c>
      <c r="H1232" s="15">
        <v>1</v>
      </c>
      <c r="I1232" s="15">
        <f t="shared" ca="1" si="235"/>
        <v>0</v>
      </c>
      <c r="J1232" s="15" t="str">
        <f t="shared" ca="1" si="229"/>
        <v>'0'!A35</v>
      </c>
      <c r="K1232" s="15" t="str">
        <f t="shared" ca="1" si="230"/>
        <v>'0'!B35</v>
      </c>
    </row>
    <row r="1233" spans="1:16" x14ac:dyDescent="0.25">
      <c r="A1233" s="3" t="str">
        <f t="shared" ca="1" si="233"/>
        <v/>
      </c>
      <c r="G1233" s="15">
        <f t="shared" ca="1" si="234"/>
        <v>36</v>
      </c>
      <c r="H1233" s="15">
        <v>1</v>
      </c>
      <c r="I1233" s="15">
        <f t="shared" ca="1" si="235"/>
        <v>0</v>
      </c>
      <c r="J1233" s="15" t="str">
        <f t="shared" ca="1" si="229"/>
        <v>'0'!A36</v>
      </c>
      <c r="K1233" s="15" t="str">
        <f t="shared" ca="1" si="230"/>
        <v>'0'!B36</v>
      </c>
    </row>
    <row r="1234" spans="1:16" x14ac:dyDescent="0.25">
      <c r="A1234" s="3" t="str">
        <f t="shared" ca="1" si="233"/>
        <v/>
      </c>
      <c r="G1234" s="15">
        <f t="shared" ca="1" si="234"/>
        <v>37</v>
      </c>
      <c r="H1234" s="15">
        <v>1</v>
      </c>
      <c r="I1234" s="15">
        <f t="shared" ca="1" si="235"/>
        <v>0</v>
      </c>
      <c r="J1234" s="15" t="str">
        <f t="shared" ca="1" si="229"/>
        <v>'0'!A37</v>
      </c>
      <c r="K1234" s="15" t="str">
        <f t="shared" ca="1" si="230"/>
        <v>'0'!B37</v>
      </c>
    </row>
    <row r="1235" spans="1:16" x14ac:dyDescent="0.25">
      <c r="A1235" s="3" t="str">
        <f t="shared" ca="1" si="233"/>
        <v/>
      </c>
      <c r="G1235" s="15">
        <f t="shared" ca="1" si="234"/>
        <v>38</v>
      </c>
      <c r="H1235" s="15">
        <v>1</v>
      </c>
      <c r="I1235" s="15">
        <f t="shared" ca="1" si="235"/>
        <v>0</v>
      </c>
      <c r="J1235" s="15" t="str">
        <f t="shared" ca="1" si="229"/>
        <v>'0'!A38</v>
      </c>
      <c r="K1235" s="15" t="str">
        <f t="shared" ca="1" si="230"/>
        <v>'0'!B38</v>
      </c>
    </row>
    <row r="1236" spans="1:16" x14ac:dyDescent="0.25">
      <c r="A1236" s="3" t="str">
        <f t="shared" ca="1" si="233"/>
        <v/>
      </c>
      <c r="G1236" s="15">
        <f t="shared" ca="1" si="234"/>
        <v>39</v>
      </c>
      <c r="H1236" s="15">
        <v>1</v>
      </c>
      <c r="I1236" s="15">
        <f t="shared" ca="1" si="235"/>
        <v>0</v>
      </c>
      <c r="J1236" s="15" t="str">
        <f t="shared" ca="1" si="229"/>
        <v>'0'!A39</v>
      </c>
      <c r="K1236" s="15" t="str">
        <f t="shared" ca="1" si="230"/>
        <v>'0'!B39</v>
      </c>
    </row>
    <row r="1237" spans="1:16" x14ac:dyDescent="0.25">
      <c r="A1237" s="3" t="str">
        <f t="shared" ca="1" si="233"/>
        <v/>
      </c>
      <c r="G1237" s="15">
        <f t="shared" ca="1" si="234"/>
        <v>40</v>
      </c>
      <c r="H1237" s="15">
        <v>1</v>
      </c>
      <c r="I1237" s="15">
        <f t="shared" ca="1" si="235"/>
        <v>0</v>
      </c>
      <c r="J1237" s="15" t="str">
        <f t="shared" ca="1" si="229"/>
        <v>'0'!A40</v>
      </c>
      <c r="K1237" s="15" t="str">
        <f t="shared" ca="1" si="230"/>
        <v>'0'!B40</v>
      </c>
    </row>
    <row r="1238" spans="1:16" x14ac:dyDescent="0.25">
      <c r="A1238" s="3" t="str">
        <f t="shared" ca="1" si="233"/>
        <v/>
      </c>
      <c r="G1238" s="15">
        <f t="shared" ca="1" si="234"/>
        <v>41</v>
      </c>
      <c r="H1238" s="15">
        <v>1</v>
      </c>
      <c r="I1238" s="15">
        <f t="shared" ca="1" si="235"/>
        <v>0</v>
      </c>
      <c r="J1238" s="15" t="str">
        <f t="shared" ca="1" si="229"/>
        <v>'0'!A41</v>
      </c>
      <c r="K1238" s="15" t="str">
        <f t="shared" ca="1" si="230"/>
        <v>'0'!B41</v>
      </c>
    </row>
    <row r="1239" spans="1:16" x14ac:dyDescent="0.25">
      <c r="A1239" s="3" t="str">
        <f t="shared" ca="1" si="233"/>
        <v/>
      </c>
      <c r="C1239" s="16"/>
      <c r="G1239" s="15">
        <f t="shared" ca="1" si="234"/>
        <v>42</v>
      </c>
      <c r="H1239" s="15">
        <v>1</v>
      </c>
      <c r="I1239" s="15">
        <f t="shared" ca="1" si="235"/>
        <v>0</v>
      </c>
      <c r="J1239" s="15" t="str">
        <f t="shared" ca="1" si="229"/>
        <v>'0'!A42</v>
      </c>
      <c r="K1239" s="15" t="str">
        <f t="shared" ca="1" si="230"/>
        <v>'0'!B42</v>
      </c>
    </row>
    <row r="1240" spans="1:16" x14ac:dyDescent="0.25">
      <c r="A1240" s="3" t="str">
        <f t="shared" ca="1" si="233"/>
        <v/>
      </c>
      <c r="G1240" s="15">
        <f t="shared" ca="1" si="234"/>
        <v>43</v>
      </c>
      <c r="H1240" s="15">
        <v>1</v>
      </c>
      <c r="I1240" s="15">
        <f t="shared" ca="1" si="235"/>
        <v>0</v>
      </c>
      <c r="J1240" s="15" t="str">
        <f t="shared" ca="1" si="229"/>
        <v>'0'!A43</v>
      </c>
      <c r="K1240" s="15" t="str">
        <f t="shared" ca="1" si="230"/>
        <v>'0'!B43</v>
      </c>
    </row>
    <row r="1241" spans="1:16" x14ac:dyDescent="0.25">
      <c r="A1241" s="3" t="str">
        <f t="shared" ca="1" si="233"/>
        <v/>
      </c>
      <c r="G1241" s="15">
        <f t="shared" ca="1" si="234"/>
        <v>44</v>
      </c>
      <c r="H1241" s="15">
        <v>1</v>
      </c>
      <c r="I1241" s="15">
        <f t="shared" ca="1" si="235"/>
        <v>0</v>
      </c>
      <c r="J1241" s="15" t="str">
        <f t="shared" ca="1" si="229"/>
        <v>'0'!A44</v>
      </c>
      <c r="K1241" s="15" t="str">
        <f t="shared" ca="1" si="230"/>
        <v>'0'!B44</v>
      </c>
    </row>
    <row r="1242" spans="1:16" x14ac:dyDescent="0.25">
      <c r="A1242" s="3" t="str">
        <f t="shared" ca="1" si="233"/>
        <v/>
      </c>
      <c r="G1242" s="15">
        <f t="shared" ca="1" si="234"/>
        <v>45</v>
      </c>
      <c r="H1242" s="15">
        <v>1</v>
      </c>
      <c r="I1242" s="15">
        <f t="shared" ca="1" si="235"/>
        <v>0</v>
      </c>
      <c r="J1242" s="15" t="str">
        <f t="shared" ca="1" si="229"/>
        <v>'0'!A45</v>
      </c>
      <c r="K1242" s="15" t="str">
        <f t="shared" ca="1" si="230"/>
        <v>'0'!B45</v>
      </c>
    </row>
    <row r="1243" spans="1:16" x14ac:dyDescent="0.25">
      <c r="A1243" s="3" t="str">
        <f t="shared" ca="1" si="233"/>
        <v/>
      </c>
      <c r="G1243" s="15">
        <f t="shared" ca="1" si="234"/>
        <v>46</v>
      </c>
      <c r="H1243" s="15">
        <v>1</v>
      </c>
      <c r="I1243" s="15">
        <f t="shared" ca="1" si="235"/>
        <v>0</v>
      </c>
      <c r="J1243" s="15" t="str">
        <f t="shared" ca="1" si="229"/>
        <v>'0'!A46</v>
      </c>
      <c r="K1243" s="15" t="str">
        <f t="shared" ca="1" si="230"/>
        <v>'0'!B46</v>
      </c>
    </row>
    <row r="1244" spans="1:16" x14ac:dyDescent="0.25">
      <c r="A1244" s="3" t="str">
        <f t="shared" ca="1" si="233"/>
        <v/>
      </c>
      <c r="G1244" s="15">
        <f t="shared" ca="1" si="234"/>
        <v>47</v>
      </c>
      <c r="H1244" s="15">
        <v>1</v>
      </c>
      <c r="I1244" s="15">
        <f t="shared" ca="1" si="235"/>
        <v>0</v>
      </c>
      <c r="J1244" s="15" t="str">
        <f t="shared" ca="1" si="229"/>
        <v>'0'!A47</v>
      </c>
      <c r="K1244" s="15" t="str">
        <f t="shared" ca="1" si="230"/>
        <v>'0'!B47</v>
      </c>
    </row>
    <row r="1245" spans="1:16" x14ac:dyDescent="0.25">
      <c r="A1245" s="3" t="str">
        <f t="shared" ca="1" si="233"/>
        <v/>
      </c>
      <c r="G1245" s="15">
        <f t="shared" ca="1" si="234"/>
        <v>48</v>
      </c>
      <c r="H1245" s="15">
        <v>1</v>
      </c>
      <c r="I1245" s="15">
        <f t="shared" ca="1" si="235"/>
        <v>0</v>
      </c>
      <c r="J1245" s="15" t="str">
        <f t="shared" ca="1" si="229"/>
        <v>'0'!A48</v>
      </c>
      <c r="K1245" s="15" t="str">
        <f t="shared" ca="1" si="230"/>
        <v>'0'!B48</v>
      </c>
    </row>
    <row r="1246" spans="1:16" x14ac:dyDescent="0.25">
      <c r="A1246" s="3" t="str">
        <f t="shared" ca="1" si="233"/>
        <v/>
      </c>
      <c r="G1246" s="15">
        <f t="shared" ca="1" si="234"/>
        <v>49</v>
      </c>
      <c r="H1246" s="15">
        <v>1</v>
      </c>
      <c r="I1246" s="15">
        <f t="shared" ca="1" si="235"/>
        <v>0</v>
      </c>
      <c r="J1246" s="15" t="str">
        <f t="shared" ca="1" si="229"/>
        <v>'0'!A49</v>
      </c>
      <c r="K1246" s="15" t="str">
        <f t="shared" ca="1" si="230"/>
        <v>'0'!B49</v>
      </c>
    </row>
    <row r="1247" spans="1:16" x14ac:dyDescent="0.25">
      <c r="A1247" s="3" t="str">
        <f t="shared" ca="1" si="233"/>
        <v/>
      </c>
      <c r="G1247" s="15">
        <f t="shared" ca="1" si="234"/>
        <v>50</v>
      </c>
      <c r="H1247" s="15">
        <v>1</v>
      </c>
      <c r="I1247" s="15">
        <f t="shared" ca="1" si="235"/>
        <v>0</v>
      </c>
      <c r="J1247" s="15" t="str">
        <f t="shared" ca="1" si="229"/>
        <v>'0'!A50</v>
      </c>
      <c r="K1247" s="15" t="str">
        <f t="shared" ca="1" si="230"/>
        <v>'0'!B50</v>
      </c>
    </row>
    <row r="1248" spans="1:16" x14ac:dyDescent="0.25">
      <c r="A1248" s="3" t="str">
        <f t="shared" ca="1" si="233"/>
        <v/>
      </c>
      <c r="G1248" s="15">
        <f t="shared" ref="G1248" ca="1" si="248">INDIRECT(M1248)</f>
        <v>31</v>
      </c>
      <c r="H1248" s="15">
        <v>1</v>
      </c>
      <c r="I1248" s="15">
        <f t="shared" ref="I1248" ca="1" si="249">INDIRECT(N1248)</f>
        <v>0</v>
      </c>
      <c r="J1248" s="15" t="str">
        <f t="shared" ca="1" si="229"/>
        <v>'0'!A31</v>
      </c>
      <c r="K1248" s="15" t="str">
        <f t="shared" ca="1" si="230"/>
        <v>'0'!B31</v>
      </c>
      <c r="M1248" s="15" t="str">
        <f t="shared" ref="M1248" si="250">ADDRESS(O1248,3,4,1,$R$1)</f>
        <v>konfig!C64</v>
      </c>
      <c r="N1248" s="15" t="str">
        <f t="shared" ref="N1248" si="251">ADDRESS(O1248,1,4,1,$R$1)</f>
        <v>konfig!A64</v>
      </c>
      <c r="O1248" s="15">
        <v>64</v>
      </c>
      <c r="P1248" s="15">
        <v>4</v>
      </c>
    </row>
    <row r="1249" spans="1:11" x14ac:dyDescent="0.25">
      <c r="A1249" s="3" t="str">
        <f t="shared" ca="1" si="233"/>
        <v/>
      </c>
      <c r="G1249" s="15">
        <f t="shared" ca="1" si="240"/>
        <v>32</v>
      </c>
      <c r="H1249" s="15">
        <v>1</v>
      </c>
      <c r="I1249" s="15">
        <f t="shared" ca="1" si="241"/>
        <v>0</v>
      </c>
      <c r="J1249" s="15" t="str">
        <f t="shared" ca="1" si="229"/>
        <v>'0'!A32</v>
      </c>
      <c r="K1249" s="15" t="str">
        <f t="shared" ca="1" si="230"/>
        <v>'0'!B32</v>
      </c>
    </row>
    <row r="1250" spans="1:11" x14ac:dyDescent="0.25">
      <c r="A1250" s="3" t="str">
        <f t="shared" ca="1" si="233"/>
        <v/>
      </c>
      <c r="G1250" s="15">
        <f t="shared" ca="1" si="240"/>
        <v>33</v>
      </c>
      <c r="H1250" s="15">
        <v>1</v>
      </c>
      <c r="I1250" s="15">
        <f t="shared" ca="1" si="241"/>
        <v>0</v>
      </c>
      <c r="J1250" s="15" t="str">
        <f t="shared" ca="1" si="229"/>
        <v>'0'!A33</v>
      </c>
      <c r="K1250" s="15" t="str">
        <f t="shared" ca="1" si="230"/>
        <v>'0'!B33</v>
      </c>
    </row>
    <row r="1251" spans="1:11" x14ac:dyDescent="0.25">
      <c r="A1251" s="3" t="str">
        <f t="shared" ca="1" si="233"/>
        <v/>
      </c>
      <c r="C1251" s="16"/>
      <c r="G1251" s="15">
        <f t="shared" ca="1" si="240"/>
        <v>34</v>
      </c>
      <c r="H1251" s="15">
        <v>1</v>
      </c>
      <c r="I1251" s="15">
        <f t="shared" ca="1" si="241"/>
        <v>0</v>
      </c>
      <c r="J1251" s="15" t="str">
        <f t="shared" ca="1" si="229"/>
        <v>'0'!A34</v>
      </c>
      <c r="K1251" s="15" t="str">
        <f t="shared" ca="1" si="230"/>
        <v>'0'!B34</v>
      </c>
    </row>
    <row r="1252" spans="1:11" x14ac:dyDescent="0.25">
      <c r="A1252" s="3" t="str">
        <f t="shared" ca="1" si="233"/>
        <v/>
      </c>
      <c r="G1252" s="15">
        <f t="shared" ca="1" si="240"/>
        <v>35</v>
      </c>
      <c r="H1252" s="15">
        <v>1</v>
      </c>
      <c r="I1252" s="15">
        <f t="shared" ca="1" si="241"/>
        <v>0</v>
      </c>
      <c r="J1252" s="15" t="str">
        <f t="shared" ref="J1252:J1315" ca="1" si="252">ADDRESS(G1252,H1252,4,1,I1252)</f>
        <v>'0'!A35</v>
      </c>
      <c r="K1252" s="15" t="str">
        <f t="shared" ref="K1252:K1315" ca="1" si="253">ADDRESS(G1252,H1252+1,4,1,I1252)</f>
        <v>'0'!B35</v>
      </c>
    </row>
    <row r="1253" spans="1:11" x14ac:dyDescent="0.25">
      <c r="A1253" s="3" t="str">
        <f t="shared" ca="1" si="233"/>
        <v/>
      </c>
      <c r="G1253" s="15">
        <f t="shared" ca="1" si="234"/>
        <v>36</v>
      </c>
      <c r="H1253" s="15">
        <v>1</v>
      </c>
      <c r="I1253" s="15">
        <f t="shared" ca="1" si="235"/>
        <v>0</v>
      </c>
      <c r="J1253" s="15" t="str">
        <f t="shared" ca="1" si="252"/>
        <v>'0'!A36</v>
      </c>
      <c r="K1253" s="15" t="str">
        <f t="shared" ca="1" si="253"/>
        <v>'0'!B36</v>
      </c>
    </row>
    <row r="1254" spans="1:11" x14ac:dyDescent="0.25">
      <c r="A1254" s="3" t="str">
        <f t="shared" ca="1" si="233"/>
        <v/>
      </c>
      <c r="G1254" s="15">
        <f t="shared" ca="1" si="234"/>
        <v>37</v>
      </c>
      <c r="H1254" s="15">
        <v>1</v>
      </c>
      <c r="I1254" s="15">
        <f t="shared" ca="1" si="235"/>
        <v>0</v>
      </c>
      <c r="J1254" s="15" t="str">
        <f t="shared" ca="1" si="252"/>
        <v>'0'!A37</v>
      </c>
      <c r="K1254" s="15" t="str">
        <f t="shared" ca="1" si="253"/>
        <v>'0'!B37</v>
      </c>
    </row>
    <row r="1255" spans="1:11" x14ac:dyDescent="0.25">
      <c r="A1255" s="3" t="str">
        <f t="shared" ca="1" si="233"/>
        <v/>
      </c>
      <c r="G1255" s="15">
        <f t="shared" ca="1" si="234"/>
        <v>38</v>
      </c>
      <c r="H1255" s="15">
        <v>1</v>
      </c>
      <c r="I1255" s="15">
        <f t="shared" ca="1" si="235"/>
        <v>0</v>
      </c>
      <c r="J1255" s="15" t="str">
        <f t="shared" ca="1" si="252"/>
        <v>'0'!A38</v>
      </c>
      <c r="K1255" s="15" t="str">
        <f t="shared" ca="1" si="253"/>
        <v>'0'!B38</v>
      </c>
    </row>
    <row r="1256" spans="1:11" x14ac:dyDescent="0.25">
      <c r="A1256" s="3" t="str">
        <f t="shared" ca="1" si="233"/>
        <v/>
      </c>
      <c r="G1256" s="15">
        <f t="shared" ca="1" si="234"/>
        <v>39</v>
      </c>
      <c r="H1256" s="15">
        <v>1</v>
      </c>
      <c r="I1256" s="15">
        <f t="shared" ca="1" si="235"/>
        <v>0</v>
      </c>
      <c r="J1256" s="15" t="str">
        <f t="shared" ca="1" si="252"/>
        <v>'0'!A39</v>
      </c>
      <c r="K1256" s="15" t="str">
        <f t="shared" ca="1" si="253"/>
        <v>'0'!B39</v>
      </c>
    </row>
    <row r="1257" spans="1:11" x14ac:dyDescent="0.25">
      <c r="A1257" s="3" t="str">
        <f t="shared" ca="1" si="233"/>
        <v/>
      </c>
      <c r="G1257" s="15">
        <f t="shared" ca="1" si="234"/>
        <v>40</v>
      </c>
      <c r="H1257" s="15">
        <v>1</v>
      </c>
      <c r="I1257" s="15">
        <f t="shared" ca="1" si="235"/>
        <v>0</v>
      </c>
      <c r="J1257" s="15" t="str">
        <f t="shared" ca="1" si="252"/>
        <v>'0'!A40</v>
      </c>
      <c r="K1257" s="15" t="str">
        <f t="shared" ca="1" si="253"/>
        <v>'0'!B40</v>
      </c>
    </row>
    <row r="1258" spans="1:11" x14ac:dyDescent="0.25">
      <c r="A1258" s="3" t="str">
        <f t="shared" ca="1" si="233"/>
        <v/>
      </c>
      <c r="G1258" s="15">
        <f t="shared" ca="1" si="234"/>
        <v>41</v>
      </c>
      <c r="H1258" s="15">
        <v>1</v>
      </c>
      <c r="I1258" s="15">
        <f t="shared" ca="1" si="235"/>
        <v>0</v>
      </c>
      <c r="J1258" s="15" t="str">
        <f t="shared" ca="1" si="252"/>
        <v>'0'!A41</v>
      </c>
      <c r="K1258" s="15" t="str">
        <f t="shared" ca="1" si="253"/>
        <v>'0'!B41</v>
      </c>
    </row>
    <row r="1259" spans="1:11" x14ac:dyDescent="0.25">
      <c r="A1259" s="3" t="str">
        <f t="shared" ca="1" si="233"/>
        <v/>
      </c>
      <c r="C1259" s="16"/>
      <c r="G1259" s="15">
        <f t="shared" ca="1" si="234"/>
        <v>42</v>
      </c>
      <c r="H1259" s="15">
        <v>1</v>
      </c>
      <c r="I1259" s="15">
        <f t="shared" ca="1" si="235"/>
        <v>0</v>
      </c>
      <c r="J1259" s="15" t="str">
        <f t="shared" ca="1" si="252"/>
        <v>'0'!A42</v>
      </c>
      <c r="K1259" s="15" t="str">
        <f t="shared" ca="1" si="253"/>
        <v>'0'!B42</v>
      </c>
    </row>
    <row r="1260" spans="1:11" x14ac:dyDescent="0.25">
      <c r="A1260" s="3" t="str">
        <f t="shared" ref="A1260:A1323" ca="1" si="254">IFERROR(IF(INDIRECT(J1260)&lt;&gt;"",CONCATENATE(INDIRECT(J1260)," = ",INDIRECT(K1260)," "),""),"")</f>
        <v/>
      </c>
      <c r="G1260" s="15">
        <f t="shared" ca="1" si="234"/>
        <v>43</v>
      </c>
      <c r="H1260" s="15">
        <v>1</v>
      </c>
      <c r="I1260" s="15">
        <f t="shared" ca="1" si="235"/>
        <v>0</v>
      </c>
      <c r="J1260" s="15" t="str">
        <f t="shared" ca="1" si="252"/>
        <v>'0'!A43</v>
      </c>
      <c r="K1260" s="15" t="str">
        <f t="shared" ca="1" si="253"/>
        <v>'0'!B43</v>
      </c>
    </row>
    <row r="1261" spans="1:11" x14ac:dyDescent="0.25">
      <c r="A1261" s="3" t="str">
        <f t="shared" ca="1" si="254"/>
        <v/>
      </c>
      <c r="G1261" s="15">
        <f t="shared" ca="1" si="234"/>
        <v>44</v>
      </c>
      <c r="H1261" s="15">
        <v>1</v>
      </c>
      <c r="I1261" s="15">
        <f t="shared" ca="1" si="235"/>
        <v>0</v>
      </c>
      <c r="J1261" s="15" t="str">
        <f t="shared" ca="1" si="252"/>
        <v>'0'!A44</v>
      </c>
      <c r="K1261" s="15" t="str">
        <f t="shared" ca="1" si="253"/>
        <v>'0'!B44</v>
      </c>
    </row>
    <row r="1262" spans="1:11" x14ac:dyDescent="0.25">
      <c r="A1262" s="3" t="str">
        <f t="shared" ca="1" si="254"/>
        <v/>
      </c>
      <c r="G1262" s="15">
        <f t="shared" ca="1" si="234"/>
        <v>45</v>
      </c>
      <c r="H1262" s="15">
        <v>1</v>
      </c>
      <c r="I1262" s="15">
        <f t="shared" ca="1" si="235"/>
        <v>0</v>
      </c>
      <c r="J1262" s="15" t="str">
        <f t="shared" ca="1" si="252"/>
        <v>'0'!A45</v>
      </c>
      <c r="K1262" s="15" t="str">
        <f t="shared" ca="1" si="253"/>
        <v>'0'!B45</v>
      </c>
    </row>
    <row r="1263" spans="1:11" x14ac:dyDescent="0.25">
      <c r="A1263" s="3" t="str">
        <f t="shared" ca="1" si="254"/>
        <v/>
      </c>
      <c r="G1263" s="15">
        <f t="shared" ca="1" si="234"/>
        <v>46</v>
      </c>
      <c r="H1263" s="15">
        <v>1</v>
      </c>
      <c r="I1263" s="15">
        <f t="shared" ca="1" si="235"/>
        <v>0</v>
      </c>
      <c r="J1263" s="15" t="str">
        <f t="shared" ca="1" si="252"/>
        <v>'0'!A46</v>
      </c>
      <c r="K1263" s="15" t="str">
        <f t="shared" ca="1" si="253"/>
        <v>'0'!B46</v>
      </c>
    </row>
    <row r="1264" spans="1:11" x14ac:dyDescent="0.25">
      <c r="A1264" s="3" t="str">
        <f t="shared" ca="1" si="254"/>
        <v/>
      </c>
      <c r="G1264" s="15">
        <f t="shared" ca="1" si="234"/>
        <v>47</v>
      </c>
      <c r="H1264" s="15">
        <v>1</v>
      </c>
      <c r="I1264" s="15">
        <f t="shared" ca="1" si="235"/>
        <v>0</v>
      </c>
      <c r="J1264" s="15" t="str">
        <f t="shared" ca="1" si="252"/>
        <v>'0'!A47</v>
      </c>
      <c r="K1264" s="15" t="str">
        <f t="shared" ca="1" si="253"/>
        <v>'0'!B47</v>
      </c>
    </row>
    <row r="1265" spans="1:16" x14ac:dyDescent="0.25">
      <c r="A1265" s="3" t="str">
        <f t="shared" ca="1" si="254"/>
        <v/>
      </c>
      <c r="G1265" s="15">
        <f t="shared" ca="1" si="234"/>
        <v>48</v>
      </c>
      <c r="H1265" s="15">
        <v>1</v>
      </c>
      <c r="I1265" s="15">
        <f t="shared" ca="1" si="235"/>
        <v>0</v>
      </c>
      <c r="J1265" s="15" t="str">
        <f t="shared" ca="1" si="252"/>
        <v>'0'!A48</v>
      </c>
      <c r="K1265" s="15" t="str">
        <f t="shared" ca="1" si="253"/>
        <v>'0'!B48</v>
      </c>
    </row>
    <row r="1266" spans="1:16" x14ac:dyDescent="0.25">
      <c r="A1266" s="3" t="str">
        <f t="shared" ca="1" si="254"/>
        <v/>
      </c>
      <c r="G1266" s="15">
        <f t="shared" ca="1" si="234"/>
        <v>49</v>
      </c>
      <c r="H1266" s="15">
        <v>1</v>
      </c>
      <c r="I1266" s="15">
        <f t="shared" ca="1" si="235"/>
        <v>0</v>
      </c>
      <c r="J1266" s="15" t="str">
        <f t="shared" ca="1" si="252"/>
        <v>'0'!A49</v>
      </c>
      <c r="K1266" s="15" t="str">
        <f t="shared" ca="1" si="253"/>
        <v>'0'!B49</v>
      </c>
    </row>
    <row r="1267" spans="1:16" x14ac:dyDescent="0.25">
      <c r="A1267" s="3" t="str">
        <f t="shared" ca="1" si="254"/>
        <v/>
      </c>
      <c r="G1267" s="15">
        <f t="shared" ca="1" si="234"/>
        <v>50</v>
      </c>
      <c r="H1267" s="15">
        <v>1</v>
      </c>
      <c r="I1267" s="15">
        <f t="shared" ca="1" si="235"/>
        <v>0</v>
      </c>
      <c r="J1267" s="15" t="str">
        <f t="shared" ca="1" si="252"/>
        <v>'0'!A50</v>
      </c>
      <c r="K1267" s="15" t="str">
        <f t="shared" ca="1" si="253"/>
        <v>'0'!B50</v>
      </c>
    </row>
    <row r="1268" spans="1:16" x14ac:dyDescent="0.25">
      <c r="A1268" s="3" t="str">
        <f t="shared" ca="1" si="254"/>
        <v/>
      </c>
      <c r="G1268" s="15">
        <f t="shared" ref="G1268" ca="1" si="255">INDIRECT(M1268)</f>
        <v>31</v>
      </c>
      <c r="H1268" s="15">
        <v>1</v>
      </c>
      <c r="I1268" s="15">
        <f t="shared" ref="I1268" ca="1" si="256">INDIRECT(N1268)</f>
        <v>0</v>
      </c>
      <c r="J1268" s="15" t="str">
        <f t="shared" ca="1" si="252"/>
        <v>'0'!A31</v>
      </c>
      <c r="K1268" s="15" t="str">
        <f t="shared" ca="1" si="253"/>
        <v>'0'!B31</v>
      </c>
      <c r="M1268" s="15" t="str">
        <f t="shared" ref="M1268" si="257">ADDRESS(O1268,3,4,1,$R$1)</f>
        <v>konfig!C65</v>
      </c>
      <c r="N1268" s="15" t="str">
        <f t="shared" ref="N1268" si="258">ADDRESS(O1268,1,4,1,$R$1)</f>
        <v>konfig!A65</v>
      </c>
      <c r="O1268" s="15">
        <v>65</v>
      </c>
      <c r="P1268" s="15">
        <v>4</v>
      </c>
    </row>
    <row r="1269" spans="1:16" x14ac:dyDescent="0.25">
      <c r="A1269" s="3" t="str">
        <f t="shared" ca="1" si="254"/>
        <v/>
      </c>
      <c r="G1269" s="15">
        <f t="shared" ca="1" si="246"/>
        <v>32</v>
      </c>
      <c r="H1269" s="15">
        <v>1</v>
      </c>
      <c r="I1269" s="15">
        <f t="shared" ca="1" si="247"/>
        <v>0</v>
      </c>
      <c r="J1269" s="15" t="str">
        <f t="shared" ca="1" si="252"/>
        <v>'0'!A32</v>
      </c>
      <c r="K1269" s="15" t="str">
        <f t="shared" ca="1" si="253"/>
        <v>'0'!B32</v>
      </c>
    </row>
    <row r="1270" spans="1:16" x14ac:dyDescent="0.25">
      <c r="A1270" s="3" t="str">
        <f t="shared" ca="1" si="254"/>
        <v/>
      </c>
      <c r="G1270" s="15">
        <f t="shared" ca="1" si="246"/>
        <v>33</v>
      </c>
      <c r="H1270" s="15">
        <v>1</v>
      </c>
      <c r="I1270" s="15">
        <f t="shared" ca="1" si="247"/>
        <v>0</v>
      </c>
      <c r="J1270" s="15" t="str">
        <f t="shared" ca="1" si="252"/>
        <v>'0'!A33</v>
      </c>
      <c r="K1270" s="15" t="str">
        <f t="shared" ca="1" si="253"/>
        <v>'0'!B33</v>
      </c>
    </row>
    <row r="1271" spans="1:16" x14ac:dyDescent="0.25">
      <c r="A1271" s="3" t="str">
        <f t="shared" ca="1" si="254"/>
        <v/>
      </c>
      <c r="C1271" s="16"/>
      <c r="G1271" s="15">
        <f t="shared" ca="1" si="246"/>
        <v>34</v>
      </c>
      <c r="H1271" s="15">
        <v>1</v>
      </c>
      <c r="I1271" s="15">
        <f t="shared" ca="1" si="247"/>
        <v>0</v>
      </c>
      <c r="J1271" s="15" t="str">
        <f t="shared" ca="1" si="252"/>
        <v>'0'!A34</v>
      </c>
      <c r="K1271" s="15" t="str">
        <f t="shared" ca="1" si="253"/>
        <v>'0'!B34</v>
      </c>
    </row>
    <row r="1272" spans="1:16" x14ac:dyDescent="0.25">
      <c r="A1272" s="3" t="str">
        <f t="shared" ca="1" si="254"/>
        <v/>
      </c>
      <c r="G1272" s="15">
        <f t="shared" ca="1" si="246"/>
        <v>35</v>
      </c>
      <c r="H1272" s="15">
        <v>1</v>
      </c>
      <c r="I1272" s="15">
        <f t="shared" ca="1" si="247"/>
        <v>0</v>
      </c>
      <c r="J1272" s="15" t="str">
        <f t="shared" ca="1" si="252"/>
        <v>'0'!A35</v>
      </c>
      <c r="K1272" s="15" t="str">
        <f t="shared" ca="1" si="253"/>
        <v>'0'!B35</v>
      </c>
    </row>
    <row r="1273" spans="1:16" x14ac:dyDescent="0.25">
      <c r="A1273" s="3" t="str">
        <f t="shared" ca="1" si="254"/>
        <v/>
      </c>
      <c r="G1273" s="15">
        <f t="shared" ca="1" si="246"/>
        <v>36</v>
      </c>
      <c r="H1273" s="15">
        <v>1</v>
      </c>
      <c r="I1273" s="15">
        <f t="shared" ca="1" si="247"/>
        <v>0</v>
      </c>
      <c r="J1273" s="15" t="str">
        <f t="shared" ca="1" si="252"/>
        <v>'0'!A36</v>
      </c>
      <c r="K1273" s="15" t="str">
        <f t="shared" ca="1" si="253"/>
        <v>'0'!B36</v>
      </c>
    </row>
    <row r="1274" spans="1:16" x14ac:dyDescent="0.25">
      <c r="A1274" s="3" t="str">
        <f t="shared" ca="1" si="254"/>
        <v/>
      </c>
      <c r="G1274" s="15">
        <f t="shared" ca="1" si="246"/>
        <v>37</v>
      </c>
      <c r="H1274" s="15">
        <v>1</v>
      </c>
      <c r="I1274" s="15">
        <f t="shared" ca="1" si="247"/>
        <v>0</v>
      </c>
      <c r="J1274" s="15" t="str">
        <f t="shared" ca="1" si="252"/>
        <v>'0'!A37</v>
      </c>
      <c r="K1274" s="15" t="str">
        <f t="shared" ca="1" si="253"/>
        <v>'0'!B37</v>
      </c>
    </row>
    <row r="1275" spans="1:16" x14ac:dyDescent="0.25">
      <c r="A1275" s="3" t="str">
        <f t="shared" ca="1" si="254"/>
        <v/>
      </c>
      <c r="G1275" s="15">
        <f t="shared" ca="1" si="246"/>
        <v>38</v>
      </c>
      <c r="H1275" s="15">
        <v>1</v>
      </c>
      <c r="I1275" s="15">
        <f t="shared" ca="1" si="247"/>
        <v>0</v>
      </c>
      <c r="J1275" s="15" t="str">
        <f t="shared" ca="1" si="252"/>
        <v>'0'!A38</v>
      </c>
      <c r="K1275" s="15" t="str">
        <f t="shared" ca="1" si="253"/>
        <v>'0'!B38</v>
      </c>
    </row>
    <row r="1276" spans="1:16" x14ac:dyDescent="0.25">
      <c r="A1276" s="3" t="str">
        <f t="shared" ca="1" si="254"/>
        <v/>
      </c>
      <c r="G1276" s="15">
        <f t="shared" ca="1" si="246"/>
        <v>39</v>
      </c>
      <c r="H1276" s="15">
        <v>1</v>
      </c>
      <c r="I1276" s="15">
        <f t="shared" ca="1" si="247"/>
        <v>0</v>
      </c>
      <c r="J1276" s="15" t="str">
        <f t="shared" ca="1" si="252"/>
        <v>'0'!A39</v>
      </c>
      <c r="K1276" s="15" t="str">
        <f t="shared" ca="1" si="253"/>
        <v>'0'!B39</v>
      </c>
    </row>
    <row r="1277" spans="1:16" x14ac:dyDescent="0.25">
      <c r="A1277" s="3" t="str">
        <f t="shared" ca="1" si="254"/>
        <v/>
      </c>
      <c r="G1277" s="15">
        <f t="shared" ca="1" si="246"/>
        <v>40</v>
      </c>
      <c r="H1277" s="15">
        <v>1</v>
      </c>
      <c r="I1277" s="15">
        <f t="shared" ca="1" si="247"/>
        <v>0</v>
      </c>
      <c r="J1277" s="15" t="str">
        <f t="shared" ca="1" si="252"/>
        <v>'0'!A40</v>
      </c>
      <c r="K1277" s="15" t="str">
        <f t="shared" ca="1" si="253"/>
        <v>'0'!B40</v>
      </c>
    </row>
    <row r="1278" spans="1:16" x14ac:dyDescent="0.25">
      <c r="A1278" s="3" t="str">
        <f t="shared" ca="1" si="254"/>
        <v/>
      </c>
      <c r="G1278" s="15">
        <f t="shared" ca="1" si="246"/>
        <v>41</v>
      </c>
      <c r="H1278" s="15">
        <v>1</v>
      </c>
      <c r="I1278" s="15">
        <f t="shared" ca="1" si="247"/>
        <v>0</v>
      </c>
      <c r="J1278" s="15" t="str">
        <f t="shared" ca="1" si="252"/>
        <v>'0'!A41</v>
      </c>
      <c r="K1278" s="15" t="str">
        <f t="shared" ca="1" si="253"/>
        <v>'0'!B41</v>
      </c>
    </row>
    <row r="1279" spans="1:16" x14ac:dyDescent="0.25">
      <c r="A1279" s="3" t="str">
        <f t="shared" ca="1" si="254"/>
        <v/>
      </c>
      <c r="C1279" s="16"/>
      <c r="G1279" s="15">
        <f t="shared" ca="1" si="246"/>
        <v>42</v>
      </c>
      <c r="H1279" s="15">
        <v>1</v>
      </c>
      <c r="I1279" s="15">
        <f t="shared" ca="1" si="247"/>
        <v>0</v>
      </c>
      <c r="J1279" s="15" t="str">
        <f t="shared" ca="1" si="252"/>
        <v>'0'!A42</v>
      </c>
      <c r="K1279" s="15" t="str">
        <f t="shared" ca="1" si="253"/>
        <v>'0'!B42</v>
      </c>
    </row>
    <row r="1280" spans="1:16" x14ac:dyDescent="0.25">
      <c r="A1280" s="3" t="str">
        <f t="shared" ca="1" si="254"/>
        <v/>
      </c>
      <c r="G1280" s="15">
        <f t="shared" ca="1" si="246"/>
        <v>43</v>
      </c>
      <c r="H1280" s="15">
        <v>1</v>
      </c>
      <c r="I1280" s="15">
        <f t="shared" ca="1" si="247"/>
        <v>0</v>
      </c>
      <c r="J1280" s="15" t="str">
        <f t="shared" ca="1" si="252"/>
        <v>'0'!A43</v>
      </c>
      <c r="K1280" s="15" t="str">
        <f t="shared" ca="1" si="253"/>
        <v>'0'!B43</v>
      </c>
    </row>
    <row r="1281" spans="1:16" x14ac:dyDescent="0.25">
      <c r="A1281" s="3" t="str">
        <f t="shared" ca="1" si="254"/>
        <v/>
      </c>
      <c r="G1281" s="15">
        <f t="shared" ca="1" si="246"/>
        <v>44</v>
      </c>
      <c r="H1281" s="15">
        <v>1</v>
      </c>
      <c r="I1281" s="15">
        <f t="shared" ca="1" si="247"/>
        <v>0</v>
      </c>
      <c r="J1281" s="15" t="str">
        <f t="shared" ca="1" si="252"/>
        <v>'0'!A44</v>
      </c>
      <c r="K1281" s="15" t="str">
        <f t="shared" ca="1" si="253"/>
        <v>'0'!B44</v>
      </c>
    </row>
    <row r="1282" spans="1:16" x14ac:dyDescent="0.25">
      <c r="A1282" s="3" t="str">
        <f t="shared" ca="1" si="254"/>
        <v/>
      </c>
      <c r="G1282" s="15">
        <f t="shared" ca="1" si="246"/>
        <v>45</v>
      </c>
      <c r="H1282" s="15">
        <v>1</v>
      </c>
      <c r="I1282" s="15">
        <f t="shared" ca="1" si="247"/>
        <v>0</v>
      </c>
      <c r="J1282" s="15" t="str">
        <f t="shared" ca="1" si="252"/>
        <v>'0'!A45</v>
      </c>
      <c r="K1282" s="15" t="str">
        <f t="shared" ca="1" si="253"/>
        <v>'0'!B45</v>
      </c>
    </row>
    <row r="1283" spans="1:16" x14ac:dyDescent="0.25">
      <c r="A1283" s="3" t="str">
        <f t="shared" ca="1" si="254"/>
        <v/>
      </c>
      <c r="G1283" s="15">
        <f t="shared" ca="1" si="246"/>
        <v>46</v>
      </c>
      <c r="H1283" s="15">
        <v>1</v>
      </c>
      <c r="I1283" s="15">
        <f t="shared" ca="1" si="247"/>
        <v>0</v>
      </c>
      <c r="J1283" s="15" t="str">
        <f t="shared" ca="1" si="252"/>
        <v>'0'!A46</v>
      </c>
      <c r="K1283" s="15" t="str">
        <f t="shared" ca="1" si="253"/>
        <v>'0'!B46</v>
      </c>
    </row>
    <row r="1284" spans="1:16" x14ac:dyDescent="0.25">
      <c r="A1284" s="3" t="str">
        <f t="shared" ca="1" si="254"/>
        <v/>
      </c>
      <c r="G1284" s="15">
        <f t="shared" ca="1" si="246"/>
        <v>47</v>
      </c>
      <c r="H1284" s="15">
        <v>1</v>
      </c>
      <c r="I1284" s="15">
        <f t="shared" ca="1" si="247"/>
        <v>0</v>
      </c>
      <c r="J1284" s="15" t="str">
        <f t="shared" ca="1" si="252"/>
        <v>'0'!A47</v>
      </c>
      <c r="K1284" s="15" t="str">
        <f t="shared" ca="1" si="253"/>
        <v>'0'!B47</v>
      </c>
    </row>
    <row r="1285" spans="1:16" x14ac:dyDescent="0.25">
      <c r="A1285" s="3" t="str">
        <f t="shared" ca="1" si="254"/>
        <v/>
      </c>
      <c r="G1285" s="15">
        <f t="shared" ca="1" si="246"/>
        <v>48</v>
      </c>
      <c r="H1285" s="15">
        <v>1</v>
      </c>
      <c r="I1285" s="15">
        <f t="shared" ca="1" si="247"/>
        <v>0</v>
      </c>
      <c r="J1285" s="15" t="str">
        <f t="shared" ca="1" si="252"/>
        <v>'0'!A48</v>
      </c>
      <c r="K1285" s="15" t="str">
        <f t="shared" ca="1" si="253"/>
        <v>'0'!B48</v>
      </c>
    </row>
    <row r="1286" spans="1:16" x14ac:dyDescent="0.25">
      <c r="A1286" s="3" t="str">
        <f t="shared" ca="1" si="254"/>
        <v/>
      </c>
      <c r="G1286" s="15">
        <f t="shared" ca="1" si="246"/>
        <v>49</v>
      </c>
      <c r="H1286" s="15">
        <v>1</v>
      </c>
      <c r="I1286" s="15">
        <f t="shared" ca="1" si="247"/>
        <v>0</v>
      </c>
      <c r="J1286" s="15" t="str">
        <f t="shared" ca="1" si="252"/>
        <v>'0'!A49</v>
      </c>
      <c r="K1286" s="15" t="str">
        <f t="shared" ca="1" si="253"/>
        <v>'0'!B49</v>
      </c>
    </row>
    <row r="1287" spans="1:16" x14ac:dyDescent="0.25">
      <c r="A1287" s="3" t="str">
        <f t="shared" ca="1" si="254"/>
        <v/>
      </c>
      <c r="G1287" s="15">
        <f t="shared" ca="1" si="246"/>
        <v>50</v>
      </c>
      <c r="H1287" s="15">
        <v>1</v>
      </c>
      <c r="I1287" s="15">
        <f t="shared" ca="1" si="247"/>
        <v>0</v>
      </c>
      <c r="J1287" s="15" t="str">
        <f t="shared" ca="1" si="252"/>
        <v>'0'!A50</v>
      </c>
      <c r="K1287" s="15" t="str">
        <f t="shared" ca="1" si="253"/>
        <v>'0'!B50</v>
      </c>
    </row>
    <row r="1288" spans="1:16" x14ac:dyDescent="0.25">
      <c r="A1288" s="3" t="str">
        <f t="shared" ca="1" si="254"/>
        <v/>
      </c>
      <c r="G1288" s="15">
        <f t="shared" ref="G1288" ca="1" si="259">INDIRECT(M1288)</f>
        <v>31</v>
      </c>
      <c r="H1288" s="15">
        <v>1</v>
      </c>
      <c r="I1288" s="15">
        <f t="shared" ref="I1288" ca="1" si="260">INDIRECT(N1288)</f>
        <v>0</v>
      </c>
      <c r="J1288" s="15" t="str">
        <f t="shared" ca="1" si="252"/>
        <v>'0'!A31</v>
      </c>
      <c r="K1288" s="15" t="str">
        <f t="shared" ca="1" si="253"/>
        <v>'0'!B31</v>
      </c>
      <c r="M1288" s="15" t="str">
        <f t="shared" ref="M1288" si="261">ADDRESS(O1288,3,4,1,$R$1)</f>
        <v>konfig!C66</v>
      </c>
      <c r="N1288" s="15" t="str">
        <f t="shared" ref="N1288" si="262">ADDRESS(O1288,1,4,1,$R$1)</f>
        <v>konfig!A66</v>
      </c>
      <c r="O1288" s="15">
        <v>66</v>
      </c>
      <c r="P1288" s="15">
        <v>4</v>
      </c>
    </row>
    <row r="1289" spans="1:16" x14ac:dyDescent="0.25">
      <c r="A1289" s="3" t="str">
        <f t="shared" ca="1" si="254"/>
        <v/>
      </c>
      <c r="G1289" s="15">
        <f t="shared" ref="G1289:G1352" ca="1" si="263">G1288+1</f>
        <v>32</v>
      </c>
      <c r="H1289" s="15">
        <v>1</v>
      </c>
      <c r="I1289" s="15">
        <f t="shared" ref="I1289:I1352" ca="1" si="264">I1288</f>
        <v>0</v>
      </c>
      <c r="J1289" s="15" t="str">
        <f t="shared" ca="1" si="252"/>
        <v>'0'!A32</v>
      </c>
      <c r="K1289" s="15" t="str">
        <f t="shared" ca="1" si="253"/>
        <v>'0'!B32</v>
      </c>
    </row>
    <row r="1290" spans="1:16" x14ac:dyDescent="0.25">
      <c r="A1290" s="3" t="str">
        <f t="shared" ca="1" si="254"/>
        <v/>
      </c>
      <c r="G1290" s="15">
        <f t="shared" ca="1" si="263"/>
        <v>33</v>
      </c>
      <c r="H1290" s="15">
        <v>1</v>
      </c>
      <c r="I1290" s="15">
        <f t="shared" ca="1" si="264"/>
        <v>0</v>
      </c>
      <c r="J1290" s="15" t="str">
        <f t="shared" ca="1" si="252"/>
        <v>'0'!A33</v>
      </c>
      <c r="K1290" s="15" t="str">
        <f t="shared" ca="1" si="253"/>
        <v>'0'!B33</v>
      </c>
    </row>
    <row r="1291" spans="1:16" x14ac:dyDescent="0.25">
      <c r="A1291" s="3" t="str">
        <f t="shared" ca="1" si="254"/>
        <v/>
      </c>
      <c r="C1291" s="16"/>
      <c r="G1291" s="15">
        <f t="shared" ca="1" si="263"/>
        <v>34</v>
      </c>
      <c r="H1291" s="15">
        <v>1</v>
      </c>
      <c r="I1291" s="15">
        <f t="shared" ca="1" si="264"/>
        <v>0</v>
      </c>
      <c r="J1291" s="15" t="str">
        <f t="shared" ca="1" si="252"/>
        <v>'0'!A34</v>
      </c>
      <c r="K1291" s="15" t="str">
        <f t="shared" ca="1" si="253"/>
        <v>'0'!B34</v>
      </c>
    </row>
    <row r="1292" spans="1:16" x14ac:dyDescent="0.25">
      <c r="A1292" s="3" t="str">
        <f t="shared" ca="1" si="254"/>
        <v/>
      </c>
      <c r="G1292" s="15">
        <f t="shared" ca="1" si="263"/>
        <v>35</v>
      </c>
      <c r="H1292" s="15">
        <v>1</v>
      </c>
      <c r="I1292" s="15">
        <f t="shared" ca="1" si="264"/>
        <v>0</v>
      </c>
      <c r="J1292" s="15" t="str">
        <f t="shared" ca="1" si="252"/>
        <v>'0'!A35</v>
      </c>
      <c r="K1292" s="15" t="str">
        <f t="shared" ca="1" si="253"/>
        <v>'0'!B35</v>
      </c>
    </row>
    <row r="1293" spans="1:16" x14ac:dyDescent="0.25">
      <c r="A1293" s="3" t="str">
        <f t="shared" ca="1" si="254"/>
        <v/>
      </c>
      <c r="G1293" s="15">
        <f t="shared" ca="1" si="263"/>
        <v>36</v>
      </c>
      <c r="H1293" s="15">
        <v>1</v>
      </c>
      <c r="I1293" s="15">
        <f t="shared" ca="1" si="264"/>
        <v>0</v>
      </c>
      <c r="J1293" s="15" t="str">
        <f t="shared" ca="1" si="252"/>
        <v>'0'!A36</v>
      </c>
      <c r="K1293" s="15" t="str">
        <f t="shared" ca="1" si="253"/>
        <v>'0'!B36</v>
      </c>
    </row>
    <row r="1294" spans="1:16" x14ac:dyDescent="0.25">
      <c r="A1294" s="3" t="str">
        <f t="shared" ca="1" si="254"/>
        <v/>
      </c>
      <c r="G1294" s="15">
        <f t="shared" ca="1" si="263"/>
        <v>37</v>
      </c>
      <c r="H1294" s="15">
        <v>1</v>
      </c>
      <c r="I1294" s="15">
        <f t="shared" ca="1" si="264"/>
        <v>0</v>
      </c>
      <c r="J1294" s="15" t="str">
        <f t="shared" ca="1" si="252"/>
        <v>'0'!A37</v>
      </c>
      <c r="K1294" s="15" t="str">
        <f t="shared" ca="1" si="253"/>
        <v>'0'!B37</v>
      </c>
    </row>
    <row r="1295" spans="1:16" x14ac:dyDescent="0.25">
      <c r="A1295" s="3" t="str">
        <f t="shared" ca="1" si="254"/>
        <v/>
      </c>
      <c r="G1295" s="15">
        <f t="shared" ca="1" si="263"/>
        <v>38</v>
      </c>
      <c r="H1295" s="15">
        <v>1</v>
      </c>
      <c r="I1295" s="15">
        <f t="shared" ca="1" si="264"/>
        <v>0</v>
      </c>
      <c r="J1295" s="15" t="str">
        <f t="shared" ca="1" si="252"/>
        <v>'0'!A38</v>
      </c>
      <c r="K1295" s="15" t="str">
        <f t="shared" ca="1" si="253"/>
        <v>'0'!B38</v>
      </c>
    </row>
    <row r="1296" spans="1:16" x14ac:dyDescent="0.25">
      <c r="A1296" s="3" t="str">
        <f t="shared" ca="1" si="254"/>
        <v/>
      </c>
      <c r="G1296" s="15">
        <f t="shared" ca="1" si="263"/>
        <v>39</v>
      </c>
      <c r="H1296" s="15">
        <v>1</v>
      </c>
      <c r="I1296" s="15">
        <f t="shared" ca="1" si="264"/>
        <v>0</v>
      </c>
      <c r="J1296" s="15" t="str">
        <f t="shared" ca="1" si="252"/>
        <v>'0'!A39</v>
      </c>
      <c r="K1296" s="15" t="str">
        <f t="shared" ca="1" si="253"/>
        <v>'0'!B39</v>
      </c>
    </row>
    <row r="1297" spans="1:16" x14ac:dyDescent="0.25">
      <c r="A1297" s="3" t="str">
        <f t="shared" ca="1" si="254"/>
        <v/>
      </c>
      <c r="G1297" s="15">
        <f t="shared" ca="1" si="263"/>
        <v>40</v>
      </c>
      <c r="H1297" s="15">
        <v>1</v>
      </c>
      <c r="I1297" s="15">
        <f t="shared" ca="1" si="264"/>
        <v>0</v>
      </c>
      <c r="J1297" s="15" t="str">
        <f t="shared" ca="1" si="252"/>
        <v>'0'!A40</v>
      </c>
      <c r="K1297" s="15" t="str">
        <f t="shared" ca="1" si="253"/>
        <v>'0'!B40</v>
      </c>
    </row>
    <row r="1298" spans="1:16" x14ac:dyDescent="0.25">
      <c r="A1298" s="3" t="str">
        <f t="shared" ca="1" si="254"/>
        <v/>
      </c>
      <c r="G1298" s="15">
        <f t="shared" ca="1" si="263"/>
        <v>41</v>
      </c>
      <c r="H1298" s="15">
        <v>1</v>
      </c>
      <c r="I1298" s="15">
        <f t="shared" ca="1" si="264"/>
        <v>0</v>
      </c>
      <c r="J1298" s="15" t="str">
        <f t="shared" ca="1" si="252"/>
        <v>'0'!A41</v>
      </c>
      <c r="K1298" s="15" t="str">
        <f t="shared" ca="1" si="253"/>
        <v>'0'!B41</v>
      </c>
    </row>
    <row r="1299" spans="1:16" x14ac:dyDescent="0.25">
      <c r="A1299" s="3" t="str">
        <f t="shared" ca="1" si="254"/>
        <v/>
      </c>
      <c r="C1299" s="16"/>
      <c r="G1299" s="15">
        <f t="shared" ca="1" si="263"/>
        <v>42</v>
      </c>
      <c r="H1299" s="15">
        <v>1</v>
      </c>
      <c r="I1299" s="15">
        <f t="shared" ca="1" si="264"/>
        <v>0</v>
      </c>
      <c r="J1299" s="15" t="str">
        <f t="shared" ca="1" si="252"/>
        <v>'0'!A42</v>
      </c>
      <c r="K1299" s="15" t="str">
        <f t="shared" ca="1" si="253"/>
        <v>'0'!B42</v>
      </c>
    </row>
    <row r="1300" spans="1:16" x14ac:dyDescent="0.25">
      <c r="A1300" s="3" t="str">
        <f t="shared" ca="1" si="254"/>
        <v/>
      </c>
      <c r="G1300" s="15">
        <f t="shared" ca="1" si="263"/>
        <v>43</v>
      </c>
      <c r="H1300" s="15">
        <v>1</v>
      </c>
      <c r="I1300" s="15">
        <f t="shared" ca="1" si="264"/>
        <v>0</v>
      </c>
      <c r="J1300" s="15" t="str">
        <f t="shared" ca="1" si="252"/>
        <v>'0'!A43</v>
      </c>
      <c r="K1300" s="15" t="str">
        <f t="shared" ca="1" si="253"/>
        <v>'0'!B43</v>
      </c>
    </row>
    <row r="1301" spans="1:16" x14ac:dyDescent="0.25">
      <c r="A1301" s="3" t="str">
        <f t="shared" ca="1" si="254"/>
        <v/>
      </c>
      <c r="G1301" s="15">
        <f t="shared" ca="1" si="263"/>
        <v>44</v>
      </c>
      <c r="H1301" s="15">
        <v>1</v>
      </c>
      <c r="I1301" s="15">
        <f t="shared" ca="1" si="264"/>
        <v>0</v>
      </c>
      <c r="J1301" s="15" t="str">
        <f t="shared" ca="1" si="252"/>
        <v>'0'!A44</v>
      </c>
      <c r="K1301" s="15" t="str">
        <f t="shared" ca="1" si="253"/>
        <v>'0'!B44</v>
      </c>
    </row>
    <row r="1302" spans="1:16" x14ac:dyDescent="0.25">
      <c r="A1302" s="3" t="str">
        <f t="shared" ca="1" si="254"/>
        <v/>
      </c>
      <c r="G1302" s="15">
        <f t="shared" ca="1" si="263"/>
        <v>45</v>
      </c>
      <c r="H1302" s="15">
        <v>1</v>
      </c>
      <c r="I1302" s="15">
        <f t="shared" ca="1" si="264"/>
        <v>0</v>
      </c>
      <c r="J1302" s="15" t="str">
        <f t="shared" ca="1" si="252"/>
        <v>'0'!A45</v>
      </c>
      <c r="K1302" s="15" t="str">
        <f t="shared" ca="1" si="253"/>
        <v>'0'!B45</v>
      </c>
    </row>
    <row r="1303" spans="1:16" x14ac:dyDescent="0.25">
      <c r="A1303" s="3" t="str">
        <f t="shared" ca="1" si="254"/>
        <v/>
      </c>
      <c r="G1303" s="15">
        <f t="shared" ca="1" si="263"/>
        <v>46</v>
      </c>
      <c r="H1303" s="15">
        <v>1</v>
      </c>
      <c r="I1303" s="15">
        <f t="shared" ca="1" si="264"/>
        <v>0</v>
      </c>
      <c r="J1303" s="15" t="str">
        <f t="shared" ca="1" si="252"/>
        <v>'0'!A46</v>
      </c>
      <c r="K1303" s="15" t="str">
        <f t="shared" ca="1" si="253"/>
        <v>'0'!B46</v>
      </c>
    </row>
    <row r="1304" spans="1:16" x14ac:dyDescent="0.25">
      <c r="A1304" s="3" t="str">
        <f t="shared" ca="1" si="254"/>
        <v/>
      </c>
      <c r="G1304" s="15">
        <f t="shared" ca="1" si="263"/>
        <v>47</v>
      </c>
      <c r="H1304" s="15">
        <v>1</v>
      </c>
      <c r="I1304" s="15">
        <f t="shared" ca="1" si="264"/>
        <v>0</v>
      </c>
      <c r="J1304" s="15" t="str">
        <f t="shared" ca="1" si="252"/>
        <v>'0'!A47</v>
      </c>
      <c r="K1304" s="15" t="str">
        <f t="shared" ca="1" si="253"/>
        <v>'0'!B47</v>
      </c>
    </row>
    <row r="1305" spans="1:16" x14ac:dyDescent="0.25">
      <c r="A1305" s="3" t="str">
        <f t="shared" ca="1" si="254"/>
        <v/>
      </c>
      <c r="G1305" s="15">
        <f t="shared" ca="1" si="263"/>
        <v>48</v>
      </c>
      <c r="H1305" s="15">
        <v>1</v>
      </c>
      <c r="I1305" s="15">
        <f t="shared" ca="1" si="264"/>
        <v>0</v>
      </c>
      <c r="J1305" s="15" t="str">
        <f t="shared" ca="1" si="252"/>
        <v>'0'!A48</v>
      </c>
      <c r="K1305" s="15" t="str">
        <f t="shared" ca="1" si="253"/>
        <v>'0'!B48</v>
      </c>
    </row>
    <row r="1306" spans="1:16" x14ac:dyDescent="0.25">
      <c r="A1306" s="3" t="str">
        <f t="shared" ca="1" si="254"/>
        <v/>
      </c>
      <c r="G1306" s="15">
        <f t="shared" ca="1" si="263"/>
        <v>49</v>
      </c>
      <c r="H1306" s="15">
        <v>1</v>
      </c>
      <c r="I1306" s="15">
        <f t="shared" ca="1" si="264"/>
        <v>0</v>
      </c>
      <c r="J1306" s="15" t="str">
        <f t="shared" ca="1" si="252"/>
        <v>'0'!A49</v>
      </c>
      <c r="K1306" s="15" t="str">
        <f t="shared" ca="1" si="253"/>
        <v>'0'!B49</v>
      </c>
    </row>
    <row r="1307" spans="1:16" x14ac:dyDescent="0.25">
      <c r="A1307" s="3" t="str">
        <f t="shared" ca="1" si="254"/>
        <v/>
      </c>
      <c r="G1307" s="15">
        <f t="shared" ca="1" si="263"/>
        <v>50</v>
      </c>
      <c r="H1307" s="15">
        <v>1</v>
      </c>
      <c r="I1307" s="15">
        <f t="shared" ca="1" si="264"/>
        <v>0</v>
      </c>
      <c r="J1307" s="15" t="str">
        <f t="shared" ca="1" si="252"/>
        <v>'0'!A50</v>
      </c>
      <c r="K1307" s="15" t="str">
        <f t="shared" ca="1" si="253"/>
        <v>'0'!B50</v>
      </c>
    </row>
    <row r="1308" spans="1:16" x14ac:dyDescent="0.25">
      <c r="A1308" s="3" t="str">
        <f t="shared" ca="1" si="254"/>
        <v/>
      </c>
      <c r="G1308" s="15">
        <f t="shared" ref="G1308" ca="1" si="265">INDIRECT(M1308)</f>
        <v>31</v>
      </c>
      <c r="H1308" s="15">
        <v>1</v>
      </c>
      <c r="I1308" s="15">
        <f t="shared" ref="I1308" ca="1" si="266">INDIRECT(N1308)</f>
        <v>0</v>
      </c>
      <c r="J1308" s="15" t="str">
        <f t="shared" ca="1" si="252"/>
        <v>'0'!A31</v>
      </c>
      <c r="K1308" s="15" t="str">
        <f t="shared" ca="1" si="253"/>
        <v>'0'!B31</v>
      </c>
      <c r="M1308" s="15" t="str">
        <f t="shared" ref="M1308" si="267">ADDRESS(O1308,3,4,1,$R$1)</f>
        <v>konfig!C67</v>
      </c>
      <c r="N1308" s="15" t="str">
        <f t="shared" ref="N1308" si="268">ADDRESS(O1308,1,4,1,$R$1)</f>
        <v>konfig!A67</v>
      </c>
      <c r="O1308" s="15">
        <v>67</v>
      </c>
      <c r="P1308" s="15">
        <v>4</v>
      </c>
    </row>
    <row r="1309" spans="1:16" x14ac:dyDescent="0.25">
      <c r="A1309" s="3" t="str">
        <f t="shared" ca="1" si="254"/>
        <v/>
      </c>
      <c r="G1309" s="15">
        <f t="shared" ref="G1309:G1349" ca="1" si="269">G1308+1</f>
        <v>32</v>
      </c>
      <c r="H1309" s="15">
        <v>1</v>
      </c>
      <c r="I1309" s="15">
        <f t="shared" ref="I1309:I1349" ca="1" si="270">I1308</f>
        <v>0</v>
      </c>
      <c r="J1309" s="15" t="str">
        <f t="shared" ca="1" si="252"/>
        <v>'0'!A32</v>
      </c>
      <c r="K1309" s="15" t="str">
        <f t="shared" ca="1" si="253"/>
        <v>'0'!B32</v>
      </c>
    </row>
    <row r="1310" spans="1:16" x14ac:dyDescent="0.25">
      <c r="A1310" s="3" t="str">
        <f t="shared" ca="1" si="254"/>
        <v/>
      </c>
      <c r="G1310" s="15">
        <f t="shared" ca="1" si="263"/>
        <v>33</v>
      </c>
      <c r="H1310" s="15">
        <v>1</v>
      </c>
      <c r="I1310" s="15">
        <f t="shared" ca="1" si="264"/>
        <v>0</v>
      </c>
      <c r="J1310" s="15" t="str">
        <f t="shared" ca="1" si="252"/>
        <v>'0'!A33</v>
      </c>
      <c r="K1310" s="15" t="str">
        <f t="shared" ca="1" si="253"/>
        <v>'0'!B33</v>
      </c>
    </row>
    <row r="1311" spans="1:16" x14ac:dyDescent="0.25">
      <c r="A1311" s="3" t="str">
        <f t="shared" ca="1" si="254"/>
        <v/>
      </c>
      <c r="C1311" s="16"/>
      <c r="G1311" s="15">
        <f t="shared" ca="1" si="263"/>
        <v>34</v>
      </c>
      <c r="H1311" s="15">
        <v>1</v>
      </c>
      <c r="I1311" s="15">
        <f t="shared" ca="1" si="264"/>
        <v>0</v>
      </c>
      <c r="J1311" s="15" t="str">
        <f t="shared" ca="1" si="252"/>
        <v>'0'!A34</v>
      </c>
      <c r="K1311" s="15" t="str">
        <f t="shared" ca="1" si="253"/>
        <v>'0'!B34</v>
      </c>
    </row>
    <row r="1312" spans="1:16" x14ac:dyDescent="0.25">
      <c r="A1312" s="3" t="str">
        <f t="shared" ca="1" si="254"/>
        <v/>
      </c>
      <c r="G1312" s="15">
        <f t="shared" ca="1" si="263"/>
        <v>35</v>
      </c>
      <c r="H1312" s="15">
        <v>1</v>
      </c>
      <c r="I1312" s="15">
        <f t="shared" ca="1" si="264"/>
        <v>0</v>
      </c>
      <c r="J1312" s="15" t="str">
        <f t="shared" ca="1" si="252"/>
        <v>'0'!A35</v>
      </c>
      <c r="K1312" s="15" t="str">
        <f t="shared" ca="1" si="253"/>
        <v>'0'!B35</v>
      </c>
    </row>
    <row r="1313" spans="1:16" x14ac:dyDescent="0.25">
      <c r="A1313" s="3" t="str">
        <f t="shared" ca="1" si="254"/>
        <v/>
      </c>
      <c r="G1313" s="15">
        <f t="shared" ca="1" si="263"/>
        <v>36</v>
      </c>
      <c r="H1313" s="15">
        <v>1</v>
      </c>
      <c r="I1313" s="15">
        <f t="shared" ca="1" si="264"/>
        <v>0</v>
      </c>
      <c r="J1313" s="15" t="str">
        <f t="shared" ca="1" si="252"/>
        <v>'0'!A36</v>
      </c>
      <c r="K1313" s="15" t="str">
        <f t="shared" ca="1" si="253"/>
        <v>'0'!B36</v>
      </c>
    </row>
    <row r="1314" spans="1:16" x14ac:dyDescent="0.25">
      <c r="A1314" s="3" t="str">
        <f t="shared" ca="1" si="254"/>
        <v/>
      </c>
      <c r="G1314" s="15">
        <f t="shared" ca="1" si="263"/>
        <v>37</v>
      </c>
      <c r="H1314" s="15">
        <v>1</v>
      </c>
      <c r="I1314" s="15">
        <f t="shared" ca="1" si="264"/>
        <v>0</v>
      </c>
      <c r="J1314" s="15" t="str">
        <f t="shared" ca="1" si="252"/>
        <v>'0'!A37</v>
      </c>
      <c r="K1314" s="15" t="str">
        <f t="shared" ca="1" si="253"/>
        <v>'0'!B37</v>
      </c>
    </row>
    <row r="1315" spans="1:16" x14ac:dyDescent="0.25">
      <c r="A1315" s="3" t="str">
        <f t="shared" ca="1" si="254"/>
        <v/>
      </c>
      <c r="G1315" s="15">
        <f t="shared" ca="1" si="263"/>
        <v>38</v>
      </c>
      <c r="H1315" s="15">
        <v>1</v>
      </c>
      <c r="I1315" s="15">
        <f t="shared" ca="1" si="264"/>
        <v>0</v>
      </c>
      <c r="J1315" s="15" t="str">
        <f t="shared" ca="1" si="252"/>
        <v>'0'!A38</v>
      </c>
      <c r="K1315" s="15" t="str">
        <f t="shared" ca="1" si="253"/>
        <v>'0'!B38</v>
      </c>
    </row>
    <row r="1316" spans="1:16" x14ac:dyDescent="0.25">
      <c r="A1316" s="3" t="str">
        <f t="shared" ca="1" si="254"/>
        <v/>
      </c>
      <c r="G1316" s="15">
        <f t="shared" ca="1" si="263"/>
        <v>39</v>
      </c>
      <c r="H1316" s="15">
        <v>1</v>
      </c>
      <c r="I1316" s="15">
        <f t="shared" ca="1" si="264"/>
        <v>0</v>
      </c>
      <c r="J1316" s="15" t="str">
        <f t="shared" ref="J1316:J1379" ca="1" si="271">ADDRESS(G1316,H1316,4,1,I1316)</f>
        <v>'0'!A39</v>
      </c>
      <c r="K1316" s="15" t="str">
        <f t="shared" ref="K1316:K1379" ca="1" si="272">ADDRESS(G1316,H1316+1,4,1,I1316)</f>
        <v>'0'!B39</v>
      </c>
    </row>
    <row r="1317" spans="1:16" x14ac:dyDescent="0.25">
      <c r="A1317" s="3" t="str">
        <f t="shared" ca="1" si="254"/>
        <v/>
      </c>
      <c r="G1317" s="15">
        <f t="shared" ca="1" si="263"/>
        <v>40</v>
      </c>
      <c r="H1317" s="15">
        <v>1</v>
      </c>
      <c r="I1317" s="15">
        <f t="shared" ca="1" si="264"/>
        <v>0</v>
      </c>
      <c r="J1317" s="15" t="str">
        <f t="shared" ca="1" si="271"/>
        <v>'0'!A40</v>
      </c>
      <c r="K1317" s="15" t="str">
        <f t="shared" ca="1" si="272"/>
        <v>'0'!B40</v>
      </c>
    </row>
    <row r="1318" spans="1:16" x14ac:dyDescent="0.25">
      <c r="A1318" s="3" t="str">
        <f t="shared" ca="1" si="254"/>
        <v/>
      </c>
      <c r="G1318" s="15">
        <f t="shared" ca="1" si="263"/>
        <v>41</v>
      </c>
      <c r="H1318" s="15">
        <v>1</v>
      </c>
      <c r="I1318" s="15">
        <f t="shared" ca="1" si="264"/>
        <v>0</v>
      </c>
      <c r="J1318" s="15" t="str">
        <f t="shared" ca="1" si="271"/>
        <v>'0'!A41</v>
      </c>
      <c r="K1318" s="15" t="str">
        <f t="shared" ca="1" si="272"/>
        <v>'0'!B41</v>
      </c>
    </row>
    <row r="1319" spans="1:16" x14ac:dyDescent="0.25">
      <c r="A1319" s="3" t="str">
        <f t="shared" ca="1" si="254"/>
        <v/>
      </c>
      <c r="C1319" s="16"/>
      <c r="G1319" s="15">
        <f t="shared" ca="1" si="263"/>
        <v>42</v>
      </c>
      <c r="H1319" s="15">
        <v>1</v>
      </c>
      <c r="I1319" s="15">
        <f t="shared" ca="1" si="264"/>
        <v>0</v>
      </c>
      <c r="J1319" s="15" t="str">
        <f t="shared" ca="1" si="271"/>
        <v>'0'!A42</v>
      </c>
      <c r="K1319" s="15" t="str">
        <f t="shared" ca="1" si="272"/>
        <v>'0'!B42</v>
      </c>
    </row>
    <row r="1320" spans="1:16" x14ac:dyDescent="0.25">
      <c r="A1320" s="3" t="str">
        <f t="shared" ca="1" si="254"/>
        <v/>
      </c>
      <c r="G1320" s="15">
        <f t="shared" ca="1" si="263"/>
        <v>43</v>
      </c>
      <c r="H1320" s="15">
        <v>1</v>
      </c>
      <c r="I1320" s="15">
        <f t="shared" ca="1" si="264"/>
        <v>0</v>
      </c>
      <c r="J1320" s="15" t="str">
        <f t="shared" ca="1" si="271"/>
        <v>'0'!A43</v>
      </c>
      <c r="K1320" s="15" t="str">
        <f t="shared" ca="1" si="272"/>
        <v>'0'!B43</v>
      </c>
    </row>
    <row r="1321" spans="1:16" x14ac:dyDescent="0.25">
      <c r="A1321" s="3" t="str">
        <f t="shared" ca="1" si="254"/>
        <v/>
      </c>
      <c r="G1321" s="15">
        <f t="shared" ca="1" si="263"/>
        <v>44</v>
      </c>
      <c r="H1321" s="15">
        <v>1</v>
      </c>
      <c r="I1321" s="15">
        <f t="shared" ca="1" si="264"/>
        <v>0</v>
      </c>
      <c r="J1321" s="15" t="str">
        <f t="shared" ca="1" si="271"/>
        <v>'0'!A44</v>
      </c>
      <c r="K1321" s="15" t="str">
        <f t="shared" ca="1" si="272"/>
        <v>'0'!B44</v>
      </c>
    </row>
    <row r="1322" spans="1:16" x14ac:dyDescent="0.25">
      <c r="A1322" s="3" t="str">
        <f t="shared" ca="1" si="254"/>
        <v/>
      </c>
      <c r="G1322" s="15">
        <f t="shared" ca="1" si="263"/>
        <v>45</v>
      </c>
      <c r="H1322" s="15">
        <v>1</v>
      </c>
      <c r="I1322" s="15">
        <f t="shared" ca="1" si="264"/>
        <v>0</v>
      </c>
      <c r="J1322" s="15" t="str">
        <f t="shared" ca="1" si="271"/>
        <v>'0'!A45</v>
      </c>
      <c r="K1322" s="15" t="str">
        <f t="shared" ca="1" si="272"/>
        <v>'0'!B45</v>
      </c>
    </row>
    <row r="1323" spans="1:16" x14ac:dyDescent="0.25">
      <c r="A1323" s="3" t="str">
        <f t="shared" ca="1" si="254"/>
        <v/>
      </c>
      <c r="G1323" s="15">
        <f t="shared" ca="1" si="263"/>
        <v>46</v>
      </c>
      <c r="H1323" s="15">
        <v>1</v>
      </c>
      <c r="I1323" s="15">
        <f t="shared" ca="1" si="264"/>
        <v>0</v>
      </c>
      <c r="J1323" s="15" t="str">
        <f t="shared" ca="1" si="271"/>
        <v>'0'!A46</v>
      </c>
      <c r="K1323" s="15" t="str">
        <f t="shared" ca="1" si="272"/>
        <v>'0'!B46</v>
      </c>
    </row>
    <row r="1324" spans="1:16" x14ac:dyDescent="0.25">
      <c r="A1324" s="3" t="str">
        <f t="shared" ref="A1324:A1387" ca="1" si="273">IFERROR(IF(INDIRECT(J1324)&lt;&gt;"",CONCATENATE(INDIRECT(J1324)," = ",INDIRECT(K1324)," "),""),"")</f>
        <v/>
      </c>
      <c r="G1324" s="15">
        <f t="shared" ca="1" si="263"/>
        <v>47</v>
      </c>
      <c r="H1324" s="15">
        <v>1</v>
      </c>
      <c r="I1324" s="15">
        <f t="shared" ca="1" si="264"/>
        <v>0</v>
      </c>
      <c r="J1324" s="15" t="str">
        <f t="shared" ca="1" si="271"/>
        <v>'0'!A47</v>
      </c>
      <c r="K1324" s="15" t="str">
        <f t="shared" ca="1" si="272"/>
        <v>'0'!B47</v>
      </c>
    </row>
    <row r="1325" spans="1:16" x14ac:dyDescent="0.25">
      <c r="A1325" s="3" t="str">
        <f t="shared" ca="1" si="273"/>
        <v/>
      </c>
      <c r="G1325" s="15">
        <f t="shared" ca="1" si="263"/>
        <v>48</v>
      </c>
      <c r="H1325" s="15">
        <v>1</v>
      </c>
      <c r="I1325" s="15">
        <f t="shared" ca="1" si="264"/>
        <v>0</v>
      </c>
      <c r="J1325" s="15" t="str">
        <f t="shared" ca="1" si="271"/>
        <v>'0'!A48</v>
      </c>
      <c r="K1325" s="15" t="str">
        <f t="shared" ca="1" si="272"/>
        <v>'0'!B48</v>
      </c>
    </row>
    <row r="1326" spans="1:16" x14ac:dyDescent="0.25">
      <c r="A1326" s="3" t="str">
        <f t="shared" ca="1" si="273"/>
        <v/>
      </c>
      <c r="G1326" s="15">
        <f t="shared" ca="1" si="263"/>
        <v>49</v>
      </c>
      <c r="H1326" s="15">
        <v>1</v>
      </c>
      <c r="I1326" s="15">
        <f t="shared" ca="1" si="264"/>
        <v>0</v>
      </c>
      <c r="J1326" s="15" t="str">
        <f t="shared" ca="1" si="271"/>
        <v>'0'!A49</v>
      </c>
      <c r="K1326" s="15" t="str">
        <f t="shared" ca="1" si="272"/>
        <v>'0'!B49</v>
      </c>
    </row>
    <row r="1327" spans="1:16" x14ac:dyDescent="0.25">
      <c r="A1327" s="3" t="str">
        <f t="shared" ca="1" si="273"/>
        <v/>
      </c>
      <c r="G1327" s="15">
        <f t="shared" ca="1" si="263"/>
        <v>50</v>
      </c>
      <c r="H1327" s="15">
        <v>1</v>
      </c>
      <c r="I1327" s="15">
        <f t="shared" ca="1" si="264"/>
        <v>0</v>
      </c>
      <c r="J1327" s="15" t="str">
        <f t="shared" ca="1" si="271"/>
        <v>'0'!A50</v>
      </c>
      <c r="K1327" s="15" t="str">
        <f t="shared" ca="1" si="272"/>
        <v>'0'!B50</v>
      </c>
    </row>
    <row r="1328" spans="1:16" x14ac:dyDescent="0.25">
      <c r="A1328" s="3" t="str">
        <f t="shared" ca="1" si="273"/>
        <v/>
      </c>
      <c r="G1328" s="15">
        <f t="shared" ref="G1328" ca="1" si="274">INDIRECT(M1328)</f>
        <v>31</v>
      </c>
      <c r="H1328" s="15">
        <v>1</v>
      </c>
      <c r="I1328" s="15">
        <f t="shared" ref="I1328" ca="1" si="275">INDIRECT(N1328)</f>
        <v>0</v>
      </c>
      <c r="J1328" s="15" t="str">
        <f t="shared" ca="1" si="271"/>
        <v>'0'!A31</v>
      </c>
      <c r="K1328" s="15" t="str">
        <f t="shared" ca="1" si="272"/>
        <v>'0'!B31</v>
      </c>
      <c r="M1328" s="15" t="str">
        <f t="shared" ref="M1328" si="276">ADDRESS(O1328,3,4,1,$R$1)</f>
        <v>konfig!C68</v>
      </c>
      <c r="N1328" s="15" t="str">
        <f t="shared" ref="N1328" si="277">ADDRESS(O1328,1,4,1,$R$1)</f>
        <v>konfig!A68</v>
      </c>
      <c r="O1328" s="15">
        <v>68</v>
      </c>
      <c r="P1328" s="15">
        <v>4</v>
      </c>
    </row>
    <row r="1329" spans="1:11" x14ac:dyDescent="0.25">
      <c r="A1329" s="3" t="str">
        <f t="shared" ca="1" si="273"/>
        <v/>
      </c>
      <c r="G1329" s="15">
        <f t="shared" ca="1" si="263"/>
        <v>32</v>
      </c>
      <c r="H1329" s="15">
        <v>1</v>
      </c>
      <c r="I1329" s="15">
        <f t="shared" ca="1" si="264"/>
        <v>0</v>
      </c>
      <c r="J1329" s="15" t="str">
        <f t="shared" ca="1" si="271"/>
        <v>'0'!A32</v>
      </c>
      <c r="K1329" s="15" t="str">
        <f t="shared" ca="1" si="272"/>
        <v>'0'!B32</v>
      </c>
    </row>
    <row r="1330" spans="1:11" x14ac:dyDescent="0.25">
      <c r="A1330" s="3" t="str">
        <f t="shared" ca="1" si="273"/>
        <v/>
      </c>
      <c r="G1330" s="15">
        <f t="shared" ca="1" si="263"/>
        <v>33</v>
      </c>
      <c r="H1330" s="15">
        <v>1</v>
      </c>
      <c r="I1330" s="15">
        <f t="shared" ca="1" si="264"/>
        <v>0</v>
      </c>
      <c r="J1330" s="15" t="str">
        <f t="shared" ca="1" si="271"/>
        <v>'0'!A33</v>
      </c>
      <c r="K1330" s="15" t="str">
        <f t="shared" ca="1" si="272"/>
        <v>'0'!B33</v>
      </c>
    </row>
    <row r="1331" spans="1:11" x14ac:dyDescent="0.25">
      <c r="A1331" s="3" t="str">
        <f t="shared" ca="1" si="273"/>
        <v/>
      </c>
      <c r="C1331" s="16"/>
      <c r="G1331" s="15">
        <f t="shared" ca="1" si="263"/>
        <v>34</v>
      </c>
      <c r="H1331" s="15">
        <v>1</v>
      </c>
      <c r="I1331" s="15">
        <f t="shared" ca="1" si="264"/>
        <v>0</v>
      </c>
      <c r="J1331" s="15" t="str">
        <f t="shared" ca="1" si="271"/>
        <v>'0'!A34</v>
      </c>
      <c r="K1331" s="15" t="str">
        <f t="shared" ca="1" si="272"/>
        <v>'0'!B34</v>
      </c>
    </row>
    <row r="1332" spans="1:11" x14ac:dyDescent="0.25">
      <c r="A1332" s="3" t="str">
        <f t="shared" ca="1" si="273"/>
        <v/>
      </c>
      <c r="G1332" s="15">
        <f t="shared" ca="1" si="263"/>
        <v>35</v>
      </c>
      <c r="H1332" s="15">
        <v>1</v>
      </c>
      <c r="I1332" s="15">
        <f t="shared" ca="1" si="264"/>
        <v>0</v>
      </c>
      <c r="J1332" s="15" t="str">
        <f t="shared" ca="1" si="271"/>
        <v>'0'!A35</v>
      </c>
      <c r="K1332" s="15" t="str">
        <f t="shared" ca="1" si="272"/>
        <v>'0'!B35</v>
      </c>
    </row>
    <row r="1333" spans="1:11" x14ac:dyDescent="0.25">
      <c r="A1333" s="3" t="str">
        <f t="shared" ca="1" si="273"/>
        <v/>
      </c>
      <c r="G1333" s="15">
        <f t="shared" ca="1" si="263"/>
        <v>36</v>
      </c>
      <c r="H1333" s="15">
        <v>1</v>
      </c>
      <c r="I1333" s="15">
        <f t="shared" ca="1" si="264"/>
        <v>0</v>
      </c>
      <c r="J1333" s="15" t="str">
        <f t="shared" ca="1" si="271"/>
        <v>'0'!A36</v>
      </c>
      <c r="K1333" s="15" t="str">
        <f t="shared" ca="1" si="272"/>
        <v>'0'!B36</v>
      </c>
    </row>
    <row r="1334" spans="1:11" x14ac:dyDescent="0.25">
      <c r="A1334" s="3" t="str">
        <f t="shared" ca="1" si="273"/>
        <v/>
      </c>
      <c r="G1334" s="15">
        <f t="shared" ca="1" si="263"/>
        <v>37</v>
      </c>
      <c r="H1334" s="15">
        <v>1</v>
      </c>
      <c r="I1334" s="15">
        <f t="shared" ca="1" si="264"/>
        <v>0</v>
      </c>
      <c r="J1334" s="15" t="str">
        <f t="shared" ca="1" si="271"/>
        <v>'0'!A37</v>
      </c>
      <c r="K1334" s="15" t="str">
        <f t="shared" ca="1" si="272"/>
        <v>'0'!B37</v>
      </c>
    </row>
    <row r="1335" spans="1:11" x14ac:dyDescent="0.25">
      <c r="A1335" s="3" t="str">
        <f t="shared" ca="1" si="273"/>
        <v/>
      </c>
      <c r="G1335" s="15">
        <f t="shared" ca="1" si="263"/>
        <v>38</v>
      </c>
      <c r="H1335" s="15">
        <v>1</v>
      </c>
      <c r="I1335" s="15">
        <f t="shared" ca="1" si="264"/>
        <v>0</v>
      </c>
      <c r="J1335" s="15" t="str">
        <f t="shared" ca="1" si="271"/>
        <v>'0'!A38</v>
      </c>
      <c r="K1335" s="15" t="str">
        <f t="shared" ca="1" si="272"/>
        <v>'0'!B38</v>
      </c>
    </row>
    <row r="1336" spans="1:11" x14ac:dyDescent="0.25">
      <c r="A1336" s="3" t="str">
        <f t="shared" ca="1" si="273"/>
        <v/>
      </c>
      <c r="G1336" s="15">
        <f t="shared" ca="1" si="263"/>
        <v>39</v>
      </c>
      <c r="H1336" s="15">
        <v>1</v>
      </c>
      <c r="I1336" s="15">
        <f t="shared" ca="1" si="264"/>
        <v>0</v>
      </c>
      <c r="J1336" s="15" t="str">
        <f t="shared" ca="1" si="271"/>
        <v>'0'!A39</v>
      </c>
      <c r="K1336" s="15" t="str">
        <f t="shared" ca="1" si="272"/>
        <v>'0'!B39</v>
      </c>
    </row>
    <row r="1337" spans="1:11" x14ac:dyDescent="0.25">
      <c r="A1337" s="3" t="str">
        <f t="shared" ca="1" si="273"/>
        <v/>
      </c>
      <c r="G1337" s="15">
        <f t="shared" ca="1" si="263"/>
        <v>40</v>
      </c>
      <c r="H1337" s="15">
        <v>1</v>
      </c>
      <c r="I1337" s="15">
        <f t="shared" ca="1" si="264"/>
        <v>0</v>
      </c>
      <c r="J1337" s="15" t="str">
        <f t="shared" ca="1" si="271"/>
        <v>'0'!A40</v>
      </c>
      <c r="K1337" s="15" t="str">
        <f t="shared" ca="1" si="272"/>
        <v>'0'!B40</v>
      </c>
    </row>
    <row r="1338" spans="1:11" x14ac:dyDescent="0.25">
      <c r="A1338" s="3" t="str">
        <f t="shared" ca="1" si="273"/>
        <v/>
      </c>
      <c r="G1338" s="15">
        <f t="shared" ca="1" si="263"/>
        <v>41</v>
      </c>
      <c r="H1338" s="15">
        <v>1</v>
      </c>
      <c r="I1338" s="15">
        <f t="shared" ca="1" si="264"/>
        <v>0</v>
      </c>
      <c r="J1338" s="15" t="str">
        <f t="shared" ca="1" si="271"/>
        <v>'0'!A41</v>
      </c>
      <c r="K1338" s="15" t="str">
        <f t="shared" ca="1" si="272"/>
        <v>'0'!B41</v>
      </c>
    </row>
    <row r="1339" spans="1:11" x14ac:dyDescent="0.25">
      <c r="A1339" s="3" t="str">
        <f t="shared" ca="1" si="273"/>
        <v/>
      </c>
      <c r="C1339" s="16"/>
      <c r="G1339" s="15">
        <f t="shared" ca="1" si="263"/>
        <v>42</v>
      </c>
      <c r="H1339" s="15">
        <v>1</v>
      </c>
      <c r="I1339" s="15">
        <f t="shared" ca="1" si="264"/>
        <v>0</v>
      </c>
      <c r="J1339" s="15" t="str">
        <f t="shared" ca="1" si="271"/>
        <v>'0'!A42</v>
      </c>
      <c r="K1339" s="15" t="str">
        <f t="shared" ca="1" si="272"/>
        <v>'0'!B42</v>
      </c>
    </row>
    <row r="1340" spans="1:11" x14ac:dyDescent="0.25">
      <c r="A1340" s="3" t="str">
        <f t="shared" ca="1" si="273"/>
        <v/>
      </c>
      <c r="G1340" s="15">
        <f t="shared" ca="1" si="263"/>
        <v>43</v>
      </c>
      <c r="H1340" s="15">
        <v>1</v>
      </c>
      <c r="I1340" s="15">
        <f t="shared" ca="1" si="264"/>
        <v>0</v>
      </c>
      <c r="J1340" s="15" t="str">
        <f t="shared" ca="1" si="271"/>
        <v>'0'!A43</v>
      </c>
      <c r="K1340" s="15" t="str">
        <f t="shared" ca="1" si="272"/>
        <v>'0'!B43</v>
      </c>
    </row>
    <row r="1341" spans="1:11" x14ac:dyDescent="0.25">
      <c r="A1341" s="3" t="str">
        <f t="shared" ca="1" si="273"/>
        <v/>
      </c>
      <c r="G1341" s="15">
        <f t="shared" ca="1" si="263"/>
        <v>44</v>
      </c>
      <c r="H1341" s="15">
        <v>1</v>
      </c>
      <c r="I1341" s="15">
        <f t="shared" ca="1" si="264"/>
        <v>0</v>
      </c>
      <c r="J1341" s="15" t="str">
        <f t="shared" ca="1" si="271"/>
        <v>'0'!A44</v>
      </c>
      <c r="K1341" s="15" t="str">
        <f t="shared" ca="1" si="272"/>
        <v>'0'!B44</v>
      </c>
    </row>
    <row r="1342" spans="1:11" x14ac:dyDescent="0.25">
      <c r="A1342" s="3" t="str">
        <f t="shared" ca="1" si="273"/>
        <v/>
      </c>
      <c r="G1342" s="15">
        <f t="shared" ca="1" si="263"/>
        <v>45</v>
      </c>
      <c r="H1342" s="15">
        <v>1</v>
      </c>
      <c r="I1342" s="15">
        <f t="shared" ca="1" si="264"/>
        <v>0</v>
      </c>
      <c r="J1342" s="15" t="str">
        <f t="shared" ca="1" si="271"/>
        <v>'0'!A45</v>
      </c>
      <c r="K1342" s="15" t="str">
        <f t="shared" ca="1" si="272"/>
        <v>'0'!B45</v>
      </c>
    </row>
    <row r="1343" spans="1:11" x14ac:dyDescent="0.25">
      <c r="A1343" s="3" t="str">
        <f t="shared" ca="1" si="273"/>
        <v/>
      </c>
      <c r="G1343" s="15">
        <f t="shared" ca="1" si="263"/>
        <v>46</v>
      </c>
      <c r="H1343" s="15">
        <v>1</v>
      </c>
      <c r="I1343" s="15">
        <f t="shared" ca="1" si="264"/>
        <v>0</v>
      </c>
      <c r="J1343" s="15" t="str">
        <f t="shared" ca="1" si="271"/>
        <v>'0'!A46</v>
      </c>
      <c r="K1343" s="15" t="str">
        <f t="shared" ca="1" si="272"/>
        <v>'0'!B46</v>
      </c>
    </row>
    <row r="1344" spans="1:11" x14ac:dyDescent="0.25">
      <c r="A1344" s="3" t="str">
        <f t="shared" ca="1" si="273"/>
        <v/>
      </c>
      <c r="G1344" s="15">
        <f t="shared" ca="1" si="263"/>
        <v>47</v>
      </c>
      <c r="H1344" s="15">
        <v>1</v>
      </c>
      <c r="I1344" s="15">
        <f t="shared" ca="1" si="264"/>
        <v>0</v>
      </c>
      <c r="J1344" s="15" t="str">
        <f t="shared" ca="1" si="271"/>
        <v>'0'!A47</v>
      </c>
      <c r="K1344" s="15" t="str">
        <f t="shared" ca="1" si="272"/>
        <v>'0'!B47</v>
      </c>
    </row>
    <row r="1345" spans="1:16" x14ac:dyDescent="0.25">
      <c r="A1345" s="3" t="str">
        <f t="shared" ca="1" si="273"/>
        <v/>
      </c>
      <c r="G1345" s="15">
        <f t="shared" ca="1" si="263"/>
        <v>48</v>
      </c>
      <c r="H1345" s="15">
        <v>1</v>
      </c>
      <c r="I1345" s="15">
        <f t="shared" ca="1" si="264"/>
        <v>0</v>
      </c>
      <c r="J1345" s="15" t="str">
        <f t="shared" ca="1" si="271"/>
        <v>'0'!A48</v>
      </c>
      <c r="K1345" s="15" t="str">
        <f t="shared" ca="1" si="272"/>
        <v>'0'!B48</v>
      </c>
    </row>
    <row r="1346" spans="1:16" x14ac:dyDescent="0.25">
      <c r="A1346" s="3" t="str">
        <f t="shared" ca="1" si="273"/>
        <v/>
      </c>
      <c r="G1346" s="15">
        <f t="shared" ca="1" si="263"/>
        <v>49</v>
      </c>
      <c r="H1346" s="15">
        <v>1</v>
      </c>
      <c r="I1346" s="15">
        <f t="shared" ca="1" si="264"/>
        <v>0</v>
      </c>
      <c r="J1346" s="15" t="str">
        <f t="shared" ca="1" si="271"/>
        <v>'0'!A49</v>
      </c>
      <c r="K1346" s="15" t="str">
        <f t="shared" ca="1" si="272"/>
        <v>'0'!B49</v>
      </c>
    </row>
    <row r="1347" spans="1:16" x14ac:dyDescent="0.25">
      <c r="A1347" s="3" t="str">
        <f t="shared" ca="1" si="273"/>
        <v/>
      </c>
      <c r="G1347" s="15">
        <f t="shared" ca="1" si="263"/>
        <v>50</v>
      </c>
      <c r="H1347" s="15">
        <v>1</v>
      </c>
      <c r="I1347" s="15">
        <f t="shared" ca="1" si="264"/>
        <v>0</v>
      </c>
      <c r="J1347" s="15" t="str">
        <f t="shared" ca="1" si="271"/>
        <v>'0'!A50</v>
      </c>
      <c r="K1347" s="15" t="str">
        <f t="shared" ca="1" si="272"/>
        <v>'0'!B50</v>
      </c>
    </row>
    <row r="1348" spans="1:16" x14ac:dyDescent="0.25">
      <c r="A1348" s="3" t="str">
        <f t="shared" ca="1" si="273"/>
        <v/>
      </c>
      <c r="G1348" s="15">
        <f t="shared" ref="G1348" ca="1" si="278">INDIRECT(M1348)</f>
        <v>31</v>
      </c>
      <c r="H1348" s="15">
        <v>1</v>
      </c>
      <c r="I1348" s="15">
        <f t="shared" ref="I1348" ca="1" si="279">INDIRECT(N1348)</f>
        <v>0</v>
      </c>
      <c r="J1348" s="15" t="str">
        <f t="shared" ca="1" si="271"/>
        <v>'0'!A31</v>
      </c>
      <c r="K1348" s="15" t="str">
        <f t="shared" ca="1" si="272"/>
        <v>'0'!B31</v>
      </c>
      <c r="M1348" s="15" t="str">
        <f t="shared" ref="M1348" si="280">ADDRESS(O1348,3,4,1,$R$1)</f>
        <v>konfig!C69</v>
      </c>
      <c r="N1348" s="15" t="str">
        <f t="shared" ref="N1348" si="281">ADDRESS(O1348,1,4,1,$R$1)</f>
        <v>konfig!A69</v>
      </c>
      <c r="O1348" s="15">
        <v>69</v>
      </c>
      <c r="P1348" s="15">
        <v>4</v>
      </c>
    </row>
    <row r="1349" spans="1:16" x14ac:dyDescent="0.25">
      <c r="A1349" s="3" t="str">
        <f t="shared" ca="1" si="273"/>
        <v/>
      </c>
      <c r="G1349" s="15">
        <f t="shared" ca="1" si="269"/>
        <v>32</v>
      </c>
      <c r="H1349" s="15">
        <v>1</v>
      </c>
      <c r="I1349" s="15">
        <f t="shared" ca="1" si="270"/>
        <v>0</v>
      </c>
      <c r="J1349" s="15" t="str">
        <f t="shared" ca="1" si="271"/>
        <v>'0'!A32</v>
      </c>
      <c r="K1349" s="15" t="str">
        <f t="shared" ca="1" si="272"/>
        <v>'0'!B32</v>
      </c>
    </row>
    <row r="1350" spans="1:16" x14ac:dyDescent="0.25">
      <c r="A1350" s="3" t="str">
        <f t="shared" ca="1" si="273"/>
        <v/>
      </c>
      <c r="G1350" s="15">
        <f t="shared" ca="1" si="263"/>
        <v>33</v>
      </c>
      <c r="H1350" s="15">
        <v>1</v>
      </c>
      <c r="I1350" s="15">
        <f t="shared" ca="1" si="264"/>
        <v>0</v>
      </c>
      <c r="J1350" s="15" t="str">
        <f t="shared" ca="1" si="271"/>
        <v>'0'!A33</v>
      </c>
      <c r="K1350" s="15" t="str">
        <f t="shared" ca="1" si="272"/>
        <v>'0'!B33</v>
      </c>
    </row>
    <row r="1351" spans="1:16" x14ac:dyDescent="0.25">
      <c r="A1351" s="3" t="str">
        <f t="shared" ca="1" si="273"/>
        <v/>
      </c>
      <c r="C1351" s="16"/>
      <c r="G1351" s="15">
        <f t="shared" ca="1" si="263"/>
        <v>34</v>
      </c>
      <c r="H1351" s="15">
        <v>1</v>
      </c>
      <c r="I1351" s="15">
        <f t="shared" ca="1" si="264"/>
        <v>0</v>
      </c>
      <c r="J1351" s="15" t="str">
        <f t="shared" ca="1" si="271"/>
        <v>'0'!A34</v>
      </c>
      <c r="K1351" s="15" t="str">
        <f t="shared" ca="1" si="272"/>
        <v>'0'!B34</v>
      </c>
    </row>
    <row r="1352" spans="1:16" x14ac:dyDescent="0.25">
      <c r="A1352" s="3" t="str">
        <f t="shared" ca="1" si="273"/>
        <v/>
      </c>
      <c r="G1352" s="15">
        <f t="shared" ca="1" si="263"/>
        <v>35</v>
      </c>
      <c r="H1352" s="15">
        <v>1</v>
      </c>
      <c r="I1352" s="15">
        <f t="shared" ca="1" si="264"/>
        <v>0</v>
      </c>
      <c r="J1352" s="15" t="str">
        <f t="shared" ca="1" si="271"/>
        <v>'0'!A35</v>
      </c>
      <c r="K1352" s="15" t="str">
        <f t="shared" ca="1" si="272"/>
        <v>'0'!B35</v>
      </c>
    </row>
    <row r="1353" spans="1:16" x14ac:dyDescent="0.25">
      <c r="A1353" s="3" t="str">
        <f t="shared" ca="1" si="273"/>
        <v/>
      </c>
      <c r="G1353" s="15">
        <f t="shared" ref="G1353:G1416" ca="1" si="282">G1352+1</f>
        <v>36</v>
      </c>
      <c r="H1353" s="15">
        <v>1</v>
      </c>
      <c r="I1353" s="15">
        <f t="shared" ref="I1353:I1416" ca="1" si="283">I1352</f>
        <v>0</v>
      </c>
      <c r="J1353" s="15" t="str">
        <f t="shared" ca="1" si="271"/>
        <v>'0'!A36</v>
      </c>
      <c r="K1353" s="15" t="str">
        <f t="shared" ca="1" si="272"/>
        <v>'0'!B36</v>
      </c>
    </row>
    <row r="1354" spans="1:16" x14ac:dyDescent="0.25">
      <c r="A1354" s="3" t="str">
        <f t="shared" ca="1" si="273"/>
        <v/>
      </c>
      <c r="G1354" s="15">
        <f t="shared" ca="1" si="282"/>
        <v>37</v>
      </c>
      <c r="H1354" s="15">
        <v>1</v>
      </c>
      <c r="I1354" s="15">
        <f t="shared" ca="1" si="283"/>
        <v>0</v>
      </c>
      <c r="J1354" s="15" t="str">
        <f t="shared" ca="1" si="271"/>
        <v>'0'!A37</v>
      </c>
      <c r="K1354" s="15" t="str">
        <f t="shared" ca="1" si="272"/>
        <v>'0'!B37</v>
      </c>
    </row>
    <row r="1355" spans="1:16" x14ac:dyDescent="0.25">
      <c r="A1355" s="3" t="str">
        <f t="shared" ca="1" si="273"/>
        <v/>
      </c>
      <c r="G1355" s="15">
        <f t="shared" ca="1" si="282"/>
        <v>38</v>
      </c>
      <c r="H1355" s="15">
        <v>1</v>
      </c>
      <c r="I1355" s="15">
        <f t="shared" ca="1" si="283"/>
        <v>0</v>
      </c>
      <c r="J1355" s="15" t="str">
        <f t="shared" ca="1" si="271"/>
        <v>'0'!A38</v>
      </c>
      <c r="K1355" s="15" t="str">
        <f t="shared" ca="1" si="272"/>
        <v>'0'!B38</v>
      </c>
    </row>
    <row r="1356" spans="1:16" x14ac:dyDescent="0.25">
      <c r="A1356" s="3" t="str">
        <f t="shared" ca="1" si="273"/>
        <v/>
      </c>
      <c r="G1356" s="15">
        <f t="shared" ca="1" si="282"/>
        <v>39</v>
      </c>
      <c r="H1356" s="15">
        <v>1</v>
      </c>
      <c r="I1356" s="15">
        <f t="shared" ca="1" si="283"/>
        <v>0</v>
      </c>
      <c r="J1356" s="15" t="str">
        <f t="shared" ca="1" si="271"/>
        <v>'0'!A39</v>
      </c>
      <c r="K1356" s="15" t="str">
        <f t="shared" ca="1" si="272"/>
        <v>'0'!B39</v>
      </c>
    </row>
    <row r="1357" spans="1:16" x14ac:dyDescent="0.25">
      <c r="A1357" s="3" t="str">
        <f t="shared" ca="1" si="273"/>
        <v/>
      </c>
      <c r="G1357" s="15">
        <f t="shared" ca="1" si="282"/>
        <v>40</v>
      </c>
      <c r="H1357" s="15">
        <v>1</v>
      </c>
      <c r="I1357" s="15">
        <f t="shared" ca="1" si="283"/>
        <v>0</v>
      </c>
      <c r="J1357" s="15" t="str">
        <f t="shared" ca="1" si="271"/>
        <v>'0'!A40</v>
      </c>
      <c r="K1357" s="15" t="str">
        <f t="shared" ca="1" si="272"/>
        <v>'0'!B40</v>
      </c>
    </row>
    <row r="1358" spans="1:16" x14ac:dyDescent="0.25">
      <c r="A1358" s="3" t="str">
        <f t="shared" ca="1" si="273"/>
        <v/>
      </c>
      <c r="G1358" s="15">
        <f t="shared" ca="1" si="282"/>
        <v>41</v>
      </c>
      <c r="H1358" s="15">
        <v>1</v>
      </c>
      <c r="I1358" s="15">
        <f t="shared" ca="1" si="283"/>
        <v>0</v>
      </c>
      <c r="J1358" s="15" t="str">
        <f t="shared" ca="1" si="271"/>
        <v>'0'!A41</v>
      </c>
      <c r="K1358" s="15" t="str">
        <f t="shared" ca="1" si="272"/>
        <v>'0'!B41</v>
      </c>
    </row>
    <row r="1359" spans="1:16" x14ac:dyDescent="0.25">
      <c r="A1359" s="3" t="str">
        <f t="shared" ca="1" si="273"/>
        <v/>
      </c>
      <c r="C1359" s="16"/>
      <c r="G1359" s="15">
        <f t="shared" ca="1" si="282"/>
        <v>42</v>
      </c>
      <c r="H1359" s="15">
        <v>1</v>
      </c>
      <c r="I1359" s="15">
        <f t="shared" ca="1" si="283"/>
        <v>0</v>
      </c>
      <c r="J1359" s="15" t="str">
        <f t="shared" ca="1" si="271"/>
        <v>'0'!A42</v>
      </c>
      <c r="K1359" s="15" t="str">
        <f t="shared" ca="1" si="272"/>
        <v>'0'!B42</v>
      </c>
    </row>
    <row r="1360" spans="1:16" x14ac:dyDescent="0.25">
      <c r="A1360" s="3" t="str">
        <f t="shared" ca="1" si="273"/>
        <v/>
      </c>
      <c r="G1360" s="15">
        <f t="shared" ca="1" si="282"/>
        <v>43</v>
      </c>
      <c r="H1360" s="15">
        <v>1</v>
      </c>
      <c r="I1360" s="15">
        <f t="shared" ca="1" si="283"/>
        <v>0</v>
      </c>
      <c r="J1360" s="15" t="str">
        <f t="shared" ca="1" si="271"/>
        <v>'0'!A43</v>
      </c>
      <c r="K1360" s="15" t="str">
        <f t="shared" ca="1" si="272"/>
        <v>'0'!B43</v>
      </c>
    </row>
    <row r="1361" spans="1:16" x14ac:dyDescent="0.25">
      <c r="A1361" s="3" t="str">
        <f t="shared" ca="1" si="273"/>
        <v/>
      </c>
      <c r="G1361" s="15">
        <f t="shared" ca="1" si="282"/>
        <v>44</v>
      </c>
      <c r="H1361" s="15">
        <v>1</v>
      </c>
      <c r="I1361" s="15">
        <f t="shared" ca="1" si="283"/>
        <v>0</v>
      </c>
      <c r="J1361" s="15" t="str">
        <f t="shared" ca="1" si="271"/>
        <v>'0'!A44</v>
      </c>
      <c r="K1361" s="15" t="str">
        <f t="shared" ca="1" si="272"/>
        <v>'0'!B44</v>
      </c>
    </row>
    <row r="1362" spans="1:16" x14ac:dyDescent="0.25">
      <c r="A1362" s="3" t="str">
        <f t="shared" ca="1" si="273"/>
        <v/>
      </c>
      <c r="G1362" s="15">
        <f t="shared" ca="1" si="282"/>
        <v>45</v>
      </c>
      <c r="H1362" s="15">
        <v>1</v>
      </c>
      <c r="I1362" s="15">
        <f t="shared" ca="1" si="283"/>
        <v>0</v>
      </c>
      <c r="J1362" s="15" t="str">
        <f t="shared" ca="1" si="271"/>
        <v>'0'!A45</v>
      </c>
      <c r="K1362" s="15" t="str">
        <f t="shared" ca="1" si="272"/>
        <v>'0'!B45</v>
      </c>
    </row>
    <row r="1363" spans="1:16" x14ac:dyDescent="0.25">
      <c r="A1363" s="3" t="str">
        <f t="shared" ca="1" si="273"/>
        <v/>
      </c>
      <c r="G1363" s="15">
        <f t="shared" ca="1" si="282"/>
        <v>46</v>
      </c>
      <c r="H1363" s="15">
        <v>1</v>
      </c>
      <c r="I1363" s="15">
        <f t="shared" ca="1" si="283"/>
        <v>0</v>
      </c>
      <c r="J1363" s="15" t="str">
        <f t="shared" ca="1" si="271"/>
        <v>'0'!A46</v>
      </c>
      <c r="K1363" s="15" t="str">
        <f t="shared" ca="1" si="272"/>
        <v>'0'!B46</v>
      </c>
    </row>
    <row r="1364" spans="1:16" x14ac:dyDescent="0.25">
      <c r="A1364" s="3" t="str">
        <f t="shared" ca="1" si="273"/>
        <v/>
      </c>
      <c r="G1364" s="15">
        <f t="shared" ca="1" si="282"/>
        <v>47</v>
      </c>
      <c r="H1364" s="15">
        <v>1</v>
      </c>
      <c r="I1364" s="15">
        <f t="shared" ca="1" si="283"/>
        <v>0</v>
      </c>
      <c r="J1364" s="15" t="str">
        <f t="shared" ca="1" si="271"/>
        <v>'0'!A47</v>
      </c>
      <c r="K1364" s="15" t="str">
        <f t="shared" ca="1" si="272"/>
        <v>'0'!B47</v>
      </c>
    </row>
    <row r="1365" spans="1:16" x14ac:dyDescent="0.25">
      <c r="A1365" s="3" t="str">
        <f t="shared" ca="1" si="273"/>
        <v/>
      </c>
      <c r="G1365" s="15">
        <f t="shared" ca="1" si="282"/>
        <v>48</v>
      </c>
      <c r="H1365" s="15">
        <v>1</v>
      </c>
      <c r="I1365" s="15">
        <f t="shared" ca="1" si="283"/>
        <v>0</v>
      </c>
      <c r="J1365" s="15" t="str">
        <f t="shared" ca="1" si="271"/>
        <v>'0'!A48</v>
      </c>
      <c r="K1365" s="15" t="str">
        <f t="shared" ca="1" si="272"/>
        <v>'0'!B48</v>
      </c>
    </row>
    <row r="1366" spans="1:16" x14ac:dyDescent="0.25">
      <c r="A1366" s="3" t="str">
        <f t="shared" ca="1" si="273"/>
        <v/>
      </c>
      <c r="G1366" s="15">
        <f t="shared" ca="1" si="282"/>
        <v>49</v>
      </c>
      <c r="H1366" s="15">
        <v>1</v>
      </c>
      <c r="I1366" s="15">
        <f t="shared" ca="1" si="283"/>
        <v>0</v>
      </c>
      <c r="J1366" s="15" t="str">
        <f t="shared" ca="1" si="271"/>
        <v>'0'!A49</v>
      </c>
      <c r="K1366" s="15" t="str">
        <f t="shared" ca="1" si="272"/>
        <v>'0'!B49</v>
      </c>
    </row>
    <row r="1367" spans="1:16" x14ac:dyDescent="0.25">
      <c r="A1367" s="3" t="str">
        <f t="shared" ca="1" si="273"/>
        <v/>
      </c>
      <c r="G1367" s="15">
        <f t="shared" ca="1" si="282"/>
        <v>50</v>
      </c>
      <c r="H1367" s="15">
        <v>1</v>
      </c>
      <c r="I1367" s="15">
        <f t="shared" ca="1" si="283"/>
        <v>0</v>
      </c>
      <c r="J1367" s="15" t="str">
        <f t="shared" ca="1" si="271"/>
        <v>'0'!A50</v>
      </c>
      <c r="K1367" s="15" t="str">
        <f t="shared" ca="1" si="272"/>
        <v>'0'!B50</v>
      </c>
    </row>
    <row r="1368" spans="1:16" x14ac:dyDescent="0.25">
      <c r="A1368" s="3" t="str">
        <f t="shared" ca="1" si="273"/>
        <v/>
      </c>
      <c r="G1368" s="15">
        <f t="shared" ref="G1368" ca="1" si="284">INDIRECT(M1368)</f>
        <v>31</v>
      </c>
      <c r="H1368" s="15">
        <v>1</v>
      </c>
      <c r="I1368" s="15">
        <f t="shared" ref="I1368" ca="1" si="285">INDIRECT(N1368)</f>
        <v>0</v>
      </c>
      <c r="J1368" s="15" t="str">
        <f t="shared" ca="1" si="271"/>
        <v>'0'!A31</v>
      </c>
      <c r="K1368" s="15" t="str">
        <f t="shared" ca="1" si="272"/>
        <v>'0'!B31</v>
      </c>
      <c r="M1368" s="15" t="str">
        <f t="shared" ref="M1368" si="286">ADDRESS(O1368,3,4,1,$R$1)</f>
        <v>konfig!C70</v>
      </c>
      <c r="N1368" s="15" t="str">
        <f t="shared" ref="N1368" si="287">ADDRESS(O1368,1,4,1,$R$1)</f>
        <v>konfig!A70</v>
      </c>
      <c r="O1368" s="15">
        <v>70</v>
      </c>
      <c r="P1368" s="15">
        <v>4</v>
      </c>
    </row>
    <row r="1369" spans="1:16" x14ac:dyDescent="0.25">
      <c r="A1369" s="3" t="str">
        <f t="shared" ca="1" si="273"/>
        <v/>
      </c>
      <c r="G1369" s="15">
        <f t="shared" ref="G1369:G1412" ca="1" si="288">G1368+1</f>
        <v>32</v>
      </c>
      <c r="H1369" s="15">
        <v>1</v>
      </c>
      <c r="I1369" s="15">
        <f t="shared" ref="I1369:I1412" ca="1" si="289">I1368</f>
        <v>0</v>
      </c>
      <c r="J1369" s="15" t="str">
        <f t="shared" ca="1" si="271"/>
        <v>'0'!A32</v>
      </c>
      <c r="K1369" s="15" t="str">
        <f t="shared" ca="1" si="272"/>
        <v>'0'!B32</v>
      </c>
    </row>
    <row r="1370" spans="1:16" x14ac:dyDescent="0.25">
      <c r="A1370" s="3" t="str">
        <f t="shared" ca="1" si="273"/>
        <v/>
      </c>
      <c r="G1370" s="15">
        <f t="shared" ca="1" si="288"/>
        <v>33</v>
      </c>
      <c r="H1370" s="15">
        <v>1</v>
      </c>
      <c r="I1370" s="15">
        <f t="shared" ca="1" si="289"/>
        <v>0</v>
      </c>
      <c r="J1370" s="15" t="str">
        <f t="shared" ca="1" si="271"/>
        <v>'0'!A33</v>
      </c>
      <c r="K1370" s="15" t="str">
        <f t="shared" ca="1" si="272"/>
        <v>'0'!B33</v>
      </c>
    </row>
    <row r="1371" spans="1:16" x14ac:dyDescent="0.25">
      <c r="A1371" s="3" t="str">
        <f t="shared" ca="1" si="273"/>
        <v/>
      </c>
      <c r="C1371" s="16"/>
      <c r="G1371" s="15">
        <f t="shared" ca="1" si="288"/>
        <v>34</v>
      </c>
      <c r="H1371" s="15">
        <v>1</v>
      </c>
      <c r="I1371" s="15">
        <f t="shared" ca="1" si="289"/>
        <v>0</v>
      </c>
      <c r="J1371" s="15" t="str">
        <f t="shared" ca="1" si="271"/>
        <v>'0'!A34</v>
      </c>
      <c r="K1371" s="15" t="str">
        <f t="shared" ca="1" si="272"/>
        <v>'0'!B34</v>
      </c>
    </row>
    <row r="1372" spans="1:16" x14ac:dyDescent="0.25">
      <c r="A1372" s="3" t="str">
        <f t="shared" ca="1" si="273"/>
        <v/>
      </c>
      <c r="G1372" s="15">
        <f t="shared" ca="1" si="288"/>
        <v>35</v>
      </c>
      <c r="H1372" s="15">
        <v>1</v>
      </c>
      <c r="I1372" s="15">
        <f t="shared" ca="1" si="289"/>
        <v>0</v>
      </c>
      <c r="J1372" s="15" t="str">
        <f t="shared" ca="1" si="271"/>
        <v>'0'!A35</v>
      </c>
      <c r="K1372" s="15" t="str">
        <f t="shared" ca="1" si="272"/>
        <v>'0'!B35</v>
      </c>
    </row>
    <row r="1373" spans="1:16" x14ac:dyDescent="0.25">
      <c r="A1373" s="3" t="str">
        <f t="shared" ca="1" si="273"/>
        <v/>
      </c>
      <c r="G1373" s="15">
        <f t="shared" ca="1" si="282"/>
        <v>36</v>
      </c>
      <c r="H1373" s="15">
        <v>1</v>
      </c>
      <c r="I1373" s="15">
        <f t="shared" ca="1" si="283"/>
        <v>0</v>
      </c>
      <c r="J1373" s="15" t="str">
        <f t="shared" ca="1" si="271"/>
        <v>'0'!A36</v>
      </c>
      <c r="K1373" s="15" t="str">
        <f t="shared" ca="1" si="272"/>
        <v>'0'!B36</v>
      </c>
    </row>
    <row r="1374" spans="1:16" x14ac:dyDescent="0.25">
      <c r="A1374" s="3" t="str">
        <f t="shared" ca="1" si="273"/>
        <v/>
      </c>
      <c r="G1374" s="15">
        <f t="shared" ca="1" si="282"/>
        <v>37</v>
      </c>
      <c r="H1374" s="15">
        <v>1</v>
      </c>
      <c r="I1374" s="15">
        <f t="shared" ca="1" si="283"/>
        <v>0</v>
      </c>
      <c r="J1374" s="15" t="str">
        <f t="shared" ca="1" si="271"/>
        <v>'0'!A37</v>
      </c>
      <c r="K1374" s="15" t="str">
        <f t="shared" ca="1" si="272"/>
        <v>'0'!B37</v>
      </c>
    </row>
    <row r="1375" spans="1:16" x14ac:dyDescent="0.25">
      <c r="A1375" s="3" t="str">
        <f t="shared" ca="1" si="273"/>
        <v/>
      </c>
      <c r="G1375" s="15">
        <f t="shared" ca="1" si="282"/>
        <v>38</v>
      </c>
      <c r="H1375" s="15">
        <v>1</v>
      </c>
      <c r="I1375" s="15">
        <f t="shared" ca="1" si="283"/>
        <v>0</v>
      </c>
      <c r="J1375" s="15" t="str">
        <f t="shared" ca="1" si="271"/>
        <v>'0'!A38</v>
      </c>
      <c r="K1375" s="15" t="str">
        <f t="shared" ca="1" si="272"/>
        <v>'0'!B38</v>
      </c>
    </row>
    <row r="1376" spans="1:16" x14ac:dyDescent="0.25">
      <c r="A1376" s="3" t="str">
        <f t="shared" ca="1" si="273"/>
        <v/>
      </c>
      <c r="G1376" s="15">
        <f t="shared" ca="1" si="282"/>
        <v>39</v>
      </c>
      <c r="H1376" s="15">
        <v>1</v>
      </c>
      <c r="I1376" s="15">
        <f t="shared" ca="1" si="283"/>
        <v>0</v>
      </c>
      <c r="J1376" s="15" t="str">
        <f t="shared" ca="1" si="271"/>
        <v>'0'!A39</v>
      </c>
      <c r="K1376" s="15" t="str">
        <f t="shared" ca="1" si="272"/>
        <v>'0'!B39</v>
      </c>
    </row>
    <row r="1377" spans="1:16" x14ac:dyDescent="0.25">
      <c r="A1377" s="3" t="str">
        <f t="shared" ca="1" si="273"/>
        <v/>
      </c>
      <c r="G1377" s="15">
        <f t="shared" ca="1" si="282"/>
        <v>40</v>
      </c>
      <c r="H1377" s="15">
        <v>1</v>
      </c>
      <c r="I1377" s="15">
        <f t="shared" ca="1" si="283"/>
        <v>0</v>
      </c>
      <c r="J1377" s="15" t="str">
        <f t="shared" ca="1" si="271"/>
        <v>'0'!A40</v>
      </c>
      <c r="K1377" s="15" t="str">
        <f t="shared" ca="1" si="272"/>
        <v>'0'!B40</v>
      </c>
    </row>
    <row r="1378" spans="1:16" x14ac:dyDescent="0.25">
      <c r="A1378" s="3" t="str">
        <f t="shared" ca="1" si="273"/>
        <v/>
      </c>
      <c r="G1378" s="15">
        <f t="shared" ca="1" si="282"/>
        <v>41</v>
      </c>
      <c r="H1378" s="15">
        <v>1</v>
      </c>
      <c r="I1378" s="15">
        <f t="shared" ca="1" si="283"/>
        <v>0</v>
      </c>
      <c r="J1378" s="15" t="str">
        <f t="shared" ca="1" si="271"/>
        <v>'0'!A41</v>
      </c>
      <c r="K1378" s="15" t="str">
        <f t="shared" ca="1" si="272"/>
        <v>'0'!B41</v>
      </c>
    </row>
    <row r="1379" spans="1:16" x14ac:dyDescent="0.25">
      <c r="A1379" s="3" t="str">
        <f t="shared" ca="1" si="273"/>
        <v/>
      </c>
      <c r="C1379" s="16"/>
      <c r="G1379" s="15">
        <f t="shared" ca="1" si="282"/>
        <v>42</v>
      </c>
      <c r="H1379" s="15">
        <v>1</v>
      </c>
      <c r="I1379" s="15">
        <f t="shared" ca="1" si="283"/>
        <v>0</v>
      </c>
      <c r="J1379" s="15" t="str">
        <f t="shared" ca="1" si="271"/>
        <v>'0'!A42</v>
      </c>
      <c r="K1379" s="15" t="str">
        <f t="shared" ca="1" si="272"/>
        <v>'0'!B42</v>
      </c>
    </row>
    <row r="1380" spans="1:16" x14ac:dyDescent="0.25">
      <c r="A1380" s="3" t="str">
        <f t="shared" ca="1" si="273"/>
        <v/>
      </c>
      <c r="G1380" s="15">
        <f t="shared" ca="1" si="282"/>
        <v>43</v>
      </c>
      <c r="H1380" s="15">
        <v>1</v>
      </c>
      <c r="I1380" s="15">
        <f t="shared" ca="1" si="283"/>
        <v>0</v>
      </c>
      <c r="J1380" s="15" t="str">
        <f t="shared" ref="J1380:J1443" ca="1" si="290">ADDRESS(G1380,H1380,4,1,I1380)</f>
        <v>'0'!A43</v>
      </c>
      <c r="K1380" s="15" t="str">
        <f t="shared" ref="K1380:K1443" ca="1" si="291">ADDRESS(G1380,H1380+1,4,1,I1380)</f>
        <v>'0'!B43</v>
      </c>
    </row>
    <row r="1381" spans="1:16" x14ac:dyDescent="0.25">
      <c r="A1381" s="3" t="str">
        <f t="shared" ca="1" si="273"/>
        <v/>
      </c>
      <c r="G1381" s="15">
        <f t="shared" ca="1" si="282"/>
        <v>44</v>
      </c>
      <c r="H1381" s="15">
        <v>1</v>
      </c>
      <c r="I1381" s="15">
        <f t="shared" ca="1" si="283"/>
        <v>0</v>
      </c>
      <c r="J1381" s="15" t="str">
        <f t="shared" ca="1" si="290"/>
        <v>'0'!A44</v>
      </c>
      <c r="K1381" s="15" t="str">
        <f t="shared" ca="1" si="291"/>
        <v>'0'!B44</v>
      </c>
    </row>
    <row r="1382" spans="1:16" x14ac:dyDescent="0.25">
      <c r="A1382" s="3" t="str">
        <f t="shared" ca="1" si="273"/>
        <v/>
      </c>
      <c r="G1382" s="15">
        <f t="shared" ca="1" si="282"/>
        <v>45</v>
      </c>
      <c r="H1382" s="15">
        <v>1</v>
      </c>
      <c r="I1382" s="15">
        <f t="shared" ca="1" si="283"/>
        <v>0</v>
      </c>
      <c r="J1382" s="15" t="str">
        <f t="shared" ca="1" si="290"/>
        <v>'0'!A45</v>
      </c>
      <c r="K1382" s="15" t="str">
        <f t="shared" ca="1" si="291"/>
        <v>'0'!B45</v>
      </c>
    </row>
    <row r="1383" spans="1:16" x14ac:dyDescent="0.25">
      <c r="A1383" s="3" t="str">
        <f t="shared" ca="1" si="273"/>
        <v/>
      </c>
      <c r="G1383" s="15">
        <f t="shared" ca="1" si="282"/>
        <v>46</v>
      </c>
      <c r="H1383" s="15">
        <v>1</v>
      </c>
      <c r="I1383" s="15">
        <f t="shared" ca="1" si="283"/>
        <v>0</v>
      </c>
      <c r="J1383" s="15" t="str">
        <f t="shared" ca="1" si="290"/>
        <v>'0'!A46</v>
      </c>
      <c r="K1383" s="15" t="str">
        <f t="shared" ca="1" si="291"/>
        <v>'0'!B46</v>
      </c>
    </row>
    <row r="1384" spans="1:16" x14ac:dyDescent="0.25">
      <c r="A1384" s="3" t="str">
        <f t="shared" ca="1" si="273"/>
        <v/>
      </c>
      <c r="G1384" s="15">
        <f t="shared" ca="1" si="282"/>
        <v>47</v>
      </c>
      <c r="H1384" s="15">
        <v>1</v>
      </c>
      <c r="I1384" s="15">
        <f t="shared" ca="1" si="283"/>
        <v>0</v>
      </c>
      <c r="J1384" s="15" t="str">
        <f t="shared" ca="1" si="290"/>
        <v>'0'!A47</v>
      </c>
      <c r="K1384" s="15" t="str">
        <f t="shared" ca="1" si="291"/>
        <v>'0'!B47</v>
      </c>
    </row>
    <row r="1385" spans="1:16" x14ac:dyDescent="0.25">
      <c r="A1385" s="3" t="str">
        <f t="shared" ca="1" si="273"/>
        <v/>
      </c>
      <c r="G1385" s="15">
        <f t="shared" ca="1" si="282"/>
        <v>48</v>
      </c>
      <c r="H1385" s="15">
        <v>1</v>
      </c>
      <c r="I1385" s="15">
        <f t="shared" ca="1" si="283"/>
        <v>0</v>
      </c>
      <c r="J1385" s="15" t="str">
        <f t="shared" ca="1" si="290"/>
        <v>'0'!A48</v>
      </c>
      <c r="K1385" s="15" t="str">
        <f t="shared" ca="1" si="291"/>
        <v>'0'!B48</v>
      </c>
    </row>
    <row r="1386" spans="1:16" x14ac:dyDescent="0.25">
      <c r="A1386" s="3" t="str">
        <f t="shared" ca="1" si="273"/>
        <v/>
      </c>
      <c r="G1386" s="15">
        <f t="shared" ca="1" si="282"/>
        <v>49</v>
      </c>
      <c r="H1386" s="15">
        <v>1</v>
      </c>
      <c r="I1386" s="15">
        <f t="shared" ca="1" si="283"/>
        <v>0</v>
      </c>
      <c r="J1386" s="15" t="str">
        <f t="shared" ca="1" si="290"/>
        <v>'0'!A49</v>
      </c>
      <c r="K1386" s="15" t="str">
        <f t="shared" ca="1" si="291"/>
        <v>'0'!B49</v>
      </c>
    </row>
    <row r="1387" spans="1:16" x14ac:dyDescent="0.25">
      <c r="A1387" s="3" t="str">
        <f t="shared" ca="1" si="273"/>
        <v/>
      </c>
      <c r="G1387" s="15">
        <f t="shared" ca="1" si="282"/>
        <v>50</v>
      </c>
      <c r="H1387" s="15">
        <v>1</v>
      </c>
      <c r="I1387" s="15">
        <f t="shared" ca="1" si="283"/>
        <v>0</v>
      </c>
      <c r="J1387" s="15" t="str">
        <f t="shared" ca="1" si="290"/>
        <v>'0'!A50</v>
      </c>
      <c r="K1387" s="15" t="str">
        <f t="shared" ca="1" si="291"/>
        <v>'0'!B50</v>
      </c>
    </row>
    <row r="1388" spans="1:16" x14ac:dyDescent="0.25">
      <c r="A1388" s="3" t="str">
        <f t="shared" ref="A1388:A1451" ca="1" si="292">IFERROR(IF(INDIRECT(J1388)&lt;&gt;"",CONCATENATE(INDIRECT(J1388)," = ",INDIRECT(K1388)," "),""),"")</f>
        <v/>
      </c>
      <c r="G1388" s="15">
        <f t="shared" ref="G1388" ca="1" si="293">INDIRECT(M1388)</f>
        <v>31</v>
      </c>
      <c r="H1388" s="15">
        <v>1</v>
      </c>
      <c r="I1388" s="15">
        <f t="shared" ref="I1388" ca="1" si="294">INDIRECT(N1388)</f>
        <v>0</v>
      </c>
      <c r="J1388" s="15" t="str">
        <f t="shared" ca="1" si="290"/>
        <v>'0'!A31</v>
      </c>
      <c r="K1388" s="15" t="str">
        <f t="shared" ca="1" si="291"/>
        <v>'0'!B31</v>
      </c>
      <c r="M1388" s="15" t="str">
        <f t="shared" ref="M1388" si="295">ADDRESS(O1388,3,4,1,$R$1)</f>
        <v>konfig!C71</v>
      </c>
      <c r="N1388" s="15" t="str">
        <f t="shared" ref="N1388" si="296">ADDRESS(O1388,1,4,1,$R$1)</f>
        <v>konfig!A71</v>
      </c>
      <c r="O1388" s="15">
        <v>71</v>
      </c>
      <c r="P1388" s="15">
        <v>4</v>
      </c>
    </row>
    <row r="1389" spans="1:16" x14ac:dyDescent="0.25">
      <c r="A1389" s="3" t="str">
        <f t="shared" ca="1" si="292"/>
        <v/>
      </c>
      <c r="G1389" s="15">
        <f t="shared" ref="G1389:G1429" ca="1" si="297">G1388+1</f>
        <v>32</v>
      </c>
      <c r="H1389" s="15">
        <v>1</v>
      </c>
      <c r="I1389" s="15">
        <f t="shared" ref="I1389:I1429" ca="1" si="298">I1388</f>
        <v>0</v>
      </c>
      <c r="J1389" s="15" t="str">
        <f t="shared" ca="1" si="290"/>
        <v>'0'!A32</v>
      </c>
      <c r="K1389" s="15" t="str">
        <f t="shared" ca="1" si="291"/>
        <v>'0'!B32</v>
      </c>
    </row>
    <row r="1390" spans="1:16" x14ac:dyDescent="0.25">
      <c r="A1390" s="3" t="str">
        <f t="shared" ca="1" si="292"/>
        <v/>
      </c>
      <c r="G1390" s="15">
        <f t="shared" ca="1" si="282"/>
        <v>33</v>
      </c>
      <c r="H1390" s="15">
        <v>1</v>
      </c>
      <c r="I1390" s="15">
        <f t="shared" ca="1" si="283"/>
        <v>0</v>
      </c>
      <c r="J1390" s="15" t="str">
        <f t="shared" ca="1" si="290"/>
        <v>'0'!A33</v>
      </c>
      <c r="K1390" s="15" t="str">
        <f t="shared" ca="1" si="291"/>
        <v>'0'!B33</v>
      </c>
    </row>
    <row r="1391" spans="1:16" x14ac:dyDescent="0.25">
      <c r="A1391" s="3" t="str">
        <f t="shared" ca="1" si="292"/>
        <v/>
      </c>
      <c r="C1391" s="16"/>
      <c r="G1391" s="15">
        <f t="shared" ca="1" si="282"/>
        <v>34</v>
      </c>
      <c r="H1391" s="15">
        <v>1</v>
      </c>
      <c r="I1391" s="15">
        <f t="shared" ca="1" si="283"/>
        <v>0</v>
      </c>
      <c r="J1391" s="15" t="str">
        <f t="shared" ca="1" si="290"/>
        <v>'0'!A34</v>
      </c>
      <c r="K1391" s="15" t="str">
        <f t="shared" ca="1" si="291"/>
        <v>'0'!B34</v>
      </c>
    </row>
    <row r="1392" spans="1:16" x14ac:dyDescent="0.25">
      <c r="A1392" s="3" t="str">
        <f t="shared" ca="1" si="292"/>
        <v/>
      </c>
      <c r="G1392" s="15">
        <f t="shared" ca="1" si="282"/>
        <v>35</v>
      </c>
      <c r="H1392" s="15">
        <v>1</v>
      </c>
      <c r="I1392" s="15">
        <f t="shared" ca="1" si="283"/>
        <v>0</v>
      </c>
      <c r="J1392" s="15" t="str">
        <f t="shared" ca="1" si="290"/>
        <v>'0'!A35</v>
      </c>
      <c r="K1392" s="15" t="str">
        <f t="shared" ca="1" si="291"/>
        <v>'0'!B35</v>
      </c>
    </row>
    <row r="1393" spans="1:16" x14ac:dyDescent="0.25">
      <c r="A1393" s="3" t="str">
        <f t="shared" ca="1" si="292"/>
        <v/>
      </c>
      <c r="G1393" s="15">
        <f t="shared" ca="1" si="282"/>
        <v>36</v>
      </c>
      <c r="H1393" s="15">
        <v>1</v>
      </c>
      <c r="I1393" s="15">
        <f t="shared" ca="1" si="283"/>
        <v>0</v>
      </c>
      <c r="J1393" s="15" t="str">
        <f t="shared" ca="1" si="290"/>
        <v>'0'!A36</v>
      </c>
      <c r="K1393" s="15" t="str">
        <f t="shared" ca="1" si="291"/>
        <v>'0'!B36</v>
      </c>
    </row>
    <row r="1394" spans="1:16" x14ac:dyDescent="0.25">
      <c r="A1394" s="3" t="str">
        <f t="shared" ca="1" si="292"/>
        <v/>
      </c>
      <c r="G1394" s="15">
        <f t="shared" ca="1" si="282"/>
        <v>37</v>
      </c>
      <c r="H1394" s="15">
        <v>1</v>
      </c>
      <c r="I1394" s="15">
        <f t="shared" ca="1" si="283"/>
        <v>0</v>
      </c>
      <c r="J1394" s="15" t="str">
        <f t="shared" ca="1" si="290"/>
        <v>'0'!A37</v>
      </c>
      <c r="K1394" s="15" t="str">
        <f t="shared" ca="1" si="291"/>
        <v>'0'!B37</v>
      </c>
    </row>
    <row r="1395" spans="1:16" x14ac:dyDescent="0.25">
      <c r="A1395" s="3" t="str">
        <f t="shared" ca="1" si="292"/>
        <v/>
      </c>
      <c r="G1395" s="15">
        <f t="shared" ca="1" si="282"/>
        <v>38</v>
      </c>
      <c r="H1395" s="15">
        <v>1</v>
      </c>
      <c r="I1395" s="15">
        <f t="shared" ca="1" si="283"/>
        <v>0</v>
      </c>
      <c r="J1395" s="15" t="str">
        <f t="shared" ca="1" si="290"/>
        <v>'0'!A38</v>
      </c>
      <c r="K1395" s="15" t="str">
        <f t="shared" ca="1" si="291"/>
        <v>'0'!B38</v>
      </c>
    </row>
    <row r="1396" spans="1:16" x14ac:dyDescent="0.25">
      <c r="A1396" s="3" t="str">
        <f t="shared" ca="1" si="292"/>
        <v/>
      </c>
      <c r="G1396" s="15">
        <f t="shared" ca="1" si="282"/>
        <v>39</v>
      </c>
      <c r="H1396" s="15">
        <v>1</v>
      </c>
      <c r="I1396" s="15">
        <f t="shared" ca="1" si="283"/>
        <v>0</v>
      </c>
      <c r="J1396" s="15" t="str">
        <f t="shared" ca="1" si="290"/>
        <v>'0'!A39</v>
      </c>
      <c r="K1396" s="15" t="str">
        <f t="shared" ca="1" si="291"/>
        <v>'0'!B39</v>
      </c>
    </row>
    <row r="1397" spans="1:16" x14ac:dyDescent="0.25">
      <c r="A1397" s="3" t="str">
        <f t="shared" ca="1" si="292"/>
        <v/>
      </c>
      <c r="G1397" s="15">
        <f t="shared" ca="1" si="282"/>
        <v>40</v>
      </c>
      <c r="H1397" s="15">
        <v>1</v>
      </c>
      <c r="I1397" s="15">
        <f t="shared" ca="1" si="283"/>
        <v>0</v>
      </c>
      <c r="J1397" s="15" t="str">
        <f t="shared" ca="1" si="290"/>
        <v>'0'!A40</v>
      </c>
      <c r="K1397" s="15" t="str">
        <f t="shared" ca="1" si="291"/>
        <v>'0'!B40</v>
      </c>
    </row>
    <row r="1398" spans="1:16" x14ac:dyDescent="0.25">
      <c r="A1398" s="3" t="str">
        <f t="shared" ca="1" si="292"/>
        <v/>
      </c>
      <c r="G1398" s="15">
        <f t="shared" ca="1" si="282"/>
        <v>41</v>
      </c>
      <c r="H1398" s="15">
        <v>1</v>
      </c>
      <c r="I1398" s="15">
        <f t="shared" ca="1" si="283"/>
        <v>0</v>
      </c>
      <c r="J1398" s="15" t="str">
        <f t="shared" ca="1" si="290"/>
        <v>'0'!A41</v>
      </c>
      <c r="K1398" s="15" t="str">
        <f t="shared" ca="1" si="291"/>
        <v>'0'!B41</v>
      </c>
    </row>
    <row r="1399" spans="1:16" x14ac:dyDescent="0.25">
      <c r="A1399" s="3" t="str">
        <f t="shared" ca="1" si="292"/>
        <v/>
      </c>
      <c r="C1399" s="16"/>
      <c r="G1399" s="15">
        <f t="shared" ca="1" si="282"/>
        <v>42</v>
      </c>
      <c r="H1399" s="15">
        <v>1</v>
      </c>
      <c r="I1399" s="15">
        <f t="shared" ca="1" si="283"/>
        <v>0</v>
      </c>
      <c r="J1399" s="15" t="str">
        <f t="shared" ca="1" si="290"/>
        <v>'0'!A42</v>
      </c>
      <c r="K1399" s="15" t="str">
        <f t="shared" ca="1" si="291"/>
        <v>'0'!B42</v>
      </c>
    </row>
    <row r="1400" spans="1:16" x14ac:dyDescent="0.25">
      <c r="A1400" s="3" t="str">
        <f t="shared" ca="1" si="292"/>
        <v/>
      </c>
      <c r="G1400" s="15">
        <f t="shared" ca="1" si="282"/>
        <v>43</v>
      </c>
      <c r="H1400" s="15">
        <v>1</v>
      </c>
      <c r="I1400" s="15">
        <f t="shared" ca="1" si="283"/>
        <v>0</v>
      </c>
      <c r="J1400" s="15" t="str">
        <f t="shared" ca="1" si="290"/>
        <v>'0'!A43</v>
      </c>
      <c r="K1400" s="15" t="str">
        <f t="shared" ca="1" si="291"/>
        <v>'0'!B43</v>
      </c>
    </row>
    <row r="1401" spans="1:16" x14ac:dyDescent="0.25">
      <c r="A1401" s="3" t="str">
        <f t="shared" ca="1" si="292"/>
        <v/>
      </c>
      <c r="G1401" s="15">
        <f t="shared" ca="1" si="282"/>
        <v>44</v>
      </c>
      <c r="H1401" s="15">
        <v>1</v>
      </c>
      <c r="I1401" s="15">
        <f t="shared" ca="1" si="283"/>
        <v>0</v>
      </c>
      <c r="J1401" s="15" t="str">
        <f t="shared" ca="1" si="290"/>
        <v>'0'!A44</v>
      </c>
      <c r="K1401" s="15" t="str">
        <f t="shared" ca="1" si="291"/>
        <v>'0'!B44</v>
      </c>
    </row>
    <row r="1402" spans="1:16" x14ac:dyDescent="0.25">
      <c r="A1402" s="3" t="str">
        <f t="shared" ca="1" si="292"/>
        <v/>
      </c>
      <c r="G1402" s="15">
        <f t="shared" ca="1" si="282"/>
        <v>45</v>
      </c>
      <c r="H1402" s="15">
        <v>1</v>
      </c>
      <c r="I1402" s="15">
        <f t="shared" ca="1" si="283"/>
        <v>0</v>
      </c>
      <c r="J1402" s="15" t="str">
        <f t="shared" ca="1" si="290"/>
        <v>'0'!A45</v>
      </c>
      <c r="K1402" s="15" t="str">
        <f t="shared" ca="1" si="291"/>
        <v>'0'!B45</v>
      </c>
    </row>
    <row r="1403" spans="1:16" x14ac:dyDescent="0.25">
      <c r="A1403" s="3" t="str">
        <f t="shared" ca="1" si="292"/>
        <v/>
      </c>
      <c r="G1403" s="15">
        <f t="shared" ca="1" si="282"/>
        <v>46</v>
      </c>
      <c r="H1403" s="15">
        <v>1</v>
      </c>
      <c r="I1403" s="15">
        <f t="shared" ca="1" si="283"/>
        <v>0</v>
      </c>
      <c r="J1403" s="15" t="str">
        <f t="shared" ca="1" si="290"/>
        <v>'0'!A46</v>
      </c>
      <c r="K1403" s="15" t="str">
        <f t="shared" ca="1" si="291"/>
        <v>'0'!B46</v>
      </c>
    </row>
    <row r="1404" spans="1:16" x14ac:dyDescent="0.25">
      <c r="A1404" s="3" t="str">
        <f t="shared" ca="1" si="292"/>
        <v/>
      </c>
      <c r="G1404" s="15">
        <f t="shared" ca="1" si="282"/>
        <v>47</v>
      </c>
      <c r="H1404" s="15">
        <v>1</v>
      </c>
      <c r="I1404" s="15">
        <f t="shared" ca="1" si="283"/>
        <v>0</v>
      </c>
      <c r="J1404" s="15" t="str">
        <f t="shared" ca="1" si="290"/>
        <v>'0'!A47</v>
      </c>
      <c r="K1404" s="15" t="str">
        <f t="shared" ca="1" si="291"/>
        <v>'0'!B47</v>
      </c>
    </row>
    <row r="1405" spans="1:16" x14ac:dyDescent="0.25">
      <c r="A1405" s="3" t="str">
        <f t="shared" ca="1" si="292"/>
        <v/>
      </c>
      <c r="G1405" s="15">
        <f t="shared" ca="1" si="282"/>
        <v>48</v>
      </c>
      <c r="H1405" s="15">
        <v>1</v>
      </c>
      <c r="I1405" s="15">
        <f t="shared" ca="1" si="283"/>
        <v>0</v>
      </c>
      <c r="J1405" s="15" t="str">
        <f t="shared" ca="1" si="290"/>
        <v>'0'!A48</v>
      </c>
      <c r="K1405" s="15" t="str">
        <f t="shared" ca="1" si="291"/>
        <v>'0'!B48</v>
      </c>
    </row>
    <row r="1406" spans="1:16" x14ac:dyDescent="0.25">
      <c r="A1406" s="3" t="str">
        <f t="shared" ca="1" si="292"/>
        <v/>
      </c>
      <c r="G1406" s="15">
        <f t="shared" ca="1" si="282"/>
        <v>49</v>
      </c>
      <c r="H1406" s="15">
        <v>1</v>
      </c>
      <c r="I1406" s="15">
        <f t="shared" ca="1" si="283"/>
        <v>0</v>
      </c>
      <c r="J1406" s="15" t="str">
        <f t="shared" ca="1" si="290"/>
        <v>'0'!A49</v>
      </c>
      <c r="K1406" s="15" t="str">
        <f t="shared" ca="1" si="291"/>
        <v>'0'!B49</v>
      </c>
    </row>
    <row r="1407" spans="1:16" x14ac:dyDescent="0.25">
      <c r="A1407" s="3" t="str">
        <f t="shared" ca="1" si="292"/>
        <v/>
      </c>
      <c r="G1407" s="15">
        <f t="shared" ca="1" si="282"/>
        <v>50</v>
      </c>
      <c r="H1407" s="15">
        <v>1</v>
      </c>
      <c r="I1407" s="15">
        <f t="shared" ca="1" si="283"/>
        <v>0</v>
      </c>
      <c r="J1407" s="15" t="str">
        <f t="shared" ca="1" si="290"/>
        <v>'0'!A50</v>
      </c>
      <c r="K1407" s="15" t="str">
        <f t="shared" ca="1" si="291"/>
        <v>'0'!B50</v>
      </c>
    </row>
    <row r="1408" spans="1:16" x14ac:dyDescent="0.25">
      <c r="A1408" s="3" t="str">
        <f t="shared" ca="1" si="292"/>
        <v/>
      </c>
      <c r="G1408" s="15">
        <f t="shared" ref="G1408" ca="1" si="299">INDIRECT(M1408)</f>
        <v>31</v>
      </c>
      <c r="H1408" s="15">
        <v>1</v>
      </c>
      <c r="I1408" s="15">
        <f t="shared" ref="I1408" ca="1" si="300">INDIRECT(N1408)</f>
        <v>0</v>
      </c>
      <c r="J1408" s="15" t="str">
        <f t="shared" ca="1" si="290"/>
        <v>'0'!A31</v>
      </c>
      <c r="K1408" s="15" t="str">
        <f t="shared" ca="1" si="291"/>
        <v>'0'!B31</v>
      </c>
      <c r="M1408" s="15" t="str">
        <f t="shared" ref="M1408" si="301">ADDRESS(O1408,3,4,1,$R$1)</f>
        <v>konfig!C72</v>
      </c>
      <c r="N1408" s="15" t="str">
        <f t="shared" ref="N1408" si="302">ADDRESS(O1408,1,4,1,$R$1)</f>
        <v>konfig!A72</v>
      </c>
      <c r="O1408" s="15">
        <v>72</v>
      </c>
      <c r="P1408" s="15">
        <v>4</v>
      </c>
    </row>
    <row r="1409" spans="1:11" x14ac:dyDescent="0.25">
      <c r="A1409" s="3" t="str">
        <f t="shared" ca="1" si="292"/>
        <v/>
      </c>
      <c r="G1409" s="15">
        <f t="shared" ca="1" si="288"/>
        <v>32</v>
      </c>
      <c r="H1409" s="15">
        <v>1</v>
      </c>
      <c r="I1409" s="15">
        <f t="shared" ca="1" si="289"/>
        <v>0</v>
      </c>
      <c r="J1409" s="15" t="str">
        <f t="shared" ca="1" si="290"/>
        <v>'0'!A32</v>
      </c>
      <c r="K1409" s="15" t="str">
        <f t="shared" ca="1" si="291"/>
        <v>'0'!B32</v>
      </c>
    </row>
    <row r="1410" spans="1:11" x14ac:dyDescent="0.25">
      <c r="A1410" s="3" t="str">
        <f t="shared" ca="1" si="292"/>
        <v/>
      </c>
      <c r="G1410" s="15">
        <f t="shared" ca="1" si="288"/>
        <v>33</v>
      </c>
      <c r="H1410" s="15">
        <v>1</v>
      </c>
      <c r="I1410" s="15">
        <f t="shared" ca="1" si="289"/>
        <v>0</v>
      </c>
      <c r="J1410" s="15" t="str">
        <f t="shared" ca="1" si="290"/>
        <v>'0'!A33</v>
      </c>
      <c r="K1410" s="15" t="str">
        <f t="shared" ca="1" si="291"/>
        <v>'0'!B33</v>
      </c>
    </row>
    <row r="1411" spans="1:11" x14ac:dyDescent="0.25">
      <c r="A1411" s="3" t="str">
        <f t="shared" ca="1" si="292"/>
        <v/>
      </c>
      <c r="C1411" s="16"/>
      <c r="G1411" s="15">
        <f t="shared" ca="1" si="288"/>
        <v>34</v>
      </c>
      <c r="H1411" s="15">
        <v>1</v>
      </c>
      <c r="I1411" s="15">
        <f t="shared" ca="1" si="289"/>
        <v>0</v>
      </c>
      <c r="J1411" s="15" t="str">
        <f t="shared" ca="1" si="290"/>
        <v>'0'!A34</v>
      </c>
      <c r="K1411" s="15" t="str">
        <f t="shared" ca="1" si="291"/>
        <v>'0'!B34</v>
      </c>
    </row>
    <row r="1412" spans="1:11" x14ac:dyDescent="0.25">
      <c r="A1412" s="3" t="str">
        <f t="shared" ca="1" si="292"/>
        <v/>
      </c>
      <c r="G1412" s="15">
        <f t="shared" ca="1" si="288"/>
        <v>35</v>
      </c>
      <c r="H1412" s="15">
        <v>1</v>
      </c>
      <c r="I1412" s="15">
        <f t="shared" ca="1" si="289"/>
        <v>0</v>
      </c>
      <c r="J1412" s="15" t="str">
        <f t="shared" ca="1" si="290"/>
        <v>'0'!A35</v>
      </c>
      <c r="K1412" s="15" t="str">
        <f t="shared" ca="1" si="291"/>
        <v>'0'!B35</v>
      </c>
    </row>
    <row r="1413" spans="1:11" x14ac:dyDescent="0.25">
      <c r="A1413" s="3" t="str">
        <f t="shared" ca="1" si="292"/>
        <v/>
      </c>
      <c r="G1413" s="15">
        <f t="shared" ca="1" si="282"/>
        <v>36</v>
      </c>
      <c r="H1413" s="15">
        <v>1</v>
      </c>
      <c r="I1413" s="15">
        <f t="shared" ca="1" si="283"/>
        <v>0</v>
      </c>
      <c r="J1413" s="15" t="str">
        <f t="shared" ca="1" si="290"/>
        <v>'0'!A36</v>
      </c>
      <c r="K1413" s="15" t="str">
        <f t="shared" ca="1" si="291"/>
        <v>'0'!B36</v>
      </c>
    </row>
    <row r="1414" spans="1:11" x14ac:dyDescent="0.25">
      <c r="A1414" s="3" t="str">
        <f t="shared" ca="1" si="292"/>
        <v/>
      </c>
      <c r="G1414" s="15">
        <f t="shared" ca="1" si="282"/>
        <v>37</v>
      </c>
      <c r="H1414" s="15">
        <v>1</v>
      </c>
      <c r="I1414" s="15">
        <f t="shared" ca="1" si="283"/>
        <v>0</v>
      </c>
      <c r="J1414" s="15" t="str">
        <f t="shared" ca="1" si="290"/>
        <v>'0'!A37</v>
      </c>
      <c r="K1414" s="15" t="str">
        <f t="shared" ca="1" si="291"/>
        <v>'0'!B37</v>
      </c>
    </row>
    <row r="1415" spans="1:11" x14ac:dyDescent="0.25">
      <c r="A1415" s="3" t="str">
        <f t="shared" ca="1" si="292"/>
        <v/>
      </c>
      <c r="G1415" s="15">
        <f t="shared" ca="1" si="282"/>
        <v>38</v>
      </c>
      <c r="H1415" s="15">
        <v>1</v>
      </c>
      <c r="I1415" s="15">
        <f t="shared" ca="1" si="283"/>
        <v>0</v>
      </c>
      <c r="J1415" s="15" t="str">
        <f t="shared" ca="1" si="290"/>
        <v>'0'!A38</v>
      </c>
      <c r="K1415" s="15" t="str">
        <f t="shared" ca="1" si="291"/>
        <v>'0'!B38</v>
      </c>
    </row>
    <row r="1416" spans="1:11" x14ac:dyDescent="0.25">
      <c r="A1416" s="3" t="str">
        <f t="shared" ca="1" si="292"/>
        <v/>
      </c>
      <c r="G1416" s="15">
        <f t="shared" ca="1" si="282"/>
        <v>39</v>
      </c>
      <c r="H1416" s="15">
        <v>1</v>
      </c>
      <c r="I1416" s="15">
        <f t="shared" ca="1" si="283"/>
        <v>0</v>
      </c>
      <c r="J1416" s="15" t="str">
        <f t="shared" ca="1" si="290"/>
        <v>'0'!A39</v>
      </c>
      <c r="K1416" s="15" t="str">
        <f t="shared" ca="1" si="291"/>
        <v>'0'!B39</v>
      </c>
    </row>
    <row r="1417" spans="1:11" x14ac:dyDescent="0.25">
      <c r="A1417" s="3" t="str">
        <f t="shared" ca="1" si="292"/>
        <v/>
      </c>
      <c r="G1417" s="15">
        <f t="shared" ref="G1417:G1480" ca="1" si="303">G1416+1</f>
        <v>40</v>
      </c>
      <c r="H1417" s="15">
        <v>1</v>
      </c>
      <c r="I1417" s="15">
        <f t="shared" ref="I1417:I1480" ca="1" si="304">I1416</f>
        <v>0</v>
      </c>
      <c r="J1417" s="15" t="str">
        <f t="shared" ca="1" si="290"/>
        <v>'0'!A40</v>
      </c>
      <c r="K1417" s="15" t="str">
        <f t="shared" ca="1" si="291"/>
        <v>'0'!B40</v>
      </c>
    </row>
    <row r="1418" spans="1:11" x14ac:dyDescent="0.25">
      <c r="A1418" s="3" t="str">
        <f t="shared" ca="1" si="292"/>
        <v/>
      </c>
      <c r="G1418" s="15">
        <f t="shared" ca="1" si="303"/>
        <v>41</v>
      </c>
      <c r="H1418" s="15">
        <v>1</v>
      </c>
      <c r="I1418" s="15">
        <f t="shared" ca="1" si="304"/>
        <v>0</v>
      </c>
      <c r="J1418" s="15" t="str">
        <f t="shared" ca="1" si="290"/>
        <v>'0'!A41</v>
      </c>
      <c r="K1418" s="15" t="str">
        <f t="shared" ca="1" si="291"/>
        <v>'0'!B41</v>
      </c>
    </row>
    <row r="1419" spans="1:11" x14ac:dyDescent="0.25">
      <c r="A1419" s="3" t="str">
        <f t="shared" ca="1" si="292"/>
        <v/>
      </c>
      <c r="C1419" s="16"/>
      <c r="G1419" s="15">
        <f t="shared" ca="1" si="303"/>
        <v>42</v>
      </c>
      <c r="H1419" s="15">
        <v>1</v>
      </c>
      <c r="I1419" s="15">
        <f t="shared" ca="1" si="304"/>
        <v>0</v>
      </c>
      <c r="J1419" s="15" t="str">
        <f t="shared" ca="1" si="290"/>
        <v>'0'!A42</v>
      </c>
      <c r="K1419" s="15" t="str">
        <f t="shared" ca="1" si="291"/>
        <v>'0'!B42</v>
      </c>
    </row>
    <row r="1420" spans="1:11" x14ac:dyDescent="0.25">
      <c r="A1420" s="3" t="str">
        <f t="shared" ca="1" si="292"/>
        <v/>
      </c>
      <c r="G1420" s="15">
        <f t="shared" ca="1" si="303"/>
        <v>43</v>
      </c>
      <c r="H1420" s="15">
        <v>1</v>
      </c>
      <c r="I1420" s="15">
        <f t="shared" ca="1" si="304"/>
        <v>0</v>
      </c>
      <c r="J1420" s="15" t="str">
        <f t="shared" ca="1" si="290"/>
        <v>'0'!A43</v>
      </c>
      <c r="K1420" s="15" t="str">
        <f t="shared" ca="1" si="291"/>
        <v>'0'!B43</v>
      </c>
    </row>
    <row r="1421" spans="1:11" x14ac:dyDescent="0.25">
      <c r="A1421" s="3" t="str">
        <f t="shared" ca="1" si="292"/>
        <v/>
      </c>
      <c r="G1421" s="15">
        <f t="shared" ca="1" si="303"/>
        <v>44</v>
      </c>
      <c r="H1421" s="15">
        <v>1</v>
      </c>
      <c r="I1421" s="15">
        <f t="shared" ca="1" si="304"/>
        <v>0</v>
      </c>
      <c r="J1421" s="15" t="str">
        <f t="shared" ca="1" si="290"/>
        <v>'0'!A44</v>
      </c>
      <c r="K1421" s="15" t="str">
        <f t="shared" ca="1" si="291"/>
        <v>'0'!B44</v>
      </c>
    </row>
    <row r="1422" spans="1:11" x14ac:dyDescent="0.25">
      <c r="A1422" s="3" t="str">
        <f t="shared" ca="1" si="292"/>
        <v/>
      </c>
      <c r="G1422" s="15">
        <f t="shared" ca="1" si="303"/>
        <v>45</v>
      </c>
      <c r="H1422" s="15">
        <v>1</v>
      </c>
      <c r="I1422" s="15">
        <f t="shared" ca="1" si="304"/>
        <v>0</v>
      </c>
      <c r="J1422" s="15" t="str">
        <f t="shared" ca="1" si="290"/>
        <v>'0'!A45</v>
      </c>
      <c r="K1422" s="15" t="str">
        <f t="shared" ca="1" si="291"/>
        <v>'0'!B45</v>
      </c>
    </row>
    <row r="1423" spans="1:11" x14ac:dyDescent="0.25">
      <c r="A1423" s="3" t="str">
        <f t="shared" ca="1" si="292"/>
        <v/>
      </c>
      <c r="G1423" s="15">
        <f t="shared" ca="1" si="303"/>
        <v>46</v>
      </c>
      <c r="H1423" s="15">
        <v>1</v>
      </c>
      <c r="I1423" s="15">
        <f t="shared" ca="1" si="304"/>
        <v>0</v>
      </c>
      <c r="J1423" s="15" t="str">
        <f t="shared" ca="1" si="290"/>
        <v>'0'!A46</v>
      </c>
      <c r="K1423" s="15" t="str">
        <f t="shared" ca="1" si="291"/>
        <v>'0'!B46</v>
      </c>
    </row>
    <row r="1424" spans="1:11" x14ac:dyDescent="0.25">
      <c r="A1424" s="3" t="str">
        <f t="shared" ca="1" si="292"/>
        <v/>
      </c>
      <c r="G1424" s="15">
        <f t="shared" ca="1" si="303"/>
        <v>47</v>
      </c>
      <c r="H1424" s="15">
        <v>1</v>
      </c>
      <c r="I1424" s="15">
        <f t="shared" ca="1" si="304"/>
        <v>0</v>
      </c>
      <c r="J1424" s="15" t="str">
        <f t="shared" ca="1" si="290"/>
        <v>'0'!A47</v>
      </c>
      <c r="K1424" s="15" t="str">
        <f t="shared" ca="1" si="291"/>
        <v>'0'!B47</v>
      </c>
    </row>
    <row r="1425" spans="1:16" x14ac:dyDescent="0.25">
      <c r="A1425" s="3" t="str">
        <f t="shared" ca="1" si="292"/>
        <v/>
      </c>
      <c r="G1425" s="15">
        <f t="shared" ca="1" si="303"/>
        <v>48</v>
      </c>
      <c r="H1425" s="15">
        <v>1</v>
      </c>
      <c r="I1425" s="15">
        <f t="shared" ca="1" si="304"/>
        <v>0</v>
      </c>
      <c r="J1425" s="15" t="str">
        <f t="shared" ca="1" si="290"/>
        <v>'0'!A48</v>
      </c>
      <c r="K1425" s="15" t="str">
        <f t="shared" ca="1" si="291"/>
        <v>'0'!B48</v>
      </c>
    </row>
    <row r="1426" spans="1:16" x14ac:dyDescent="0.25">
      <c r="A1426" s="3" t="str">
        <f t="shared" ca="1" si="292"/>
        <v/>
      </c>
      <c r="G1426" s="15">
        <f t="shared" ca="1" si="303"/>
        <v>49</v>
      </c>
      <c r="H1426" s="15">
        <v>1</v>
      </c>
      <c r="I1426" s="15">
        <f t="shared" ca="1" si="304"/>
        <v>0</v>
      </c>
      <c r="J1426" s="15" t="str">
        <f t="shared" ca="1" si="290"/>
        <v>'0'!A49</v>
      </c>
      <c r="K1426" s="15" t="str">
        <f t="shared" ca="1" si="291"/>
        <v>'0'!B49</v>
      </c>
    </row>
    <row r="1427" spans="1:16" x14ac:dyDescent="0.25">
      <c r="A1427" s="3" t="str">
        <f t="shared" ca="1" si="292"/>
        <v/>
      </c>
      <c r="G1427" s="15">
        <f t="shared" ca="1" si="303"/>
        <v>50</v>
      </c>
      <c r="H1427" s="15">
        <v>1</v>
      </c>
      <c r="I1427" s="15">
        <f t="shared" ca="1" si="304"/>
        <v>0</v>
      </c>
      <c r="J1427" s="15" t="str">
        <f t="shared" ca="1" si="290"/>
        <v>'0'!A50</v>
      </c>
      <c r="K1427" s="15" t="str">
        <f t="shared" ca="1" si="291"/>
        <v>'0'!B50</v>
      </c>
    </row>
    <row r="1428" spans="1:16" x14ac:dyDescent="0.25">
      <c r="A1428" s="3" t="str">
        <f t="shared" ca="1" si="292"/>
        <v/>
      </c>
      <c r="G1428" s="15">
        <f t="shared" ref="G1428" ca="1" si="305">INDIRECT(M1428)</f>
        <v>31</v>
      </c>
      <c r="H1428" s="15">
        <v>1</v>
      </c>
      <c r="I1428" s="15">
        <f t="shared" ref="I1428" ca="1" si="306">INDIRECT(N1428)</f>
        <v>0</v>
      </c>
      <c r="J1428" s="15" t="str">
        <f t="shared" ca="1" si="290"/>
        <v>'0'!A31</v>
      </c>
      <c r="K1428" s="15" t="str">
        <f t="shared" ca="1" si="291"/>
        <v>'0'!B31</v>
      </c>
      <c r="M1428" s="15" t="str">
        <f t="shared" ref="M1428" si="307">ADDRESS(O1428,3,4,1,$R$1)</f>
        <v>konfig!C73</v>
      </c>
      <c r="N1428" s="15" t="str">
        <f t="shared" ref="N1428" si="308">ADDRESS(O1428,1,4,1,$R$1)</f>
        <v>konfig!A73</v>
      </c>
      <c r="O1428" s="15">
        <v>73</v>
      </c>
      <c r="P1428" s="15">
        <v>4</v>
      </c>
    </row>
    <row r="1429" spans="1:16" x14ac:dyDescent="0.25">
      <c r="A1429" s="3" t="str">
        <f t="shared" ca="1" si="292"/>
        <v/>
      </c>
      <c r="G1429" s="15">
        <f t="shared" ca="1" si="297"/>
        <v>32</v>
      </c>
      <c r="H1429" s="15">
        <v>1</v>
      </c>
      <c r="I1429" s="15">
        <f t="shared" ca="1" si="298"/>
        <v>0</v>
      </c>
      <c r="J1429" s="15" t="str">
        <f t="shared" ca="1" si="290"/>
        <v>'0'!A32</v>
      </c>
      <c r="K1429" s="15" t="str">
        <f t="shared" ca="1" si="291"/>
        <v>'0'!B32</v>
      </c>
    </row>
    <row r="1430" spans="1:16" x14ac:dyDescent="0.25">
      <c r="A1430" s="3" t="str">
        <f t="shared" ca="1" si="292"/>
        <v/>
      </c>
      <c r="G1430" s="15">
        <f t="shared" ca="1" si="303"/>
        <v>33</v>
      </c>
      <c r="H1430" s="15">
        <v>1</v>
      </c>
      <c r="I1430" s="15">
        <f t="shared" ca="1" si="304"/>
        <v>0</v>
      </c>
      <c r="J1430" s="15" t="str">
        <f t="shared" ca="1" si="290"/>
        <v>'0'!A33</v>
      </c>
      <c r="K1430" s="15" t="str">
        <f t="shared" ca="1" si="291"/>
        <v>'0'!B33</v>
      </c>
    </row>
    <row r="1431" spans="1:16" x14ac:dyDescent="0.25">
      <c r="A1431" s="3" t="str">
        <f t="shared" ca="1" si="292"/>
        <v/>
      </c>
      <c r="C1431" s="16"/>
      <c r="G1431" s="15">
        <f t="shared" ca="1" si="303"/>
        <v>34</v>
      </c>
      <c r="H1431" s="15">
        <v>1</v>
      </c>
      <c r="I1431" s="15">
        <f t="shared" ca="1" si="304"/>
        <v>0</v>
      </c>
      <c r="J1431" s="15" t="str">
        <f t="shared" ca="1" si="290"/>
        <v>'0'!A34</v>
      </c>
      <c r="K1431" s="15" t="str">
        <f t="shared" ca="1" si="291"/>
        <v>'0'!B34</v>
      </c>
    </row>
    <row r="1432" spans="1:16" x14ac:dyDescent="0.25">
      <c r="A1432" s="3" t="str">
        <f t="shared" ca="1" si="292"/>
        <v/>
      </c>
      <c r="G1432" s="15">
        <f t="shared" ca="1" si="303"/>
        <v>35</v>
      </c>
      <c r="H1432" s="15">
        <v>1</v>
      </c>
      <c r="I1432" s="15">
        <f t="shared" ca="1" si="304"/>
        <v>0</v>
      </c>
      <c r="J1432" s="15" t="str">
        <f t="shared" ca="1" si="290"/>
        <v>'0'!A35</v>
      </c>
      <c r="K1432" s="15" t="str">
        <f t="shared" ca="1" si="291"/>
        <v>'0'!B35</v>
      </c>
    </row>
    <row r="1433" spans="1:16" x14ac:dyDescent="0.25">
      <c r="A1433" s="3" t="str">
        <f t="shared" ca="1" si="292"/>
        <v/>
      </c>
      <c r="G1433" s="15">
        <f t="shared" ca="1" si="303"/>
        <v>36</v>
      </c>
      <c r="H1433" s="15">
        <v>1</v>
      </c>
      <c r="I1433" s="15">
        <f t="shared" ca="1" si="304"/>
        <v>0</v>
      </c>
      <c r="J1433" s="15" t="str">
        <f t="shared" ca="1" si="290"/>
        <v>'0'!A36</v>
      </c>
      <c r="K1433" s="15" t="str">
        <f t="shared" ca="1" si="291"/>
        <v>'0'!B36</v>
      </c>
    </row>
    <row r="1434" spans="1:16" x14ac:dyDescent="0.25">
      <c r="A1434" s="3" t="str">
        <f t="shared" ca="1" si="292"/>
        <v/>
      </c>
      <c r="G1434" s="15">
        <f t="shared" ca="1" si="303"/>
        <v>37</v>
      </c>
      <c r="H1434" s="15">
        <v>1</v>
      </c>
      <c r="I1434" s="15">
        <f t="shared" ca="1" si="304"/>
        <v>0</v>
      </c>
      <c r="J1434" s="15" t="str">
        <f t="shared" ca="1" si="290"/>
        <v>'0'!A37</v>
      </c>
      <c r="K1434" s="15" t="str">
        <f t="shared" ca="1" si="291"/>
        <v>'0'!B37</v>
      </c>
    </row>
    <row r="1435" spans="1:16" x14ac:dyDescent="0.25">
      <c r="A1435" s="3" t="str">
        <f t="shared" ca="1" si="292"/>
        <v/>
      </c>
      <c r="G1435" s="15">
        <f t="shared" ca="1" si="303"/>
        <v>38</v>
      </c>
      <c r="H1435" s="15">
        <v>1</v>
      </c>
      <c r="I1435" s="15">
        <f t="shared" ca="1" si="304"/>
        <v>0</v>
      </c>
      <c r="J1435" s="15" t="str">
        <f t="shared" ca="1" si="290"/>
        <v>'0'!A38</v>
      </c>
      <c r="K1435" s="15" t="str">
        <f t="shared" ca="1" si="291"/>
        <v>'0'!B38</v>
      </c>
    </row>
    <row r="1436" spans="1:16" x14ac:dyDescent="0.25">
      <c r="A1436" s="3" t="str">
        <f t="shared" ca="1" si="292"/>
        <v/>
      </c>
      <c r="G1436" s="15">
        <f t="shared" ca="1" si="303"/>
        <v>39</v>
      </c>
      <c r="H1436" s="15">
        <v>1</v>
      </c>
      <c r="I1436" s="15">
        <f t="shared" ca="1" si="304"/>
        <v>0</v>
      </c>
      <c r="J1436" s="15" t="str">
        <f t="shared" ca="1" si="290"/>
        <v>'0'!A39</v>
      </c>
      <c r="K1436" s="15" t="str">
        <f t="shared" ca="1" si="291"/>
        <v>'0'!B39</v>
      </c>
    </row>
    <row r="1437" spans="1:16" x14ac:dyDescent="0.25">
      <c r="A1437" s="3" t="str">
        <f t="shared" ca="1" si="292"/>
        <v/>
      </c>
      <c r="G1437" s="15">
        <f t="shared" ca="1" si="303"/>
        <v>40</v>
      </c>
      <c r="H1437" s="15">
        <v>1</v>
      </c>
      <c r="I1437" s="15">
        <f t="shared" ca="1" si="304"/>
        <v>0</v>
      </c>
      <c r="J1437" s="15" t="str">
        <f t="shared" ca="1" si="290"/>
        <v>'0'!A40</v>
      </c>
      <c r="K1437" s="15" t="str">
        <f t="shared" ca="1" si="291"/>
        <v>'0'!B40</v>
      </c>
    </row>
    <row r="1438" spans="1:16" x14ac:dyDescent="0.25">
      <c r="A1438" s="3" t="str">
        <f t="shared" ca="1" si="292"/>
        <v/>
      </c>
      <c r="G1438" s="15">
        <f t="shared" ca="1" si="303"/>
        <v>41</v>
      </c>
      <c r="H1438" s="15">
        <v>1</v>
      </c>
      <c r="I1438" s="15">
        <f t="shared" ca="1" si="304"/>
        <v>0</v>
      </c>
      <c r="J1438" s="15" t="str">
        <f t="shared" ca="1" si="290"/>
        <v>'0'!A41</v>
      </c>
      <c r="K1438" s="15" t="str">
        <f t="shared" ca="1" si="291"/>
        <v>'0'!B41</v>
      </c>
    </row>
    <row r="1439" spans="1:16" x14ac:dyDescent="0.25">
      <c r="A1439" s="3" t="str">
        <f t="shared" ca="1" si="292"/>
        <v/>
      </c>
      <c r="C1439" s="16"/>
      <c r="G1439" s="15">
        <f t="shared" ca="1" si="303"/>
        <v>42</v>
      </c>
      <c r="H1439" s="15">
        <v>1</v>
      </c>
      <c r="I1439" s="15">
        <f t="shared" ca="1" si="304"/>
        <v>0</v>
      </c>
      <c r="J1439" s="15" t="str">
        <f t="shared" ca="1" si="290"/>
        <v>'0'!A42</v>
      </c>
      <c r="K1439" s="15" t="str">
        <f t="shared" ca="1" si="291"/>
        <v>'0'!B42</v>
      </c>
    </row>
    <row r="1440" spans="1:16" x14ac:dyDescent="0.25">
      <c r="A1440" s="3" t="str">
        <f t="shared" ca="1" si="292"/>
        <v/>
      </c>
      <c r="G1440" s="15">
        <f t="shared" ca="1" si="303"/>
        <v>43</v>
      </c>
      <c r="H1440" s="15">
        <v>1</v>
      </c>
      <c r="I1440" s="15">
        <f t="shared" ca="1" si="304"/>
        <v>0</v>
      </c>
      <c r="J1440" s="15" t="str">
        <f t="shared" ca="1" si="290"/>
        <v>'0'!A43</v>
      </c>
      <c r="K1440" s="15" t="str">
        <f t="shared" ca="1" si="291"/>
        <v>'0'!B43</v>
      </c>
    </row>
    <row r="1441" spans="1:16" x14ac:dyDescent="0.25">
      <c r="A1441" s="3" t="str">
        <f t="shared" ca="1" si="292"/>
        <v/>
      </c>
      <c r="G1441" s="15">
        <f t="shared" ca="1" si="303"/>
        <v>44</v>
      </c>
      <c r="H1441" s="15">
        <v>1</v>
      </c>
      <c r="I1441" s="15">
        <f t="shared" ca="1" si="304"/>
        <v>0</v>
      </c>
      <c r="J1441" s="15" t="str">
        <f t="shared" ca="1" si="290"/>
        <v>'0'!A44</v>
      </c>
      <c r="K1441" s="15" t="str">
        <f t="shared" ca="1" si="291"/>
        <v>'0'!B44</v>
      </c>
    </row>
    <row r="1442" spans="1:16" x14ac:dyDescent="0.25">
      <c r="A1442" s="3" t="str">
        <f t="shared" ca="1" si="292"/>
        <v/>
      </c>
      <c r="G1442" s="15">
        <f t="shared" ca="1" si="303"/>
        <v>45</v>
      </c>
      <c r="H1442" s="15">
        <v>1</v>
      </c>
      <c r="I1442" s="15">
        <f t="shared" ca="1" si="304"/>
        <v>0</v>
      </c>
      <c r="J1442" s="15" t="str">
        <f t="shared" ca="1" si="290"/>
        <v>'0'!A45</v>
      </c>
      <c r="K1442" s="15" t="str">
        <f t="shared" ca="1" si="291"/>
        <v>'0'!B45</v>
      </c>
    </row>
    <row r="1443" spans="1:16" x14ac:dyDescent="0.25">
      <c r="A1443" s="3" t="str">
        <f t="shared" ca="1" si="292"/>
        <v/>
      </c>
      <c r="G1443" s="15">
        <f t="shared" ca="1" si="303"/>
        <v>46</v>
      </c>
      <c r="H1443" s="15">
        <v>1</v>
      </c>
      <c r="I1443" s="15">
        <f t="shared" ca="1" si="304"/>
        <v>0</v>
      </c>
      <c r="J1443" s="15" t="str">
        <f t="shared" ca="1" si="290"/>
        <v>'0'!A46</v>
      </c>
      <c r="K1443" s="15" t="str">
        <f t="shared" ca="1" si="291"/>
        <v>'0'!B46</v>
      </c>
    </row>
    <row r="1444" spans="1:16" x14ac:dyDescent="0.25">
      <c r="A1444" s="3" t="str">
        <f t="shared" ca="1" si="292"/>
        <v/>
      </c>
      <c r="G1444" s="15">
        <f t="shared" ca="1" si="303"/>
        <v>47</v>
      </c>
      <c r="H1444" s="15">
        <v>1</v>
      </c>
      <c r="I1444" s="15">
        <f t="shared" ca="1" si="304"/>
        <v>0</v>
      </c>
      <c r="J1444" s="15" t="str">
        <f t="shared" ref="J1444:J1507" ca="1" si="309">ADDRESS(G1444,H1444,4,1,I1444)</f>
        <v>'0'!A47</v>
      </c>
      <c r="K1444" s="15" t="str">
        <f t="shared" ref="K1444:K1507" ca="1" si="310">ADDRESS(G1444,H1444+1,4,1,I1444)</f>
        <v>'0'!B47</v>
      </c>
    </row>
    <row r="1445" spans="1:16" x14ac:dyDescent="0.25">
      <c r="A1445" s="3" t="str">
        <f t="shared" ca="1" si="292"/>
        <v/>
      </c>
      <c r="G1445" s="15">
        <f t="shared" ca="1" si="303"/>
        <v>48</v>
      </c>
      <c r="H1445" s="15">
        <v>1</v>
      </c>
      <c r="I1445" s="15">
        <f t="shared" ca="1" si="304"/>
        <v>0</v>
      </c>
      <c r="J1445" s="15" t="str">
        <f t="shared" ca="1" si="309"/>
        <v>'0'!A48</v>
      </c>
      <c r="K1445" s="15" t="str">
        <f t="shared" ca="1" si="310"/>
        <v>'0'!B48</v>
      </c>
    </row>
    <row r="1446" spans="1:16" x14ac:dyDescent="0.25">
      <c r="A1446" s="3" t="str">
        <f t="shared" ca="1" si="292"/>
        <v/>
      </c>
      <c r="G1446" s="15">
        <f t="shared" ca="1" si="303"/>
        <v>49</v>
      </c>
      <c r="H1446" s="15">
        <v>1</v>
      </c>
      <c r="I1446" s="15">
        <f t="shared" ca="1" si="304"/>
        <v>0</v>
      </c>
      <c r="J1446" s="15" t="str">
        <f t="shared" ca="1" si="309"/>
        <v>'0'!A49</v>
      </c>
      <c r="K1446" s="15" t="str">
        <f t="shared" ca="1" si="310"/>
        <v>'0'!B49</v>
      </c>
    </row>
    <row r="1447" spans="1:16" x14ac:dyDescent="0.25">
      <c r="A1447" s="3" t="str">
        <f t="shared" ca="1" si="292"/>
        <v/>
      </c>
      <c r="G1447" s="15">
        <f t="shared" ca="1" si="303"/>
        <v>50</v>
      </c>
      <c r="H1447" s="15">
        <v>1</v>
      </c>
      <c r="I1447" s="15">
        <f t="shared" ca="1" si="304"/>
        <v>0</v>
      </c>
      <c r="J1447" s="15" t="str">
        <f t="shared" ca="1" si="309"/>
        <v>'0'!A50</v>
      </c>
      <c r="K1447" s="15" t="str">
        <f t="shared" ca="1" si="310"/>
        <v>'0'!B50</v>
      </c>
    </row>
    <row r="1448" spans="1:16" x14ac:dyDescent="0.25">
      <c r="A1448" s="3" t="str">
        <f t="shared" ca="1" si="292"/>
        <v/>
      </c>
      <c r="G1448" s="15">
        <f t="shared" ref="G1448" ca="1" si="311">INDIRECT(M1448)</f>
        <v>31</v>
      </c>
      <c r="H1448" s="15">
        <v>1</v>
      </c>
      <c r="I1448" s="15" t="str">
        <f t="shared" ref="I1448" ca="1" si="312">INDIRECT(N1448)</f>
        <v>karta 0 ILS</v>
      </c>
      <c r="J1448" s="15" t="str">
        <f t="shared" ca="1" si="309"/>
        <v>'karta 0 ILS'!A31</v>
      </c>
      <c r="K1448" s="15" t="str">
        <f t="shared" ca="1" si="310"/>
        <v>'karta 0 ILS'!B31</v>
      </c>
      <c r="M1448" s="15" t="str">
        <f t="shared" ref="M1448" si="313">ADDRESS(O1448,3,4,1,$R$1)</f>
        <v>konfig!C74</v>
      </c>
      <c r="N1448" s="15" t="str">
        <f t="shared" ref="N1448" si="314">ADDRESS(O1448,1,4,1,$R$1)</f>
        <v>konfig!A74</v>
      </c>
      <c r="O1448" s="15">
        <v>74</v>
      </c>
      <c r="P1448" s="15">
        <v>4</v>
      </c>
    </row>
    <row r="1449" spans="1:16" x14ac:dyDescent="0.25">
      <c r="A1449" s="3" t="str">
        <f t="shared" ca="1" si="292"/>
        <v/>
      </c>
      <c r="G1449" s="15">
        <f t="shared" ref="G1449:G1492" ca="1" si="315">G1448+1</f>
        <v>32</v>
      </c>
      <c r="H1449" s="15">
        <v>1</v>
      </c>
      <c r="I1449" s="15" t="str">
        <f t="shared" ref="I1449:I1492" ca="1" si="316">I1448</f>
        <v>karta 0 ILS</v>
      </c>
      <c r="J1449" s="15" t="str">
        <f t="shared" ca="1" si="309"/>
        <v>'karta 0 ILS'!A32</v>
      </c>
      <c r="K1449" s="15" t="str">
        <f t="shared" ca="1" si="310"/>
        <v>'karta 0 ILS'!B32</v>
      </c>
    </row>
    <row r="1450" spans="1:16" x14ac:dyDescent="0.25">
      <c r="A1450" s="3" t="str">
        <f t="shared" ca="1" si="292"/>
        <v/>
      </c>
      <c r="G1450" s="15">
        <f t="shared" ca="1" si="315"/>
        <v>33</v>
      </c>
      <c r="H1450" s="15">
        <v>1</v>
      </c>
      <c r="I1450" s="15" t="str">
        <f t="shared" ca="1" si="316"/>
        <v>karta 0 ILS</v>
      </c>
      <c r="J1450" s="15" t="str">
        <f t="shared" ca="1" si="309"/>
        <v>'karta 0 ILS'!A33</v>
      </c>
      <c r="K1450" s="15" t="str">
        <f t="shared" ca="1" si="310"/>
        <v>'karta 0 ILS'!B33</v>
      </c>
    </row>
    <row r="1451" spans="1:16" x14ac:dyDescent="0.25">
      <c r="A1451" s="3" t="str">
        <f t="shared" ca="1" si="292"/>
        <v/>
      </c>
      <c r="C1451" s="16"/>
      <c r="G1451" s="15">
        <f t="shared" ca="1" si="315"/>
        <v>34</v>
      </c>
      <c r="H1451" s="15">
        <v>1</v>
      </c>
      <c r="I1451" s="15" t="str">
        <f t="shared" ca="1" si="316"/>
        <v>karta 0 ILS</v>
      </c>
      <c r="J1451" s="15" t="str">
        <f t="shared" ca="1" si="309"/>
        <v>'karta 0 ILS'!A34</v>
      </c>
      <c r="K1451" s="15" t="str">
        <f t="shared" ca="1" si="310"/>
        <v>'karta 0 ILS'!B34</v>
      </c>
    </row>
    <row r="1452" spans="1:16" x14ac:dyDescent="0.25">
      <c r="A1452" s="3" t="str">
        <f t="shared" ref="A1452:A1515" ca="1" si="317">IFERROR(IF(INDIRECT(J1452)&lt;&gt;"",CONCATENATE(INDIRECT(J1452)," = ",INDIRECT(K1452)," "),""),"")</f>
        <v/>
      </c>
      <c r="G1452" s="15">
        <f t="shared" ca="1" si="315"/>
        <v>35</v>
      </c>
      <c r="H1452" s="15">
        <v>1</v>
      </c>
      <c r="I1452" s="15" t="str">
        <f t="shared" ca="1" si="316"/>
        <v>karta 0 ILS</v>
      </c>
      <c r="J1452" s="15" t="str">
        <f t="shared" ca="1" si="309"/>
        <v>'karta 0 ILS'!A35</v>
      </c>
      <c r="K1452" s="15" t="str">
        <f t="shared" ca="1" si="310"/>
        <v>'karta 0 ILS'!B35</v>
      </c>
    </row>
    <row r="1453" spans="1:16" x14ac:dyDescent="0.25">
      <c r="A1453" s="3" t="str">
        <f t="shared" ca="1" si="317"/>
        <v/>
      </c>
      <c r="G1453" s="15">
        <f t="shared" ca="1" si="303"/>
        <v>36</v>
      </c>
      <c r="H1453" s="15">
        <v>1</v>
      </c>
      <c r="I1453" s="15" t="str">
        <f t="shared" ca="1" si="304"/>
        <v>karta 0 ILS</v>
      </c>
      <c r="J1453" s="15" t="str">
        <f t="shared" ca="1" si="309"/>
        <v>'karta 0 ILS'!A36</v>
      </c>
      <c r="K1453" s="15" t="str">
        <f t="shared" ca="1" si="310"/>
        <v>'karta 0 ILS'!B36</v>
      </c>
    </row>
    <row r="1454" spans="1:16" x14ac:dyDescent="0.25">
      <c r="A1454" s="3" t="str">
        <f t="shared" ca="1" si="317"/>
        <v/>
      </c>
      <c r="G1454" s="15">
        <f t="shared" ca="1" si="303"/>
        <v>37</v>
      </c>
      <c r="H1454" s="15">
        <v>1</v>
      </c>
      <c r="I1454" s="15" t="str">
        <f t="shared" ca="1" si="304"/>
        <v>karta 0 ILS</v>
      </c>
      <c r="J1454" s="15" t="str">
        <f t="shared" ca="1" si="309"/>
        <v>'karta 0 ILS'!A37</v>
      </c>
      <c r="K1454" s="15" t="str">
        <f t="shared" ca="1" si="310"/>
        <v>'karta 0 ILS'!B37</v>
      </c>
    </row>
    <row r="1455" spans="1:16" x14ac:dyDescent="0.25">
      <c r="A1455" s="3" t="str">
        <f t="shared" ca="1" si="317"/>
        <v/>
      </c>
      <c r="G1455" s="15">
        <f t="shared" ca="1" si="303"/>
        <v>38</v>
      </c>
      <c r="H1455" s="15">
        <v>1</v>
      </c>
      <c r="I1455" s="15" t="str">
        <f t="shared" ca="1" si="304"/>
        <v>karta 0 ILS</v>
      </c>
      <c r="J1455" s="15" t="str">
        <f t="shared" ca="1" si="309"/>
        <v>'karta 0 ILS'!A38</v>
      </c>
      <c r="K1455" s="15" t="str">
        <f t="shared" ca="1" si="310"/>
        <v>'karta 0 ILS'!B38</v>
      </c>
    </row>
    <row r="1456" spans="1:16" x14ac:dyDescent="0.25">
      <c r="A1456" s="3" t="str">
        <f t="shared" ca="1" si="317"/>
        <v/>
      </c>
      <c r="G1456" s="15">
        <f t="shared" ca="1" si="303"/>
        <v>39</v>
      </c>
      <c r="H1456" s="15">
        <v>1</v>
      </c>
      <c r="I1456" s="15" t="str">
        <f t="shared" ca="1" si="304"/>
        <v>karta 0 ILS</v>
      </c>
      <c r="J1456" s="15" t="str">
        <f t="shared" ca="1" si="309"/>
        <v>'karta 0 ILS'!A39</v>
      </c>
      <c r="K1456" s="15" t="str">
        <f t="shared" ca="1" si="310"/>
        <v>'karta 0 ILS'!B39</v>
      </c>
    </row>
    <row r="1457" spans="1:16" x14ac:dyDescent="0.25">
      <c r="A1457" s="3" t="str">
        <f t="shared" ca="1" si="317"/>
        <v/>
      </c>
      <c r="G1457" s="15">
        <f t="shared" ca="1" si="303"/>
        <v>40</v>
      </c>
      <c r="H1457" s="15">
        <v>1</v>
      </c>
      <c r="I1457" s="15" t="str">
        <f t="shared" ca="1" si="304"/>
        <v>karta 0 ILS</v>
      </c>
      <c r="J1457" s="15" t="str">
        <f t="shared" ca="1" si="309"/>
        <v>'karta 0 ILS'!A40</v>
      </c>
      <c r="K1457" s="15" t="str">
        <f t="shared" ca="1" si="310"/>
        <v>'karta 0 ILS'!B40</v>
      </c>
    </row>
    <row r="1458" spans="1:16" x14ac:dyDescent="0.25">
      <c r="A1458" s="3" t="str">
        <f t="shared" ca="1" si="317"/>
        <v/>
      </c>
      <c r="G1458" s="15">
        <f t="shared" ca="1" si="303"/>
        <v>41</v>
      </c>
      <c r="H1458" s="15">
        <v>1</v>
      </c>
      <c r="I1458" s="15" t="str">
        <f t="shared" ca="1" si="304"/>
        <v>karta 0 ILS</v>
      </c>
      <c r="J1458" s="15" t="str">
        <f t="shared" ca="1" si="309"/>
        <v>'karta 0 ILS'!A41</v>
      </c>
      <c r="K1458" s="15" t="str">
        <f t="shared" ca="1" si="310"/>
        <v>'karta 0 ILS'!B41</v>
      </c>
    </row>
    <row r="1459" spans="1:16" x14ac:dyDescent="0.25">
      <c r="A1459" s="3" t="str">
        <f t="shared" ca="1" si="317"/>
        <v/>
      </c>
      <c r="C1459" s="16"/>
      <c r="G1459" s="15">
        <f t="shared" ca="1" si="303"/>
        <v>42</v>
      </c>
      <c r="H1459" s="15">
        <v>1</v>
      </c>
      <c r="I1459" s="15" t="str">
        <f t="shared" ca="1" si="304"/>
        <v>karta 0 ILS</v>
      </c>
      <c r="J1459" s="15" t="str">
        <f t="shared" ca="1" si="309"/>
        <v>'karta 0 ILS'!A42</v>
      </c>
      <c r="K1459" s="15" t="str">
        <f t="shared" ca="1" si="310"/>
        <v>'karta 0 ILS'!B42</v>
      </c>
    </row>
    <row r="1460" spans="1:16" x14ac:dyDescent="0.25">
      <c r="A1460" s="3" t="str">
        <f t="shared" ca="1" si="317"/>
        <v/>
      </c>
      <c r="G1460" s="15">
        <f t="shared" ca="1" si="303"/>
        <v>43</v>
      </c>
      <c r="H1460" s="15">
        <v>1</v>
      </c>
      <c r="I1460" s="15" t="str">
        <f t="shared" ca="1" si="304"/>
        <v>karta 0 ILS</v>
      </c>
      <c r="J1460" s="15" t="str">
        <f t="shared" ca="1" si="309"/>
        <v>'karta 0 ILS'!A43</v>
      </c>
      <c r="K1460" s="15" t="str">
        <f t="shared" ca="1" si="310"/>
        <v>'karta 0 ILS'!B43</v>
      </c>
    </row>
    <row r="1461" spans="1:16" x14ac:dyDescent="0.25">
      <c r="A1461" s="3" t="str">
        <f t="shared" ca="1" si="317"/>
        <v/>
      </c>
      <c r="G1461" s="15">
        <f t="shared" ca="1" si="303"/>
        <v>44</v>
      </c>
      <c r="H1461" s="15">
        <v>1</v>
      </c>
      <c r="I1461" s="15" t="str">
        <f t="shared" ca="1" si="304"/>
        <v>karta 0 ILS</v>
      </c>
      <c r="J1461" s="15" t="str">
        <f t="shared" ca="1" si="309"/>
        <v>'karta 0 ILS'!A44</v>
      </c>
      <c r="K1461" s="15" t="str">
        <f t="shared" ca="1" si="310"/>
        <v>'karta 0 ILS'!B44</v>
      </c>
    </row>
    <row r="1462" spans="1:16" x14ac:dyDescent="0.25">
      <c r="A1462" s="3" t="str">
        <f t="shared" ca="1" si="317"/>
        <v/>
      </c>
      <c r="G1462" s="15">
        <f t="shared" ca="1" si="303"/>
        <v>45</v>
      </c>
      <c r="H1462" s="15">
        <v>1</v>
      </c>
      <c r="I1462" s="15" t="str">
        <f t="shared" ca="1" si="304"/>
        <v>karta 0 ILS</v>
      </c>
      <c r="J1462" s="15" t="str">
        <f t="shared" ca="1" si="309"/>
        <v>'karta 0 ILS'!A45</v>
      </c>
      <c r="K1462" s="15" t="str">
        <f t="shared" ca="1" si="310"/>
        <v>'karta 0 ILS'!B45</v>
      </c>
    </row>
    <row r="1463" spans="1:16" x14ac:dyDescent="0.25">
      <c r="A1463" s="3" t="str">
        <f t="shared" ca="1" si="317"/>
        <v/>
      </c>
      <c r="G1463" s="15">
        <f t="shared" ca="1" si="303"/>
        <v>46</v>
      </c>
      <c r="H1463" s="15">
        <v>1</v>
      </c>
      <c r="I1463" s="15" t="str">
        <f t="shared" ca="1" si="304"/>
        <v>karta 0 ILS</v>
      </c>
      <c r="J1463" s="15" t="str">
        <f t="shared" ca="1" si="309"/>
        <v>'karta 0 ILS'!A46</v>
      </c>
      <c r="K1463" s="15" t="str">
        <f t="shared" ca="1" si="310"/>
        <v>'karta 0 ILS'!B46</v>
      </c>
    </row>
    <row r="1464" spans="1:16" x14ac:dyDescent="0.25">
      <c r="A1464" s="3" t="str">
        <f t="shared" ca="1" si="317"/>
        <v/>
      </c>
      <c r="G1464" s="15">
        <f t="shared" ca="1" si="303"/>
        <v>47</v>
      </c>
      <c r="H1464" s="15">
        <v>1</v>
      </c>
      <c r="I1464" s="15" t="str">
        <f t="shared" ca="1" si="304"/>
        <v>karta 0 ILS</v>
      </c>
      <c r="J1464" s="15" t="str">
        <f t="shared" ca="1" si="309"/>
        <v>'karta 0 ILS'!A47</v>
      </c>
      <c r="K1464" s="15" t="str">
        <f t="shared" ca="1" si="310"/>
        <v>'karta 0 ILS'!B47</v>
      </c>
    </row>
    <row r="1465" spans="1:16" x14ac:dyDescent="0.25">
      <c r="A1465" s="3" t="str">
        <f t="shared" ca="1" si="317"/>
        <v/>
      </c>
      <c r="G1465" s="15">
        <f t="shared" ca="1" si="303"/>
        <v>48</v>
      </c>
      <c r="H1465" s="15">
        <v>1</v>
      </c>
      <c r="I1465" s="15" t="str">
        <f t="shared" ca="1" si="304"/>
        <v>karta 0 ILS</v>
      </c>
      <c r="J1465" s="15" t="str">
        <f t="shared" ca="1" si="309"/>
        <v>'karta 0 ILS'!A48</v>
      </c>
      <c r="K1465" s="15" t="str">
        <f t="shared" ca="1" si="310"/>
        <v>'karta 0 ILS'!B48</v>
      </c>
    </row>
    <row r="1466" spans="1:16" x14ac:dyDescent="0.25">
      <c r="A1466" s="3" t="str">
        <f t="shared" ca="1" si="317"/>
        <v/>
      </c>
      <c r="G1466" s="15">
        <f t="shared" ca="1" si="303"/>
        <v>49</v>
      </c>
      <c r="H1466" s="15">
        <v>1</v>
      </c>
      <c r="I1466" s="15" t="str">
        <f t="shared" ca="1" si="304"/>
        <v>karta 0 ILS</v>
      </c>
      <c r="J1466" s="15" t="str">
        <f t="shared" ca="1" si="309"/>
        <v>'karta 0 ILS'!A49</v>
      </c>
      <c r="K1466" s="15" t="str">
        <f t="shared" ca="1" si="310"/>
        <v>'karta 0 ILS'!B49</v>
      </c>
    </row>
    <row r="1467" spans="1:16" x14ac:dyDescent="0.25">
      <c r="A1467" s="3" t="str">
        <f t="shared" ca="1" si="317"/>
        <v/>
      </c>
      <c r="G1467" s="15">
        <f t="shared" ca="1" si="303"/>
        <v>50</v>
      </c>
      <c r="H1467" s="15">
        <v>1</v>
      </c>
      <c r="I1467" s="15" t="str">
        <f t="shared" ca="1" si="304"/>
        <v>karta 0 ILS</v>
      </c>
      <c r="J1467" s="15" t="str">
        <f t="shared" ca="1" si="309"/>
        <v>'karta 0 ILS'!A50</v>
      </c>
      <c r="K1467" s="15" t="str">
        <f t="shared" ca="1" si="310"/>
        <v>'karta 0 ILS'!B50</v>
      </c>
    </row>
    <row r="1468" spans="1:16" x14ac:dyDescent="0.25">
      <c r="A1468" s="3" t="str">
        <f t="shared" ca="1" si="317"/>
        <v xml:space="preserve">#I2C_Bridge_GPIO:exp_group_0x =  </v>
      </c>
      <c r="G1468" s="15">
        <f t="shared" ref="G1468" ca="1" si="318">INDIRECT(M1468)</f>
        <v>51</v>
      </c>
      <c r="H1468" s="15">
        <v>1</v>
      </c>
      <c r="I1468" s="15" t="str">
        <f t="shared" ref="I1468" ca="1" si="319">INDIRECT(N1468)</f>
        <v>I2C_Bridge_GPIO</v>
      </c>
      <c r="J1468" s="15" t="str">
        <f t="shared" ca="1" si="309"/>
        <v>I2C_Bridge_GPIO!A51</v>
      </c>
      <c r="K1468" s="15" t="str">
        <f t="shared" ca="1" si="310"/>
        <v>I2C_Bridge_GPIO!B51</v>
      </c>
      <c r="M1468" s="15" t="str">
        <f t="shared" ref="M1468" si="320">ADDRESS(O1468,3,4,1,$R$1)</f>
        <v>konfig!C75</v>
      </c>
      <c r="N1468" s="15" t="str">
        <f t="shared" ref="N1468" si="321">ADDRESS(O1468,1,4,1,$R$1)</f>
        <v>konfig!A75</v>
      </c>
      <c r="O1468" s="15">
        <v>75</v>
      </c>
      <c r="P1468" s="15">
        <v>4</v>
      </c>
    </row>
    <row r="1469" spans="1:16" x14ac:dyDescent="0.25">
      <c r="A1469" s="3" t="str">
        <f t="shared" ca="1" si="317"/>
        <v xml:space="preserve">device = TCA9548 </v>
      </c>
      <c r="G1469" s="15">
        <f t="shared" ref="G1469:G1509" ca="1" si="322">G1468+1</f>
        <v>52</v>
      </c>
      <c r="H1469" s="15">
        <v>1</v>
      </c>
      <c r="I1469" s="15" t="str">
        <f t="shared" ref="I1469:I1509" ca="1" si="323">I1468</f>
        <v>I2C_Bridge_GPIO</v>
      </c>
      <c r="J1469" s="15" t="str">
        <f t="shared" ca="1" si="309"/>
        <v>I2C_Bridge_GPIO!A52</v>
      </c>
      <c r="K1469" s="15" t="str">
        <f t="shared" ca="1" si="310"/>
        <v>I2C_Bridge_GPIO!B52</v>
      </c>
    </row>
    <row r="1470" spans="1:16" x14ac:dyDescent="0.25">
      <c r="A1470" s="3" t="str">
        <f t="shared" ca="1" si="317"/>
        <v xml:space="preserve">i2c_addr = 0x73 </v>
      </c>
      <c r="G1470" s="15">
        <f t="shared" ca="1" si="303"/>
        <v>53</v>
      </c>
      <c r="H1470" s="15">
        <v>1</v>
      </c>
      <c r="I1470" s="15" t="str">
        <f t="shared" ca="1" si="304"/>
        <v>I2C_Bridge_GPIO</v>
      </c>
      <c r="J1470" s="15" t="str">
        <f t="shared" ca="1" si="309"/>
        <v>I2C_Bridge_GPIO!A53</v>
      </c>
      <c r="K1470" s="15" t="str">
        <f t="shared" ca="1" si="310"/>
        <v>I2C_Bridge_GPIO!B53</v>
      </c>
    </row>
    <row r="1471" spans="1:16" x14ac:dyDescent="0.25">
      <c r="A1471" s="3" t="str">
        <f t="shared" ca="1" si="317"/>
        <v xml:space="preserve">i2c_num = /dev/i2c-1 </v>
      </c>
      <c r="C1471" s="16"/>
      <c r="G1471" s="15">
        <f t="shared" ca="1" si="303"/>
        <v>54</v>
      </c>
      <c r="H1471" s="15">
        <v>1</v>
      </c>
      <c r="I1471" s="15" t="str">
        <f t="shared" ca="1" si="304"/>
        <v>I2C_Bridge_GPIO</v>
      </c>
      <c r="J1471" s="15" t="str">
        <f t="shared" ca="1" si="309"/>
        <v>I2C_Bridge_GPIO!A54</v>
      </c>
      <c r="K1471" s="15" t="str">
        <f t="shared" ca="1" si="310"/>
        <v>I2C_Bridge_GPIO!B54</v>
      </c>
    </row>
    <row r="1472" spans="1:16" x14ac:dyDescent="0.25">
      <c r="A1472" s="3" t="str">
        <f t="shared" ca="1" si="317"/>
        <v xml:space="preserve">ctrl_reg = 0x01 </v>
      </c>
      <c r="G1472" s="15">
        <f t="shared" ca="1" si="303"/>
        <v>55</v>
      </c>
      <c r="H1472" s="15">
        <v>1</v>
      </c>
      <c r="I1472" s="15" t="str">
        <f t="shared" ca="1" si="304"/>
        <v>I2C_Bridge_GPIO</v>
      </c>
      <c r="J1472" s="15" t="str">
        <f t="shared" ca="1" si="309"/>
        <v>I2C_Bridge_GPIO!A55</v>
      </c>
      <c r="K1472" s="15" t="str">
        <f t="shared" ca="1" si="310"/>
        <v>I2C_Bridge_GPIO!B55</v>
      </c>
    </row>
    <row r="1473" spans="1:16" x14ac:dyDescent="0.25">
      <c r="A1473" s="3" t="str">
        <f t="shared" ca="1" si="317"/>
        <v/>
      </c>
      <c r="G1473" s="15">
        <f t="shared" ca="1" si="303"/>
        <v>56</v>
      </c>
      <c r="H1473" s="15">
        <v>1</v>
      </c>
      <c r="I1473" s="15" t="str">
        <f t="shared" ca="1" si="304"/>
        <v>I2C_Bridge_GPIO</v>
      </c>
      <c r="J1473" s="15" t="str">
        <f t="shared" ca="1" si="309"/>
        <v>I2C_Bridge_GPIO!A56</v>
      </c>
      <c r="K1473" s="15" t="str">
        <f t="shared" ca="1" si="310"/>
        <v>I2C_Bridge_GPIO!B56</v>
      </c>
    </row>
    <row r="1474" spans="1:16" x14ac:dyDescent="0.25">
      <c r="A1474" s="3" t="str">
        <f t="shared" ca="1" si="317"/>
        <v xml:space="preserve">time = 10 </v>
      </c>
      <c r="G1474" s="15">
        <f t="shared" ca="1" si="303"/>
        <v>57</v>
      </c>
      <c r="H1474" s="15">
        <v>1</v>
      </c>
      <c r="I1474" s="15" t="str">
        <f t="shared" ca="1" si="304"/>
        <v>I2C_Bridge_GPIO</v>
      </c>
      <c r="J1474" s="15" t="str">
        <f t="shared" ca="1" si="309"/>
        <v>I2C_Bridge_GPIO!A57</v>
      </c>
      <c r="K1474" s="15" t="str">
        <f t="shared" ca="1" si="310"/>
        <v>I2C_Bridge_GPIO!B57</v>
      </c>
    </row>
    <row r="1475" spans="1:16" x14ac:dyDescent="0.25">
      <c r="A1475" s="3" t="str">
        <f t="shared" ca="1" si="317"/>
        <v/>
      </c>
      <c r="G1475" s="15">
        <f t="shared" ca="1" si="303"/>
        <v>58</v>
      </c>
      <c r="H1475" s="15">
        <v>1</v>
      </c>
      <c r="I1475" s="15" t="str">
        <f t="shared" ca="1" si="304"/>
        <v>I2C_Bridge_GPIO</v>
      </c>
      <c r="J1475" s="15" t="str">
        <f t="shared" ca="1" si="309"/>
        <v>I2C_Bridge_GPIO!A58</v>
      </c>
      <c r="K1475" s="15" t="str">
        <f t="shared" ca="1" si="310"/>
        <v>I2C_Bridge_GPIO!B58</v>
      </c>
    </row>
    <row r="1476" spans="1:16" x14ac:dyDescent="0.25">
      <c r="A1476" s="3" t="str">
        <f t="shared" ca="1" si="317"/>
        <v/>
      </c>
      <c r="G1476" s="15">
        <f t="shared" ca="1" si="303"/>
        <v>59</v>
      </c>
      <c r="H1476" s="15">
        <v>1</v>
      </c>
      <c r="I1476" s="15" t="str">
        <f t="shared" ca="1" si="304"/>
        <v>I2C_Bridge_GPIO</v>
      </c>
      <c r="J1476" s="15" t="str">
        <f t="shared" ca="1" si="309"/>
        <v>I2C_Bridge_GPIO!A59</v>
      </c>
      <c r="K1476" s="15" t="str">
        <f t="shared" ca="1" si="310"/>
        <v>I2C_Bridge_GPIO!B59</v>
      </c>
    </row>
    <row r="1477" spans="1:16" x14ac:dyDescent="0.25">
      <c r="A1477" s="3" t="str">
        <f t="shared" ca="1" si="317"/>
        <v/>
      </c>
      <c r="G1477" s="15">
        <f t="shared" ca="1" si="303"/>
        <v>60</v>
      </c>
      <c r="H1477" s="15">
        <v>1</v>
      </c>
      <c r="I1477" s="15" t="str">
        <f t="shared" ca="1" si="304"/>
        <v>I2C_Bridge_GPIO</v>
      </c>
      <c r="J1477" s="15" t="str">
        <f t="shared" ca="1" si="309"/>
        <v>I2C_Bridge_GPIO!A60</v>
      </c>
      <c r="K1477" s="15" t="str">
        <f t="shared" ca="1" si="310"/>
        <v>I2C_Bridge_GPIO!B60</v>
      </c>
    </row>
    <row r="1478" spans="1:16" x14ac:dyDescent="0.25">
      <c r="A1478" s="3" t="str">
        <f t="shared" ca="1" si="317"/>
        <v/>
      </c>
      <c r="G1478" s="15">
        <f t="shared" ca="1" si="303"/>
        <v>61</v>
      </c>
      <c r="H1478" s="15">
        <v>1</v>
      </c>
      <c r="I1478" s="15" t="str">
        <f t="shared" ca="1" si="304"/>
        <v>I2C_Bridge_GPIO</v>
      </c>
      <c r="J1478" s="15" t="str">
        <f t="shared" ca="1" si="309"/>
        <v>I2C_Bridge_GPIO!A61</v>
      </c>
      <c r="K1478" s="15" t="str">
        <f t="shared" ca="1" si="310"/>
        <v>I2C_Bridge_GPIO!B61</v>
      </c>
    </row>
    <row r="1479" spans="1:16" x14ac:dyDescent="0.25">
      <c r="A1479" s="3" t="str">
        <f t="shared" ca="1" si="317"/>
        <v/>
      </c>
      <c r="C1479" s="16"/>
      <c r="G1479" s="15">
        <f t="shared" ca="1" si="303"/>
        <v>62</v>
      </c>
      <c r="H1479" s="15">
        <v>1</v>
      </c>
      <c r="I1479" s="15" t="str">
        <f t="shared" ca="1" si="304"/>
        <v>I2C_Bridge_GPIO</v>
      </c>
      <c r="J1479" s="15" t="str">
        <f t="shared" ca="1" si="309"/>
        <v>I2C_Bridge_GPIO!A62</v>
      </c>
      <c r="K1479" s="15" t="str">
        <f t="shared" ca="1" si="310"/>
        <v>I2C_Bridge_GPIO!B62</v>
      </c>
    </row>
    <row r="1480" spans="1:16" x14ac:dyDescent="0.25">
      <c r="A1480" s="3" t="str">
        <f t="shared" ca="1" si="317"/>
        <v/>
      </c>
      <c r="G1480" s="15">
        <f t="shared" ca="1" si="303"/>
        <v>63</v>
      </c>
      <c r="H1480" s="15">
        <v>1</v>
      </c>
      <c r="I1480" s="15" t="str">
        <f t="shared" ca="1" si="304"/>
        <v>I2C_Bridge_GPIO</v>
      </c>
      <c r="J1480" s="15" t="str">
        <f t="shared" ca="1" si="309"/>
        <v>I2C_Bridge_GPIO!A63</v>
      </c>
      <c r="K1480" s="15" t="str">
        <f t="shared" ca="1" si="310"/>
        <v>I2C_Bridge_GPIO!B63</v>
      </c>
    </row>
    <row r="1481" spans="1:16" x14ac:dyDescent="0.25">
      <c r="A1481" s="3" t="str">
        <f t="shared" ca="1" si="317"/>
        <v/>
      </c>
      <c r="G1481" s="15">
        <f t="shared" ref="G1481:G1544" ca="1" si="324">G1480+1</f>
        <v>64</v>
      </c>
      <c r="H1481" s="15">
        <v>1</v>
      </c>
      <c r="I1481" s="15" t="str">
        <f t="shared" ref="I1481:I1544" ca="1" si="325">I1480</f>
        <v>I2C_Bridge_GPIO</v>
      </c>
      <c r="J1481" s="15" t="str">
        <f t="shared" ca="1" si="309"/>
        <v>I2C_Bridge_GPIO!A64</v>
      </c>
      <c r="K1481" s="15" t="str">
        <f t="shared" ca="1" si="310"/>
        <v>I2C_Bridge_GPIO!B64</v>
      </c>
    </row>
    <row r="1482" spans="1:16" x14ac:dyDescent="0.25">
      <c r="A1482" s="3" t="str">
        <f t="shared" ca="1" si="317"/>
        <v/>
      </c>
      <c r="G1482" s="15">
        <f t="shared" ca="1" si="324"/>
        <v>65</v>
      </c>
      <c r="H1482" s="15">
        <v>1</v>
      </c>
      <c r="I1482" s="15" t="str">
        <f t="shared" ca="1" si="325"/>
        <v>I2C_Bridge_GPIO</v>
      </c>
      <c r="J1482" s="15" t="str">
        <f t="shared" ca="1" si="309"/>
        <v>I2C_Bridge_GPIO!A65</v>
      </c>
      <c r="K1482" s="15" t="str">
        <f t="shared" ca="1" si="310"/>
        <v>I2C_Bridge_GPIO!B65</v>
      </c>
    </row>
    <row r="1483" spans="1:16" x14ac:dyDescent="0.25">
      <c r="A1483" s="3" t="str">
        <f t="shared" ca="1" si="317"/>
        <v/>
      </c>
      <c r="G1483" s="15">
        <f t="shared" ca="1" si="324"/>
        <v>66</v>
      </c>
      <c r="H1483" s="15">
        <v>1</v>
      </c>
      <c r="I1483" s="15" t="str">
        <f t="shared" ca="1" si="325"/>
        <v>I2C_Bridge_GPIO</v>
      </c>
      <c r="J1483" s="15" t="str">
        <f t="shared" ca="1" si="309"/>
        <v>I2C_Bridge_GPIO!A66</v>
      </c>
      <c r="K1483" s="15" t="str">
        <f t="shared" ca="1" si="310"/>
        <v>I2C_Bridge_GPIO!B66</v>
      </c>
    </row>
    <row r="1484" spans="1:16" x14ac:dyDescent="0.25">
      <c r="A1484" s="3" t="str">
        <f t="shared" ca="1" si="317"/>
        <v/>
      </c>
      <c r="G1484" s="15">
        <f t="shared" ca="1" si="324"/>
        <v>67</v>
      </c>
      <c r="H1484" s="15">
        <v>1</v>
      </c>
      <c r="I1484" s="15" t="str">
        <f t="shared" ca="1" si="325"/>
        <v>I2C_Bridge_GPIO</v>
      </c>
      <c r="J1484" s="15" t="str">
        <f t="shared" ca="1" si="309"/>
        <v>I2C_Bridge_GPIO!A67</v>
      </c>
      <c r="K1484" s="15" t="str">
        <f t="shared" ca="1" si="310"/>
        <v>I2C_Bridge_GPIO!B67</v>
      </c>
    </row>
    <row r="1485" spans="1:16" x14ac:dyDescent="0.25">
      <c r="A1485" s="3" t="str">
        <f t="shared" ca="1" si="317"/>
        <v/>
      </c>
      <c r="G1485" s="15">
        <f t="shared" ca="1" si="324"/>
        <v>68</v>
      </c>
      <c r="H1485" s="15">
        <v>1</v>
      </c>
      <c r="I1485" s="15" t="str">
        <f t="shared" ca="1" si="325"/>
        <v>I2C_Bridge_GPIO</v>
      </c>
      <c r="J1485" s="15" t="str">
        <f t="shared" ca="1" si="309"/>
        <v>I2C_Bridge_GPIO!A68</v>
      </c>
      <c r="K1485" s="15" t="str">
        <f t="shared" ca="1" si="310"/>
        <v>I2C_Bridge_GPIO!B68</v>
      </c>
    </row>
    <row r="1486" spans="1:16" x14ac:dyDescent="0.25">
      <c r="A1486" s="3" t="str">
        <f t="shared" ca="1" si="317"/>
        <v/>
      </c>
      <c r="G1486" s="15">
        <f t="shared" ca="1" si="324"/>
        <v>69</v>
      </c>
      <c r="H1486" s="15">
        <v>1</v>
      </c>
      <c r="I1486" s="15" t="str">
        <f t="shared" ca="1" si="325"/>
        <v>I2C_Bridge_GPIO</v>
      </c>
      <c r="J1486" s="15" t="str">
        <f t="shared" ca="1" si="309"/>
        <v>I2C_Bridge_GPIO!A69</v>
      </c>
      <c r="K1486" s="15" t="str">
        <f t="shared" ca="1" si="310"/>
        <v>I2C_Bridge_GPIO!B69</v>
      </c>
    </row>
    <row r="1487" spans="1:16" x14ac:dyDescent="0.25">
      <c r="A1487" s="3" t="str">
        <f t="shared" ca="1" si="317"/>
        <v/>
      </c>
      <c r="G1487" s="15">
        <f t="shared" ca="1" si="324"/>
        <v>70</v>
      </c>
      <c r="H1487" s="15">
        <v>1</v>
      </c>
      <c r="I1487" s="15" t="str">
        <f t="shared" ca="1" si="325"/>
        <v>I2C_Bridge_GPIO</v>
      </c>
      <c r="J1487" s="15" t="str">
        <f t="shared" ca="1" si="309"/>
        <v>I2C_Bridge_GPIO!A70</v>
      </c>
      <c r="K1487" s="15" t="str">
        <f t="shared" ca="1" si="310"/>
        <v>I2C_Bridge_GPIO!B70</v>
      </c>
    </row>
    <row r="1488" spans="1:16" x14ac:dyDescent="0.25">
      <c r="A1488" s="3" t="str">
        <f t="shared" ca="1" si="317"/>
        <v xml:space="preserve">#I2C_Bridge_PCIE:PCIE0 =  </v>
      </c>
      <c r="G1488" s="15">
        <f t="shared" ref="G1488" ca="1" si="326">INDIRECT(M1488)</f>
        <v>51</v>
      </c>
      <c r="H1488" s="15">
        <v>1</v>
      </c>
      <c r="I1488" s="15" t="str">
        <f t="shared" ref="I1488" ca="1" si="327">INDIRECT(N1488)</f>
        <v>I2C_Bridge_PCIE</v>
      </c>
      <c r="J1488" s="15" t="str">
        <f t="shared" ca="1" si="309"/>
        <v>I2C_Bridge_PCIE!A51</v>
      </c>
      <c r="K1488" s="15" t="str">
        <f t="shared" ca="1" si="310"/>
        <v>I2C_Bridge_PCIE!B51</v>
      </c>
      <c r="M1488" s="15" t="str">
        <f t="shared" ref="M1488" si="328">ADDRESS(O1488,3,4,1,$R$1)</f>
        <v>konfig!C76</v>
      </c>
      <c r="N1488" s="15" t="str">
        <f t="shared" ref="N1488" si="329">ADDRESS(O1488,1,4,1,$R$1)</f>
        <v>konfig!A76</v>
      </c>
      <c r="O1488" s="15">
        <v>76</v>
      </c>
      <c r="P1488" s="15">
        <v>4</v>
      </c>
    </row>
    <row r="1489" spans="1:11" x14ac:dyDescent="0.25">
      <c r="A1489" s="3" t="str">
        <f t="shared" ca="1" si="317"/>
        <v xml:space="preserve">device = TCA9548 </v>
      </c>
      <c r="G1489" s="15">
        <f t="shared" ca="1" si="315"/>
        <v>52</v>
      </c>
      <c r="H1489" s="15">
        <v>1</v>
      </c>
      <c r="I1489" s="15" t="str">
        <f t="shared" ca="1" si="316"/>
        <v>I2C_Bridge_PCIE</v>
      </c>
      <c r="J1489" s="15" t="str">
        <f t="shared" ca="1" si="309"/>
        <v>I2C_Bridge_PCIE!A52</v>
      </c>
      <c r="K1489" s="15" t="str">
        <f t="shared" ca="1" si="310"/>
        <v>I2C_Bridge_PCIE!B52</v>
      </c>
    </row>
    <row r="1490" spans="1:11" x14ac:dyDescent="0.25">
      <c r="A1490" s="3" t="str">
        <f t="shared" ca="1" si="317"/>
        <v xml:space="preserve">i2c_addr = 0x71 </v>
      </c>
      <c r="G1490" s="15">
        <f t="shared" ca="1" si="315"/>
        <v>53</v>
      </c>
      <c r="H1490" s="15">
        <v>1</v>
      </c>
      <c r="I1490" s="15" t="str">
        <f t="shared" ca="1" si="316"/>
        <v>I2C_Bridge_PCIE</v>
      </c>
      <c r="J1490" s="15" t="str">
        <f t="shared" ca="1" si="309"/>
        <v>I2C_Bridge_PCIE!A53</v>
      </c>
      <c r="K1490" s="15" t="str">
        <f t="shared" ca="1" si="310"/>
        <v>I2C_Bridge_PCIE!B53</v>
      </c>
    </row>
    <row r="1491" spans="1:11" x14ac:dyDescent="0.25">
      <c r="A1491" s="3" t="str">
        <f t="shared" ca="1" si="317"/>
        <v xml:space="preserve">i2c_num = /dev/i2c-1 </v>
      </c>
      <c r="C1491" s="16"/>
      <c r="G1491" s="15">
        <f t="shared" ca="1" si="315"/>
        <v>54</v>
      </c>
      <c r="H1491" s="15">
        <v>1</v>
      </c>
      <c r="I1491" s="15" t="str">
        <f t="shared" ca="1" si="316"/>
        <v>I2C_Bridge_PCIE</v>
      </c>
      <c r="J1491" s="15" t="str">
        <f t="shared" ca="1" si="309"/>
        <v>I2C_Bridge_PCIE!A54</v>
      </c>
      <c r="K1491" s="15" t="str">
        <f t="shared" ca="1" si="310"/>
        <v>I2C_Bridge_PCIE!B54</v>
      </c>
    </row>
    <row r="1492" spans="1:11" x14ac:dyDescent="0.25">
      <c r="A1492" s="3" t="str">
        <f t="shared" ca="1" si="317"/>
        <v xml:space="preserve">ctrl_reg = 0x02 </v>
      </c>
      <c r="G1492" s="15">
        <f t="shared" ca="1" si="315"/>
        <v>55</v>
      </c>
      <c r="H1492" s="15">
        <v>1</v>
      </c>
      <c r="I1492" s="15" t="str">
        <f t="shared" ca="1" si="316"/>
        <v>I2C_Bridge_PCIE</v>
      </c>
      <c r="J1492" s="15" t="str">
        <f t="shared" ca="1" si="309"/>
        <v>I2C_Bridge_PCIE!A55</v>
      </c>
      <c r="K1492" s="15" t="str">
        <f t="shared" ca="1" si="310"/>
        <v>I2C_Bridge_PCIE!B55</v>
      </c>
    </row>
    <row r="1493" spans="1:11" x14ac:dyDescent="0.25">
      <c r="A1493" s="3" t="str">
        <f t="shared" ca="1" si="317"/>
        <v/>
      </c>
      <c r="G1493" s="15">
        <f t="shared" ca="1" si="324"/>
        <v>56</v>
      </c>
      <c r="H1493" s="15">
        <v>1</v>
      </c>
      <c r="I1493" s="15" t="str">
        <f t="shared" ca="1" si="325"/>
        <v>I2C_Bridge_PCIE</v>
      </c>
      <c r="J1493" s="15" t="str">
        <f t="shared" ca="1" si="309"/>
        <v>I2C_Bridge_PCIE!A56</v>
      </c>
      <c r="K1493" s="15" t="str">
        <f t="shared" ca="1" si="310"/>
        <v>I2C_Bridge_PCIE!B56</v>
      </c>
    </row>
    <row r="1494" spans="1:11" x14ac:dyDescent="0.25">
      <c r="A1494" s="3" t="str">
        <f t="shared" ca="1" si="317"/>
        <v xml:space="preserve">time = 10 </v>
      </c>
      <c r="G1494" s="15">
        <f t="shared" ca="1" si="324"/>
        <v>57</v>
      </c>
      <c r="H1494" s="15">
        <v>1</v>
      </c>
      <c r="I1494" s="15" t="str">
        <f t="shared" ca="1" si="325"/>
        <v>I2C_Bridge_PCIE</v>
      </c>
      <c r="J1494" s="15" t="str">
        <f t="shared" ca="1" si="309"/>
        <v>I2C_Bridge_PCIE!A57</v>
      </c>
      <c r="K1494" s="15" t="str">
        <f t="shared" ca="1" si="310"/>
        <v>I2C_Bridge_PCIE!B57</v>
      </c>
    </row>
    <row r="1495" spans="1:11" x14ac:dyDescent="0.25">
      <c r="A1495" s="3" t="str">
        <f t="shared" ca="1" si="317"/>
        <v/>
      </c>
      <c r="G1495" s="15">
        <f t="shared" ca="1" si="324"/>
        <v>58</v>
      </c>
      <c r="H1495" s="15">
        <v>1</v>
      </c>
      <c r="I1495" s="15" t="str">
        <f t="shared" ca="1" si="325"/>
        <v>I2C_Bridge_PCIE</v>
      </c>
      <c r="J1495" s="15" t="str">
        <f t="shared" ca="1" si="309"/>
        <v>I2C_Bridge_PCIE!A58</v>
      </c>
      <c r="K1495" s="15" t="str">
        <f t="shared" ca="1" si="310"/>
        <v>I2C_Bridge_PCIE!B58</v>
      </c>
    </row>
    <row r="1496" spans="1:11" x14ac:dyDescent="0.25">
      <c r="A1496" s="3" t="str">
        <f t="shared" ca="1" si="317"/>
        <v/>
      </c>
      <c r="G1496" s="15">
        <f t="shared" ca="1" si="324"/>
        <v>59</v>
      </c>
      <c r="H1496" s="15">
        <v>1</v>
      </c>
      <c r="I1496" s="15" t="str">
        <f t="shared" ca="1" si="325"/>
        <v>I2C_Bridge_PCIE</v>
      </c>
      <c r="J1496" s="15" t="str">
        <f t="shared" ca="1" si="309"/>
        <v>I2C_Bridge_PCIE!A59</v>
      </c>
      <c r="K1496" s="15" t="str">
        <f t="shared" ca="1" si="310"/>
        <v>I2C_Bridge_PCIE!B59</v>
      </c>
    </row>
    <row r="1497" spans="1:11" x14ac:dyDescent="0.25">
      <c r="A1497" s="3" t="str">
        <f t="shared" ca="1" si="317"/>
        <v/>
      </c>
      <c r="G1497" s="15">
        <f t="shared" ca="1" si="324"/>
        <v>60</v>
      </c>
      <c r="H1497" s="15">
        <v>1</v>
      </c>
      <c r="I1497" s="15" t="str">
        <f t="shared" ca="1" si="325"/>
        <v>I2C_Bridge_PCIE</v>
      </c>
      <c r="J1497" s="15" t="str">
        <f t="shared" ca="1" si="309"/>
        <v>I2C_Bridge_PCIE!A60</v>
      </c>
      <c r="K1497" s="15" t="str">
        <f t="shared" ca="1" si="310"/>
        <v>I2C_Bridge_PCIE!B60</v>
      </c>
    </row>
    <row r="1498" spans="1:11" x14ac:dyDescent="0.25">
      <c r="A1498" s="3" t="str">
        <f t="shared" ca="1" si="317"/>
        <v/>
      </c>
      <c r="G1498" s="15">
        <f t="shared" ca="1" si="324"/>
        <v>61</v>
      </c>
      <c r="H1498" s="15">
        <v>1</v>
      </c>
      <c r="I1498" s="15" t="str">
        <f t="shared" ca="1" si="325"/>
        <v>I2C_Bridge_PCIE</v>
      </c>
      <c r="J1498" s="15" t="str">
        <f t="shared" ca="1" si="309"/>
        <v>I2C_Bridge_PCIE!A61</v>
      </c>
      <c r="K1498" s="15" t="str">
        <f t="shared" ca="1" si="310"/>
        <v>I2C_Bridge_PCIE!B61</v>
      </c>
    </row>
    <row r="1499" spans="1:11" x14ac:dyDescent="0.25">
      <c r="A1499" s="3" t="str">
        <f t="shared" ca="1" si="317"/>
        <v/>
      </c>
      <c r="C1499" s="16"/>
      <c r="G1499" s="15">
        <f t="shared" ca="1" si="324"/>
        <v>62</v>
      </c>
      <c r="H1499" s="15">
        <v>1</v>
      </c>
      <c r="I1499" s="15" t="str">
        <f t="shared" ca="1" si="325"/>
        <v>I2C_Bridge_PCIE</v>
      </c>
      <c r="J1499" s="15" t="str">
        <f t="shared" ca="1" si="309"/>
        <v>I2C_Bridge_PCIE!A62</v>
      </c>
      <c r="K1499" s="15" t="str">
        <f t="shared" ca="1" si="310"/>
        <v>I2C_Bridge_PCIE!B62</v>
      </c>
    </row>
    <row r="1500" spans="1:11" x14ac:dyDescent="0.25">
      <c r="A1500" s="3" t="str">
        <f t="shared" ca="1" si="317"/>
        <v/>
      </c>
      <c r="G1500" s="15">
        <f t="shared" ca="1" si="324"/>
        <v>63</v>
      </c>
      <c r="H1500" s="15">
        <v>1</v>
      </c>
      <c r="I1500" s="15" t="str">
        <f t="shared" ca="1" si="325"/>
        <v>I2C_Bridge_PCIE</v>
      </c>
      <c r="J1500" s="15" t="str">
        <f t="shared" ca="1" si="309"/>
        <v>I2C_Bridge_PCIE!A63</v>
      </c>
      <c r="K1500" s="15" t="str">
        <f t="shared" ca="1" si="310"/>
        <v>I2C_Bridge_PCIE!B63</v>
      </c>
    </row>
    <row r="1501" spans="1:11" x14ac:dyDescent="0.25">
      <c r="A1501" s="3" t="str">
        <f t="shared" ca="1" si="317"/>
        <v/>
      </c>
      <c r="G1501" s="15">
        <f t="shared" ca="1" si="324"/>
        <v>64</v>
      </c>
      <c r="H1501" s="15">
        <v>1</v>
      </c>
      <c r="I1501" s="15" t="str">
        <f t="shared" ca="1" si="325"/>
        <v>I2C_Bridge_PCIE</v>
      </c>
      <c r="J1501" s="15" t="str">
        <f t="shared" ca="1" si="309"/>
        <v>I2C_Bridge_PCIE!A64</v>
      </c>
      <c r="K1501" s="15" t="str">
        <f t="shared" ca="1" si="310"/>
        <v>I2C_Bridge_PCIE!B64</v>
      </c>
    </row>
    <row r="1502" spans="1:11" x14ac:dyDescent="0.25">
      <c r="A1502" s="3" t="str">
        <f t="shared" ca="1" si="317"/>
        <v/>
      </c>
      <c r="G1502" s="15">
        <f t="shared" ca="1" si="324"/>
        <v>65</v>
      </c>
      <c r="H1502" s="15">
        <v>1</v>
      </c>
      <c r="I1502" s="15" t="str">
        <f t="shared" ca="1" si="325"/>
        <v>I2C_Bridge_PCIE</v>
      </c>
      <c r="J1502" s="15" t="str">
        <f t="shared" ca="1" si="309"/>
        <v>I2C_Bridge_PCIE!A65</v>
      </c>
      <c r="K1502" s="15" t="str">
        <f t="shared" ca="1" si="310"/>
        <v>I2C_Bridge_PCIE!B65</v>
      </c>
    </row>
    <row r="1503" spans="1:11" x14ac:dyDescent="0.25">
      <c r="A1503" s="3" t="str">
        <f t="shared" ca="1" si="317"/>
        <v/>
      </c>
      <c r="G1503" s="15">
        <f t="shared" ca="1" si="324"/>
        <v>66</v>
      </c>
      <c r="H1503" s="15">
        <v>1</v>
      </c>
      <c r="I1503" s="15" t="str">
        <f t="shared" ca="1" si="325"/>
        <v>I2C_Bridge_PCIE</v>
      </c>
      <c r="J1503" s="15" t="str">
        <f t="shared" ca="1" si="309"/>
        <v>I2C_Bridge_PCIE!A66</v>
      </c>
      <c r="K1503" s="15" t="str">
        <f t="shared" ca="1" si="310"/>
        <v>I2C_Bridge_PCIE!B66</v>
      </c>
    </row>
    <row r="1504" spans="1:11" x14ac:dyDescent="0.25">
      <c r="A1504" s="3" t="str">
        <f t="shared" ca="1" si="317"/>
        <v/>
      </c>
      <c r="G1504" s="15">
        <f t="shared" ca="1" si="324"/>
        <v>67</v>
      </c>
      <c r="H1504" s="15">
        <v>1</v>
      </c>
      <c r="I1504" s="15" t="str">
        <f t="shared" ca="1" si="325"/>
        <v>I2C_Bridge_PCIE</v>
      </c>
      <c r="J1504" s="15" t="str">
        <f t="shared" ca="1" si="309"/>
        <v>I2C_Bridge_PCIE!A67</v>
      </c>
      <c r="K1504" s="15" t="str">
        <f t="shared" ca="1" si="310"/>
        <v>I2C_Bridge_PCIE!B67</v>
      </c>
    </row>
    <row r="1505" spans="1:16" x14ac:dyDescent="0.25">
      <c r="A1505" s="3" t="str">
        <f t="shared" ca="1" si="317"/>
        <v/>
      </c>
      <c r="G1505" s="15">
        <f t="shared" ca="1" si="324"/>
        <v>68</v>
      </c>
      <c r="H1505" s="15">
        <v>1</v>
      </c>
      <c r="I1505" s="15" t="str">
        <f t="shared" ca="1" si="325"/>
        <v>I2C_Bridge_PCIE</v>
      </c>
      <c r="J1505" s="15" t="str">
        <f t="shared" ca="1" si="309"/>
        <v>I2C_Bridge_PCIE!A68</v>
      </c>
      <c r="K1505" s="15" t="str">
        <f t="shared" ca="1" si="310"/>
        <v>I2C_Bridge_PCIE!B68</v>
      </c>
    </row>
    <row r="1506" spans="1:16" x14ac:dyDescent="0.25">
      <c r="A1506" s="3" t="str">
        <f t="shared" ca="1" si="317"/>
        <v/>
      </c>
      <c r="G1506" s="15">
        <f t="shared" ca="1" si="324"/>
        <v>69</v>
      </c>
      <c r="H1506" s="15">
        <v>1</v>
      </c>
      <c r="I1506" s="15" t="str">
        <f t="shared" ca="1" si="325"/>
        <v>I2C_Bridge_PCIE</v>
      </c>
      <c r="J1506" s="15" t="str">
        <f t="shared" ca="1" si="309"/>
        <v>I2C_Bridge_PCIE!A69</v>
      </c>
      <c r="K1506" s="15" t="str">
        <f t="shared" ca="1" si="310"/>
        <v>I2C_Bridge_PCIE!B69</v>
      </c>
    </row>
    <row r="1507" spans="1:16" x14ac:dyDescent="0.25">
      <c r="A1507" s="3" t="str">
        <f t="shared" ca="1" si="317"/>
        <v/>
      </c>
      <c r="G1507" s="15">
        <f t="shared" ca="1" si="324"/>
        <v>70</v>
      </c>
      <c r="H1507" s="15">
        <v>1</v>
      </c>
      <c r="I1507" s="15" t="str">
        <f t="shared" ca="1" si="325"/>
        <v>I2C_Bridge_PCIE</v>
      </c>
      <c r="J1507" s="15" t="str">
        <f t="shared" ca="1" si="309"/>
        <v>I2C_Bridge_PCIE!A70</v>
      </c>
      <c r="K1507" s="15" t="str">
        <f t="shared" ca="1" si="310"/>
        <v>I2C_Bridge_PCIE!B70</v>
      </c>
    </row>
    <row r="1508" spans="1:16" x14ac:dyDescent="0.25">
      <c r="A1508" s="3" t="str">
        <f t="shared" ca="1" si="317"/>
        <v xml:space="preserve">#I2C_Expander_02:etap 4 En_SPI_PCIE0 =  </v>
      </c>
      <c r="G1508" s="15">
        <f t="shared" ref="G1508" ca="1" si="330">INDIRECT(M1508)</f>
        <v>111</v>
      </c>
      <c r="H1508" s="15">
        <v>1</v>
      </c>
      <c r="I1508" s="15" t="str">
        <f t="shared" ref="I1508" ca="1" si="331">INDIRECT(N1508)</f>
        <v>I2C_Expander_02</v>
      </c>
      <c r="J1508" s="15" t="str">
        <f t="shared" ref="J1508:J1571" ca="1" si="332">ADDRESS(G1508,H1508,4,1,I1508)</f>
        <v>I2C_Expander_02!A111</v>
      </c>
      <c r="K1508" s="15" t="str">
        <f t="shared" ref="K1508:K1571" ca="1" si="333">ADDRESS(G1508,H1508+1,4,1,I1508)</f>
        <v>I2C_Expander_02!B111</v>
      </c>
      <c r="M1508" s="15" t="str">
        <f t="shared" ref="M1508" si="334">ADDRESS(O1508,3,4,1,$R$1)</f>
        <v>konfig!C77</v>
      </c>
      <c r="N1508" s="15" t="str">
        <f t="shared" ref="N1508" si="335">ADDRESS(O1508,1,4,1,$R$1)</f>
        <v>konfig!A77</v>
      </c>
      <c r="O1508" s="15">
        <v>77</v>
      </c>
      <c r="P1508" s="15">
        <v>4</v>
      </c>
    </row>
    <row r="1509" spans="1:16" x14ac:dyDescent="0.25">
      <c r="A1509" s="3" t="str">
        <f t="shared" ca="1" si="317"/>
        <v xml:space="preserve">device = MCP23017 </v>
      </c>
      <c r="G1509" s="15">
        <f t="shared" ca="1" si="322"/>
        <v>112</v>
      </c>
      <c r="H1509" s="15">
        <v>1</v>
      </c>
      <c r="I1509" s="15" t="str">
        <f t="shared" ca="1" si="323"/>
        <v>I2C_Expander_02</v>
      </c>
      <c r="J1509" s="15" t="str">
        <f t="shared" ca="1" si="332"/>
        <v>I2C_Expander_02!A112</v>
      </c>
      <c r="K1509" s="15" t="str">
        <f t="shared" ca="1" si="333"/>
        <v>I2C_Expander_02!B112</v>
      </c>
    </row>
    <row r="1510" spans="1:16" x14ac:dyDescent="0.25">
      <c r="A1510" s="3" t="str">
        <f t="shared" ca="1" si="317"/>
        <v xml:space="preserve">i2c_addr = 0x22 </v>
      </c>
      <c r="G1510" s="15">
        <f t="shared" ca="1" si="324"/>
        <v>113</v>
      </c>
      <c r="H1510" s="15">
        <v>1</v>
      </c>
      <c r="I1510" s="15" t="str">
        <f t="shared" ca="1" si="325"/>
        <v>I2C_Expander_02</v>
      </c>
      <c r="J1510" s="15" t="str">
        <f t="shared" ca="1" si="332"/>
        <v>I2C_Expander_02!A113</v>
      </c>
      <c r="K1510" s="15" t="str">
        <f t="shared" ca="1" si="333"/>
        <v>I2C_Expander_02!B113</v>
      </c>
    </row>
    <row r="1511" spans="1:16" x14ac:dyDescent="0.25">
      <c r="A1511" s="3" t="str">
        <f t="shared" ca="1" si="317"/>
        <v xml:space="preserve">i2c_num = /dev/i2c-1 </v>
      </c>
      <c r="C1511" s="16"/>
      <c r="G1511" s="15">
        <f t="shared" ca="1" si="324"/>
        <v>114</v>
      </c>
      <c r="H1511" s="15">
        <v>1</v>
      </c>
      <c r="I1511" s="15" t="str">
        <f t="shared" ca="1" si="325"/>
        <v>I2C_Expander_02</v>
      </c>
      <c r="J1511" s="15" t="str">
        <f t="shared" ca="1" si="332"/>
        <v>I2C_Expander_02!A114</v>
      </c>
      <c r="K1511" s="15" t="str">
        <f t="shared" ca="1" si="333"/>
        <v>I2C_Expander_02!B114</v>
      </c>
    </row>
    <row r="1512" spans="1:16" x14ac:dyDescent="0.25">
      <c r="A1512" s="3" t="str">
        <f t="shared" ca="1" si="317"/>
        <v xml:space="preserve">pins_mode = 0xD27C </v>
      </c>
      <c r="G1512" s="15">
        <f t="shared" ca="1" si="324"/>
        <v>115</v>
      </c>
      <c r="H1512" s="15">
        <v>1</v>
      </c>
      <c r="I1512" s="15" t="str">
        <f t="shared" ca="1" si="325"/>
        <v>I2C_Expander_02</v>
      </c>
      <c r="J1512" s="15" t="str">
        <f t="shared" ca="1" si="332"/>
        <v>I2C_Expander_02!A115</v>
      </c>
      <c r="K1512" s="15" t="str">
        <f t="shared" ca="1" si="333"/>
        <v>I2C_Expander_02!B115</v>
      </c>
    </row>
    <row r="1513" spans="1:16" x14ac:dyDescent="0.25">
      <c r="A1513" s="3" t="str">
        <f t="shared" ca="1" si="317"/>
        <v xml:space="preserve">pins_state = 0x0D83 </v>
      </c>
      <c r="G1513" s="15">
        <f t="shared" ca="1" si="324"/>
        <v>116</v>
      </c>
      <c r="H1513" s="15">
        <v>1</v>
      </c>
      <c r="I1513" s="15" t="str">
        <f t="shared" ca="1" si="325"/>
        <v>I2C_Expander_02</v>
      </c>
      <c r="J1513" s="15" t="str">
        <f t="shared" ca="1" si="332"/>
        <v>I2C_Expander_02!A116</v>
      </c>
      <c r="K1513" s="15" t="str">
        <f t="shared" ca="1" si="333"/>
        <v>I2C_Expander_02!B116</v>
      </c>
    </row>
    <row r="1514" spans="1:16" x14ac:dyDescent="0.25">
      <c r="A1514" s="3" t="str">
        <f t="shared" ca="1" si="317"/>
        <v xml:space="preserve">pins_pull_up = 0x1000 </v>
      </c>
      <c r="G1514" s="15">
        <f t="shared" ca="1" si="324"/>
        <v>117</v>
      </c>
      <c r="H1514" s="15">
        <v>1</v>
      </c>
      <c r="I1514" s="15" t="str">
        <f t="shared" ca="1" si="325"/>
        <v>I2C_Expander_02</v>
      </c>
      <c r="J1514" s="15" t="str">
        <f t="shared" ca="1" si="332"/>
        <v>I2C_Expander_02!A117</v>
      </c>
      <c r="K1514" s="15" t="str">
        <f t="shared" ca="1" si="333"/>
        <v>I2C_Expander_02!B117</v>
      </c>
    </row>
    <row r="1515" spans="1:16" x14ac:dyDescent="0.25">
      <c r="A1515" s="3" t="str">
        <f t="shared" ca="1" si="317"/>
        <v xml:space="preserve">#pins_int = 0x0000 </v>
      </c>
      <c r="G1515" s="15">
        <f t="shared" ca="1" si="324"/>
        <v>118</v>
      </c>
      <c r="H1515" s="15">
        <v>1</v>
      </c>
      <c r="I1515" s="15" t="str">
        <f t="shared" ca="1" si="325"/>
        <v>I2C_Expander_02</v>
      </c>
      <c r="J1515" s="15" t="str">
        <f t="shared" ca="1" si="332"/>
        <v>I2C_Expander_02!A118</v>
      </c>
      <c r="K1515" s="15" t="str">
        <f t="shared" ca="1" si="333"/>
        <v>I2C_Expander_02!B118</v>
      </c>
    </row>
    <row r="1516" spans="1:16" x14ac:dyDescent="0.25">
      <c r="A1516" s="3" t="str">
        <f t="shared" ref="A1516:A1579" ca="1" si="336">IFERROR(IF(INDIRECT(J1516)&lt;&gt;"",CONCATENATE(INDIRECT(J1516)," = ",INDIRECT(K1516)," "),""),"")</f>
        <v xml:space="preserve">#pins_def_val = 0x0000 </v>
      </c>
      <c r="G1516" s="15">
        <f t="shared" ca="1" si="324"/>
        <v>119</v>
      </c>
      <c r="H1516" s="15">
        <v>1</v>
      </c>
      <c r="I1516" s="15" t="str">
        <f t="shared" ca="1" si="325"/>
        <v>I2C_Expander_02</v>
      </c>
      <c r="J1516" s="15" t="str">
        <f t="shared" ca="1" si="332"/>
        <v>I2C_Expander_02!A119</v>
      </c>
      <c r="K1516" s="15" t="str">
        <f t="shared" ca="1" si="333"/>
        <v>I2C_Expander_02!B119</v>
      </c>
    </row>
    <row r="1517" spans="1:16" x14ac:dyDescent="0.25">
      <c r="A1517" s="3" t="str">
        <f t="shared" ca="1" si="336"/>
        <v/>
      </c>
      <c r="G1517" s="15">
        <f t="shared" ca="1" si="324"/>
        <v>120</v>
      </c>
      <c r="H1517" s="15">
        <v>1</v>
      </c>
      <c r="I1517" s="15" t="str">
        <f t="shared" ca="1" si="325"/>
        <v>I2C_Expander_02</v>
      </c>
      <c r="J1517" s="15" t="str">
        <f t="shared" ca="1" si="332"/>
        <v>I2C_Expander_02!A120</v>
      </c>
      <c r="K1517" s="15" t="str">
        <f t="shared" ca="1" si="333"/>
        <v>I2C_Expander_02!B120</v>
      </c>
    </row>
    <row r="1518" spans="1:16" x14ac:dyDescent="0.25">
      <c r="A1518" s="3" t="str">
        <f t="shared" ca="1" si="336"/>
        <v xml:space="preserve">#pins_int = 10 </v>
      </c>
      <c r="G1518" s="15">
        <f t="shared" ca="1" si="324"/>
        <v>121</v>
      </c>
      <c r="H1518" s="15">
        <v>1</v>
      </c>
      <c r="I1518" s="15" t="str">
        <f t="shared" ca="1" si="325"/>
        <v>I2C_Expander_02</v>
      </c>
      <c r="J1518" s="15" t="str">
        <f t="shared" ca="1" si="332"/>
        <v>I2C_Expander_02!A121</v>
      </c>
      <c r="K1518" s="15" t="str">
        <f t="shared" ca="1" si="333"/>
        <v>I2C_Expander_02!B121</v>
      </c>
    </row>
    <row r="1519" spans="1:16" x14ac:dyDescent="0.25">
      <c r="A1519" s="3" t="str">
        <f t="shared" ca="1" si="336"/>
        <v/>
      </c>
      <c r="C1519" s="16"/>
      <c r="G1519" s="15">
        <f t="shared" ca="1" si="324"/>
        <v>122</v>
      </c>
      <c r="H1519" s="15">
        <v>1</v>
      </c>
      <c r="I1519" s="15" t="str">
        <f t="shared" ca="1" si="325"/>
        <v>I2C_Expander_02</v>
      </c>
      <c r="J1519" s="15" t="str">
        <f t="shared" ca="1" si="332"/>
        <v>I2C_Expander_02!A122</v>
      </c>
      <c r="K1519" s="15" t="str">
        <f t="shared" ca="1" si="333"/>
        <v>I2C_Expander_02!B122</v>
      </c>
    </row>
    <row r="1520" spans="1:16" x14ac:dyDescent="0.25">
      <c r="A1520" s="3" t="str">
        <f t="shared" ca="1" si="336"/>
        <v/>
      </c>
      <c r="G1520" s="15">
        <f t="shared" ca="1" si="324"/>
        <v>123</v>
      </c>
      <c r="H1520" s="15">
        <v>1</v>
      </c>
      <c r="I1520" s="15" t="str">
        <f t="shared" ca="1" si="325"/>
        <v>I2C_Expander_02</v>
      </c>
      <c r="J1520" s="15" t="str">
        <f t="shared" ca="1" si="332"/>
        <v>I2C_Expander_02!A123</v>
      </c>
      <c r="K1520" s="15" t="str">
        <f t="shared" ca="1" si="333"/>
        <v>I2C_Expander_02!B123</v>
      </c>
    </row>
    <row r="1521" spans="1:16" x14ac:dyDescent="0.25">
      <c r="A1521" s="3" t="str">
        <f t="shared" ca="1" si="336"/>
        <v/>
      </c>
      <c r="G1521" s="15">
        <f t="shared" ca="1" si="324"/>
        <v>124</v>
      </c>
      <c r="H1521" s="15">
        <v>1</v>
      </c>
      <c r="I1521" s="15" t="str">
        <f t="shared" ca="1" si="325"/>
        <v>I2C_Expander_02</v>
      </c>
      <c r="J1521" s="15" t="str">
        <f t="shared" ca="1" si="332"/>
        <v>I2C_Expander_02!A124</v>
      </c>
      <c r="K1521" s="15" t="str">
        <f t="shared" ca="1" si="333"/>
        <v>I2C_Expander_02!B124</v>
      </c>
    </row>
    <row r="1522" spans="1:16" x14ac:dyDescent="0.25">
      <c r="A1522" s="3" t="str">
        <f t="shared" ca="1" si="336"/>
        <v/>
      </c>
      <c r="G1522" s="15">
        <f t="shared" ca="1" si="324"/>
        <v>125</v>
      </c>
      <c r="H1522" s="15">
        <v>1</v>
      </c>
      <c r="I1522" s="15" t="str">
        <f t="shared" ca="1" si="325"/>
        <v>I2C_Expander_02</v>
      </c>
      <c r="J1522" s="15" t="str">
        <f t="shared" ca="1" si="332"/>
        <v>I2C_Expander_02!A125</v>
      </c>
      <c r="K1522" s="15" t="str">
        <f t="shared" ca="1" si="333"/>
        <v>I2C_Expander_02!B125</v>
      </c>
    </row>
    <row r="1523" spans="1:16" x14ac:dyDescent="0.25">
      <c r="A1523" s="3" t="str">
        <f t="shared" ca="1" si="336"/>
        <v/>
      </c>
      <c r="G1523" s="15">
        <f t="shared" ca="1" si="324"/>
        <v>126</v>
      </c>
      <c r="H1523" s="15">
        <v>1</v>
      </c>
      <c r="I1523" s="15" t="str">
        <f t="shared" ca="1" si="325"/>
        <v>I2C_Expander_02</v>
      </c>
      <c r="J1523" s="15" t="str">
        <f t="shared" ca="1" si="332"/>
        <v>I2C_Expander_02!A126</v>
      </c>
      <c r="K1523" s="15" t="str">
        <f t="shared" ca="1" si="333"/>
        <v>I2C_Expander_02!B126</v>
      </c>
    </row>
    <row r="1524" spans="1:16" x14ac:dyDescent="0.25">
      <c r="A1524" s="3" t="str">
        <f t="shared" ca="1" si="336"/>
        <v/>
      </c>
      <c r="G1524" s="15">
        <f t="shared" ca="1" si="324"/>
        <v>127</v>
      </c>
      <c r="H1524" s="15">
        <v>1</v>
      </c>
      <c r="I1524" s="15" t="str">
        <f t="shared" ca="1" si="325"/>
        <v>I2C_Expander_02</v>
      </c>
      <c r="J1524" s="15" t="str">
        <f t="shared" ca="1" si="332"/>
        <v>I2C_Expander_02!A127</v>
      </c>
      <c r="K1524" s="15" t="str">
        <f t="shared" ca="1" si="333"/>
        <v>I2C_Expander_02!B127</v>
      </c>
    </row>
    <row r="1525" spans="1:16" x14ac:dyDescent="0.25">
      <c r="A1525" s="3" t="str">
        <f t="shared" ca="1" si="336"/>
        <v/>
      </c>
      <c r="G1525" s="15">
        <f t="shared" ca="1" si="324"/>
        <v>128</v>
      </c>
      <c r="H1525" s="15">
        <v>1</v>
      </c>
      <c r="I1525" s="15" t="str">
        <f t="shared" ca="1" si="325"/>
        <v>I2C_Expander_02</v>
      </c>
      <c r="J1525" s="15" t="str">
        <f t="shared" ca="1" si="332"/>
        <v>I2C_Expander_02!A128</v>
      </c>
      <c r="K1525" s="15" t="str">
        <f t="shared" ca="1" si="333"/>
        <v>I2C_Expander_02!B128</v>
      </c>
    </row>
    <row r="1526" spans="1:16" x14ac:dyDescent="0.25">
      <c r="A1526" s="3" t="str">
        <f t="shared" ca="1" si="336"/>
        <v/>
      </c>
      <c r="G1526" s="15">
        <f t="shared" ca="1" si="324"/>
        <v>129</v>
      </c>
      <c r="H1526" s="15">
        <v>1</v>
      </c>
      <c r="I1526" s="15" t="str">
        <f t="shared" ca="1" si="325"/>
        <v>I2C_Expander_02</v>
      </c>
      <c r="J1526" s="15" t="str">
        <f t="shared" ca="1" si="332"/>
        <v>I2C_Expander_02!A129</v>
      </c>
      <c r="K1526" s="15" t="str">
        <f t="shared" ca="1" si="333"/>
        <v>I2C_Expander_02!B129</v>
      </c>
    </row>
    <row r="1527" spans="1:16" x14ac:dyDescent="0.25">
      <c r="A1527" s="3" t="str">
        <f t="shared" ca="1" si="336"/>
        <v/>
      </c>
      <c r="G1527" s="15">
        <f t="shared" ca="1" si="324"/>
        <v>130</v>
      </c>
      <c r="H1527" s="15">
        <v>1</v>
      </c>
      <c r="I1527" s="15" t="str">
        <f t="shared" ca="1" si="325"/>
        <v>I2C_Expander_02</v>
      </c>
      <c r="J1527" s="15" t="str">
        <f t="shared" ca="1" si="332"/>
        <v>I2C_Expander_02!A130</v>
      </c>
      <c r="K1527" s="15" t="str">
        <f t="shared" ca="1" si="333"/>
        <v>I2C_Expander_02!B130</v>
      </c>
    </row>
    <row r="1528" spans="1:16" x14ac:dyDescent="0.25">
      <c r="A1528" s="3" t="str">
        <f t="shared" ca="1" si="336"/>
        <v xml:space="preserve">#RadioCard_ILS_Exp1:etap 1 =  </v>
      </c>
      <c r="G1528" s="15">
        <f t="shared" ref="G1528" ca="1" si="337">INDIRECT(M1528)</f>
        <v>51</v>
      </c>
      <c r="H1528" s="15">
        <v>1</v>
      </c>
      <c r="I1528" s="15" t="str">
        <f t="shared" ref="I1528" ca="1" si="338">INDIRECT(N1528)</f>
        <v>RadioCard_ILS_Exp1</v>
      </c>
      <c r="J1528" s="15" t="str">
        <f t="shared" ca="1" si="332"/>
        <v>RadioCard_ILS_Exp1!A51</v>
      </c>
      <c r="K1528" s="15" t="str">
        <f t="shared" ca="1" si="333"/>
        <v>RadioCard_ILS_Exp1!B51</v>
      </c>
      <c r="M1528" s="15" t="str">
        <f t="shared" ref="M1528" si="339">ADDRESS(O1528,3,4,1,$R$1)</f>
        <v>konfig!C78</v>
      </c>
      <c r="N1528" s="15" t="str">
        <f t="shared" ref="N1528" si="340">ADDRESS(O1528,1,4,1,$R$1)</f>
        <v>konfig!A78</v>
      </c>
      <c r="O1528" s="15">
        <v>78</v>
      </c>
      <c r="P1528" s="15">
        <v>4</v>
      </c>
    </row>
    <row r="1529" spans="1:16" x14ac:dyDescent="0.25">
      <c r="A1529" s="3" t="str">
        <f t="shared" ca="1" si="336"/>
        <v xml:space="preserve">device = MCP23017 </v>
      </c>
      <c r="G1529" s="15">
        <f t="shared" ref="G1529:G1572" ca="1" si="341">G1528+1</f>
        <v>52</v>
      </c>
      <c r="H1529" s="15">
        <v>1</v>
      </c>
      <c r="I1529" s="15" t="str">
        <f t="shared" ref="I1529:I1572" ca="1" si="342">I1528</f>
        <v>RadioCard_ILS_Exp1</v>
      </c>
      <c r="J1529" s="15" t="str">
        <f t="shared" ca="1" si="332"/>
        <v>RadioCard_ILS_Exp1!A52</v>
      </c>
      <c r="K1529" s="15" t="str">
        <f t="shared" ca="1" si="333"/>
        <v>RadioCard_ILS_Exp1!B52</v>
      </c>
    </row>
    <row r="1530" spans="1:16" x14ac:dyDescent="0.25">
      <c r="A1530" s="3" t="str">
        <f t="shared" ca="1" si="336"/>
        <v xml:space="preserve">i2c_addr = 0x26 </v>
      </c>
      <c r="G1530" s="15">
        <f t="shared" ca="1" si="341"/>
        <v>53</v>
      </c>
      <c r="H1530" s="15">
        <v>1</v>
      </c>
      <c r="I1530" s="15" t="str">
        <f t="shared" ca="1" si="342"/>
        <v>RadioCard_ILS_Exp1</v>
      </c>
      <c r="J1530" s="15" t="str">
        <f t="shared" ca="1" si="332"/>
        <v>RadioCard_ILS_Exp1!A53</v>
      </c>
      <c r="K1530" s="15" t="str">
        <f t="shared" ca="1" si="333"/>
        <v>RadioCard_ILS_Exp1!B53</v>
      </c>
    </row>
    <row r="1531" spans="1:16" x14ac:dyDescent="0.25">
      <c r="A1531" s="3" t="str">
        <f t="shared" ca="1" si="336"/>
        <v xml:space="preserve">i2c_num = /dev/i2c-1 </v>
      </c>
      <c r="C1531" s="16"/>
      <c r="G1531" s="15">
        <f t="shared" ca="1" si="341"/>
        <v>54</v>
      </c>
      <c r="H1531" s="15">
        <v>1</v>
      </c>
      <c r="I1531" s="15" t="str">
        <f t="shared" ca="1" si="342"/>
        <v>RadioCard_ILS_Exp1</v>
      </c>
      <c r="J1531" s="15" t="str">
        <f t="shared" ca="1" si="332"/>
        <v>RadioCard_ILS_Exp1!A54</v>
      </c>
      <c r="K1531" s="15" t="str">
        <f t="shared" ca="1" si="333"/>
        <v>RadioCard_ILS_Exp1!B54</v>
      </c>
    </row>
    <row r="1532" spans="1:16" x14ac:dyDescent="0.25">
      <c r="A1532" s="3" t="str">
        <f t="shared" ca="1" si="336"/>
        <v xml:space="preserve">pins_mode = 0x0000 </v>
      </c>
      <c r="G1532" s="15">
        <f t="shared" ca="1" si="341"/>
        <v>55</v>
      </c>
      <c r="H1532" s="15">
        <v>1</v>
      </c>
      <c r="I1532" s="15" t="str">
        <f t="shared" ca="1" si="342"/>
        <v>RadioCard_ILS_Exp1</v>
      </c>
      <c r="J1532" s="15" t="str">
        <f t="shared" ca="1" si="332"/>
        <v>RadioCard_ILS_Exp1!A55</v>
      </c>
      <c r="K1532" s="15" t="str">
        <f t="shared" ca="1" si="333"/>
        <v>RadioCard_ILS_Exp1!B55</v>
      </c>
    </row>
    <row r="1533" spans="1:16" x14ac:dyDescent="0.25">
      <c r="A1533" s="3" t="str">
        <f t="shared" ca="1" si="336"/>
        <v xml:space="preserve">pins_state = 0x0000 </v>
      </c>
      <c r="G1533" s="15">
        <f t="shared" ca="1" si="324"/>
        <v>56</v>
      </c>
      <c r="H1533" s="15">
        <v>1</v>
      </c>
      <c r="I1533" s="15" t="str">
        <f t="shared" ca="1" si="325"/>
        <v>RadioCard_ILS_Exp1</v>
      </c>
      <c r="J1533" s="15" t="str">
        <f t="shared" ca="1" si="332"/>
        <v>RadioCard_ILS_Exp1!A56</v>
      </c>
      <c r="K1533" s="15" t="str">
        <f t="shared" ca="1" si="333"/>
        <v>RadioCard_ILS_Exp1!B56</v>
      </c>
    </row>
    <row r="1534" spans="1:16" x14ac:dyDescent="0.25">
      <c r="A1534" s="3" t="str">
        <f t="shared" ca="1" si="336"/>
        <v xml:space="preserve">pins_pull_up = 0x0000 </v>
      </c>
      <c r="G1534" s="15">
        <f t="shared" ca="1" si="324"/>
        <v>57</v>
      </c>
      <c r="H1534" s="15">
        <v>1</v>
      </c>
      <c r="I1534" s="15" t="str">
        <f t="shared" ca="1" si="325"/>
        <v>RadioCard_ILS_Exp1</v>
      </c>
      <c r="J1534" s="15" t="str">
        <f t="shared" ca="1" si="332"/>
        <v>RadioCard_ILS_Exp1!A57</v>
      </c>
      <c r="K1534" s="15" t="str">
        <f t="shared" ca="1" si="333"/>
        <v>RadioCard_ILS_Exp1!B57</v>
      </c>
    </row>
    <row r="1535" spans="1:16" x14ac:dyDescent="0.25">
      <c r="A1535" s="3" t="str">
        <f t="shared" ca="1" si="336"/>
        <v xml:space="preserve">#pins_int = 0x0000 </v>
      </c>
      <c r="G1535" s="15">
        <f t="shared" ca="1" si="324"/>
        <v>58</v>
      </c>
      <c r="H1535" s="15">
        <v>1</v>
      </c>
      <c r="I1535" s="15" t="str">
        <f t="shared" ca="1" si="325"/>
        <v>RadioCard_ILS_Exp1</v>
      </c>
      <c r="J1535" s="15" t="str">
        <f t="shared" ca="1" si="332"/>
        <v>RadioCard_ILS_Exp1!A58</v>
      </c>
      <c r="K1535" s="15" t="str">
        <f t="shared" ca="1" si="333"/>
        <v>RadioCard_ILS_Exp1!B58</v>
      </c>
    </row>
    <row r="1536" spans="1:16" x14ac:dyDescent="0.25">
      <c r="A1536" s="3" t="str">
        <f t="shared" ca="1" si="336"/>
        <v xml:space="preserve">#pins_def_val = 0x0000 </v>
      </c>
      <c r="G1536" s="15">
        <f t="shared" ca="1" si="324"/>
        <v>59</v>
      </c>
      <c r="H1536" s="15">
        <v>1</v>
      </c>
      <c r="I1536" s="15" t="str">
        <f t="shared" ca="1" si="325"/>
        <v>RadioCard_ILS_Exp1</v>
      </c>
      <c r="J1536" s="15" t="str">
        <f t="shared" ca="1" si="332"/>
        <v>RadioCard_ILS_Exp1!A59</v>
      </c>
      <c r="K1536" s="15" t="str">
        <f t="shared" ca="1" si="333"/>
        <v>RadioCard_ILS_Exp1!B59</v>
      </c>
    </row>
    <row r="1537" spans="1:16" x14ac:dyDescent="0.25">
      <c r="A1537" s="3" t="str">
        <f t="shared" ca="1" si="336"/>
        <v/>
      </c>
      <c r="G1537" s="15">
        <f t="shared" ca="1" si="324"/>
        <v>60</v>
      </c>
      <c r="H1537" s="15">
        <v>1</v>
      </c>
      <c r="I1537" s="15" t="str">
        <f t="shared" ca="1" si="325"/>
        <v>RadioCard_ILS_Exp1</v>
      </c>
      <c r="J1537" s="15" t="str">
        <f t="shared" ca="1" si="332"/>
        <v>RadioCard_ILS_Exp1!A60</v>
      </c>
      <c r="K1537" s="15" t="str">
        <f t="shared" ca="1" si="333"/>
        <v>RadioCard_ILS_Exp1!B60</v>
      </c>
    </row>
    <row r="1538" spans="1:16" x14ac:dyDescent="0.25">
      <c r="A1538" s="3" t="str">
        <f t="shared" ca="1" si="336"/>
        <v xml:space="preserve">time = 10 </v>
      </c>
      <c r="G1538" s="15">
        <f t="shared" ca="1" si="324"/>
        <v>61</v>
      </c>
      <c r="H1538" s="15">
        <v>1</v>
      </c>
      <c r="I1538" s="15" t="str">
        <f t="shared" ca="1" si="325"/>
        <v>RadioCard_ILS_Exp1</v>
      </c>
      <c r="J1538" s="15" t="str">
        <f t="shared" ca="1" si="332"/>
        <v>RadioCard_ILS_Exp1!A61</v>
      </c>
      <c r="K1538" s="15" t="str">
        <f t="shared" ca="1" si="333"/>
        <v>RadioCard_ILS_Exp1!B61</v>
      </c>
    </row>
    <row r="1539" spans="1:16" x14ac:dyDescent="0.25">
      <c r="A1539" s="3" t="str">
        <f t="shared" ca="1" si="336"/>
        <v/>
      </c>
      <c r="C1539" s="16"/>
      <c r="G1539" s="15">
        <f t="shared" ca="1" si="324"/>
        <v>62</v>
      </c>
      <c r="H1539" s="15">
        <v>1</v>
      </c>
      <c r="I1539" s="15" t="str">
        <f t="shared" ca="1" si="325"/>
        <v>RadioCard_ILS_Exp1</v>
      </c>
      <c r="J1539" s="15" t="str">
        <f t="shared" ca="1" si="332"/>
        <v>RadioCard_ILS_Exp1!A62</v>
      </c>
      <c r="K1539" s="15" t="str">
        <f t="shared" ca="1" si="333"/>
        <v>RadioCard_ILS_Exp1!B62</v>
      </c>
    </row>
    <row r="1540" spans="1:16" x14ac:dyDescent="0.25">
      <c r="A1540" s="3" t="str">
        <f t="shared" ca="1" si="336"/>
        <v/>
      </c>
      <c r="G1540" s="15">
        <f t="shared" ca="1" si="324"/>
        <v>63</v>
      </c>
      <c r="H1540" s="15">
        <v>1</v>
      </c>
      <c r="I1540" s="15" t="str">
        <f t="shared" ca="1" si="325"/>
        <v>RadioCard_ILS_Exp1</v>
      </c>
      <c r="J1540" s="15" t="str">
        <f t="shared" ca="1" si="332"/>
        <v>RadioCard_ILS_Exp1!A63</v>
      </c>
      <c r="K1540" s="15" t="str">
        <f t="shared" ca="1" si="333"/>
        <v>RadioCard_ILS_Exp1!B63</v>
      </c>
    </row>
    <row r="1541" spans="1:16" x14ac:dyDescent="0.25">
      <c r="A1541" s="3" t="str">
        <f t="shared" ca="1" si="336"/>
        <v/>
      </c>
      <c r="G1541" s="15">
        <f t="shared" ca="1" si="324"/>
        <v>64</v>
      </c>
      <c r="H1541" s="15">
        <v>1</v>
      </c>
      <c r="I1541" s="15" t="str">
        <f t="shared" ca="1" si="325"/>
        <v>RadioCard_ILS_Exp1</v>
      </c>
      <c r="J1541" s="15" t="str">
        <f t="shared" ca="1" si="332"/>
        <v>RadioCard_ILS_Exp1!A64</v>
      </c>
      <c r="K1541" s="15" t="str">
        <f t="shared" ca="1" si="333"/>
        <v>RadioCard_ILS_Exp1!B64</v>
      </c>
    </row>
    <row r="1542" spans="1:16" x14ac:dyDescent="0.25">
      <c r="A1542" s="3" t="str">
        <f t="shared" ca="1" si="336"/>
        <v/>
      </c>
      <c r="G1542" s="15">
        <f t="shared" ca="1" si="324"/>
        <v>65</v>
      </c>
      <c r="H1542" s="15">
        <v>1</v>
      </c>
      <c r="I1542" s="15" t="str">
        <f t="shared" ca="1" si="325"/>
        <v>RadioCard_ILS_Exp1</v>
      </c>
      <c r="J1542" s="15" t="str">
        <f t="shared" ca="1" si="332"/>
        <v>RadioCard_ILS_Exp1!A65</v>
      </c>
      <c r="K1542" s="15" t="str">
        <f t="shared" ca="1" si="333"/>
        <v>RadioCard_ILS_Exp1!B65</v>
      </c>
    </row>
    <row r="1543" spans="1:16" x14ac:dyDescent="0.25">
      <c r="A1543" s="3" t="str">
        <f t="shared" ca="1" si="336"/>
        <v/>
      </c>
      <c r="G1543" s="15">
        <f t="shared" ca="1" si="324"/>
        <v>66</v>
      </c>
      <c r="H1543" s="15">
        <v>1</v>
      </c>
      <c r="I1543" s="15" t="str">
        <f t="shared" ca="1" si="325"/>
        <v>RadioCard_ILS_Exp1</v>
      </c>
      <c r="J1543" s="15" t="str">
        <f t="shared" ca="1" si="332"/>
        <v>RadioCard_ILS_Exp1!A66</v>
      </c>
      <c r="K1543" s="15" t="str">
        <f t="shared" ca="1" si="333"/>
        <v>RadioCard_ILS_Exp1!B66</v>
      </c>
    </row>
    <row r="1544" spans="1:16" x14ac:dyDescent="0.25">
      <c r="A1544" s="3" t="str">
        <f t="shared" ca="1" si="336"/>
        <v/>
      </c>
      <c r="G1544" s="15">
        <f t="shared" ca="1" si="324"/>
        <v>67</v>
      </c>
      <c r="H1544" s="15">
        <v>1</v>
      </c>
      <c r="I1544" s="15" t="str">
        <f t="shared" ca="1" si="325"/>
        <v>RadioCard_ILS_Exp1</v>
      </c>
      <c r="J1544" s="15" t="str">
        <f t="shared" ca="1" si="332"/>
        <v>RadioCard_ILS_Exp1!A67</v>
      </c>
      <c r="K1544" s="15" t="str">
        <f t="shared" ca="1" si="333"/>
        <v>RadioCard_ILS_Exp1!B67</v>
      </c>
    </row>
    <row r="1545" spans="1:16" x14ac:dyDescent="0.25">
      <c r="A1545" s="3" t="str">
        <f t="shared" ca="1" si="336"/>
        <v/>
      </c>
      <c r="G1545" s="15">
        <f t="shared" ref="G1545:G1607" ca="1" si="343">G1544+1</f>
        <v>68</v>
      </c>
      <c r="H1545" s="15">
        <v>1</v>
      </c>
      <c r="I1545" s="15" t="str">
        <f t="shared" ref="I1545:I1607" ca="1" si="344">I1544</f>
        <v>RadioCard_ILS_Exp1</v>
      </c>
      <c r="J1545" s="15" t="str">
        <f t="shared" ca="1" si="332"/>
        <v>RadioCard_ILS_Exp1!A68</v>
      </c>
      <c r="K1545" s="15" t="str">
        <f t="shared" ca="1" si="333"/>
        <v>RadioCard_ILS_Exp1!B68</v>
      </c>
    </row>
    <row r="1546" spans="1:16" x14ac:dyDescent="0.25">
      <c r="A1546" s="3" t="str">
        <f t="shared" ca="1" si="336"/>
        <v/>
      </c>
      <c r="G1546" s="15">
        <f t="shared" ca="1" si="343"/>
        <v>69</v>
      </c>
      <c r="H1546" s="15">
        <v>1</v>
      </c>
      <c r="I1546" s="15" t="str">
        <f t="shared" ca="1" si="344"/>
        <v>RadioCard_ILS_Exp1</v>
      </c>
      <c r="J1546" s="15" t="str">
        <f t="shared" ca="1" si="332"/>
        <v>RadioCard_ILS_Exp1!A69</v>
      </c>
      <c r="K1546" s="15" t="str">
        <f t="shared" ca="1" si="333"/>
        <v>RadioCard_ILS_Exp1!B69</v>
      </c>
    </row>
    <row r="1547" spans="1:16" x14ac:dyDescent="0.25">
      <c r="A1547" s="3" t="str">
        <f t="shared" ca="1" si="336"/>
        <v/>
      </c>
      <c r="G1547" s="15">
        <f t="shared" ca="1" si="343"/>
        <v>70</v>
      </c>
      <c r="H1547" s="15">
        <v>1</v>
      </c>
      <c r="I1547" s="15" t="str">
        <f t="shared" ca="1" si="344"/>
        <v>RadioCard_ILS_Exp1</v>
      </c>
      <c r="J1547" s="15" t="str">
        <f t="shared" ca="1" si="332"/>
        <v>RadioCard_ILS_Exp1!A70</v>
      </c>
      <c r="K1547" s="15" t="str">
        <f t="shared" ca="1" si="333"/>
        <v>RadioCard_ILS_Exp1!B70</v>
      </c>
    </row>
    <row r="1548" spans="1:16" x14ac:dyDescent="0.25">
      <c r="A1548" s="3" t="str">
        <f t="shared" ca="1" si="336"/>
        <v xml:space="preserve">#RadioCard_ILS_Exp1:etap 1 =  </v>
      </c>
      <c r="G1548" s="15">
        <f t="shared" ref="G1548" ca="1" si="345">INDIRECT(M1548)</f>
        <v>51</v>
      </c>
      <c r="H1548" s="15">
        <v>1</v>
      </c>
      <c r="I1548" s="15" t="str">
        <f t="shared" ref="I1548" ca="1" si="346">INDIRECT(N1548)</f>
        <v>RadioCard_ILS_Exp2</v>
      </c>
      <c r="J1548" s="15" t="str">
        <f t="shared" ca="1" si="332"/>
        <v>RadioCard_ILS_Exp2!A51</v>
      </c>
      <c r="K1548" s="15" t="str">
        <f t="shared" ca="1" si="333"/>
        <v>RadioCard_ILS_Exp2!B51</v>
      </c>
      <c r="M1548" s="15" t="str">
        <f t="shared" ref="M1548" si="347">ADDRESS(O1548,3,4,1,$R$1)</f>
        <v>konfig!C79</v>
      </c>
      <c r="N1548" s="15" t="str">
        <f t="shared" ref="N1548" si="348">ADDRESS(O1548,1,4,1,$R$1)</f>
        <v>konfig!A79</v>
      </c>
      <c r="O1548" s="15">
        <v>79</v>
      </c>
      <c r="P1548" s="15">
        <v>4</v>
      </c>
    </row>
    <row r="1549" spans="1:16" x14ac:dyDescent="0.25">
      <c r="A1549" s="3" t="str">
        <f t="shared" ca="1" si="336"/>
        <v xml:space="preserve">device = MCP23017 </v>
      </c>
      <c r="G1549" s="15">
        <f t="shared" ref="G1549:G1589" ca="1" si="349">G1548+1</f>
        <v>52</v>
      </c>
      <c r="H1549" s="15">
        <v>1</v>
      </c>
      <c r="I1549" s="15" t="str">
        <f t="shared" ref="I1549:I1589" ca="1" si="350">I1548</f>
        <v>RadioCard_ILS_Exp2</v>
      </c>
      <c r="J1549" s="15" t="str">
        <f t="shared" ca="1" si="332"/>
        <v>RadioCard_ILS_Exp2!A52</v>
      </c>
      <c r="K1549" s="15" t="str">
        <f t="shared" ca="1" si="333"/>
        <v>RadioCard_ILS_Exp2!B52</v>
      </c>
    </row>
    <row r="1550" spans="1:16" x14ac:dyDescent="0.25">
      <c r="A1550" s="3" t="str">
        <f t="shared" ca="1" si="336"/>
        <v xml:space="preserve">i2c_addr = 0x27 </v>
      </c>
      <c r="G1550" s="15">
        <f t="shared" ca="1" si="343"/>
        <v>53</v>
      </c>
      <c r="H1550" s="15">
        <v>1</v>
      </c>
      <c r="I1550" s="15" t="str">
        <f t="shared" ca="1" si="344"/>
        <v>RadioCard_ILS_Exp2</v>
      </c>
      <c r="J1550" s="15" t="str">
        <f t="shared" ca="1" si="332"/>
        <v>RadioCard_ILS_Exp2!A53</v>
      </c>
      <c r="K1550" s="15" t="str">
        <f t="shared" ca="1" si="333"/>
        <v>RadioCard_ILS_Exp2!B53</v>
      </c>
    </row>
    <row r="1551" spans="1:16" x14ac:dyDescent="0.25">
      <c r="A1551" s="3" t="str">
        <f t="shared" ca="1" si="336"/>
        <v xml:space="preserve">i2c_num = /dev/i2c-1 </v>
      </c>
      <c r="C1551" s="16"/>
      <c r="G1551" s="15">
        <f t="shared" ca="1" si="343"/>
        <v>54</v>
      </c>
      <c r="H1551" s="15">
        <v>1</v>
      </c>
      <c r="I1551" s="15" t="str">
        <f t="shared" ca="1" si="344"/>
        <v>RadioCard_ILS_Exp2</v>
      </c>
      <c r="J1551" s="15" t="str">
        <f t="shared" ca="1" si="332"/>
        <v>RadioCard_ILS_Exp2!A54</v>
      </c>
      <c r="K1551" s="15" t="str">
        <f t="shared" ca="1" si="333"/>
        <v>RadioCard_ILS_Exp2!B54</v>
      </c>
    </row>
    <row r="1552" spans="1:16" x14ac:dyDescent="0.25">
      <c r="A1552" s="3" t="str">
        <f t="shared" ca="1" si="336"/>
        <v xml:space="preserve">pins_mode = 0xCE8C </v>
      </c>
      <c r="G1552" s="15">
        <f t="shared" ca="1" si="343"/>
        <v>55</v>
      </c>
      <c r="H1552" s="15">
        <v>1</v>
      </c>
      <c r="I1552" s="15" t="str">
        <f t="shared" ca="1" si="344"/>
        <v>RadioCard_ILS_Exp2</v>
      </c>
      <c r="J1552" s="15" t="str">
        <f t="shared" ca="1" si="332"/>
        <v>RadioCard_ILS_Exp2!A55</v>
      </c>
      <c r="K1552" s="15" t="str">
        <f t="shared" ca="1" si="333"/>
        <v>RadioCard_ILS_Exp2!B55</v>
      </c>
    </row>
    <row r="1553" spans="1:16" x14ac:dyDescent="0.25">
      <c r="A1553" s="3" t="str">
        <f t="shared" ca="1" si="336"/>
        <v xml:space="preserve">pins_state = 0x0100 </v>
      </c>
      <c r="G1553" s="15">
        <f t="shared" ca="1" si="343"/>
        <v>56</v>
      </c>
      <c r="H1553" s="15">
        <v>1</v>
      </c>
      <c r="I1553" s="15" t="str">
        <f t="shared" ca="1" si="344"/>
        <v>RadioCard_ILS_Exp2</v>
      </c>
      <c r="J1553" s="15" t="str">
        <f t="shared" ca="1" si="332"/>
        <v>RadioCard_ILS_Exp2!A56</v>
      </c>
      <c r="K1553" s="15" t="str">
        <f t="shared" ca="1" si="333"/>
        <v>RadioCard_ILS_Exp2!B56</v>
      </c>
    </row>
    <row r="1554" spans="1:16" x14ac:dyDescent="0.25">
      <c r="A1554" s="3" t="str">
        <f t="shared" ca="1" si="336"/>
        <v xml:space="preserve">pins_pull_up = 0x4808 </v>
      </c>
      <c r="G1554" s="15">
        <f t="shared" ca="1" si="343"/>
        <v>57</v>
      </c>
      <c r="H1554" s="15">
        <v>1</v>
      </c>
      <c r="I1554" s="15" t="str">
        <f t="shared" ca="1" si="344"/>
        <v>RadioCard_ILS_Exp2</v>
      </c>
      <c r="J1554" s="15" t="str">
        <f t="shared" ca="1" si="332"/>
        <v>RadioCard_ILS_Exp2!A57</v>
      </c>
      <c r="K1554" s="15" t="str">
        <f t="shared" ca="1" si="333"/>
        <v>RadioCard_ILS_Exp2!B57</v>
      </c>
    </row>
    <row r="1555" spans="1:16" x14ac:dyDescent="0.25">
      <c r="A1555" s="3" t="str">
        <f t="shared" ca="1" si="336"/>
        <v xml:space="preserve">#pins_int = 0x0000 </v>
      </c>
      <c r="G1555" s="15">
        <f t="shared" ca="1" si="343"/>
        <v>58</v>
      </c>
      <c r="H1555" s="15">
        <v>1</v>
      </c>
      <c r="I1555" s="15" t="str">
        <f t="shared" ca="1" si="344"/>
        <v>RadioCard_ILS_Exp2</v>
      </c>
      <c r="J1555" s="15" t="str">
        <f t="shared" ca="1" si="332"/>
        <v>RadioCard_ILS_Exp2!A58</v>
      </c>
      <c r="K1555" s="15" t="str">
        <f t="shared" ca="1" si="333"/>
        <v>RadioCard_ILS_Exp2!B58</v>
      </c>
    </row>
    <row r="1556" spans="1:16" x14ac:dyDescent="0.25">
      <c r="A1556" s="3" t="str">
        <f t="shared" ca="1" si="336"/>
        <v xml:space="preserve">#pins_def_val = 0x0000 </v>
      </c>
      <c r="G1556" s="15">
        <f t="shared" ca="1" si="343"/>
        <v>59</v>
      </c>
      <c r="H1556" s="15">
        <v>1</v>
      </c>
      <c r="I1556" s="15" t="str">
        <f t="shared" ca="1" si="344"/>
        <v>RadioCard_ILS_Exp2</v>
      </c>
      <c r="J1556" s="15" t="str">
        <f t="shared" ca="1" si="332"/>
        <v>RadioCard_ILS_Exp2!A59</v>
      </c>
      <c r="K1556" s="15" t="str">
        <f t="shared" ca="1" si="333"/>
        <v>RadioCard_ILS_Exp2!B59</v>
      </c>
    </row>
    <row r="1557" spans="1:16" x14ac:dyDescent="0.25">
      <c r="A1557" s="3" t="str">
        <f t="shared" ca="1" si="336"/>
        <v/>
      </c>
      <c r="G1557" s="15">
        <f t="shared" ca="1" si="343"/>
        <v>60</v>
      </c>
      <c r="H1557" s="15">
        <v>1</v>
      </c>
      <c r="I1557" s="15" t="str">
        <f t="shared" ca="1" si="344"/>
        <v>RadioCard_ILS_Exp2</v>
      </c>
      <c r="J1557" s="15" t="str">
        <f t="shared" ca="1" si="332"/>
        <v>RadioCard_ILS_Exp2!A60</v>
      </c>
      <c r="K1557" s="15" t="str">
        <f t="shared" ca="1" si="333"/>
        <v>RadioCard_ILS_Exp2!B60</v>
      </c>
    </row>
    <row r="1558" spans="1:16" x14ac:dyDescent="0.25">
      <c r="A1558" s="3" t="str">
        <f t="shared" ca="1" si="336"/>
        <v xml:space="preserve">time = 10 </v>
      </c>
      <c r="G1558" s="15">
        <f t="shared" ca="1" si="343"/>
        <v>61</v>
      </c>
      <c r="H1558" s="15">
        <v>1</v>
      </c>
      <c r="I1558" s="15" t="str">
        <f t="shared" ca="1" si="344"/>
        <v>RadioCard_ILS_Exp2</v>
      </c>
      <c r="J1558" s="15" t="str">
        <f t="shared" ca="1" si="332"/>
        <v>RadioCard_ILS_Exp2!A61</v>
      </c>
      <c r="K1558" s="15" t="str">
        <f t="shared" ca="1" si="333"/>
        <v>RadioCard_ILS_Exp2!B61</v>
      </c>
    </row>
    <row r="1559" spans="1:16" x14ac:dyDescent="0.25">
      <c r="A1559" s="3" t="str">
        <f t="shared" ca="1" si="336"/>
        <v/>
      </c>
      <c r="C1559" s="16"/>
      <c r="G1559" s="15">
        <f t="shared" ca="1" si="343"/>
        <v>62</v>
      </c>
      <c r="H1559" s="15">
        <v>1</v>
      </c>
      <c r="I1559" s="15" t="str">
        <f t="shared" ca="1" si="344"/>
        <v>RadioCard_ILS_Exp2</v>
      </c>
      <c r="J1559" s="15" t="str">
        <f t="shared" ca="1" si="332"/>
        <v>RadioCard_ILS_Exp2!A62</v>
      </c>
      <c r="K1559" s="15" t="str">
        <f t="shared" ca="1" si="333"/>
        <v>RadioCard_ILS_Exp2!B62</v>
      </c>
    </row>
    <row r="1560" spans="1:16" x14ac:dyDescent="0.25">
      <c r="A1560" s="3" t="str">
        <f t="shared" ca="1" si="336"/>
        <v/>
      </c>
      <c r="G1560" s="15">
        <f t="shared" ca="1" si="343"/>
        <v>63</v>
      </c>
      <c r="H1560" s="15">
        <v>1</v>
      </c>
      <c r="I1560" s="15" t="str">
        <f t="shared" ca="1" si="344"/>
        <v>RadioCard_ILS_Exp2</v>
      </c>
      <c r="J1560" s="15" t="str">
        <f t="shared" ca="1" si="332"/>
        <v>RadioCard_ILS_Exp2!A63</v>
      </c>
      <c r="K1560" s="15" t="str">
        <f t="shared" ca="1" si="333"/>
        <v>RadioCard_ILS_Exp2!B63</v>
      </c>
    </row>
    <row r="1561" spans="1:16" x14ac:dyDescent="0.25">
      <c r="A1561" s="3" t="str">
        <f t="shared" ca="1" si="336"/>
        <v/>
      </c>
      <c r="G1561" s="15">
        <f t="shared" ca="1" si="343"/>
        <v>64</v>
      </c>
      <c r="H1561" s="15">
        <v>1</v>
      </c>
      <c r="I1561" s="15" t="str">
        <f t="shared" ca="1" si="344"/>
        <v>RadioCard_ILS_Exp2</v>
      </c>
      <c r="J1561" s="15" t="str">
        <f t="shared" ca="1" si="332"/>
        <v>RadioCard_ILS_Exp2!A64</v>
      </c>
      <c r="K1561" s="15" t="str">
        <f t="shared" ca="1" si="333"/>
        <v>RadioCard_ILS_Exp2!B64</v>
      </c>
    </row>
    <row r="1562" spans="1:16" x14ac:dyDescent="0.25">
      <c r="A1562" s="3" t="str">
        <f t="shared" ca="1" si="336"/>
        <v/>
      </c>
      <c r="G1562" s="15">
        <f t="shared" ca="1" si="343"/>
        <v>65</v>
      </c>
      <c r="H1562" s="15">
        <v>1</v>
      </c>
      <c r="I1562" s="15" t="str">
        <f t="shared" ca="1" si="344"/>
        <v>RadioCard_ILS_Exp2</v>
      </c>
      <c r="J1562" s="15" t="str">
        <f t="shared" ca="1" si="332"/>
        <v>RadioCard_ILS_Exp2!A65</v>
      </c>
      <c r="K1562" s="15" t="str">
        <f t="shared" ca="1" si="333"/>
        <v>RadioCard_ILS_Exp2!B65</v>
      </c>
    </row>
    <row r="1563" spans="1:16" x14ac:dyDescent="0.25">
      <c r="A1563" s="3" t="str">
        <f t="shared" ca="1" si="336"/>
        <v/>
      </c>
      <c r="G1563" s="15">
        <f t="shared" ca="1" si="343"/>
        <v>66</v>
      </c>
      <c r="H1563" s="15">
        <v>1</v>
      </c>
      <c r="I1563" s="15" t="str">
        <f t="shared" ca="1" si="344"/>
        <v>RadioCard_ILS_Exp2</v>
      </c>
      <c r="J1563" s="15" t="str">
        <f t="shared" ca="1" si="332"/>
        <v>RadioCard_ILS_Exp2!A66</v>
      </c>
      <c r="K1563" s="15" t="str">
        <f t="shared" ca="1" si="333"/>
        <v>RadioCard_ILS_Exp2!B66</v>
      </c>
    </row>
    <row r="1564" spans="1:16" x14ac:dyDescent="0.25">
      <c r="A1564" s="3" t="str">
        <f t="shared" ca="1" si="336"/>
        <v/>
      </c>
      <c r="G1564" s="15">
        <f t="shared" ca="1" si="343"/>
        <v>67</v>
      </c>
      <c r="H1564" s="15">
        <v>1</v>
      </c>
      <c r="I1564" s="15" t="str">
        <f t="shared" ca="1" si="344"/>
        <v>RadioCard_ILS_Exp2</v>
      </c>
      <c r="J1564" s="15" t="str">
        <f t="shared" ca="1" si="332"/>
        <v>RadioCard_ILS_Exp2!A67</v>
      </c>
      <c r="K1564" s="15" t="str">
        <f t="shared" ca="1" si="333"/>
        <v>RadioCard_ILS_Exp2!B67</v>
      </c>
    </row>
    <row r="1565" spans="1:16" x14ac:dyDescent="0.25">
      <c r="A1565" s="3" t="str">
        <f t="shared" ca="1" si="336"/>
        <v/>
      </c>
      <c r="G1565" s="15">
        <f t="shared" ca="1" si="343"/>
        <v>68</v>
      </c>
      <c r="H1565" s="15">
        <v>1</v>
      </c>
      <c r="I1565" s="15" t="str">
        <f t="shared" ca="1" si="344"/>
        <v>RadioCard_ILS_Exp2</v>
      </c>
      <c r="J1565" s="15" t="str">
        <f t="shared" ca="1" si="332"/>
        <v>RadioCard_ILS_Exp2!A68</v>
      </c>
      <c r="K1565" s="15" t="str">
        <f t="shared" ca="1" si="333"/>
        <v>RadioCard_ILS_Exp2!B68</v>
      </c>
    </row>
    <row r="1566" spans="1:16" x14ac:dyDescent="0.25">
      <c r="A1566" s="3" t="str">
        <f t="shared" ca="1" si="336"/>
        <v/>
      </c>
      <c r="G1566" s="15">
        <f t="shared" ca="1" si="343"/>
        <v>69</v>
      </c>
      <c r="H1566" s="15">
        <v>1</v>
      </c>
      <c r="I1566" s="15" t="str">
        <f t="shared" ca="1" si="344"/>
        <v>RadioCard_ILS_Exp2</v>
      </c>
      <c r="J1566" s="15" t="str">
        <f t="shared" ca="1" si="332"/>
        <v>RadioCard_ILS_Exp2!A69</v>
      </c>
      <c r="K1566" s="15" t="str">
        <f t="shared" ca="1" si="333"/>
        <v>RadioCard_ILS_Exp2!B69</v>
      </c>
    </row>
    <row r="1567" spans="1:16" x14ac:dyDescent="0.25">
      <c r="A1567" s="3" t="str">
        <f t="shared" ca="1" si="336"/>
        <v/>
      </c>
      <c r="G1567" s="15">
        <f t="shared" ca="1" si="343"/>
        <v>70</v>
      </c>
      <c r="H1567" s="15">
        <v>1</v>
      </c>
      <c r="I1567" s="15" t="str">
        <f t="shared" ca="1" si="344"/>
        <v>RadioCard_ILS_Exp2</v>
      </c>
      <c r="J1567" s="15" t="str">
        <f t="shared" ca="1" si="332"/>
        <v>RadioCard_ILS_Exp2!A70</v>
      </c>
      <c r="K1567" s="15" t="str">
        <f t="shared" ca="1" si="333"/>
        <v>RadioCard_ILS_Exp2!B70</v>
      </c>
    </row>
    <row r="1568" spans="1:16" x14ac:dyDescent="0.25">
      <c r="A1568" s="3" t="str">
        <f t="shared" ca="1" si="336"/>
        <v xml:space="preserve">#RadioCard_ILS_Exp1:etap 1 =  </v>
      </c>
      <c r="G1568" s="15">
        <f t="shared" ref="G1568" ca="1" si="351">INDIRECT(M1568)</f>
        <v>51</v>
      </c>
      <c r="H1568" s="15">
        <v>1</v>
      </c>
      <c r="I1568" s="15" t="str">
        <f t="shared" ref="I1568" ca="1" si="352">INDIRECT(N1568)</f>
        <v>RadioCard_ILS_Exp1</v>
      </c>
      <c r="J1568" s="15" t="str">
        <f t="shared" ca="1" si="332"/>
        <v>RadioCard_ILS_Exp1!A51</v>
      </c>
      <c r="K1568" s="15" t="str">
        <f t="shared" ca="1" si="333"/>
        <v>RadioCard_ILS_Exp1!B51</v>
      </c>
      <c r="M1568" s="15" t="str">
        <f t="shared" ref="M1568" si="353">ADDRESS(O1568,3,4,1,$R$1)</f>
        <v>konfig!C80</v>
      </c>
      <c r="N1568" s="15" t="str">
        <f t="shared" ref="N1568" si="354">ADDRESS(O1568,1,4,1,$R$1)</f>
        <v>konfig!A80</v>
      </c>
      <c r="O1568" s="15">
        <v>80</v>
      </c>
      <c r="P1568" s="15">
        <v>4</v>
      </c>
    </row>
    <row r="1569" spans="1:11" x14ac:dyDescent="0.25">
      <c r="A1569" s="3" t="str">
        <f t="shared" ca="1" si="336"/>
        <v xml:space="preserve">device = MCP23017 </v>
      </c>
      <c r="G1569" s="15">
        <f t="shared" ca="1" si="341"/>
        <v>52</v>
      </c>
      <c r="H1569" s="15">
        <v>1</v>
      </c>
      <c r="I1569" s="15" t="str">
        <f t="shared" ca="1" si="342"/>
        <v>RadioCard_ILS_Exp1</v>
      </c>
      <c r="J1569" s="15" t="str">
        <f t="shared" ca="1" si="332"/>
        <v>RadioCard_ILS_Exp1!A52</v>
      </c>
      <c r="K1569" s="15" t="str">
        <f t="shared" ca="1" si="333"/>
        <v>RadioCard_ILS_Exp1!B52</v>
      </c>
    </row>
    <row r="1570" spans="1:11" x14ac:dyDescent="0.25">
      <c r="A1570" s="3" t="str">
        <f t="shared" ca="1" si="336"/>
        <v xml:space="preserve">i2c_addr = 0x26 </v>
      </c>
      <c r="G1570" s="15">
        <f t="shared" ca="1" si="341"/>
        <v>53</v>
      </c>
      <c r="H1570" s="15">
        <v>1</v>
      </c>
      <c r="I1570" s="15" t="str">
        <f t="shared" ca="1" si="342"/>
        <v>RadioCard_ILS_Exp1</v>
      </c>
      <c r="J1570" s="15" t="str">
        <f t="shared" ca="1" si="332"/>
        <v>RadioCard_ILS_Exp1!A53</v>
      </c>
      <c r="K1570" s="15" t="str">
        <f t="shared" ca="1" si="333"/>
        <v>RadioCard_ILS_Exp1!B53</v>
      </c>
    </row>
    <row r="1571" spans="1:11" x14ac:dyDescent="0.25">
      <c r="A1571" s="3" t="str">
        <f t="shared" ca="1" si="336"/>
        <v xml:space="preserve">i2c_num = /dev/i2c-1 </v>
      </c>
      <c r="C1571" s="16"/>
      <c r="G1571" s="15">
        <f t="shared" ca="1" si="341"/>
        <v>54</v>
      </c>
      <c r="H1571" s="15">
        <v>1</v>
      </c>
      <c r="I1571" s="15" t="str">
        <f t="shared" ca="1" si="342"/>
        <v>RadioCard_ILS_Exp1</v>
      </c>
      <c r="J1571" s="15" t="str">
        <f t="shared" ca="1" si="332"/>
        <v>RadioCard_ILS_Exp1!A54</v>
      </c>
      <c r="K1571" s="15" t="str">
        <f t="shared" ca="1" si="333"/>
        <v>RadioCard_ILS_Exp1!B54</v>
      </c>
    </row>
    <row r="1572" spans="1:11" x14ac:dyDescent="0.25">
      <c r="A1572" s="3" t="str">
        <f t="shared" ca="1" si="336"/>
        <v xml:space="preserve">pins_mode = 0x0000 </v>
      </c>
      <c r="G1572" s="15">
        <f t="shared" ca="1" si="341"/>
        <v>55</v>
      </c>
      <c r="H1572" s="15">
        <v>1</v>
      </c>
      <c r="I1572" s="15" t="str">
        <f t="shared" ca="1" si="342"/>
        <v>RadioCard_ILS_Exp1</v>
      </c>
      <c r="J1572" s="15" t="str">
        <f t="shared" ref="J1572:J1635" ca="1" si="355">ADDRESS(G1572,H1572,4,1,I1572)</f>
        <v>RadioCard_ILS_Exp1!A55</v>
      </c>
      <c r="K1572" s="15" t="str">
        <f t="shared" ref="K1572:K1635" ca="1" si="356">ADDRESS(G1572,H1572+1,4,1,I1572)</f>
        <v>RadioCard_ILS_Exp1!B55</v>
      </c>
    </row>
    <row r="1573" spans="1:11" x14ac:dyDescent="0.25">
      <c r="A1573" s="3" t="str">
        <f t="shared" ca="1" si="336"/>
        <v xml:space="preserve">pins_state = 0x0000 </v>
      </c>
      <c r="G1573" s="15">
        <f t="shared" ca="1" si="343"/>
        <v>56</v>
      </c>
      <c r="H1573" s="15">
        <v>1</v>
      </c>
      <c r="I1573" s="15" t="str">
        <f t="shared" ca="1" si="344"/>
        <v>RadioCard_ILS_Exp1</v>
      </c>
      <c r="J1573" s="15" t="str">
        <f t="shared" ca="1" si="355"/>
        <v>RadioCard_ILS_Exp1!A56</v>
      </c>
      <c r="K1573" s="15" t="str">
        <f t="shared" ca="1" si="356"/>
        <v>RadioCard_ILS_Exp1!B56</v>
      </c>
    </row>
    <row r="1574" spans="1:11" x14ac:dyDescent="0.25">
      <c r="A1574" s="3" t="str">
        <f t="shared" ca="1" si="336"/>
        <v xml:space="preserve">pins_pull_up = 0x0000 </v>
      </c>
      <c r="G1574" s="15">
        <f t="shared" ca="1" si="343"/>
        <v>57</v>
      </c>
      <c r="H1574" s="15">
        <v>1</v>
      </c>
      <c r="I1574" s="15" t="str">
        <f t="shared" ca="1" si="344"/>
        <v>RadioCard_ILS_Exp1</v>
      </c>
      <c r="J1574" s="15" t="str">
        <f t="shared" ca="1" si="355"/>
        <v>RadioCard_ILS_Exp1!A57</v>
      </c>
      <c r="K1574" s="15" t="str">
        <f t="shared" ca="1" si="356"/>
        <v>RadioCard_ILS_Exp1!B57</v>
      </c>
    </row>
    <row r="1575" spans="1:11" x14ac:dyDescent="0.25">
      <c r="A1575" s="3" t="str">
        <f t="shared" ca="1" si="336"/>
        <v xml:space="preserve">#pins_int = 0x0000 </v>
      </c>
      <c r="G1575" s="15">
        <f t="shared" ca="1" si="343"/>
        <v>58</v>
      </c>
      <c r="H1575" s="15">
        <v>1</v>
      </c>
      <c r="I1575" s="15" t="str">
        <f t="shared" ca="1" si="344"/>
        <v>RadioCard_ILS_Exp1</v>
      </c>
      <c r="J1575" s="15" t="str">
        <f t="shared" ca="1" si="355"/>
        <v>RadioCard_ILS_Exp1!A58</v>
      </c>
      <c r="K1575" s="15" t="str">
        <f t="shared" ca="1" si="356"/>
        <v>RadioCard_ILS_Exp1!B58</v>
      </c>
    </row>
    <row r="1576" spans="1:11" x14ac:dyDescent="0.25">
      <c r="A1576" s="3" t="str">
        <f t="shared" ca="1" si="336"/>
        <v xml:space="preserve">#pins_def_val = 0x0000 </v>
      </c>
      <c r="G1576" s="15">
        <f t="shared" ca="1" si="343"/>
        <v>59</v>
      </c>
      <c r="H1576" s="15">
        <v>1</v>
      </c>
      <c r="I1576" s="15" t="str">
        <f t="shared" ca="1" si="344"/>
        <v>RadioCard_ILS_Exp1</v>
      </c>
      <c r="J1576" s="15" t="str">
        <f t="shared" ca="1" si="355"/>
        <v>RadioCard_ILS_Exp1!A59</v>
      </c>
      <c r="K1576" s="15" t="str">
        <f t="shared" ca="1" si="356"/>
        <v>RadioCard_ILS_Exp1!B59</v>
      </c>
    </row>
    <row r="1577" spans="1:11" x14ac:dyDescent="0.25">
      <c r="A1577" s="3" t="str">
        <f t="shared" ca="1" si="336"/>
        <v/>
      </c>
      <c r="G1577" s="15">
        <f t="shared" ca="1" si="343"/>
        <v>60</v>
      </c>
      <c r="H1577" s="15">
        <v>1</v>
      </c>
      <c r="I1577" s="15" t="str">
        <f t="shared" ca="1" si="344"/>
        <v>RadioCard_ILS_Exp1</v>
      </c>
      <c r="J1577" s="15" t="str">
        <f t="shared" ca="1" si="355"/>
        <v>RadioCard_ILS_Exp1!A60</v>
      </c>
      <c r="K1577" s="15" t="str">
        <f t="shared" ca="1" si="356"/>
        <v>RadioCard_ILS_Exp1!B60</v>
      </c>
    </row>
    <row r="1578" spans="1:11" x14ac:dyDescent="0.25">
      <c r="A1578" s="3" t="str">
        <f t="shared" ca="1" si="336"/>
        <v xml:space="preserve">time = 10 </v>
      </c>
      <c r="G1578" s="15">
        <f t="shared" ca="1" si="343"/>
        <v>61</v>
      </c>
      <c r="H1578" s="15">
        <v>1</v>
      </c>
      <c r="I1578" s="15" t="str">
        <f t="shared" ca="1" si="344"/>
        <v>RadioCard_ILS_Exp1</v>
      </c>
      <c r="J1578" s="15" t="str">
        <f t="shared" ca="1" si="355"/>
        <v>RadioCard_ILS_Exp1!A61</v>
      </c>
      <c r="K1578" s="15" t="str">
        <f t="shared" ca="1" si="356"/>
        <v>RadioCard_ILS_Exp1!B61</v>
      </c>
    </row>
    <row r="1579" spans="1:11" x14ac:dyDescent="0.25">
      <c r="A1579" s="3" t="str">
        <f t="shared" ca="1" si="336"/>
        <v/>
      </c>
      <c r="C1579" s="16"/>
      <c r="G1579" s="15">
        <f t="shared" ca="1" si="343"/>
        <v>62</v>
      </c>
      <c r="H1579" s="15">
        <v>1</v>
      </c>
      <c r="I1579" s="15" t="str">
        <f t="shared" ca="1" si="344"/>
        <v>RadioCard_ILS_Exp1</v>
      </c>
      <c r="J1579" s="15" t="str">
        <f t="shared" ca="1" si="355"/>
        <v>RadioCard_ILS_Exp1!A62</v>
      </c>
      <c r="K1579" s="15" t="str">
        <f t="shared" ca="1" si="356"/>
        <v>RadioCard_ILS_Exp1!B62</v>
      </c>
    </row>
    <row r="1580" spans="1:11" x14ac:dyDescent="0.25">
      <c r="A1580" s="3" t="str">
        <f t="shared" ref="A1580:A1643" ca="1" si="357">IFERROR(IF(INDIRECT(J1580)&lt;&gt;"",CONCATENATE(INDIRECT(J1580)," = ",INDIRECT(K1580)," "),""),"")</f>
        <v/>
      </c>
      <c r="G1580" s="15">
        <f t="shared" ca="1" si="343"/>
        <v>63</v>
      </c>
      <c r="H1580" s="15">
        <v>1</v>
      </c>
      <c r="I1580" s="15" t="str">
        <f t="shared" ca="1" si="344"/>
        <v>RadioCard_ILS_Exp1</v>
      </c>
      <c r="J1580" s="15" t="str">
        <f t="shared" ca="1" si="355"/>
        <v>RadioCard_ILS_Exp1!A63</v>
      </c>
      <c r="K1580" s="15" t="str">
        <f t="shared" ca="1" si="356"/>
        <v>RadioCard_ILS_Exp1!B63</v>
      </c>
    </row>
    <row r="1581" spans="1:11" x14ac:dyDescent="0.25">
      <c r="A1581" s="3" t="str">
        <f t="shared" ca="1" si="357"/>
        <v/>
      </c>
      <c r="G1581" s="15">
        <f t="shared" ca="1" si="343"/>
        <v>64</v>
      </c>
      <c r="H1581" s="15">
        <v>1</v>
      </c>
      <c r="I1581" s="15" t="str">
        <f t="shared" ca="1" si="344"/>
        <v>RadioCard_ILS_Exp1</v>
      </c>
      <c r="J1581" s="15" t="str">
        <f t="shared" ca="1" si="355"/>
        <v>RadioCard_ILS_Exp1!A64</v>
      </c>
      <c r="K1581" s="15" t="str">
        <f t="shared" ca="1" si="356"/>
        <v>RadioCard_ILS_Exp1!B64</v>
      </c>
    </row>
    <row r="1582" spans="1:11" x14ac:dyDescent="0.25">
      <c r="A1582" s="3" t="str">
        <f t="shared" ca="1" si="357"/>
        <v/>
      </c>
      <c r="G1582" s="15">
        <f t="shared" ca="1" si="343"/>
        <v>65</v>
      </c>
      <c r="H1582" s="15">
        <v>1</v>
      </c>
      <c r="I1582" s="15" t="str">
        <f t="shared" ca="1" si="344"/>
        <v>RadioCard_ILS_Exp1</v>
      </c>
      <c r="J1582" s="15" t="str">
        <f t="shared" ca="1" si="355"/>
        <v>RadioCard_ILS_Exp1!A65</v>
      </c>
      <c r="K1582" s="15" t="str">
        <f t="shared" ca="1" si="356"/>
        <v>RadioCard_ILS_Exp1!B65</v>
      </c>
    </row>
    <row r="1583" spans="1:11" x14ac:dyDescent="0.25">
      <c r="A1583" s="3" t="str">
        <f t="shared" ca="1" si="357"/>
        <v/>
      </c>
      <c r="G1583" s="15">
        <f t="shared" ca="1" si="343"/>
        <v>66</v>
      </c>
      <c r="H1583" s="15">
        <v>1</v>
      </c>
      <c r="I1583" s="15" t="str">
        <f t="shared" ca="1" si="344"/>
        <v>RadioCard_ILS_Exp1</v>
      </c>
      <c r="J1583" s="15" t="str">
        <f t="shared" ca="1" si="355"/>
        <v>RadioCard_ILS_Exp1!A66</v>
      </c>
      <c r="K1583" s="15" t="str">
        <f t="shared" ca="1" si="356"/>
        <v>RadioCard_ILS_Exp1!B66</v>
      </c>
    </row>
    <row r="1584" spans="1:11" x14ac:dyDescent="0.25">
      <c r="A1584" s="3" t="str">
        <f t="shared" ca="1" si="357"/>
        <v/>
      </c>
      <c r="G1584" s="15">
        <f t="shared" ca="1" si="343"/>
        <v>67</v>
      </c>
      <c r="H1584" s="15">
        <v>1</v>
      </c>
      <c r="I1584" s="15" t="str">
        <f t="shared" ca="1" si="344"/>
        <v>RadioCard_ILS_Exp1</v>
      </c>
      <c r="J1584" s="15" t="str">
        <f t="shared" ca="1" si="355"/>
        <v>RadioCard_ILS_Exp1!A67</v>
      </c>
      <c r="K1584" s="15" t="str">
        <f t="shared" ca="1" si="356"/>
        <v>RadioCard_ILS_Exp1!B67</v>
      </c>
    </row>
    <row r="1585" spans="1:16" x14ac:dyDescent="0.25">
      <c r="A1585" s="3" t="str">
        <f t="shared" ca="1" si="357"/>
        <v/>
      </c>
      <c r="G1585" s="15">
        <f t="shared" ca="1" si="343"/>
        <v>68</v>
      </c>
      <c r="H1585" s="15">
        <v>1</v>
      </c>
      <c r="I1585" s="15" t="str">
        <f t="shared" ca="1" si="344"/>
        <v>RadioCard_ILS_Exp1</v>
      </c>
      <c r="J1585" s="15" t="str">
        <f t="shared" ca="1" si="355"/>
        <v>RadioCard_ILS_Exp1!A68</v>
      </c>
      <c r="K1585" s="15" t="str">
        <f t="shared" ca="1" si="356"/>
        <v>RadioCard_ILS_Exp1!B68</v>
      </c>
    </row>
    <row r="1586" spans="1:16" x14ac:dyDescent="0.25">
      <c r="A1586" s="3" t="str">
        <f t="shared" ca="1" si="357"/>
        <v/>
      </c>
      <c r="G1586" s="15">
        <f t="shared" ca="1" si="343"/>
        <v>69</v>
      </c>
      <c r="H1586" s="15">
        <v>1</v>
      </c>
      <c r="I1586" s="15" t="str">
        <f t="shared" ca="1" si="344"/>
        <v>RadioCard_ILS_Exp1</v>
      </c>
      <c r="J1586" s="15" t="str">
        <f t="shared" ca="1" si="355"/>
        <v>RadioCard_ILS_Exp1!A69</v>
      </c>
      <c r="K1586" s="15" t="str">
        <f t="shared" ca="1" si="356"/>
        <v>RadioCard_ILS_Exp1!B69</v>
      </c>
    </row>
    <row r="1587" spans="1:16" x14ac:dyDescent="0.25">
      <c r="A1587" s="3" t="str">
        <f t="shared" ca="1" si="357"/>
        <v/>
      </c>
      <c r="G1587" s="15">
        <f t="shared" ca="1" si="343"/>
        <v>70</v>
      </c>
      <c r="H1587" s="15">
        <v>1</v>
      </c>
      <c r="I1587" s="15" t="str">
        <f t="shared" ca="1" si="344"/>
        <v>RadioCard_ILS_Exp1</v>
      </c>
      <c r="J1587" s="15" t="str">
        <f t="shared" ca="1" si="355"/>
        <v>RadioCard_ILS_Exp1!A70</v>
      </c>
      <c r="K1587" s="15" t="str">
        <f t="shared" ca="1" si="356"/>
        <v>RadioCard_ILS_Exp1!B70</v>
      </c>
    </row>
    <row r="1588" spans="1:16" x14ac:dyDescent="0.25">
      <c r="A1588" s="3" t="str">
        <f t="shared" ca="1" si="357"/>
        <v xml:space="preserve">#RadioCard_ILS_Exp1:etap 3 =  </v>
      </c>
      <c r="G1588" s="15">
        <f t="shared" ref="G1588" ca="1" si="358">INDIRECT(M1588)</f>
        <v>91</v>
      </c>
      <c r="H1588" s="15">
        <v>1</v>
      </c>
      <c r="I1588" s="15" t="str">
        <f t="shared" ref="I1588" ca="1" si="359">INDIRECT(N1588)</f>
        <v>RadioCard_ILS_Exp2</v>
      </c>
      <c r="J1588" s="15" t="str">
        <f t="shared" ca="1" si="355"/>
        <v>RadioCard_ILS_Exp2!A91</v>
      </c>
      <c r="K1588" s="15" t="str">
        <f t="shared" ca="1" si="356"/>
        <v>RadioCard_ILS_Exp2!B91</v>
      </c>
      <c r="M1588" s="15" t="str">
        <f t="shared" ref="M1588" si="360">ADDRESS(O1588,3,4,1,$R$1)</f>
        <v>konfig!C81</v>
      </c>
      <c r="N1588" s="15" t="str">
        <f t="shared" ref="N1588" si="361">ADDRESS(O1588,1,4,1,$R$1)</f>
        <v>konfig!A81</v>
      </c>
      <c r="O1588" s="15">
        <v>81</v>
      </c>
      <c r="P1588" s="15">
        <v>4</v>
      </c>
    </row>
    <row r="1589" spans="1:16" x14ac:dyDescent="0.25">
      <c r="A1589" s="3" t="str">
        <f t="shared" ca="1" si="357"/>
        <v xml:space="preserve">device = MCP23017 </v>
      </c>
      <c r="G1589" s="15">
        <f t="shared" ca="1" si="349"/>
        <v>92</v>
      </c>
      <c r="H1589" s="15">
        <v>1</v>
      </c>
      <c r="I1589" s="15" t="str">
        <f t="shared" ca="1" si="350"/>
        <v>RadioCard_ILS_Exp2</v>
      </c>
      <c r="J1589" s="15" t="str">
        <f t="shared" ca="1" si="355"/>
        <v>RadioCard_ILS_Exp2!A92</v>
      </c>
      <c r="K1589" s="15" t="str">
        <f t="shared" ca="1" si="356"/>
        <v>RadioCard_ILS_Exp2!B92</v>
      </c>
    </row>
    <row r="1590" spans="1:16" x14ac:dyDescent="0.25">
      <c r="A1590" s="3" t="str">
        <f t="shared" ca="1" si="357"/>
        <v xml:space="preserve">i2c_addr = 0x27 </v>
      </c>
      <c r="G1590" s="15">
        <f t="shared" ca="1" si="343"/>
        <v>93</v>
      </c>
      <c r="H1590" s="15">
        <v>1</v>
      </c>
      <c r="I1590" s="15" t="str">
        <f t="shared" ca="1" si="344"/>
        <v>RadioCard_ILS_Exp2</v>
      </c>
      <c r="J1590" s="15" t="str">
        <f t="shared" ca="1" si="355"/>
        <v>RadioCard_ILS_Exp2!A93</v>
      </c>
      <c r="K1590" s="15" t="str">
        <f t="shared" ca="1" si="356"/>
        <v>RadioCard_ILS_Exp2!B93</v>
      </c>
    </row>
    <row r="1591" spans="1:16" x14ac:dyDescent="0.25">
      <c r="A1591" s="3" t="str">
        <f t="shared" ca="1" si="357"/>
        <v xml:space="preserve">i2c_num = /dev/i2c-1 </v>
      </c>
      <c r="C1591" s="16"/>
      <c r="G1591" s="15">
        <f t="shared" ca="1" si="343"/>
        <v>94</v>
      </c>
      <c r="H1591" s="15">
        <v>1</v>
      </c>
      <c r="I1591" s="15" t="str">
        <f t="shared" ca="1" si="344"/>
        <v>RadioCard_ILS_Exp2</v>
      </c>
      <c r="J1591" s="15" t="str">
        <f t="shared" ca="1" si="355"/>
        <v>RadioCard_ILS_Exp2!A94</v>
      </c>
      <c r="K1591" s="15" t="str">
        <f t="shared" ca="1" si="356"/>
        <v>RadioCard_ILS_Exp2!B94</v>
      </c>
    </row>
    <row r="1592" spans="1:16" x14ac:dyDescent="0.25">
      <c r="A1592" s="3" t="str">
        <f t="shared" ca="1" si="357"/>
        <v xml:space="preserve">pins_mode = 0xCE8C </v>
      </c>
      <c r="G1592" s="15">
        <f t="shared" ca="1" si="343"/>
        <v>95</v>
      </c>
      <c r="H1592" s="15">
        <v>1</v>
      </c>
      <c r="I1592" s="15" t="str">
        <f t="shared" ca="1" si="344"/>
        <v>RadioCard_ILS_Exp2</v>
      </c>
      <c r="J1592" s="15" t="str">
        <f t="shared" ca="1" si="355"/>
        <v>RadioCard_ILS_Exp2!A95</v>
      </c>
      <c r="K1592" s="15" t="str">
        <f t="shared" ca="1" si="356"/>
        <v>RadioCard_ILS_Exp2!B95</v>
      </c>
    </row>
    <row r="1593" spans="1:16" x14ac:dyDescent="0.25">
      <c r="A1593" s="3" t="str">
        <f t="shared" ca="1" si="357"/>
        <v xml:space="preserve">pins_state = 0x3133 </v>
      </c>
      <c r="G1593" s="15">
        <f t="shared" ca="1" si="343"/>
        <v>96</v>
      </c>
      <c r="H1593" s="15">
        <v>1</v>
      </c>
      <c r="I1593" s="15" t="str">
        <f t="shared" ca="1" si="344"/>
        <v>RadioCard_ILS_Exp2</v>
      </c>
      <c r="J1593" s="15" t="str">
        <f t="shared" ca="1" si="355"/>
        <v>RadioCard_ILS_Exp2!A96</v>
      </c>
      <c r="K1593" s="15" t="str">
        <f t="shared" ca="1" si="356"/>
        <v>RadioCard_ILS_Exp2!B96</v>
      </c>
    </row>
    <row r="1594" spans="1:16" x14ac:dyDescent="0.25">
      <c r="A1594" s="3" t="str">
        <f t="shared" ca="1" si="357"/>
        <v xml:space="preserve">pins_pull_up = 0x4808 </v>
      </c>
      <c r="G1594" s="15">
        <f t="shared" ca="1" si="343"/>
        <v>97</v>
      </c>
      <c r="H1594" s="15">
        <v>1</v>
      </c>
      <c r="I1594" s="15" t="str">
        <f t="shared" ca="1" si="344"/>
        <v>RadioCard_ILS_Exp2</v>
      </c>
      <c r="J1594" s="15" t="str">
        <f t="shared" ca="1" si="355"/>
        <v>RadioCard_ILS_Exp2!A97</v>
      </c>
      <c r="K1594" s="15" t="str">
        <f t="shared" ca="1" si="356"/>
        <v>RadioCard_ILS_Exp2!B97</v>
      </c>
    </row>
    <row r="1595" spans="1:16" x14ac:dyDescent="0.25">
      <c r="A1595" s="3" t="str">
        <f t="shared" ca="1" si="357"/>
        <v xml:space="preserve">#pins_int = 0x0000 </v>
      </c>
      <c r="G1595" s="15">
        <f t="shared" ca="1" si="343"/>
        <v>98</v>
      </c>
      <c r="H1595" s="15">
        <v>1</v>
      </c>
      <c r="I1595" s="15" t="str">
        <f t="shared" ca="1" si="344"/>
        <v>RadioCard_ILS_Exp2</v>
      </c>
      <c r="J1595" s="15" t="str">
        <f t="shared" ca="1" si="355"/>
        <v>RadioCard_ILS_Exp2!A98</v>
      </c>
      <c r="K1595" s="15" t="str">
        <f t="shared" ca="1" si="356"/>
        <v>RadioCard_ILS_Exp2!B98</v>
      </c>
    </row>
    <row r="1596" spans="1:16" x14ac:dyDescent="0.25">
      <c r="A1596" s="3" t="str">
        <f t="shared" ca="1" si="357"/>
        <v xml:space="preserve">#pins_def_val = 0x0000 </v>
      </c>
      <c r="G1596" s="15">
        <f t="shared" ca="1" si="343"/>
        <v>99</v>
      </c>
      <c r="H1596" s="15">
        <v>1</v>
      </c>
      <c r="I1596" s="15" t="str">
        <f t="shared" ca="1" si="344"/>
        <v>RadioCard_ILS_Exp2</v>
      </c>
      <c r="J1596" s="15" t="str">
        <f t="shared" ca="1" si="355"/>
        <v>RadioCard_ILS_Exp2!A99</v>
      </c>
      <c r="K1596" s="15" t="str">
        <f t="shared" ca="1" si="356"/>
        <v>RadioCard_ILS_Exp2!B99</v>
      </c>
    </row>
    <row r="1597" spans="1:16" x14ac:dyDescent="0.25">
      <c r="A1597" s="3" t="str">
        <f t="shared" ca="1" si="357"/>
        <v/>
      </c>
      <c r="G1597" s="15">
        <f t="shared" ca="1" si="343"/>
        <v>100</v>
      </c>
      <c r="H1597" s="15">
        <v>1</v>
      </c>
      <c r="I1597" s="15" t="str">
        <f t="shared" ca="1" si="344"/>
        <v>RadioCard_ILS_Exp2</v>
      </c>
      <c r="J1597" s="15" t="str">
        <f t="shared" ca="1" si="355"/>
        <v>RadioCard_ILS_Exp2!A100</v>
      </c>
      <c r="K1597" s="15" t="str">
        <f t="shared" ca="1" si="356"/>
        <v>RadioCard_ILS_Exp2!B100</v>
      </c>
    </row>
    <row r="1598" spans="1:16" x14ac:dyDescent="0.25">
      <c r="A1598" s="3" t="str">
        <f t="shared" ca="1" si="357"/>
        <v xml:space="preserve">#pins_int = 10 </v>
      </c>
      <c r="G1598" s="15">
        <f t="shared" ca="1" si="343"/>
        <v>101</v>
      </c>
      <c r="H1598" s="15">
        <v>1</v>
      </c>
      <c r="I1598" s="15" t="str">
        <f t="shared" ca="1" si="344"/>
        <v>RadioCard_ILS_Exp2</v>
      </c>
      <c r="J1598" s="15" t="str">
        <f t="shared" ca="1" si="355"/>
        <v>RadioCard_ILS_Exp2!A101</v>
      </c>
      <c r="K1598" s="15" t="str">
        <f t="shared" ca="1" si="356"/>
        <v>RadioCard_ILS_Exp2!B101</v>
      </c>
    </row>
    <row r="1599" spans="1:16" x14ac:dyDescent="0.25">
      <c r="A1599" s="3" t="str">
        <f t="shared" ca="1" si="357"/>
        <v/>
      </c>
      <c r="C1599" s="16"/>
      <c r="G1599" s="15">
        <f t="shared" ca="1" si="343"/>
        <v>102</v>
      </c>
      <c r="H1599" s="15">
        <v>1</v>
      </c>
      <c r="I1599" s="15" t="str">
        <f t="shared" ca="1" si="344"/>
        <v>RadioCard_ILS_Exp2</v>
      </c>
      <c r="J1599" s="15" t="str">
        <f t="shared" ca="1" si="355"/>
        <v>RadioCard_ILS_Exp2!A102</v>
      </c>
      <c r="K1599" s="15" t="str">
        <f t="shared" ca="1" si="356"/>
        <v>RadioCard_ILS_Exp2!B102</v>
      </c>
    </row>
    <row r="1600" spans="1:16" x14ac:dyDescent="0.25">
      <c r="A1600" s="3" t="str">
        <f t="shared" ca="1" si="357"/>
        <v/>
      </c>
      <c r="G1600" s="15">
        <f t="shared" ca="1" si="343"/>
        <v>103</v>
      </c>
      <c r="H1600" s="15">
        <v>1</v>
      </c>
      <c r="I1600" s="15" t="str">
        <f t="shared" ca="1" si="344"/>
        <v>RadioCard_ILS_Exp2</v>
      </c>
      <c r="J1600" s="15" t="str">
        <f t="shared" ca="1" si="355"/>
        <v>RadioCard_ILS_Exp2!A103</v>
      </c>
      <c r="K1600" s="15" t="str">
        <f t="shared" ca="1" si="356"/>
        <v>RadioCard_ILS_Exp2!B103</v>
      </c>
    </row>
    <row r="1601" spans="1:16" x14ac:dyDescent="0.25">
      <c r="A1601" s="3" t="str">
        <f t="shared" ca="1" si="357"/>
        <v/>
      </c>
      <c r="G1601" s="15">
        <f t="shared" ca="1" si="343"/>
        <v>104</v>
      </c>
      <c r="H1601" s="15">
        <v>1</v>
      </c>
      <c r="I1601" s="15" t="str">
        <f t="shared" ca="1" si="344"/>
        <v>RadioCard_ILS_Exp2</v>
      </c>
      <c r="J1601" s="15" t="str">
        <f t="shared" ca="1" si="355"/>
        <v>RadioCard_ILS_Exp2!A104</v>
      </c>
      <c r="K1601" s="15" t="str">
        <f t="shared" ca="1" si="356"/>
        <v>RadioCard_ILS_Exp2!B104</v>
      </c>
    </row>
    <row r="1602" spans="1:16" x14ac:dyDescent="0.25">
      <c r="A1602" s="3" t="str">
        <f t="shared" ca="1" si="357"/>
        <v/>
      </c>
      <c r="G1602" s="15">
        <f t="shared" ca="1" si="343"/>
        <v>105</v>
      </c>
      <c r="H1602" s="15">
        <v>1</v>
      </c>
      <c r="I1602" s="15" t="str">
        <f t="shared" ca="1" si="344"/>
        <v>RadioCard_ILS_Exp2</v>
      </c>
      <c r="J1602" s="15" t="str">
        <f t="shared" ca="1" si="355"/>
        <v>RadioCard_ILS_Exp2!A105</v>
      </c>
      <c r="K1602" s="15" t="str">
        <f t="shared" ca="1" si="356"/>
        <v>RadioCard_ILS_Exp2!B105</v>
      </c>
    </row>
    <row r="1603" spans="1:16" x14ac:dyDescent="0.25">
      <c r="A1603" s="3" t="str">
        <f t="shared" ca="1" si="357"/>
        <v/>
      </c>
      <c r="G1603" s="15">
        <f t="shared" ca="1" si="343"/>
        <v>106</v>
      </c>
      <c r="H1603" s="15">
        <v>1</v>
      </c>
      <c r="I1603" s="15" t="str">
        <f t="shared" ca="1" si="344"/>
        <v>RadioCard_ILS_Exp2</v>
      </c>
      <c r="J1603" s="15" t="str">
        <f t="shared" ca="1" si="355"/>
        <v>RadioCard_ILS_Exp2!A106</v>
      </c>
      <c r="K1603" s="15" t="str">
        <f t="shared" ca="1" si="356"/>
        <v>RadioCard_ILS_Exp2!B106</v>
      </c>
    </row>
    <row r="1604" spans="1:16" x14ac:dyDescent="0.25">
      <c r="A1604" s="3" t="str">
        <f t="shared" ca="1" si="357"/>
        <v/>
      </c>
      <c r="G1604" s="15">
        <f t="shared" ca="1" si="343"/>
        <v>107</v>
      </c>
      <c r="H1604" s="15">
        <v>1</v>
      </c>
      <c r="I1604" s="15" t="str">
        <f t="shared" ca="1" si="344"/>
        <v>RadioCard_ILS_Exp2</v>
      </c>
      <c r="J1604" s="15" t="str">
        <f t="shared" ca="1" si="355"/>
        <v>RadioCard_ILS_Exp2!A107</v>
      </c>
      <c r="K1604" s="15" t="str">
        <f t="shared" ca="1" si="356"/>
        <v>RadioCard_ILS_Exp2!B107</v>
      </c>
    </row>
    <row r="1605" spans="1:16" x14ac:dyDescent="0.25">
      <c r="A1605" s="3" t="str">
        <f t="shared" ca="1" si="357"/>
        <v/>
      </c>
      <c r="G1605" s="15">
        <f t="shared" ca="1" si="343"/>
        <v>108</v>
      </c>
      <c r="H1605" s="15">
        <v>1</v>
      </c>
      <c r="I1605" s="15" t="str">
        <f t="shared" ca="1" si="344"/>
        <v>RadioCard_ILS_Exp2</v>
      </c>
      <c r="J1605" s="15" t="str">
        <f t="shared" ca="1" si="355"/>
        <v>RadioCard_ILS_Exp2!A108</v>
      </c>
      <c r="K1605" s="15" t="str">
        <f t="shared" ca="1" si="356"/>
        <v>RadioCard_ILS_Exp2!B108</v>
      </c>
    </row>
    <row r="1606" spans="1:16" x14ac:dyDescent="0.25">
      <c r="A1606" s="3" t="str">
        <f t="shared" ca="1" si="357"/>
        <v/>
      </c>
      <c r="G1606" s="15">
        <f t="shared" ca="1" si="343"/>
        <v>109</v>
      </c>
      <c r="H1606" s="15">
        <v>1</v>
      </c>
      <c r="I1606" s="15" t="str">
        <f t="shared" ca="1" si="344"/>
        <v>RadioCard_ILS_Exp2</v>
      </c>
      <c r="J1606" s="15" t="str">
        <f t="shared" ca="1" si="355"/>
        <v>RadioCard_ILS_Exp2!A109</v>
      </c>
      <c r="K1606" s="15" t="str">
        <f t="shared" ca="1" si="356"/>
        <v>RadioCard_ILS_Exp2!B109</v>
      </c>
    </row>
    <row r="1607" spans="1:16" x14ac:dyDescent="0.25">
      <c r="A1607" s="3" t="str">
        <f t="shared" ca="1" si="357"/>
        <v/>
      </c>
      <c r="G1607" s="15">
        <f t="shared" ca="1" si="343"/>
        <v>110</v>
      </c>
      <c r="H1607" s="15">
        <v>1</v>
      </c>
      <c r="I1607" s="15" t="str">
        <f t="shared" ca="1" si="344"/>
        <v>RadioCard_ILS_Exp2</v>
      </c>
      <c r="J1607" s="15" t="str">
        <f t="shared" ca="1" si="355"/>
        <v>RadioCard_ILS_Exp2!A110</v>
      </c>
      <c r="K1607" s="15" t="str">
        <f t="shared" ca="1" si="356"/>
        <v>RadioCard_ILS_Exp2!B110</v>
      </c>
    </row>
    <row r="1608" spans="1:16" x14ac:dyDescent="0.25">
      <c r="A1608" s="3" t="str">
        <f t="shared" ca="1" si="357"/>
        <v xml:space="preserve">#RadioCard_ILS_Exp1:etap 3 =  </v>
      </c>
      <c r="G1608" s="15">
        <f t="shared" ref="G1608" ca="1" si="362">INDIRECT(M1608)</f>
        <v>91</v>
      </c>
      <c r="H1608" s="15">
        <v>1</v>
      </c>
      <c r="I1608" s="15" t="str">
        <f t="shared" ref="I1608" ca="1" si="363">INDIRECT(N1608)</f>
        <v>RadioCard_ILS_Exp1</v>
      </c>
      <c r="J1608" s="15" t="str">
        <f t="shared" ca="1" si="355"/>
        <v>RadioCard_ILS_Exp1!A91</v>
      </c>
      <c r="K1608" s="15" t="str">
        <f t="shared" ca="1" si="356"/>
        <v>RadioCard_ILS_Exp1!B91</v>
      </c>
      <c r="M1608" s="15" t="str">
        <f t="shared" ref="M1608" si="364">ADDRESS(O1608,3,4,1,$R$1)</f>
        <v>konfig!C82</v>
      </c>
      <c r="N1608" s="15" t="str">
        <f t="shared" ref="N1608" si="365">ADDRESS(O1608,1,4,1,$R$1)</f>
        <v>konfig!A82</v>
      </c>
      <c r="O1608" s="15">
        <v>82</v>
      </c>
      <c r="P1608" s="15">
        <v>4</v>
      </c>
    </row>
    <row r="1609" spans="1:16" x14ac:dyDescent="0.25">
      <c r="A1609" s="3" t="str">
        <f t="shared" ca="1" si="357"/>
        <v xml:space="preserve">device = MCP23017 </v>
      </c>
      <c r="G1609" s="15">
        <f t="shared" ref="G1609:G1672" ca="1" si="366">G1608+1</f>
        <v>92</v>
      </c>
      <c r="H1609" s="15">
        <v>1</v>
      </c>
      <c r="I1609" s="15" t="str">
        <f t="shared" ref="I1609:I1672" ca="1" si="367">I1608</f>
        <v>RadioCard_ILS_Exp1</v>
      </c>
      <c r="J1609" s="15" t="str">
        <f t="shared" ca="1" si="355"/>
        <v>RadioCard_ILS_Exp1!A92</v>
      </c>
      <c r="K1609" s="15" t="str">
        <f t="shared" ca="1" si="356"/>
        <v>RadioCard_ILS_Exp1!B92</v>
      </c>
    </row>
    <row r="1610" spans="1:16" x14ac:dyDescent="0.25">
      <c r="A1610" s="3" t="str">
        <f t="shared" ca="1" si="357"/>
        <v xml:space="preserve">i2c_addr = 0x26 </v>
      </c>
      <c r="G1610" s="15">
        <f t="shared" ca="1" si="366"/>
        <v>93</v>
      </c>
      <c r="H1610" s="15">
        <v>1</v>
      </c>
      <c r="I1610" s="15" t="str">
        <f t="shared" ca="1" si="367"/>
        <v>RadioCard_ILS_Exp1</v>
      </c>
      <c r="J1610" s="15" t="str">
        <f t="shared" ca="1" si="355"/>
        <v>RadioCard_ILS_Exp1!A93</v>
      </c>
      <c r="K1610" s="15" t="str">
        <f t="shared" ca="1" si="356"/>
        <v>RadioCard_ILS_Exp1!B93</v>
      </c>
    </row>
    <row r="1611" spans="1:16" x14ac:dyDescent="0.25">
      <c r="A1611" s="3" t="str">
        <f t="shared" ca="1" si="357"/>
        <v xml:space="preserve">i2c_num = /dev/i2c-1 </v>
      </c>
      <c r="C1611" s="16"/>
      <c r="G1611" s="15">
        <f t="shared" ca="1" si="366"/>
        <v>94</v>
      </c>
      <c r="H1611" s="15">
        <v>1</v>
      </c>
      <c r="I1611" s="15" t="str">
        <f t="shared" ca="1" si="367"/>
        <v>RadioCard_ILS_Exp1</v>
      </c>
      <c r="J1611" s="15" t="str">
        <f t="shared" ca="1" si="355"/>
        <v>RadioCard_ILS_Exp1!A94</v>
      </c>
      <c r="K1611" s="15" t="str">
        <f t="shared" ca="1" si="356"/>
        <v>RadioCard_ILS_Exp1!B94</v>
      </c>
    </row>
    <row r="1612" spans="1:16" x14ac:dyDescent="0.25">
      <c r="A1612" s="3" t="str">
        <f t="shared" ca="1" si="357"/>
        <v xml:space="preserve">pins_mode = 0x0000 </v>
      </c>
      <c r="G1612" s="15">
        <f t="shared" ca="1" si="366"/>
        <v>95</v>
      </c>
      <c r="H1612" s="15">
        <v>1</v>
      </c>
      <c r="I1612" s="15" t="str">
        <f t="shared" ca="1" si="367"/>
        <v>RadioCard_ILS_Exp1</v>
      </c>
      <c r="J1612" s="15" t="str">
        <f t="shared" ca="1" si="355"/>
        <v>RadioCard_ILS_Exp1!A95</v>
      </c>
      <c r="K1612" s="15" t="str">
        <f t="shared" ca="1" si="356"/>
        <v>RadioCard_ILS_Exp1!B95</v>
      </c>
    </row>
    <row r="1613" spans="1:16" x14ac:dyDescent="0.25">
      <c r="A1613" s="3" t="str">
        <f t="shared" ca="1" si="357"/>
        <v xml:space="preserve">pins_state = 0x0000 </v>
      </c>
      <c r="G1613" s="15">
        <f t="shared" ca="1" si="366"/>
        <v>96</v>
      </c>
      <c r="H1613" s="15">
        <v>1</v>
      </c>
      <c r="I1613" s="15" t="str">
        <f t="shared" ca="1" si="367"/>
        <v>RadioCard_ILS_Exp1</v>
      </c>
      <c r="J1613" s="15" t="str">
        <f t="shared" ca="1" si="355"/>
        <v>RadioCard_ILS_Exp1!A96</v>
      </c>
      <c r="K1613" s="15" t="str">
        <f t="shared" ca="1" si="356"/>
        <v>RadioCard_ILS_Exp1!B96</v>
      </c>
    </row>
    <row r="1614" spans="1:16" x14ac:dyDescent="0.25">
      <c r="A1614" s="3" t="str">
        <f t="shared" ca="1" si="357"/>
        <v xml:space="preserve">pins_pull_up = 0x0000 </v>
      </c>
      <c r="G1614" s="15">
        <f t="shared" ca="1" si="366"/>
        <v>97</v>
      </c>
      <c r="H1614" s="15">
        <v>1</v>
      </c>
      <c r="I1614" s="15" t="str">
        <f t="shared" ca="1" si="367"/>
        <v>RadioCard_ILS_Exp1</v>
      </c>
      <c r="J1614" s="15" t="str">
        <f t="shared" ca="1" si="355"/>
        <v>RadioCard_ILS_Exp1!A97</v>
      </c>
      <c r="K1614" s="15" t="str">
        <f t="shared" ca="1" si="356"/>
        <v>RadioCard_ILS_Exp1!B97</v>
      </c>
    </row>
    <row r="1615" spans="1:16" x14ac:dyDescent="0.25">
      <c r="A1615" s="3" t="str">
        <f t="shared" ca="1" si="357"/>
        <v xml:space="preserve">#pins_int = 0x0000 </v>
      </c>
      <c r="G1615" s="15">
        <f t="shared" ca="1" si="366"/>
        <v>98</v>
      </c>
      <c r="H1615" s="15">
        <v>1</v>
      </c>
      <c r="I1615" s="15" t="str">
        <f t="shared" ca="1" si="367"/>
        <v>RadioCard_ILS_Exp1</v>
      </c>
      <c r="J1615" s="15" t="str">
        <f t="shared" ca="1" si="355"/>
        <v>RadioCard_ILS_Exp1!A98</v>
      </c>
      <c r="K1615" s="15" t="str">
        <f t="shared" ca="1" si="356"/>
        <v>RadioCard_ILS_Exp1!B98</v>
      </c>
    </row>
    <row r="1616" spans="1:16" x14ac:dyDescent="0.25">
      <c r="A1616" s="3" t="str">
        <f t="shared" ca="1" si="357"/>
        <v xml:space="preserve">#pins_def_val = 0x0000 </v>
      </c>
      <c r="G1616" s="15">
        <f t="shared" ca="1" si="366"/>
        <v>99</v>
      </c>
      <c r="H1616" s="15">
        <v>1</v>
      </c>
      <c r="I1616" s="15" t="str">
        <f t="shared" ca="1" si="367"/>
        <v>RadioCard_ILS_Exp1</v>
      </c>
      <c r="J1616" s="15" t="str">
        <f t="shared" ca="1" si="355"/>
        <v>RadioCard_ILS_Exp1!A99</v>
      </c>
      <c r="K1616" s="15" t="str">
        <f t="shared" ca="1" si="356"/>
        <v>RadioCard_ILS_Exp1!B99</v>
      </c>
    </row>
    <row r="1617" spans="1:16" x14ac:dyDescent="0.25">
      <c r="A1617" s="3" t="str">
        <f t="shared" ca="1" si="357"/>
        <v/>
      </c>
      <c r="G1617" s="15">
        <f t="shared" ca="1" si="366"/>
        <v>100</v>
      </c>
      <c r="H1617" s="15">
        <v>1</v>
      </c>
      <c r="I1617" s="15" t="str">
        <f t="shared" ca="1" si="367"/>
        <v>RadioCard_ILS_Exp1</v>
      </c>
      <c r="J1617" s="15" t="str">
        <f t="shared" ca="1" si="355"/>
        <v>RadioCard_ILS_Exp1!A100</v>
      </c>
      <c r="K1617" s="15" t="str">
        <f t="shared" ca="1" si="356"/>
        <v>RadioCard_ILS_Exp1!B100</v>
      </c>
    </row>
    <row r="1618" spans="1:16" x14ac:dyDescent="0.25">
      <c r="A1618" s="3" t="str">
        <f t="shared" ca="1" si="357"/>
        <v xml:space="preserve">#pins_int = 10 </v>
      </c>
      <c r="G1618" s="15">
        <f t="shared" ca="1" si="366"/>
        <v>101</v>
      </c>
      <c r="H1618" s="15">
        <v>1</v>
      </c>
      <c r="I1618" s="15" t="str">
        <f t="shared" ca="1" si="367"/>
        <v>RadioCard_ILS_Exp1</v>
      </c>
      <c r="J1618" s="15" t="str">
        <f t="shared" ca="1" si="355"/>
        <v>RadioCard_ILS_Exp1!A101</v>
      </c>
      <c r="K1618" s="15" t="str">
        <f t="shared" ca="1" si="356"/>
        <v>RadioCard_ILS_Exp1!B101</v>
      </c>
    </row>
    <row r="1619" spans="1:16" x14ac:dyDescent="0.25">
      <c r="A1619" s="3" t="str">
        <f t="shared" ca="1" si="357"/>
        <v/>
      </c>
      <c r="C1619" s="16"/>
      <c r="G1619" s="15">
        <f t="shared" ca="1" si="366"/>
        <v>102</v>
      </c>
      <c r="H1619" s="15">
        <v>1</v>
      </c>
      <c r="I1619" s="15" t="str">
        <f t="shared" ca="1" si="367"/>
        <v>RadioCard_ILS_Exp1</v>
      </c>
      <c r="J1619" s="15" t="str">
        <f t="shared" ca="1" si="355"/>
        <v>RadioCard_ILS_Exp1!A102</v>
      </c>
      <c r="K1619" s="15" t="str">
        <f t="shared" ca="1" si="356"/>
        <v>RadioCard_ILS_Exp1!B102</v>
      </c>
    </row>
    <row r="1620" spans="1:16" x14ac:dyDescent="0.25">
      <c r="A1620" s="3" t="str">
        <f t="shared" ca="1" si="357"/>
        <v/>
      </c>
      <c r="G1620" s="15">
        <f t="shared" ca="1" si="366"/>
        <v>103</v>
      </c>
      <c r="H1620" s="15">
        <v>1</v>
      </c>
      <c r="I1620" s="15" t="str">
        <f t="shared" ca="1" si="367"/>
        <v>RadioCard_ILS_Exp1</v>
      </c>
      <c r="J1620" s="15" t="str">
        <f t="shared" ca="1" si="355"/>
        <v>RadioCard_ILS_Exp1!A103</v>
      </c>
      <c r="K1620" s="15" t="str">
        <f t="shared" ca="1" si="356"/>
        <v>RadioCard_ILS_Exp1!B103</v>
      </c>
    </row>
    <row r="1621" spans="1:16" x14ac:dyDescent="0.25">
      <c r="A1621" s="3" t="str">
        <f t="shared" ca="1" si="357"/>
        <v/>
      </c>
      <c r="G1621" s="15">
        <f t="shared" ca="1" si="366"/>
        <v>104</v>
      </c>
      <c r="H1621" s="15">
        <v>1</v>
      </c>
      <c r="I1621" s="15" t="str">
        <f t="shared" ca="1" si="367"/>
        <v>RadioCard_ILS_Exp1</v>
      </c>
      <c r="J1621" s="15" t="str">
        <f t="shared" ca="1" si="355"/>
        <v>RadioCard_ILS_Exp1!A104</v>
      </c>
      <c r="K1621" s="15" t="str">
        <f t="shared" ca="1" si="356"/>
        <v>RadioCard_ILS_Exp1!B104</v>
      </c>
    </row>
    <row r="1622" spans="1:16" x14ac:dyDescent="0.25">
      <c r="A1622" s="3" t="str">
        <f t="shared" ca="1" si="357"/>
        <v/>
      </c>
      <c r="G1622" s="15">
        <f t="shared" ca="1" si="366"/>
        <v>105</v>
      </c>
      <c r="H1622" s="15">
        <v>1</v>
      </c>
      <c r="I1622" s="15" t="str">
        <f t="shared" ca="1" si="367"/>
        <v>RadioCard_ILS_Exp1</v>
      </c>
      <c r="J1622" s="15" t="str">
        <f t="shared" ca="1" si="355"/>
        <v>RadioCard_ILS_Exp1!A105</v>
      </c>
      <c r="K1622" s="15" t="str">
        <f t="shared" ca="1" si="356"/>
        <v>RadioCard_ILS_Exp1!B105</v>
      </c>
    </row>
    <row r="1623" spans="1:16" x14ac:dyDescent="0.25">
      <c r="A1623" s="3" t="str">
        <f t="shared" ca="1" si="357"/>
        <v/>
      </c>
      <c r="G1623" s="15">
        <f t="shared" ca="1" si="366"/>
        <v>106</v>
      </c>
      <c r="H1623" s="15">
        <v>1</v>
      </c>
      <c r="I1623" s="15" t="str">
        <f t="shared" ca="1" si="367"/>
        <v>RadioCard_ILS_Exp1</v>
      </c>
      <c r="J1623" s="15" t="str">
        <f t="shared" ca="1" si="355"/>
        <v>RadioCard_ILS_Exp1!A106</v>
      </c>
      <c r="K1623" s="15" t="str">
        <f t="shared" ca="1" si="356"/>
        <v>RadioCard_ILS_Exp1!B106</v>
      </c>
    </row>
    <row r="1624" spans="1:16" x14ac:dyDescent="0.25">
      <c r="A1624" s="3" t="str">
        <f t="shared" ca="1" si="357"/>
        <v/>
      </c>
      <c r="G1624" s="15">
        <f t="shared" ca="1" si="366"/>
        <v>107</v>
      </c>
      <c r="H1624" s="15">
        <v>1</v>
      </c>
      <c r="I1624" s="15" t="str">
        <f t="shared" ca="1" si="367"/>
        <v>RadioCard_ILS_Exp1</v>
      </c>
      <c r="J1624" s="15" t="str">
        <f t="shared" ca="1" si="355"/>
        <v>RadioCard_ILS_Exp1!A107</v>
      </c>
      <c r="K1624" s="15" t="str">
        <f t="shared" ca="1" si="356"/>
        <v>RadioCard_ILS_Exp1!B107</v>
      </c>
    </row>
    <row r="1625" spans="1:16" x14ac:dyDescent="0.25">
      <c r="A1625" s="3" t="str">
        <f t="shared" ca="1" si="357"/>
        <v/>
      </c>
      <c r="G1625" s="15">
        <f t="shared" ca="1" si="366"/>
        <v>108</v>
      </c>
      <c r="H1625" s="15">
        <v>1</v>
      </c>
      <c r="I1625" s="15" t="str">
        <f t="shared" ca="1" si="367"/>
        <v>RadioCard_ILS_Exp1</v>
      </c>
      <c r="J1625" s="15" t="str">
        <f t="shared" ca="1" si="355"/>
        <v>RadioCard_ILS_Exp1!A108</v>
      </c>
      <c r="K1625" s="15" t="str">
        <f t="shared" ca="1" si="356"/>
        <v>RadioCard_ILS_Exp1!B108</v>
      </c>
    </row>
    <row r="1626" spans="1:16" x14ac:dyDescent="0.25">
      <c r="A1626" s="3" t="str">
        <f t="shared" ca="1" si="357"/>
        <v/>
      </c>
      <c r="G1626" s="15">
        <f t="shared" ca="1" si="366"/>
        <v>109</v>
      </c>
      <c r="H1626" s="15">
        <v>1</v>
      </c>
      <c r="I1626" s="15" t="str">
        <f t="shared" ca="1" si="367"/>
        <v>RadioCard_ILS_Exp1</v>
      </c>
      <c r="J1626" s="15" t="str">
        <f t="shared" ca="1" si="355"/>
        <v>RadioCard_ILS_Exp1!A109</v>
      </c>
      <c r="K1626" s="15" t="str">
        <f t="shared" ca="1" si="356"/>
        <v>RadioCard_ILS_Exp1!B109</v>
      </c>
    </row>
    <row r="1627" spans="1:16" x14ac:dyDescent="0.25">
      <c r="A1627" s="3" t="str">
        <f t="shared" ca="1" si="357"/>
        <v/>
      </c>
      <c r="G1627" s="15">
        <f t="shared" ca="1" si="366"/>
        <v>110</v>
      </c>
      <c r="H1627" s="15">
        <v>1</v>
      </c>
      <c r="I1627" s="15" t="str">
        <f t="shared" ca="1" si="367"/>
        <v>RadioCard_ILS_Exp1</v>
      </c>
      <c r="J1627" s="15" t="str">
        <f t="shared" ca="1" si="355"/>
        <v>RadioCard_ILS_Exp1!A110</v>
      </c>
      <c r="K1627" s="15" t="str">
        <f t="shared" ca="1" si="356"/>
        <v>RadioCard_ILS_Exp1!B110</v>
      </c>
    </row>
    <row r="1628" spans="1:16" x14ac:dyDescent="0.25">
      <c r="A1628" s="3" t="str">
        <f t="shared" ca="1" si="357"/>
        <v xml:space="preserve">#RadioCard_ILS_Exp1:etap 4- LMK =  </v>
      </c>
      <c r="G1628" s="15">
        <f t="shared" ref="G1628" ca="1" si="368">INDIRECT(M1628)</f>
        <v>111</v>
      </c>
      <c r="H1628" s="15">
        <v>1</v>
      </c>
      <c r="I1628" s="15" t="str">
        <f t="shared" ref="I1628" ca="1" si="369">INDIRECT(N1628)</f>
        <v>RadioCard_ILS_Exp2</v>
      </c>
      <c r="J1628" s="15" t="str">
        <f t="shared" ca="1" si="355"/>
        <v>RadioCard_ILS_Exp2!A111</v>
      </c>
      <c r="K1628" s="15" t="str">
        <f t="shared" ca="1" si="356"/>
        <v>RadioCard_ILS_Exp2!B111</v>
      </c>
      <c r="M1628" s="15" t="str">
        <f t="shared" ref="M1628" si="370">ADDRESS(O1628,3,4,1,$R$1)</f>
        <v>konfig!C83</v>
      </c>
      <c r="N1628" s="15" t="str">
        <f t="shared" ref="N1628" si="371">ADDRESS(O1628,1,4,1,$R$1)</f>
        <v>konfig!A83</v>
      </c>
      <c r="O1628" s="15">
        <v>83</v>
      </c>
      <c r="P1628" s="15">
        <v>4</v>
      </c>
    </row>
    <row r="1629" spans="1:16" x14ac:dyDescent="0.25">
      <c r="A1629" s="3" t="str">
        <f t="shared" ca="1" si="357"/>
        <v xml:space="preserve">device = MCP23017 </v>
      </c>
      <c r="G1629" s="15">
        <f t="shared" ref="G1629:G1669" ca="1" si="372">G1628+1</f>
        <v>112</v>
      </c>
      <c r="H1629" s="15">
        <v>1</v>
      </c>
      <c r="I1629" s="15" t="str">
        <f t="shared" ref="I1629:I1669" ca="1" si="373">I1628</f>
        <v>RadioCard_ILS_Exp2</v>
      </c>
      <c r="J1629" s="15" t="str">
        <f t="shared" ca="1" si="355"/>
        <v>RadioCard_ILS_Exp2!A112</v>
      </c>
      <c r="K1629" s="15" t="str">
        <f t="shared" ca="1" si="356"/>
        <v>RadioCard_ILS_Exp2!B112</v>
      </c>
    </row>
    <row r="1630" spans="1:16" x14ac:dyDescent="0.25">
      <c r="A1630" s="3" t="str">
        <f t="shared" ca="1" si="357"/>
        <v xml:space="preserve">i2c_addr = 0x27 </v>
      </c>
      <c r="G1630" s="15">
        <f t="shared" ca="1" si="366"/>
        <v>113</v>
      </c>
      <c r="H1630" s="15">
        <v>1</v>
      </c>
      <c r="I1630" s="15" t="str">
        <f t="shared" ca="1" si="367"/>
        <v>RadioCard_ILS_Exp2</v>
      </c>
      <c r="J1630" s="15" t="str">
        <f t="shared" ca="1" si="355"/>
        <v>RadioCard_ILS_Exp2!A113</v>
      </c>
      <c r="K1630" s="15" t="str">
        <f t="shared" ca="1" si="356"/>
        <v>RadioCard_ILS_Exp2!B113</v>
      </c>
    </row>
    <row r="1631" spans="1:16" x14ac:dyDescent="0.25">
      <c r="A1631" s="3" t="str">
        <f t="shared" ca="1" si="357"/>
        <v xml:space="preserve">i2c_num = /dev/i2c-1 </v>
      </c>
      <c r="C1631" s="16"/>
      <c r="G1631" s="15">
        <f t="shared" ca="1" si="366"/>
        <v>114</v>
      </c>
      <c r="H1631" s="15">
        <v>1</v>
      </c>
      <c r="I1631" s="15" t="str">
        <f t="shared" ca="1" si="367"/>
        <v>RadioCard_ILS_Exp2</v>
      </c>
      <c r="J1631" s="15" t="str">
        <f t="shared" ca="1" si="355"/>
        <v>RadioCard_ILS_Exp2!A114</v>
      </c>
      <c r="K1631" s="15" t="str">
        <f t="shared" ca="1" si="356"/>
        <v>RadioCard_ILS_Exp2!B114</v>
      </c>
    </row>
    <row r="1632" spans="1:16" x14ac:dyDescent="0.25">
      <c r="A1632" s="3" t="str">
        <f t="shared" ca="1" si="357"/>
        <v xml:space="preserve">pins_mode = 0xCE8C </v>
      </c>
      <c r="G1632" s="15">
        <f t="shared" ca="1" si="366"/>
        <v>115</v>
      </c>
      <c r="H1632" s="15">
        <v>1</v>
      </c>
      <c r="I1632" s="15" t="str">
        <f t="shared" ca="1" si="367"/>
        <v>RadioCard_ILS_Exp2</v>
      </c>
      <c r="J1632" s="15" t="str">
        <f t="shared" ca="1" si="355"/>
        <v>RadioCard_ILS_Exp2!A115</v>
      </c>
      <c r="K1632" s="15" t="str">
        <f t="shared" ca="1" si="356"/>
        <v>RadioCard_ILS_Exp2!B115</v>
      </c>
    </row>
    <row r="1633" spans="1:16" x14ac:dyDescent="0.25">
      <c r="A1633" s="3" t="str">
        <f t="shared" ca="1" si="357"/>
        <v xml:space="preserve">pins_state = 0x3113 </v>
      </c>
      <c r="G1633" s="15">
        <f t="shared" ca="1" si="366"/>
        <v>116</v>
      </c>
      <c r="H1633" s="15">
        <v>1</v>
      </c>
      <c r="I1633" s="15" t="str">
        <f t="shared" ca="1" si="367"/>
        <v>RadioCard_ILS_Exp2</v>
      </c>
      <c r="J1633" s="15" t="str">
        <f t="shared" ca="1" si="355"/>
        <v>RadioCard_ILS_Exp2!A116</v>
      </c>
      <c r="K1633" s="15" t="str">
        <f t="shared" ca="1" si="356"/>
        <v>RadioCard_ILS_Exp2!B116</v>
      </c>
    </row>
    <row r="1634" spans="1:16" x14ac:dyDescent="0.25">
      <c r="A1634" s="3" t="str">
        <f t="shared" ca="1" si="357"/>
        <v xml:space="preserve">pins_pull_up = 0x4808 </v>
      </c>
      <c r="G1634" s="15">
        <f t="shared" ca="1" si="366"/>
        <v>117</v>
      </c>
      <c r="H1634" s="15">
        <v>1</v>
      </c>
      <c r="I1634" s="15" t="str">
        <f t="shared" ca="1" si="367"/>
        <v>RadioCard_ILS_Exp2</v>
      </c>
      <c r="J1634" s="15" t="str">
        <f t="shared" ca="1" si="355"/>
        <v>RadioCard_ILS_Exp2!A117</v>
      </c>
      <c r="K1634" s="15" t="str">
        <f t="shared" ca="1" si="356"/>
        <v>RadioCard_ILS_Exp2!B117</v>
      </c>
    </row>
    <row r="1635" spans="1:16" x14ac:dyDescent="0.25">
      <c r="A1635" s="3" t="str">
        <f t="shared" ca="1" si="357"/>
        <v xml:space="preserve">#pins_int = 0x0000 </v>
      </c>
      <c r="G1635" s="15">
        <f t="shared" ca="1" si="366"/>
        <v>118</v>
      </c>
      <c r="H1635" s="15">
        <v>1</v>
      </c>
      <c r="I1635" s="15" t="str">
        <f t="shared" ca="1" si="367"/>
        <v>RadioCard_ILS_Exp2</v>
      </c>
      <c r="J1635" s="15" t="str">
        <f t="shared" ca="1" si="355"/>
        <v>RadioCard_ILS_Exp2!A118</v>
      </c>
      <c r="K1635" s="15" t="str">
        <f t="shared" ca="1" si="356"/>
        <v>RadioCard_ILS_Exp2!B118</v>
      </c>
    </row>
    <row r="1636" spans="1:16" x14ac:dyDescent="0.25">
      <c r="A1636" s="3" t="str">
        <f t="shared" ca="1" si="357"/>
        <v xml:space="preserve">#pins_def_val = 0x0000 </v>
      </c>
      <c r="G1636" s="15">
        <f t="shared" ca="1" si="366"/>
        <v>119</v>
      </c>
      <c r="H1636" s="15">
        <v>1</v>
      </c>
      <c r="I1636" s="15" t="str">
        <f t="shared" ca="1" si="367"/>
        <v>RadioCard_ILS_Exp2</v>
      </c>
      <c r="J1636" s="15" t="str">
        <f t="shared" ref="J1636:J1699" ca="1" si="374">ADDRESS(G1636,H1636,4,1,I1636)</f>
        <v>RadioCard_ILS_Exp2!A119</v>
      </c>
      <c r="K1636" s="15" t="str">
        <f t="shared" ref="K1636:K1699" ca="1" si="375">ADDRESS(G1636,H1636+1,4,1,I1636)</f>
        <v>RadioCard_ILS_Exp2!B119</v>
      </c>
    </row>
    <row r="1637" spans="1:16" x14ac:dyDescent="0.25">
      <c r="A1637" s="3" t="str">
        <f t="shared" ca="1" si="357"/>
        <v/>
      </c>
      <c r="G1637" s="15">
        <f t="shared" ca="1" si="366"/>
        <v>120</v>
      </c>
      <c r="H1637" s="15">
        <v>1</v>
      </c>
      <c r="I1637" s="15" t="str">
        <f t="shared" ca="1" si="367"/>
        <v>RadioCard_ILS_Exp2</v>
      </c>
      <c r="J1637" s="15" t="str">
        <f t="shared" ca="1" si="374"/>
        <v>RadioCard_ILS_Exp2!A120</v>
      </c>
      <c r="K1637" s="15" t="str">
        <f t="shared" ca="1" si="375"/>
        <v>RadioCard_ILS_Exp2!B120</v>
      </c>
    </row>
    <row r="1638" spans="1:16" x14ac:dyDescent="0.25">
      <c r="A1638" s="3" t="str">
        <f t="shared" ca="1" si="357"/>
        <v xml:space="preserve">#pins_int = 10 </v>
      </c>
      <c r="G1638" s="15">
        <f t="shared" ca="1" si="366"/>
        <v>121</v>
      </c>
      <c r="H1638" s="15">
        <v>1</v>
      </c>
      <c r="I1638" s="15" t="str">
        <f t="shared" ca="1" si="367"/>
        <v>RadioCard_ILS_Exp2</v>
      </c>
      <c r="J1638" s="15" t="str">
        <f t="shared" ca="1" si="374"/>
        <v>RadioCard_ILS_Exp2!A121</v>
      </c>
      <c r="K1638" s="15" t="str">
        <f t="shared" ca="1" si="375"/>
        <v>RadioCard_ILS_Exp2!B121</v>
      </c>
    </row>
    <row r="1639" spans="1:16" x14ac:dyDescent="0.25">
      <c r="A1639" s="3" t="str">
        <f t="shared" ca="1" si="357"/>
        <v/>
      </c>
      <c r="C1639" s="16"/>
      <c r="G1639" s="15">
        <f t="shared" ca="1" si="366"/>
        <v>122</v>
      </c>
      <c r="H1639" s="15">
        <v>1</v>
      </c>
      <c r="I1639" s="15" t="str">
        <f t="shared" ca="1" si="367"/>
        <v>RadioCard_ILS_Exp2</v>
      </c>
      <c r="J1639" s="15" t="str">
        <f t="shared" ca="1" si="374"/>
        <v>RadioCard_ILS_Exp2!A122</v>
      </c>
      <c r="K1639" s="15" t="str">
        <f t="shared" ca="1" si="375"/>
        <v>RadioCard_ILS_Exp2!B122</v>
      </c>
    </row>
    <row r="1640" spans="1:16" x14ac:dyDescent="0.25">
      <c r="A1640" s="3" t="str">
        <f t="shared" ca="1" si="357"/>
        <v/>
      </c>
      <c r="G1640" s="15">
        <f t="shared" ca="1" si="366"/>
        <v>123</v>
      </c>
      <c r="H1640" s="15">
        <v>1</v>
      </c>
      <c r="I1640" s="15" t="str">
        <f t="shared" ca="1" si="367"/>
        <v>RadioCard_ILS_Exp2</v>
      </c>
      <c r="J1640" s="15" t="str">
        <f t="shared" ca="1" si="374"/>
        <v>RadioCard_ILS_Exp2!A123</v>
      </c>
      <c r="K1640" s="15" t="str">
        <f t="shared" ca="1" si="375"/>
        <v>RadioCard_ILS_Exp2!B123</v>
      </c>
    </row>
    <row r="1641" spans="1:16" x14ac:dyDescent="0.25">
      <c r="A1641" s="3" t="str">
        <f t="shared" ca="1" si="357"/>
        <v/>
      </c>
      <c r="G1641" s="15">
        <f t="shared" ca="1" si="366"/>
        <v>124</v>
      </c>
      <c r="H1641" s="15">
        <v>1</v>
      </c>
      <c r="I1641" s="15" t="str">
        <f t="shared" ca="1" si="367"/>
        <v>RadioCard_ILS_Exp2</v>
      </c>
      <c r="J1641" s="15" t="str">
        <f t="shared" ca="1" si="374"/>
        <v>RadioCard_ILS_Exp2!A124</v>
      </c>
      <c r="K1641" s="15" t="str">
        <f t="shared" ca="1" si="375"/>
        <v>RadioCard_ILS_Exp2!B124</v>
      </c>
    </row>
    <row r="1642" spans="1:16" x14ac:dyDescent="0.25">
      <c r="A1642" s="3" t="str">
        <f t="shared" ca="1" si="357"/>
        <v/>
      </c>
      <c r="G1642" s="15">
        <f t="shared" ca="1" si="366"/>
        <v>125</v>
      </c>
      <c r="H1642" s="15">
        <v>1</v>
      </c>
      <c r="I1642" s="15" t="str">
        <f t="shared" ca="1" si="367"/>
        <v>RadioCard_ILS_Exp2</v>
      </c>
      <c r="J1642" s="15" t="str">
        <f t="shared" ca="1" si="374"/>
        <v>RadioCard_ILS_Exp2!A125</v>
      </c>
      <c r="K1642" s="15" t="str">
        <f t="shared" ca="1" si="375"/>
        <v>RadioCard_ILS_Exp2!B125</v>
      </c>
    </row>
    <row r="1643" spans="1:16" x14ac:dyDescent="0.25">
      <c r="A1643" s="3" t="str">
        <f t="shared" ca="1" si="357"/>
        <v/>
      </c>
      <c r="G1643" s="15">
        <f t="shared" ca="1" si="366"/>
        <v>126</v>
      </c>
      <c r="H1643" s="15">
        <v>1</v>
      </c>
      <c r="I1643" s="15" t="str">
        <f t="shared" ca="1" si="367"/>
        <v>RadioCard_ILS_Exp2</v>
      </c>
      <c r="J1643" s="15" t="str">
        <f t="shared" ca="1" si="374"/>
        <v>RadioCard_ILS_Exp2!A126</v>
      </c>
      <c r="K1643" s="15" t="str">
        <f t="shared" ca="1" si="375"/>
        <v>RadioCard_ILS_Exp2!B126</v>
      </c>
    </row>
    <row r="1644" spans="1:16" x14ac:dyDescent="0.25">
      <c r="A1644" s="3" t="str">
        <f t="shared" ref="A1644:A1707" ca="1" si="376">IFERROR(IF(INDIRECT(J1644)&lt;&gt;"",CONCATENATE(INDIRECT(J1644)," = ",INDIRECT(K1644)," "),""),"")</f>
        <v/>
      </c>
      <c r="G1644" s="15">
        <f t="shared" ca="1" si="366"/>
        <v>127</v>
      </c>
      <c r="H1644" s="15">
        <v>1</v>
      </c>
      <c r="I1644" s="15" t="str">
        <f t="shared" ca="1" si="367"/>
        <v>RadioCard_ILS_Exp2</v>
      </c>
      <c r="J1644" s="15" t="str">
        <f t="shared" ca="1" si="374"/>
        <v>RadioCard_ILS_Exp2!A127</v>
      </c>
      <c r="K1644" s="15" t="str">
        <f t="shared" ca="1" si="375"/>
        <v>RadioCard_ILS_Exp2!B127</v>
      </c>
    </row>
    <row r="1645" spans="1:16" x14ac:dyDescent="0.25">
      <c r="A1645" s="3" t="str">
        <f t="shared" ca="1" si="376"/>
        <v/>
      </c>
      <c r="G1645" s="15">
        <f t="shared" ca="1" si="366"/>
        <v>128</v>
      </c>
      <c r="H1645" s="15">
        <v>1</v>
      </c>
      <c r="I1645" s="15" t="str">
        <f t="shared" ca="1" si="367"/>
        <v>RadioCard_ILS_Exp2</v>
      </c>
      <c r="J1645" s="15" t="str">
        <f t="shared" ca="1" si="374"/>
        <v>RadioCard_ILS_Exp2!A128</v>
      </c>
      <c r="K1645" s="15" t="str">
        <f t="shared" ca="1" si="375"/>
        <v>RadioCard_ILS_Exp2!B128</v>
      </c>
    </row>
    <row r="1646" spans="1:16" x14ac:dyDescent="0.25">
      <c r="A1646" s="3" t="str">
        <f t="shared" ca="1" si="376"/>
        <v/>
      </c>
      <c r="G1646" s="15">
        <f t="shared" ca="1" si="366"/>
        <v>129</v>
      </c>
      <c r="H1646" s="15">
        <v>1</v>
      </c>
      <c r="I1646" s="15" t="str">
        <f t="shared" ca="1" si="367"/>
        <v>RadioCard_ILS_Exp2</v>
      </c>
      <c r="J1646" s="15" t="str">
        <f t="shared" ca="1" si="374"/>
        <v>RadioCard_ILS_Exp2!A129</v>
      </c>
      <c r="K1646" s="15" t="str">
        <f t="shared" ca="1" si="375"/>
        <v>RadioCard_ILS_Exp2!B129</v>
      </c>
    </row>
    <row r="1647" spans="1:16" x14ac:dyDescent="0.25">
      <c r="A1647" s="3" t="str">
        <f t="shared" ca="1" si="376"/>
        <v/>
      </c>
      <c r="G1647" s="15">
        <f t="shared" ca="1" si="366"/>
        <v>130</v>
      </c>
      <c r="H1647" s="15">
        <v>1</v>
      </c>
      <c r="I1647" s="15" t="str">
        <f t="shared" ca="1" si="367"/>
        <v>RadioCard_ILS_Exp2</v>
      </c>
      <c r="J1647" s="15" t="str">
        <f t="shared" ca="1" si="374"/>
        <v>RadioCard_ILS_Exp2!A130</v>
      </c>
      <c r="K1647" s="15" t="str">
        <f t="shared" ca="1" si="375"/>
        <v>RadioCard_ILS_Exp2!B130</v>
      </c>
    </row>
    <row r="1648" spans="1:16" x14ac:dyDescent="0.25">
      <c r="A1648" s="3" t="str">
        <f t="shared" ca="1" si="376"/>
        <v xml:space="preserve">#LMK04610_ILS =  configuration </v>
      </c>
      <c r="G1648" s="15">
        <f t="shared" ref="G1648" ca="1" si="377">INDIRECT(M1648)</f>
        <v>51</v>
      </c>
      <c r="H1648" s="15">
        <v>1</v>
      </c>
      <c r="I1648" s="15" t="str">
        <f t="shared" ref="I1648" ca="1" si="378">INDIRECT(N1648)</f>
        <v>RadioCard_ILS_Devices</v>
      </c>
      <c r="J1648" s="15" t="str">
        <f t="shared" ca="1" si="374"/>
        <v>RadioCard_ILS_Devices!A51</v>
      </c>
      <c r="K1648" s="15" t="str">
        <f t="shared" ca="1" si="375"/>
        <v>RadioCard_ILS_Devices!B51</v>
      </c>
      <c r="M1648" s="15" t="str">
        <f t="shared" ref="M1648" si="379">ADDRESS(O1648,3,4,1,$R$1)</f>
        <v>konfig!C84</v>
      </c>
      <c r="N1648" s="15" t="str">
        <f t="shared" ref="N1648" si="380">ADDRESS(O1648,1,4,1,$R$1)</f>
        <v>konfig!A84</v>
      </c>
      <c r="O1648" s="15">
        <v>84</v>
      </c>
      <c r="P1648" s="15">
        <v>4</v>
      </c>
    </row>
    <row r="1649" spans="1:11" x14ac:dyDescent="0.25">
      <c r="A1649" s="3" t="str">
        <f t="shared" ca="1" si="376"/>
        <v xml:space="preserve">device = LMK04610 </v>
      </c>
      <c r="G1649" s="15">
        <f t="shared" ca="1" si="366"/>
        <v>52</v>
      </c>
      <c r="H1649" s="15">
        <v>1</v>
      </c>
      <c r="I1649" s="15" t="str">
        <f t="shared" ca="1" si="367"/>
        <v>RadioCard_ILS_Devices</v>
      </c>
      <c r="J1649" s="15" t="str">
        <f t="shared" ca="1" si="374"/>
        <v>RadioCard_ILS_Devices!A52</v>
      </c>
      <c r="K1649" s="15" t="str">
        <f t="shared" ca="1" si="375"/>
        <v>RadioCard_ILS_Devices!B52</v>
      </c>
    </row>
    <row r="1650" spans="1:11" x14ac:dyDescent="0.25">
      <c r="A1650" s="3" t="str">
        <f t="shared" ca="1" si="376"/>
        <v xml:space="preserve">spi_num = /dev/spidev0.0 </v>
      </c>
      <c r="G1650" s="15">
        <f t="shared" ca="1" si="366"/>
        <v>53</v>
      </c>
      <c r="H1650" s="15">
        <v>1</v>
      </c>
      <c r="I1650" s="15" t="str">
        <f t="shared" ca="1" si="367"/>
        <v>RadioCard_ILS_Devices</v>
      </c>
      <c r="J1650" s="15" t="str">
        <f t="shared" ca="1" si="374"/>
        <v>RadioCard_ILS_Devices!A53</v>
      </c>
      <c r="K1650" s="15" t="str">
        <f t="shared" ca="1" si="375"/>
        <v>RadioCard_ILS_Devices!B53</v>
      </c>
    </row>
    <row r="1651" spans="1:11" x14ac:dyDescent="0.25">
      <c r="A1651" s="3" t="str">
        <f t="shared" ca="1" si="376"/>
        <v xml:space="preserve">path_cfg = ./device_config_files/radio_config_files/radiocard_ILS/LMK04610.txt </v>
      </c>
      <c r="C1651" s="16"/>
      <c r="G1651" s="15">
        <f t="shared" ca="1" si="366"/>
        <v>54</v>
      </c>
      <c r="H1651" s="15">
        <v>1</v>
      </c>
      <c r="I1651" s="15" t="str">
        <f t="shared" ca="1" si="367"/>
        <v>RadioCard_ILS_Devices</v>
      </c>
      <c r="J1651" s="15" t="str">
        <f t="shared" ca="1" si="374"/>
        <v>RadioCard_ILS_Devices!A54</v>
      </c>
      <c r="K1651" s="15" t="str">
        <f t="shared" ca="1" si="375"/>
        <v>RadioCard_ILS_Devices!B54</v>
      </c>
    </row>
    <row r="1652" spans="1:11" x14ac:dyDescent="0.25">
      <c r="A1652" s="3" t="str">
        <f t="shared" ca="1" si="376"/>
        <v/>
      </c>
      <c r="G1652" s="15">
        <f t="shared" ca="1" si="366"/>
        <v>55</v>
      </c>
      <c r="H1652" s="15">
        <v>1</v>
      </c>
      <c r="I1652" s="15" t="str">
        <f t="shared" ca="1" si="367"/>
        <v>RadioCard_ILS_Devices</v>
      </c>
      <c r="J1652" s="15" t="str">
        <f t="shared" ca="1" si="374"/>
        <v>RadioCard_ILS_Devices!A55</v>
      </c>
      <c r="K1652" s="15" t="str">
        <f t="shared" ca="1" si="375"/>
        <v>RadioCard_ILS_Devices!B55</v>
      </c>
    </row>
    <row r="1653" spans="1:11" x14ac:dyDescent="0.25">
      <c r="A1653" s="3" t="str">
        <f t="shared" ca="1" si="376"/>
        <v xml:space="preserve">time = 10 </v>
      </c>
      <c r="G1653" s="15">
        <f t="shared" ca="1" si="366"/>
        <v>56</v>
      </c>
      <c r="H1653" s="15">
        <v>1</v>
      </c>
      <c r="I1653" s="15" t="str">
        <f t="shared" ca="1" si="367"/>
        <v>RadioCard_ILS_Devices</v>
      </c>
      <c r="J1653" s="15" t="str">
        <f t="shared" ca="1" si="374"/>
        <v>RadioCard_ILS_Devices!A56</v>
      </c>
      <c r="K1653" s="15" t="str">
        <f t="shared" ca="1" si="375"/>
        <v>RadioCard_ILS_Devices!B56</v>
      </c>
    </row>
    <row r="1654" spans="1:11" x14ac:dyDescent="0.25">
      <c r="A1654" s="3" t="str">
        <f t="shared" ca="1" si="376"/>
        <v/>
      </c>
      <c r="G1654" s="15">
        <f t="shared" ca="1" si="366"/>
        <v>57</v>
      </c>
      <c r="H1654" s="15">
        <v>1</v>
      </c>
      <c r="I1654" s="15" t="str">
        <f t="shared" ca="1" si="367"/>
        <v>RadioCard_ILS_Devices</v>
      </c>
      <c r="J1654" s="15" t="str">
        <f t="shared" ca="1" si="374"/>
        <v>RadioCard_ILS_Devices!A57</v>
      </c>
      <c r="K1654" s="15" t="str">
        <f t="shared" ca="1" si="375"/>
        <v>RadioCard_ILS_Devices!B57</v>
      </c>
    </row>
    <row r="1655" spans="1:11" x14ac:dyDescent="0.25">
      <c r="A1655" s="3" t="str">
        <f t="shared" ca="1" si="376"/>
        <v/>
      </c>
      <c r="G1655" s="15">
        <f t="shared" ca="1" si="366"/>
        <v>58</v>
      </c>
      <c r="H1655" s="15">
        <v>1</v>
      </c>
      <c r="I1655" s="15" t="str">
        <f t="shared" ca="1" si="367"/>
        <v>RadioCard_ILS_Devices</v>
      </c>
      <c r="J1655" s="15" t="str">
        <f t="shared" ca="1" si="374"/>
        <v>RadioCard_ILS_Devices!A58</v>
      </c>
      <c r="K1655" s="15" t="str">
        <f t="shared" ca="1" si="375"/>
        <v>RadioCard_ILS_Devices!B58</v>
      </c>
    </row>
    <row r="1656" spans="1:11" x14ac:dyDescent="0.25">
      <c r="A1656" s="3" t="str">
        <f t="shared" ca="1" si="376"/>
        <v/>
      </c>
      <c r="G1656" s="15">
        <f t="shared" ca="1" si="366"/>
        <v>59</v>
      </c>
      <c r="H1656" s="15">
        <v>1</v>
      </c>
      <c r="I1656" s="15" t="str">
        <f t="shared" ca="1" si="367"/>
        <v>RadioCard_ILS_Devices</v>
      </c>
      <c r="J1656" s="15" t="str">
        <f t="shared" ca="1" si="374"/>
        <v>RadioCard_ILS_Devices!A59</v>
      </c>
      <c r="K1656" s="15" t="str">
        <f t="shared" ca="1" si="375"/>
        <v>RadioCard_ILS_Devices!B59</v>
      </c>
    </row>
    <row r="1657" spans="1:11" x14ac:dyDescent="0.25">
      <c r="A1657" s="3" t="str">
        <f t="shared" ca="1" si="376"/>
        <v/>
      </c>
      <c r="G1657" s="15">
        <f t="shared" ca="1" si="366"/>
        <v>60</v>
      </c>
      <c r="H1657" s="15">
        <v>1</v>
      </c>
      <c r="I1657" s="15" t="str">
        <f t="shared" ca="1" si="367"/>
        <v>RadioCard_ILS_Devices</v>
      </c>
      <c r="J1657" s="15" t="str">
        <f t="shared" ca="1" si="374"/>
        <v>RadioCard_ILS_Devices!A60</v>
      </c>
      <c r="K1657" s="15" t="str">
        <f t="shared" ca="1" si="375"/>
        <v>RadioCard_ILS_Devices!B60</v>
      </c>
    </row>
    <row r="1658" spans="1:11" x14ac:dyDescent="0.25">
      <c r="A1658" s="3" t="str">
        <f t="shared" ca="1" si="376"/>
        <v/>
      </c>
      <c r="G1658" s="15">
        <f t="shared" ca="1" si="366"/>
        <v>61</v>
      </c>
      <c r="H1658" s="15">
        <v>1</v>
      </c>
      <c r="I1658" s="15" t="str">
        <f t="shared" ca="1" si="367"/>
        <v>RadioCard_ILS_Devices</v>
      </c>
      <c r="J1658" s="15" t="str">
        <f t="shared" ca="1" si="374"/>
        <v>RadioCard_ILS_Devices!A61</v>
      </c>
      <c r="K1658" s="15" t="str">
        <f t="shared" ca="1" si="375"/>
        <v>RadioCard_ILS_Devices!B61</v>
      </c>
    </row>
    <row r="1659" spans="1:11" x14ac:dyDescent="0.25">
      <c r="A1659" s="3" t="str">
        <f t="shared" ca="1" si="376"/>
        <v/>
      </c>
      <c r="C1659" s="16"/>
      <c r="G1659" s="15">
        <f t="shared" ca="1" si="366"/>
        <v>62</v>
      </c>
      <c r="H1659" s="15">
        <v>1</v>
      </c>
      <c r="I1659" s="15" t="str">
        <f t="shared" ca="1" si="367"/>
        <v>RadioCard_ILS_Devices</v>
      </c>
      <c r="J1659" s="15" t="str">
        <f t="shared" ca="1" si="374"/>
        <v>RadioCard_ILS_Devices!A62</v>
      </c>
      <c r="K1659" s="15" t="str">
        <f t="shared" ca="1" si="375"/>
        <v>RadioCard_ILS_Devices!B62</v>
      </c>
    </row>
    <row r="1660" spans="1:11" x14ac:dyDescent="0.25">
      <c r="A1660" s="3" t="str">
        <f t="shared" ca="1" si="376"/>
        <v/>
      </c>
      <c r="G1660" s="15">
        <f t="shared" ca="1" si="366"/>
        <v>63</v>
      </c>
      <c r="H1660" s="15">
        <v>1</v>
      </c>
      <c r="I1660" s="15" t="str">
        <f t="shared" ca="1" si="367"/>
        <v>RadioCard_ILS_Devices</v>
      </c>
      <c r="J1660" s="15" t="str">
        <f t="shared" ca="1" si="374"/>
        <v>RadioCard_ILS_Devices!A63</v>
      </c>
      <c r="K1660" s="15" t="str">
        <f t="shared" ca="1" si="375"/>
        <v>RadioCard_ILS_Devices!B63</v>
      </c>
    </row>
    <row r="1661" spans="1:11" x14ac:dyDescent="0.25">
      <c r="A1661" s="3" t="str">
        <f t="shared" ca="1" si="376"/>
        <v/>
      </c>
      <c r="G1661" s="15">
        <f t="shared" ca="1" si="366"/>
        <v>64</v>
      </c>
      <c r="H1661" s="15">
        <v>1</v>
      </c>
      <c r="I1661" s="15" t="str">
        <f t="shared" ca="1" si="367"/>
        <v>RadioCard_ILS_Devices</v>
      </c>
      <c r="J1661" s="15" t="str">
        <f t="shared" ca="1" si="374"/>
        <v>RadioCard_ILS_Devices!A64</v>
      </c>
      <c r="K1661" s="15" t="str">
        <f t="shared" ca="1" si="375"/>
        <v>RadioCard_ILS_Devices!B64</v>
      </c>
    </row>
    <row r="1662" spans="1:11" x14ac:dyDescent="0.25">
      <c r="A1662" s="3" t="str">
        <f t="shared" ca="1" si="376"/>
        <v/>
      </c>
      <c r="G1662" s="15">
        <f t="shared" ca="1" si="366"/>
        <v>65</v>
      </c>
      <c r="H1662" s="15">
        <v>1</v>
      </c>
      <c r="I1662" s="15" t="str">
        <f t="shared" ca="1" si="367"/>
        <v>RadioCard_ILS_Devices</v>
      </c>
      <c r="J1662" s="15" t="str">
        <f t="shared" ca="1" si="374"/>
        <v>RadioCard_ILS_Devices!A65</v>
      </c>
      <c r="K1662" s="15" t="str">
        <f t="shared" ca="1" si="375"/>
        <v>RadioCard_ILS_Devices!B65</v>
      </c>
    </row>
    <row r="1663" spans="1:11" x14ac:dyDescent="0.25">
      <c r="A1663" s="3" t="str">
        <f t="shared" ca="1" si="376"/>
        <v/>
      </c>
      <c r="G1663" s="15">
        <f t="shared" ca="1" si="366"/>
        <v>66</v>
      </c>
      <c r="H1663" s="15">
        <v>1</v>
      </c>
      <c r="I1663" s="15" t="str">
        <f t="shared" ca="1" si="367"/>
        <v>RadioCard_ILS_Devices</v>
      </c>
      <c r="J1663" s="15" t="str">
        <f t="shared" ca="1" si="374"/>
        <v>RadioCard_ILS_Devices!A66</v>
      </c>
      <c r="K1663" s="15" t="str">
        <f t="shared" ca="1" si="375"/>
        <v>RadioCard_ILS_Devices!B66</v>
      </c>
    </row>
    <row r="1664" spans="1:11" x14ac:dyDescent="0.25">
      <c r="A1664" s="3" t="str">
        <f t="shared" ca="1" si="376"/>
        <v/>
      </c>
      <c r="G1664" s="15">
        <f t="shared" ca="1" si="366"/>
        <v>67</v>
      </c>
      <c r="H1664" s="15">
        <v>1</v>
      </c>
      <c r="I1664" s="15" t="str">
        <f t="shared" ca="1" si="367"/>
        <v>RadioCard_ILS_Devices</v>
      </c>
      <c r="J1664" s="15" t="str">
        <f t="shared" ca="1" si="374"/>
        <v>RadioCard_ILS_Devices!A67</v>
      </c>
      <c r="K1664" s="15" t="str">
        <f t="shared" ca="1" si="375"/>
        <v>RadioCard_ILS_Devices!B67</v>
      </c>
    </row>
    <row r="1665" spans="1:16" x14ac:dyDescent="0.25">
      <c r="A1665" s="3" t="str">
        <f t="shared" ca="1" si="376"/>
        <v/>
      </c>
      <c r="G1665" s="15">
        <f t="shared" ca="1" si="366"/>
        <v>68</v>
      </c>
      <c r="H1665" s="15">
        <v>1</v>
      </c>
      <c r="I1665" s="15" t="str">
        <f t="shared" ca="1" si="367"/>
        <v>RadioCard_ILS_Devices</v>
      </c>
      <c r="J1665" s="15" t="str">
        <f t="shared" ca="1" si="374"/>
        <v>RadioCard_ILS_Devices!A68</v>
      </c>
      <c r="K1665" s="15" t="str">
        <f t="shared" ca="1" si="375"/>
        <v>RadioCard_ILS_Devices!B68</v>
      </c>
    </row>
    <row r="1666" spans="1:16" x14ac:dyDescent="0.25">
      <c r="A1666" s="3" t="str">
        <f t="shared" ca="1" si="376"/>
        <v/>
      </c>
      <c r="G1666" s="15">
        <f t="shared" ca="1" si="366"/>
        <v>69</v>
      </c>
      <c r="H1666" s="15">
        <v>1</v>
      </c>
      <c r="I1666" s="15" t="str">
        <f t="shared" ca="1" si="367"/>
        <v>RadioCard_ILS_Devices</v>
      </c>
      <c r="J1666" s="15" t="str">
        <f t="shared" ca="1" si="374"/>
        <v>RadioCard_ILS_Devices!A69</v>
      </c>
      <c r="K1666" s="15" t="str">
        <f t="shared" ca="1" si="375"/>
        <v>RadioCard_ILS_Devices!B69</v>
      </c>
    </row>
    <row r="1667" spans="1:16" x14ac:dyDescent="0.25">
      <c r="A1667" s="3" t="str">
        <f t="shared" ca="1" si="376"/>
        <v/>
      </c>
      <c r="G1667" s="15">
        <f t="shared" ca="1" si="366"/>
        <v>70</v>
      </c>
      <c r="H1667" s="15">
        <v>1</v>
      </c>
      <c r="I1667" s="15" t="str">
        <f t="shared" ca="1" si="367"/>
        <v>RadioCard_ILS_Devices</v>
      </c>
      <c r="J1667" s="15" t="str">
        <f t="shared" ca="1" si="374"/>
        <v>RadioCard_ILS_Devices!A70</v>
      </c>
      <c r="K1667" s="15" t="str">
        <f t="shared" ca="1" si="375"/>
        <v>RadioCard_ILS_Devices!B70</v>
      </c>
    </row>
    <row r="1668" spans="1:16" x14ac:dyDescent="0.25">
      <c r="A1668" s="3" t="str">
        <f t="shared" ca="1" si="376"/>
        <v xml:space="preserve">#RadioCard_ILS_Exp1:etap 5 LTC =  </v>
      </c>
      <c r="G1668" s="15">
        <f t="shared" ref="G1668" ca="1" si="381">INDIRECT(M1668)</f>
        <v>131</v>
      </c>
      <c r="H1668" s="15">
        <v>1</v>
      </c>
      <c r="I1668" s="15" t="str">
        <f t="shared" ref="I1668" ca="1" si="382">INDIRECT(N1668)</f>
        <v>RadioCard_ILS_Exp2</v>
      </c>
      <c r="J1668" s="15" t="str">
        <f t="shared" ca="1" si="374"/>
        <v>RadioCard_ILS_Exp2!A131</v>
      </c>
      <c r="K1668" s="15" t="str">
        <f t="shared" ca="1" si="375"/>
        <v>RadioCard_ILS_Exp2!B131</v>
      </c>
      <c r="M1668" s="15" t="str">
        <f t="shared" ref="M1668" si="383">ADDRESS(O1668,3,4,1,$R$1)</f>
        <v>konfig!C85</v>
      </c>
      <c r="N1668" s="15" t="str">
        <f t="shared" ref="N1668" si="384">ADDRESS(O1668,1,4,1,$R$1)</f>
        <v>konfig!A85</v>
      </c>
      <c r="O1668" s="15">
        <v>85</v>
      </c>
      <c r="P1668" s="15">
        <v>4</v>
      </c>
    </row>
    <row r="1669" spans="1:16" x14ac:dyDescent="0.25">
      <c r="A1669" s="3" t="str">
        <f t="shared" ca="1" si="376"/>
        <v xml:space="preserve">device = MCP23017 </v>
      </c>
      <c r="G1669" s="15">
        <f t="shared" ca="1" si="372"/>
        <v>132</v>
      </c>
      <c r="H1669" s="15">
        <v>1</v>
      </c>
      <c r="I1669" s="15" t="str">
        <f t="shared" ca="1" si="373"/>
        <v>RadioCard_ILS_Exp2</v>
      </c>
      <c r="J1669" s="15" t="str">
        <f t="shared" ca="1" si="374"/>
        <v>RadioCard_ILS_Exp2!A132</v>
      </c>
      <c r="K1669" s="15" t="str">
        <f t="shared" ca="1" si="375"/>
        <v>RadioCard_ILS_Exp2!B132</v>
      </c>
    </row>
    <row r="1670" spans="1:16" x14ac:dyDescent="0.25">
      <c r="A1670" s="3" t="str">
        <f t="shared" ca="1" si="376"/>
        <v xml:space="preserve">i2c_addr = 0x27 </v>
      </c>
      <c r="G1670" s="15">
        <f t="shared" ca="1" si="366"/>
        <v>133</v>
      </c>
      <c r="H1670" s="15">
        <v>1</v>
      </c>
      <c r="I1670" s="15" t="str">
        <f t="shared" ca="1" si="367"/>
        <v>RadioCard_ILS_Exp2</v>
      </c>
      <c r="J1670" s="15" t="str">
        <f t="shared" ca="1" si="374"/>
        <v>RadioCard_ILS_Exp2!A133</v>
      </c>
      <c r="K1670" s="15" t="str">
        <f t="shared" ca="1" si="375"/>
        <v>RadioCard_ILS_Exp2!B133</v>
      </c>
    </row>
    <row r="1671" spans="1:16" x14ac:dyDescent="0.25">
      <c r="A1671" s="3" t="str">
        <f t="shared" ca="1" si="376"/>
        <v xml:space="preserve">i2c_num = /dev/i2c-1 </v>
      </c>
      <c r="C1671" s="16"/>
      <c r="G1671" s="15">
        <f t="shared" ca="1" si="366"/>
        <v>134</v>
      </c>
      <c r="H1671" s="15">
        <v>1</v>
      </c>
      <c r="I1671" s="15" t="str">
        <f t="shared" ca="1" si="367"/>
        <v>RadioCard_ILS_Exp2</v>
      </c>
      <c r="J1671" s="15" t="str">
        <f t="shared" ca="1" si="374"/>
        <v>RadioCard_ILS_Exp2!A134</v>
      </c>
      <c r="K1671" s="15" t="str">
        <f t="shared" ca="1" si="375"/>
        <v>RadioCard_ILS_Exp2!B134</v>
      </c>
    </row>
    <row r="1672" spans="1:16" x14ac:dyDescent="0.25">
      <c r="A1672" s="3" t="str">
        <f t="shared" ca="1" si="376"/>
        <v xml:space="preserve">pins_mode = 0xCE8C </v>
      </c>
      <c r="G1672" s="15">
        <f t="shared" ca="1" si="366"/>
        <v>135</v>
      </c>
      <c r="H1672" s="15">
        <v>1</v>
      </c>
      <c r="I1672" s="15" t="str">
        <f t="shared" ca="1" si="367"/>
        <v>RadioCard_ILS_Exp2</v>
      </c>
      <c r="J1672" s="15" t="str">
        <f t="shared" ca="1" si="374"/>
        <v>RadioCard_ILS_Exp2!A135</v>
      </c>
      <c r="K1672" s="15" t="str">
        <f t="shared" ca="1" si="375"/>
        <v>RadioCard_ILS_Exp2!B135</v>
      </c>
    </row>
    <row r="1673" spans="1:16" x14ac:dyDescent="0.25">
      <c r="A1673" s="3" t="str">
        <f t="shared" ca="1" si="376"/>
        <v xml:space="preserve">pins_state = 0x3123 </v>
      </c>
      <c r="G1673" s="15">
        <f t="shared" ref="G1673:G1736" ca="1" si="385">G1672+1</f>
        <v>136</v>
      </c>
      <c r="H1673" s="15">
        <v>1</v>
      </c>
      <c r="I1673" s="15" t="str">
        <f t="shared" ref="I1673:I1736" ca="1" si="386">I1672</f>
        <v>RadioCard_ILS_Exp2</v>
      </c>
      <c r="J1673" s="15" t="str">
        <f t="shared" ca="1" si="374"/>
        <v>RadioCard_ILS_Exp2!A136</v>
      </c>
      <c r="K1673" s="15" t="str">
        <f t="shared" ca="1" si="375"/>
        <v>RadioCard_ILS_Exp2!B136</v>
      </c>
    </row>
    <row r="1674" spans="1:16" x14ac:dyDescent="0.25">
      <c r="A1674" s="3" t="str">
        <f t="shared" ca="1" si="376"/>
        <v xml:space="preserve">pins_pull_up = 0x4808 </v>
      </c>
      <c r="G1674" s="15">
        <f t="shared" ca="1" si="385"/>
        <v>137</v>
      </c>
      <c r="H1674" s="15">
        <v>1</v>
      </c>
      <c r="I1674" s="15" t="str">
        <f t="shared" ca="1" si="386"/>
        <v>RadioCard_ILS_Exp2</v>
      </c>
      <c r="J1674" s="15" t="str">
        <f t="shared" ca="1" si="374"/>
        <v>RadioCard_ILS_Exp2!A137</v>
      </c>
      <c r="K1674" s="15" t="str">
        <f t="shared" ca="1" si="375"/>
        <v>RadioCard_ILS_Exp2!B137</v>
      </c>
    </row>
    <row r="1675" spans="1:16" x14ac:dyDescent="0.25">
      <c r="A1675" s="3" t="str">
        <f t="shared" ca="1" si="376"/>
        <v xml:space="preserve">#pins_int = 0x0000 </v>
      </c>
      <c r="G1675" s="15">
        <f t="shared" ca="1" si="385"/>
        <v>138</v>
      </c>
      <c r="H1675" s="15">
        <v>1</v>
      </c>
      <c r="I1675" s="15" t="str">
        <f t="shared" ca="1" si="386"/>
        <v>RadioCard_ILS_Exp2</v>
      </c>
      <c r="J1675" s="15" t="str">
        <f t="shared" ca="1" si="374"/>
        <v>RadioCard_ILS_Exp2!A138</v>
      </c>
      <c r="K1675" s="15" t="str">
        <f t="shared" ca="1" si="375"/>
        <v>RadioCard_ILS_Exp2!B138</v>
      </c>
    </row>
    <row r="1676" spans="1:16" x14ac:dyDescent="0.25">
      <c r="A1676" s="3" t="str">
        <f t="shared" ca="1" si="376"/>
        <v xml:space="preserve">#pins_def_val = 0x0000 </v>
      </c>
      <c r="G1676" s="15">
        <f t="shared" ca="1" si="385"/>
        <v>139</v>
      </c>
      <c r="H1676" s="15">
        <v>1</v>
      </c>
      <c r="I1676" s="15" t="str">
        <f t="shared" ca="1" si="386"/>
        <v>RadioCard_ILS_Exp2</v>
      </c>
      <c r="J1676" s="15" t="str">
        <f t="shared" ca="1" si="374"/>
        <v>RadioCard_ILS_Exp2!A139</v>
      </c>
      <c r="K1676" s="15" t="str">
        <f t="shared" ca="1" si="375"/>
        <v>RadioCard_ILS_Exp2!B139</v>
      </c>
    </row>
    <row r="1677" spans="1:16" x14ac:dyDescent="0.25">
      <c r="A1677" s="3" t="str">
        <f t="shared" ca="1" si="376"/>
        <v/>
      </c>
      <c r="G1677" s="15">
        <f t="shared" ca="1" si="385"/>
        <v>140</v>
      </c>
      <c r="H1677" s="15">
        <v>1</v>
      </c>
      <c r="I1677" s="15" t="str">
        <f t="shared" ca="1" si="386"/>
        <v>RadioCard_ILS_Exp2</v>
      </c>
      <c r="J1677" s="15" t="str">
        <f t="shared" ca="1" si="374"/>
        <v>RadioCard_ILS_Exp2!A140</v>
      </c>
      <c r="K1677" s="15" t="str">
        <f t="shared" ca="1" si="375"/>
        <v>RadioCard_ILS_Exp2!B140</v>
      </c>
    </row>
    <row r="1678" spans="1:16" x14ac:dyDescent="0.25">
      <c r="A1678" s="3" t="str">
        <f t="shared" ca="1" si="376"/>
        <v xml:space="preserve">#pins_int = 10 </v>
      </c>
      <c r="G1678" s="15">
        <f t="shared" ca="1" si="385"/>
        <v>141</v>
      </c>
      <c r="H1678" s="15">
        <v>1</v>
      </c>
      <c r="I1678" s="15" t="str">
        <f t="shared" ca="1" si="386"/>
        <v>RadioCard_ILS_Exp2</v>
      </c>
      <c r="J1678" s="15" t="str">
        <f t="shared" ca="1" si="374"/>
        <v>RadioCard_ILS_Exp2!A141</v>
      </c>
      <c r="K1678" s="15" t="str">
        <f t="shared" ca="1" si="375"/>
        <v>RadioCard_ILS_Exp2!B141</v>
      </c>
    </row>
    <row r="1679" spans="1:16" x14ac:dyDescent="0.25">
      <c r="A1679" s="3" t="str">
        <f t="shared" ca="1" si="376"/>
        <v/>
      </c>
      <c r="C1679" s="16"/>
      <c r="G1679" s="15">
        <f t="shared" ca="1" si="385"/>
        <v>142</v>
      </c>
      <c r="H1679" s="15">
        <v>1</v>
      </c>
      <c r="I1679" s="15" t="str">
        <f t="shared" ca="1" si="386"/>
        <v>RadioCard_ILS_Exp2</v>
      </c>
      <c r="J1679" s="15" t="str">
        <f t="shared" ca="1" si="374"/>
        <v>RadioCard_ILS_Exp2!A142</v>
      </c>
      <c r="K1679" s="15" t="str">
        <f t="shared" ca="1" si="375"/>
        <v>RadioCard_ILS_Exp2!B142</v>
      </c>
    </row>
    <row r="1680" spans="1:16" x14ac:dyDescent="0.25">
      <c r="A1680" s="3" t="str">
        <f t="shared" ca="1" si="376"/>
        <v/>
      </c>
      <c r="G1680" s="15">
        <f t="shared" ca="1" si="385"/>
        <v>143</v>
      </c>
      <c r="H1680" s="15">
        <v>1</v>
      </c>
      <c r="I1680" s="15" t="str">
        <f t="shared" ca="1" si="386"/>
        <v>RadioCard_ILS_Exp2</v>
      </c>
      <c r="J1680" s="15" t="str">
        <f t="shared" ca="1" si="374"/>
        <v>RadioCard_ILS_Exp2!A143</v>
      </c>
      <c r="K1680" s="15" t="str">
        <f t="shared" ca="1" si="375"/>
        <v>RadioCard_ILS_Exp2!B143</v>
      </c>
    </row>
    <row r="1681" spans="1:16" x14ac:dyDescent="0.25">
      <c r="A1681" s="3" t="str">
        <f t="shared" ca="1" si="376"/>
        <v/>
      </c>
      <c r="G1681" s="15">
        <f t="shared" ca="1" si="385"/>
        <v>144</v>
      </c>
      <c r="H1681" s="15">
        <v>1</v>
      </c>
      <c r="I1681" s="15" t="str">
        <f t="shared" ca="1" si="386"/>
        <v>RadioCard_ILS_Exp2</v>
      </c>
      <c r="J1681" s="15" t="str">
        <f t="shared" ca="1" si="374"/>
        <v>RadioCard_ILS_Exp2!A144</v>
      </c>
      <c r="K1681" s="15" t="str">
        <f t="shared" ca="1" si="375"/>
        <v>RadioCard_ILS_Exp2!B144</v>
      </c>
    </row>
    <row r="1682" spans="1:16" x14ac:dyDescent="0.25">
      <c r="A1682" s="3" t="str">
        <f t="shared" ca="1" si="376"/>
        <v/>
      </c>
      <c r="G1682" s="15">
        <f t="shared" ca="1" si="385"/>
        <v>145</v>
      </c>
      <c r="H1682" s="15">
        <v>1</v>
      </c>
      <c r="I1682" s="15" t="str">
        <f t="shared" ca="1" si="386"/>
        <v>RadioCard_ILS_Exp2</v>
      </c>
      <c r="J1682" s="15" t="str">
        <f t="shared" ca="1" si="374"/>
        <v>RadioCard_ILS_Exp2!A145</v>
      </c>
      <c r="K1682" s="15" t="str">
        <f t="shared" ca="1" si="375"/>
        <v>RadioCard_ILS_Exp2!B145</v>
      </c>
    </row>
    <row r="1683" spans="1:16" x14ac:dyDescent="0.25">
      <c r="A1683" s="3" t="str">
        <f t="shared" ca="1" si="376"/>
        <v/>
      </c>
      <c r="G1683" s="15">
        <f t="shared" ca="1" si="385"/>
        <v>146</v>
      </c>
      <c r="H1683" s="15">
        <v>1</v>
      </c>
      <c r="I1683" s="15" t="str">
        <f t="shared" ca="1" si="386"/>
        <v>RadioCard_ILS_Exp2</v>
      </c>
      <c r="J1683" s="15" t="str">
        <f t="shared" ca="1" si="374"/>
        <v>RadioCard_ILS_Exp2!A146</v>
      </c>
      <c r="K1683" s="15" t="str">
        <f t="shared" ca="1" si="375"/>
        <v>RadioCard_ILS_Exp2!B146</v>
      </c>
    </row>
    <row r="1684" spans="1:16" x14ac:dyDescent="0.25">
      <c r="A1684" s="3" t="str">
        <f t="shared" ca="1" si="376"/>
        <v/>
      </c>
      <c r="G1684" s="15">
        <f t="shared" ca="1" si="385"/>
        <v>147</v>
      </c>
      <c r="H1684" s="15">
        <v>1</v>
      </c>
      <c r="I1684" s="15" t="str">
        <f t="shared" ca="1" si="386"/>
        <v>RadioCard_ILS_Exp2</v>
      </c>
      <c r="J1684" s="15" t="str">
        <f t="shared" ca="1" si="374"/>
        <v>RadioCard_ILS_Exp2!A147</v>
      </c>
      <c r="K1684" s="15" t="str">
        <f t="shared" ca="1" si="375"/>
        <v>RadioCard_ILS_Exp2!B147</v>
      </c>
    </row>
    <row r="1685" spans="1:16" x14ac:dyDescent="0.25">
      <c r="A1685" s="3" t="str">
        <f t="shared" ca="1" si="376"/>
        <v/>
      </c>
      <c r="G1685" s="15">
        <f t="shared" ca="1" si="385"/>
        <v>148</v>
      </c>
      <c r="H1685" s="15">
        <v>1</v>
      </c>
      <c r="I1685" s="15" t="str">
        <f t="shared" ca="1" si="386"/>
        <v>RadioCard_ILS_Exp2</v>
      </c>
      <c r="J1685" s="15" t="str">
        <f t="shared" ca="1" si="374"/>
        <v>RadioCard_ILS_Exp2!A148</v>
      </c>
      <c r="K1685" s="15" t="str">
        <f t="shared" ca="1" si="375"/>
        <v>RadioCard_ILS_Exp2!B148</v>
      </c>
    </row>
    <row r="1686" spans="1:16" x14ac:dyDescent="0.25">
      <c r="A1686" s="3" t="str">
        <f t="shared" ca="1" si="376"/>
        <v/>
      </c>
      <c r="G1686" s="15">
        <f t="shared" ca="1" si="385"/>
        <v>149</v>
      </c>
      <c r="H1686" s="15">
        <v>1</v>
      </c>
      <c r="I1686" s="15" t="str">
        <f t="shared" ca="1" si="386"/>
        <v>RadioCard_ILS_Exp2</v>
      </c>
      <c r="J1686" s="15" t="str">
        <f t="shared" ca="1" si="374"/>
        <v>RadioCard_ILS_Exp2!A149</v>
      </c>
      <c r="K1686" s="15" t="str">
        <f t="shared" ca="1" si="375"/>
        <v>RadioCard_ILS_Exp2!B149</v>
      </c>
    </row>
    <row r="1687" spans="1:16" x14ac:dyDescent="0.25">
      <c r="A1687" s="3" t="str">
        <f t="shared" ca="1" si="376"/>
        <v/>
      </c>
      <c r="G1687" s="15">
        <f t="shared" ca="1" si="385"/>
        <v>150</v>
      </c>
      <c r="H1687" s="15">
        <v>1</v>
      </c>
      <c r="I1687" s="15" t="str">
        <f t="shared" ca="1" si="386"/>
        <v>RadioCard_ILS_Exp2</v>
      </c>
      <c r="J1687" s="15" t="str">
        <f t="shared" ca="1" si="374"/>
        <v>RadioCard_ILS_Exp2!A150</v>
      </c>
      <c r="K1687" s="15" t="str">
        <f t="shared" ca="1" si="375"/>
        <v>RadioCard_ILS_Exp2!B150</v>
      </c>
    </row>
    <row r="1688" spans="1:16" x14ac:dyDescent="0.25">
      <c r="A1688" s="3" t="str">
        <f t="shared" ca="1" si="376"/>
        <v xml:space="preserve">#LTC2122_ILS =  </v>
      </c>
      <c r="G1688" s="15">
        <f t="shared" ref="G1688" ca="1" si="387">INDIRECT(M1688)</f>
        <v>31</v>
      </c>
      <c r="H1688" s="15">
        <v>1</v>
      </c>
      <c r="I1688" s="15" t="str">
        <f t="shared" ref="I1688" ca="1" si="388">INDIRECT(N1688)</f>
        <v>RadioCard_ILS_Devices</v>
      </c>
      <c r="J1688" s="15" t="str">
        <f t="shared" ca="1" si="374"/>
        <v>RadioCard_ILS_Devices!A31</v>
      </c>
      <c r="K1688" s="15" t="str">
        <f t="shared" ca="1" si="375"/>
        <v>RadioCard_ILS_Devices!B31</v>
      </c>
      <c r="M1688" s="15" t="str">
        <f t="shared" ref="M1688" si="389">ADDRESS(O1688,3,4,1,$R$1)</f>
        <v>konfig!C86</v>
      </c>
      <c r="N1688" s="15" t="str">
        <f t="shared" ref="N1688" si="390">ADDRESS(O1688,1,4,1,$R$1)</f>
        <v>konfig!A86</v>
      </c>
      <c r="O1688" s="15">
        <v>86</v>
      </c>
      <c r="P1688" s="15">
        <v>4</v>
      </c>
    </row>
    <row r="1689" spans="1:16" x14ac:dyDescent="0.25">
      <c r="A1689" s="3" t="str">
        <f t="shared" ca="1" si="376"/>
        <v xml:space="preserve">device = LTC2122 </v>
      </c>
      <c r="G1689" s="15">
        <f t="shared" ref="G1689:G1732" ca="1" si="391">G1688+1</f>
        <v>32</v>
      </c>
      <c r="H1689" s="15">
        <v>1</v>
      </c>
      <c r="I1689" s="15" t="str">
        <f t="shared" ref="I1689:I1732" ca="1" si="392">I1688</f>
        <v>RadioCard_ILS_Devices</v>
      </c>
      <c r="J1689" s="15" t="str">
        <f t="shared" ca="1" si="374"/>
        <v>RadioCard_ILS_Devices!A32</v>
      </c>
      <c r="K1689" s="15" t="str">
        <f t="shared" ca="1" si="375"/>
        <v>RadioCard_ILS_Devices!B32</v>
      </c>
    </row>
    <row r="1690" spans="1:16" x14ac:dyDescent="0.25">
      <c r="A1690" s="3" t="str">
        <f t="shared" ca="1" si="376"/>
        <v xml:space="preserve">spi_num = /dev/spidev0.0 </v>
      </c>
      <c r="G1690" s="15">
        <f t="shared" ca="1" si="391"/>
        <v>33</v>
      </c>
      <c r="H1690" s="15">
        <v>1</v>
      </c>
      <c r="I1690" s="15" t="str">
        <f t="shared" ca="1" si="392"/>
        <v>RadioCard_ILS_Devices</v>
      </c>
      <c r="J1690" s="15" t="str">
        <f t="shared" ca="1" si="374"/>
        <v>RadioCard_ILS_Devices!A33</v>
      </c>
      <c r="K1690" s="15" t="str">
        <f t="shared" ca="1" si="375"/>
        <v>RadioCard_ILS_Devices!B33</v>
      </c>
    </row>
    <row r="1691" spans="1:16" x14ac:dyDescent="0.25">
      <c r="A1691" s="3" t="str">
        <f t="shared" ca="1" si="376"/>
        <v xml:space="preserve">path_cfg = ./device_config_files/radio_config_files/radiocard_ILS/LTC2122.cfg  </v>
      </c>
      <c r="C1691" s="16"/>
      <c r="G1691" s="15">
        <f t="shared" ca="1" si="391"/>
        <v>34</v>
      </c>
      <c r="H1691" s="15">
        <v>1</v>
      </c>
      <c r="I1691" s="15" t="str">
        <f t="shared" ca="1" si="392"/>
        <v>RadioCard_ILS_Devices</v>
      </c>
      <c r="J1691" s="15" t="str">
        <f t="shared" ca="1" si="374"/>
        <v>RadioCard_ILS_Devices!A34</v>
      </c>
      <c r="K1691" s="15" t="str">
        <f t="shared" ca="1" si="375"/>
        <v>RadioCard_ILS_Devices!B34</v>
      </c>
    </row>
    <row r="1692" spans="1:16" x14ac:dyDescent="0.25">
      <c r="A1692" s="3" t="str">
        <f t="shared" ca="1" si="376"/>
        <v/>
      </c>
      <c r="G1692" s="15">
        <f t="shared" ca="1" si="391"/>
        <v>35</v>
      </c>
      <c r="H1692" s="15">
        <v>1</v>
      </c>
      <c r="I1692" s="15" t="str">
        <f t="shared" ca="1" si="392"/>
        <v>RadioCard_ILS_Devices</v>
      </c>
      <c r="J1692" s="15" t="str">
        <f t="shared" ca="1" si="374"/>
        <v>RadioCard_ILS_Devices!A35</v>
      </c>
      <c r="K1692" s="15" t="str">
        <f t="shared" ca="1" si="375"/>
        <v>RadioCard_ILS_Devices!B35</v>
      </c>
    </row>
    <row r="1693" spans="1:16" x14ac:dyDescent="0.25">
      <c r="A1693" s="3" t="str">
        <f t="shared" ca="1" si="376"/>
        <v xml:space="preserve">time = 10 </v>
      </c>
      <c r="G1693" s="15">
        <f t="shared" ca="1" si="385"/>
        <v>36</v>
      </c>
      <c r="H1693" s="15">
        <v>1</v>
      </c>
      <c r="I1693" s="15" t="str">
        <f t="shared" ca="1" si="386"/>
        <v>RadioCard_ILS_Devices</v>
      </c>
      <c r="J1693" s="15" t="str">
        <f t="shared" ca="1" si="374"/>
        <v>RadioCard_ILS_Devices!A36</v>
      </c>
      <c r="K1693" s="15" t="str">
        <f t="shared" ca="1" si="375"/>
        <v>RadioCard_ILS_Devices!B36</v>
      </c>
    </row>
    <row r="1694" spans="1:16" x14ac:dyDescent="0.25">
      <c r="A1694" s="3" t="str">
        <f t="shared" ca="1" si="376"/>
        <v/>
      </c>
      <c r="G1694" s="15">
        <f t="shared" ca="1" si="385"/>
        <v>37</v>
      </c>
      <c r="H1694" s="15">
        <v>1</v>
      </c>
      <c r="I1694" s="15" t="str">
        <f t="shared" ca="1" si="386"/>
        <v>RadioCard_ILS_Devices</v>
      </c>
      <c r="J1694" s="15" t="str">
        <f t="shared" ca="1" si="374"/>
        <v>RadioCard_ILS_Devices!A37</v>
      </c>
      <c r="K1694" s="15" t="str">
        <f t="shared" ca="1" si="375"/>
        <v>RadioCard_ILS_Devices!B37</v>
      </c>
    </row>
    <row r="1695" spans="1:16" x14ac:dyDescent="0.25">
      <c r="A1695" s="3" t="str">
        <f t="shared" ca="1" si="376"/>
        <v/>
      </c>
      <c r="G1695" s="15">
        <f t="shared" ca="1" si="385"/>
        <v>38</v>
      </c>
      <c r="H1695" s="15">
        <v>1</v>
      </c>
      <c r="I1695" s="15" t="str">
        <f t="shared" ca="1" si="386"/>
        <v>RadioCard_ILS_Devices</v>
      </c>
      <c r="J1695" s="15" t="str">
        <f t="shared" ca="1" si="374"/>
        <v>RadioCard_ILS_Devices!A38</v>
      </c>
      <c r="K1695" s="15" t="str">
        <f t="shared" ca="1" si="375"/>
        <v>RadioCard_ILS_Devices!B38</v>
      </c>
    </row>
    <row r="1696" spans="1:16" x14ac:dyDescent="0.25">
      <c r="A1696" s="3" t="str">
        <f t="shared" ca="1" si="376"/>
        <v/>
      </c>
      <c r="G1696" s="15">
        <f t="shared" ca="1" si="385"/>
        <v>39</v>
      </c>
      <c r="H1696" s="15">
        <v>1</v>
      </c>
      <c r="I1696" s="15" t="str">
        <f t="shared" ca="1" si="386"/>
        <v>RadioCard_ILS_Devices</v>
      </c>
      <c r="J1696" s="15" t="str">
        <f t="shared" ca="1" si="374"/>
        <v>RadioCard_ILS_Devices!A39</v>
      </c>
      <c r="K1696" s="15" t="str">
        <f t="shared" ca="1" si="375"/>
        <v>RadioCard_ILS_Devices!B39</v>
      </c>
    </row>
    <row r="1697" spans="1:16" x14ac:dyDescent="0.25">
      <c r="A1697" s="3" t="str">
        <f t="shared" ca="1" si="376"/>
        <v/>
      </c>
      <c r="G1697" s="15">
        <f t="shared" ca="1" si="385"/>
        <v>40</v>
      </c>
      <c r="H1697" s="15">
        <v>1</v>
      </c>
      <c r="I1697" s="15" t="str">
        <f t="shared" ca="1" si="386"/>
        <v>RadioCard_ILS_Devices</v>
      </c>
      <c r="J1697" s="15" t="str">
        <f t="shared" ca="1" si="374"/>
        <v>RadioCard_ILS_Devices!A40</v>
      </c>
      <c r="K1697" s="15" t="str">
        <f t="shared" ca="1" si="375"/>
        <v>RadioCard_ILS_Devices!B40</v>
      </c>
    </row>
    <row r="1698" spans="1:16" x14ac:dyDescent="0.25">
      <c r="A1698" s="3" t="str">
        <f t="shared" ca="1" si="376"/>
        <v/>
      </c>
      <c r="G1698" s="15">
        <f t="shared" ca="1" si="385"/>
        <v>41</v>
      </c>
      <c r="H1698" s="15">
        <v>1</v>
      </c>
      <c r="I1698" s="15" t="str">
        <f t="shared" ca="1" si="386"/>
        <v>RadioCard_ILS_Devices</v>
      </c>
      <c r="J1698" s="15" t="str">
        <f t="shared" ca="1" si="374"/>
        <v>RadioCard_ILS_Devices!A41</v>
      </c>
      <c r="K1698" s="15" t="str">
        <f t="shared" ca="1" si="375"/>
        <v>RadioCard_ILS_Devices!B41</v>
      </c>
    </row>
    <row r="1699" spans="1:16" x14ac:dyDescent="0.25">
      <c r="A1699" s="3" t="str">
        <f t="shared" ca="1" si="376"/>
        <v/>
      </c>
      <c r="C1699" s="16"/>
      <c r="G1699" s="15">
        <f t="shared" ca="1" si="385"/>
        <v>42</v>
      </c>
      <c r="H1699" s="15">
        <v>1</v>
      </c>
      <c r="I1699" s="15" t="str">
        <f t="shared" ca="1" si="386"/>
        <v>RadioCard_ILS_Devices</v>
      </c>
      <c r="J1699" s="15" t="str">
        <f t="shared" ca="1" si="374"/>
        <v>RadioCard_ILS_Devices!A42</v>
      </c>
      <c r="K1699" s="15" t="str">
        <f t="shared" ca="1" si="375"/>
        <v>RadioCard_ILS_Devices!B42</v>
      </c>
    </row>
    <row r="1700" spans="1:16" x14ac:dyDescent="0.25">
      <c r="A1700" s="3" t="str">
        <f t="shared" ca="1" si="376"/>
        <v/>
      </c>
      <c r="G1700" s="15">
        <f t="shared" ca="1" si="385"/>
        <v>43</v>
      </c>
      <c r="H1700" s="15">
        <v>1</v>
      </c>
      <c r="I1700" s="15" t="str">
        <f t="shared" ca="1" si="386"/>
        <v>RadioCard_ILS_Devices</v>
      </c>
      <c r="J1700" s="15" t="str">
        <f t="shared" ref="J1700:J1763" ca="1" si="393">ADDRESS(G1700,H1700,4,1,I1700)</f>
        <v>RadioCard_ILS_Devices!A43</v>
      </c>
      <c r="K1700" s="15" t="str">
        <f t="shared" ref="K1700:K1763" ca="1" si="394">ADDRESS(G1700,H1700+1,4,1,I1700)</f>
        <v>RadioCard_ILS_Devices!B43</v>
      </c>
    </row>
    <row r="1701" spans="1:16" x14ac:dyDescent="0.25">
      <c r="A1701" s="3" t="str">
        <f t="shared" ca="1" si="376"/>
        <v/>
      </c>
      <c r="G1701" s="15">
        <f t="shared" ca="1" si="385"/>
        <v>44</v>
      </c>
      <c r="H1701" s="15">
        <v>1</v>
      </c>
      <c r="I1701" s="15" t="str">
        <f t="shared" ca="1" si="386"/>
        <v>RadioCard_ILS_Devices</v>
      </c>
      <c r="J1701" s="15" t="str">
        <f t="shared" ca="1" si="393"/>
        <v>RadioCard_ILS_Devices!A44</v>
      </c>
      <c r="K1701" s="15" t="str">
        <f t="shared" ca="1" si="394"/>
        <v>RadioCard_ILS_Devices!B44</v>
      </c>
    </row>
    <row r="1702" spans="1:16" x14ac:dyDescent="0.25">
      <c r="A1702" s="3" t="str">
        <f t="shared" ca="1" si="376"/>
        <v/>
      </c>
      <c r="G1702" s="15">
        <f t="shared" ca="1" si="385"/>
        <v>45</v>
      </c>
      <c r="H1702" s="15">
        <v>1</v>
      </c>
      <c r="I1702" s="15" t="str">
        <f t="shared" ca="1" si="386"/>
        <v>RadioCard_ILS_Devices</v>
      </c>
      <c r="J1702" s="15" t="str">
        <f t="shared" ca="1" si="393"/>
        <v>RadioCard_ILS_Devices!A45</v>
      </c>
      <c r="K1702" s="15" t="str">
        <f t="shared" ca="1" si="394"/>
        <v>RadioCard_ILS_Devices!B45</v>
      </c>
    </row>
    <row r="1703" spans="1:16" x14ac:dyDescent="0.25">
      <c r="A1703" s="3" t="str">
        <f t="shared" ca="1" si="376"/>
        <v/>
      </c>
      <c r="G1703" s="15">
        <f t="shared" ca="1" si="385"/>
        <v>46</v>
      </c>
      <c r="H1703" s="15">
        <v>1</v>
      </c>
      <c r="I1703" s="15" t="str">
        <f t="shared" ca="1" si="386"/>
        <v>RadioCard_ILS_Devices</v>
      </c>
      <c r="J1703" s="15" t="str">
        <f t="shared" ca="1" si="393"/>
        <v>RadioCard_ILS_Devices!A46</v>
      </c>
      <c r="K1703" s="15" t="str">
        <f t="shared" ca="1" si="394"/>
        <v>RadioCard_ILS_Devices!B46</v>
      </c>
    </row>
    <row r="1704" spans="1:16" x14ac:dyDescent="0.25">
      <c r="A1704" s="3" t="str">
        <f t="shared" ca="1" si="376"/>
        <v/>
      </c>
      <c r="G1704" s="15">
        <f t="shared" ca="1" si="385"/>
        <v>47</v>
      </c>
      <c r="H1704" s="15">
        <v>1</v>
      </c>
      <c r="I1704" s="15" t="str">
        <f t="shared" ca="1" si="386"/>
        <v>RadioCard_ILS_Devices</v>
      </c>
      <c r="J1704" s="15" t="str">
        <f t="shared" ca="1" si="393"/>
        <v>RadioCard_ILS_Devices!A47</v>
      </c>
      <c r="K1704" s="15" t="str">
        <f t="shared" ca="1" si="394"/>
        <v>RadioCard_ILS_Devices!B47</v>
      </c>
    </row>
    <row r="1705" spans="1:16" x14ac:dyDescent="0.25">
      <c r="A1705" s="3" t="str">
        <f t="shared" ca="1" si="376"/>
        <v/>
      </c>
      <c r="G1705" s="15">
        <f t="shared" ca="1" si="385"/>
        <v>48</v>
      </c>
      <c r="H1705" s="15">
        <v>1</v>
      </c>
      <c r="I1705" s="15" t="str">
        <f t="shared" ca="1" si="386"/>
        <v>RadioCard_ILS_Devices</v>
      </c>
      <c r="J1705" s="15" t="str">
        <f t="shared" ca="1" si="393"/>
        <v>RadioCard_ILS_Devices!A48</v>
      </c>
      <c r="K1705" s="15" t="str">
        <f t="shared" ca="1" si="394"/>
        <v>RadioCard_ILS_Devices!B48</v>
      </c>
    </row>
    <row r="1706" spans="1:16" x14ac:dyDescent="0.25">
      <c r="A1706" s="3" t="str">
        <f t="shared" ca="1" si="376"/>
        <v/>
      </c>
      <c r="G1706" s="15">
        <f t="shared" ca="1" si="385"/>
        <v>49</v>
      </c>
      <c r="H1706" s="15">
        <v>1</v>
      </c>
      <c r="I1706" s="15" t="str">
        <f t="shared" ca="1" si="386"/>
        <v>RadioCard_ILS_Devices</v>
      </c>
      <c r="J1706" s="15" t="str">
        <f t="shared" ca="1" si="393"/>
        <v>RadioCard_ILS_Devices!A49</v>
      </c>
      <c r="K1706" s="15" t="str">
        <f t="shared" ca="1" si="394"/>
        <v>RadioCard_ILS_Devices!B49</v>
      </c>
    </row>
    <row r="1707" spans="1:16" x14ac:dyDescent="0.25">
      <c r="A1707" s="3" t="str">
        <f t="shared" ca="1" si="376"/>
        <v/>
      </c>
      <c r="G1707" s="15">
        <f t="shared" ca="1" si="385"/>
        <v>50</v>
      </c>
      <c r="H1707" s="15">
        <v>1</v>
      </c>
      <c r="I1707" s="15" t="str">
        <f t="shared" ca="1" si="386"/>
        <v>RadioCard_ILS_Devices</v>
      </c>
      <c r="J1707" s="15" t="str">
        <f t="shared" ca="1" si="393"/>
        <v>RadioCard_ILS_Devices!A50</v>
      </c>
      <c r="K1707" s="15" t="str">
        <f t="shared" ca="1" si="394"/>
        <v>RadioCard_ILS_Devices!B50</v>
      </c>
    </row>
    <row r="1708" spans="1:16" x14ac:dyDescent="0.25">
      <c r="A1708" s="3" t="str">
        <f t="shared" ref="A1708:A1771" ca="1" si="395">IFERROR(IF(INDIRECT(J1708)&lt;&gt;"",CONCATENATE(INDIRECT(J1708)," = ",INDIRECT(K1708)," "),""),"")</f>
        <v xml:space="preserve">#RadioCard_ILS_Exp1:etap 3 =  </v>
      </c>
      <c r="G1708" s="15">
        <f t="shared" ref="G1708" ca="1" si="396">INDIRECT(M1708)</f>
        <v>91</v>
      </c>
      <c r="H1708" s="15">
        <v>1</v>
      </c>
      <c r="I1708" s="15" t="str">
        <f t="shared" ref="I1708" ca="1" si="397">INDIRECT(N1708)</f>
        <v>RadioCard_ILS_Exp2</v>
      </c>
      <c r="J1708" s="15" t="str">
        <f t="shared" ca="1" si="393"/>
        <v>RadioCard_ILS_Exp2!A91</v>
      </c>
      <c r="K1708" s="15" t="str">
        <f t="shared" ca="1" si="394"/>
        <v>RadioCard_ILS_Exp2!B91</v>
      </c>
      <c r="M1708" s="15" t="str">
        <f t="shared" ref="M1708" si="398">ADDRESS(O1708,3,4,1,$R$1)</f>
        <v>konfig!C87</v>
      </c>
      <c r="N1708" s="15" t="str">
        <f t="shared" ref="N1708" si="399">ADDRESS(O1708,1,4,1,$R$1)</f>
        <v>konfig!A87</v>
      </c>
      <c r="O1708" s="15">
        <v>87</v>
      </c>
      <c r="P1708" s="15">
        <v>4</v>
      </c>
    </row>
    <row r="1709" spans="1:16" x14ac:dyDescent="0.25">
      <c r="A1709" s="3" t="str">
        <f t="shared" ca="1" si="395"/>
        <v xml:space="preserve">device = MCP23017 </v>
      </c>
      <c r="G1709" s="15">
        <f t="shared" ref="G1709:G1749" ca="1" si="400">G1708+1</f>
        <v>92</v>
      </c>
      <c r="H1709" s="15">
        <v>1</v>
      </c>
      <c r="I1709" s="15" t="str">
        <f t="shared" ref="I1709:I1749" ca="1" si="401">I1708</f>
        <v>RadioCard_ILS_Exp2</v>
      </c>
      <c r="J1709" s="15" t="str">
        <f t="shared" ca="1" si="393"/>
        <v>RadioCard_ILS_Exp2!A92</v>
      </c>
      <c r="K1709" s="15" t="str">
        <f t="shared" ca="1" si="394"/>
        <v>RadioCard_ILS_Exp2!B92</v>
      </c>
    </row>
    <row r="1710" spans="1:16" x14ac:dyDescent="0.25">
      <c r="A1710" s="3" t="str">
        <f t="shared" ca="1" si="395"/>
        <v xml:space="preserve">i2c_addr = 0x27 </v>
      </c>
      <c r="G1710" s="15">
        <f t="shared" ca="1" si="385"/>
        <v>93</v>
      </c>
      <c r="H1710" s="15">
        <v>1</v>
      </c>
      <c r="I1710" s="15" t="str">
        <f t="shared" ca="1" si="386"/>
        <v>RadioCard_ILS_Exp2</v>
      </c>
      <c r="J1710" s="15" t="str">
        <f t="shared" ca="1" si="393"/>
        <v>RadioCard_ILS_Exp2!A93</v>
      </c>
      <c r="K1710" s="15" t="str">
        <f t="shared" ca="1" si="394"/>
        <v>RadioCard_ILS_Exp2!B93</v>
      </c>
    </row>
    <row r="1711" spans="1:16" x14ac:dyDescent="0.25">
      <c r="A1711" s="3" t="str">
        <f t="shared" ca="1" si="395"/>
        <v xml:space="preserve">i2c_num = /dev/i2c-1 </v>
      </c>
      <c r="C1711" s="16"/>
      <c r="G1711" s="15">
        <f t="shared" ca="1" si="385"/>
        <v>94</v>
      </c>
      <c r="H1711" s="15">
        <v>1</v>
      </c>
      <c r="I1711" s="15" t="str">
        <f t="shared" ca="1" si="386"/>
        <v>RadioCard_ILS_Exp2</v>
      </c>
      <c r="J1711" s="15" t="str">
        <f t="shared" ca="1" si="393"/>
        <v>RadioCard_ILS_Exp2!A94</v>
      </c>
      <c r="K1711" s="15" t="str">
        <f t="shared" ca="1" si="394"/>
        <v>RadioCard_ILS_Exp2!B94</v>
      </c>
    </row>
    <row r="1712" spans="1:16" x14ac:dyDescent="0.25">
      <c r="A1712" s="3" t="str">
        <f t="shared" ca="1" si="395"/>
        <v xml:space="preserve">pins_mode = 0xCE8C </v>
      </c>
      <c r="G1712" s="15">
        <f t="shared" ca="1" si="385"/>
        <v>95</v>
      </c>
      <c r="H1712" s="15">
        <v>1</v>
      </c>
      <c r="I1712" s="15" t="str">
        <f t="shared" ca="1" si="386"/>
        <v>RadioCard_ILS_Exp2</v>
      </c>
      <c r="J1712" s="15" t="str">
        <f t="shared" ca="1" si="393"/>
        <v>RadioCard_ILS_Exp2!A95</v>
      </c>
      <c r="K1712" s="15" t="str">
        <f t="shared" ca="1" si="394"/>
        <v>RadioCard_ILS_Exp2!B95</v>
      </c>
    </row>
    <row r="1713" spans="1:16" x14ac:dyDescent="0.25">
      <c r="A1713" s="3" t="str">
        <f t="shared" ca="1" si="395"/>
        <v xml:space="preserve">pins_state = 0x3133 </v>
      </c>
      <c r="G1713" s="15">
        <f t="shared" ca="1" si="385"/>
        <v>96</v>
      </c>
      <c r="H1713" s="15">
        <v>1</v>
      </c>
      <c r="I1713" s="15" t="str">
        <f t="shared" ca="1" si="386"/>
        <v>RadioCard_ILS_Exp2</v>
      </c>
      <c r="J1713" s="15" t="str">
        <f t="shared" ca="1" si="393"/>
        <v>RadioCard_ILS_Exp2!A96</v>
      </c>
      <c r="K1713" s="15" t="str">
        <f t="shared" ca="1" si="394"/>
        <v>RadioCard_ILS_Exp2!B96</v>
      </c>
    </row>
    <row r="1714" spans="1:16" x14ac:dyDescent="0.25">
      <c r="A1714" s="3" t="str">
        <f t="shared" ca="1" si="395"/>
        <v xml:space="preserve">pins_pull_up = 0x4808 </v>
      </c>
      <c r="G1714" s="15">
        <f t="shared" ca="1" si="385"/>
        <v>97</v>
      </c>
      <c r="H1714" s="15">
        <v>1</v>
      </c>
      <c r="I1714" s="15" t="str">
        <f t="shared" ca="1" si="386"/>
        <v>RadioCard_ILS_Exp2</v>
      </c>
      <c r="J1714" s="15" t="str">
        <f t="shared" ca="1" si="393"/>
        <v>RadioCard_ILS_Exp2!A97</v>
      </c>
      <c r="K1714" s="15" t="str">
        <f t="shared" ca="1" si="394"/>
        <v>RadioCard_ILS_Exp2!B97</v>
      </c>
    </row>
    <row r="1715" spans="1:16" x14ac:dyDescent="0.25">
      <c r="A1715" s="3" t="str">
        <f t="shared" ca="1" si="395"/>
        <v xml:space="preserve">#pins_int = 0x0000 </v>
      </c>
      <c r="G1715" s="15">
        <f t="shared" ca="1" si="385"/>
        <v>98</v>
      </c>
      <c r="H1715" s="15">
        <v>1</v>
      </c>
      <c r="I1715" s="15" t="str">
        <f t="shared" ca="1" si="386"/>
        <v>RadioCard_ILS_Exp2</v>
      </c>
      <c r="J1715" s="15" t="str">
        <f t="shared" ca="1" si="393"/>
        <v>RadioCard_ILS_Exp2!A98</v>
      </c>
      <c r="K1715" s="15" t="str">
        <f t="shared" ca="1" si="394"/>
        <v>RadioCard_ILS_Exp2!B98</v>
      </c>
    </row>
    <row r="1716" spans="1:16" x14ac:dyDescent="0.25">
      <c r="A1716" s="3" t="str">
        <f t="shared" ca="1" si="395"/>
        <v xml:space="preserve">#pins_def_val = 0x0000 </v>
      </c>
      <c r="G1716" s="15">
        <f t="shared" ca="1" si="385"/>
        <v>99</v>
      </c>
      <c r="H1716" s="15">
        <v>1</v>
      </c>
      <c r="I1716" s="15" t="str">
        <f t="shared" ca="1" si="386"/>
        <v>RadioCard_ILS_Exp2</v>
      </c>
      <c r="J1716" s="15" t="str">
        <f t="shared" ca="1" si="393"/>
        <v>RadioCard_ILS_Exp2!A99</v>
      </c>
      <c r="K1716" s="15" t="str">
        <f t="shared" ca="1" si="394"/>
        <v>RadioCard_ILS_Exp2!B99</v>
      </c>
    </row>
    <row r="1717" spans="1:16" x14ac:dyDescent="0.25">
      <c r="A1717" s="3" t="str">
        <f t="shared" ca="1" si="395"/>
        <v/>
      </c>
      <c r="G1717" s="15">
        <f t="shared" ca="1" si="385"/>
        <v>100</v>
      </c>
      <c r="H1717" s="15">
        <v>1</v>
      </c>
      <c r="I1717" s="15" t="str">
        <f t="shared" ca="1" si="386"/>
        <v>RadioCard_ILS_Exp2</v>
      </c>
      <c r="J1717" s="15" t="str">
        <f t="shared" ca="1" si="393"/>
        <v>RadioCard_ILS_Exp2!A100</v>
      </c>
      <c r="K1717" s="15" t="str">
        <f t="shared" ca="1" si="394"/>
        <v>RadioCard_ILS_Exp2!B100</v>
      </c>
    </row>
    <row r="1718" spans="1:16" x14ac:dyDescent="0.25">
      <c r="A1718" s="3" t="str">
        <f t="shared" ca="1" si="395"/>
        <v xml:space="preserve">#pins_int = 10 </v>
      </c>
      <c r="G1718" s="15">
        <f t="shared" ca="1" si="385"/>
        <v>101</v>
      </c>
      <c r="H1718" s="15">
        <v>1</v>
      </c>
      <c r="I1718" s="15" t="str">
        <f t="shared" ca="1" si="386"/>
        <v>RadioCard_ILS_Exp2</v>
      </c>
      <c r="J1718" s="15" t="str">
        <f t="shared" ca="1" si="393"/>
        <v>RadioCard_ILS_Exp2!A101</v>
      </c>
      <c r="K1718" s="15" t="str">
        <f t="shared" ca="1" si="394"/>
        <v>RadioCard_ILS_Exp2!B101</v>
      </c>
    </row>
    <row r="1719" spans="1:16" x14ac:dyDescent="0.25">
      <c r="A1719" s="3" t="str">
        <f t="shared" ca="1" si="395"/>
        <v/>
      </c>
      <c r="C1719" s="16"/>
      <c r="G1719" s="15">
        <f t="shared" ca="1" si="385"/>
        <v>102</v>
      </c>
      <c r="H1719" s="15">
        <v>1</v>
      </c>
      <c r="I1719" s="15" t="str">
        <f t="shared" ca="1" si="386"/>
        <v>RadioCard_ILS_Exp2</v>
      </c>
      <c r="J1719" s="15" t="str">
        <f t="shared" ca="1" si="393"/>
        <v>RadioCard_ILS_Exp2!A102</v>
      </c>
      <c r="K1719" s="15" t="str">
        <f t="shared" ca="1" si="394"/>
        <v>RadioCard_ILS_Exp2!B102</v>
      </c>
    </row>
    <row r="1720" spans="1:16" x14ac:dyDescent="0.25">
      <c r="A1720" s="3" t="str">
        <f t="shared" ca="1" si="395"/>
        <v/>
      </c>
      <c r="G1720" s="15">
        <f t="shared" ca="1" si="385"/>
        <v>103</v>
      </c>
      <c r="H1720" s="15">
        <v>1</v>
      </c>
      <c r="I1720" s="15" t="str">
        <f t="shared" ca="1" si="386"/>
        <v>RadioCard_ILS_Exp2</v>
      </c>
      <c r="J1720" s="15" t="str">
        <f t="shared" ca="1" si="393"/>
        <v>RadioCard_ILS_Exp2!A103</v>
      </c>
      <c r="K1720" s="15" t="str">
        <f t="shared" ca="1" si="394"/>
        <v>RadioCard_ILS_Exp2!B103</v>
      </c>
    </row>
    <row r="1721" spans="1:16" x14ac:dyDescent="0.25">
      <c r="A1721" s="3" t="str">
        <f t="shared" ca="1" si="395"/>
        <v/>
      </c>
      <c r="G1721" s="15">
        <f t="shared" ca="1" si="385"/>
        <v>104</v>
      </c>
      <c r="H1721" s="15">
        <v>1</v>
      </c>
      <c r="I1721" s="15" t="str">
        <f t="shared" ca="1" si="386"/>
        <v>RadioCard_ILS_Exp2</v>
      </c>
      <c r="J1721" s="15" t="str">
        <f t="shared" ca="1" si="393"/>
        <v>RadioCard_ILS_Exp2!A104</v>
      </c>
      <c r="K1721" s="15" t="str">
        <f t="shared" ca="1" si="394"/>
        <v>RadioCard_ILS_Exp2!B104</v>
      </c>
    </row>
    <row r="1722" spans="1:16" x14ac:dyDescent="0.25">
      <c r="A1722" s="3" t="str">
        <f t="shared" ca="1" si="395"/>
        <v/>
      </c>
      <c r="G1722" s="15">
        <f t="shared" ca="1" si="385"/>
        <v>105</v>
      </c>
      <c r="H1722" s="15">
        <v>1</v>
      </c>
      <c r="I1722" s="15" t="str">
        <f t="shared" ca="1" si="386"/>
        <v>RadioCard_ILS_Exp2</v>
      </c>
      <c r="J1722" s="15" t="str">
        <f t="shared" ca="1" si="393"/>
        <v>RadioCard_ILS_Exp2!A105</v>
      </c>
      <c r="K1722" s="15" t="str">
        <f t="shared" ca="1" si="394"/>
        <v>RadioCard_ILS_Exp2!B105</v>
      </c>
    </row>
    <row r="1723" spans="1:16" x14ac:dyDescent="0.25">
      <c r="A1723" s="3" t="str">
        <f t="shared" ca="1" si="395"/>
        <v/>
      </c>
      <c r="G1723" s="15">
        <f t="shared" ca="1" si="385"/>
        <v>106</v>
      </c>
      <c r="H1723" s="15">
        <v>1</v>
      </c>
      <c r="I1723" s="15" t="str">
        <f t="shared" ca="1" si="386"/>
        <v>RadioCard_ILS_Exp2</v>
      </c>
      <c r="J1723" s="15" t="str">
        <f t="shared" ca="1" si="393"/>
        <v>RadioCard_ILS_Exp2!A106</v>
      </c>
      <c r="K1723" s="15" t="str">
        <f t="shared" ca="1" si="394"/>
        <v>RadioCard_ILS_Exp2!B106</v>
      </c>
    </row>
    <row r="1724" spans="1:16" x14ac:dyDescent="0.25">
      <c r="A1724" s="3" t="str">
        <f t="shared" ca="1" si="395"/>
        <v/>
      </c>
      <c r="G1724" s="15">
        <f t="shared" ca="1" si="385"/>
        <v>107</v>
      </c>
      <c r="H1724" s="15">
        <v>1</v>
      </c>
      <c r="I1724" s="15" t="str">
        <f t="shared" ca="1" si="386"/>
        <v>RadioCard_ILS_Exp2</v>
      </c>
      <c r="J1724" s="15" t="str">
        <f t="shared" ca="1" si="393"/>
        <v>RadioCard_ILS_Exp2!A107</v>
      </c>
      <c r="K1724" s="15" t="str">
        <f t="shared" ca="1" si="394"/>
        <v>RadioCard_ILS_Exp2!B107</v>
      </c>
    </row>
    <row r="1725" spans="1:16" x14ac:dyDescent="0.25">
      <c r="A1725" s="3" t="str">
        <f t="shared" ca="1" si="395"/>
        <v/>
      </c>
      <c r="G1725" s="15">
        <f t="shared" ca="1" si="385"/>
        <v>108</v>
      </c>
      <c r="H1725" s="15">
        <v>1</v>
      </c>
      <c r="I1725" s="15" t="str">
        <f t="shared" ca="1" si="386"/>
        <v>RadioCard_ILS_Exp2</v>
      </c>
      <c r="J1725" s="15" t="str">
        <f t="shared" ca="1" si="393"/>
        <v>RadioCard_ILS_Exp2!A108</v>
      </c>
      <c r="K1725" s="15" t="str">
        <f t="shared" ca="1" si="394"/>
        <v>RadioCard_ILS_Exp2!B108</v>
      </c>
    </row>
    <row r="1726" spans="1:16" x14ac:dyDescent="0.25">
      <c r="A1726" s="3" t="str">
        <f t="shared" ca="1" si="395"/>
        <v/>
      </c>
      <c r="G1726" s="15">
        <f t="shared" ca="1" si="385"/>
        <v>109</v>
      </c>
      <c r="H1726" s="15">
        <v>1</v>
      </c>
      <c r="I1726" s="15" t="str">
        <f t="shared" ca="1" si="386"/>
        <v>RadioCard_ILS_Exp2</v>
      </c>
      <c r="J1726" s="15" t="str">
        <f t="shared" ca="1" si="393"/>
        <v>RadioCard_ILS_Exp2!A109</v>
      </c>
      <c r="K1726" s="15" t="str">
        <f t="shared" ca="1" si="394"/>
        <v>RadioCard_ILS_Exp2!B109</v>
      </c>
    </row>
    <row r="1727" spans="1:16" x14ac:dyDescent="0.25">
      <c r="A1727" s="3" t="str">
        <f t="shared" ca="1" si="395"/>
        <v/>
      </c>
      <c r="G1727" s="15">
        <f t="shared" ca="1" si="385"/>
        <v>110</v>
      </c>
      <c r="H1727" s="15">
        <v>1</v>
      </c>
      <c r="I1727" s="15" t="str">
        <f t="shared" ca="1" si="386"/>
        <v>RadioCard_ILS_Exp2</v>
      </c>
      <c r="J1727" s="15" t="str">
        <f t="shared" ca="1" si="393"/>
        <v>RadioCard_ILS_Exp2!A110</v>
      </c>
      <c r="K1727" s="15" t="str">
        <f t="shared" ca="1" si="394"/>
        <v>RadioCard_ILS_Exp2!B110</v>
      </c>
    </row>
    <row r="1728" spans="1:16" x14ac:dyDescent="0.25">
      <c r="A1728" s="3" t="str">
        <f t="shared" ca="1" si="395"/>
        <v xml:space="preserve">#I2C_Expander_02:etap 2 =  </v>
      </c>
      <c r="G1728" s="15">
        <f t="shared" ref="G1728" ca="1" si="402">INDIRECT(M1728)</f>
        <v>71</v>
      </c>
      <c r="H1728" s="15">
        <v>1</v>
      </c>
      <c r="I1728" s="15" t="str">
        <f t="shared" ref="I1728" ca="1" si="403">INDIRECT(N1728)</f>
        <v>I2C_Expander_02</v>
      </c>
      <c r="J1728" s="15" t="str">
        <f t="shared" ca="1" si="393"/>
        <v>I2C_Expander_02!A71</v>
      </c>
      <c r="K1728" s="15" t="str">
        <f t="shared" ca="1" si="394"/>
        <v>I2C_Expander_02!B71</v>
      </c>
      <c r="M1728" s="15" t="str">
        <f t="shared" ref="M1728" si="404">ADDRESS(O1728,3,4,1,$R$1)</f>
        <v>konfig!C88</v>
      </c>
      <c r="N1728" s="15" t="str">
        <f t="shared" ref="N1728" si="405">ADDRESS(O1728,1,4,1,$R$1)</f>
        <v>konfig!A88</v>
      </c>
      <c r="O1728" s="15">
        <v>88</v>
      </c>
      <c r="P1728" s="15">
        <v>4</v>
      </c>
    </row>
    <row r="1729" spans="1:11" x14ac:dyDescent="0.25">
      <c r="A1729" s="3" t="str">
        <f t="shared" ca="1" si="395"/>
        <v xml:space="preserve">device = MCP23017 </v>
      </c>
      <c r="G1729" s="15">
        <f t="shared" ca="1" si="391"/>
        <v>72</v>
      </c>
      <c r="H1729" s="15">
        <v>1</v>
      </c>
      <c r="I1729" s="15" t="str">
        <f t="shared" ca="1" si="392"/>
        <v>I2C_Expander_02</v>
      </c>
      <c r="J1729" s="15" t="str">
        <f t="shared" ca="1" si="393"/>
        <v>I2C_Expander_02!A72</v>
      </c>
      <c r="K1729" s="15" t="str">
        <f t="shared" ca="1" si="394"/>
        <v>I2C_Expander_02!B72</v>
      </c>
    </row>
    <row r="1730" spans="1:11" x14ac:dyDescent="0.25">
      <c r="A1730" s="3" t="str">
        <f t="shared" ca="1" si="395"/>
        <v xml:space="preserve">i2c_addr = 0x22 </v>
      </c>
      <c r="G1730" s="15">
        <f t="shared" ca="1" si="391"/>
        <v>73</v>
      </c>
      <c r="H1730" s="15">
        <v>1</v>
      </c>
      <c r="I1730" s="15" t="str">
        <f t="shared" ca="1" si="392"/>
        <v>I2C_Expander_02</v>
      </c>
      <c r="J1730" s="15" t="str">
        <f t="shared" ca="1" si="393"/>
        <v>I2C_Expander_02!A73</v>
      </c>
      <c r="K1730" s="15" t="str">
        <f t="shared" ca="1" si="394"/>
        <v>I2C_Expander_02!B73</v>
      </c>
    </row>
    <row r="1731" spans="1:11" x14ac:dyDescent="0.25">
      <c r="A1731" s="3" t="str">
        <f t="shared" ca="1" si="395"/>
        <v xml:space="preserve">i2c_num = /dev/i2c-1 </v>
      </c>
      <c r="C1731" s="16"/>
      <c r="G1731" s="15">
        <f t="shared" ca="1" si="391"/>
        <v>74</v>
      </c>
      <c r="H1731" s="15">
        <v>1</v>
      </c>
      <c r="I1731" s="15" t="str">
        <f t="shared" ca="1" si="392"/>
        <v>I2C_Expander_02</v>
      </c>
      <c r="J1731" s="15" t="str">
        <f t="shared" ca="1" si="393"/>
        <v>I2C_Expander_02!A74</v>
      </c>
      <c r="K1731" s="15" t="str">
        <f t="shared" ca="1" si="394"/>
        <v>I2C_Expander_02!B74</v>
      </c>
    </row>
    <row r="1732" spans="1:11" x14ac:dyDescent="0.25">
      <c r="A1732" s="3" t="str">
        <f t="shared" ca="1" si="395"/>
        <v xml:space="preserve">pins_mode = 0xD27C </v>
      </c>
      <c r="G1732" s="15">
        <f t="shared" ca="1" si="391"/>
        <v>75</v>
      </c>
      <c r="H1732" s="15">
        <v>1</v>
      </c>
      <c r="I1732" s="15" t="str">
        <f t="shared" ca="1" si="392"/>
        <v>I2C_Expander_02</v>
      </c>
      <c r="J1732" s="15" t="str">
        <f t="shared" ca="1" si="393"/>
        <v>I2C_Expander_02!A75</v>
      </c>
      <c r="K1732" s="15" t="str">
        <f t="shared" ca="1" si="394"/>
        <v>I2C_Expander_02!B75</v>
      </c>
    </row>
    <row r="1733" spans="1:11" x14ac:dyDescent="0.25">
      <c r="A1733" s="3" t="str">
        <f t="shared" ca="1" si="395"/>
        <v xml:space="preserve">pins_state = 0x2D83 </v>
      </c>
      <c r="G1733" s="15">
        <f t="shared" ca="1" si="385"/>
        <v>76</v>
      </c>
      <c r="H1733" s="15">
        <v>1</v>
      </c>
      <c r="I1733" s="15" t="str">
        <f t="shared" ca="1" si="386"/>
        <v>I2C_Expander_02</v>
      </c>
      <c r="J1733" s="15" t="str">
        <f t="shared" ca="1" si="393"/>
        <v>I2C_Expander_02!A76</v>
      </c>
      <c r="K1733" s="15" t="str">
        <f t="shared" ca="1" si="394"/>
        <v>I2C_Expander_02!B76</v>
      </c>
    </row>
    <row r="1734" spans="1:11" x14ac:dyDescent="0.25">
      <c r="A1734" s="3" t="str">
        <f t="shared" ca="1" si="395"/>
        <v xml:space="preserve">pins_pull_up = 0x1000 </v>
      </c>
      <c r="G1734" s="15">
        <f t="shared" ca="1" si="385"/>
        <v>77</v>
      </c>
      <c r="H1734" s="15">
        <v>1</v>
      </c>
      <c r="I1734" s="15" t="str">
        <f t="shared" ca="1" si="386"/>
        <v>I2C_Expander_02</v>
      </c>
      <c r="J1734" s="15" t="str">
        <f t="shared" ca="1" si="393"/>
        <v>I2C_Expander_02!A77</v>
      </c>
      <c r="K1734" s="15" t="str">
        <f t="shared" ca="1" si="394"/>
        <v>I2C_Expander_02!B77</v>
      </c>
    </row>
    <row r="1735" spans="1:11" x14ac:dyDescent="0.25">
      <c r="A1735" s="3" t="str">
        <f t="shared" ca="1" si="395"/>
        <v xml:space="preserve">#pins_int = 0x0000 </v>
      </c>
      <c r="G1735" s="15">
        <f t="shared" ca="1" si="385"/>
        <v>78</v>
      </c>
      <c r="H1735" s="15">
        <v>1</v>
      </c>
      <c r="I1735" s="15" t="str">
        <f t="shared" ca="1" si="386"/>
        <v>I2C_Expander_02</v>
      </c>
      <c r="J1735" s="15" t="str">
        <f t="shared" ca="1" si="393"/>
        <v>I2C_Expander_02!A78</v>
      </c>
      <c r="K1735" s="15" t="str">
        <f t="shared" ca="1" si="394"/>
        <v>I2C_Expander_02!B78</v>
      </c>
    </row>
    <row r="1736" spans="1:11" x14ac:dyDescent="0.25">
      <c r="A1736" s="3" t="str">
        <f t="shared" ca="1" si="395"/>
        <v xml:space="preserve">#pins_def_val = 0x0000 </v>
      </c>
      <c r="G1736" s="15">
        <f t="shared" ca="1" si="385"/>
        <v>79</v>
      </c>
      <c r="H1736" s="15">
        <v>1</v>
      </c>
      <c r="I1736" s="15" t="str">
        <f t="shared" ca="1" si="386"/>
        <v>I2C_Expander_02</v>
      </c>
      <c r="J1736" s="15" t="str">
        <f t="shared" ca="1" si="393"/>
        <v>I2C_Expander_02!A79</v>
      </c>
      <c r="K1736" s="15" t="str">
        <f t="shared" ca="1" si="394"/>
        <v>I2C_Expander_02!B79</v>
      </c>
    </row>
    <row r="1737" spans="1:11" x14ac:dyDescent="0.25">
      <c r="A1737" s="3" t="str">
        <f t="shared" ca="1" si="395"/>
        <v/>
      </c>
      <c r="G1737" s="15">
        <f t="shared" ref="G1737:G1800" ca="1" si="406">G1736+1</f>
        <v>80</v>
      </c>
      <c r="H1737" s="15">
        <v>1</v>
      </c>
      <c r="I1737" s="15" t="str">
        <f t="shared" ref="I1737:I1800" ca="1" si="407">I1736</f>
        <v>I2C_Expander_02</v>
      </c>
      <c r="J1737" s="15" t="str">
        <f t="shared" ca="1" si="393"/>
        <v>I2C_Expander_02!A80</v>
      </c>
      <c r="K1737" s="15" t="str">
        <f t="shared" ca="1" si="394"/>
        <v>I2C_Expander_02!B80</v>
      </c>
    </row>
    <row r="1738" spans="1:11" x14ac:dyDescent="0.25">
      <c r="A1738" s="3" t="str">
        <f t="shared" ca="1" si="395"/>
        <v xml:space="preserve">#pins_int = 10 </v>
      </c>
      <c r="G1738" s="15">
        <f t="shared" ca="1" si="406"/>
        <v>81</v>
      </c>
      <c r="H1738" s="15">
        <v>1</v>
      </c>
      <c r="I1738" s="15" t="str">
        <f t="shared" ca="1" si="407"/>
        <v>I2C_Expander_02</v>
      </c>
      <c r="J1738" s="15" t="str">
        <f t="shared" ca="1" si="393"/>
        <v>I2C_Expander_02!A81</v>
      </c>
      <c r="K1738" s="15" t="str">
        <f t="shared" ca="1" si="394"/>
        <v>I2C_Expander_02!B81</v>
      </c>
    </row>
    <row r="1739" spans="1:11" x14ac:dyDescent="0.25">
      <c r="A1739" s="3" t="str">
        <f t="shared" ca="1" si="395"/>
        <v/>
      </c>
      <c r="C1739" s="16"/>
      <c r="G1739" s="15">
        <f t="shared" ca="1" si="406"/>
        <v>82</v>
      </c>
      <c r="H1739" s="15">
        <v>1</v>
      </c>
      <c r="I1739" s="15" t="str">
        <f t="shared" ca="1" si="407"/>
        <v>I2C_Expander_02</v>
      </c>
      <c r="J1739" s="15" t="str">
        <f t="shared" ca="1" si="393"/>
        <v>I2C_Expander_02!A82</v>
      </c>
      <c r="K1739" s="15" t="str">
        <f t="shared" ca="1" si="394"/>
        <v>I2C_Expander_02!B82</v>
      </c>
    </row>
    <row r="1740" spans="1:11" x14ac:dyDescent="0.25">
      <c r="A1740" s="3" t="str">
        <f t="shared" ca="1" si="395"/>
        <v/>
      </c>
      <c r="G1740" s="15">
        <f t="shared" ca="1" si="406"/>
        <v>83</v>
      </c>
      <c r="H1740" s="15">
        <v>1</v>
      </c>
      <c r="I1740" s="15" t="str">
        <f t="shared" ca="1" si="407"/>
        <v>I2C_Expander_02</v>
      </c>
      <c r="J1740" s="15" t="str">
        <f t="shared" ca="1" si="393"/>
        <v>I2C_Expander_02!A83</v>
      </c>
      <c r="K1740" s="15" t="str">
        <f t="shared" ca="1" si="394"/>
        <v>I2C_Expander_02!B83</v>
      </c>
    </row>
    <row r="1741" spans="1:11" x14ac:dyDescent="0.25">
      <c r="A1741" s="3" t="str">
        <f t="shared" ca="1" si="395"/>
        <v/>
      </c>
      <c r="G1741" s="15">
        <f t="shared" ca="1" si="406"/>
        <v>84</v>
      </c>
      <c r="H1741" s="15">
        <v>1</v>
      </c>
      <c r="I1741" s="15" t="str">
        <f t="shared" ca="1" si="407"/>
        <v>I2C_Expander_02</v>
      </c>
      <c r="J1741" s="15" t="str">
        <f t="shared" ca="1" si="393"/>
        <v>I2C_Expander_02!A84</v>
      </c>
      <c r="K1741" s="15" t="str">
        <f t="shared" ca="1" si="394"/>
        <v>I2C_Expander_02!B84</v>
      </c>
    </row>
    <row r="1742" spans="1:11" x14ac:dyDescent="0.25">
      <c r="A1742" s="3" t="str">
        <f t="shared" ca="1" si="395"/>
        <v/>
      </c>
      <c r="G1742" s="15">
        <f t="shared" ca="1" si="406"/>
        <v>85</v>
      </c>
      <c r="H1742" s="15">
        <v>1</v>
      </c>
      <c r="I1742" s="15" t="str">
        <f t="shared" ca="1" si="407"/>
        <v>I2C_Expander_02</v>
      </c>
      <c r="J1742" s="15" t="str">
        <f t="shared" ca="1" si="393"/>
        <v>I2C_Expander_02!A85</v>
      </c>
      <c r="K1742" s="15" t="str">
        <f t="shared" ca="1" si="394"/>
        <v>I2C_Expander_02!B85</v>
      </c>
    </row>
    <row r="1743" spans="1:11" x14ac:dyDescent="0.25">
      <c r="A1743" s="3" t="str">
        <f t="shared" ca="1" si="395"/>
        <v/>
      </c>
      <c r="G1743" s="15">
        <f t="shared" ca="1" si="406"/>
        <v>86</v>
      </c>
      <c r="H1743" s="15">
        <v>1</v>
      </c>
      <c r="I1743" s="15" t="str">
        <f t="shared" ca="1" si="407"/>
        <v>I2C_Expander_02</v>
      </c>
      <c r="J1743" s="15" t="str">
        <f t="shared" ca="1" si="393"/>
        <v>I2C_Expander_02!A86</v>
      </c>
      <c r="K1743" s="15" t="str">
        <f t="shared" ca="1" si="394"/>
        <v>I2C_Expander_02!B86</v>
      </c>
    </row>
    <row r="1744" spans="1:11" x14ac:dyDescent="0.25">
      <c r="A1744" s="3" t="str">
        <f t="shared" ca="1" si="395"/>
        <v/>
      </c>
      <c r="G1744" s="15">
        <f t="shared" ca="1" si="406"/>
        <v>87</v>
      </c>
      <c r="H1744" s="15">
        <v>1</v>
      </c>
      <c r="I1744" s="15" t="str">
        <f t="shared" ca="1" si="407"/>
        <v>I2C_Expander_02</v>
      </c>
      <c r="J1744" s="15" t="str">
        <f t="shared" ca="1" si="393"/>
        <v>I2C_Expander_02!A87</v>
      </c>
      <c r="K1744" s="15" t="str">
        <f t="shared" ca="1" si="394"/>
        <v>I2C_Expander_02!B87</v>
      </c>
    </row>
    <row r="1745" spans="1:16" x14ac:dyDescent="0.25">
      <c r="A1745" s="3" t="str">
        <f t="shared" ca="1" si="395"/>
        <v/>
      </c>
      <c r="G1745" s="15">
        <f t="shared" ca="1" si="406"/>
        <v>88</v>
      </c>
      <c r="H1745" s="15">
        <v>1</v>
      </c>
      <c r="I1745" s="15" t="str">
        <f t="shared" ca="1" si="407"/>
        <v>I2C_Expander_02</v>
      </c>
      <c r="J1745" s="15" t="str">
        <f t="shared" ca="1" si="393"/>
        <v>I2C_Expander_02!A88</v>
      </c>
      <c r="K1745" s="15" t="str">
        <f t="shared" ca="1" si="394"/>
        <v>I2C_Expander_02!B88</v>
      </c>
    </row>
    <row r="1746" spans="1:16" x14ac:dyDescent="0.25">
      <c r="A1746" s="3" t="str">
        <f t="shared" ca="1" si="395"/>
        <v/>
      </c>
      <c r="G1746" s="15">
        <f t="shared" ca="1" si="406"/>
        <v>89</v>
      </c>
      <c r="H1746" s="15">
        <v>1</v>
      </c>
      <c r="I1746" s="15" t="str">
        <f t="shared" ca="1" si="407"/>
        <v>I2C_Expander_02</v>
      </c>
      <c r="J1746" s="15" t="str">
        <f t="shared" ca="1" si="393"/>
        <v>I2C_Expander_02!A89</v>
      </c>
      <c r="K1746" s="15" t="str">
        <f t="shared" ca="1" si="394"/>
        <v>I2C_Expander_02!B89</v>
      </c>
    </row>
    <row r="1747" spans="1:16" x14ac:dyDescent="0.25">
      <c r="A1747" s="3" t="str">
        <f t="shared" ca="1" si="395"/>
        <v/>
      </c>
      <c r="G1747" s="15">
        <f t="shared" ca="1" si="406"/>
        <v>90</v>
      </c>
      <c r="H1747" s="15">
        <v>1</v>
      </c>
      <c r="I1747" s="15" t="str">
        <f t="shared" ca="1" si="407"/>
        <v>I2C_Expander_02</v>
      </c>
      <c r="J1747" s="15" t="str">
        <f t="shared" ca="1" si="393"/>
        <v>I2C_Expander_02!A90</v>
      </c>
      <c r="K1747" s="15" t="str">
        <f t="shared" ca="1" si="394"/>
        <v>I2C_Expander_02!B90</v>
      </c>
    </row>
    <row r="1748" spans="1:16" x14ac:dyDescent="0.25">
      <c r="A1748" s="3" t="str">
        <f t="shared" ca="1" si="395"/>
        <v/>
      </c>
      <c r="G1748" s="15">
        <f t="shared" ref="G1748" ca="1" si="408">INDIRECT(M1748)</f>
        <v>31</v>
      </c>
      <c r="H1748" s="15">
        <v>1</v>
      </c>
      <c r="I1748" s="15">
        <f t="shared" ref="I1748" ca="1" si="409">INDIRECT(N1748)</f>
        <v>0</v>
      </c>
      <c r="J1748" s="15" t="str">
        <f t="shared" ca="1" si="393"/>
        <v>'0'!A31</v>
      </c>
      <c r="K1748" s="15" t="str">
        <f t="shared" ca="1" si="394"/>
        <v>'0'!B31</v>
      </c>
      <c r="M1748" s="15" t="str">
        <f t="shared" ref="M1748" si="410">ADDRESS(O1748,3,4,1,$R$1)</f>
        <v>konfig!C89</v>
      </c>
      <c r="N1748" s="15" t="str">
        <f t="shared" ref="N1748" si="411">ADDRESS(O1748,1,4,1,$R$1)</f>
        <v>konfig!A89</v>
      </c>
      <c r="O1748" s="15">
        <v>89</v>
      </c>
      <c r="P1748" s="15">
        <v>4</v>
      </c>
    </row>
    <row r="1749" spans="1:16" x14ac:dyDescent="0.25">
      <c r="A1749" s="3" t="str">
        <f t="shared" ca="1" si="395"/>
        <v/>
      </c>
      <c r="G1749" s="15">
        <f t="shared" ca="1" si="400"/>
        <v>32</v>
      </c>
      <c r="H1749" s="15">
        <v>1</v>
      </c>
      <c r="I1749" s="15">
        <f t="shared" ca="1" si="401"/>
        <v>0</v>
      </c>
      <c r="J1749" s="15" t="str">
        <f t="shared" ca="1" si="393"/>
        <v>'0'!A32</v>
      </c>
      <c r="K1749" s="15" t="str">
        <f t="shared" ca="1" si="394"/>
        <v>'0'!B32</v>
      </c>
    </row>
    <row r="1750" spans="1:16" x14ac:dyDescent="0.25">
      <c r="A1750" s="3" t="str">
        <f t="shared" ca="1" si="395"/>
        <v/>
      </c>
      <c r="G1750" s="15">
        <f t="shared" ca="1" si="406"/>
        <v>33</v>
      </c>
      <c r="H1750" s="15">
        <v>1</v>
      </c>
      <c r="I1750" s="15">
        <f t="shared" ca="1" si="407"/>
        <v>0</v>
      </c>
      <c r="J1750" s="15" t="str">
        <f t="shared" ca="1" si="393"/>
        <v>'0'!A33</v>
      </c>
      <c r="K1750" s="15" t="str">
        <f t="shared" ca="1" si="394"/>
        <v>'0'!B33</v>
      </c>
    </row>
    <row r="1751" spans="1:16" x14ac:dyDescent="0.25">
      <c r="A1751" s="3" t="str">
        <f t="shared" ca="1" si="395"/>
        <v/>
      </c>
      <c r="C1751" s="16"/>
      <c r="G1751" s="15">
        <f t="shared" ca="1" si="406"/>
        <v>34</v>
      </c>
      <c r="H1751" s="15">
        <v>1</v>
      </c>
      <c r="I1751" s="15">
        <f t="shared" ca="1" si="407"/>
        <v>0</v>
      </c>
      <c r="J1751" s="15" t="str">
        <f t="shared" ca="1" si="393"/>
        <v>'0'!A34</v>
      </c>
      <c r="K1751" s="15" t="str">
        <f t="shared" ca="1" si="394"/>
        <v>'0'!B34</v>
      </c>
    </row>
    <row r="1752" spans="1:16" x14ac:dyDescent="0.25">
      <c r="A1752" s="3" t="str">
        <f t="shared" ca="1" si="395"/>
        <v/>
      </c>
      <c r="G1752" s="15">
        <f t="shared" ca="1" si="406"/>
        <v>35</v>
      </c>
      <c r="H1752" s="15">
        <v>1</v>
      </c>
      <c r="I1752" s="15">
        <f t="shared" ca="1" si="407"/>
        <v>0</v>
      </c>
      <c r="J1752" s="15" t="str">
        <f t="shared" ca="1" si="393"/>
        <v>'0'!A35</v>
      </c>
      <c r="K1752" s="15" t="str">
        <f t="shared" ca="1" si="394"/>
        <v>'0'!B35</v>
      </c>
    </row>
    <row r="1753" spans="1:16" x14ac:dyDescent="0.25">
      <c r="A1753" s="3" t="str">
        <f t="shared" ca="1" si="395"/>
        <v/>
      </c>
      <c r="G1753" s="15">
        <f t="shared" ca="1" si="406"/>
        <v>36</v>
      </c>
      <c r="H1753" s="15">
        <v>1</v>
      </c>
      <c r="I1753" s="15">
        <f t="shared" ca="1" si="407"/>
        <v>0</v>
      </c>
      <c r="J1753" s="15" t="str">
        <f t="shared" ca="1" si="393"/>
        <v>'0'!A36</v>
      </c>
      <c r="K1753" s="15" t="str">
        <f t="shared" ca="1" si="394"/>
        <v>'0'!B36</v>
      </c>
    </row>
    <row r="1754" spans="1:16" x14ac:dyDescent="0.25">
      <c r="A1754" s="3" t="str">
        <f t="shared" ca="1" si="395"/>
        <v/>
      </c>
      <c r="G1754" s="15">
        <f t="shared" ca="1" si="406"/>
        <v>37</v>
      </c>
      <c r="H1754" s="15">
        <v>1</v>
      </c>
      <c r="I1754" s="15">
        <f t="shared" ca="1" si="407"/>
        <v>0</v>
      </c>
      <c r="J1754" s="15" t="str">
        <f t="shared" ca="1" si="393"/>
        <v>'0'!A37</v>
      </c>
      <c r="K1754" s="15" t="str">
        <f t="shared" ca="1" si="394"/>
        <v>'0'!B37</v>
      </c>
    </row>
    <row r="1755" spans="1:16" x14ac:dyDescent="0.25">
      <c r="A1755" s="3" t="str">
        <f t="shared" ca="1" si="395"/>
        <v/>
      </c>
      <c r="G1755" s="15">
        <f t="shared" ca="1" si="406"/>
        <v>38</v>
      </c>
      <c r="H1755" s="15">
        <v>1</v>
      </c>
      <c r="I1755" s="15">
        <f t="shared" ca="1" si="407"/>
        <v>0</v>
      </c>
      <c r="J1755" s="15" t="str">
        <f t="shared" ca="1" si="393"/>
        <v>'0'!A38</v>
      </c>
      <c r="K1755" s="15" t="str">
        <f t="shared" ca="1" si="394"/>
        <v>'0'!B38</v>
      </c>
    </row>
    <row r="1756" spans="1:16" x14ac:dyDescent="0.25">
      <c r="A1756" s="3" t="str">
        <f t="shared" ca="1" si="395"/>
        <v/>
      </c>
      <c r="G1756" s="15">
        <f t="shared" ca="1" si="406"/>
        <v>39</v>
      </c>
      <c r="H1756" s="15">
        <v>1</v>
      </c>
      <c r="I1756" s="15">
        <f t="shared" ca="1" si="407"/>
        <v>0</v>
      </c>
      <c r="J1756" s="15" t="str">
        <f t="shared" ca="1" si="393"/>
        <v>'0'!A39</v>
      </c>
      <c r="K1756" s="15" t="str">
        <f t="shared" ca="1" si="394"/>
        <v>'0'!B39</v>
      </c>
    </row>
    <row r="1757" spans="1:16" x14ac:dyDescent="0.25">
      <c r="A1757" s="3" t="str">
        <f t="shared" ca="1" si="395"/>
        <v/>
      </c>
      <c r="G1757" s="15">
        <f t="shared" ca="1" si="406"/>
        <v>40</v>
      </c>
      <c r="H1757" s="15">
        <v>1</v>
      </c>
      <c r="I1757" s="15">
        <f t="shared" ca="1" si="407"/>
        <v>0</v>
      </c>
      <c r="J1757" s="15" t="str">
        <f t="shared" ca="1" si="393"/>
        <v>'0'!A40</v>
      </c>
      <c r="K1757" s="15" t="str">
        <f t="shared" ca="1" si="394"/>
        <v>'0'!B40</v>
      </c>
    </row>
    <row r="1758" spans="1:16" x14ac:dyDescent="0.25">
      <c r="A1758" s="3" t="str">
        <f t="shared" ca="1" si="395"/>
        <v/>
      </c>
      <c r="G1758" s="15">
        <f t="shared" ca="1" si="406"/>
        <v>41</v>
      </c>
      <c r="H1758" s="15">
        <v>1</v>
      </c>
      <c r="I1758" s="15">
        <f t="shared" ca="1" si="407"/>
        <v>0</v>
      </c>
      <c r="J1758" s="15" t="str">
        <f t="shared" ca="1" si="393"/>
        <v>'0'!A41</v>
      </c>
      <c r="K1758" s="15" t="str">
        <f t="shared" ca="1" si="394"/>
        <v>'0'!B41</v>
      </c>
    </row>
    <row r="1759" spans="1:16" x14ac:dyDescent="0.25">
      <c r="A1759" s="3" t="str">
        <f t="shared" ca="1" si="395"/>
        <v/>
      </c>
      <c r="C1759" s="16"/>
      <c r="G1759" s="15">
        <f t="shared" ca="1" si="406"/>
        <v>42</v>
      </c>
      <c r="H1759" s="15">
        <v>1</v>
      </c>
      <c r="I1759" s="15">
        <f t="shared" ca="1" si="407"/>
        <v>0</v>
      </c>
      <c r="J1759" s="15" t="str">
        <f t="shared" ca="1" si="393"/>
        <v>'0'!A42</v>
      </c>
      <c r="K1759" s="15" t="str">
        <f t="shared" ca="1" si="394"/>
        <v>'0'!B42</v>
      </c>
    </row>
    <row r="1760" spans="1:16" x14ac:dyDescent="0.25">
      <c r="A1760" s="3" t="str">
        <f t="shared" ca="1" si="395"/>
        <v/>
      </c>
      <c r="G1760" s="15">
        <f t="shared" ca="1" si="406"/>
        <v>43</v>
      </c>
      <c r="H1760" s="15">
        <v>1</v>
      </c>
      <c r="I1760" s="15">
        <f t="shared" ca="1" si="407"/>
        <v>0</v>
      </c>
      <c r="J1760" s="15" t="str">
        <f t="shared" ca="1" si="393"/>
        <v>'0'!A43</v>
      </c>
      <c r="K1760" s="15" t="str">
        <f t="shared" ca="1" si="394"/>
        <v>'0'!B43</v>
      </c>
    </row>
    <row r="1761" spans="1:16" x14ac:dyDescent="0.25">
      <c r="A1761" s="3" t="str">
        <f t="shared" ca="1" si="395"/>
        <v/>
      </c>
      <c r="G1761" s="15">
        <f t="shared" ca="1" si="406"/>
        <v>44</v>
      </c>
      <c r="H1761" s="15">
        <v>1</v>
      </c>
      <c r="I1761" s="15">
        <f t="shared" ca="1" si="407"/>
        <v>0</v>
      </c>
      <c r="J1761" s="15" t="str">
        <f t="shared" ca="1" si="393"/>
        <v>'0'!A44</v>
      </c>
      <c r="K1761" s="15" t="str">
        <f t="shared" ca="1" si="394"/>
        <v>'0'!B44</v>
      </c>
    </row>
    <row r="1762" spans="1:16" x14ac:dyDescent="0.25">
      <c r="A1762" s="3" t="str">
        <f t="shared" ca="1" si="395"/>
        <v/>
      </c>
      <c r="G1762" s="15">
        <f t="shared" ca="1" si="406"/>
        <v>45</v>
      </c>
      <c r="H1762" s="15">
        <v>1</v>
      </c>
      <c r="I1762" s="15">
        <f t="shared" ca="1" si="407"/>
        <v>0</v>
      </c>
      <c r="J1762" s="15" t="str">
        <f t="shared" ca="1" si="393"/>
        <v>'0'!A45</v>
      </c>
      <c r="K1762" s="15" t="str">
        <f t="shared" ca="1" si="394"/>
        <v>'0'!B45</v>
      </c>
    </row>
    <row r="1763" spans="1:16" x14ac:dyDescent="0.25">
      <c r="A1763" s="3" t="str">
        <f t="shared" ca="1" si="395"/>
        <v/>
      </c>
      <c r="G1763" s="15">
        <f t="shared" ca="1" si="406"/>
        <v>46</v>
      </c>
      <c r="H1763" s="15">
        <v>1</v>
      </c>
      <c r="I1763" s="15">
        <f t="shared" ca="1" si="407"/>
        <v>0</v>
      </c>
      <c r="J1763" s="15" t="str">
        <f t="shared" ca="1" si="393"/>
        <v>'0'!A46</v>
      </c>
      <c r="K1763" s="15" t="str">
        <f t="shared" ca="1" si="394"/>
        <v>'0'!B46</v>
      </c>
    </row>
    <row r="1764" spans="1:16" x14ac:dyDescent="0.25">
      <c r="A1764" s="3" t="str">
        <f t="shared" ca="1" si="395"/>
        <v/>
      </c>
      <c r="G1764" s="15">
        <f t="shared" ca="1" si="406"/>
        <v>47</v>
      </c>
      <c r="H1764" s="15">
        <v>1</v>
      </c>
      <c r="I1764" s="15">
        <f t="shared" ca="1" si="407"/>
        <v>0</v>
      </c>
      <c r="J1764" s="15" t="str">
        <f t="shared" ref="J1764:J1827" ca="1" si="412">ADDRESS(G1764,H1764,4,1,I1764)</f>
        <v>'0'!A47</v>
      </c>
      <c r="K1764" s="15" t="str">
        <f t="shared" ref="K1764:K1827" ca="1" si="413">ADDRESS(G1764,H1764+1,4,1,I1764)</f>
        <v>'0'!B47</v>
      </c>
    </row>
    <row r="1765" spans="1:16" x14ac:dyDescent="0.25">
      <c r="A1765" s="3" t="str">
        <f t="shared" ca="1" si="395"/>
        <v/>
      </c>
      <c r="G1765" s="15">
        <f t="shared" ca="1" si="406"/>
        <v>48</v>
      </c>
      <c r="H1765" s="15">
        <v>1</v>
      </c>
      <c r="I1765" s="15">
        <f t="shared" ca="1" si="407"/>
        <v>0</v>
      </c>
      <c r="J1765" s="15" t="str">
        <f t="shared" ca="1" si="412"/>
        <v>'0'!A48</v>
      </c>
      <c r="K1765" s="15" t="str">
        <f t="shared" ca="1" si="413"/>
        <v>'0'!B48</v>
      </c>
    </row>
    <row r="1766" spans="1:16" x14ac:dyDescent="0.25">
      <c r="A1766" s="3" t="str">
        <f t="shared" ca="1" si="395"/>
        <v/>
      </c>
      <c r="G1766" s="15">
        <f t="shared" ca="1" si="406"/>
        <v>49</v>
      </c>
      <c r="H1766" s="15">
        <v>1</v>
      </c>
      <c r="I1766" s="15">
        <f t="shared" ca="1" si="407"/>
        <v>0</v>
      </c>
      <c r="J1766" s="15" t="str">
        <f t="shared" ca="1" si="412"/>
        <v>'0'!A49</v>
      </c>
      <c r="K1766" s="15" t="str">
        <f t="shared" ca="1" si="413"/>
        <v>'0'!B49</v>
      </c>
    </row>
    <row r="1767" spans="1:16" x14ac:dyDescent="0.25">
      <c r="A1767" s="3" t="str">
        <f t="shared" ca="1" si="395"/>
        <v/>
      </c>
      <c r="G1767" s="15">
        <f t="shared" ca="1" si="406"/>
        <v>50</v>
      </c>
      <c r="H1767" s="15">
        <v>1</v>
      </c>
      <c r="I1767" s="15">
        <f t="shared" ca="1" si="407"/>
        <v>0</v>
      </c>
      <c r="J1767" s="15" t="str">
        <f t="shared" ca="1" si="412"/>
        <v>'0'!A50</v>
      </c>
      <c r="K1767" s="15" t="str">
        <f t="shared" ca="1" si="413"/>
        <v>'0'!B50</v>
      </c>
    </row>
    <row r="1768" spans="1:16" x14ac:dyDescent="0.25">
      <c r="A1768" s="3" t="str">
        <f t="shared" ca="1" si="395"/>
        <v/>
      </c>
      <c r="G1768" s="15">
        <f t="shared" ref="G1768" ca="1" si="414">INDIRECT(M1768)</f>
        <v>31</v>
      </c>
      <c r="H1768" s="15">
        <v>1</v>
      </c>
      <c r="I1768" s="15">
        <f t="shared" ref="I1768" ca="1" si="415">INDIRECT(N1768)</f>
        <v>0</v>
      </c>
      <c r="J1768" s="15" t="str">
        <f t="shared" ca="1" si="412"/>
        <v>'0'!A31</v>
      </c>
      <c r="K1768" s="15" t="str">
        <f t="shared" ca="1" si="413"/>
        <v>'0'!B31</v>
      </c>
      <c r="M1768" s="15" t="str">
        <f t="shared" ref="M1768" si="416">ADDRESS(O1768,3,4,1,$R$1)</f>
        <v>konfig!C90</v>
      </c>
      <c r="N1768" s="15" t="str">
        <f t="shared" ref="N1768" si="417">ADDRESS(O1768,1,4,1,$R$1)</f>
        <v>konfig!A90</v>
      </c>
      <c r="O1768" s="15">
        <v>90</v>
      </c>
      <c r="P1768" s="15">
        <v>4</v>
      </c>
    </row>
    <row r="1769" spans="1:16" x14ac:dyDescent="0.25">
      <c r="A1769" s="3" t="str">
        <f t="shared" ca="1" si="395"/>
        <v/>
      </c>
      <c r="G1769" s="15">
        <f t="shared" ref="G1769:G1812" ca="1" si="418">G1768+1</f>
        <v>32</v>
      </c>
      <c r="H1769" s="15">
        <v>1</v>
      </c>
      <c r="I1769" s="15">
        <f t="shared" ref="I1769:I1812" ca="1" si="419">I1768</f>
        <v>0</v>
      </c>
      <c r="J1769" s="15" t="str">
        <f t="shared" ca="1" si="412"/>
        <v>'0'!A32</v>
      </c>
      <c r="K1769" s="15" t="str">
        <f t="shared" ca="1" si="413"/>
        <v>'0'!B32</v>
      </c>
    </row>
    <row r="1770" spans="1:16" x14ac:dyDescent="0.25">
      <c r="A1770" s="3" t="str">
        <f t="shared" ca="1" si="395"/>
        <v/>
      </c>
      <c r="G1770" s="15">
        <f t="shared" ca="1" si="418"/>
        <v>33</v>
      </c>
      <c r="H1770" s="15">
        <v>1</v>
      </c>
      <c r="I1770" s="15">
        <f t="shared" ca="1" si="419"/>
        <v>0</v>
      </c>
      <c r="J1770" s="15" t="str">
        <f t="shared" ca="1" si="412"/>
        <v>'0'!A33</v>
      </c>
      <c r="K1770" s="15" t="str">
        <f t="shared" ca="1" si="413"/>
        <v>'0'!B33</v>
      </c>
    </row>
    <row r="1771" spans="1:16" x14ac:dyDescent="0.25">
      <c r="A1771" s="3" t="str">
        <f t="shared" ca="1" si="395"/>
        <v/>
      </c>
      <c r="C1771" s="16"/>
      <c r="G1771" s="15">
        <f t="shared" ca="1" si="418"/>
        <v>34</v>
      </c>
      <c r="H1771" s="15">
        <v>1</v>
      </c>
      <c r="I1771" s="15">
        <f t="shared" ca="1" si="419"/>
        <v>0</v>
      </c>
      <c r="J1771" s="15" t="str">
        <f t="shared" ca="1" si="412"/>
        <v>'0'!A34</v>
      </c>
      <c r="K1771" s="15" t="str">
        <f t="shared" ca="1" si="413"/>
        <v>'0'!B34</v>
      </c>
    </row>
    <row r="1772" spans="1:16" x14ac:dyDescent="0.25">
      <c r="A1772" s="3" t="str">
        <f t="shared" ref="A1772:A1835" ca="1" si="420">IFERROR(IF(INDIRECT(J1772)&lt;&gt;"",CONCATENATE(INDIRECT(J1772)," = ",INDIRECT(K1772)," "),""),"")</f>
        <v/>
      </c>
      <c r="G1772" s="15">
        <f t="shared" ca="1" si="418"/>
        <v>35</v>
      </c>
      <c r="H1772" s="15">
        <v>1</v>
      </c>
      <c r="I1772" s="15">
        <f t="shared" ca="1" si="419"/>
        <v>0</v>
      </c>
      <c r="J1772" s="15" t="str">
        <f t="shared" ca="1" si="412"/>
        <v>'0'!A35</v>
      </c>
      <c r="K1772" s="15" t="str">
        <f t="shared" ca="1" si="413"/>
        <v>'0'!B35</v>
      </c>
    </row>
    <row r="1773" spans="1:16" x14ac:dyDescent="0.25">
      <c r="A1773" s="3" t="str">
        <f t="shared" ca="1" si="420"/>
        <v/>
      </c>
      <c r="G1773" s="15">
        <f t="shared" ca="1" si="406"/>
        <v>36</v>
      </c>
      <c r="H1773" s="15">
        <v>1</v>
      </c>
      <c r="I1773" s="15">
        <f t="shared" ca="1" si="407"/>
        <v>0</v>
      </c>
      <c r="J1773" s="15" t="str">
        <f t="shared" ca="1" si="412"/>
        <v>'0'!A36</v>
      </c>
      <c r="K1773" s="15" t="str">
        <f t="shared" ca="1" si="413"/>
        <v>'0'!B36</v>
      </c>
    </row>
    <row r="1774" spans="1:16" x14ac:dyDescent="0.25">
      <c r="A1774" s="3" t="str">
        <f t="shared" ca="1" si="420"/>
        <v/>
      </c>
      <c r="G1774" s="15">
        <f t="shared" ca="1" si="406"/>
        <v>37</v>
      </c>
      <c r="H1774" s="15">
        <v>1</v>
      </c>
      <c r="I1774" s="15">
        <f t="shared" ca="1" si="407"/>
        <v>0</v>
      </c>
      <c r="J1774" s="15" t="str">
        <f t="shared" ca="1" si="412"/>
        <v>'0'!A37</v>
      </c>
      <c r="K1774" s="15" t="str">
        <f t="shared" ca="1" si="413"/>
        <v>'0'!B37</v>
      </c>
    </row>
    <row r="1775" spans="1:16" x14ac:dyDescent="0.25">
      <c r="A1775" s="3" t="str">
        <f t="shared" ca="1" si="420"/>
        <v/>
      </c>
      <c r="G1775" s="15">
        <f t="shared" ca="1" si="406"/>
        <v>38</v>
      </c>
      <c r="H1775" s="15">
        <v>1</v>
      </c>
      <c r="I1775" s="15">
        <f t="shared" ca="1" si="407"/>
        <v>0</v>
      </c>
      <c r="J1775" s="15" t="str">
        <f t="shared" ca="1" si="412"/>
        <v>'0'!A38</v>
      </c>
      <c r="K1775" s="15" t="str">
        <f t="shared" ca="1" si="413"/>
        <v>'0'!B38</v>
      </c>
    </row>
    <row r="1776" spans="1:16" x14ac:dyDescent="0.25">
      <c r="A1776" s="3" t="str">
        <f t="shared" ca="1" si="420"/>
        <v/>
      </c>
      <c r="G1776" s="15">
        <f t="shared" ca="1" si="406"/>
        <v>39</v>
      </c>
      <c r="H1776" s="15">
        <v>1</v>
      </c>
      <c r="I1776" s="15">
        <f t="shared" ca="1" si="407"/>
        <v>0</v>
      </c>
      <c r="J1776" s="15" t="str">
        <f t="shared" ca="1" si="412"/>
        <v>'0'!A39</v>
      </c>
      <c r="K1776" s="15" t="str">
        <f t="shared" ca="1" si="413"/>
        <v>'0'!B39</v>
      </c>
    </row>
    <row r="1777" spans="1:16" x14ac:dyDescent="0.25">
      <c r="A1777" s="3" t="str">
        <f t="shared" ca="1" si="420"/>
        <v/>
      </c>
      <c r="G1777" s="15">
        <f t="shared" ca="1" si="406"/>
        <v>40</v>
      </c>
      <c r="H1777" s="15">
        <v>1</v>
      </c>
      <c r="I1777" s="15">
        <f t="shared" ca="1" si="407"/>
        <v>0</v>
      </c>
      <c r="J1777" s="15" t="str">
        <f t="shared" ca="1" si="412"/>
        <v>'0'!A40</v>
      </c>
      <c r="K1777" s="15" t="str">
        <f t="shared" ca="1" si="413"/>
        <v>'0'!B40</v>
      </c>
    </row>
    <row r="1778" spans="1:16" x14ac:dyDescent="0.25">
      <c r="A1778" s="3" t="str">
        <f t="shared" ca="1" si="420"/>
        <v/>
      </c>
      <c r="G1778" s="15">
        <f t="shared" ca="1" si="406"/>
        <v>41</v>
      </c>
      <c r="H1778" s="15">
        <v>1</v>
      </c>
      <c r="I1778" s="15">
        <f t="shared" ca="1" si="407"/>
        <v>0</v>
      </c>
      <c r="J1778" s="15" t="str">
        <f t="shared" ca="1" si="412"/>
        <v>'0'!A41</v>
      </c>
      <c r="K1778" s="15" t="str">
        <f t="shared" ca="1" si="413"/>
        <v>'0'!B41</v>
      </c>
    </row>
    <row r="1779" spans="1:16" x14ac:dyDescent="0.25">
      <c r="A1779" s="3" t="str">
        <f t="shared" ca="1" si="420"/>
        <v/>
      </c>
      <c r="C1779" s="16"/>
      <c r="G1779" s="15">
        <f t="shared" ca="1" si="406"/>
        <v>42</v>
      </c>
      <c r="H1779" s="15">
        <v>1</v>
      </c>
      <c r="I1779" s="15">
        <f t="shared" ca="1" si="407"/>
        <v>0</v>
      </c>
      <c r="J1779" s="15" t="str">
        <f t="shared" ca="1" si="412"/>
        <v>'0'!A42</v>
      </c>
      <c r="K1779" s="15" t="str">
        <f t="shared" ca="1" si="413"/>
        <v>'0'!B42</v>
      </c>
    </row>
    <row r="1780" spans="1:16" x14ac:dyDescent="0.25">
      <c r="A1780" s="3" t="str">
        <f t="shared" ca="1" si="420"/>
        <v/>
      </c>
      <c r="G1780" s="15">
        <f t="shared" ca="1" si="406"/>
        <v>43</v>
      </c>
      <c r="H1780" s="15">
        <v>1</v>
      </c>
      <c r="I1780" s="15">
        <f t="shared" ca="1" si="407"/>
        <v>0</v>
      </c>
      <c r="J1780" s="15" t="str">
        <f t="shared" ca="1" si="412"/>
        <v>'0'!A43</v>
      </c>
      <c r="K1780" s="15" t="str">
        <f t="shared" ca="1" si="413"/>
        <v>'0'!B43</v>
      </c>
    </row>
    <row r="1781" spans="1:16" x14ac:dyDescent="0.25">
      <c r="A1781" s="3" t="str">
        <f t="shared" ca="1" si="420"/>
        <v/>
      </c>
      <c r="G1781" s="15">
        <f t="shared" ca="1" si="406"/>
        <v>44</v>
      </c>
      <c r="H1781" s="15">
        <v>1</v>
      </c>
      <c r="I1781" s="15">
        <f t="shared" ca="1" si="407"/>
        <v>0</v>
      </c>
      <c r="J1781" s="15" t="str">
        <f t="shared" ca="1" si="412"/>
        <v>'0'!A44</v>
      </c>
      <c r="K1781" s="15" t="str">
        <f t="shared" ca="1" si="413"/>
        <v>'0'!B44</v>
      </c>
    </row>
    <row r="1782" spans="1:16" x14ac:dyDescent="0.25">
      <c r="A1782" s="3" t="str">
        <f t="shared" ca="1" si="420"/>
        <v/>
      </c>
      <c r="G1782" s="15">
        <f t="shared" ca="1" si="406"/>
        <v>45</v>
      </c>
      <c r="H1782" s="15">
        <v>1</v>
      </c>
      <c r="I1782" s="15">
        <f t="shared" ca="1" si="407"/>
        <v>0</v>
      </c>
      <c r="J1782" s="15" t="str">
        <f t="shared" ca="1" si="412"/>
        <v>'0'!A45</v>
      </c>
      <c r="K1782" s="15" t="str">
        <f t="shared" ca="1" si="413"/>
        <v>'0'!B45</v>
      </c>
    </row>
    <row r="1783" spans="1:16" x14ac:dyDescent="0.25">
      <c r="A1783" s="3" t="str">
        <f t="shared" ca="1" si="420"/>
        <v/>
      </c>
      <c r="G1783" s="15">
        <f t="shared" ca="1" si="406"/>
        <v>46</v>
      </c>
      <c r="H1783" s="15">
        <v>1</v>
      </c>
      <c r="I1783" s="15">
        <f t="shared" ca="1" si="407"/>
        <v>0</v>
      </c>
      <c r="J1783" s="15" t="str">
        <f t="shared" ca="1" si="412"/>
        <v>'0'!A46</v>
      </c>
      <c r="K1783" s="15" t="str">
        <f t="shared" ca="1" si="413"/>
        <v>'0'!B46</v>
      </c>
    </row>
    <row r="1784" spans="1:16" x14ac:dyDescent="0.25">
      <c r="A1784" s="3" t="str">
        <f t="shared" ca="1" si="420"/>
        <v/>
      </c>
      <c r="G1784" s="15">
        <f t="shared" ca="1" si="406"/>
        <v>47</v>
      </c>
      <c r="H1784" s="15">
        <v>1</v>
      </c>
      <c r="I1784" s="15">
        <f t="shared" ca="1" si="407"/>
        <v>0</v>
      </c>
      <c r="J1784" s="15" t="str">
        <f t="shared" ca="1" si="412"/>
        <v>'0'!A47</v>
      </c>
      <c r="K1784" s="15" t="str">
        <f t="shared" ca="1" si="413"/>
        <v>'0'!B47</v>
      </c>
    </row>
    <row r="1785" spans="1:16" x14ac:dyDescent="0.25">
      <c r="A1785" s="3" t="str">
        <f t="shared" ca="1" si="420"/>
        <v/>
      </c>
      <c r="G1785" s="15">
        <f t="shared" ca="1" si="406"/>
        <v>48</v>
      </c>
      <c r="H1785" s="15">
        <v>1</v>
      </c>
      <c r="I1785" s="15">
        <f t="shared" ca="1" si="407"/>
        <v>0</v>
      </c>
      <c r="J1785" s="15" t="str">
        <f t="shared" ca="1" si="412"/>
        <v>'0'!A48</v>
      </c>
      <c r="K1785" s="15" t="str">
        <f t="shared" ca="1" si="413"/>
        <v>'0'!B48</v>
      </c>
    </row>
    <row r="1786" spans="1:16" x14ac:dyDescent="0.25">
      <c r="A1786" s="3" t="str">
        <f t="shared" ca="1" si="420"/>
        <v/>
      </c>
      <c r="G1786" s="15">
        <f t="shared" ca="1" si="406"/>
        <v>49</v>
      </c>
      <c r="H1786" s="15">
        <v>1</v>
      </c>
      <c r="I1786" s="15">
        <f t="shared" ca="1" si="407"/>
        <v>0</v>
      </c>
      <c r="J1786" s="15" t="str">
        <f t="shared" ca="1" si="412"/>
        <v>'0'!A49</v>
      </c>
      <c r="K1786" s="15" t="str">
        <f t="shared" ca="1" si="413"/>
        <v>'0'!B49</v>
      </c>
    </row>
    <row r="1787" spans="1:16" x14ac:dyDescent="0.25">
      <c r="A1787" s="3" t="str">
        <f t="shared" ca="1" si="420"/>
        <v/>
      </c>
      <c r="G1787" s="15">
        <f t="shared" ca="1" si="406"/>
        <v>50</v>
      </c>
      <c r="H1787" s="15">
        <v>1</v>
      </c>
      <c r="I1787" s="15">
        <f t="shared" ca="1" si="407"/>
        <v>0</v>
      </c>
      <c r="J1787" s="15" t="str">
        <f t="shared" ca="1" si="412"/>
        <v>'0'!A50</v>
      </c>
      <c r="K1787" s="15" t="str">
        <f t="shared" ca="1" si="413"/>
        <v>'0'!B50</v>
      </c>
    </row>
    <row r="1788" spans="1:16" x14ac:dyDescent="0.25">
      <c r="A1788" s="3" t="str">
        <f t="shared" ca="1" si="420"/>
        <v/>
      </c>
      <c r="G1788" s="15">
        <f t="shared" ref="G1788" ca="1" si="421">INDIRECT(M1788)</f>
        <v>31</v>
      </c>
      <c r="H1788" s="15">
        <v>1</v>
      </c>
      <c r="I1788" s="15" t="str">
        <f t="shared" ref="I1788" ca="1" si="422">INDIRECT(N1788)</f>
        <v>karta 1 ILS</v>
      </c>
      <c r="J1788" s="15" t="str">
        <f t="shared" ca="1" si="412"/>
        <v>'karta 1 ILS'!A31</v>
      </c>
      <c r="K1788" s="15" t="str">
        <f t="shared" ca="1" si="413"/>
        <v>'karta 1 ILS'!B31</v>
      </c>
      <c r="M1788" s="15" t="str">
        <f t="shared" ref="M1788" si="423">ADDRESS(O1788,3,4,1,$R$1)</f>
        <v>konfig!C91</v>
      </c>
      <c r="N1788" s="15" t="str">
        <f t="shared" ref="N1788" si="424">ADDRESS(O1788,1,4,1,$R$1)</f>
        <v>konfig!A91</v>
      </c>
      <c r="O1788" s="15">
        <v>91</v>
      </c>
      <c r="P1788" s="15">
        <v>4</v>
      </c>
    </row>
    <row r="1789" spans="1:16" x14ac:dyDescent="0.25">
      <c r="A1789" s="3" t="str">
        <f t="shared" ca="1" si="420"/>
        <v/>
      </c>
      <c r="G1789" s="15">
        <f t="shared" ref="G1789:G1829" ca="1" si="425">G1788+1</f>
        <v>32</v>
      </c>
      <c r="H1789" s="15">
        <v>1</v>
      </c>
      <c r="I1789" s="15" t="str">
        <f t="shared" ref="I1789:I1829" ca="1" si="426">I1788</f>
        <v>karta 1 ILS</v>
      </c>
      <c r="J1789" s="15" t="str">
        <f t="shared" ca="1" si="412"/>
        <v>'karta 1 ILS'!A32</v>
      </c>
      <c r="K1789" s="15" t="str">
        <f t="shared" ca="1" si="413"/>
        <v>'karta 1 ILS'!B32</v>
      </c>
    </row>
    <row r="1790" spans="1:16" x14ac:dyDescent="0.25">
      <c r="A1790" s="3" t="str">
        <f t="shared" ca="1" si="420"/>
        <v/>
      </c>
      <c r="G1790" s="15">
        <f t="shared" ca="1" si="406"/>
        <v>33</v>
      </c>
      <c r="H1790" s="15">
        <v>1</v>
      </c>
      <c r="I1790" s="15" t="str">
        <f t="shared" ca="1" si="407"/>
        <v>karta 1 ILS</v>
      </c>
      <c r="J1790" s="15" t="str">
        <f t="shared" ca="1" si="412"/>
        <v>'karta 1 ILS'!A33</v>
      </c>
      <c r="K1790" s="15" t="str">
        <f t="shared" ca="1" si="413"/>
        <v>'karta 1 ILS'!B33</v>
      </c>
    </row>
    <row r="1791" spans="1:16" x14ac:dyDescent="0.25">
      <c r="A1791" s="3" t="str">
        <f t="shared" ca="1" si="420"/>
        <v/>
      </c>
      <c r="C1791" s="16"/>
      <c r="G1791" s="15">
        <f t="shared" ca="1" si="406"/>
        <v>34</v>
      </c>
      <c r="H1791" s="15">
        <v>1</v>
      </c>
      <c r="I1791" s="15" t="str">
        <f t="shared" ca="1" si="407"/>
        <v>karta 1 ILS</v>
      </c>
      <c r="J1791" s="15" t="str">
        <f t="shared" ca="1" si="412"/>
        <v>'karta 1 ILS'!A34</v>
      </c>
      <c r="K1791" s="15" t="str">
        <f t="shared" ca="1" si="413"/>
        <v>'karta 1 ILS'!B34</v>
      </c>
    </row>
    <row r="1792" spans="1:16" x14ac:dyDescent="0.25">
      <c r="A1792" s="3" t="str">
        <f t="shared" ca="1" si="420"/>
        <v/>
      </c>
      <c r="G1792" s="15">
        <f t="shared" ca="1" si="406"/>
        <v>35</v>
      </c>
      <c r="H1792" s="15">
        <v>1</v>
      </c>
      <c r="I1792" s="15" t="str">
        <f t="shared" ca="1" si="407"/>
        <v>karta 1 ILS</v>
      </c>
      <c r="J1792" s="15" t="str">
        <f t="shared" ca="1" si="412"/>
        <v>'karta 1 ILS'!A35</v>
      </c>
      <c r="K1792" s="15" t="str">
        <f t="shared" ca="1" si="413"/>
        <v>'karta 1 ILS'!B35</v>
      </c>
    </row>
    <row r="1793" spans="1:16" x14ac:dyDescent="0.25">
      <c r="A1793" s="3" t="str">
        <f t="shared" ca="1" si="420"/>
        <v/>
      </c>
      <c r="G1793" s="15">
        <f t="shared" ca="1" si="406"/>
        <v>36</v>
      </c>
      <c r="H1793" s="15">
        <v>1</v>
      </c>
      <c r="I1793" s="15" t="str">
        <f t="shared" ca="1" si="407"/>
        <v>karta 1 ILS</v>
      </c>
      <c r="J1793" s="15" t="str">
        <f t="shared" ca="1" si="412"/>
        <v>'karta 1 ILS'!A36</v>
      </c>
      <c r="K1793" s="15" t="str">
        <f t="shared" ca="1" si="413"/>
        <v>'karta 1 ILS'!B36</v>
      </c>
    </row>
    <row r="1794" spans="1:16" x14ac:dyDescent="0.25">
      <c r="A1794" s="3" t="str">
        <f t="shared" ca="1" si="420"/>
        <v/>
      </c>
      <c r="G1794" s="15">
        <f t="shared" ca="1" si="406"/>
        <v>37</v>
      </c>
      <c r="H1794" s="15">
        <v>1</v>
      </c>
      <c r="I1794" s="15" t="str">
        <f t="shared" ca="1" si="407"/>
        <v>karta 1 ILS</v>
      </c>
      <c r="J1794" s="15" t="str">
        <f t="shared" ca="1" si="412"/>
        <v>'karta 1 ILS'!A37</v>
      </c>
      <c r="K1794" s="15" t="str">
        <f t="shared" ca="1" si="413"/>
        <v>'karta 1 ILS'!B37</v>
      </c>
    </row>
    <row r="1795" spans="1:16" x14ac:dyDescent="0.25">
      <c r="A1795" s="3" t="str">
        <f t="shared" ca="1" si="420"/>
        <v/>
      </c>
      <c r="G1795" s="15">
        <f t="shared" ca="1" si="406"/>
        <v>38</v>
      </c>
      <c r="H1795" s="15">
        <v>1</v>
      </c>
      <c r="I1795" s="15" t="str">
        <f t="shared" ca="1" si="407"/>
        <v>karta 1 ILS</v>
      </c>
      <c r="J1795" s="15" t="str">
        <f t="shared" ca="1" si="412"/>
        <v>'karta 1 ILS'!A38</v>
      </c>
      <c r="K1795" s="15" t="str">
        <f t="shared" ca="1" si="413"/>
        <v>'karta 1 ILS'!B38</v>
      </c>
    </row>
    <row r="1796" spans="1:16" x14ac:dyDescent="0.25">
      <c r="A1796" s="3" t="str">
        <f t="shared" ca="1" si="420"/>
        <v/>
      </c>
      <c r="G1796" s="15">
        <f t="shared" ca="1" si="406"/>
        <v>39</v>
      </c>
      <c r="H1796" s="15">
        <v>1</v>
      </c>
      <c r="I1796" s="15" t="str">
        <f t="shared" ca="1" si="407"/>
        <v>karta 1 ILS</v>
      </c>
      <c r="J1796" s="15" t="str">
        <f t="shared" ca="1" si="412"/>
        <v>'karta 1 ILS'!A39</v>
      </c>
      <c r="K1796" s="15" t="str">
        <f t="shared" ca="1" si="413"/>
        <v>'karta 1 ILS'!B39</v>
      </c>
    </row>
    <row r="1797" spans="1:16" x14ac:dyDescent="0.25">
      <c r="A1797" s="3" t="str">
        <f t="shared" ca="1" si="420"/>
        <v/>
      </c>
      <c r="G1797" s="15">
        <f t="shared" ca="1" si="406"/>
        <v>40</v>
      </c>
      <c r="H1797" s="15">
        <v>1</v>
      </c>
      <c r="I1797" s="15" t="str">
        <f t="shared" ca="1" si="407"/>
        <v>karta 1 ILS</v>
      </c>
      <c r="J1797" s="15" t="str">
        <f t="shared" ca="1" si="412"/>
        <v>'karta 1 ILS'!A40</v>
      </c>
      <c r="K1797" s="15" t="str">
        <f t="shared" ca="1" si="413"/>
        <v>'karta 1 ILS'!B40</v>
      </c>
    </row>
    <row r="1798" spans="1:16" x14ac:dyDescent="0.25">
      <c r="A1798" s="3" t="str">
        <f t="shared" ca="1" si="420"/>
        <v/>
      </c>
      <c r="G1798" s="15">
        <f t="shared" ca="1" si="406"/>
        <v>41</v>
      </c>
      <c r="H1798" s="15">
        <v>1</v>
      </c>
      <c r="I1798" s="15" t="str">
        <f t="shared" ca="1" si="407"/>
        <v>karta 1 ILS</v>
      </c>
      <c r="J1798" s="15" t="str">
        <f t="shared" ca="1" si="412"/>
        <v>'karta 1 ILS'!A41</v>
      </c>
      <c r="K1798" s="15" t="str">
        <f t="shared" ca="1" si="413"/>
        <v>'karta 1 ILS'!B41</v>
      </c>
    </row>
    <row r="1799" spans="1:16" x14ac:dyDescent="0.25">
      <c r="A1799" s="3" t="str">
        <f t="shared" ca="1" si="420"/>
        <v/>
      </c>
      <c r="C1799" s="16"/>
      <c r="G1799" s="15">
        <f t="shared" ca="1" si="406"/>
        <v>42</v>
      </c>
      <c r="H1799" s="15">
        <v>1</v>
      </c>
      <c r="I1799" s="15" t="str">
        <f t="shared" ca="1" si="407"/>
        <v>karta 1 ILS</v>
      </c>
      <c r="J1799" s="15" t="str">
        <f t="shared" ca="1" si="412"/>
        <v>'karta 1 ILS'!A42</v>
      </c>
      <c r="K1799" s="15" t="str">
        <f t="shared" ca="1" si="413"/>
        <v>'karta 1 ILS'!B42</v>
      </c>
    </row>
    <row r="1800" spans="1:16" x14ac:dyDescent="0.25">
      <c r="A1800" s="3" t="str">
        <f t="shared" ca="1" si="420"/>
        <v/>
      </c>
      <c r="G1800" s="15">
        <f t="shared" ca="1" si="406"/>
        <v>43</v>
      </c>
      <c r="H1800" s="15">
        <v>1</v>
      </c>
      <c r="I1800" s="15" t="str">
        <f t="shared" ca="1" si="407"/>
        <v>karta 1 ILS</v>
      </c>
      <c r="J1800" s="15" t="str">
        <f t="shared" ca="1" si="412"/>
        <v>'karta 1 ILS'!A43</v>
      </c>
      <c r="K1800" s="15" t="str">
        <f t="shared" ca="1" si="413"/>
        <v>'karta 1 ILS'!B43</v>
      </c>
    </row>
    <row r="1801" spans="1:16" x14ac:dyDescent="0.25">
      <c r="A1801" s="3" t="str">
        <f t="shared" ca="1" si="420"/>
        <v/>
      </c>
      <c r="G1801" s="15">
        <f t="shared" ref="G1801:G1864" ca="1" si="427">G1800+1</f>
        <v>44</v>
      </c>
      <c r="H1801" s="15">
        <v>1</v>
      </c>
      <c r="I1801" s="15" t="str">
        <f t="shared" ref="I1801:I1864" ca="1" si="428">I1800</f>
        <v>karta 1 ILS</v>
      </c>
      <c r="J1801" s="15" t="str">
        <f t="shared" ca="1" si="412"/>
        <v>'karta 1 ILS'!A44</v>
      </c>
      <c r="K1801" s="15" t="str">
        <f t="shared" ca="1" si="413"/>
        <v>'karta 1 ILS'!B44</v>
      </c>
    </row>
    <row r="1802" spans="1:16" x14ac:dyDescent="0.25">
      <c r="A1802" s="3" t="str">
        <f t="shared" ca="1" si="420"/>
        <v/>
      </c>
      <c r="G1802" s="15">
        <f t="shared" ca="1" si="427"/>
        <v>45</v>
      </c>
      <c r="H1802" s="15">
        <v>1</v>
      </c>
      <c r="I1802" s="15" t="str">
        <f t="shared" ca="1" si="428"/>
        <v>karta 1 ILS</v>
      </c>
      <c r="J1802" s="15" t="str">
        <f t="shared" ca="1" si="412"/>
        <v>'karta 1 ILS'!A45</v>
      </c>
      <c r="K1802" s="15" t="str">
        <f t="shared" ca="1" si="413"/>
        <v>'karta 1 ILS'!B45</v>
      </c>
    </row>
    <row r="1803" spans="1:16" x14ac:dyDescent="0.25">
      <c r="A1803" s="3" t="str">
        <f t="shared" ca="1" si="420"/>
        <v/>
      </c>
      <c r="G1803" s="15">
        <f t="shared" ca="1" si="427"/>
        <v>46</v>
      </c>
      <c r="H1803" s="15">
        <v>1</v>
      </c>
      <c r="I1803" s="15" t="str">
        <f t="shared" ca="1" si="428"/>
        <v>karta 1 ILS</v>
      </c>
      <c r="J1803" s="15" t="str">
        <f t="shared" ca="1" si="412"/>
        <v>'karta 1 ILS'!A46</v>
      </c>
      <c r="K1803" s="15" t="str">
        <f t="shared" ca="1" si="413"/>
        <v>'karta 1 ILS'!B46</v>
      </c>
    </row>
    <row r="1804" spans="1:16" x14ac:dyDescent="0.25">
      <c r="A1804" s="3" t="str">
        <f t="shared" ca="1" si="420"/>
        <v/>
      </c>
      <c r="G1804" s="15">
        <f t="shared" ca="1" si="427"/>
        <v>47</v>
      </c>
      <c r="H1804" s="15">
        <v>1</v>
      </c>
      <c r="I1804" s="15" t="str">
        <f t="shared" ca="1" si="428"/>
        <v>karta 1 ILS</v>
      </c>
      <c r="J1804" s="15" t="str">
        <f t="shared" ca="1" si="412"/>
        <v>'karta 1 ILS'!A47</v>
      </c>
      <c r="K1804" s="15" t="str">
        <f t="shared" ca="1" si="413"/>
        <v>'karta 1 ILS'!B47</v>
      </c>
    </row>
    <row r="1805" spans="1:16" x14ac:dyDescent="0.25">
      <c r="A1805" s="3" t="str">
        <f t="shared" ca="1" si="420"/>
        <v/>
      </c>
      <c r="G1805" s="15">
        <f t="shared" ca="1" si="427"/>
        <v>48</v>
      </c>
      <c r="H1805" s="15">
        <v>1</v>
      </c>
      <c r="I1805" s="15" t="str">
        <f t="shared" ca="1" si="428"/>
        <v>karta 1 ILS</v>
      </c>
      <c r="J1805" s="15" t="str">
        <f t="shared" ca="1" si="412"/>
        <v>'karta 1 ILS'!A48</v>
      </c>
      <c r="K1805" s="15" t="str">
        <f t="shared" ca="1" si="413"/>
        <v>'karta 1 ILS'!B48</v>
      </c>
    </row>
    <row r="1806" spans="1:16" x14ac:dyDescent="0.25">
      <c r="A1806" s="3" t="str">
        <f t="shared" ca="1" si="420"/>
        <v/>
      </c>
      <c r="G1806" s="15">
        <f t="shared" ca="1" si="427"/>
        <v>49</v>
      </c>
      <c r="H1806" s="15">
        <v>1</v>
      </c>
      <c r="I1806" s="15" t="str">
        <f t="shared" ca="1" si="428"/>
        <v>karta 1 ILS</v>
      </c>
      <c r="J1806" s="15" t="str">
        <f t="shared" ca="1" si="412"/>
        <v>'karta 1 ILS'!A49</v>
      </c>
      <c r="K1806" s="15" t="str">
        <f t="shared" ca="1" si="413"/>
        <v>'karta 1 ILS'!B49</v>
      </c>
    </row>
    <row r="1807" spans="1:16" x14ac:dyDescent="0.25">
      <c r="A1807" s="3" t="str">
        <f t="shared" ca="1" si="420"/>
        <v/>
      </c>
      <c r="G1807" s="15">
        <f t="shared" ca="1" si="427"/>
        <v>50</v>
      </c>
      <c r="H1807" s="15">
        <v>1</v>
      </c>
      <c r="I1807" s="15" t="str">
        <f t="shared" ca="1" si="428"/>
        <v>karta 1 ILS</v>
      </c>
      <c r="J1807" s="15" t="str">
        <f t="shared" ca="1" si="412"/>
        <v>'karta 1 ILS'!A50</v>
      </c>
      <c r="K1807" s="15" t="str">
        <f t="shared" ca="1" si="413"/>
        <v>'karta 1 ILS'!B50</v>
      </c>
    </row>
    <row r="1808" spans="1:16" x14ac:dyDescent="0.25">
      <c r="A1808" s="3" t="str">
        <f t="shared" ca="1" si="420"/>
        <v xml:space="preserve">#I2C_Bridge_GPIO:exp_group_1x =  </v>
      </c>
      <c r="G1808" s="15">
        <f t="shared" ref="G1808" ca="1" si="429">INDIRECT(M1808)</f>
        <v>71</v>
      </c>
      <c r="H1808" s="15">
        <v>1</v>
      </c>
      <c r="I1808" s="15" t="str">
        <f t="shared" ref="I1808" ca="1" si="430">INDIRECT(N1808)</f>
        <v>I2C_Bridge_GPIO</v>
      </c>
      <c r="J1808" s="15" t="str">
        <f t="shared" ca="1" si="412"/>
        <v>I2C_Bridge_GPIO!A71</v>
      </c>
      <c r="K1808" s="15" t="str">
        <f t="shared" ca="1" si="413"/>
        <v>I2C_Bridge_GPIO!B71</v>
      </c>
      <c r="M1808" s="15" t="str">
        <f t="shared" ref="M1808" si="431">ADDRESS(O1808,3,4,1,$R$1)</f>
        <v>konfig!C92</v>
      </c>
      <c r="N1808" s="15" t="str">
        <f t="shared" ref="N1808" si="432">ADDRESS(O1808,1,4,1,$R$1)</f>
        <v>konfig!A92</v>
      </c>
      <c r="O1808" s="15">
        <v>92</v>
      </c>
      <c r="P1808" s="15">
        <v>4</v>
      </c>
    </row>
    <row r="1809" spans="1:11" x14ac:dyDescent="0.25">
      <c r="A1809" s="3" t="str">
        <f t="shared" ca="1" si="420"/>
        <v xml:space="preserve">device = TCA9548 </v>
      </c>
      <c r="G1809" s="15">
        <f t="shared" ca="1" si="418"/>
        <v>72</v>
      </c>
      <c r="H1809" s="15">
        <v>1</v>
      </c>
      <c r="I1809" s="15" t="str">
        <f t="shared" ca="1" si="419"/>
        <v>I2C_Bridge_GPIO</v>
      </c>
      <c r="J1809" s="15" t="str">
        <f t="shared" ca="1" si="412"/>
        <v>I2C_Bridge_GPIO!A72</v>
      </c>
      <c r="K1809" s="15" t="str">
        <f t="shared" ca="1" si="413"/>
        <v>I2C_Bridge_GPIO!B72</v>
      </c>
    </row>
    <row r="1810" spans="1:11" x14ac:dyDescent="0.25">
      <c r="A1810" s="3" t="str">
        <f t="shared" ca="1" si="420"/>
        <v xml:space="preserve">i2c_addr = 0x73 </v>
      </c>
      <c r="G1810" s="15">
        <f t="shared" ca="1" si="418"/>
        <v>73</v>
      </c>
      <c r="H1810" s="15">
        <v>1</v>
      </c>
      <c r="I1810" s="15" t="str">
        <f t="shared" ca="1" si="419"/>
        <v>I2C_Bridge_GPIO</v>
      </c>
      <c r="J1810" s="15" t="str">
        <f t="shared" ca="1" si="412"/>
        <v>I2C_Bridge_GPIO!A73</v>
      </c>
      <c r="K1810" s="15" t="str">
        <f t="shared" ca="1" si="413"/>
        <v>I2C_Bridge_GPIO!B73</v>
      </c>
    </row>
    <row r="1811" spans="1:11" x14ac:dyDescent="0.25">
      <c r="A1811" s="3" t="str">
        <f t="shared" ca="1" si="420"/>
        <v xml:space="preserve">i2c_num = /dev/i2c-1 </v>
      </c>
      <c r="C1811" s="16"/>
      <c r="G1811" s="15">
        <f t="shared" ca="1" si="418"/>
        <v>74</v>
      </c>
      <c r="H1811" s="15">
        <v>1</v>
      </c>
      <c r="I1811" s="15" t="str">
        <f t="shared" ca="1" si="419"/>
        <v>I2C_Bridge_GPIO</v>
      </c>
      <c r="J1811" s="15" t="str">
        <f t="shared" ca="1" si="412"/>
        <v>I2C_Bridge_GPIO!A74</v>
      </c>
      <c r="K1811" s="15" t="str">
        <f t="shared" ca="1" si="413"/>
        <v>I2C_Bridge_GPIO!B74</v>
      </c>
    </row>
    <row r="1812" spans="1:11" x14ac:dyDescent="0.25">
      <c r="A1812" s="3" t="str">
        <f t="shared" ca="1" si="420"/>
        <v xml:space="preserve">ctrl_reg = 0x10 </v>
      </c>
      <c r="G1812" s="15">
        <f t="shared" ca="1" si="418"/>
        <v>75</v>
      </c>
      <c r="H1812" s="15">
        <v>1</v>
      </c>
      <c r="I1812" s="15" t="str">
        <f t="shared" ca="1" si="419"/>
        <v>I2C_Bridge_GPIO</v>
      </c>
      <c r="J1812" s="15" t="str">
        <f t="shared" ca="1" si="412"/>
        <v>I2C_Bridge_GPIO!A75</v>
      </c>
      <c r="K1812" s="15" t="str">
        <f t="shared" ca="1" si="413"/>
        <v>I2C_Bridge_GPIO!B75</v>
      </c>
    </row>
    <row r="1813" spans="1:11" x14ac:dyDescent="0.25">
      <c r="A1813" s="3" t="str">
        <f t="shared" ca="1" si="420"/>
        <v/>
      </c>
      <c r="G1813" s="15">
        <f t="shared" ca="1" si="427"/>
        <v>76</v>
      </c>
      <c r="H1813" s="15">
        <v>1</v>
      </c>
      <c r="I1813" s="15" t="str">
        <f t="shared" ca="1" si="428"/>
        <v>I2C_Bridge_GPIO</v>
      </c>
      <c r="J1813" s="15" t="str">
        <f t="shared" ca="1" si="412"/>
        <v>I2C_Bridge_GPIO!A76</v>
      </c>
      <c r="K1813" s="15" t="str">
        <f t="shared" ca="1" si="413"/>
        <v>I2C_Bridge_GPIO!B76</v>
      </c>
    </row>
    <row r="1814" spans="1:11" x14ac:dyDescent="0.25">
      <c r="A1814" s="3" t="str">
        <f t="shared" ca="1" si="420"/>
        <v xml:space="preserve">time = 11 </v>
      </c>
      <c r="G1814" s="15">
        <f t="shared" ca="1" si="427"/>
        <v>77</v>
      </c>
      <c r="H1814" s="15">
        <v>1</v>
      </c>
      <c r="I1814" s="15" t="str">
        <f t="shared" ca="1" si="428"/>
        <v>I2C_Bridge_GPIO</v>
      </c>
      <c r="J1814" s="15" t="str">
        <f t="shared" ca="1" si="412"/>
        <v>I2C_Bridge_GPIO!A77</v>
      </c>
      <c r="K1814" s="15" t="str">
        <f t="shared" ca="1" si="413"/>
        <v>I2C_Bridge_GPIO!B77</v>
      </c>
    </row>
    <row r="1815" spans="1:11" x14ac:dyDescent="0.25">
      <c r="A1815" s="3" t="str">
        <f t="shared" ca="1" si="420"/>
        <v/>
      </c>
      <c r="G1815" s="15">
        <f t="shared" ca="1" si="427"/>
        <v>78</v>
      </c>
      <c r="H1815" s="15">
        <v>1</v>
      </c>
      <c r="I1815" s="15" t="str">
        <f t="shared" ca="1" si="428"/>
        <v>I2C_Bridge_GPIO</v>
      </c>
      <c r="J1815" s="15" t="str">
        <f t="shared" ca="1" si="412"/>
        <v>I2C_Bridge_GPIO!A78</v>
      </c>
      <c r="K1815" s="15" t="str">
        <f t="shared" ca="1" si="413"/>
        <v>I2C_Bridge_GPIO!B78</v>
      </c>
    </row>
    <row r="1816" spans="1:11" x14ac:dyDescent="0.25">
      <c r="A1816" s="3" t="str">
        <f t="shared" ca="1" si="420"/>
        <v/>
      </c>
      <c r="G1816" s="15">
        <f t="shared" ca="1" si="427"/>
        <v>79</v>
      </c>
      <c r="H1816" s="15">
        <v>1</v>
      </c>
      <c r="I1816" s="15" t="str">
        <f t="shared" ca="1" si="428"/>
        <v>I2C_Bridge_GPIO</v>
      </c>
      <c r="J1816" s="15" t="str">
        <f t="shared" ca="1" si="412"/>
        <v>I2C_Bridge_GPIO!A79</v>
      </c>
      <c r="K1816" s="15" t="str">
        <f t="shared" ca="1" si="413"/>
        <v>I2C_Bridge_GPIO!B79</v>
      </c>
    </row>
    <row r="1817" spans="1:11" x14ac:dyDescent="0.25">
      <c r="A1817" s="3" t="str">
        <f t="shared" ca="1" si="420"/>
        <v/>
      </c>
      <c r="G1817" s="15">
        <f t="shared" ca="1" si="427"/>
        <v>80</v>
      </c>
      <c r="H1817" s="15">
        <v>1</v>
      </c>
      <c r="I1817" s="15" t="str">
        <f t="shared" ca="1" si="428"/>
        <v>I2C_Bridge_GPIO</v>
      </c>
      <c r="J1817" s="15" t="str">
        <f t="shared" ca="1" si="412"/>
        <v>I2C_Bridge_GPIO!A80</v>
      </c>
      <c r="K1817" s="15" t="str">
        <f t="shared" ca="1" si="413"/>
        <v>I2C_Bridge_GPIO!B80</v>
      </c>
    </row>
    <row r="1818" spans="1:11" x14ac:dyDescent="0.25">
      <c r="A1818" s="3" t="str">
        <f t="shared" ca="1" si="420"/>
        <v/>
      </c>
      <c r="G1818" s="15">
        <f t="shared" ca="1" si="427"/>
        <v>81</v>
      </c>
      <c r="H1818" s="15">
        <v>1</v>
      </c>
      <c r="I1818" s="15" t="str">
        <f t="shared" ca="1" si="428"/>
        <v>I2C_Bridge_GPIO</v>
      </c>
      <c r="J1818" s="15" t="str">
        <f t="shared" ca="1" si="412"/>
        <v>I2C_Bridge_GPIO!A81</v>
      </c>
      <c r="K1818" s="15" t="str">
        <f t="shared" ca="1" si="413"/>
        <v>I2C_Bridge_GPIO!B81</v>
      </c>
    </row>
    <row r="1819" spans="1:11" x14ac:dyDescent="0.25">
      <c r="A1819" s="3" t="str">
        <f t="shared" ca="1" si="420"/>
        <v/>
      </c>
      <c r="C1819" s="16"/>
      <c r="G1819" s="15">
        <f t="shared" ca="1" si="427"/>
        <v>82</v>
      </c>
      <c r="H1819" s="15">
        <v>1</v>
      </c>
      <c r="I1819" s="15" t="str">
        <f t="shared" ca="1" si="428"/>
        <v>I2C_Bridge_GPIO</v>
      </c>
      <c r="J1819" s="15" t="str">
        <f t="shared" ca="1" si="412"/>
        <v>I2C_Bridge_GPIO!A82</v>
      </c>
      <c r="K1819" s="15" t="str">
        <f t="shared" ca="1" si="413"/>
        <v>I2C_Bridge_GPIO!B82</v>
      </c>
    </row>
    <row r="1820" spans="1:11" x14ac:dyDescent="0.25">
      <c r="A1820" s="3" t="str">
        <f t="shared" ca="1" si="420"/>
        <v/>
      </c>
      <c r="G1820" s="15">
        <f t="shared" ca="1" si="427"/>
        <v>83</v>
      </c>
      <c r="H1820" s="15">
        <v>1</v>
      </c>
      <c r="I1820" s="15" t="str">
        <f t="shared" ca="1" si="428"/>
        <v>I2C_Bridge_GPIO</v>
      </c>
      <c r="J1820" s="15" t="str">
        <f t="shared" ca="1" si="412"/>
        <v>I2C_Bridge_GPIO!A83</v>
      </c>
      <c r="K1820" s="15" t="str">
        <f t="shared" ca="1" si="413"/>
        <v>I2C_Bridge_GPIO!B83</v>
      </c>
    </row>
    <row r="1821" spans="1:11" x14ac:dyDescent="0.25">
      <c r="A1821" s="3" t="str">
        <f t="shared" ca="1" si="420"/>
        <v/>
      </c>
      <c r="G1821" s="15">
        <f t="shared" ca="1" si="427"/>
        <v>84</v>
      </c>
      <c r="H1821" s="15">
        <v>1</v>
      </c>
      <c r="I1821" s="15" t="str">
        <f t="shared" ca="1" si="428"/>
        <v>I2C_Bridge_GPIO</v>
      </c>
      <c r="J1821" s="15" t="str">
        <f t="shared" ca="1" si="412"/>
        <v>I2C_Bridge_GPIO!A84</v>
      </c>
      <c r="K1821" s="15" t="str">
        <f t="shared" ca="1" si="413"/>
        <v>I2C_Bridge_GPIO!B84</v>
      </c>
    </row>
    <row r="1822" spans="1:11" x14ac:dyDescent="0.25">
      <c r="A1822" s="3" t="str">
        <f t="shared" ca="1" si="420"/>
        <v/>
      </c>
      <c r="G1822" s="15">
        <f t="shared" ca="1" si="427"/>
        <v>85</v>
      </c>
      <c r="H1822" s="15">
        <v>1</v>
      </c>
      <c r="I1822" s="15" t="str">
        <f t="shared" ca="1" si="428"/>
        <v>I2C_Bridge_GPIO</v>
      </c>
      <c r="J1822" s="15" t="str">
        <f t="shared" ca="1" si="412"/>
        <v>I2C_Bridge_GPIO!A85</v>
      </c>
      <c r="K1822" s="15" t="str">
        <f t="shared" ca="1" si="413"/>
        <v>I2C_Bridge_GPIO!B85</v>
      </c>
    </row>
    <row r="1823" spans="1:11" x14ac:dyDescent="0.25">
      <c r="A1823" s="3" t="str">
        <f t="shared" ca="1" si="420"/>
        <v/>
      </c>
      <c r="G1823" s="15">
        <f t="shared" ca="1" si="427"/>
        <v>86</v>
      </c>
      <c r="H1823" s="15">
        <v>1</v>
      </c>
      <c r="I1823" s="15" t="str">
        <f t="shared" ca="1" si="428"/>
        <v>I2C_Bridge_GPIO</v>
      </c>
      <c r="J1823" s="15" t="str">
        <f t="shared" ca="1" si="412"/>
        <v>I2C_Bridge_GPIO!A86</v>
      </c>
      <c r="K1823" s="15" t="str">
        <f t="shared" ca="1" si="413"/>
        <v>I2C_Bridge_GPIO!B86</v>
      </c>
    </row>
    <row r="1824" spans="1:11" x14ac:dyDescent="0.25">
      <c r="A1824" s="3" t="str">
        <f t="shared" ca="1" si="420"/>
        <v/>
      </c>
      <c r="G1824" s="15">
        <f t="shared" ca="1" si="427"/>
        <v>87</v>
      </c>
      <c r="H1824" s="15">
        <v>1</v>
      </c>
      <c r="I1824" s="15" t="str">
        <f t="shared" ca="1" si="428"/>
        <v>I2C_Bridge_GPIO</v>
      </c>
      <c r="J1824" s="15" t="str">
        <f t="shared" ca="1" si="412"/>
        <v>I2C_Bridge_GPIO!A87</v>
      </c>
      <c r="K1824" s="15" t="str">
        <f t="shared" ca="1" si="413"/>
        <v>I2C_Bridge_GPIO!B87</v>
      </c>
    </row>
    <row r="1825" spans="1:16" x14ac:dyDescent="0.25">
      <c r="A1825" s="3" t="str">
        <f t="shared" ca="1" si="420"/>
        <v/>
      </c>
      <c r="G1825" s="15">
        <f t="shared" ca="1" si="427"/>
        <v>88</v>
      </c>
      <c r="H1825" s="15">
        <v>1</v>
      </c>
      <c r="I1825" s="15" t="str">
        <f t="shared" ca="1" si="428"/>
        <v>I2C_Bridge_GPIO</v>
      </c>
      <c r="J1825" s="15" t="str">
        <f t="shared" ca="1" si="412"/>
        <v>I2C_Bridge_GPIO!A88</v>
      </c>
      <c r="K1825" s="15" t="str">
        <f t="shared" ca="1" si="413"/>
        <v>I2C_Bridge_GPIO!B88</v>
      </c>
    </row>
    <row r="1826" spans="1:16" x14ac:dyDescent="0.25">
      <c r="A1826" s="3" t="str">
        <f t="shared" ca="1" si="420"/>
        <v/>
      </c>
      <c r="G1826" s="15">
        <f t="shared" ca="1" si="427"/>
        <v>89</v>
      </c>
      <c r="H1826" s="15">
        <v>1</v>
      </c>
      <c r="I1826" s="15" t="str">
        <f t="shared" ca="1" si="428"/>
        <v>I2C_Bridge_GPIO</v>
      </c>
      <c r="J1826" s="15" t="str">
        <f t="shared" ca="1" si="412"/>
        <v>I2C_Bridge_GPIO!A89</v>
      </c>
      <c r="K1826" s="15" t="str">
        <f t="shared" ca="1" si="413"/>
        <v>I2C_Bridge_GPIO!B89</v>
      </c>
    </row>
    <row r="1827" spans="1:16" x14ac:dyDescent="0.25">
      <c r="A1827" s="3" t="str">
        <f t="shared" ca="1" si="420"/>
        <v/>
      </c>
      <c r="G1827" s="15">
        <f t="shared" ca="1" si="427"/>
        <v>90</v>
      </c>
      <c r="H1827" s="15">
        <v>1</v>
      </c>
      <c r="I1827" s="15" t="str">
        <f t="shared" ca="1" si="428"/>
        <v>I2C_Bridge_GPIO</v>
      </c>
      <c r="J1827" s="15" t="str">
        <f t="shared" ca="1" si="412"/>
        <v>I2C_Bridge_GPIO!A90</v>
      </c>
      <c r="K1827" s="15" t="str">
        <f t="shared" ca="1" si="413"/>
        <v>I2C_Bridge_GPIO!B90</v>
      </c>
    </row>
    <row r="1828" spans="1:16" x14ac:dyDescent="0.25">
      <c r="A1828" s="3" t="str">
        <f t="shared" ca="1" si="420"/>
        <v xml:space="preserve">#I2C_Bridge_PCIE:PCIE1 =  </v>
      </c>
      <c r="G1828" s="15">
        <f t="shared" ref="G1828" ca="1" si="433">INDIRECT(M1828)</f>
        <v>71</v>
      </c>
      <c r="H1828" s="15">
        <v>1</v>
      </c>
      <c r="I1828" s="15" t="str">
        <f t="shared" ref="I1828" ca="1" si="434">INDIRECT(N1828)</f>
        <v>I2C_Bridge_PCIE</v>
      </c>
      <c r="J1828" s="15" t="str">
        <f t="shared" ref="J1828:J1891" ca="1" si="435">ADDRESS(G1828,H1828,4,1,I1828)</f>
        <v>I2C_Bridge_PCIE!A71</v>
      </c>
      <c r="K1828" s="15" t="str">
        <f t="shared" ref="K1828:K1891" ca="1" si="436">ADDRESS(G1828,H1828+1,4,1,I1828)</f>
        <v>I2C_Bridge_PCIE!B71</v>
      </c>
      <c r="M1828" s="15" t="str">
        <f t="shared" ref="M1828" si="437">ADDRESS(O1828,3,4,1,$R$1)</f>
        <v>konfig!C93</v>
      </c>
      <c r="N1828" s="15" t="str">
        <f t="shared" ref="N1828" si="438">ADDRESS(O1828,1,4,1,$R$1)</f>
        <v>konfig!A93</v>
      </c>
      <c r="O1828" s="15">
        <v>93</v>
      </c>
      <c r="P1828" s="15">
        <v>4</v>
      </c>
    </row>
    <row r="1829" spans="1:16" x14ac:dyDescent="0.25">
      <c r="A1829" s="3" t="str">
        <f t="shared" ca="1" si="420"/>
        <v xml:space="preserve">device = TCA9548 </v>
      </c>
      <c r="G1829" s="15">
        <f t="shared" ca="1" si="425"/>
        <v>72</v>
      </c>
      <c r="H1829" s="15">
        <v>1</v>
      </c>
      <c r="I1829" s="15" t="str">
        <f t="shared" ca="1" si="426"/>
        <v>I2C_Bridge_PCIE</v>
      </c>
      <c r="J1829" s="15" t="str">
        <f t="shared" ca="1" si="435"/>
        <v>I2C_Bridge_PCIE!A72</v>
      </c>
      <c r="K1829" s="15" t="str">
        <f t="shared" ca="1" si="436"/>
        <v>I2C_Bridge_PCIE!B72</v>
      </c>
    </row>
    <row r="1830" spans="1:16" x14ac:dyDescent="0.25">
      <c r="A1830" s="3" t="str">
        <f t="shared" ca="1" si="420"/>
        <v xml:space="preserve">i2c_addr = 0x71 </v>
      </c>
      <c r="G1830" s="15">
        <f t="shared" ca="1" si="427"/>
        <v>73</v>
      </c>
      <c r="H1830" s="15">
        <v>1</v>
      </c>
      <c r="I1830" s="15" t="str">
        <f t="shared" ca="1" si="428"/>
        <v>I2C_Bridge_PCIE</v>
      </c>
      <c r="J1830" s="15" t="str">
        <f t="shared" ca="1" si="435"/>
        <v>I2C_Bridge_PCIE!A73</v>
      </c>
      <c r="K1830" s="15" t="str">
        <f t="shared" ca="1" si="436"/>
        <v>I2C_Bridge_PCIE!B73</v>
      </c>
    </row>
    <row r="1831" spans="1:16" x14ac:dyDescent="0.25">
      <c r="A1831" s="3" t="str">
        <f t="shared" ca="1" si="420"/>
        <v xml:space="preserve">i2c_num = /dev/i2c-1 </v>
      </c>
      <c r="C1831" s="16"/>
      <c r="G1831" s="15">
        <f t="shared" ca="1" si="427"/>
        <v>74</v>
      </c>
      <c r="H1831" s="15">
        <v>1</v>
      </c>
      <c r="I1831" s="15" t="str">
        <f t="shared" ca="1" si="428"/>
        <v>I2C_Bridge_PCIE</v>
      </c>
      <c r="J1831" s="15" t="str">
        <f t="shared" ca="1" si="435"/>
        <v>I2C_Bridge_PCIE!A74</v>
      </c>
      <c r="K1831" s="15" t="str">
        <f t="shared" ca="1" si="436"/>
        <v>I2C_Bridge_PCIE!B74</v>
      </c>
    </row>
    <row r="1832" spans="1:16" x14ac:dyDescent="0.25">
      <c r="A1832" s="3" t="str">
        <f t="shared" ca="1" si="420"/>
        <v xml:space="preserve">ctrl_reg = 0x08 </v>
      </c>
      <c r="G1832" s="15">
        <f t="shared" ca="1" si="427"/>
        <v>75</v>
      </c>
      <c r="H1832" s="15">
        <v>1</v>
      </c>
      <c r="I1832" s="15" t="str">
        <f t="shared" ca="1" si="428"/>
        <v>I2C_Bridge_PCIE</v>
      </c>
      <c r="J1832" s="15" t="str">
        <f t="shared" ca="1" si="435"/>
        <v>I2C_Bridge_PCIE!A75</v>
      </c>
      <c r="K1832" s="15" t="str">
        <f t="shared" ca="1" si="436"/>
        <v>I2C_Bridge_PCIE!B75</v>
      </c>
    </row>
    <row r="1833" spans="1:16" x14ac:dyDescent="0.25">
      <c r="A1833" s="3" t="str">
        <f t="shared" ca="1" si="420"/>
        <v/>
      </c>
      <c r="G1833" s="15">
        <f t="shared" ca="1" si="427"/>
        <v>76</v>
      </c>
      <c r="H1833" s="15">
        <v>1</v>
      </c>
      <c r="I1833" s="15" t="str">
        <f t="shared" ca="1" si="428"/>
        <v>I2C_Bridge_PCIE</v>
      </c>
      <c r="J1833" s="15" t="str">
        <f t="shared" ca="1" si="435"/>
        <v>I2C_Bridge_PCIE!A76</v>
      </c>
      <c r="K1833" s="15" t="str">
        <f t="shared" ca="1" si="436"/>
        <v>I2C_Bridge_PCIE!B76</v>
      </c>
    </row>
    <row r="1834" spans="1:16" x14ac:dyDescent="0.25">
      <c r="A1834" s="3" t="str">
        <f t="shared" ca="1" si="420"/>
        <v xml:space="preserve">time = 11 </v>
      </c>
      <c r="G1834" s="15">
        <f t="shared" ca="1" si="427"/>
        <v>77</v>
      </c>
      <c r="H1834" s="15">
        <v>1</v>
      </c>
      <c r="I1834" s="15" t="str">
        <f t="shared" ca="1" si="428"/>
        <v>I2C_Bridge_PCIE</v>
      </c>
      <c r="J1834" s="15" t="str">
        <f t="shared" ca="1" si="435"/>
        <v>I2C_Bridge_PCIE!A77</v>
      </c>
      <c r="K1834" s="15" t="str">
        <f t="shared" ca="1" si="436"/>
        <v>I2C_Bridge_PCIE!B77</v>
      </c>
    </row>
    <row r="1835" spans="1:16" x14ac:dyDescent="0.25">
      <c r="A1835" s="3" t="str">
        <f t="shared" ca="1" si="420"/>
        <v/>
      </c>
      <c r="G1835" s="15">
        <f t="shared" ca="1" si="427"/>
        <v>78</v>
      </c>
      <c r="H1835" s="15">
        <v>1</v>
      </c>
      <c r="I1835" s="15" t="str">
        <f t="shared" ca="1" si="428"/>
        <v>I2C_Bridge_PCIE</v>
      </c>
      <c r="J1835" s="15" t="str">
        <f t="shared" ca="1" si="435"/>
        <v>I2C_Bridge_PCIE!A78</v>
      </c>
      <c r="K1835" s="15" t="str">
        <f t="shared" ca="1" si="436"/>
        <v>I2C_Bridge_PCIE!B78</v>
      </c>
    </row>
    <row r="1836" spans="1:16" x14ac:dyDescent="0.25">
      <c r="A1836" s="3" t="str">
        <f t="shared" ref="A1836:A1899" ca="1" si="439">IFERROR(IF(INDIRECT(J1836)&lt;&gt;"",CONCATENATE(INDIRECT(J1836)," = ",INDIRECT(K1836)," "),""),"")</f>
        <v/>
      </c>
      <c r="G1836" s="15">
        <f t="shared" ca="1" si="427"/>
        <v>79</v>
      </c>
      <c r="H1836" s="15">
        <v>1</v>
      </c>
      <c r="I1836" s="15" t="str">
        <f t="shared" ca="1" si="428"/>
        <v>I2C_Bridge_PCIE</v>
      </c>
      <c r="J1836" s="15" t="str">
        <f t="shared" ca="1" si="435"/>
        <v>I2C_Bridge_PCIE!A79</v>
      </c>
      <c r="K1836" s="15" t="str">
        <f t="shared" ca="1" si="436"/>
        <v>I2C_Bridge_PCIE!B79</v>
      </c>
    </row>
    <row r="1837" spans="1:16" x14ac:dyDescent="0.25">
      <c r="A1837" s="3" t="str">
        <f t="shared" ca="1" si="439"/>
        <v/>
      </c>
      <c r="G1837" s="15">
        <f t="shared" ca="1" si="427"/>
        <v>80</v>
      </c>
      <c r="H1837" s="15">
        <v>1</v>
      </c>
      <c r="I1837" s="15" t="str">
        <f t="shared" ca="1" si="428"/>
        <v>I2C_Bridge_PCIE</v>
      </c>
      <c r="J1837" s="15" t="str">
        <f t="shared" ca="1" si="435"/>
        <v>I2C_Bridge_PCIE!A80</v>
      </c>
      <c r="K1837" s="15" t="str">
        <f t="shared" ca="1" si="436"/>
        <v>I2C_Bridge_PCIE!B80</v>
      </c>
    </row>
    <row r="1838" spans="1:16" x14ac:dyDescent="0.25">
      <c r="A1838" s="3" t="str">
        <f t="shared" ca="1" si="439"/>
        <v/>
      </c>
      <c r="G1838" s="15">
        <f t="shared" ca="1" si="427"/>
        <v>81</v>
      </c>
      <c r="H1838" s="15">
        <v>1</v>
      </c>
      <c r="I1838" s="15" t="str">
        <f t="shared" ca="1" si="428"/>
        <v>I2C_Bridge_PCIE</v>
      </c>
      <c r="J1838" s="15" t="str">
        <f t="shared" ca="1" si="435"/>
        <v>I2C_Bridge_PCIE!A81</v>
      </c>
      <c r="K1838" s="15" t="str">
        <f t="shared" ca="1" si="436"/>
        <v>I2C_Bridge_PCIE!B81</v>
      </c>
    </row>
    <row r="1839" spans="1:16" x14ac:dyDescent="0.25">
      <c r="A1839" s="3" t="str">
        <f t="shared" ca="1" si="439"/>
        <v/>
      </c>
      <c r="C1839" s="16"/>
      <c r="G1839" s="15">
        <f t="shared" ca="1" si="427"/>
        <v>82</v>
      </c>
      <c r="H1839" s="15">
        <v>1</v>
      </c>
      <c r="I1839" s="15" t="str">
        <f t="shared" ca="1" si="428"/>
        <v>I2C_Bridge_PCIE</v>
      </c>
      <c r="J1839" s="15" t="str">
        <f t="shared" ca="1" si="435"/>
        <v>I2C_Bridge_PCIE!A82</v>
      </c>
      <c r="K1839" s="15" t="str">
        <f t="shared" ca="1" si="436"/>
        <v>I2C_Bridge_PCIE!B82</v>
      </c>
    </row>
    <row r="1840" spans="1:16" x14ac:dyDescent="0.25">
      <c r="A1840" s="3" t="str">
        <f t="shared" ca="1" si="439"/>
        <v/>
      </c>
      <c r="G1840" s="15">
        <f t="shared" ca="1" si="427"/>
        <v>83</v>
      </c>
      <c r="H1840" s="15">
        <v>1</v>
      </c>
      <c r="I1840" s="15" t="str">
        <f t="shared" ca="1" si="428"/>
        <v>I2C_Bridge_PCIE</v>
      </c>
      <c r="J1840" s="15" t="str">
        <f t="shared" ca="1" si="435"/>
        <v>I2C_Bridge_PCIE!A83</v>
      </c>
      <c r="K1840" s="15" t="str">
        <f t="shared" ca="1" si="436"/>
        <v>I2C_Bridge_PCIE!B83</v>
      </c>
    </row>
    <row r="1841" spans="1:16" x14ac:dyDescent="0.25">
      <c r="A1841" s="3" t="str">
        <f t="shared" ca="1" si="439"/>
        <v/>
      </c>
      <c r="G1841" s="15">
        <f t="shared" ca="1" si="427"/>
        <v>84</v>
      </c>
      <c r="H1841" s="15">
        <v>1</v>
      </c>
      <c r="I1841" s="15" t="str">
        <f t="shared" ca="1" si="428"/>
        <v>I2C_Bridge_PCIE</v>
      </c>
      <c r="J1841" s="15" t="str">
        <f t="shared" ca="1" si="435"/>
        <v>I2C_Bridge_PCIE!A84</v>
      </c>
      <c r="K1841" s="15" t="str">
        <f t="shared" ca="1" si="436"/>
        <v>I2C_Bridge_PCIE!B84</v>
      </c>
    </row>
    <row r="1842" spans="1:16" x14ac:dyDescent="0.25">
      <c r="A1842" s="3" t="str">
        <f t="shared" ca="1" si="439"/>
        <v/>
      </c>
      <c r="G1842" s="15">
        <f t="shared" ca="1" si="427"/>
        <v>85</v>
      </c>
      <c r="H1842" s="15">
        <v>1</v>
      </c>
      <c r="I1842" s="15" t="str">
        <f t="shared" ca="1" si="428"/>
        <v>I2C_Bridge_PCIE</v>
      </c>
      <c r="J1842" s="15" t="str">
        <f t="shared" ca="1" si="435"/>
        <v>I2C_Bridge_PCIE!A85</v>
      </c>
      <c r="K1842" s="15" t="str">
        <f t="shared" ca="1" si="436"/>
        <v>I2C_Bridge_PCIE!B85</v>
      </c>
    </row>
    <row r="1843" spans="1:16" x14ac:dyDescent="0.25">
      <c r="A1843" s="3" t="str">
        <f t="shared" ca="1" si="439"/>
        <v/>
      </c>
      <c r="G1843" s="15">
        <f t="shared" ca="1" si="427"/>
        <v>86</v>
      </c>
      <c r="H1843" s="15">
        <v>1</v>
      </c>
      <c r="I1843" s="15" t="str">
        <f t="shared" ca="1" si="428"/>
        <v>I2C_Bridge_PCIE</v>
      </c>
      <c r="J1843" s="15" t="str">
        <f t="shared" ca="1" si="435"/>
        <v>I2C_Bridge_PCIE!A86</v>
      </c>
      <c r="K1843" s="15" t="str">
        <f t="shared" ca="1" si="436"/>
        <v>I2C_Bridge_PCIE!B86</v>
      </c>
    </row>
    <row r="1844" spans="1:16" x14ac:dyDescent="0.25">
      <c r="A1844" s="3" t="str">
        <f t="shared" ca="1" si="439"/>
        <v/>
      </c>
      <c r="G1844" s="15">
        <f t="shared" ca="1" si="427"/>
        <v>87</v>
      </c>
      <c r="H1844" s="15">
        <v>1</v>
      </c>
      <c r="I1844" s="15" t="str">
        <f t="shared" ca="1" si="428"/>
        <v>I2C_Bridge_PCIE</v>
      </c>
      <c r="J1844" s="15" t="str">
        <f t="shared" ca="1" si="435"/>
        <v>I2C_Bridge_PCIE!A87</v>
      </c>
      <c r="K1844" s="15" t="str">
        <f t="shared" ca="1" si="436"/>
        <v>I2C_Bridge_PCIE!B87</v>
      </c>
    </row>
    <row r="1845" spans="1:16" x14ac:dyDescent="0.25">
      <c r="A1845" s="3" t="str">
        <f t="shared" ca="1" si="439"/>
        <v/>
      </c>
      <c r="G1845" s="15">
        <f t="shared" ca="1" si="427"/>
        <v>88</v>
      </c>
      <c r="H1845" s="15">
        <v>1</v>
      </c>
      <c r="I1845" s="15" t="str">
        <f t="shared" ca="1" si="428"/>
        <v>I2C_Bridge_PCIE</v>
      </c>
      <c r="J1845" s="15" t="str">
        <f t="shared" ca="1" si="435"/>
        <v>I2C_Bridge_PCIE!A88</v>
      </c>
      <c r="K1845" s="15" t="str">
        <f t="shared" ca="1" si="436"/>
        <v>I2C_Bridge_PCIE!B88</v>
      </c>
    </row>
    <row r="1846" spans="1:16" x14ac:dyDescent="0.25">
      <c r="A1846" s="3" t="str">
        <f t="shared" ca="1" si="439"/>
        <v/>
      </c>
      <c r="G1846" s="15">
        <f t="shared" ca="1" si="427"/>
        <v>89</v>
      </c>
      <c r="H1846" s="15">
        <v>1</v>
      </c>
      <c r="I1846" s="15" t="str">
        <f t="shared" ca="1" si="428"/>
        <v>I2C_Bridge_PCIE</v>
      </c>
      <c r="J1846" s="15" t="str">
        <f t="shared" ca="1" si="435"/>
        <v>I2C_Bridge_PCIE!A89</v>
      </c>
      <c r="K1846" s="15" t="str">
        <f t="shared" ca="1" si="436"/>
        <v>I2C_Bridge_PCIE!B89</v>
      </c>
    </row>
    <row r="1847" spans="1:16" x14ac:dyDescent="0.25">
      <c r="A1847" s="3" t="str">
        <f t="shared" ca="1" si="439"/>
        <v/>
      </c>
      <c r="G1847" s="15">
        <f t="shared" ca="1" si="427"/>
        <v>90</v>
      </c>
      <c r="H1847" s="15">
        <v>1</v>
      </c>
      <c r="I1847" s="15" t="str">
        <f t="shared" ca="1" si="428"/>
        <v>I2C_Bridge_PCIE</v>
      </c>
      <c r="J1847" s="15" t="str">
        <f t="shared" ca="1" si="435"/>
        <v>I2C_Bridge_PCIE!A90</v>
      </c>
      <c r="K1847" s="15" t="str">
        <f t="shared" ca="1" si="436"/>
        <v>I2C_Bridge_PCIE!B90</v>
      </c>
    </row>
    <row r="1848" spans="1:16" x14ac:dyDescent="0.25">
      <c r="A1848" s="3" t="str">
        <f t="shared" ca="1" si="439"/>
        <v xml:space="preserve">#I2C_Expander_11:etap 6- En_SPI_PCIE1 =  </v>
      </c>
      <c r="G1848" s="15">
        <f t="shared" ref="G1848" ca="1" si="440">INDIRECT(M1848)</f>
        <v>151</v>
      </c>
      <c r="H1848" s="15">
        <v>1</v>
      </c>
      <c r="I1848" s="15" t="str">
        <f t="shared" ref="I1848" ca="1" si="441">INDIRECT(N1848)</f>
        <v>I2C_Expander_11</v>
      </c>
      <c r="J1848" s="15" t="str">
        <f t="shared" ca="1" si="435"/>
        <v>I2C_Expander_11!A151</v>
      </c>
      <c r="K1848" s="15" t="str">
        <f t="shared" ca="1" si="436"/>
        <v>I2C_Expander_11!B151</v>
      </c>
      <c r="M1848" s="15" t="str">
        <f t="shared" ref="M1848" si="442">ADDRESS(O1848,3,4,1,$R$1)</f>
        <v>konfig!C94</v>
      </c>
      <c r="N1848" s="15" t="str">
        <f t="shared" ref="N1848" si="443">ADDRESS(O1848,1,4,1,$R$1)</f>
        <v>konfig!A94</v>
      </c>
      <c r="O1848" s="15">
        <v>94</v>
      </c>
      <c r="P1848" s="15">
        <v>4</v>
      </c>
    </row>
    <row r="1849" spans="1:16" x14ac:dyDescent="0.25">
      <c r="A1849" s="3" t="str">
        <f t="shared" ca="1" si="439"/>
        <v xml:space="preserve">device = MCP23017 </v>
      </c>
      <c r="G1849" s="15">
        <f t="shared" ref="G1849:G1892" ca="1" si="444">G1848+1</f>
        <v>152</v>
      </c>
      <c r="H1849" s="15">
        <v>1</v>
      </c>
      <c r="I1849" s="15" t="str">
        <f t="shared" ref="I1849:I1892" ca="1" si="445">I1848</f>
        <v>I2C_Expander_11</v>
      </c>
      <c r="J1849" s="15" t="str">
        <f t="shared" ca="1" si="435"/>
        <v>I2C_Expander_11!A152</v>
      </c>
      <c r="K1849" s="15" t="str">
        <f t="shared" ca="1" si="436"/>
        <v>I2C_Expander_11!B152</v>
      </c>
    </row>
    <row r="1850" spans="1:16" x14ac:dyDescent="0.25">
      <c r="A1850" s="3" t="str">
        <f t="shared" ca="1" si="439"/>
        <v xml:space="preserve">i2c_addr = 0x21 </v>
      </c>
      <c r="G1850" s="15">
        <f t="shared" ca="1" si="444"/>
        <v>153</v>
      </c>
      <c r="H1850" s="15">
        <v>1</v>
      </c>
      <c r="I1850" s="15" t="str">
        <f t="shared" ca="1" si="445"/>
        <v>I2C_Expander_11</v>
      </c>
      <c r="J1850" s="15" t="str">
        <f t="shared" ca="1" si="435"/>
        <v>I2C_Expander_11!A153</v>
      </c>
      <c r="K1850" s="15" t="str">
        <f t="shared" ca="1" si="436"/>
        <v>I2C_Expander_11!B153</v>
      </c>
    </row>
    <row r="1851" spans="1:16" x14ac:dyDescent="0.25">
      <c r="A1851" s="3" t="str">
        <f t="shared" ca="1" si="439"/>
        <v xml:space="preserve">i2c_num = /dev/i2c-1 </v>
      </c>
      <c r="C1851" s="16"/>
      <c r="G1851" s="15">
        <f t="shared" ca="1" si="444"/>
        <v>154</v>
      </c>
      <c r="H1851" s="15">
        <v>1</v>
      </c>
      <c r="I1851" s="15" t="str">
        <f t="shared" ca="1" si="445"/>
        <v>I2C_Expander_11</v>
      </c>
      <c r="J1851" s="15" t="str">
        <f t="shared" ca="1" si="435"/>
        <v>I2C_Expander_11!A154</v>
      </c>
      <c r="K1851" s="15" t="str">
        <f t="shared" ca="1" si="436"/>
        <v>I2C_Expander_11!B154</v>
      </c>
    </row>
    <row r="1852" spans="1:16" x14ac:dyDescent="0.25">
      <c r="A1852" s="3" t="str">
        <f t="shared" ca="1" si="439"/>
        <v xml:space="preserve">pins_mode = 0x7450 </v>
      </c>
      <c r="G1852" s="15">
        <f t="shared" ca="1" si="444"/>
        <v>155</v>
      </c>
      <c r="H1852" s="15">
        <v>1</v>
      </c>
      <c r="I1852" s="15" t="str">
        <f t="shared" ca="1" si="445"/>
        <v>I2C_Expander_11</v>
      </c>
      <c r="J1852" s="15" t="str">
        <f t="shared" ca="1" si="435"/>
        <v>I2C_Expander_11!A155</v>
      </c>
      <c r="K1852" s="15" t="str">
        <f t="shared" ca="1" si="436"/>
        <v>I2C_Expander_11!B155</v>
      </c>
    </row>
    <row r="1853" spans="1:16" x14ac:dyDescent="0.25">
      <c r="A1853" s="3" t="str">
        <f t="shared" ca="1" si="439"/>
        <v xml:space="preserve">pins_state = 0x0BA6 </v>
      </c>
      <c r="G1853" s="15">
        <f t="shared" ca="1" si="427"/>
        <v>156</v>
      </c>
      <c r="H1853" s="15">
        <v>1</v>
      </c>
      <c r="I1853" s="15" t="str">
        <f t="shared" ca="1" si="428"/>
        <v>I2C_Expander_11</v>
      </c>
      <c r="J1853" s="15" t="str">
        <f t="shared" ca="1" si="435"/>
        <v>I2C_Expander_11!A156</v>
      </c>
      <c r="K1853" s="15" t="str">
        <f t="shared" ca="1" si="436"/>
        <v>I2C_Expander_11!B156</v>
      </c>
    </row>
    <row r="1854" spans="1:16" x14ac:dyDescent="0.25">
      <c r="A1854" s="3" t="str">
        <f t="shared" ca="1" si="439"/>
        <v xml:space="preserve">pins_pull_up = 0x0000 </v>
      </c>
      <c r="G1854" s="15">
        <f t="shared" ca="1" si="427"/>
        <v>157</v>
      </c>
      <c r="H1854" s="15">
        <v>1</v>
      </c>
      <c r="I1854" s="15" t="str">
        <f t="shared" ca="1" si="428"/>
        <v>I2C_Expander_11</v>
      </c>
      <c r="J1854" s="15" t="str">
        <f t="shared" ca="1" si="435"/>
        <v>I2C_Expander_11!A157</v>
      </c>
      <c r="K1854" s="15" t="str">
        <f t="shared" ca="1" si="436"/>
        <v>I2C_Expander_11!B157</v>
      </c>
    </row>
    <row r="1855" spans="1:16" x14ac:dyDescent="0.25">
      <c r="A1855" s="3" t="str">
        <f t="shared" ca="1" si="439"/>
        <v xml:space="preserve">#pins_int = 0x0000 </v>
      </c>
      <c r="G1855" s="15">
        <f t="shared" ca="1" si="427"/>
        <v>158</v>
      </c>
      <c r="H1855" s="15">
        <v>1</v>
      </c>
      <c r="I1855" s="15" t="str">
        <f t="shared" ca="1" si="428"/>
        <v>I2C_Expander_11</v>
      </c>
      <c r="J1855" s="15" t="str">
        <f t="shared" ca="1" si="435"/>
        <v>I2C_Expander_11!A158</v>
      </c>
      <c r="K1855" s="15" t="str">
        <f t="shared" ca="1" si="436"/>
        <v>I2C_Expander_11!B158</v>
      </c>
    </row>
    <row r="1856" spans="1:16" x14ac:dyDescent="0.25">
      <c r="A1856" s="3" t="str">
        <f t="shared" ca="1" si="439"/>
        <v xml:space="preserve">#pins_def_val = 0x0000 </v>
      </c>
      <c r="G1856" s="15">
        <f t="shared" ca="1" si="427"/>
        <v>159</v>
      </c>
      <c r="H1856" s="15">
        <v>1</v>
      </c>
      <c r="I1856" s="15" t="str">
        <f t="shared" ca="1" si="428"/>
        <v>I2C_Expander_11</v>
      </c>
      <c r="J1856" s="15" t="str">
        <f t="shared" ca="1" si="435"/>
        <v>I2C_Expander_11!A159</v>
      </c>
      <c r="K1856" s="15" t="str">
        <f t="shared" ca="1" si="436"/>
        <v>I2C_Expander_11!B159</v>
      </c>
    </row>
    <row r="1857" spans="1:16" x14ac:dyDescent="0.25">
      <c r="A1857" s="3" t="str">
        <f t="shared" ca="1" si="439"/>
        <v/>
      </c>
      <c r="G1857" s="15">
        <f t="shared" ca="1" si="427"/>
        <v>160</v>
      </c>
      <c r="H1857" s="15">
        <v>1</v>
      </c>
      <c r="I1857" s="15" t="str">
        <f t="shared" ca="1" si="428"/>
        <v>I2C_Expander_11</v>
      </c>
      <c r="J1857" s="15" t="str">
        <f t="shared" ca="1" si="435"/>
        <v>I2C_Expander_11!A160</v>
      </c>
      <c r="K1857" s="15" t="str">
        <f t="shared" ca="1" si="436"/>
        <v>I2C_Expander_11!B160</v>
      </c>
    </row>
    <row r="1858" spans="1:16" x14ac:dyDescent="0.25">
      <c r="A1858" s="3" t="str">
        <f t="shared" ca="1" si="439"/>
        <v xml:space="preserve">#pins_int = 10 </v>
      </c>
      <c r="G1858" s="15">
        <f t="shared" ca="1" si="427"/>
        <v>161</v>
      </c>
      <c r="H1858" s="15">
        <v>1</v>
      </c>
      <c r="I1858" s="15" t="str">
        <f t="shared" ca="1" si="428"/>
        <v>I2C_Expander_11</v>
      </c>
      <c r="J1858" s="15" t="str">
        <f t="shared" ca="1" si="435"/>
        <v>I2C_Expander_11!A161</v>
      </c>
      <c r="K1858" s="15" t="str">
        <f t="shared" ca="1" si="436"/>
        <v>I2C_Expander_11!B161</v>
      </c>
    </row>
    <row r="1859" spans="1:16" x14ac:dyDescent="0.25">
      <c r="A1859" s="3" t="str">
        <f t="shared" ca="1" si="439"/>
        <v/>
      </c>
      <c r="C1859" s="16"/>
      <c r="G1859" s="15">
        <f t="shared" ca="1" si="427"/>
        <v>162</v>
      </c>
      <c r="H1859" s="15">
        <v>1</v>
      </c>
      <c r="I1859" s="15" t="str">
        <f t="shared" ca="1" si="428"/>
        <v>I2C_Expander_11</v>
      </c>
      <c r="J1859" s="15" t="str">
        <f t="shared" ca="1" si="435"/>
        <v>I2C_Expander_11!A162</v>
      </c>
      <c r="K1859" s="15" t="str">
        <f t="shared" ca="1" si="436"/>
        <v>I2C_Expander_11!B162</v>
      </c>
    </row>
    <row r="1860" spans="1:16" x14ac:dyDescent="0.25">
      <c r="A1860" s="3" t="str">
        <f t="shared" ca="1" si="439"/>
        <v/>
      </c>
      <c r="G1860" s="15">
        <f t="shared" ca="1" si="427"/>
        <v>163</v>
      </c>
      <c r="H1860" s="15">
        <v>1</v>
      </c>
      <c r="I1860" s="15" t="str">
        <f t="shared" ca="1" si="428"/>
        <v>I2C_Expander_11</v>
      </c>
      <c r="J1860" s="15" t="str">
        <f t="shared" ca="1" si="435"/>
        <v>I2C_Expander_11!A163</v>
      </c>
      <c r="K1860" s="15" t="str">
        <f t="shared" ca="1" si="436"/>
        <v>I2C_Expander_11!B163</v>
      </c>
    </row>
    <row r="1861" spans="1:16" x14ac:dyDescent="0.25">
      <c r="A1861" s="3" t="str">
        <f t="shared" ca="1" si="439"/>
        <v/>
      </c>
      <c r="G1861" s="15">
        <f t="shared" ca="1" si="427"/>
        <v>164</v>
      </c>
      <c r="H1861" s="15">
        <v>1</v>
      </c>
      <c r="I1861" s="15" t="str">
        <f t="shared" ca="1" si="428"/>
        <v>I2C_Expander_11</v>
      </c>
      <c r="J1861" s="15" t="str">
        <f t="shared" ca="1" si="435"/>
        <v>I2C_Expander_11!A164</v>
      </c>
      <c r="K1861" s="15" t="str">
        <f t="shared" ca="1" si="436"/>
        <v>I2C_Expander_11!B164</v>
      </c>
    </row>
    <row r="1862" spans="1:16" x14ac:dyDescent="0.25">
      <c r="A1862" s="3" t="str">
        <f t="shared" ca="1" si="439"/>
        <v/>
      </c>
      <c r="G1862" s="15">
        <f t="shared" ca="1" si="427"/>
        <v>165</v>
      </c>
      <c r="H1862" s="15">
        <v>1</v>
      </c>
      <c r="I1862" s="15" t="str">
        <f t="shared" ca="1" si="428"/>
        <v>I2C_Expander_11</v>
      </c>
      <c r="J1862" s="15" t="str">
        <f t="shared" ca="1" si="435"/>
        <v>I2C_Expander_11!A165</v>
      </c>
      <c r="K1862" s="15" t="str">
        <f t="shared" ca="1" si="436"/>
        <v>I2C_Expander_11!B165</v>
      </c>
    </row>
    <row r="1863" spans="1:16" x14ac:dyDescent="0.25">
      <c r="A1863" s="3" t="str">
        <f t="shared" ca="1" si="439"/>
        <v/>
      </c>
      <c r="G1863" s="15">
        <f t="shared" ca="1" si="427"/>
        <v>166</v>
      </c>
      <c r="H1863" s="15">
        <v>1</v>
      </c>
      <c r="I1863" s="15" t="str">
        <f t="shared" ca="1" si="428"/>
        <v>I2C_Expander_11</v>
      </c>
      <c r="J1863" s="15" t="str">
        <f t="shared" ca="1" si="435"/>
        <v>I2C_Expander_11!A166</v>
      </c>
      <c r="K1863" s="15" t="str">
        <f t="shared" ca="1" si="436"/>
        <v>I2C_Expander_11!B166</v>
      </c>
    </row>
    <row r="1864" spans="1:16" x14ac:dyDescent="0.25">
      <c r="A1864" s="3" t="str">
        <f t="shared" ca="1" si="439"/>
        <v/>
      </c>
      <c r="G1864" s="15">
        <f t="shared" ca="1" si="427"/>
        <v>167</v>
      </c>
      <c r="H1864" s="15">
        <v>1</v>
      </c>
      <c r="I1864" s="15" t="str">
        <f t="shared" ca="1" si="428"/>
        <v>I2C_Expander_11</v>
      </c>
      <c r="J1864" s="15" t="str">
        <f t="shared" ca="1" si="435"/>
        <v>I2C_Expander_11!A167</v>
      </c>
      <c r="K1864" s="15" t="str">
        <f t="shared" ca="1" si="436"/>
        <v>I2C_Expander_11!B167</v>
      </c>
    </row>
    <row r="1865" spans="1:16" x14ac:dyDescent="0.25">
      <c r="A1865" s="3" t="str">
        <f t="shared" ca="1" si="439"/>
        <v/>
      </c>
      <c r="G1865" s="15">
        <f t="shared" ref="G1865:G1927" ca="1" si="446">G1864+1</f>
        <v>168</v>
      </c>
      <c r="H1865" s="15">
        <v>1</v>
      </c>
      <c r="I1865" s="15" t="str">
        <f t="shared" ref="I1865:I1927" ca="1" si="447">I1864</f>
        <v>I2C_Expander_11</v>
      </c>
      <c r="J1865" s="15" t="str">
        <f t="shared" ca="1" si="435"/>
        <v>I2C_Expander_11!A168</v>
      </c>
      <c r="K1865" s="15" t="str">
        <f t="shared" ca="1" si="436"/>
        <v>I2C_Expander_11!B168</v>
      </c>
    </row>
    <row r="1866" spans="1:16" x14ac:dyDescent="0.25">
      <c r="A1866" s="3" t="str">
        <f t="shared" ca="1" si="439"/>
        <v/>
      </c>
      <c r="G1866" s="15">
        <f t="shared" ca="1" si="446"/>
        <v>169</v>
      </c>
      <c r="H1866" s="15">
        <v>1</v>
      </c>
      <c r="I1866" s="15" t="str">
        <f t="shared" ca="1" si="447"/>
        <v>I2C_Expander_11</v>
      </c>
      <c r="J1866" s="15" t="str">
        <f t="shared" ca="1" si="435"/>
        <v>I2C_Expander_11!A169</v>
      </c>
      <c r="K1866" s="15" t="str">
        <f t="shared" ca="1" si="436"/>
        <v>I2C_Expander_11!B169</v>
      </c>
    </row>
    <row r="1867" spans="1:16" x14ac:dyDescent="0.25">
      <c r="A1867" s="3" t="str">
        <f t="shared" ca="1" si="439"/>
        <v/>
      </c>
      <c r="G1867" s="15">
        <f t="shared" ca="1" si="446"/>
        <v>170</v>
      </c>
      <c r="H1867" s="15">
        <v>1</v>
      </c>
      <c r="I1867" s="15" t="str">
        <f t="shared" ca="1" si="447"/>
        <v>I2C_Expander_11</v>
      </c>
      <c r="J1867" s="15" t="str">
        <f t="shared" ca="1" si="435"/>
        <v>I2C_Expander_11!A170</v>
      </c>
      <c r="K1867" s="15" t="str">
        <f t="shared" ca="1" si="436"/>
        <v>I2C_Expander_11!B170</v>
      </c>
    </row>
    <row r="1868" spans="1:16" x14ac:dyDescent="0.25">
      <c r="A1868" s="3" t="str">
        <f t="shared" ca="1" si="439"/>
        <v xml:space="preserve">#RadioCard_ILS_Exp1:etap 1 =  </v>
      </c>
      <c r="G1868" s="15">
        <f t="shared" ref="G1868" ca="1" si="448">INDIRECT(M1868)</f>
        <v>51</v>
      </c>
      <c r="H1868" s="15">
        <v>1</v>
      </c>
      <c r="I1868" s="15" t="str">
        <f t="shared" ref="I1868" ca="1" si="449">INDIRECT(N1868)</f>
        <v>RadioCard_ILS_Exp1</v>
      </c>
      <c r="J1868" s="15" t="str">
        <f t="shared" ca="1" si="435"/>
        <v>RadioCard_ILS_Exp1!A51</v>
      </c>
      <c r="K1868" s="15" t="str">
        <f t="shared" ca="1" si="436"/>
        <v>RadioCard_ILS_Exp1!B51</v>
      </c>
      <c r="M1868" s="15" t="str">
        <f t="shared" ref="M1868" si="450">ADDRESS(O1868,3,4,1,$R$1)</f>
        <v>konfig!C95</v>
      </c>
      <c r="N1868" s="15" t="str">
        <f t="shared" ref="N1868" si="451">ADDRESS(O1868,1,4,1,$R$1)</f>
        <v>konfig!A95</v>
      </c>
      <c r="O1868" s="15">
        <v>95</v>
      </c>
      <c r="P1868" s="15">
        <v>4</v>
      </c>
    </row>
    <row r="1869" spans="1:16" x14ac:dyDescent="0.25">
      <c r="A1869" s="3" t="str">
        <f t="shared" ca="1" si="439"/>
        <v xml:space="preserve">device = MCP23017 </v>
      </c>
      <c r="G1869" s="15">
        <f t="shared" ref="G1869:G1909" ca="1" si="452">G1868+1</f>
        <v>52</v>
      </c>
      <c r="H1869" s="15">
        <v>1</v>
      </c>
      <c r="I1869" s="15" t="str">
        <f t="shared" ref="I1869:I1909" ca="1" si="453">I1868</f>
        <v>RadioCard_ILS_Exp1</v>
      </c>
      <c r="J1869" s="15" t="str">
        <f t="shared" ca="1" si="435"/>
        <v>RadioCard_ILS_Exp1!A52</v>
      </c>
      <c r="K1869" s="15" t="str">
        <f t="shared" ca="1" si="436"/>
        <v>RadioCard_ILS_Exp1!B52</v>
      </c>
    </row>
    <row r="1870" spans="1:16" x14ac:dyDescent="0.25">
      <c r="A1870" s="3" t="str">
        <f t="shared" ca="1" si="439"/>
        <v xml:space="preserve">i2c_addr = 0x26 </v>
      </c>
      <c r="G1870" s="15">
        <f t="shared" ca="1" si="446"/>
        <v>53</v>
      </c>
      <c r="H1870" s="15">
        <v>1</v>
      </c>
      <c r="I1870" s="15" t="str">
        <f t="shared" ca="1" si="447"/>
        <v>RadioCard_ILS_Exp1</v>
      </c>
      <c r="J1870" s="15" t="str">
        <f t="shared" ca="1" si="435"/>
        <v>RadioCard_ILS_Exp1!A53</v>
      </c>
      <c r="K1870" s="15" t="str">
        <f t="shared" ca="1" si="436"/>
        <v>RadioCard_ILS_Exp1!B53</v>
      </c>
    </row>
    <row r="1871" spans="1:16" x14ac:dyDescent="0.25">
      <c r="A1871" s="3" t="str">
        <f t="shared" ca="1" si="439"/>
        <v xml:space="preserve">i2c_num = /dev/i2c-1 </v>
      </c>
      <c r="C1871" s="16"/>
      <c r="G1871" s="15">
        <f t="shared" ca="1" si="446"/>
        <v>54</v>
      </c>
      <c r="H1871" s="15">
        <v>1</v>
      </c>
      <c r="I1871" s="15" t="str">
        <f t="shared" ca="1" si="447"/>
        <v>RadioCard_ILS_Exp1</v>
      </c>
      <c r="J1871" s="15" t="str">
        <f t="shared" ca="1" si="435"/>
        <v>RadioCard_ILS_Exp1!A54</v>
      </c>
      <c r="K1871" s="15" t="str">
        <f t="shared" ca="1" si="436"/>
        <v>RadioCard_ILS_Exp1!B54</v>
      </c>
    </row>
    <row r="1872" spans="1:16" x14ac:dyDescent="0.25">
      <c r="A1872" s="3" t="str">
        <f t="shared" ca="1" si="439"/>
        <v xml:space="preserve">pins_mode = 0x0000 </v>
      </c>
      <c r="G1872" s="15">
        <f t="shared" ca="1" si="446"/>
        <v>55</v>
      </c>
      <c r="H1872" s="15">
        <v>1</v>
      </c>
      <c r="I1872" s="15" t="str">
        <f t="shared" ca="1" si="447"/>
        <v>RadioCard_ILS_Exp1</v>
      </c>
      <c r="J1872" s="15" t="str">
        <f t="shared" ca="1" si="435"/>
        <v>RadioCard_ILS_Exp1!A55</v>
      </c>
      <c r="K1872" s="15" t="str">
        <f t="shared" ca="1" si="436"/>
        <v>RadioCard_ILS_Exp1!B55</v>
      </c>
    </row>
    <row r="1873" spans="1:16" x14ac:dyDescent="0.25">
      <c r="A1873" s="3" t="str">
        <f t="shared" ca="1" si="439"/>
        <v xml:space="preserve">pins_state = 0x0000 </v>
      </c>
      <c r="G1873" s="15">
        <f t="shared" ca="1" si="446"/>
        <v>56</v>
      </c>
      <c r="H1873" s="15">
        <v>1</v>
      </c>
      <c r="I1873" s="15" t="str">
        <f t="shared" ca="1" si="447"/>
        <v>RadioCard_ILS_Exp1</v>
      </c>
      <c r="J1873" s="15" t="str">
        <f t="shared" ca="1" si="435"/>
        <v>RadioCard_ILS_Exp1!A56</v>
      </c>
      <c r="K1873" s="15" t="str">
        <f t="shared" ca="1" si="436"/>
        <v>RadioCard_ILS_Exp1!B56</v>
      </c>
    </row>
    <row r="1874" spans="1:16" x14ac:dyDescent="0.25">
      <c r="A1874" s="3" t="str">
        <f t="shared" ca="1" si="439"/>
        <v xml:space="preserve">pins_pull_up = 0x0000 </v>
      </c>
      <c r="G1874" s="15">
        <f t="shared" ca="1" si="446"/>
        <v>57</v>
      </c>
      <c r="H1874" s="15">
        <v>1</v>
      </c>
      <c r="I1874" s="15" t="str">
        <f t="shared" ca="1" si="447"/>
        <v>RadioCard_ILS_Exp1</v>
      </c>
      <c r="J1874" s="15" t="str">
        <f t="shared" ca="1" si="435"/>
        <v>RadioCard_ILS_Exp1!A57</v>
      </c>
      <c r="K1874" s="15" t="str">
        <f t="shared" ca="1" si="436"/>
        <v>RadioCard_ILS_Exp1!B57</v>
      </c>
    </row>
    <row r="1875" spans="1:16" x14ac:dyDescent="0.25">
      <c r="A1875" s="3" t="str">
        <f t="shared" ca="1" si="439"/>
        <v xml:space="preserve">#pins_int = 0x0000 </v>
      </c>
      <c r="G1875" s="15">
        <f t="shared" ca="1" si="446"/>
        <v>58</v>
      </c>
      <c r="H1875" s="15">
        <v>1</v>
      </c>
      <c r="I1875" s="15" t="str">
        <f t="shared" ca="1" si="447"/>
        <v>RadioCard_ILS_Exp1</v>
      </c>
      <c r="J1875" s="15" t="str">
        <f t="shared" ca="1" si="435"/>
        <v>RadioCard_ILS_Exp1!A58</v>
      </c>
      <c r="K1875" s="15" t="str">
        <f t="shared" ca="1" si="436"/>
        <v>RadioCard_ILS_Exp1!B58</v>
      </c>
    </row>
    <row r="1876" spans="1:16" x14ac:dyDescent="0.25">
      <c r="A1876" s="3" t="str">
        <f t="shared" ca="1" si="439"/>
        <v xml:space="preserve">#pins_def_val = 0x0000 </v>
      </c>
      <c r="G1876" s="15">
        <f t="shared" ca="1" si="446"/>
        <v>59</v>
      </c>
      <c r="H1876" s="15">
        <v>1</v>
      </c>
      <c r="I1876" s="15" t="str">
        <f t="shared" ca="1" si="447"/>
        <v>RadioCard_ILS_Exp1</v>
      </c>
      <c r="J1876" s="15" t="str">
        <f t="shared" ca="1" si="435"/>
        <v>RadioCard_ILS_Exp1!A59</v>
      </c>
      <c r="K1876" s="15" t="str">
        <f t="shared" ca="1" si="436"/>
        <v>RadioCard_ILS_Exp1!B59</v>
      </c>
    </row>
    <row r="1877" spans="1:16" x14ac:dyDescent="0.25">
      <c r="A1877" s="3" t="str">
        <f t="shared" ca="1" si="439"/>
        <v/>
      </c>
      <c r="G1877" s="15">
        <f t="shared" ca="1" si="446"/>
        <v>60</v>
      </c>
      <c r="H1877" s="15">
        <v>1</v>
      </c>
      <c r="I1877" s="15" t="str">
        <f t="shared" ca="1" si="447"/>
        <v>RadioCard_ILS_Exp1</v>
      </c>
      <c r="J1877" s="15" t="str">
        <f t="shared" ca="1" si="435"/>
        <v>RadioCard_ILS_Exp1!A60</v>
      </c>
      <c r="K1877" s="15" t="str">
        <f t="shared" ca="1" si="436"/>
        <v>RadioCard_ILS_Exp1!B60</v>
      </c>
    </row>
    <row r="1878" spans="1:16" x14ac:dyDescent="0.25">
      <c r="A1878" s="3" t="str">
        <f t="shared" ca="1" si="439"/>
        <v xml:space="preserve">time = 10 </v>
      </c>
      <c r="G1878" s="15">
        <f t="shared" ca="1" si="446"/>
        <v>61</v>
      </c>
      <c r="H1878" s="15">
        <v>1</v>
      </c>
      <c r="I1878" s="15" t="str">
        <f t="shared" ca="1" si="447"/>
        <v>RadioCard_ILS_Exp1</v>
      </c>
      <c r="J1878" s="15" t="str">
        <f t="shared" ca="1" si="435"/>
        <v>RadioCard_ILS_Exp1!A61</v>
      </c>
      <c r="K1878" s="15" t="str">
        <f t="shared" ca="1" si="436"/>
        <v>RadioCard_ILS_Exp1!B61</v>
      </c>
    </row>
    <row r="1879" spans="1:16" x14ac:dyDescent="0.25">
      <c r="A1879" s="3" t="str">
        <f t="shared" ca="1" si="439"/>
        <v/>
      </c>
      <c r="C1879" s="16"/>
      <c r="G1879" s="15">
        <f t="shared" ca="1" si="446"/>
        <v>62</v>
      </c>
      <c r="H1879" s="15">
        <v>1</v>
      </c>
      <c r="I1879" s="15" t="str">
        <f t="shared" ca="1" si="447"/>
        <v>RadioCard_ILS_Exp1</v>
      </c>
      <c r="J1879" s="15" t="str">
        <f t="shared" ca="1" si="435"/>
        <v>RadioCard_ILS_Exp1!A62</v>
      </c>
      <c r="K1879" s="15" t="str">
        <f t="shared" ca="1" si="436"/>
        <v>RadioCard_ILS_Exp1!B62</v>
      </c>
    </row>
    <row r="1880" spans="1:16" x14ac:dyDescent="0.25">
      <c r="A1880" s="3" t="str">
        <f t="shared" ca="1" si="439"/>
        <v/>
      </c>
      <c r="G1880" s="15">
        <f t="shared" ca="1" si="446"/>
        <v>63</v>
      </c>
      <c r="H1880" s="15">
        <v>1</v>
      </c>
      <c r="I1880" s="15" t="str">
        <f t="shared" ca="1" si="447"/>
        <v>RadioCard_ILS_Exp1</v>
      </c>
      <c r="J1880" s="15" t="str">
        <f t="shared" ca="1" si="435"/>
        <v>RadioCard_ILS_Exp1!A63</v>
      </c>
      <c r="K1880" s="15" t="str">
        <f t="shared" ca="1" si="436"/>
        <v>RadioCard_ILS_Exp1!B63</v>
      </c>
    </row>
    <row r="1881" spans="1:16" x14ac:dyDescent="0.25">
      <c r="A1881" s="3" t="str">
        <f t="shared" ca="1" si="439"/>
        <v/>
      </c>
      <c r="G1881" s="15">
        <f t="shared" ca="1" si="446"/>
        <v>64</v>
      </c>
      <c r="H1881" s="15">
        <v>1</v>
      </c>
      <c r="I1881" s="15" t="str">
        <f t="shared" ca="1" si="447"/>
        <v>RadioCard_ILS_Exp1</v>
      </c>
      <c r="J1881" s="15" t="str">
        <f t="shared" ca="1" si="435"/>
        <v>RadioCard_ILS_Exp1!A64</v>
      </c>
      <c r="K1881" s="15" t="str">
        <f t="shared" ca="1" si="436"/>
        <v>RadioCard_ILS_Exp1!B64</v>
      </c>
    </row>
    <row r="1882" spans="1:16" x14ac:dyDescent="0.25">
      <c r="A1882" s="3" t="str">
        <f t="shared" ca="1" si="439"/>
        <v/>
      </c>
      <c r="G1882" s="15">
        <f t="shared" ca="1" si="446"/>
        <v>65</v>
      </c>
      <c r="H1882" s="15">
        <v>1</v>
      </c>
      <c r="I1882" s="15" t="str">
        <f t="shared" ca="1" si="447"/>
        <v>RadioCard_ILS_Exp1</v>
      </c>
      <c r="J1882" s="15" t="str">
        <f t="shared" ca="1" si="435"/>
        <v>RadioCard_ILS_Exp1!A65</v>
      </c>
      <c r="K1882" s="15" t="str">
        <f t="shared" ca="1" si="436"/>
        <v>RadioCard_ILS_Exp1!B65</v>
      </c>
    </row>
    <row r="1883" spans="1:16" x14ac:dyDescent="0.25">
      <c r="A1883" s="3" t="str">
        <f t="shared" ca="1" si="439"/>
        <v/>
      </c>
      <c r="G1883" s="15">
        <f t="shared" ca="1" si="446"/>
        <v>66</v>
      </c>
      <c r="H1883" s="15">
        <v>1</v>
      </c>
      <c r="I1883" s="15" t="str">
        <f t="shared" ca="1" si="447"/>
        <v>RadioCard_ILS_Exp1</v>
      </c>
      <c r="J1883" s="15" t="str">
        <f t="shared" ca="1" si="435"/>
        <v>RadioCard_ILS_Exp1!A66</v>
      </c>
      <c r="K1883" s="15" t="str">
        <f t="shared" ca="1" si="436"/>
        <v>RadioCard_ILS_Exp1!B66</v>
      </c>
    </row>
    <row r="1884" spans="1:16" x14ac:dyDescent="0.25">
      <c r="A1884" s="3" t="str">
        <f t="shared" ca="1" si="439"/>
        <v/>
      </c>
      <c r="G1884" s="15">
        <f t="shared" ca="1" si="446"/>
        <v>67</v>
      </c>
      <c r="H1884" s="15">
        <v>1</v>
      </c>
      <c r="I1884" s="15" t="str">
        <f t="shared" ca="1" si="447"/>
        <v>RadioCard_ILS_Exp1</v>
      </c>
      <c r="J1884" s="15" t="str">
        <f t="shared" ca="1" si="435"/>
        <v>RadioCard_ILS_Exp1!A67</v>
      </c>
      <c r="K1884" s="15" t="str">
        <f t="shared" ca="1" si="436"/>
        <v>RadioCard_ILS_Exp1!B67</v>
      </c>
    </row>
    <row r="1885" spans="1:16" x14ac:dyDescent="0.25">
      <c r="A1885" s="3" t="str">
        <f t="shared" ca="1" si="439"/>
        <v/>
      </c>
      <c r="G1885" s="15">
        <f t="shared" ca="1" si="446"/>
        <v>68</v>
      </c>
      <c r="H1885" s="15">
        <v>1</v>
      </c>
      <c r="I1885" s="15" t="str">
        <f t="shared" ca="1" si="447"/>
        <v>RadioCard_ILS_Exp1</v>
      </c>
      <c r="J1885" s="15" t="str">
        <f t="shared" ca="1" si="435"/>
        <v>RadioCard_ILS_Exp1!A68</v>
      </c>
      <c r="K1885" s="15" t="str">
        <f t="shared" ca="1" si="436"/>
        <v>RadioCard_ILS_Exp1!B68</v>
      </c>
    </row>
    <row r="1886" spans="1:16" x14ac:dyDescent="0.25">
      <c r="A1886" s="3" t="str">
        <f t="shared" ca="1" si="439"/>
        <v/>
      </c>
      <c r="G1886" s="15">
        <f t="shared" ca="1" si="446"/>
        <v>69</v>
      </c>
      <c r="H1886" s="15">
        <v>1</v>
      </c>
      <c r="I1886" s="15" t="str">
        <f t="shared" ca="1" si="447"/>
        <v>RadioCard_ILS_Exp1</v>
      </c>
      <c r="J1886" s="15" t="str">
        <f t="shared" ca="1" si="435"/>
        <v>RadioCard_ILS_Exp1!A69</v>
      </c>
      <c r="K1886" s="15" t="str">
        <f t="shared" ca="1" si="436"/>
        <v>RadioCard_ILS_Exp1!B69</v>
      </c>
    </row>
    <row r="1887" spans="1:16" x14ac:dyDescent="0.25">
      <c r="A1887" s="3" t="str">
        <f t="shared" ca="1" si="439"/>
        <v/>
      </c>
      <c r="G1887" s="15">
        <f t="shared" ca="1" si="446"/>
        <v>70</v>
      </c>
      <c r="H1887" s="15">
        <v>1</v>
      </c>
      <c r="I1887" s="15" t="str">
        <f t="shared" ca="1" si="447"/>
        <v>RadioCard_ILS_Exp1</v>
      </c>
      <c r="J1887" s="15" t="str">
        <f t="shared" ca="1" si="435"/>
        <v>RadioCard_ILS_Exp1!A70</v>
      </c>
      <c r="K1887" s="15" t="str">
        <f t="shared" ca="1" si="436"/>
        <v>RadioCard_ILS_Exp1!B70</v>
      </c>
    </row>
    <row r="1888" spans="1:16" x14ac:dyDescent="0.25">
      <c r="A1888" s="3" t="str">
        <f t="shared" ca="1" si="439"/>
        <v xml:space="preserve">#RadioCard_ILS_Exp1:etap 1 =  </v>
      </c>
      <c r="G1888" s="15">
        <f t="shared" ref="G1888" ca="1" si="454">INDIRECT(M1888)</f>
        <v>51</v>
      </c>
      <c r="H1888" s="15">
        <v>1</v>
      </c>
      <c r="I1888" s="15" t="str">
        <f t="shared" ref="I1888" ca="1" si="455">INDIRECT(N1888)</f>
        <v>RadioCard_ILS_Exp2</v>
      </c>
      <c r="J1888" s="15" t="str">
        <f t="shared" ca="1" si="435"/>
        <v>RadioCard_ILS_Exp2!A51</v>
      </c>
      <c r="K1888" s="15" t="str">
        <f t="shared" ca="1" si="436"/>
        <v>RadioCard_ILS_Exp2!B51</v>
      </c>
      <c r="M1888" s="15" t="str">
        <f t="shared" ref="M1888" si="456">ADDRESS(O1888,3,4,1,$R$1)</f>
        <v>konfig!C96</v>
      </c>
      <c r="N1888" s="15" t="str">
        <f t="shared" ref="N1888" si="457">ADDRESS(O1888,1,4,1,$R$1)</f>
        <v>konfig!A96</v>
      </c>
      <c r="O1888" s="15">
        <v>96</v>
      </c>
      <c r="P1888" s="15">
        <v>4</v>
      </c>
    </row>
    <row r="1889" spans="1:11" x14ac:dyDescent="0.25">
      <c r="A1889" s="3" t="str">
        <f t="shared" ca="1" si="439"/>
        <v xml:space="preserve">device = MCP23017 </v>
      </c>
      <c r="G1889" s="15">
        <f t="shared" ca="1" si="444"/>
        <v>52</v>
      </c>
      <c r="H1889" s="15">
        <v>1</v>
      </c>
      <c r="I1889" s="15" t="str">
        <f t="shared" ca="1" si="445"/>
        <v>RadioCard_ILS_Exp2</v>
      </c>
      <c r="J1889" s="15" t="str">
        <f t="shared" ca="1" si="435"/>
        <v>RadioCard_ILS_Exp2!A52</v>
      </c>
      <c r="K1889" s="15" t="str">
        <f t="shared" ca="1" si="436"/>
        <v>RadioCard_ILS_Exp2!B52</v>
      </c>
    </row>
    <row r="1890" spans="1:11" x14ac:dyDescent="0.25">
      <c r="A1890" s="3" t="str">
        <f t="shared" ca="1" si="439"/>
        <v xml:space="preserve">i2c_addr = 0x27 </v>
      </c>
      <c r="G1890" s="15">
        <f t="shared" ca="1" si="444"/>
        <v>53</v>
      </c>
      <c r="H1890" s="15">
        <v>1</v>
      </c>
      <c r="I1890" s="15" t="str">
        <f t="shared" ca="1" si="445"/>
        <v>RadioCard_ILS_Exp2</v>
      </c>
      <c r="J1890" s="15" t="str">
        <f t="shared" ca="1" si="435"/>
        <v>RadioCard_ILS_Exp2!A53</v>
      </c>
      <c r="K1890" s="15" t="str">
        <f t="shared" ca="1" si="436"/>
        <v>RadioCard_ILS_Exp2!B53</v>
      </c>
    </row>
    <row r="1891" spans="1:11" x14ac:dyDescent="0.25">
      <c r="A1891" s="3" t="str">
        <f t="shared" ca="1" si="439"/>
        <v xml:space="preserve">i2c_num = /dev/i2c-1 </v>
      </c>
      <c r="C1891" s="16"/>
      <c r="G1891" s="15">
        <f t="shared" ca="1" si="444"/>
        <v>54</v>
      </c>
      <c r="H1891" s="15">
        <v>1</v>
      </c>
      <c r="I1891" s="15" t="str">
        <f t="shared" ca="1" si="445"/>
        <v>RadioCard_ILS_Exp2</v>
      </c>
      <c r="J1891" s="15" t="str">
        <f t="shared" ca="1" si="435"/>
        <v>RadioCard_ILS_Exp2!A54</v>
      </c>
      <c r="K1891" s="15" t="str">
        <f t="shared" ca="1" si="436"/>
        <v>RadioCard_ILS_Exp2!B54</v>
      </c>
    </row>
    <row r="1892" spans="1:11" x14ac:dyDescent="0.25">
      <c r="A1892" s="3" t="str">
        <f t="shared" ca="1" si="439"/>
        <v xml:space="preserve">pins_mode = 0xCE8C </v>
      </c>
      <c r="G1892" s="15">
        <f t="shared" ca="1" si="444"/>
        <v>55</v>
      </c>
      <c r="H1892" s="15">
        <v>1</v>
      </c>
      <c r="I1892" s="15" t="str">
        <f t="shared" ca="1" si="445"/>
        <v>RadioCard_ILS_Exp2</v>
      </c>
      <c r="J1892" s="15" t="str">
        <f t="shared" ref="J1892:J1955" ca="1" si="458">ADDRESS(G1892,H1892,4,1,I1892)</f>
        <v>RadioCard_ILS_Exp2!A55</v>
      </c>
      <c r="K1892" s="15" t="str">
        <f t="shared" ref="K1892:K1955" ca="1" si="459">ADDRESS(G1892,H1892+1,4,1,I1892)</f>
        <v>RadioCard_ILS_Exp2!B55</v>
      </c>
    </row>
    <row r="1893" spans="1:11" x14ac:dyDescent="0.25">
      <c r="A1893" s="3" t="str">
        <f t="shared" ca="1" si="439"/>
        <v xml:space="preserve">pins_state = 0x0100 </v>
      </c>
      <c r="G1893" s="15">
        <f t="shared" ca="1" si="446"/>
        <v>56</v>
      </c>
      <c r="H1893" s="15">
        <v>1</v>
      </c>
      <c r="I1893" s="15" t="str">
        <f t="shared" ca="1" si="447"/>
        <v>RadioCard_ILS_Exp2</v>
      </c>
      <c r="J1893" s="15" t="str">
        <f t="shared" ca="1" si="458"/>
        <v>RadioCard_ILS_Exp2!A56</v>
      </c>
      <c r="K1893" s="15" t="str">
        <f t="shared" ca="1" si="459"/>
        <v>RadioCard_ILS_Exp2!B56</v>
      </c>
    </row>
    <row r="1894" spans="1:11" x14ac:dyDescent="0.25">
      <c r="A1894" s="3" t="str">
        <f t="shared" ca="1" si="439"/>
        <v xml:space="preserve">pins_pull_up = 0x4808 </v>
      </c>
      <c r="G1894" s="15">
        <f t="shared" ca="1" si="446"/>
        <v>57</v>
      </c>
      <c r="H1894" s="15">
        <v>1</v>
      </c>
      <c r="I1894" s="15" t="str">
        <f t="shared" ca="1" si="447"/>
        <v>RadioCard_ILS_Exp2</v>
      </c>
      <c r="J1894" s="15" t="str">
        <f t="shared" ca="1" si="458"/>
        <v>RadioCard_ILS_Exp2!A57</v>
      </c>
      <c r="K1894" s="15" t="str">
        <f t="shared" ca="1" si="459"/>
        <v>RadioCard_ILS_Exp2!B57</v>
      </c>
    </row>
    <row r="1895" spans="1:11" x14ac:dyDescent="0.25">
      <c r="A1895" s="3" t="str">
        <f t="shared" ca="1" si="439"/>
        <v xml:space="preserve">#pins_int = 0x0000 </v>
      </c>
      <c r="G1895" s="15">
        <f t="shared" ca="1" si="446"/>
        <v>58</v>
      </c>
      <c r="H1895" s="15">
        <v>1</v>
      </c>
      <c r="I1895" s="15" t="str">
        <f t="shared" ca="1" si="447"/>
        <v>RadioCard_ILS_Exp2</v>
      </c>
      <c r="J1895" s="15" t="str">
        <f t="shared" ca="1" si="458"/>
        <v>RadioCard_ILS_Exp2!A58</v>
      </c>
      <c r="K1895" s="15" t="str">
        <f t="shared" ca="1" si="459"/>
        <v>RadioCard_ILS_Exp2!B58</v>
      </c>
    </row>
    <row r="1896" spans="1:11" x14ac:dyDescent="0.25">
      <c r="A1896" s="3" t="str">
        <f t="shared" ca="1" si="439"/>
        <v xml:space="preserve">#pins_def_val = 0x0000 </v>
      </c>
      <c r="G1896" s="15">
        <f t="shared" ca="1" si="446"/>
        <v>59</v>
      </c>
      <c r="H1896" s="15">
        <v>1</v>
      </c>
      <c r="I1896" s="15" t="str">
        <f t="shared" ca="1" si="447"/>
        <v>RadioCard_ILS_Exp2</v>
      </c>
      <c r="J1896" s="15" t="str">
        <f t="shared" ca="1" si="458"/>
        <v>RadioCard_ILS_Exp2!A59</v>
      </c>
      <c r="K1896" s="15" t="str">
        <f t="shared" ca="1" si="459"/>
        <v>RadioCard_ILS_Exp2!B59</v>
      </c>
    </row>
    <row r="1897" spans="1:11" x14ac:dyDescent="0.25">
      <c r="A1897" s="3" t="str">
        <f t="shared" ca="1" si="439"/>
        <v/>
      </c>
      <c r="G1897" s="15">
        <f t="shared" ca="1" si="446"/>
        <v>60</v>
      </c>
      <c r="H1897" s="15">
        <v>1</v>
      </c>
      <c r="I1897" s="15" t="str">
        <f t="shared" ca="1" si="447"/>
        <v>RadioCard_ILS_Exp2</v>
      </c>
      <c r="J1897" s="15" t="str">
        <f t="shared" ca="1" si="458"/>
        <v>RadioCard_ILS_Exp2!A60</v>
      </c>
      <c r="K1897" s="15" t="str">
        <f t="shared" ca="1" si="459"/>
        <v>RadioCard_ILS_Exp2!B60</v>
      </c>
    </row>
    <row r="1898" spans="1:11" x14ac:dyDescent="0.25">
      <c r="A1898" s="3" t="str">
        <f t="shared" ca="1" si="439"/>
        <v xml:space="preserve">time = 10 </v>
      </c>
      <c r="G1898" s="15">
        <f t="shared" ca="1" si="446"/>
        <v>61</v>
      </c>
      <c r="H1898" s="15">
        <v>1</v>
      </c>
      <c r="I1898" s="15" t="str">
        <f t="shared" ca="1" si="447"/>
        <v>RadioCard_ILS_Exp2</v>
      </c>
      <c r="J1898" s="15" t="str">
        <f t="shared" ca="1" si="458"/>
        <v>RadioCard_ILS_Exp2!A61</v>
      </c>
      <c r="K1898" s="15" t="str">
        <f t="shared" ca="1" si="459"/>
        <v>RadioCard_ILS_Exp2!B61</v>
      </c>
    </row>
    <row r="1899" spans="1:11" x14ac:dyDescent="0.25">
      <c r="A1899" s="3" t="str">
        <f t="shared" ca="1" si="439"/>
        <v/>
      </c>
      <c r="C1899" s="16"/>
      <c r="G1899" s="15">
        <f t="shared" ca="1" si="446"/>
        <v>62</v>
      </c>
      <c r="H1899" s="15">
        <v>1</v>
      </c>
      <c r="I1899" s="15" t="str">
        <f t="shared" ca="1" si="447"/>
        <v>RadioCard_ILS_Exp2</v>
      </c>
      <c r="J1899" s="15" t="str">
        <f t="shared" ca="1" si="458"/>
        <v>RadioCard_ILS_Exp2!A62</v>
      </c>
      <c r="K1899" s="15" t="str">
        <f t="shared" ca="1" si="459"/>
        <v>RadioCard_ILS_Exp2!B62</v>
      </c>
    </row>
    <row r="1900" spans="1:11" x14ac:dyDescent="0.25">
      <c r="A1900" s="3" t="str">
        <f t="shared" ref="A1900:A1963" ca="1" si="460">IFERROR(IF(INDIRECT(J1900)&lt;&gt;"",CONCATENATE(INDIRECT(J1900)," = ",INDIRECT(K1900)," "),""),"")</f>
        <v/>
      </c>
      <c r="G1900" s="15">
        <f t="shared" ca="1" si="446"/>
        <v>63</v>
      </c>
      <c r="H1900" s="15">
        <v>1</v>
      </c>
      <c r="I1900" s="15" t="str">
        <f t="shared" ca="1" si="447"/>
        <v>RadioCard_ILS_Exp2</v>
      </c>
      <c r="J1900" s="15" t="str">
        <f t="shared" ca="1" si="458"/>
        <v>RadioCard_ILS_Exp2!A63</v>
      </c>
      <c r="K1900" s="15" t="str">
        <f t="shared" ca="1" si="459"/>
        <v>RadioCard_ILS_Exp2!B63</v>
      </c>
    </row>
    <row r="1901" spans="1:11" x14ac:dyDescent="0.25">
      <c r="A1901" s="3" t="str">
        <f t="shared" ca="1" si="460"/>
        <v/>
      </c>
      <c r="G1901" s="15">
        <f t="shared" ca="1" si="446"/>
        <v>64</v>
      </c>
      <c r="H1901" s="15">
        <v>1</v>
      </c>
      <c r="I1901" s="15" t="str">
        <f t="shared" ca="1" si="447"/>
        <v>RadioCard_ILS_Exp2</v>
      </c>
      <c r="J1901" s="15" t="str">
        <f t="shared" ca="1" si="458"/>
        <v>RadioCard_ILS_Exp2!A64</v>
      </c>
      <c r="K1901" s="15" t="str">
        <f t="shared" ca="1" si="459"/>
        <v>RadioCard_ILS_Exp2!B64</v>
      </c>
    </row>
    <row r="1902" spans="1:11" x14ac:dyDescent="0.25">
      <c r="A1902" s="3" t="str">
        <f t="shared" ca="1" si="460"/>
        <v/>
      </c>
      <c r="G1902" s="15">
        <f t="shared" ca="1" si="446"/>
        <v>65</v>
      </c>
      <c r="H1902" s="15">
        <v>1</v>
      </c>
      <c r="I1902" s="15" t="str">
        <f t="shared" ca="1" si="447"/>
        <v>RadioCard_ILS_Exp2</v>
      </c>
      <c r="J1902" s="15" t="str">
        <f t="shared" ca="1" si="458"/>
        <v>RadioCard_ILS_Exp2!A65</v>
      </c>
      <c r="K1902" s="15" t="str">
        <f t="shared" ca="1" si="459"/>
        <v>RadioCard_ILS_Exp2!B65</v>
      </c>
    </row>
    <row r="1903" spans="1:11" x14ac:dyDescent="0.25">
      <c r="A1903" s="3" t="str">
        <f t="shared" ca="1" si="460"/>
        <v/>
      </c>
      <c r="G1903" s="15">
        <f t="shared" ca="1" si="446"/>
        <v>66</v>
      </c>
      <c r="H1903" s="15">
        <v>1</v>
      </c>
      <c r="I1903" s="15" t="str">
        <f t="shared" ca="1" si="447"/>
        <v>RadioCard_ILS_Exp2</v>
      </c>
      <c r="J1903" s="15" t="str">
        <f t="shared" ca="1" si="458"/>
        <v>RadioCard_ILS_Exp2!A66</v>
      </c>
      <c r="K1903" s="15" t="str">
        <f t="shared" ca="1" si="459"/>
        <v>RadioCard_ILS_Exp2!B66</v>
      </c>
    </row>
    <row r="1904" spans="1:11" x14ac:dyDescent="0.25">
      <c r="A1904" s="3" t="str">
        <f t="shared" ca="1" si="460"/>
        <v/>
      </c>
      <c r="G1904" s="15">
        <f t="shared" ca="1" si="446"/>
        <v>67</v>
      </c>
      <c r="H1904" s="15">
        <v>1</v>
      </c>
      <c r="I1904" s="15" t="str">
        <f t="shared" ca="1" si="447"/>
        <v>RadioCard_ILS_Exp2</v>
      </c>
      <c r="J1904" s="15" t="str">
        <f t="shared" ca="1" si="458"/>
        <v>RadioCard_ILS_Exp2!A67</v>
      </c>
      <c r="K1904" s="15" t="str">
        <f t="shared" ca="1" si="459"/>
        <v>RadioCard_ILS_Exp2!B67</v>
      </c>
    </row>
    <row r="1905" spans="1:16" x14ac:dyDescent="0.25">
      <c r="A1905" s="3" t="str">
        <f t="shared" ca="1" si="460"/>
        <v/>
      </c>
      <c r="G1905" s="15">
        <f t="shared" ca="1" si="446"/>
        <v>68</v>
      </c>
      <c r="H1905" s="15">
        <v>1</v>
      </c>
      <c r="I1905" s="15" t="str">
        <f t="shared" ca="1" si="447"/>
        <v>RadioCard_ILS_Exp2</v>
      </c>
      <c r="J1905" s="15" t="str">
        <f t="shared" ca="1" si="458"/>
        <v>RadioCard_ILS_Exp2!A68</v>
      </c>
      <c r="K1905" s="15" t="str">
        <f t="shared" ca="1" si="459"/>
        <v>RadioCard_ILS_Exp2!B68</v>
      </c>
    </row>
    <row r="1906" spans="1:16" x14ac:dyDescent="0.25">
      <c r="A1906" s="3" t="str">
        <f t="shared" ca="1" si="460"/>
        <v/>
      </c>
      <c r="G1906" s="15">
        <f t="shared" ca="1" si="446"/>
        <v>69</v>
      </c>
      <c r="H1906" s="15">
        <v>1</v>
      </c>
      <c r="I1906" s="15" t="str">
        <f t="shared" ca="1" si="447"/>
        <v>RadioCard_ILS_Exp2</v>
      </c>
      <c r="J1906" s="15" t="str">
        <f t="shared" ca="1" si="458"/>
        <v>RadioCard_ILS_Exp2!A69</v>
      </c>
      <c r="K1906" s="15" t="str">
        <f t="shared" ca="1" si="459"/>
        <v>RadioCard_ILS_Exp2!B69</v>
      </c>
    </row>
    <row r="1907" spans="1:16" x14ac:dyDescent="0.25">
      <c r="A1907" s="3" t="str">
        <f t="shared" ca="1" si="460"/>
        <v/>
      </c>
      <c r="G1907" s="15">
        <f t="shared" ca="1" si="446"/>
        <v>70</v>
      </c>
      <c r="H1907" s="15">
        <v>1</v>
      </c>
      <c r="I1907" s="15" t="str">
        <f t="shared" ca="1" si="447"/>
        <v>RadioCard_ILS_Exp2</v>
      </c>
      <c r="J1907" s="15" t="str">
        <f t="shared" ca="1" si="458"/>
        <v>RadioCard_ILS_Exp2!A70</v>
      </c>
      <c r="K1907" s="15" t="str">
        <f t="shared" ca="1" si="459"/>
        <v>RadioCard_ILS_Exp2!B70</v>
      </c>
    </row>
    <row r="1908" spans="1:16" x14ac:dyDescent="0.25">
      <c r="A1908" s="3" t="str">
        <f t="shared" ca="1" si="460"/>
        <v xml:space="preserve">#RadioCard_ILS_Exp1:etap 1 =  </v>
      </c>
      <c r="G1908" s="15">
        <f t="shared" ref="G1908" ca="1" si="461">INDIRECT(M1908)</f>
        <v>51</v>
      </c>
      <c r="H1908" s="15">
        <v>1</v>
      </c>
      <c r="I1908" s="15" t="str">
        <f t="shared" ref="I1908" ca="1" si="462">INDIRECT(N1908)</f>
        <v>RadioCard_ILS_Exp1</v>
      </c>
      <c r="J1908" s="15" t="str">
        <f t="shared" ca="1" si="458"/>
        <v>RadioCard_ILS_Exp1!A51</v>
      </c>
      <c r="K1908" s="15" t="str">
        <f t="shared" ca="1" si="459"/>
        <v>RadioCard_ILS_Exp1!B51</v>
      </c>
      <c r="M1908" s="15" t="str">
        <f t="shared" ref="M1908" si="463">ADDRESS(O1908,3,4,1,$R$1)</f>
        <v>konfig!C97</v>
      </c>
      <c r="N1908" s="15" t="str">
        <f t="shared" ref="N1908" si="464">ADDRESS(O1908,1,4,1,$R$1)</f>
        <v>konfig!A97</v>
      </c>
      <c r="O1908" s="15">
        <v>97</v>
      </c>
      <c r="P1908" s="15">
        <v>4</v>
      </c>
    </row>
    <row r="1909" spans="1:16" x14ac:dyDescent="0.25">
      <c r="A1909" s="3" t="str">
        <f t="shared" ca="1" si="460"/>
        <v xml:space="preserve">device = MCP23017 </v>
      </c>
      <c r="G1909" s="15">
        <f t="shared" ca="1" si="452"/>
        <v>52</v>
      </c>
      <c r="H1909" s="15">
        <v>1</v>
      </c>
      <c r="I1909" s="15" t="str">
        <f t="shared" ca="1" si="453"/>
        <v>RadioCard_ILS_Exp1</v>
      </c>
      <c r="J1909" s="15" t="str">
        <f t="shared" ca="1" si="458"/>
        <v>RadioCard_ILS_Exp1!A52</v>
      </c>
      <c r="K1909" s="15" t="str">
        <f t="shared" ca="1" si="459"/>
        <v>RadioCard_ILS_Exp1!B52</v>
      </c>
    </row>
    <row r="1910" spans="1:16" x14ac:dyDescent="0.25">
      <c r="A1910" s="3" t="str">
        <f t="shared" ca="1" si="460"/>
        <v xml:space="preserve">i2c_addr = 0x26 </v>
      </c>
      <c r="G1910" s="15">
        <f t="shared" ca="1" si="446"/>
        <v>53</v>
      </c>
      <c r="H1910" s="15">
        <v>1</v>
      </c>
      <c r="I1910" s="15" t="str">
        <f t="shared" ca="1" si="447"/>
        <v>RadioCard_ILS_Exp1</v>
      </c>
      <c r="J1910" s="15" t="str">
        <f t="shared" ca="1" si="458"/>
        <v>RadioCard_ILS_Exp1!A53</v>
      </c>
      <c r="K1910" s="15" t="str">
        <f t="shared" ca="1" si="459"/>
        <v>RadioCard_ILS_Exp1!B53</v>
      </c>
    </row>
    <row r="1911" spans="1:16" x14ac:dyDescent="0.25">
      <c r="A1911" s="3" t="str">
        <f t="shared" ca="1" si="460"/>
        <v xml:space="preserve">i2c_num = /dev/i2c-1 </v>
      </c>
      <c r="C1911" s="16"/>
      <c r="G1911" s="15">
        <f t="shared" ca="1" si="446"/>
        <v>54</v>
      </c>
      <c r="H1911" s="15">
        <v>1</v>
      </c>
      <c r="I1911" s="15" t="str">
        <f t="shared" ca="1" si="447"/>
        <v>RadioCard_ILS_Exp1</v>
      </c>
      <c r="J1911" s="15" t="str">
        <f t="shared" ca="1" si="458"/>
        <v>RadioCard_ILS_Exp1!A54</v>
      </c>
      <c r="K1911" s="15" t="str">
        <f t="shared" ca="1" si="459"/>
        <v>RadioCard_ILS_Exp1!B54</v>
      </c>
    </row>
    <row r="1912" spans="1:16" x14ac:dyDescent="0.25">
      <c r="A1912" s="3" t="str">
        <f t="shared" ca="1" si="460"/>
        <v xml:space="preserve">pins_mode = 0x0000 </v>
      </c>
      <c r="G1912" s="15">
        <f t="shared" ca="1" si="446"/>
        <v>55</v>
      </c>
      <c r="H1912" s="15">
        <v>1</v>
      </c>
      <c r="I1912" s="15" t="str">
        <f t="shared" ca="1" si="447"/>
        <v>RadioCard_ILS_Exp1</v>
      </c>
      <c r="J1912" s="15" t="str">
        <f t="shared" ca="1" si="458"/>
        <v>RadioCard_ILS_Exp1!A55</v>
      </c>
      <c r="K1912" s="15" t="str">
        <f t="shared" ca="1" si="459"/>
        <v>RadioCard_ILS_Exp1!B55</v>
      </c>
    </row>
    <row r="1913" spans="1:16" x14ac:dyDescent="0.25">
      <c r="A1913" s="3" t="str">
        <f t="shared" ca="1" si="460"/>
        <v xml:space="preserve">pins_state = 0x0000 </v>
      </c>
      <c r="G1913" s="15">
        <f t="shared" ca="1" si="446"/>
        <v>56</v>
      </c>
      <c r="H1913" s="15">
        <v>1</v>
      </c>
      <c r="I1913" s="15" t="str">
        <f t="shared" ca="1" si="447"/>
        <v>RadioCard_ILS_Exp1</v>
      </c>
      <c r="J1913" s="15" t="str">
        <f t="shared" ca="1" si="458"/>
        <v>RadioCard_ILS_Exp1!A56</v>
      </c>
      <c r="K1913" s="15" t="str">
        <f t="shared" ca="1" si="459"/>
        <v>RadioCard_ILS_Exp1!B56</v>
      </c>
    </row>
    <row r="1914" spans="1:16" x14ac:dyDescent="0.25">
      <c r="A1914" s="3" t="str">
        <f t="shared" ca="1" si="460"/>
        <v xml:space="preserve">pins_pull_up = 0x0000 </v>
      </c>
      <c r="G1914" s="15">
        <f t="shared" ca="1" si="446"/>
        <v>57</v>
      </c>
      <c r="H1914" s="15">
        <v>1</v>
      </c>
      <c r="I1914" s="15" t="str">
        <f t="shared" ca="1" si="447"/>
        <v>RadioCard_ILS_Exp1</v>
      </c>
      <c r="J1914" s="15" t="str">
        <f t="shared" ca="1" si="458"/>
        <v>RadioCard_ILS_Exp1!A57</v>
      </c>
      <c r="K1914" s="15" t="str">
        <f t="shared" ca="1" si="459"/>
        <v>RadioCard_ILS_Exp1!B57</v>
      </c>
    </row>
    <row r="1915" spans="1:16" x14ac:dyDescent="0.25">
      <c r="A1915" s="3" t="str">
        <f t="shared" ca="1" si="460"/>
        <v xml:space="preserve">#pins_int = 0x0000 </v>
      </c>
      <c r="G1915" s="15">
        <f t="shared" ca="1" si="446"/>
        <v>58</v>
      </c>
      <c r="H1915" s="15">
        <v>1</v>
      </c>
      <c r="I1915" s="15" t="str">
        <f t="shared" ca="1" si="447"/>
        <v>RadioCard_ILS_Exp1</v>
      </c>
      <c r="J1915" s="15" t="str">
        <f t="shared" ca="1" si="458"/>
        <v>RadioCard_ILS_Exp1!A58</v>
      </c>
      <c r="K1915" s="15" t="str">
        <f t="shared" ca="1" si="459"/>
        <v>RadioCard_ILS_Exp1!B58</v>
      </c>
    </row>
    <row r="1916" spans="1:16" x14ac:dyDescent="0.25">
      <c r="A1916" s="3" t="str">
        <f t="shared" ca="1" si="460"/>
        <v xml:space="preserve">#pins_def_val = 0x0000 </v>
      </c>
      <c r="G1916" s="15">
        <f t="shared" ca="1" si="446"/>
        <v>59</v>
      </c>
      <c r="H1916" s="15">
        <v>1</v>
      </c>
      <c r="I1916" s="15" t="str">
        <f t="shared" ca="1" si="447"/>
        <v>RadioCard_ILS_Exp1</v>
      </c>
      <c r="J1916" s="15" t="str">
        <f t="shared" ca="1" si="458"/>
        <v>RadioCard_ILS_Exp1!A59</v>
      </c>
      <c r="K1916" s="15" t="str">
        <f t="shared" ca="1" si="459"/>
        <v>RadioCard_ILS_Exp1!B59</v>
      </c>
    </row>
    <row r="1917" spans="1:16" x14ac:dyDescent="0.25">
      <c r="A1917" s="3" t="str">
        <f t="shared" ca="1" si="460"/>
        <v/>
      </c>
      <c r="G1917" s="15">
        <f t="shared" ca="1" si="446"/>
        <v>60</v>
      </c>
      <c r="H1917" s="15">
        <v>1</v>
      </c>
      <c r="I1917" s="15" t="str">
        <f t="shared" ca="1" si="447"/>
        <v>RadioCard_ILS_Exp1</v>
      </c>
      <c r="J1917" s="15" t="str">
        <f t="shared" ca="1" si="458"/>
        <v>RadioCard_ILS_Exp1!A60</v>
      </c>
      <c r="K1917" s="15" t="str">
        <f t="shared" ca="1" si="459"/>
        <v>RadioCard_ILS_Exp1!B60</v>
      </c>
    </row>
    <row r="1918" spans="1:16" x14ac:dyDescent="0.25">
      <c r="A1918" s="3" t="str">
        <f t="shared" ca="1" si="460"/>
        <v xml:space="preserve">time = 10 </v>
      </c>
      <c r="G1918" s="15">
        <f t="shared" ca="1" si="446"/>
        <v>61</v>
      </c>
      <c r="H1918" s="15">
        <v>1</v>
      </c>
      <c r="I1918" s="15" t="str">
        <f t="shared" ca="1" si="447"/>
        <v>RadioCard_ILS_Exp1</v>
      </c>
      <c r="J1918" s="15" t="str">
        <f t="shared" ca="1" si="458"/>
        <v>RadioCard_ILS_Exp1!A61</v>
      </c>
      <c r="K1918" s="15" t="str">
        <f t="shared" ca="1" si="459"/>
        <v>RadioCard_ILS_Exp1!B61</v>
      </c>
    </row>
    <row r="1919" spans="1:16" x14ac:dyDescent="0.25">
      <c r="A1919" s="3" t="str">
        <f t="shared" ca="1" si="460"/>
        <v/>
      </c>
      <c r="C1919" s="16"/>
      <c r="G1919" s="15">
        <f t="shared" ca="1" si="446"/>
        <v>62</v>
      </c>
      <c r="H1919" s="15">
        <v>1</v>
      </c>
      <c r="I1919" s="15" t="str">
        <f t="shared" ca="1" si="447"/>
        <v>RadioCard_ILS_Exp1</v>
      </c>
      <c r="J1919" s="15" t="str">
        <f t="shared" ca="1" si="458"/>
        <v>RadioCard_ILS_Exp1!A62</v>
      </c>
      <c r="K1919" s="15" t="str">
        <f t="shared" ca="1" si="459"/>
        <v>RadioCard_ILS_Exp1!B62</v>
      </c>
    </row>
    <row r="1920" spans="1:16" x14ac:dyDescent="0.25">
      <c r="A1920" s="3" t="str">
        <f t="shared" ca="1" si="460"/>
        <v/>
      </c>
      <c r="G1920" s="15">
        <f t="shared" ca="1" si="446"/>
        <v>63</v>
      </c>
      <c r="H1920" s="15">
        <v>1</v>
      </c>
      <c r="I1920" s="15" t="str">
        <f t="shared" ca="1" si="447"/>
        <v>RadioCard_ILS_Exp1</v>
      </c>
      <c r="J1920" s="15" t="str">
        <f t="shared" ca="1" si="458"/>
        <v>RadioCard_ILS_Exp1!A63</v>
      </c>
      <c r="K1920" s="15" t="str">
        <f t="shared" ca="1" si="459"/>
        <v>RadioCard_ILS_Exp1!B63</v>
      </c>
    </row>
    <row r="1921" spans="1:16" x14ac:dyDescent="0.25">
      <c r="A1921" s="3" t="str">
        <f t="shared" ca="1" si="460"/>
        <v/>
      </c>
      <c r="G1921" s="15">
        <f t="shared" ca="1" si="446"/>
        <v>64</v>
      </c>
      <c r="H1921" s="15">
        <v>1</v>
      </c>
      <c r="I1921" s="15" t="str">
        <f t="shared" ca="1" si="447"/>
        <v>RadioCard_ILS_Exp1</v>
      </c>
      <c r="J1921" s="15" t="str">
        <f t="shared" ca="1" si="458"/>
        <v>RadioCard_ILS_Exp1!A64</v>
      </c>
      <c r="K1921" s="15" t="str">
        <f t="shared" ca="1" si="459"/>
        <v>RadioCard_ILS_Exp1!B64</v>
      </c>
    </row>
    <row r="1922" spans="1:16" x14ac:dyDescent="0.25">
      <c r="A1922" s="3" t="str">
        <f t="shared" ca="1" si="460"/>
        <v/>
      </c>
      <c r="G1922" s="15">
        <f t="shared" ca="1" si="446"/>
        <v>65</v>
      </c>
      <c r="H1922" s="15">
        <v>1</v>
      </c>
      <c r="I1922" s="15" t="str">
        <f t="shared" ca="1" si="447"/>
        <v>RadioCard_ILS_Exp1</v>
      </c>
      <c r="J1922" s="15" t="str">
        <f t="shared" ca="1" si="458"/>
        <v>RadioCard_ILS_Exp1!A65</v>
      </c>
      <c r="K1922" s="15" t="str">
        <f t="shared" ca="1" si="459"/>
        <v>RadioCard_ILS_Exp1!B65</v>
      </c>
    </row>
    <row r="1923" spans="1:16" x14ac:dyDescent="0.25">
      <c r="A1923" s="3" t="str">
        <f t="shared" ca="1" si="460"/>
        <v/>
      </c>
      <c r="G1923" s="15">
        <f t="shared" ca="1" si="446"/>
        <v>66</v>
      </c>
      <c r="H1923" s="15">
        <v>1</v>
      </c>
      <c r="I1923" s="15" t="str">
        <f t="shared" ca="1" si="447"/>
        <v>RadioCard_ILS_Exp1</v>
      </c>
      <c r="J1923" s="15" t="str">
        <f t="shared" ca="1" si="458"/>
        <v>RadioCard_ILS_Exp1!A66</v>
      </c>
      <c r="K1923" s="15" t="str">
        <f t="shared" ca="1" si="459"/>
        <v>RadioCard_ILS_Exp1!B66</v>
      </c>
    </row>
    <row r="1924" spans="1:16" x14ac:dyDescent="0.25">
      <c r="A1924" s="3" t="str">
        <f t="shared" ca="1" si="460"/>
        <v/>
      </c>
      <c r="G1924" s="15">
        <f t="shared" ca="1" si="446"/>
        <v>67</v>
      </c>
      <c r="H1924" s="15">
        <v>1</v>
      </c>
      <c r="I1924" s="15" t="str">
        <f t="shared" ca="1" si="447"/>
        <v>RadioCard_ILS_Exp1</v>
      </c>
      <c r="J1924" s="15" t="str">
        <f t="shared" ca="1" si="458"/>
        <v>RadioCard_ILS_Exp1!A67</v>
      </c>
      <c r="K1924" s="15" t="str">
        <f t="shared" ca="1" si="459"/>
        <v>RadioCard_ILS_Exp1!B67</v>
      </c>
    </row>
    <row r="1925" spans="1:16" x14ac:dyDescent="0.25">
      <c r="A1925" s="3" t="str">
        <f t="shared" ca="1" si="460"/>
        <v/>
      </c>
      <c r="G1925" s="15">
        <f t="shared" ca="1" si="446"/>
        <v>68</v>
      </c>
      <c r="H1925" s="15">
        <v>1</v>
      </c>
      <c r="I1925" s="15" t="str">
        <f t="shared" ca="1" si="447"/>
        <v>RadioCard_ILS_Exp1</v>
      </c>
      <c r="J1925" s="15" t="str">
        <f t="shared" ca="1" si="458"/>
        <v>RadioCard_ILS_Exp1!A68</v>
      </c>
      <c r="K1925" s="15" t="str">
        <f t="shared" ca="1" si="459"/>
        <v>RadioCard_ILS_Exp1!B68</v>
      </c>
    </row>
    <row r="1926" spans="1:16" x14ac:dyDescent="0.25">
      <c r="A1926" s="3" t="str">
        <f t="shared" ca="1" si="460"/>
        <v/>
      </c>
      <c r="G1926" s="15">
        <f t="shared" ca="1" si="446"/>
        <v>69</v>
      </c>
      <c r="H1926" s="15">
        <v>1</v>
      </c>
      <c r="I1926" s="15" t="str">
        <f t="shared" ca="1" si="447"/>
        <v>RadioCard_ILS_Exp1</v>
      </c>
      <c r="J1926" s="15" t="str">
        <f t="shared" ca="1" si="458"/>
        <v>RadioCard_ILS_Exp1!A69</v>
      </c>
      <c r="K1926" s="15" t="str">
        <f t="shared" ca="1" si="459"/>
        <v>RadioCard_ILS_Exp1!B69</v>
      </c>
    </row>
    <row r="1927" spans="1:16" x14ac:dyDescent="0.25">
      <c r="A1927" s="3" t="str">
        <f t="shared" ca="1" si="460"/>
        <v/>
      </c>
      <c r="G1927" s="15">
        <f t="shared" ca="1" si="446"/>
        <v>70</v>
      </c>
      <c r="H1927" s="15">
        <v>1</v>
      </c>
      <c r="I1927" s="15" t="str">
        <f t="shared" ca="1" si="447"/>
        <v>RadioCard_ILS_Exp1</v>
      </c>
      <c r="J1927" s="15" t="str">
        <f t="shared" ca="1" si="458"/>
        <v>RadioCard_ILS_Exp1!A70</v>
      </c>
      <c r="K1927" s="15" t="str">
        <f t="shared" ca="1" si="459"/>
        <v>RadioCard_ILS_Exp1!B70</v>
      </c>
    </row>
    <row r="1928" spans="1:16" x14ac:dyDescent="0.25">
      <c r="A1928" s="3" t="str">
        <f t="shared" ca="1" si="460"/>
        <v xml:space="preserve">#RadioCard_ILS_Exp1:etap 3 =  </v>
      </c>
      <c r="G1928" s="15">
        <f t="shared" ref="G1928" ca="1" si="465">INDIRECT(M1928)</f>
        <v>91</v>
      </c>
      <c r="H1928" s="15">
        <v>1</v>
      </c>
      <c r="I1928" s="15" t="str">
        <f t="shared" ref="I1928" ca="1" si="466">INDIRECT(N1928)</f>
        <v>RadioCard_ILS_Exp2</v>
      </c>
      <c r="J1928" s="15" t="str">
        <f t="shared" ca="1" si="458"/>
        <v>RadioCard_ILS_Exp2!A91</v>
      </c>
      <c r="K1928" s="15" t="str">
        <f t="shared" ca="1" si="459"/>
        <v>RadioCard_ILS_Exp2!B91</v>
      </c>
      <c r="M1928" s="15" t="str">
        <f t="shared" ref="M1928" si="467">ADDRESS(O1928,3,4,1,$R$1)</f>
        <v>konfig!C98</v>
      </c>
      <c r="N1928" s="15" t="str">
        <f t="shared" ref="N1928" si="468">ADDRESS(O1928,1,4,1,$R$1)</f>
        <v>konfig!A98</v>
      </c>
      <c r="O1928" s="15">
        <v>98</v>
      </c>
      <c r="P1928" s="15">
        <v>4</v>
      </c>
    </row>
    <row r="1929" spans="1:16" x14ac:dyDescent="0.25">
      <c r="A1929" s="3" t="str">
        <f t="shared" ca="1" si="460"/>
        <v xml:space="preserve">device = MCP23017 </v>
      </c>
      <c r="G1929" s="15">
        <f t="shared" ref="G1929:G1992" ca="1" si="469">G1928+1</f>
        <v>92</v>
      </c>
      <c r="H1929" s="15">
        <v>1</v>
      </c>
      <c r="I1929" s="15" t="str">
        <f t="shared" ref="I1929:I1992" ca="1" si="470">I1928</f>
        <v>RadioCard_ILS_Exp2</v>
      </c>
      <c r="J1929" s="15" t="str">
        <f t="shared" ca="1" si="458"/>
        <v>RadioCard_ILS_Exp2!A92</v>
      </c>
      <c r="K1929" s="15" t="str">
        <f t="shared" ca="1" si="459"/>
        <v>RadioCard_ILS_Exp2!B92</v>
      </c>
    </row>
    <row r="1930" spans="1:16" x14ac:dyDescent="0.25">
      <c r="A1930" s="3" t="str">
        <f t="shared" ca="1" si="460"/>
        <v xml:space="preserve">i2c_addr = 0x27 </v>
      </c>
      <c r="G1930" s="15">
        <f t="shared" ca="1" si="469"/>
        <v>93</v>
      </c>
      <c r="H1930" s="15">
        <v>1</v>
      </c>
      <c r="I1930" s="15" t="str">
        <f t="shared" ca="1" si="470"/>
        <v>RadioCard_ILS_Exp2</v>
      </c>
      <c r="J1930" s="15" t="str">
        <f t="shared" ca="1" si="458"/>
        <v>RadioCard_ILS_Exp2!A93</v>
      </c>
      <c r="K1930" s="15" t="str">
        <f t="shared" ca="1" si="459"/>
        <v>RadioCard_ILS_Exp2!B93</v>
      </c>
    </row>
    <row r="1931" spans="1:16" x14ac:dyDescent="0.25">
      <c r="A1931" s="3" t="str">
        <f t="shared" ca="1" si="460"/>
        <v xml:space="preserve">i2c_num = /dev/i2c-1 </v>
      </c>
      <c r="C1931" s="16"/>
      <c r="G1931" s="15">
        <f t="shared" ca="1" si="469"/>
        <v>94</v>
      </c>
      <c r="H1931" s="15">
        <v>1</v>
      </c>
      <c r="I1931" s="15" t="str">
        <f t="shared" ca="1" si="470"/>
        <v>RadioCard_ILS_Exp2</v>
      </c>
      <c r="J1931" s="15" t="str">
        <f t="shared" ca="1" si="458"/>
        <v>RadioCard_ILS_Exp2!A94</v>
      </c>
      <c r="K1931" s="15" t="str">
        <f t="shared" ca="1" si="459"/>
        <v>RadioCard_ILS_Exp2!B94</v>
      </c>
    </row>
    <row r="1932" spans="1:16" x14ac:dyDescent="0.25">
      <c r="A1932" s="3" t="str">
        <f t="shared" ca="1" si="460"/>
        <v xml:space="preserve">pins_mode = 0xCE8C </v>
      </c>
      <c r="G1932" s="15">
        <f t="shared" ca="1" si="469"/>
        <v>95</v>
      </c>
      <c r="H1932" s="15">
        <v>1</v>
      </c>
      <c r="I1932" s="15" t="str">
        <f t="shared" ca="1" si="470"/>
        <v>RadioCard_ILS_Exp2</v>
      </c>
      <c r="J1932" s="15" t="str">
        <f t="shared" ca="1" si="458"/>
        <v>RadioCard_ILS_Exp2!A95</v>
      </c>
      <c r="K1932" s="15" t="str">
        <f t="shared" ca="1" si="459"/>
        <v>RadioCard_ILS_Exp2!B95</v>
      </c>
    </row>
    <row r="1933" spans="1:16" x14ac:dyDescent="0.25">
      <c r="A1933" s="3" t="str">
        <f t="shared" ca="1" si="460"/>
        <v xml:space="preserve">pins_state = 0x3133 </v>
      </c>
      <c r="G1933" s="15">
        <f t="shared" ca="1" si="469"/>
        <v>96</v>
      </c>
      <c r="H1933" s="15">
        <v>1</v>
      </c>
      <c r="I1933" s="15" t="str">
        <f t="shared" ca="1" si="470"/>
        <v>RadioCard_ILS_Exp2</v>
      </c>
      <c r="J1933" s="15" t="str">
        <f t="shared" ca="1" si="458"/>
        <v>RadioCard_ILS_Exp2!A96</v>
      </c>
      <c r="K1933" s="15" t="str">
        <f t="shared" ca="1" si="459"/>
        <v>RadioCard_ILS_Exp2!B96</v>
      </c>
    </row>
    <row r="1934" spans="1:16" x14ac:dyDescent="0.25">
      <c r="A1934" s="3" t="str">
        <f t="shared" ca="1" si="460"/>
        <v xml:space="preserve">pins_pull_up = 0x4808 </v>
      </c>
      <c r="G1934" s="15">
        <f t="shared" ca="1" si="469"/>
        <v>97</v>
      </c>
      <c r="H1934" s="15">
        <v>1</v>
      </c>
      <c r="I1934" s="15" t="str">
        <f t="shared" ca="1" si="470"/>
        <v>RadioCard_ILS_Exp2</v>
      </c>
      <c r="J1934" s="15" t="str">
        <f t="shared" ca="1" si="458"/>
        <v>RadioCard_ILS_Exp2!A97</v>
      </c>
      <c r="K1934" s="15" t="str">
        <f t="shared" ca="1" si="459"/>
        <v>RadioCard_ILS_Exp2!B97</v>
      </c>
    </row>
    <row r="1935" spans="1:16" x14ac:dyDescent="0.25">
      <c r="A1935" s="3" t="str">
        <f t="shared" ca="1" si="460"/>
        <v xml:space="preserve">#pins_int = 0x0000 </v>
      </c>
      <c r="G1935" s="15">
        <f t="shared" ca="1" si="469"/>
        <v>98</v>
      </c>
      <c r="H1935" s="15">
        <v>1</v>
      </c>
      <c r="I1935" s="15" t="str">
        <f t="shared" ca="1" si="470"/>
        <v>RadioCard_ILS_Exp2</v>
      </c>
      <c r="J1935" s="15" t="str">
        <f t="shared" ca="1" si="458"/>
        <v>RadioCard_ILS_Exp2!A98</v>
      </c>
      <c r="K1935" s="15" t="str">
        <f t="shared" ca="1" si="459"/>
        <v>RadioCard_ILS_Exp2!B98</v>
      </c>
    </row>
    <row r="1936" spans="1:16" x14ac:dyDescent="0.25">
      <c r="A1936" s="3" t="str">
        <f t="shared" ca="1" si="460"/>
        <v xml:space="preserve">#pins_def_val = 0x0000 </v>
      </c>
      <c r="G1936" s="15">
        <f t="shared" ca="1" si="469"/>
        <v>99</v>
      </c>
      <c r="H1936" s="15">
        <v>1</v>
      </c>
      <c r="I1936" s="15" t="str">
        <f t="shared" ca="1" si="470"/>
        <v>RadioCard_ILS_Exp2</v>
      </c>
      <c r="J1936" s="15" t="str">
        <f t="shared" ca="1" si="458"/>
        <v>RadioCard_ILS_Exp2!A99</v>
      </c>
      <c r="K1936" s="15" t="str">
        <f t="shared" ca="1" si="459"/>
        <v>RadioCard_ILS_Exp2!B99</v>
      </c>
    </row>
    <row r="1937" spans="1:16" x14ac:dyDescent="0.25">
      <c r="A1937" s="3" t="str">
        <f t="shared" ca="1" si="460"/>
        <v/>
      </c>
      <c r="G1937" s="15">
        <f t="shared" ca="1" si="469"/>
        <v>100</v>
      </c>
      <c r="H1937" s="15">
        <v>1</v>
      </c>
      <c r="I1937" s="15" t="str">
        <f t="shared" ca="1" si="470"/>
        <v>RadioCard_ILS_Exp2</v>
      </c>
      <c r="J1937" s="15" t="str">
        <f t="shared" ca="1" si="458"/>
        <v>RadioCard_ILS_Exp2!A100</v>
      </c>
      <c r="K1937" s="15" t="str">
        <f t="shared" ca="1" si="459"/>
        <v>RadioCard_ILS_Exp2!B100</v>
      </c>
    </row>
    <row r="1938" spans="1:16" x14ac:dyDescent="0.25">
      <c r="A1938" s="3" t="str">
        <f t="shared" ca="1" si="460"/>
        <v xml:space="preserve">#pins_int = 10 </v>
      </c>
      <c r="G1938" s="15">
        <f t="shared" ca="1" si="469"/>
        <v>101</v>
      </c>
      <c r="H1938" s="15">
        <v>1</v>
      </c>
      <c r="I1938" s="15" t="str">
        <f t="shared" ca="1" si="470"/>
        <v>RadioCard_ILS_Exp2</v>
      </c>
      <c r="J1938" s="15" t="str">
        <f t="shared" ca="1" si="458"/>
        <v>RadioCard_ILS_Exp2!A101</v>
      </c>
      <c r="K1938" s="15" t="str">
        <f t="shared" ca="1" si="459"/>
        <v>RadioCard_ILS_Exp2!B101</v>
      </c>
    </row>
    <row r="1939" spans="1:16" x14ac:dyDescent="0.25">
      <c r="A1939" s="3" t="str">
        <f t="shared" ca="1" si="460"/>
        <v/>
      </c>
      <c r="C1939" s="16"/>
      <c r="G1939" s="15">
        <f t="shared" ca="1" si="469"/>
        <v>102</v>
      </c>
      <c r="H1939" s="15">
        <v>1</v>
      </c>
      <c r="I1939" s="15" t="str">
        <f t="shared" ca="1" si="470"/>
        <v>RadioCard_ILS_Exp2</v>
      </c>
      <c r="J1939" s="15" t="str">
        <f t="shared" ca="1" si="458"/>
        <v>RadioCard_ILS_Exp2!A102</v>
      </c>
      <c r="K1939" s="15" t="str">
        <f t="shared" ca="1" si="459"/>
        <v>RadioCard_ILS_Exp2!B102</v>
      </c>
    </row>
    <row r="1940" spans="1:16" x14ac:dyDescent="0.25">
      <c r="A1940" s="3" t="str">
        <f t="shared" ca="1" si="460"/>
        <v/>
      </c>
      <c r="G1940" s="15">
        <f t="shared" ca="1" si="469"/>
        <v>103</v>
      </c>
      <c r="H1940" s="15">
        <v>1</v>
      </c>
      <c r="I1940" s="15" t="str">
        <f t="shared" ca="1" si="470"/>
        <v>RadioCard_ILS_Exp2</v>
      </c>
      <c r="J1940" s="15" t="str">
        <f t="shared" ca="1" si="458"/>
        <v>RadioCard_ILS_Exp2!A103</v>
      </c>
      <c r="K1940" s="15" t="str">
        <f t="shared" ca="1" si="459"/>
        <v>RadioCard_ILS_Exp2!B103</v>
      </c>
    </row>
    <row r="1941" spans="1:16" x14ac:dyDescent="0.25">
      <c r="A1941" s="3" t="str">
        <f t="shared" ca="1" si="460"/>
        <v/>
      </c>
      <c r="G1941" s="15">
        <f t="shared" ca="1" si="469"/>
        <v>104</v>
      </c>
      <c r="H1941" s="15">
        <v>1</v>
      </c>
      <c r="I1941" s="15" t="str">
        <f t="shared" ca="1" si="470"/>
        <v>RadioCard_ILS_Exp2</v>
      </c>
      <c r="J1941" s="15" t="str">
        <f t="shared" ca="1" si="458"/>
        <v>RadioCard_ILS_Exp2!A104</v>
      </c>
      <c r="K1941" s="15" t="str">
        <f t="shared" ca="1" si="459"/>
        <v>RadioCard_ILS_Exp2!B104</v>
      </c>
    </row>
    <row r="1942" spans="1:16" x14ac:dyDescent="0.25">
      <c r="A1942" s="3" t="str">
        <f t="shared" ca="1" si="460"/>
        <v/>
      </c>
      <c r="G1942" s="15">
        <f t="shared" ca="1" si="469"/>
        <v>105</v>
      </c>
      <c r="H1942" s="15">
        <v>1</v>
      </c>
      <c r="I1942" s="15" t="str">
        <f t="shared" ca="1" si="470"/>
        <v>RadioCard_ILS_Exp2</v>
      </c>
      <c r="J1942" s="15" t="str">
        <f t="shared" ca="1" si="458"/>
        <v>RadioCard_ILS_Exp2!A105</v>
      </c>
      <c r="K1942" s="15" t="str">
        <f t="shared" ca="1" si="459"/>
        <v>RadioCard_ILS_Exp2!B105</v>
      </c>
    </row>
    <row r="1943" spans="1:16" x14ac:dyDescent="0.25">
      <c r="A1943" s="3" t="str">
        <f t="shared" ca="1" si="460"/>
        <v/>
      </c>
      <c r="G1943" s="15">
        <f t="shared" ca="1" si="469"/>
        <v>106</v>
      </c>
      <c r="H1943" s="15">
        <v>1</v>
      </c>
      <c r="I1943" s="15" t="str">
        <f t="shared" ca="1" si="470"/>
        <v>RadioCard_ILS_Exp2</v>
      </c>
      <c r="J1943" s="15" t="str">
        <f t="shared" ca="1" si="458"/>
        <v>RadioCard_ILS_Exp2!A106</v>
      </c>
      <c r="K1943" s="15" t="str">
        <f t="shared" ca="1" si="459"/>
        <v>RadioCard_ILS_Exp2!B106</v>
      </c>
    </row>
    <row r="1944" spans="1:16" x14ac:dyDescent="0.25">
      <c r="A1944" s="3" t="str">
        <f t="shared" ca="1" si="460"/>
        <v/>
      </c>
      <c r="G1944" s="15">
        <f t="shared" ca="1" si="469"/>
        <v>107</v>
      </c>
      <c r="H1944" s="15">
        <v>1</v>
      </c>
      <c r="I1944" s="15" t="str">
        <f t="shared" ca="1" si="470"/>
        <v>RadioCard_ILS_Exp2</v>
      </c>
      <c r="J1944" s="15" t="str">
        <f t="shared" ca="1" si="458"/>
        <v>RadioCard_ILS_Exp2!A107</v>
      </c>
      <c r="K1944" s="15" t="str">
        <f t="shared" ca="1" si="459"/>
        <v>RadioCard_ILS_Exp2!B107</v>
      </c>
    </row>
    <row r="1945" spans="1:16" x14ac:dyDescent="0.25">
      <c r="A1945" s="3" t="str">
        <f t="shared" ca="1" si="460"/>
        <v/>
      </c>
      <c r="G1945" s="15">
        <f t="shared" ca="1" si="469"/>
        <v>108</v>
      </c>
      <c r="H1945" s="15">
        <v>1</v>
      </c>
      <c r="I1945" s="15" t="str">
        <f t="shared" ca="1" si="470"/>
        <v>RadioCard_ILS_Exp2</v>
      </c>
      <c r="J1945" s="15" t="str">
        <f t="shared" ca="1" si="458"/>
        <v>RadioCard_ILS_Exp2!A108</v>
      </c>
      <c r="K1945" s="15" t="str">
        <f t="shared" ca="1" si="459"/>
        <v>RadioCard_ILS_Exp2!B108</v>
      </c>
    </row>
    <row r="1946" spans="1:16" x14ac:dyDescent="0.25">
      <c r="A1946" s="3" t="str">
        <f t="shared" ca="1" si="460"/>
        <v/>
      </c>
      <c r="G1946" s="15">
        <f t="shared" ca="1" si="469"/>
        <v>109</v>
      </c>
      <c r="H1946" s="15">
        <v>1</v>
      </c>
      <c r="I1946" s="15" t="str">
        <f t="shared" ca="1" si="470"/>
        <v>RadioCard_ILS_Exp2</v>
      </c>
      <c r="J1946" s="15" t="str">
        <f t="shared" ca="1" si="458"/>
        <v>RadioCard_ILS_Exp2!A109</v>
      </c>
      <c r="K1946" s="15" t="str">
        <f t="shared" ca="1" si="459"/>
        <v>RadioCard_ILS_Exp2!B109</v>
      </c>
    </row>
    <row r="1947" spans="1:16" x14ac:dyDescent="0.25">
      <c r="A1947" s="3" t="str">
        <f t="shared" ca="1" si="460"/>
        <v/>
      </c>
      <c r="G1947" s="15">
        <f t="shared" ca="1" si="469"/>
        <v>110</v>
      </c>
      <c r="H1947" s="15">
        <v>1</v>
      </c>
      <c r="I1947" s="15" t="str">
        <f t="shared" ca="1" si="470"/>
        <v>RadioCard_ILS_Exp2</v>
      </c>
      <c r="J1947" s="15" t="str">
        <f t="shared" ca="1" si="458"/>
        <v>RadioCard_ILS_Exp2!A110</v>
      </c>
      <c r="K1947" s="15" t="str">
        <f t="shared" ca="1" si="459"/>
        <v>RadioCard_ILS_Exp2!B110</v>
      </c>
    </row>
    <row r="1948" spans="1:16" x14ac:dyDescent="0.25">
      <c r="A1948" s="3" t="str">
        <f t="shared" ca="1" si="460"/>
        <v xml:space="preserve">#RadioCard_ILS_Exp1:etap 3 =  </v>
      </c>
      <c r="G1948" s="15">
        <f t="shared" ref="G1948" ca="1" si="471">INDIRECT(M1948)</f>
        <v>91</v>
      </c>
      <c r="H1948" s="15">
        <v>1</v>
      </c>
      <c r="I1948" s="15" t="str">
        <f t="shared" ref="I1948" ca="1" si="472">INDIRECT(N1948)</f>
        <v>RadioCard_ILS_Exp1</v>
      </c>
      <c r="J1948" s="15" t="str">
        <f t="shared" ca="1" si="458"/>
        <v>RadioCard_ILS_Exp1!A91</v>
      </c>
      <c r="K1948" s="15" t="str">
        <f t="shared" ca="1" si="459"/>
        <v>RadioCard_ILS_Exp1!B91</v>
      </c>
      <c r="M1948" s="15" t="str">
        <f t="shared" ref="M1948" si="473">ADDRESS(O1948,3,4,1,$R$1)</f>
        <v>konfig!C99</v>
      </c>
      <c r="N1948" s="15" t="str">
        <f t="shared" ref="N1948" si="474">ADDRESS(O1948,1,4,1,$R$1)</f>
        <v>konfig!A99</v>
      </c>
      <c r="O1948" s="15">
        <v>99</v>
      </c>
      <c r="P1948" s="15">
        <v>4</v>
      </c>
    </row>
    <row r="1949" spans="1:16" x14ac:dyDescent="0.25">
      <c r="A1949" s="3" t="str">
        <f t="shared" ca="1" si="460"/>
        <v xml:space="preserve">device = MCP23017 </v>
      </c>
      <c r="G1949" s="15">
        <f t="shared" ref="G1949:G1989" ca="1" si="475">G1948+1</f>
        <v>92</v>
      </c>
      <c r="H1949" s="15">
        <v>1</v>
      </c>
      <c r="I1949" s="15" t="str">
        <f t="shared" ref="I1949:I1989" ca="1" si="476">I1948</f>
        <v>RadioCard_ILS_Exp1</v>
      </c>
      <c r="J1949" s="15" t="str">
        <f t="shared" ca="1" si="458"/>
        <v>RadioCard_ILS_Exp1!A92</v>
      </c>
      <c r="K1949" s="15" t="str">
        <f t="shared" ca="1" si="459"/>
        <v>RadioCard_ILS_Exp1!B92</v>
      </c>
    </row>
    <row r="1950" spans="1:16" x14ac:dyDescent="0.25">
      <c r="A1950" s="3" t="str">
        <f t="shared" ca="1" si="460"/>
        <v xml:space="preserve">i2c_addr = 0x26 </v>
      </c>
      <c r="G1950" s="15">
        <f t="shared" ca="1" si="469"/>
        <v>93</v>
      </c>
      <c r="H1950" s="15">
        <v>1</v>
      </c>
      <c r="I1950" s="15" t="str">
        <f t="shared" ca="1" si="470"/>
        <v>RadioCard_ILS_Exp1</v>
      </c>
      <c r="J1950" s="15" t="str">
        <f t="shared" ca="1" si="458"/>
        <v>RadioCard_ILS_Exp1!A93</v>
      </c>
      <c r="K1950" s="15" t="str">
        <f t="shared" ca="1" si="459"/>
        <v>RadioCard_ILS_Exp1!B93</v>
      </c>
    </row>
    <row r="1951" spans="1:16" x14ac:dyDescent="0.25">
      <c r="A1951" s="3" t="str">
        <f t="shared" ca="1" si="460"/>
        <v xml:space="preserve">i2c_num = /dev/i2c-1 </v>
      </c>
      <c r="C1951" s="16"/>
      <c r="G1951" s="15">
        <f t="shared" ca="1" si="469"/>
        <v>94</v>
      </c>
      <c r="H1951" s="15">
        <v>1</v>
      </c>
      <c r="I1951" s="15" t="str">
        <f t="shared" ca="1" si="470"/>
        <v>RadioCard_ILS_Exp1</v>
      </c>
      <c r="J1951" s="15" t="str">
        <f t="shared" ca="1" si="458"/>
        <v>RadioCard_ILS_Exp1!A94</v>
      </c>
      <c r="K1951" s="15" t="str">
        <f t="shared" ca="1" si="459"/>
        <v>RadioCard_ILS_Exp1!B94</v>
      </c>
    </row>
    <row r="1952" spans="1:16" x14ac:dyDescent="0.25">
      <c r="A1952" s="3" t="str">
        <f t="shared" ca="1" si="460"/>
        <v xml:space="preserve">pins_mode = 0x0000 </v>
      </c>
      <c r="G1952" s="15">
        <f t="shared" ca="1" si="469"/>
        <v>95</v>
      </c>
      <c r="H1952" s="15">
        <v>1</v>
      </c>
      <c r="I1952" s="15" t="str">
        <f t="shared" ca="1" si="470"/>
        <v>RadioCard_ILS_Exp1</v>
      </c>
      <c r="J1952" s="15" t="str">
        <f t="shared" ca="1" si="458"/>
        <v>RadioCard_ILS_Exp1!A95</v>
      </c>
      <c r="K1952" s="15" t="str">
        <f t="shared" ca="1" si="459"/>
        <v>RadioCard_ILS_Exp1!B95</v>
      </c>
    </row>
    <row r="1953" spans="1:16" x14ac:dyDescent="0.25">
      <c r="A1953" s="3" t="str">
        <f t="shared" ca="1" si="460"/>
        <v xml:space="preserve">pins_state = 0x0000 </v>
      </c>
      <c r="G1953" s="15">
        <f t="shared" ca="1" si="469"/>
        <v>96</v>
      </c>
      <c r="H1953" s="15">
        <v>1</v>
      </c>
      <c r="I1953" s="15" t="str">
        <f t="shared" ca="1" si="470"/>
        <v>RadioCard_ILS_Exp1</v>
      </c>
      <c r="J1953" s="15" t="str">
        <f t="shared" ca="1" si="458"/>
        <v>RadioCard_ILS_Exp1!A96</v>
      </c>
      <c r="K1953" s="15" t="str">
        <f t="shared" ca="1" si="459"/>
        <v>RadioCard_ILS_Exp1!B96</v>
      </c>
    </row>
    <row r="1954" spans="1:16" x14ac:dyDescent="0.25">
      <c r="A1954" s="3" t="str">
        <f t="shared" ca="1" si="460"/>
        <v xml:space="preserve">pins_pull_up = 0x0000 </v>
      </c>
      <c r="G1954" s="15">
        <f t="shared" ca="1" si="469"/>
        <v>97</v>
      </c>
      <c r="H1954" s="15">
        <v>1</v>
      </c>
      <c r="I1954" s="15" t="str">
        <f t="shared" ca="1" si="470"/>
        <v>RadioCard_ILS_Exp1</v>
      </c>
      <c r="J1954" s="15" t="str">
        <f t="shared" ca="1" si="458"/>
        <v>RadioCard_ILS_Exp1!A97</v>
      </c>
      <c r="K1954" s="15" t="str">
        <f t="shared" ca="1" si="459"/>
        <v>RadioCard_ILS_Exp1!B97</v>
      </c>
    </row>
    <row r="1955" spans="1:16" x14ac:dyDescent="0.25">
      <c r="A1955" s="3" t="str">
        <f t="shared" ca="1" si="460"/>
        <v xml:space="preserve">#pins_int = 0x0000 </v>
      </c>
      <c r="G1955" s="15">
        <f t="shared" ca="1" si="469"/>
        <v>98</v>
      </c>
      <c r="H1955" s="15">
        <v>1</v>
      </c>
      <c r="I1955" s="15" t="str">
        <f t="shared" ca="1" si="470"/>
        <v>RadioCard_ILS_Exp1</v>
      </c>
      <c r="J1955" s="15" t="str">
        <f t="shared" ca="1" si="458"/>
        <v>RadioCard_ILS_Exp1!A98</v>
      </c>
      <c r="K1955" s="15" t="str">
        <f t="shared" ca="1" si="459"/>
        <v>RadioCard_ILS_Exp1!B98</v>
      </c>
    </row>
    <row r="1956" spans="1:16" x14ac:dyDescent="0.25">
      <c r="A1956" s="3" t="str">
        <f t="shared" ca="1" si="460"/>
        <v xml:space="preserve">#pins_def_val = 0x0000 </v>
      </c>
      <c r="G1956" s="15">
        <f t="shared" ca="1" si="469"/>
        <v>99</v>
      </c>
      <c r="H1956" s="15">
        <v>1</v>
      </c>
      <c r="I1956" s="15" t="str">
        <f t="shared" ca="1" si="470"/>
        <v>RadioCard_ILS_Exp1</v>
      </c>
      <c r="J1956" s="15" t="str">
        <f t="shared" ref="J1956:J2019" ca="1" si="477">ADDRESS(G1956,H1956,4,1,I1956)</f>
        <v>RadioCard_ILS_Exp1!A99</v>
      </c>
      <c r="K1956" s="15" t="str">
        <f t="shared" ref="K1956:K2019" ca="1" si="478">ADDRESS(G1956,H1956+1,4,1,I1956)</f>
        <v>RadioCard_ILS_Exp1!B99</v>
      </c>
    </row>
    <row r="1957" spans="1:16" x14ac:dyDescent="0.25">
      <c r="A1957" s="3" t="str">
        <f t="shared" ca="1" si="460"/>
        <v/>
      </c>
      <c r="G1957" s="15">
        <f t="shared" ca="1" si="469"/>
        <v>100</v>
      </c>
      <c r="H1957" s="15">
        <v>1</v>
      </c>
      <c r="I1957" s="15" t="str">
        <f t="shared" ca="1" si="470"/>
        <v>RadioCard_ILS_Exp1</v>
      </c>
      <c r="J1957" s="15" t="str">
        <f t="shared" ca="1" si="477"/>
        <v>RadioCard_ILS_Exp1!A100</v>
      </c>
      <c r="K1957" s="15" t="str">
        <f t="shared" ca="1" si="478"/>
        <v>RadioCard_ILS_Exp1!B100</v>
      </c>
    </row>
    <row r="1958" spans="1:16" x14ac:dyDescent="0.25">
      <c r="A1958" s="3" t="str">
        <f t="shared" ca="1" si="460"/>
        <v xml:space="preserve">#pins_int = 10 </v>
      </c>
      <c r="G1958" s="15">
        <f t="shared" ca="1" si="469"/>
        <v>101</v>
      </c>
      <c r="H1958" s="15">
        <v>1</v>
      </c>
      <c r="I1958" s="15" t="str">
        <f t="shared" ca="1" si="470"/>
        <v>RadioCard_ILS_Exp1</v>
      </c>
      <c r="J1958" s="15" t="str">
        <f t="shared" ca="1" si="477"/>
        <v>RadioCard_ILS_Exp1!A101</v>
      </c>
      <c r="K1958" s="15" t="str">
        <f t="shared" ca="1" si="478"/>
        <v>RadioCard_ILS_Exp1!B101</v>
      </c>
    </row>
    <row r="1959" spans="1:16" x14ac:dyDescent="0.25">
      <c r="A1959" s="3" t="str">
        <f t="shared" ca="1" si="460"/>
        <v/>
      </c>
      <c r="C1959" s="16"/>
      <c r="G1959" s="15">
        <f t="shared" ca="1" si="469"/>
        <v>102</v>
      </c>
      <c r="H1959" s="15">
        <v>1</v>
      </c>
      <c r="I1959" s="15" t="str">
        <f t="shared" ca="1" si="470"/>
        <v>RadioCard_ILS_Exp1</v>
      </c>
      <c r="J1959" s="15" t="str">
        <f t="shared" ca="1" si="477"/>
        <v>RadioCard_ILS_Exp1!A102</v>
      </c>
      <c r="K1959" s="15" t="str">
        <f t="shared" ca="1" si="478"/>
        <v>RadioCard_ILS_Exp1!B102</v>
      </c>
    </row>
    <row r="1960" spans="1:16" x14ac:dyDescent="0.25">
      <c r="A1960" s="3" t="str">
        <f t="shared" ca="1" si="460"/>
        <v/>
      </c>
      <c r="G1960" s="15">
        <f t="shared" ca="1" si="469"/>
        <v>103</v>
      </c>
      <c r="H1960" s="15">
        <v>1</v>
      </c>
      <c r="I1960" s="15" t="str">
        <f t="shared" ca="1" si="470"/>
        <v>RadioCard_ILS_Exp1</v>
      </c>
      <c r="J1960" s="15" t="str">
        <f t="shared" ca="1" si="477"/>
        <v>RadioCard_ILS_Exp1!A103</v>
      </c>
      <c r="K1960" s="15" t="str">
        <f t="shared" ca="1" si="478"/>
        <v>RadioCard_ILS_Exp1!B103</v>
      </c>
    </row>
    <row r="1961" spans="1:16" x14ac:dyDescent="0.25">
      <c r="A1961" s="3" t="str">
        <f t="shared" ca="1" si="460"/>
        <v/>
      </c>
      <c r="G1961" s="15">
        <f t="shared" ca="1" si="469"/>
        <v>104</v>
      </c>
      <c r="H1961" s="15">
        <v>1</v>
      </c>
      <c r="I1961" s="15" t="str">
        <f t="shared" ca="1" si="470"/>
        <v>RadioCard_ILS_Exp1</v>
      </c>
      <c r="J1961" s="15" t="str">
        <f t="shared" ca="1" si="477"/>
        <v>RadioCard_ILS_Exp1!A104</v>
      </c>
      <c r="K1961" s="15" t="str">
        <f t="shared" ca="1" si="478"/>
        <v>RadioCard_ILS_Exp1!B104</v>
      </c>
    </row>
    <row r="1962" spans="1:16" x14ac:dyDescent="0.25">
      <c r="A1962" s="3" t="str">
        <f t="shared" ca="1" si="460"/>
        <v/>
      </c>
      <c r="G1962" s="15">
        <f t="shared" ca="1" si="469"/>
        <v>105</v>
      </c>
      <c r="H1962" s="15">
        <v>1</v>
      </c>
      <c r="I1962" s="15" t="str">
        <f t="shared" ca="1" si="470"/>
        <v>RadioCard_ILS_Exp1</v>
      </c>
      <c r="J1962" s="15" t="str">
        <f t="shared" ca="1" si="477"/>
        <v>RadioCard_ILS_Exp1!A105</v>
      </c>
      <c r="K1962" s="15" t="str">
        <f t="shared" ca="1" si="478"/>
        <v>RadioCard_ILS_Exp1!B105</v>
      </c>
    </row>
    <row r="1963" spans="1:16" x14ac:dyDescent="0.25">
      <c r="A1963" s="3" t="str">
        <f t="shared" ca="1" si="460"/>
        <v/>
      </c>
      <c r="G1963" s="15">
        <f t="shared" ca="1" si="469"/>
        <v>106</v>
      </c>
      <c r="H1963" s="15">
        <v>1</v>
      </c>
      <c r="I1963" s="15" t="str">
        <f t="shared" ca="1" si="470"/>
        <v>RadioCard_ILS_Exp1</v>
      </c>
      <c r="J1963" s="15" t="str">
        <f t="shared" ca="1" si="477"/>
        <v>RadioCard_ILS_Exp1!A106</v>
      </c>
      <c r="K1963" s="15" t="str">
        <f t="shared" ca="1" si="478"/>
        <v>RadioCard_ILS_Exp1!B106</v>
      </c>
    </row>
    <row r="1964" spans="1:16" x14ac:dyDescent="0.25">
      <c r="A1964" s="3" t="str">
        <f t="shared" ref="A1964:A2027" ca="1" si="479">IFERROR(IF(INDIRECT(J1964)&lt;&gt;"",CONCATENATE(INDIRECT(J1964)," = ",INDIRECT(K1964)," "),""),"")</f>
        <v/>
      </c>
      <c r="G1964" s="15">
        <f t="shared" ca="1" si="469"/>
        <v>107</v>
      </c>
      <c r="H1964" s="15">
        <v>1</v>
      </c>
      <c r="I1964" s="15" t="str">
        <f t="shared" ca="1" si="470"/>
        <v>RadioCard_ILS_Exp1</v>
      </c>
      <c r="J1964" s="15" t="str">
        <f t="shared" ca="1" si="477"/>
        <v>RadioCard_ILS_Exp1!A107</v>
      </c>
      <c r="K1964" s="15" t="str">
        <f t="shared" ca="1" si="478"/>
        <v>RadioCard_ILS_Exp1!B107</v>
      </c>
    </row>
    <row r="1965" spans="1:16" x14ac:dyDescent="0.25">
      <c r="A1965" s="3" t="str">
        <f t="shared" ca="1" si="479"/>
        <v/>
      </c>
      <c r="G1965" s="15">
        <f t="shared" ca="1" si="469"/>
        <v>108</v>
      </c>
      <c r="H1965" s="15">
        <v>1</v>
      </c>
      <c r="I1965" s="15" t="str">
        <f t="shared" ca="1" si="470"/>
        <v>RadioCard_ILS_Exp1</v>
      </c>
      <c r="J1965" s="15" t="str">
        <f t="shared" ca="1" si="477"/>
        <v>RadioCard_ILS_Exp1!A108</v>
      </c>
      <c r="K1965" s="15" t="str">
        <f t="shared" ca="1" si="478"/>
        <v>RadioCard_ILS_Exp1!B108</v>
      </c>
    </row>
    <row r="1966" spans="1:16" x14ac:dyDescent="0.25">
      <c r="A1966" s="3" t="str">
        <f t="shared" ca="1" si="479"/>
        <v/>
      </c>
      <c r="G1966" s="15">
        <f t="shared" ca="1" si="469"/>
        <v>109</v>
      </c>
      <c r="H1966" s="15">
        <v>1</v>
      </c>
      <c r="I1966" s="15" t="str">
        <f t="shared" ca="1" si="470"/>
        <v>RadioCard_ILS_Exp1</v>
      </c>
      <c r="J1966" s="15" t="str">
        <f t="shared" ca="1" si="477"/>
        <v>RadioCard_ILS_Exp1!A109</v>
      </c>
      <c r="K1966" s="15" t="str">
        <f t="shared" ca="1" si="478"/>
        <v>RadioCard_ILS_Exp1!B109</v>
      </c>
    </row>
    <row r="1967" spans="1:16" x14ac:dyDescent="0.25">
      <c r="A1967" s="3" t="str">
        <f t="shared" ca="1" si="479"/>
        <v/>
      </c>
      <c r="G1967" s="15">
        <f t="shared" ca="1" si="469"/>
        <v>110</v>
      </c>
      <c r="H1967" s="15">
        <v>1</v>
      </c>
      <c r="I1967" s="15" t="str">
        <f t="shared" ca="1" si="470"/>
        <v>RadioCard_ILS_Exp1</v>
      </c>
      <c r="J1967" s="15" t="str">
        <f t="shared" ca="1" si="477"/>
        <v>RadioCard_ILS_Exp1!A110</v>
      </c>
      <c r="K1967" s="15" t="str">
        <f t="shared" ca="1" si="478"/>
        <v>RadioCard_ILS_Exp1!B110</v>
      </c>
    </row>
    <row r="1968" spans="1:16" x14ac:dyDescent="0.25">
      <c r="A1968" s="3" t="str">
        <f t="shared" ca="1" si="479"/>
        <v xml:space="preserve">#RadioCard_ILS_Exp1:etap 4- LMK =  </v>
      </c>
      <c r="G1968" s="15">
        <f t="shared" ref="G1968" ca="1" si="480">INDIRECT(M1968)</f>
        <v>111</v>
      </c>
      <c r="H1968" s="15">
        <v>1</v>
      </c>
      <c r="I1968" s="15" t="str">
        <f t="shared" ref="I1968" ca="1" si="481">INDIRECT(N1968)</f>
        <v>RadioCard_ILS_Exp2</v>
      </c>
      <c r="J1968" s="15" t="str">
        <f t="shared" ca="1" si="477"/>
        <v>RadioCard_ILS_Exp2!A111</v>
      </c>
      <c r="K1968" s="15" t="str">
        <f t="shared" ca="1" si="478"/>
        <v>RadioCard_ILS_Exp2!B111</v>
      </c>
      <c r="M1968" s="15" t="str">
        <f t="shared" ref="M1968" si="482">ADDRESS(O1968,3,4,1,$R$1)</f>
        <v>konfig!C100</v>
      </c>
      <c r="N1968" s="15" t="str">
        <f t="shared" ref="N1968" si="483">ADDRESS(O1968,1,4,1,$R$1)</f>
        <v>konfig!A100</v>
      </c>
      <c r="O1968" s="15">
        <v>100</v>
      </c>
      <c r="P1968" s="15">
        <v>4</v>
      </c>
    </row>
    <row r="1969" spans="1:11" x14ac:dyDescent="0.25">
      <c r="A1969" s="3" t="str">
        <f t="shared" ca="1" si="479"/>
        <v xml:space="preserve">device = MCP23017 </v>
      </c>
      <c r="G1969" s="15">
        <f t="shared" ca="1" si="469"/>
        <v>112</v>
      </c>
      <c r="H1969" s="15">
        <v>1</v>
      </c>
      <c r="I1969" s="15" t="str">
        <f t="shared" ca="1" si="470"/>
        <v>RadioCard_ILS_Exp2</v>
      </c>
      <c r="J1969" s="15" t="str">
        <f t="shared" ca="1" si="477"/>
        <v>RadioCard_ILS_Exp2!A112</v>
      </c>
      <c r="K1969" s="15" t="str">
        <f t="shared" ca="1" si="478"/>
        <v>RadioCard_ILS_Exp2!B112</v>
      </c>
    </row>
    <row r="1970" spans="1:11" x14ac:dyDescent="0.25">
      <c r="A1970" s="3" t="str">
        <f t="shared" ca="1" si="479"/>
        <v xml:space="preserve">i2c_addr = 0x27 </v>
      </c>
      <c r="G1970" s="15">
        <f t="shared" ca="1" si="469"/>
        <v>113</v>
      </c>
      <c r="H1970" s="15">
        <v>1</v>
      </c>
      <c r="I1970" s="15" t="str">
        <f t="shared" ca="1" si="470"/>
        <v>RadioCard_ILS_Exp2</v>
      </c>
      <c r="J1970" s="15" t="str">
        <f t="shared" ca="1" si="477"/>
        <v>RadioCard_ILS_Exp2!A113</v>
      </c>
      <c r="K1970" s="15" t="str">
        <f t="shared" ca="1" si="478"/>
        <v>RadioCard_ILS_Exp2!B113</v>
      </c>
    </row>
    <row r="1971" spans="1:11" x14ac:dyDescent="0.25">
      <c r="A1971" s="3" t="str">
        <f t="shared" ca="1" si="479"/>
        <v xml:space="preserve">i2c_num = /dev/i2c-1 </v>
      </c>
      <c r="C1971" s="16"/>
      <c r="G1971" s="15">
        <f t="shared" ca="1" si="469"/>
        <v>114</v>
      </c>
      <c r="H1971" s="15">
        <v>1</v>
      </c>
      <c r="I1971" s="15" t="str">
        <f t="shared" ca="1" si="470"/>
        <v>RadioCard_ILS_Exp2</v>
      </c>
      <c r="J1971" s="15" t="str">
        <f t="shared" ca="1" si="477"/>
        <v>RadioCard_ILS_Exp2!A114</v>
      </c>
      <c r="K1971" s="15" t="str">
        <f t="shared" ca="1" si="478"/>
        <v>RadioCard_ILS_Exp2!B114</v>
      </c>
    </row>
    <row r="1972" spans="1:11" x14ac:dyDescent="0.25">
      <c r="A1972" s="3" t="str">
        <f t="shared" ca="1" si="479"/>
        <v xml:space="preserve">pins_mode = 0xCE8C </v>
      </c>
      <c r="G1972" s="15">
        <f t="shared" ca="1" si="469"/>
        <v>115</v>
      </c>
      <c r="H1972" s="15">
        <v>1</v>
      </c>
      <c r="I1972" s="15" t="str">
        <f t="shared" ca="1" si="470"/>
        <v>RadioCard_ILS_Exp2</v>
      </c>
      <c r="J1972" s="15" t="str">
        <f t="shared" ca="1" si="477"/>
        <v>RadioCard_ILS_Exp2!A115</v>
      </c>
      <c r="K1972" s="15" t="str">
        <f t="shared" ca="1" si="478"/>
        <v>RadioCard_ILS_Exp2!B115</v>
      </c>
    </row>
    <row r="1973" spans="1:11" x14ac:dyDescent="0.25">
      <c r="A1973" s="3" t="str">
        <f t="shared" ca="1" si="479"/>
        <v xml:space="preserve">pins_state = 0x3113 </v>
      </c>
      <c r="G1973" s="15">
        <f t="shared" ca="1" si="469"/>
        <v>116</v>
      </c>
      <c r="H1973" s="15">
        <v>1</v>
      </c>
      <c r="I1973" s="15" t="str">
        <f t="shared" ca="1" si="470"/>
        <v>RadioCard_ILS_Exp2</v>
      </c>
      <c r="J1973" s="15" t="str">
        <f t="shared" ca="1" si="477"/>
        <v>RadioCard_ILS_Exp2!A116</v>
      </c>
      <c r="K1973" s="15" t="str">
        <f t="shared" ca="1" si="478"/>
        <v>RadioCard_ILS_Exp2!B116</v>
      </c>
    </row>
    <row r="1974" spans="1:11" x14ac:dyDescent="0.25">
      <c r="A1974" s="3" t="str">
        <f t="shared" ca="1" si="479"/>
        <v xml:space="preserve">pins_pull_up = 0x4808 </v>
      </c>
      <c r="G1974" s="15">
        <f t="shared" ca="1" si="469"/>
        <v>117</v>
      </c>
      <c r="H1974" s="15">
        <v>1</v>
      </c>
      <c r="I1974" s="15" t="str">
        <f t="shared" ca="1" si="470"/>
        <v>RadioCard_ILS_Exp2</v>
      </c>
      <c r="J1974" s="15" t="str">
        <f t="shared" ca="1" si="477"/>
        <v>RadioCard_ILS_Exp2!A117</v>
      </c>
      <c r="K1974" s="15" t="str">
        <f t="shared" ca="1" si="478"/>
        <v>RadioCard_ILS_Exp2!B117</v>
      </c>
    </row>
    <row r="1975" spans="1:11" x14ac:dyDescent="0.25">
      <c r="A1975" s="3" t="str">
        <f t="shared" ca="1" si="479"/>
        <v xml:space="preserve">#pins_int = 0x0000 </v>
      </c>
      <c r="G1975" s="15">
        <f t="shared" ca="1" si="469"/>
        <v>118</v>
      </c>
      <c r="H1975" s="15">
        <v>1</v>
      </c>
      <c r="I1975" s="15" t="str">
        <f t="shared" ca="1" si="470"/>
        <v>RadioCard_ILS_Exp2</v>
      </c>
      <c r="J1975" s="15" t="str">
        <f t="shared" ca="1" si="477"/>
        <v>RadioCard_ILS_Exp2!A118</v>
      </c>
      <c r="K1975" s="15" t="str">
        <f t="shared" ca="1" si="478"/>
        <v>RadioCard_ILS_Exp2!B118</v>
      </c>
    </row>
    <row r="1976" spans="1:11" x14ac:dyDescent="0.25">
      <c r="A1976" s="3" t="str">
        <f t="shared" ca="1" si="479"/>
        <v xml:space="preserve">#pins_def_val = 0x0000 </v>
      </c>
      <c r="G1976" s="15">
        <f t="shared" ca="1" si="469"/>
        <v>119</v>
      </c>
      <c r="H1976" s="15">
        <v>1</v>
      </c>
      <c r="I1976" s="15" t="str">
        <f t="shared" ca="1" si="470"/>
        <v>RadioCard_ILS_Exp2</v>
      </c>
      <c r="J1976" s="15" t="str">
        <f t="shared" ca="1" si="477"/>
        <v>RadioCard_ILS_Exp2!A119</v>
      </c>
      <c r="K1976" s="15" t="str">
        <f t="shared" ca="1" si="478"/>
        <v>RadioCard_ILS_Exp2!B119</v>
      </c>
    </row>
    <row r="1977" spans="1:11" x14ac:dyDescent="0.25">
      <c r="A1977" s="3" t="str">
        <f t="shared" ca="1" si="479"/>
        <v/>
      </c>
      <c r="G1977" s="15">
        <f t="shared" ca="1" si="469"/>
        <v>120</v>
      </c>
      <c r="H1977" s="15">
        <v>1</v>
      </c>
      <c r="I1977" s="15" t="str">
        <f t="shared" ca="1" si="470"/>
        <v>RadioCard_ILS_Exp2</v>
      </c>
      <c r="J1977" s="15" t="str">
        <f t="shared" ca="1" si="477"/>
        <v>RadioCard_ILS_Exp2!A120</v>
      </c>
      <c r="K1977" s="15" t="str">
        <f t="shared" ca="1" si="478"/>
        <v>RadioCard_ILS_Exp2!B120</v>
      </c>
    </row>
    <row r="1978" spans="1:11" x14ac:dyDescent="0.25">
      <c r="A1978" s="3" t="str">
        <f t="shared" ca="1" si="479"/>
        <v xml:space="preserve">#pins_int = 10 </v>
      </c>
      <c r="G1978" s="15">
        <f t="shared" ca="1" si="469"/>
        <v>121</v>
      </c>
      <c r="H1978" s="15">
        <v>1</v>
      </c>
      <c r="I1978" s="15" t="str">
        <f t="shared" ca="1" si="470"/>
        <v>RadioCard_ILS_Exp2</v>
      </c>
      <c r="J1978" s="15" t="str">
        <f t="shared" ca="1" si="477"/>
        <v>RadioCard_ILS_Exp2!A121</v>
      </c>
      <c r="K1978" s="15" t="str">
        <f t="shared" ca="1" si="478"/>
        <v>RadioCard_ILS_Exp2!B121</v>
      </c>
    </row>
    <row r="1979" spans="1:11" x14ac:dyDescent="0.25">
      <c r="A1979" s="3" t="str">
        <f t="shared" ca="1" si="479"/>
        <v/>
      </c>
      <c r="C1979" s="16"/>
      <c r="G1979" s="15">
        <f t="shared" ca="1" si="469"/>
        <v>122</v>
      </c>
      <c r="H1979" s="15">
        <v>1</v>
      </c>
      <c r="I1979" s="15" t="str">
        <f t="shared" ca="1" si="470"/>
        <v>RadioCard_ILS_Exp2</v>
      </c>
      <c r="J1979" s="15" t="str">
        <f t="shared" ca="1" si="477"/>
        <v>RadioCard_ILS_Exp2!A122</v>
      </c>
      <c r="K1979" s="15" t="str">
        <f t="shared" ca="1" si="478"/>
        <v>RadioCard_ILS_Exp2!B122</v>
      </c>
    </row>
    <row r="1980" spans="1:11" x14ac:dyDescent="0.25">
      <c r="A1980" s="3" t="str">
        <f t="shared" ca="1" si="479"/>
        <v/>
      </c>
      <c r="G1980" s="15">
        <f t="shared" ca="1" si="469"/>
        <v>123</v>
      </c>
      <c r="H1980" s="15">
        <v>1</v>
      </c>
      <c r="I1980" s="15" t="str">
        <f t="shared" ca="1" si="470"/>
        <v>RadioCard_ILS_Exp2</v>
      </c>
      <c r="J1980" s="15" t="str">
        <f t="shared" ca="1" si="477"/>
        <v>RadioCard_ILS_Exp2!A123</v>
      </c>
      <c r="K1980" s="15" t="str">
        <f t="shared" ca="1" si="478"/>
        <v>RadioCard_ILS_Exp2!B123</v>
      </c>
    </row>
    <row r="1981" spans="1:11" x14ac:dyDescent="0.25">
      <c r="A1981" s="3" t="str">
        <f t="shared" ca="1" si="479"/>
        <v/>
      </c>
      <c r="G1981" s="15">
        <f t="shared" ca="1" si="469"/>
        <v>124</v>
      </c>
      <c r="H1981" s="15">
        <v>1</v>
      </c>
      <c r="I1981" s="15" t="str">
        <f t="shared" ca="1" si="470"/>
        <v>RadioCard_ILS_Exp2</v>
      </c>
      <c r="J1981" s="15" t="str">
        <f t="shared" ca="1" si="477"/>
        <v>RadioCard_ILS_Exp2!A124</v>
      </c>
      <c r="K1981" s="15" t="str">
        <f t="shared" ca="1" si="478"/>
        <v>RadioCard_ILS_Exp2!B124</v>
      </c>
    </row>
    <row r="1982" spans="1:11" x14ac:dyDescent="0.25">
      <c r="A1982" s="3" t="str">
        <f t="shared" ca="1" si="479"/>
        <v/>
      </c>
      <c r="G1982" s="15">
        <f t="shared" ca="1" si="469"/>
        <v>125</v>
      </c>
      <c r="H1982" s="15">
        <v>1</v>
      </c>
      <c r="I1982" s="15" t="str">
        <f t="shared" ca="1" si="470"/>
        <v>RadioCard_ILS_Exp2</v>
      </c>
      <c r="J1982" s="15" t="str">
        <f t="shared" ca="1" si="477"/>
        <v>RadioCard_ILS_Exp2!A125</v>
      </c>
      <c r="K1982" s="15" t="str">
        <f t="shared" ca="1" si="478"/>
        <v>RadioCard_ILS_Exp2!B125</v>
      </c>
    </row>
    <row r="1983" spans="1:11" x14ac:dyDescent="0.25">
      <c r="A1983" s="3" t="str">
        <f t="shared" ca="1" si="479"/>
        <v/>
      </c>
      <c r="G1983" s="15">
        <f t="shared" ca="1" si="469"/>
        <v>126</v>
      </c>
      <c r="H1983" s="15">
        <v>1</v>
      </c>
      <c r="I1983" s="15" t="str">
        <f t="shared" ca="1" si="470"/>
        <v>RadioCard_ILS_Exp2</v>
      </c>
      <c r="J1983" s="15" t="str">
        <f t="shared" ca="1" si="477"/>
        <v>RadioCard_ILS_Exp2!A126</v>
      </c>
      <c r="K1983" s="15" t="str">
        <f t="shared" ca="1" si="478"/>
        <v>RadioCard_ILS_Exp2!B126</v>
      </c>
    </row>
    <row r="1984" spans="1:11" x14ac:dyDescent="0.25">
      <c r="A1984" s="3" t="str">
        <f t="shared" ca="1" si="479"/>
        <v/>
      </c>
      <c r="G1984" s="15">
        <f t="shared" ca="1" si="469"/>
        <v>127</v>
      </c>
      <c r="H1984" s="15">
        <v>1</v>
      </c>
      <c r="I1984" s="15" t="str">
        <f t="shared" ca="1" si="470"/>
        <v>RadioCard_ILS_Exp2</v>
      </c>
      <c r="J1984" s="15" t="str">
        <f t="shared" ca="1" si="477"/>
        <v>RadioCard_ILS_Exp2!A127</v>
      </c>
      <c r="K1984" s="15" t="str">
        <f t="shared" ca="1" si="478"/>
        <v>RadioCard_ILS_Exp2!B127</v>
      </c>
    </row>
    <row r="1985" spans="1:16" x14ac:dyDescent="0.25">
      <c r="A1985" s="3" t="str">
        <f t="shared" ca="1" si="479"/>
        <v/>
      </c>
      <c r="G1985" s="15">
        <f t="shared" ca="1" si="469"/>
        <v>128</v>
      </c>
      <c r="H1985" s="15">
        <v>1</v>
      </c>
      <c r="I1985" s="15" t="str">
        <f t="shared" ca="1" si="470"/>
        <v>RadioCard_ILS_Exp2</v>
      </c>
      <c r="J1985" s="15" t="str">
        <f t="shared" ca="1" si="477"/>
        <v>RadioCard_ILS_Exp2!A128</v>
      </c>
      <c r="K1985" s="15" t="str">
        <f t="shared" ca="1" si="478"/>
        <v>RadioCard_ILS_Exp2!B128</v>
      </c>
    </row>
    <row r="1986" spans="1:16" x14ac:dyDescent="0.25">
      <c r="A1986" s="3" t="str">
        <f t="shared" ca="1" si="479"/>
        <v/>
      </c>
      <c r="G1986" s="15">
        <f t="shared" ca="1" si="469"/>
        <v>129</v>
      </c>
      <c r="H1986" s="15">
        <v>1</v>
      </c>
      <c r="I1986" s="15" t="str">
        <f t="shared" ca="1" si="470"/>
        <v>RadioCard_ILS_Exp2</v>
      </c>
      <c r="J1986" s="15" t="str">
        <f t="shared" ca="1" si="477"/>
        <v>RadioCard_ILS_Exp2!A129</v>
      </c>
      <c r="K1986" s="15" t="str">
        <f t="shared" ca="1" si="478"/>
        <v>RadioCard_ILS_Exp2!B129</v>
      </c>
    </row>
    <row r="1987" spans="1:16" x14ac:dyDescent="0.25">
      <c r="A1987" s="3" t="str">
        <f t="shared" ca="1" si="479"/>
        <v/>
      </c>
      <c r="G1987" s="15">
        <f t="shared" ca="1" si="469"/>
        <v>130</v>
      </c>
      <c r="H1987" s="15">
        <v>1</v>
      </c>
      <c r="I1987" s="15" t="str">
        <f t="shared" ca="1" si="470"/>
        <v>RadioCard_ILS_Exp2</v>
      </c>
      <c r="J1987" s="15" t="str">
        <f t="shared" ca="1" si="477"/>
        <v>RadioCard_ILS_Exp2!A130</v>
      </c>
      <c r="K1987" s="15" t="str">
        <f t="shared" ca="1" si="478"/>
        <v>RadioCard_ILS_Exp2!B130</v>
      </c>
    </row>
    <row r="1988" spans="1:16" x14ac:dyDescent="0.25">
      <c r="A1988" s="3" t="str">
        <f t="shared" ca="1" si="479"/>
        <v xml:space="preserve">#LMK04610_ILS =  configuration </v>
      </c>
      <c r="G1988" s="15">
        <f t="shared" ref="G1988" ca="1" si="484">INDIRECT(M1988)</f>
        <v>51</v>
      </c>
      <c r="H1988" s="15">
        <v>1</v>
      </c>
      <c r="I1988" s="15" t="str">
        <f t="shared" ref="I1988" ca="1" si="485">INDIRECT(N1988)</f>
        <v>RadioCard_ILS_Devices</v>
      </c>
      <c r="J1988" s="15" t="str">
        <f t="shared" ca="1" si="477"/>
        <v>RadioCard_ILS_Devices!A51</v>
      </c>
      <c r="K1988" s="15" t="str">
        <f t="shared" ca="1" si="478"/>
        <v>RadioCard_ILS_Devices!B51</v>
      </c>
      <c r="M1988" s="15" t="str">
        <f t="shared" ref="M1988" si="486">ADDRESS(O1988,3,4,1,$R$1)</f>
        <v>konfig!C101</v>
      </c>
      <c r="N1988" s="15" t="str">
        <f t="shared" ref="N1988" si="487">ADDRESS(O1988,1,4,1,$R$1)</f>
        <v>konfig!A101</v>
      </c>
      <c r="O1988" s="15">
        <v>101</v>
      </c>
      <c r="P1988" s="15">
        <v>4</v>
      </c>
    </row>
    <row r="1989" spans="1:16" x14ac:dyDescent="0.25">
      <c r="A1989" s="3" t="str">
        <f t="shared" ca="1" si="479"/>
        <v xml:space="preserve">device = LMK04610 </v>
      </c>
      <c r="G1989" s="15">
        <f t="shared" ca="1" si="475"/>
        <v>52</v>
      </c>
      <c r="H1989" s="15">
        <v>1</v>
      </c>
      <c r="I1989" s="15" t="str">
        <f t="shared" ca="1" si="476"/>
        <v>RadioCard_ILS_Devices</v>
      </c>
      <c r="J1989" s="15" t="str">
        <f t="shared" ca="1" si="477"/>
        <v>RadioCard_ILS_Devices!A52</v>
      </c>
      <c r="K1989" s="15" t="str">
        <f t="shared" ca="1" si="478"/>
        <v>RadioCard_ILS_Devices!B52</v>
      </c>
    </row>
    <row r="1990" spans="1:16" x14ac:dyDescent="0.25">
      <c r="A1990" s="3" t="str">
        <f t="shared" ca="1" si="479"/>
        <v xml:space="preserve">spi_num = /dev/spidev0.0 </v>
      </c>
      <c r="G1990" s="15">
        <f t="shared" ca="1" si="469"/>
        <v>53</v>
      </c>
      <c r="H1990" s="15">
        <v>1</v>
      </c>
      <c r="I1990" s="15" t="str">
        <f t="shared" ca="1" si="470"/>
        <v>RadioCard_ILS_Devices</v>
      </c>
      <c r="J1990" s="15" t="str">
        <f t="shared" ca="1" si="477"/>
        <v>RadioCard_ILS_Devices!A53</v>
      </c>
      <c r="K1990" s="15" t="str">
        <f t="shared" ca="1" si="478"/>
        <v>RadioCard_ILS_Devices!B53</v>
      </c>
    </row>
    <row r="1991" spans="1:16" x14ac:dyDescent="0.25">
      <c r="A1991" s="3" t="str">
        <f t="shared" ca="1" si="479"/>
        <v xml:space="preserve">path_cfg = ./device_config_files/radio_config_files/radiocard_ILS/LMK04610.txt </v>
      </c>
      <c r="C1991" s="16"/>
      <c r="G1991" s="15">
        <f t="shared" ca="1" si="469"/>
        <v>54</v>
      </c>
      <c r="H1991" s="15">
        <v>1</v>
      </c>
      <c r="I1991" s="15" t="str">
        <f t="shared" ca="1" si="470"/>
        <v>RadioCard_ILS_Devices</v>
      </c>
      <c r="J1991" s="15" t="str">
        <f t="shared" ca="1" si="477"/>
        <v>RadioCard_ILS_Devices!A54</v>
      </c>
      <c r="K1991" s="15" t="str">
        <f t="shared" ca="1" si="478"/>
        <v>RadioCard_ILS_Devices!B54</v>
      </c>
    </row>
    <row r="1992" spans="1:16" x14ac:dyDescent="0.25">
      <c r="A1992" s="3" t="str">
        <f t="shared" ca="1" si="479"/>
        <v/>
      </c>
      <c r="G1992" s="15">
        <f t="shared" ca="1" si="469"/>
        <v>55</v>
      </c>
      <c r="H1992" s="15">
        <v>1</v>
      </c>
      <c r="I1992" s="15" t="str">
        <f t="shared" ca="1" si="470"/>
        <v>RadioCard_ILS_Devices</v>
      </c>
      <c r="J1992" s="15" t="str">
        <f t="shared" ca="1" si="477"/>
        <v>RadioCard_ILS_Devices!A55</v>
      </c>
      <c r="K1992" s="15" t="str">
        <f t="shared" ca="1" si="478"/>
        <v>RadioCard_ILS_Devices!B55</v>
      </c>
    </row>
    <row r="1993" spans="1:16" x14ac:dyDescent="0.25">
      <c r="A1993" s="3" t="str">
        <f t="shared" ca="1" si="479"/>
        <v xml:space="preserve">time = 10 </v>
      </c>
      <c r="G1993" s="15">
        <f t="shared" ref="G1993:G2056" ca="1" si="488">G1992+1</f>
        <v>56</v>
      </c>
      <c r="H1993" s="15">
        <v>1</v>
      </c>
      <c r="I1993" s="15" t="str">
        <f t="shared" ref="I1993:I2056" ca="1" si="489">I1992</f>
        <v>RadioCard_ILS_Devices</v>
      </c>
      <c r="J1993" s="15" t="str">
        <f t="shared" ca="1" si="477"/>
        <v>RadioCard_ILS_Devices!A56</v>
      </c>
      <c r="K1993" s="15" t="str">
        <f t="shared" ca="1" si="478"/>
        <v>RadioCard_ILS_Devices!B56</v>
      </c>
    </row>
    <row r="1994" spans="1:16" x14ac:dyDescent="0.25">
      <c r="A1994" s="3" t="str">
        <f t="shared" ca="1" si="479"/>
        <v/>
      </c>
      <c r="G1994" s="15">
        <f t="shared" ca="1" si="488"/>
        <v>57</v>
      </c>
      <c r="H1994" s="15">
        <v>1</v>
      </c>
      <c r="I1994" s="15" t="str">
        <f t="shared" ca="1" si="489"/>
        <v>RadioCard_ILS_Devices</v>
      </c>
      <c r="J1994" s="15" t="str">
        <f t="shared" ca="1" si="477"/>
        <v>RadioCard_ILS_Devices!A57</v>
      </c>
      <c r="K1994" s="15" t="str">
        <f t="shared" ca="1" si="478"/>
        <v>RadioCard_ILS_Devices!B57</v>
      </c>
    </row>
    <row r="1995" spans="1:16" x14ac:dyDescent="0.25">
      <c r="A1995" s="3" t="str">
        <f t="shared" ca="1" si="479"/>
        <v/>
      </c>
      <c r="G1995" s="15">
        <f t="shared" ca="1" si="488"/>
        <v>58</v>
      </c>
      <c r="H1995" s="15">
        <v>1</v>
      </c>
      <c r="I1995" s="15" t="str">
        <f t="shared" ca="1" si="489"/>
        <v>RadioCard_ILS_Devices</v>
      </c>
      <c r="J1995" s="15" t="str">
        <f t="shared" ca="1" si="477"/>
        <v>RadioCard_ILS_Devices!A58</v>
      </c>
      <c r="K1995" s="15" t="str">
        <f t="shared" ca="1" si="478"/>
        <v>RadioCard_ILS_Devices!B58</v>
      </c>
    </row>
    <row r="1996" spans="1:16" x14ac:dyDescent="0.25">
      <c r="A1996" s="3" t="str">
        <f t="shared" ca="1" si="479"/>
        <v/>
      </c>
      <c r="G1996" s="15">
        <f t="shared" ca="1" si="488"/>
        <v>59</v>
      </c>
      <c r="H1996" s="15">
        <v>1</v>
      </c>
      <c r="I1996" s="15" t="str">
        <f t="shared" ca="1" si="489"/>
        <v>RadioCard_ILS_Devices</v>
      </c>
      <c r="J1996" s="15" t="str">
        <f t="shared" ca="1" si="477"/>
        <v>RadioCard_ILS_Devices!A59</v>
      </c>
      <c r="K1996" s="15" t="str">
        <f t="shared" ca="1" si="478"/>
        <v>RadioCard_ILS_Devices!B59</v>
      </c>
    </row>
    <row r="1997" spans="1:16" x14ac:dyDescent="0.25">
      <c r="A1997" s="3" t="str">
        <f t="shared" ca="1" si="479"/>
        <v/>
      </c>
      <c r="G1997" s="15">
        <f t="shared" ca="1" si="488"/>
        <v>60</v>
      </c>
      <c r="H1997" s="15">
        <v>1</v>
      </c>
      <c r="I1997" s="15" t="str">
        <f t="shared" ca="1" si="489"/>
        <v>RadioCard_ILS_Devices</v>
      </c>
      <c r="J1997" s="15" t="str">
        <f t="shared" ca="1" si="477"/>
        <v>RadioCard_ILS_Devices!A60</v>
      </c>
      <c r="K1997" s="15" t="str">
        <f t="shared" ca="1" si="478"/>
        <v>RadioCard_ILS_Devices!B60</v>
      </c>
    </row>
    <row r="1998" spans="1:16" x14ac:dyDescent="0.25">
      <c r="A1998" s="3" t="str">
        <f t="shared" ca="1" si="479"/>
        <v/>
      </c>
      <c r="G1998" s="15">
        <f t="shared" ca="1" si="488"/>
        <v>61</v>
      </c>
      <c r="H1998" s="15">
        <v>1</v>
      </c>
      <c r="I1998" s="15" t="str">
        <f t="shared" ca="1" si="489"/>
        <v>RadioCard_ILS_Devices</v>
      </c>
      <c r="J1998" s="15" t="str">
        <f t="shared" ca="1" si="477"/>
        <v>RadioCard_ILS_Devices!A61</v>
      </c>
      <c r="K1998" s="15" t="str">
        <f t="shared" ca="1" si="478"/>
        <v>RadioCard_ILS_Devices!B61</v>
      </c>
    </row>
    <row r="1999" spans="1:16" x14ac:dyDescent="0.25">
      <c r="A1999" s="3" t="str">
        <f t="shared" ca="1" si="479"/>
        <v/>
      </c>
      <c r="C1999" s="16"/>
      <c r="G1999" s="15">
        <f t="shared" ca="1" si="488"/>
        <v>62</v>
      </c>
      <c r="H1999" s="15">
        <v>1</v>
      </c>
      <c r="I1999" s="15" t="str">
        <f t="shared" ca="1" si="489"/>
        <v>RadioCard_ILS_Devices</v>
      </c>
      <c r="J1999" s="15" t="str">
        <f t="shared" ca="1" si="477"/>
        <v>RadioCard_ILS_Devices!A62</v>
      </c>
      <c r="K1999" s="15" t="str">
        <f t="shared" ca="1" si="478"/>
        <v>RadioCard_ILS_Devices!B62</v>
      </c>
    </row>
    <row r="2000" spans="1:16" x14ac:dyDescent="0.25">
      <c r="A2000" s="3" t="str">
        <f t="shared" ca="1" si="479"/>
        <v/>
      </c>
      <c r="G2000" s="15">
        <f t="shared" ca="1" si="488"/>
        <v>63</v>
      </c>
      <c r="H2000" s="15">
        <v>1</v>
      </c>
      <c r="I2000" s="15" t="str">
        <f t="shared" ca="1" si="489"/>
        <v>RadioCard_ILS_Devices</v>
      </c>
      <c r="J2000" s="15" t="str">
        <f t="shared" ca="1" si="477"/>
        <v>RadioCard_ILS_Devices!A63</v>
      </c>
      <c r="K2000" s="15" t="str">
        <f t="shared" ca="1" si="478"/>
        <v>RadioCard_ILS_Devices!B63</v>
      </c>
    </row>
    <row r="2001" spans="1:16" x14ac:dyDescent="0.25">
      <c r="A2001" s="3" t="str">
        <f t="shared" ca="1" si="479"/>
        <v/>
      </c>
      <c r="G2001" s="15">
        <f t="shared" ca="1" si="488"/>
        <v>64</v>
      </c>
      <c r="H2001" s="15">
        <v>1</v>
      </c>
      <c r="I2001" s="15" t="str">
        <f t="shared" ca="1" si="489"/>
        <v>RadioCard_ILS_Devices</v>
      </c>
      <c r="J2001" s="15" t="str">
        <f t="shared" ca="1" si="477"/>
        <v>RadioCard_ILS_Devices!A64</v>
      </c>
      <c r="K2001" s="15" t="str">
        <f t="shared" ca="1" si="478"/>
        <v>RadioCard_ILS_Devices!B64</v>
      </c>
    </row>
    <row r="2002" spans="1:16" x14ac:dyDescent="0.25">
      <c r="A2002" s="3" t="str">
        <f t="shared" ca="1" si="479"/>
        <v/>
      </c>
      <c r="G2002" s="15">
        <f t="shared" ca="1" si="488"/>
        <v>65</v>
      </c>
      <c r="H2002" s="15">
        <v>1</v>
      </c>
      <c r="I2002" s="15" t="str">
        <f t="shared" ca="1" si="489"/>
        <v>RadioCard_ILS_Devices</v>
      </c>
      <c r="J2002" s="15" t="str">
        <f t="shared" ca="1" si="477"/>
        <v>RadioCard_ILS_Devices!A65</v>
      </c>
      <c r="K2002" s="15" t="str">
        <f t="shared" ca="1" si="478"/>
        <v>RadioCard_ILS_Devices!B65</v>
      </c>
    </row>
    <row r="2003" spans="1:16" x14ac:dyDescent="0.25">
      <c r="A2003" s="3" t="str">
        <f t="shared" ca="1" si="479"/>
        <v/>
      </c>
      <c r="G2003" s="15">
        <f t="shared" ca="1" si="488"/>
        <v>66</v>
      </c>
      <c r="H2003" s="15">
        <v>1</v>
      </c>
      <c r="I2003" s="15" t="str">
        <f t="shared" ca="1" si="489"/>
        <v>RadioCard_ILS_Devices</v>
      </c>
      <c r="J2003" s="15" t="str">
        <f t="shared" ca="1" si="477"/>
        <v>RadioCard_ILS_Devices!A66</v>
      </c>
      <c r="K2003" s="15" t="str">
        <f t="shared" ca="1" si="478"/>
        <v>RadioCard_ILS_Devices!B66</v>
      </c>
    </row>
    <row r="2004" spans="1:16" x14ac:dyDescent="0.25">
      <c r="A2004" s="3" t="str">
        <f t="shared" ca="1" si="479"/>
        <v/>
      </c>
      <c r="G2004" s="15">
        <f t="shared" ca="1" si="488"/>
        <v>67</v>
      </c>
      <c r="H2004" s="15">
        <v>1</v>
      </c>
      <c r="I2004" s="15" t="str">
        <f t="shared" ca="1" si="489"/>
        <v>RadioCard_ILS_Devices</v>
      </c>
      <c r="J2004" s="15" t="str">
        <f t="shared" ca="1" si="477"/>
        <v>RadioCard_ILS_Devices!A67</v>
      </c>
      <c r="K2004" s="15" t="str">
        <f t="shared" ca="1" si="478"/>
        <v>RadioCard_ILS_Devices!B67</v>
      </c>
    </row>
    <row r="2005" spans="1:16" x14ac:dyDescent="0.25">
      <c r="A2005" s="3" t="str">
        <f t="shared" ca="1" si="479"/>
        <v/>
      </c>
      <c r="G2005" s="15">
        <f t="shared" ca="1" si="488"/>
        <v>68</v>
      </c>
      <c r="H2005" s="15">
        <v>1</v>
      </c>
      <c r="I2005" s="15" t="str">
        <f t="shared" ca="1" si="489"/>
        <v>RadioCard_ILS_Devices</v>
      </c>
      <c r="J2005" s="15" t="str">
        <f t="shared" ca="1" si="477"/>
        <v>RadioCard_ILS_Devices!A68</v>
      </c>
      <c r="K2005" s="15" t="str">
        <f t="shared" ca="1" si="478"/>
        <v>RadioCard_ILS_Devices!B68</v>
      </c>
    </row>
    <row r="2006" spans="1:16" x14ac:dyDescent="0.25">
      <c r="A2006" s="3" t="str">
        <f t="shared" ca="1" si="479"/>
        <v/>
      </c>
      <c r="G2006" s="15">
        <f t="shared" ca="1" si="488"/>
        <v>69</v>
      </c>
      <c r="H2006" s="15">
        <v>1</v>
      </c>
      <c r="I2006" s="15" t="str">
        <f t="shared" ca="1" si="489"/>
        <v>RadioCard_ILS_Devices</v>
      </c>
      <c r="J2006" s="15" t="str">
        <f t="shared" ca="1" si="477"/>
        <v>RadioCard_ILS_Devices!A69</v>
      </c>
      <c r="K2006" s="15" t="str">
        <f t="shared" ca="1" si="478"/>
        <v>RadioCard_ILS_Devices!B69</v>
      </c>
    </row>
    <row r="2007" spans="1:16" x14ac:dyDescent="0.25">
      <c r="A2007" s="3" t="str">
        <f t="shared" ca="1" si="479"/>
        <v/>
      </c>
      <c r="G2007" s="15">
        <f t="shared" ca="1" si="488"/>
        <v>70</v>
      </c>
      <c r="H2007" s="15">
        <v>1</v>
      </c>
      <c r="I2007" s="15" t="str">
        <f t="shared" ca="1" si="489"/>
        <v>RadioCard_ILS_Devices</v>
      </c>
      <c r="J2007" s="15" t="str">
        <f t="shared" ca="1" si="477"/>
        <v>RadioCard_ILS_Devices!A70</v>
      </c>
      <c r="K2007" s="15" t="str">
        <f t="shared" ca="1" si="478"/>
        <v>RadioCard_ILS_Devices!B70</v>
      </c>
    </row>
    <row r="2008" spans="1:16" x14ac:dyDescent="0.25">
      <c r="A2008" s="3" t="str">
        <f t="shared" ca="1" si="479"/>
        <v xml:space="preserve">#RadioCard_ILS_Exp1:etap 5 LTC =  </v>
      </c>
      <c r="G2008" s="15">
        <f t="shared" ref="G2008" ca="1" si="490">INDIRECT(M2008)</f>
        <v>131</v>
      </c>
      <c r="H2008" s="15">
        <v>1</v>
      </c>
      <c r="I2008" s="15" t="str">
        <f t="shared" ref="I2008" ca="1" si="491">INDIRECT(N2008)</f>
        <v>RadioCard_ILS_Exp2</v>
      </c>
      <c r="J2008" s="15" t="str">
        <f t="shared" ca="1" si="477"/>
        <v>RadioCard_ILS_Exp2!A131</v>
      </c>
      <c r="K2008" s="15" t="str">
        <f t="shared" ca="1" si="478"/>
        <v>RadioCard_ILS_Exp2!B131</v>
      </c>
      <c r="M2008" s="15" t="str">
        <f t="shared" ref="M2008" si="492">ADDRESS(O2008,3,4,1,$R$1)</f>
        <v>konfig!C102</v>
      </c>
      <c r="N2008" s="15" t="str">
        <f t="shared" ref="N2008" si="493">ADDRESS(O2008,1,4,1,$R$1)</f>
        <v>konfig!A102</v>
      </c>
      <c r="O2008" s="15">
        <v>102</v>
      </c>
      <c r="P2008" s="15">
        <v>4</v>
      </c>
    </row>
    <row r="2009" spans="1:16" x14ac:dyDescent="0.25">
      <c r="A2009" s="3" t="str">
        <f t="shared" ca="1" si="479"/>
        <v xml:space="preserve">device = MCP23017 </v>
      </c>
      <c r="G2009" s="15">
        <f t="shared" ref="G2009:G2052" ca="1" si="494">G2008+1</f>
        <v>132</v>
      </c>
      <c r="H2009" s="15">
        <v>1</v>
      </c>
      <c r="I2009" s="15" t="str">
        <f t="shared" ref="I2009:I2052" ca="1" si="495">I2008</f>
        <v>RadioCard_ILS_Exp2</v>
      </c>
      <c r="J2009" s="15" t="str">
        <f t="shared" ca="1" si="477"/>
        <v>RadioCard_ILS_Exp2!A132</v>
      </c>
      <c r="K2009" s="15" t="str">
        <f t="shared" ca="1" si="478"/>
        <v>RadioCard_ILS_Exp2!B132</v>
      </c>
    </row>
    <row r="2010" spans="1:16" x14ac:dyDescent="0.25">
      <c r="A2010" s="3" t="str">
        <f t="shared" ca="1" si="479"/>
        <v xml:space="preserve">i2c_addr = 0x27 </v>
      </c>
      <c r="G2010" s="15">
        <f t="shared" ca="1" si="494"/>
        <v>133</v>
      </c>
      <c r="H2010" s="15">
        <v>1</v>
      </c>
      <c r="I2010" s="15" t="str">
        <f t="shared" ca="1" si="495"/>
        <v>RadioCard_ILS_Exp2</v>
      </c>
      <c r="J2010" s="15" t="str">
        <f t="shared" ca="1" si="477"/>
        <v>RadioCard_ILS_Exp2!A133</v>
      </c>
      <c r="K2010" s="15" t="str">
        <f t="shared" ca="1" si="478"/>
        <v>RadioCard_ILS_Exp2!B133</v>
      </c>
    </row>
    <row r="2011" spans="1:16" x14ac:dyDescent="0.25">
      <c r="A2011" s="3" t="str">
        <f t="shared" ca="1" si="479"/>
        <v xml:space="preserve">i2c_num = /dev/i2c-1 </v>
      </c>
      <c r="C2011" s="16"/>
      <c r="G2011" s="15">
        <f t="shared" ca="1" si="494"/>
        <v>134</v>
      </c>
      <c r="H2011" s="15">
        <v>1</v>
      </c>
      <c r="I2011" s="15" t="str">
        <f t="shared" ca="1" si="495"/>
        <v>RadioCard_ILS_Exp2</v>
      </c>
      <c r="J2011" s="15" t="str">
        <f t="shared" ca="1" si="477"/>
        <v>RadioCard_ILS_Exp2!A134</v>
      </c>
      <c r="K2011" s="15" t="str">
        <f t="shared" ca="1" si="478"/>
        <v>RadioCard_ILS_Exp2!B134</v>
      </c>
    </row>
    <row r="2012" spans="1:16" x14ac:dyDescent="0.25">
      <c r="A2012" s="3" t="str">
        <f t="shared" ca="1" si="479"/>
        <v xml:space="preserve">pins_mode = 0xCE8C </v>
      </c>
      <c r="G2012" s="15">
        <f t="shared" ca="1" si="494"/>
        <v>135</v>
      </c>
      <c r="H2012" s="15">
        <v>1</v>
      </c>
      <c r="I2012" s="15" t="str">
        <f t="shared" ca="1" si="495"/>
        <v>RadioCard_ILS_Exp2</v>
      </c>
      <c r="J2012" s="15" t="str">
        <f t="shared" ca="1" si="477"/>
        <v>RadioCard_ILS_Exp2!A135</v>
      </c>
      <c r="K2012" s="15" t="str">
        <f t="shared" ca="1" si="478"/>
        <v>RadioCard_ILS_Exp2!B135</v>
      </c>
    </row>
    <row r="2013" spans="1:16" x14ac:dyDescent="0.25">
      <c r="A2013" s="3" t="str">
        <f t="shared" ca="1" si="479"/>
        <v xml:space="preserve">pins_state = 0x3123 </v>
      </c>
      <c r="G2013" s="15">
        <f t="shared" ca="1" si="488"/>
        <v>136</v>
      </c>
      <c r="H2013" s="15">
        <v>1</v>
      </c>
      <c r="I2013" s="15" t="str">
        <f t="shared" ca="1" si="489"/>
        <v>RadioCard_ILS_Exp2</v>
      </c>
      <c r="J2013" s="15" t="str">
        <f t="shared" ca="1" si="477"/>
        <v>RadioCard_ILS_Exp2!A136</v>
      </c>
      <c r="K2013" s="15" t="str">
        <f t="shared" ca="1" si="478"/>
        <v>RadioCard_ILS_Exp2!B136</v>
      </c>
    </row>
    <row r="2014" spans="1:16" x14ac:dyDescent="0.25">
      <c r="A2014" s="3" t="str">
        <f t="shared" ca="1" si="479"/>
        <v xml:space="preserve">pins_pull_up = 0x4808 </v>
      </c>
      <c r="G2014" s="15">
        <f t="shared" ca="1" si="488"/>
        <v>137</v>
      </c>
      <c r="H2014" s="15">
        <v>1</v>
      </c>
      <c r="I2014" s="15" t="str">
        <f t="shared" ca="1" si="489"/>
        <v>RadioCard_ILS_Exp2</v>
      </c>
      <c r="J2014" s="15" t="str">
        <f t="shared" ca="1" si="477"/>
        <v>RadioCard_ILS_Exp2!A137</v>
      </c>
      <c r="K2014" s="15" t="str">
        <f t="shared" ca="1" si="478"/>
        <v>RadioCard_ILS_Exp2!B137</v>
      </c>
    </row>
    <row r="2015" spans="1:16" x14ac:dyDescent="0.25">
      <c r="A2015" s="3" t="str">
        <f t="shared" ca="1" si="479"/>
        <v xml:space="preserve">#pins_int = 0x0000 </v>
      </c>
      <c r="G2015" s="15">
        <f t="shared" ca="1" si="488"/>
        <v>138</v>
      </c>
      <c r="H2015" s="15">
        <v>1</v>
      </c>
      <c r="I2015" s="15" t="str">
        <f t="shared" ca="1" si="489"/>
        <v>RadioCard_ILS_Exp2</v>
      </c>
      <c r="J2015" s="15" t="str">
        <f t="shared" ca="1" si="477"/>
        <v>RadioCard_ILS_Exp2!A138</v>
      </c>
      <c r="K2015" s="15" t="str">
        <f t="shared" ca="1" si="478"/>
        <v>RadioCard_ILS_Exp2!B138</v>
      </c>
    </row>
    <row r="2016" spans="1:16" x14ac:dyDescent="0.25">
      <c r="A2016" s="3" t="str">
        <f t="shared" ca="1" si="479"/>
        <v xml:space="preserve">#pins_def_val = 0x0000 </v>
      </c>
      <c r="G2016" s="15">
        <f t="shared" ca="1" si="488"/>
        <v>139</v>
      </c>
      <c r="H2016" s="15">
        <v>1</v>
      </c>
      <c r="I2016" s="15" t="str">
        <f t="shared" ca="1" si="489"/>
        <v>RadioCard_ILS_Exp2</v>
      </c>
      <c r="J2016" s="15" t="str">
        <f t="shared" ca="1" si="477"/>
        <v>RadioCard_ILS_Exp2!A139</v>
      </c>
      <c r="K2016" s="15" t="str">
        <f t="shared" ca="1" si="478"/>
        <v>RadioCard_ILS_Exp2!B139</v>
      </c>
    </row>
    <row r="2017" spans="1:16" x14ac:dyDescent="0.25">
      <c r="A2017" s="3" t="str">
        <f t="shared" ca="1" si="479"/>
        <v/>
      </c>
      <c r="G2017" s="15">
        <f t="shared" ca="1" si="488"/>
        <v>140</v>
      </c>
      <c r="H2017" s="15">
        <v>1</v>
      </c>
      <c r="I2017" s="15" t="str">
        <f t="shared" ca="1" si="489"/>
        <v>RadioCard_ILS_Exp2</v>
      </c>
      <c r="J2017" s="15" t="str">
        <f t="shared" ca="1" si="477"/>
        <v>RadioCard_ILS_Exp2!A140</v>
      </c>
      <c r="K2017" s="15" t="str">
        <f t="shared" ca="1" si="478"/>
        <v>RadioCard_ILS_Exp2!B140</v>
      </c>
    </row>
    <row r="2018" spans="1:16" x14ac:dyDescent="0.25">
      <c r="A2018" s="3" t="str">
        <f t="shared" ca="1" si="479"/>
        <v xml:space="preserve">#pins_int = 10 </v>
      </c>
      <c r="G2018" s="15">
        <f t="shared" ca="1" si="488"/>
        <v>141</v>
      </c>
      <c r="H2018" s="15">
        <v>1</v>
      </c>
      <c r="I2018" s="15" t="str">
        <f t="shared" ca="1" si="489"/>
        <v>RadioCard_ILS_Exp2</v>
      </c>
      <c r="J2018" s="15" t="str">
        <f t="shared" ca="1" si="477"/>
        <v>RadioCard_ILS_Exp2!A141</v>
      </c>
      <c r="K2018" s="15" t="str">
        <f t="shared" ca="1" si="478"/>
        <v>RadioCard_ILS_Exp2!B141</v>
      </c>
    </row>
    <row r="2019" spans="1:16" x14ac:dyDescent="0.25">
      <c r="A2019" s="3" t="str">
        <f t="shared" ca="1" si="479"/>
        <v/>
      </c>
      <c r="C2019" s="16"/>
      <c r="G2019" s="15">
        <f t="shared" ca="1" si="488"/>
        <v>142</v>
      </c>
      <c r="H2019" s="15">
        <v>1</v>
      </c>
      <c r="I2019" s="15" t="str">
        <f t="shared" ca="1" si="489"/>
        <v>RadioCard_ILS_Exp2</v>
      </c>
      <c r="J2019" s="15" t="str">
        <f t="shared" ca="1" si="477"/>
        <v>RadioCard_ILS_Exp2!A142</v>
      </c>
      <c r="K2019" s="15" t="str">
        <f t="shared" ca="1" si="478"/>
        <v>RadioCard_ILS_Exp2!B142</v>
      </c>
    </row>
    <row r="2020" spans="1:16" x14ac:dyDescent="0.25">
      <c r="A2020" s="3" t="str">
        <f t="shared" ca="1" si="479"/>
        <v/>
      </c>
      <c r="G2020" s="15">
        <f t="shared" ca="1" si="488"/>
        <v>143</v>
      </c>
      <c r="H2020" s="15">
        <v>1</v>
      </c>
      <c r="I2020" s="15" t="str">
        <f t="shared" ca="1" si="489"/>
        <v>RadioCard_ILS_Exp2</v>
      </c>
      <c r="J2020" s="15" t="str">
        <f t="shared" ref="J2020:J2083" ca="1" si="496">ADDRESS(G2020,H2020,4,1,I2020)</f>
        <v>RadioCard_ILS_Exp2!A143</v>
      </c>
      <c r="K2020" s="15" t="str">
        <f t="shared" ref="K2020:K2083" ca="1" si="497">ADDRESS(G2020,H2020+1,4,1,I2020)</f>
        <v>RadioCard_ILS_Exp2!B143</v>
      </c>
    </row>
    <row r="2021" spans="1:16" x14ac:dyDescent="0.25">
      <c r="A2021" s="3" t="str">
        <f t="shared" ca="1" si="479"/>
        <v/>
      </c>
      <c r="G2021" s="15">
        <f t="shared" ca="1" si="488"/>
        <v>144</v>
      </c>
      <c r="H2021" s="15">
        <v>1</v>
      </c>
      <c r="I2021" s="15" t="str">
        <f t="shared" ca="1" si="489"/>
        <v>RadioCard_ILS_Exp2</v>
      </c>
      <c r="J2021" s="15" t="str">
        <f t="shared" ca="1" si="496"/>
        <v>RadioCard_ILS_Exp2!A144</v>
      </c>
      <c r="K2021" s="15" t="str">
        <f t="shared" ca="1" si="497"/>
        <v>RadioCard_ILS_Exp2!B144</v>
      </c>
    </row>
    <row r="2022" spans="1:16" x14ac:dyDescent="0.25">
      <c r="A2022" s="3" t="str">
        <f t="shared" ca="1" si="479"/>
        <v/>
      </c>
      <c r="G2022" s="15">
        <f t="shared" ca="1" si="488"/>
        <v>145</v>
      </c>
      <c r="H2022" s="15">
        <v>1</v>
      </c>
      <c r="I2022" s="15" t="str">
        <f t="shared" ca="1" si="489"/>
        <v>RadioCard_ILS_Exp2</v>
      </c>
      <c r="J2022" s="15" t="str">
        <f t="shared" ca="1" si="496"/>
        <v>RadioCard_ILS_Exp2!A145</v>
      </c>
      <c r="K2022" s="15" t="str">
        <f t="shared" ca="1" si="497"/>
        <v>RadioCard_ILS_Exp2!B145</v>
      </c>
    </row>
    <row r="2023" spans="1:16" x14ac:dyDescent="0.25">
      <c r="A2023" s="3" t="str">
        <f t="shared" ca="1" si="479"/>
        <v/>
      </c>
      <c r="G2023" s="15">
        <f t="shared" ca="1" si="488"/>
        <v>146</v>
      </c>
      <c r="H2023" s="15">
        <v>1</v>
      </c>
      <c r="I2023" s="15" t="str">
        <f t="shared" ca="1" si="489"/>
        <v>RadioCard_ILS_Exp2</v>
      </c>
      <c r="J2023" s="15" t="str">
        <f t="shared" ca="1" si="496"/>
        <v>RadioCard_ILS_Exp2!A146</v>
      </c>
      <c r="K2023" s="15" t="str">
        <f t="shared" ca="1" si="497"/>
        <v>RadioCard_ILS_Exp2!B146</v>
      </c>
    </row>
    <row r="2024" spans="1:16" x14ac:dyDescent="0.25">
      <c r="A2024" s="3" t="str">
        <f t="shared" ca="1" si="479"/>
        <v/>
      </c>
      <c r="G2024" s="15">
        <f t="shared" ca="1" si="488"/>
        <v>147</v>
      </c>
      <c r="H2024" s="15">
        <v>1</v>
      </c>
      <c r="I2024" s="15" t="str">
        <f t="shared" ca="1" si="489"/>
        <v>RadioCard_ILS_Exp2</v>
      </c>
      <c r="J2024" s="15" t="str">
        <f t="shared" ca="1" si="496"/>
        <v>RadioCard_ILS_Exp2!A147</v>
      </c>
      <c r="K2024" s="15" t="str">
        <f t="shared" ca="1" si="497"/>
        <v>RadioCard_ILS_Exp2!B147</v>
      </c>
    </row>
    <row r="2025" spans="1:16" x14ac:dyDescent="0.25">
      <c r="A2025" s="3" t="str">
        <f t="shared" ca="1" si="479"/>
        <v/>
      </c>
      <c r="G2025" s="15">
        <f t="shared" ca="1" si="488"/>
        <v>148</v>
      </c>
      <c r="H2025" s="15">
        <v>1</v>
      </c>
      <c r="I2025" s="15" t="str">
        <f t="shared" ca="1" si="489"/>
        <v>RadioCard_ILS_Exp2</v>
      </c>
      <c r="J2025" s="15" t="str">
        <f t="shared" ca="1" si="496"/>
        <v>RadioCard_ILS_Exp2!A148</v>
      </c>
      <c r="K2025" s="15" t="str">
        <f t="shared" ca="1" si="497"/>
        <v>RadioCard_ILS_Exp2!B148</v>
      </c>
    </row>
    <row r="2026" spans="1:16" x14ac:dyDescent="0.25">
      <c r="A2026" s="3" t="str">
        <f t="shared" ca="1" si="479"/>
        <v/>
      </c>
      <c r="G2026" s="15">
        <f t="shared" ca="1" si="488"/>
        <v>149</v>
      </c>
      <c r="H2026" s="15">
        <v>1</v>
      </c>
      <c r="I2026" s="15" t="str">
        <f t="shared" ca="1" si="489"/>
        <v>RadioCard_ILS_Exp2</v>
      </c>
      <c r="J2026" s="15" t="str">
        <f t="shared" ca="1" si="496"/>
        <v>RadioCard_ILS_Exp2!A149</v>
      </c>
      <c r="K2026" s="15" t="str">
        <f t="shared" ca="1" si="497"/>
        <v>RadioCard_ILS_Exp2!B149</v>
      </c>
    </row>
    <row r="2027" spans="1:16" x14ac:dyDescent="0.25">
      <c r="A2027" s="3" t="str">
        <f t="shared" ca="1" si="479"/>
        <v/>
      </c>
      <c r="G2027" s="15">
        <f t="shared" ca="1" si="488"/>
        <v>150</v>
      </c>
      <c r="H2027" s="15">
        <v>1</v>
      </c>
      <c r="I2027" s="15" t="str">
        <f t="shared" ca="1" si="489"/>
        <v>RadioCard_ILS_Exp2</v>
      </c>
      <c r="J2027" s="15" t="str">
        <f t="shared" ca="1" si="496"/>
        <v>RadioCard_ILS_Exp2!A150</v>
      </c>
      <c r="K2027" s="15" t="str">
        <f t="shared" ca="1" si="497"/>
        <v>RadioCard_ILS_Exp2!B150</v>
      </c>
    </row>
    <row r="2028" spans="1:16" x14ac:dyDescent="0.25">
      <c r="A2028" s="3" t="str">
        <f t="shared" ref="A2028:A2091" ca="1" si="498">IFERROR(IF(INDIRECT(J2028)&lt;&gt;"",CONCATENATE(INDIRECT(J2028)," = ",INDIRECT(K2028)," "),""),"")</f>
        <v xml:space="preserve">#LTC2122_ILS =  </v>
      </c>
      <c r="G2028" s="15">
        <f t="shared" ref="G2028" ca="1" si="499">INDIRECT(M2028)</f>
        <v>31</v>
      </c>
      <c r="H2028" s="15">
        <v>1</v>
      </c>
      <c r="I2028" s="15" t="str">
        <f t="shared" ref="I2028" ca="1" si="500">INDIRECT(N2028)</f>
        <v>RadioCard_ILS_Devices</v>
      </c>
      <c r="J2028" s="15" t="str">
        <f t="shared" ca="1" si="496"/>
        <v>RadioCard_ILS_Devices!A31</v>
      </c>
      <c r="K2028" s="15" t="str">
        <f t="shared" ca="1" si="497"/>
        <v>RadioCard_ILS_Devices!B31</v>
      </c>
      <c r="M2028" s="15" t="str">
        <f t="shared" ref="M2028" si="501">ADDRESS(O2028,3,4,1,$R$1)</f>
        <v>konfig!C103</v>
      </c>
      <c r="N2028" s="15" t="str">
        <f t="shared" ref="N2028" si="502">ADDRESS(O2028,1,4,1,$R$1)</f>
        <v>konfig!A103</v>
      </c>
      <c r="O2028" s="15">
        <v>103</v>
      </c>
      <c r="P2028" s="15">
        <v>4</v>
      </c>
    </row>
    <row r="2029" spans="1:16" x14ac:dyDescent="0.25">
      <c r="A2029" s="3" t="str">
        <f t="shared" ca="1" si="498"/>
        <v xml:space="preserve">device = LTC2122 </v>
      </c>
      <c r="G2029" s="15">
        <f t="shared" ref="G2029:G2069" ca="1" si="503">G2028+1</f>
        <v>32</v>
      </c>
      <c r="H2029" s="15">
        <v>1</v>
      </c>
      <c r="I2029" s="15" t="str">
        <f t="shared" ref="I2029:I2069" ca="1" si="504">I2028</f>
        <v>RadioCard_ILS_Devices</v>
      </c>
      <c r="J2029" s="15" t="str">
        <f t="shared" ca="1" si="496"/>
        <v>RadioCard_ILS_Devices!A32</v>
      </c>
      <c r="K2029" s="15" t="str">
        <f t="shared" ca="1" si="497"/>
        <v>RadioCard_ILS_Devices!B32</v>
      </c>
    </row>
    <row r="2030" spans="1:16" x14ac:dyDescent="0.25">
      <c r="A2030" s="3" t="str">
        <f t="shared" ca="1" si="498"/>
        <v xml:space="preserve">spi_num = /dev/spidev0.0 </v>
      </c>
      <c r="G2030" s="15">
        <f t="shared" ca="1" si="488"/>
        <v>33</v>
      </c>
      <c r="H2030" s="15">
        <v>1</v>
      </c>
      <c r="I2030" s="15" t="str">
        <f t="shared" ca="1" si="489"/>
        <v>RadioCard_ILS_Devices</v>
      </c>
      <c r="J2030" s="15" t="str">
        <f t="shared" ca="1" si="496"/>
        <v>RadioCard_ILS_Devices!A33</v>
      </c>
      <c r="K2030" s="15" t="str">
        <f t="shared" ca="1" si="497"/>
        <v>RadioCard_ILS_Devices!B33</v>
      </c>
    </row>
    <row r="2031" spans="1:16" x14ac:dyDescent="0.25">
      <c r="A2031" s="3" t="str">
        <f t="shared" ca="1" si="498"/>
        <v xml:space="preserve">path_cfg = ./device_config_files/radio_config_files/radiocard_ILS/LTC2122.cfg  </v>
      </c>
      <c r="C2031" s="16"/>
      <c r="G2031" s="15">
        <f t="shared" ca="1" si="488"/>
        <v>34</v>
      </c>
      <c r="H2031" s="15">
        <v>1</v>
      </c>
      <c r="I2031" s="15" t="str">
        <f t="shared" ca="1" si="489"/>
        <v>RadioCard_ILS_Devices</v>
      </c>
      <c r="J2031" s="15" t="str">
        <f t="shared" ca="1" si="496"/>
        <v>RadioCard_ILS_Devices!A34</v>
      </c>
      <c r="K2031" s="15" t="str">
        <f t="shared" ca="1" si="497"/>
        <v>RadioCard_ILS_Devices!B34</v>
      </c>
    </row>
    <row r="2032" spans="1:16" x14ac:dyDescent="0.25">
      <c r="A2032" s="3" t="str">
        <f t="shared" ca="1" si="498"/>
        <v/>
      </c>
      <c r="G2032" s="15">
        <f t="shared" ca="1" si="488"/>
        <v>35</v>
      </c>
      <c r="H2032" s="15">
        <v>1</v>
      </c>
      <c r="I2032" s="15" t="str">
        <f t="shared" ca="1" si="489"/>
        <v>RadioCard_ILS_Devices</v>
      </c>
      <c r="J2032" s="15" t="str">
        <f t="shared" ca="1" si="496"/>
        <v>RadioCard_ILS_Devices!A35</v>
      </c>
      <c r="K2032" s="15" t="str">
        <f t="shared" ca="1" si="497"/>
        <v>RadioCard_ILS_Devices!B35</v>
      </c>
    </row>
    <row r="2033" spans="1:16" x14ac:dyDescent="0.25">
      <c r="A2033" s="3" t="str">
        <f t="shared" ca="1" si="498"/>
        <v xml:space="preserve">time = 10 </v>
      </c>
      <c r="G2033" s="15">
        <f t="shared" ca="1" si="488"/>
        <v>36</v>
      </c>
      <c r="H2033" s="15">
        <v>1</v>
      </c>
      <c r="I2033" s="15" t="str">
        <f t="shared" ca="1" si="489"/>
        <v>RadioCard_ILS_Devices</v>
      </c>
      <c r="J2033" s="15" t="str">
        <f t="shared" ca="1" si="496"/>
        <v>RadioCard_ILS_Devices!A36</v>
      </c>
      <c r="K2033" s="15" t="str">
        <f t="shared" ca="1" si="497"/>
        <v>RadioCard_ILS_Devices!B36</v>
      </c>
    </row>
    <row r="2034" spans="1:16" x14ac:dyDescent="0.25">
      <c r="A2034" s="3" t="str">
        <f t="shared" ca="1" si="498"/>
        <v/>
      </c>
      <c r="G2034" s="15">
        <f t="shared" ca="1" si="488"/>
        <v>37</v>
      </c>
      <c r="H2034" s="15">
        <v>1</v>
      </c>
      <c r="I2034" s="15" t="str">
        <f t="shared" ca="1" si="489"/>
        <v>RadioCard_ILS_Devices</v>
      </c>
      <c r="J2034" s="15" t="str">
        <f t="shared" ca="1" si="496"/>
        <v>RadioCard_ILS_Devices!A37</v>
      </c>
      <c r="K2034" s="15" t="str">
        <f t="shared" ca="1" si="497"/>
        <v>RadioCard_ILS_Devices!B37</v>
      </c>
    </row>
    <row r="2035" spans="1:16" x14ac:dyDescent="0.25">
      <c r="A2035" s="3" t="str">
        <f t="shared" ca="1" si="498"/>
        <v/>
      </c>
      <c r="G2035" s="15">
        <f t="shared" ca="1" si="488"/>
        <v>38</v>
      </c>
      <c r="H2035" s="15">
        <v>1</v>
      </c>
      <c r="I2035" s="15" t="str">
        <f t="shared" ca="1" si="489"/>
        <v>RadioCard_ILS_Devices</v>
      </c>
      <c r="J2035" s="15" t="str">
        <f t="shared" ca="1" si="496"/>
        <v>RadioCard_ILS_Devices!A38</v>
      </c>
      <c r="K2035" s="15" t="str">
        <f t="shared" ca="1" si="497"/>
        <v>RadioCard_ILS_Devices!B38</v>
      </c>
    </row>
    <row r="2036" spans="1:16" x14ac:dyDescent="0.25">
      <c r="A2036" s="3" t="str">
        <f t="shared" ca="1" si="498"/>
        <v/>
      </c>
      <c r="G2036" s="15">
        <f t="shared" ca="1" si="488"/>
        <v>39</v>
      </c>
      <c r="H2036" s="15">
        <v>1</v>
      </c>
      <c r="I2036" s="15" t="str">
        <f t="shared" ca="1" si="489"/>
        <v>RadioCard_ILS_Devices</v>
      </c>
      <c r="J2036" s="15" t="str">
        <f t="shared" ca="1" si="496"/>
        <v>RadioCard_ILS_Devices!A39</v>
      </c>
      <c r="K2036" s="15" t="str">
        <f t="shared" ca="1" si="497"/>
        <v>RadioCard_ILS_Devices!B39</v>
      </c>
    </row>
    <row r="2037" spans="1:16" x14ac:dyDescent="0.25">
      <c r="A2037" s="3" t="str">
        <f t="shared" ca="1" si="498"/>
        <v/>
      </c>
      <c r="G2037" s="15">
        <f t="shared" ca="1" si="488"/>
        <v>40</v>
      </c>
      <c r="H2037" s="15">
        <v>1</v>
      </c>
      <c r="I2037" s="15" t="str">
        <f t="shared" ca="1" si="489"/>
        <v>RadioCard_ILS_Devices</v>
      </c>
      <c r="J2037" s="15" t="str">
        <f t="shared" ca="1" si="496"/>
        <v>RadioCard_ILS_Devices!A40</v>
      </c>
      <c r="K2037" s="15" t="str">
        <f t="shared" ca="1" si="497"/>
        <v>RadioCard_ILS_Devices!B40</v>
      </c>
    </row>
    <row r="2038" spans="1:16" x14ac:dyDescent="0.25">
      <c r="A2038" s="3" t="str">
        <f t="shared" ca="1" si="498"/>
        <v/>
      </c>
      <c r="G2038" s="15">
        <f t="shared" ca="1" si="488"/>
        <v>41</v>
      </c>
      <c r="H2038" s="15">
        <v>1</v>
      </c>
      <c r="I2038" s="15" t="str">
        <f t="shared" ca="1" si="489"/>
        <v>RadioCard_ILS_Devices</v>
      </c>
      <c r="J2038" s="15" t="str">
        <f t="shared" ca="1" si="496"/>
        <v>RadioCard_ILS_Devices!A41</v>
      </c>
      <c r="K2038" s="15" t="str">
        <f t="shared" ca="1" si="497"/>
        <v>RadioCard_ILS_Devices!B41</v>
      </c>
    </row>
    <row r="2039" spans="1:16" x14ac:dyDescent="0.25">
      <c r="A2039" s="3" t="str">
        <f t="shared" ca="1" si="498"/>
        <v/>
      </c>
      <c r="C2039" s="16"/>
      <c r="G2039" s="15">
        <f t="shared" ca="1" si="488"/>
        <v>42</v>
      </c>
      <c r="H2039" s="15">
        <v>1</v>
      </c>
      <c r="I2039" s="15" t="str">
        <f t="shared" ca="1" si="489"/>
        <v>RadioCard_ILS_Devices</v>
      </c>
      <c r="J2039" s="15" t="str">
        <f t="shared" ca="1" si="496"/>
        <v>RadioCard_ILS_Devices!A42</v>
      </c>
      <c r="K2039" s="15" t="str">
        <f t="shared" ca="1" si="497"/>
        <v>RadioCard_ILS_Devices!B42</v>
      </c>
    </row>
    <row r="2040" spans="1:16" x14ac:dyDescent="0.25">
      <c r="A2040" s="3" t="str">
        <f t="shared" ca="1" si="498"/>
        <v/>
      </c>
      <c r="G2040" s="15">
        <f t="shared" ca="1" si="488"/>
        <v>43</v>
      </c>
      <c r="H2040" s="15">
        <v>1</v>
      </c>
      <c r="I2040" s="15" t="str">
        <f t="shared" ca="1" si="489"/>
        <v>RadioCard_ILS_Devices</v>
      </c>
      <c r="J2040" s="15" t="str">
        <f t="shared" ca="1" si="496"/>
        <v>RadioCard_ILS_Devices!A43</v>
      </c>
      <c r="K2040" s="15" t="str">
        <f t="shared" ca="1" si="497"/>
        <v>RadioCard_ILS_Devices!B43</v>
      </c>
    </row>
    <row r="2041" spans="1:16" x14ac:dyDescent="0.25">
      <c r="A2041" s="3" t="str">
        <f t="shared" ca="1" si="498"/>
        <v/>
      </c>
      <c r="G2041" s="15">
        <f t="shared" ca="1" si="488"/>
        <v>44</v>
      </c>
      <c r="H2041" s="15">
        <v>1</v>
      </c>
      <c r="I2041" s="15" t="str">
        <f t="shared" ca="1" si="489"/>
        <v>RadioCard_ILS_Devices</v>
      </c>
      <c r="J2041" s="15" t="str">
        <f t="shared" ca="1" si="496"/>
        <v>RadioCard_ILS_Devices!A44</v>
      </c>
      <c r="K2041" s="15" t="str">
        <f t="shared" ca="1" si="497"/>
        <v>RadioCard_ILS_Devices!B44</v>
      </c>
    </row>
    <row r="2042" spans="1:16" x14ac:dyDescent="0.25">
      <c r="A2042" s="3" t="str">
        <f t="shared" ca="1" si="498"/>
        <v/>
      </c>
      <c r="G2042" s="15">
        <f t="shared" ca="1" si="488"/>
        <v>45</v>
      </c>
      <c r="H2042" s="15">
        <v>1</v>
      </c>
      <c r="I2042" s="15" t="str">
        <f t="shared" ca="1" si="489"/>
        <v>RadioCard_ILS_Devices</v>
      </c>
      <c r="J2042" s="15" t="str">
        <f t="shared" ca="1" si="496"/>
        <v>RadioCard_ILS_Devices!A45</v>
      </c>
      <c r="K2042" s="15" t="str">
        <f t="shared" ca="1" si="497"/>
        <v>RadioCard_ILS_Devices!B45</v>
      </c>
    </row>
    <row r="2043" spans="1:16" x14ac:dyDescent="0.25">
      <c r="A2043" s="3" t="str">
        <f t="shared" ca="1" si="498"/>
        <v/>
      </c>
      <c r="G2043" s="15">
        <f t="shared" ca="1" si="488"/>
        <v>46</v>
      </c>
      <c r="H2043" s="15">
        <v>1</v>
      </c>
      <c r="I2043" s="15" t="str">
        <f t="shared" ca="1" si="489"/>
        <v>RadioCard_ILS_Devices</v>
      </c>
      <c r="J2043" s="15" t="str">
        <f t="shared" ca="1" si="496"/>
        <v>RadioCard_ILS_Devices!A46</v>
      </c>
      <c r="K2043" s="15" t="str">
        <f t="shared" ca="1" si="497"/>
        <v>RadioCard_ILS_Devices!B46</v>
      </c>
    </row>
    <row r="2044" spans="1:16" x14ac:dyDescent="0.25">
      <c r="A2044" s="3" t="str">
        <f t="shared" ca="1" si="498"/>
        <v/>
      </c>
      <c r="G2044" s="15">
        <f t="shared" ca="1" si="488"/>
        <v>47</v>
      </c>
      <c r="H2044" s="15">
        <v>1</v>
      </c>
      <c r="I2044" s="15" t="str">
        <f t="shared" ca="1" si="489"/>
        <v>RadioCard_ILS_Devices</v>
      </c>
      <c r="J2044" s="15" t="str">
        <f t="shared" ca="1" si="496"/>
        <v>RadioCard_ILS_Devices!A47</v>
      </c>
      <c r="K2044" s="15" t="str">
        <f t="shared" ca="1" si="497"/>
        <v>RadioCard_ILS_Devices!B47</v>
      </c>
    </row>
    <row r="2045" spans="1:16" x14ac:dyDescent="0.25">
      <c r="A2045" s="3" t="str">
        <f t="shared" ca="1" si="498"/>
        <v/>
      </c>
      <c r="G2045" s="15">
        <f t="shared" ca="1" si="488"/>
        <v>48</v>
      </c>
      <c r="H2045" s="15">
        <v>1</v>
      </c>
      <c r="I2045" s="15" t="str">
        <f t="shared" ca="1" si="489"/>
        <v>RadioCard_ILS_Devices</v>
      </c>
      <c r="J2045" s="15" t="str">
        <f t="shared" ca="1" si="496"/>
        <v>RadioCard_ILS_Devices!A48</v>
      </c>
      <c r="K2045" s="15" t="str">
        <f t="shared" ca="1" si="497"/>
        <v>RadioCard_ILS_Devices!B48</v>
      </c>
    </row>
    <row r="2046" spans="1:16" x14ac:dyDescent="0.25">
      <c r="A2046" s="3" t="str">
        <f t="shared" ca="1" si="498"/>
        <v/>
      </c>
      <c r="G2046" s="15">
        <f t="shared" ca="1" si="488"/>
        <v>49</v>
      </c>
      <c r="H2046" s="15">
        <v>1</v>
      </c>
      <c r="I2046" s="15" t="str">
        <f t="shared" ca="1" si="489"/>
        <v>RadioCard_ILS_Devices</v>
      </c>
      <c r="J2046" s="15" t="str">
        <f t="shared" ca="1" si="496"/>
        <v>RadioCard_ILS_Devices!A49</v>
      </c>
      <c r="K2046" s="15" t="str">
        <f t="shared" ca="1" si="497"/>
        <v>RadioCard_ILS_Devices!B49</v>
      </c>
    </row>
    <row r="2047" spans="1:16" x14ac:dyDescent="0.25">
      <c r="A2047" s="3" t="str">
        <f t="shared" ca="1" si="498"/>
        <v/>
      </c>
      <c r="G2047" s="15">
        <f t="shared" ca="1" si="488"/>
        <v>50</v>
      </c>
      <c r="H2047" s="15">
        <v>1</v>
      </c>
      <c r="I2047" s="15" t="str">
        <f t="shared" ca="1" si="489"/>
        <v>RadioCard_ILS_Devices</v>
      </c>
      <c r="J2047" s="15" t="str">
        <f t="shared" ca="1" si="496"/>
        <v>RadioCard_ILS_Devices!A50</v>
      </c>
      <c r="K2047" s="15" t="str">
        <f t="shared" ca="1" si="497"/>
        <v>RadioCard_ILS_Devices!B50</v>
      </c>
    </row>
    <row r="2048" spans="1:16" x14ac:dyDescent="0.25">
      <c r="A2048" s="3" t="str">
        <f t="shared" ca="1" si="498"/>
        <v xml:space="preserve">#RadioCard_ILS_Exp1:etap 3 =  </v>
      </c>
      <c r="G2048" s="15">
        <f t="shared" ref="G2048" ca="1" si="505">INDIRECT(M2048)</f>
        <v>91</v>
      </c>
      <c r="H2048" s="15">
        <v>1</v>
      </c>
      <c r="I2048" s="15" t="str">
        <f t="shared" ref="I2048" ca="1" si="506">INDIRECT(N2048)</f>
        <v>RadioCard_ILS_Exp2</v>
      </c>
      <c r="J2048" s="15" t="str">
        <f t="shared" ca="1" si="496"/>
        <v>RadioCard_ILS_Exp2!A91</v>
      </c>
      <c r="K2048" s="15" t="str">
        <f t="shared" ca="1" si="497"/>
        <v>RadioCard_ILS_Exp2!B91</v>
      </c>
      <c r="M2048" s="15" t="str">
        <f t="shared" ref="M2048" si="507">ADDRESS(O2048,3,4,1,$R$1)</f>
        <v>konfig!C104</v>
      </c>
      <c r="N2048" s="15" t="str">
        <f t="shared" ref="N2048" si="508">ADDRESS(O2048,1,4,1,$R$1)</f>
        <v>konfig!A104</v>
      </c>
      <c r="O2048" s="15">
        <v>104</v>
      </c>
      <c r="P2048" s="15">
        <v>4</v>
      </c>
    </row>
    <row r="2049" spans="1:11" x14ac:dyDescent="0.25">
      <c r="A2049" s="3" t="str">
        <f t="shared" ca="1" si="498"/>
        <v xml:space="preserve">device = MCP23017 </v>
      </c>
      <c r="G2049" s="15">
        <f t="shared" ca="1" si="494"/>
        <v>92</v>
      </c>
      <c r="H2049" s="15">
        <v>1</v>
      </c>
      <c r="I2049" s="15" t="str">
        <f t="shared" ca="1" si="495"/>
        <v>RadioCard_ILS_Exp2</v>
      </c>
      <c r="J2049" s="15" t="str">
        <f t="shared" ca="1" si="496"/>
        <v>RadioCard_ILS_Exp2!A92</v>
      </c>
      <c r="K2049" s="15" t="str">
        <f t="shared" ca="1" si="497"/>
        <v>RadioCard_ILS_Exp2!B92</v>
      </c>
    </row>
    <row r="2050" spans="1:11" x14ac:dyDescent="0.25">
      <c r="A2050" s="3" t="str">
        <f t="shared" ca="1" si="498"/>
        <v xml:space="preserve">i2c_addr = 0x27 </v>
      </c>
      <c r="G2050" s="15">
        <f t="shared" ca="1" si="494"/>
        <v>93</v>
      </c>
      <c r="H2050" s="15">
        <v>1</v>
      </c>
      <c r="I2050" s="15" t="str">
        <f t="shared" ca="1" si="495"/>
        <v>RadioCard_ILS_Exp2</v>
      </c>
      <c r="J2050" s="15" t="str">
        <f t="shared" ca="1" si="496"/>
        <v>RadioCard_ILS_Exp2!A93</v>
      </c>
      <c r="K2050" s="15" t="str">
        <f t="shared" ca="1" si="497"/>
        <v>RadioCard_ILS_Exp2!B93</v>
      </c>
    </row>
    <row r="2051" spans="1:11" x14ac:dyDescent="0.25">
      <c r="A2051" s="3" t="str">
        <f t="shared" ca="1" si="498"/>
        <v xml:space="preserve">i2c_num = /dev/i2c-1 </v>
      </c>
      <c r="C2051" s="16"/>
      <c r="G2051" s="15">
        <f t="shared" ca="1" si="494"/>
        <v>94</v>
      </c>
      <c r="H2051" s="15">
        <v>1</v>
      </c>
      <c r="I2051" s="15" t="str">
        <f t="shared" ca="1" si="495"/>
        <v>RadioCard_ILS_Exp2</v>
      </c>
      <c r="J2051" s="15" t="str">
        <f t="shared" ca="1" si="496"/>
        <v>RadioCard_ILS_Exp2!A94</v>
      </c>
      <c r="K2051" s="15" t="str">
        <f t="shared" ca="1" si="497"/>
        <v>RadioCard_ILS_Exp2!B94</v>
      </c>
    </row>
    <row r="2052" spans="1:11" x14ac:dyDescent="0.25">
      <c r="A2052" s="3" t="str">
        <f t="shared" ca="1" si="498"/>
        <v xml:space="preserve">pins_mode = 0xCE8C </v>
      </c>
      <c r="G2052" s="15">
        <f t="shared" ca="1" si="494"/>
        <v>95</v>
      </c>
      <c r="H2052" s="15">
        <v>1</v>
      </c>
      <c r="I2052" s="15" t="str">
        <f t="shared" ca="1" si="495"/>
        <v>RadioCard_ILS_Exp2</v>
      </c>
      <c r="J2052" s="15" t="str">
        <f t="shared" ca="1" si="496"/>
        <v>RadioCard_ILS_Exp2!A95</v>
      </c>
      <c r="K2052" s="15" t="str">
        <f t="shared" ca="1" si="497"/>
        <v>RadioCard_ILS_Exp2!B95</v>
      </c>
    </row>
    <row r="2053" spans="1:11" x14ac:dyDescent="0.25">
      <c r="A2053" s="3" t="str">
        <f t="shared" ca="1" si="498"/>
        <v xml:space="preserve">pins_state = 0x3133 </v>
      </c>
      <c r="G2053" s="15">
        <f t="shared" ca="1" si="488"/>
        <v>96</v>
      </c>
      <c r="H2053" s="15">
        <v>1</v>
      </c>
      <c r="I2053" s="15" t="str">
        <f t="shared" ca="1" si="489"/>
        <v>RadioCard_ILS_Exp2</v>
      </c>
      <c r="J2053" s="15" t="str">
        <f t="shared" ca="1" si="496"/>
        <v>RadioCard_ILS_Exp2!A96</v>
      </c>
      <c r="K2053" s="15" t="str">
        <f t="shared" ca="1" si="497"/>
        <v>RadioCard_ILS_Exp2!B96</v>
      </c>
    </row>
    <row r="2054" spans="1:11" x14ac:dyDescent="0.25">
      <c r="A2054" s="3" t="str">
        <f t="shared" ca="1" si="498"/>
        <v xml:space="preserve">pins_pull_up = 0x4808 </v>
      </c>
      <c r="G2054" s="15">
        <f t="shared" ca="1" si="488"/>
        <v>97</v>
      </c>
      <c r="H2054" s="15">
        <v>1</v>
      </c>
      <c r="I2054" s="15" t="str">
        <f t="shared" ca="1" si="489"/>
        <v>RadioCard_ILS_Exp2</v>
      </c>
      <c r="J2054" s="15" t="str">
        <f t="shared" ca="1" si="496"/>
        <v>RadioCard_ILS_Exp2!A97</v>
      </c>
      <c r="K2054" s="15" t="str">
        <f t="shared" ca="1" si="497"/>
        <v>RadioCard_ILS_Exp2!B97</v>
      </c>
    </row>
    <row r="2055" spans="1:11" x14ac:dyDescent="0.25">
      <c r="A2055" s="3" t="str">
        <f t="shared" ca="1" si="498"/>
        <v xml:space="preserve">#pins_int = 0x0000 </v>
      </c>
      <c r="G2055" s="15">
        <f t="shared" ca="1" si="488"/>
        <v>98</v>
      </c>
      <c r="H2055" s="15">
        <v>1</v>
      </c>
      <c r="I2055" s="15" t="str">
        <f t="shared" ca="1" si="489"/>
        <v>RadioCard_ILS_Exp2</v>
      </c>
      <c r="J2055" s="15" t="str">
        <f t="shared" ca="1" si="496"/>
        <v>RadioCard_ILS_Exp2!A98</v>
      </c>
      <c r="K2055" s="15" t="str">
        <f t="shared" ca="1" si="497"/>
        <v>RadioCard_ILS_Exp2!B98</v>
      </c>
    </row>
    <row r="2056" spans="1:11" x14ac:dyDescent="0.25">
      <c r="A2056" s="3" t="str">
        <f t="shared" ca="1" si="498"/>
        <v xml:space="preserve">#pins_def_val = 0x0000 </v>
      </c>
      <c r="G2056" s="15">
        <f t="shared" ca="1" si="488"/>
        <v>99</v>
      </c>
      <c r="H2056" s="15">
        <v>1</v>
      </c>
      <c r="I2056" s="15" t="str">
        <f t="shared" ca="1" si="489"/>
        <v>RadioCard_ILS_Exp2</v>
      </c>
      <c r="J2056" s="15" t="str">
        <f t="shared" ca="1" si="496"/>
        <v>RadioCard_ILS_Exp2!A99</v>
      </c>
      <c r="K2056" s="15" t="str">
        <f t="shared" ca="1" si="497"/>
        <v>RadioCard_ILS_Exp2!B99</v>
      </c>
    </row>
    <row r="2057" spans="1:11" x14ac:dyDescent="0.25">
      <c r="A2057" s="3" t="str">
        <f t="shared" ca="1" si="498"/>
        <v/>
      </c>
      <c r="G2057" s="15">
        <f t="shared" ref="G2057:G2120" ca="1" si="509">G2056+1</f>
        <v>100</v>
      </c>
      <c r="H2057" s="15">
        <v>1</v>
      </c>
      <c r="I2057" s="15" t="str">
        <f t="shared" ref="I2057:I2120" ca="1" si="510">I2056</f>
        <v>RadioCard_ILS_Exp2</v>
      </c>
      <c r="J2057" s="15" t="str">
        <f t="shared" ca="1" si="496"/>
        <v>RadioCard_ILS_Exp2!A100</v>
      </c>
      <c r="K2057" s="15" t="str">
        <f t="shared" ca="1" si="497"/>
        <v>RadioCard_ILS_Exp2!B100</v>
      </c>
    </row>
    <row r="2058" spans="1:11" x14ac:dyDescent="0.25">
      <c r="A2058" s="3" t="str">
        <f t="shared" ca="1" si="498"/>
        <v xml:space="preserve">#pins_int = 10 </v>
      </c>
      <c r="G2058" s="15">
        <f t="shared" ca="1" si="509"/>
        <v>101</v>
      </c>
      <c r="H2058" s="15">
        <v>1</v>
      </c>
      <c r="I2058" s="15" t="str">
        <f t="shared" ca="1" si="510"/>
        <v>RadioCard_ILS_Exp2</v>
      </c>
      <c r="J2058" s="15" t="str">
        <f t="shared" ca="1" si="496"/>
        <v>RadioCard_ILS_Exp2!A101</v>
      </c>
      <c r="K2058" s="15" t="str">
        <f t="shared" ca="1" si="497"/>
        <v>RadioCard_ILS_Exp2!B101</v>
      </c>
    </row>
    <row r="2059" spans="1:11" x14ac:dyDescent="0.25">
      <c r="A2059" s="3" t="str">
        <f t="shared" ca="1" si="498"/>
        <v/>
      </c>
      <c r="C2059" s="16"/>
      <c r="G2059" s="15">
        <f t="shared" ca="1" si="509"/>
        <v>102</v>
      </c>
      <c r="H2059" s="15">
        <v>1</v>
      </c>
      <c r="I2059" s="15" t="str">
        <f t="shared" ca="1" si="510"/>
        <v>RadioCard_ILS_Exp2</v>
      </c>
      <c r="J2059" s="15" t="str">
        <f t="shared" ca="1" si="496"/>
        <v>RadioCard_ILS_Exp2!A102</v>
      </c>
      <c r="K2059" s="15" t="str">
        <f t="shared" ca="1" si="497"/>
        <v>RadioCard_ILS_Exp2!B102</v>
      </c>
    </row>
    <row r="2060" spans="1:11" x14ac:dyDescent="0.25">
      <c r="A2060" s="3" t="str">
        <f t="shared" ca="1" si="498"/>
        <v/>
      </c>
      <c r="G2060" s="15">
        <f t="shared" ca="1" si="509"/>
        <v>103</v>
      </c>
      <c r="H2060" s="15">
        <v>1</v>
      </c>
      <c r="I2060" s="15" t="str">
        <f t="shared" ca="1" si="510"/>
        <v>RadioCard_ILS_Exp2</v>
      </c>
      <c r="J2060" s="15" t="str">
        <f t="shared" ca="1" si="496"/>
        <v>RadioCard_ILS_Exp2!A103</v>
      </c>
      <c r="K2060" s="15" t="str">
        <f t="shared" ca="1" si="497"/>
        <v>RadioCard_ILS_Exp2!B103</v>
      </c>
    </row>
    <row r="2061" spans="1:11" x14ac:dyDescent="0.25">
      <c r="A2061" s="3" t="str">
        <f t="shared" ca="1" si="498"/>
        <v/>
      </c>
      <c r="G2061" s="15">
        <f t="shared" ca="1" si="509"/>
        <v>104</v>
      </c>
      <c r="H2061" s="15">
        <v>1</v>
      </c>
      <c r="I2061" s="15" t="str">
        <f t="shared" ca="1" si="510"/>
        <v>RadioCard_ILS_Exp2</v>
      </c>
      <c r="J2061" s="15" t="str">
        <f t="shared" ca="1" si="496"/>
        <v>RadioCard_ILS_Exp2!A104</v>
      </c>
      <c r="K2061" s="15" t="str">
        <f t="shared" ca="1" si="497"/>
        <v>RadioCard_ILS_Exp2!B104</v>
      </c>
    </row>
    <row r="2062" spans="1:11" x14ac:dyDescent="0.25">
      <c r="A2062" s="3" t="str">
        <f t="shared" ca="1" si="498"/>
        <v/>
      </c>
      <c r="G2062" s="15">
        <f t="shared" ca="1" si="509"/>
        <v>105</v>
      </c>
      <c r="H2062" s="15">
        <v>1</v>
      </c>
      <c r="I2062" s="15" t="str">
        <f t="shared" ca="1" si="510"/>
        <v>RadioCard_ILS_Exp2</v>
      </c>
      <c r="J2062" s="15" t="str">
        <f t="shared" ca="1" si="496"/>
        <v>RadioCard_ILS_Exp2!A105</v>
      </c>
      <c r="K2062" s="15" t="str">
        <f t="shared" ca="1" si="497"/>
        <v>RadioCard_ILS_Exp2!B105</v>
      </c>
    </row>
    <row r="2063" spans="1:11" x14ac:dyDescent="0.25">
      <c r="A2063" s="3" t="str">
        <f t="shared" ca="1" si="498"/>
        <v/>
      </c>
      <c r="G2063" s="15">
        <f t="shared" ca="1" si="509"/>
        <v>106</v>
      </c>
      <c r="H2063" s="15">
        <v>1</v>
      </c>
      <c r="I2063" s="15" t="str">
        <f t="shared" ca="1" si="510"/>
        <v>RadioCard_ILS_Exp2</v>
      </c>
      <c r="J2063" s="15" t="str">
        <f t="shared" ca="1" si="496"/>
        <v>RadioCard_ILS_Exp2!A106</v>
      </c>
      <c r="K2063" s="15" t="str">
        <f t="shared" ca="1" si="497"/>
        <v>RadioCard_ILS_Exp2!B106</v>
      </c>
    </row>
    <row r="2064" spans="1:11" x14ac:dyDescent="0.25">
      <c r="A2064" s="3" t="str">
        <f t="shared" ca="1" si="498"/>
        <v/>
      </c>
      <c r="G2064" s="15">
        <f t="shared" ca="1" si="509"/>
        <v>107</v>
      </c>
      <c r="H2064" s="15">
        <v>1</v>
      </c>
      <c r="I2064" s="15" t="str">
        <f t="shared" ca="1" si="510"/>
        <v>RadioCard_ILS_Exp2</v>
      </c>
      <c r="J2064" s="15" t="str">
        <f t="shared" ca="1" si="496"/>
        <v>RadioCard_ILS_Exp2!A107</v>
      </c>
      <c r="K2064" s="15" t="str">
        <f t="shared" ca="1" si="497"/>
        <v>RadioCard_ILS_Exp2!B107</v>
      </c>
    </row>
    <row r="2065" spans="1:16" x14ac:dyDescent="0.25">
      <c r="A2065" s="3" t="str">
        <f t="shared" ca="1" si="498"/>
        <v/>
      </c>
      <c r="G2065" s="15">
        <f t="shared" ca="1" si="509"/>
        <v>108</v>
      </c>
      <c r="H2065" s="15">
        <v>1</v>
      </c>
      <c r="I2065" s="15" t="str">
        <f t="shared" ca="1" si="510"/>
        <v>RadioCard_ILS_Exp2</v>
      </c>
      <c r="J2065" s="15" t="str">
        <f t="shared" ca="1" si="496"/>
        <v>RadioCard_ILS_Exp2!A108</v>
      </c>
      <c r="K2065" s="15" t="str">
        <f t="shared" ca="1" si="497"/>
        <v>RadioCard_ILS_Exp2!B108</v>
      </c>
    </row>
    <row r="2066" spans="1:16" x14ac:dyDescent="0.25">
      <c r="A2066" s="3" t="str">
        <f t="shared" ca="1" si="498"/>
        <v/>
      </c>
      <c r="G2066" s="15">
        <f t="shared" ca="1" si="509"/>
        <v>109</v>
      </c>
      <c r="H2066" s="15">
        <v>1</v>
      </c>
      <c r="I2066" s="15" t="str">
        <f t="shared" ca="1" si="510"/>
        <v>RadioCard_ILS_Exp2</v>
      </c>
      <c r="J2066" s="15" t="str">
        <f t="shared" ca="1" si="496"/>
        <v>RadioCard_ILS_Exp2!A109</v>
      </c>
      <c r="K2066" s="15" t="str">
        <f t="shared" ca="1" si="497"/>
        <v>RadioCard_ILS_Exp2!B109</v>
      </c>
    </row>
    <row r="2067" spans="1:16" x14ac:dyDescent="0.25">
      <c r="A2067" s="3" t="str">
        <f t="shared" ca="1" si="498"/>
        <v/>
      </c>
      <c r="G2067" s="15">
        <f t="shared" ca="1" si="509"/>
        <v>110</v>
      </c>
      <c r="H2067" s="15">
        <v>1</v>
      </c>
      <c r="I2067" s="15" t="str">
        <f t="shared" ca="1" si="510"/>
        <v>RadioCard_ILS_Exp2</v>
      </c>
      <c r="J2067" s="15" t="str">
        <f t="shared" ca="1" si="496"/>
        <v>RadioCard_ILS_Exp2!A110</v>
      </c>
      <c r="K2067" s="15" t="str">
        <f t="shared" ca="1" si="497"/>
        <v>RadioCard_ILS_Exp2!B110</v>
      </c>
    </row>
    <row r="2068" spans="1:16" x14ac:dyDescent="0.25">
      <c r="A2068" s="3" t="str">
        <f t="shared" ca="1" si="498"/>
        <v xml:space="preserve">#I2C_Expander_11:etap 5- Karty =  </v>
      </c>
      <c r="G2068" s="15">
        <f t="shared" ref="G2068" ca="1" si="511">INDIRECT(M2068)</f>
        <v>131</v>
      </c>
      <c r="H2068" s="15">
        <v>1</v>
      </c>
      <c r="I2068" s="15" t="str">
        <f t="shared" ref="I2068" ca="1" si="512">INDIRECT(N2068)</f>
        <v>I2C_Expander_11</v>
      </c>
      <c r="J2068" s="15" t="str">
        <f t="shared" ca="1" si="496"/>
        <v>I2C_Expander_11!A131</v>
      </c>
      <c r="K2068" s="15" t="str">
        <f t="shared" ca="1" si="497"/>
        <v>I2C_Expander_11!B131</v>
      </c>
      <c r="M2068" s="15" t="str">
        <f t="shared" ref="M2068" si="513">ADDRESS(O2068,3,4,1,$R$1)</f>
        <v>konfig!C105</v>
      </c>
      <c r="N2068" s="15" t="str">
        <f t="shared" ref="N2068" si="514">ADDRESS(O2068,1,4,1,$R$1)</f>
        <v>konfig!A105</v>
      </c>
      <c r="O2068" s="15">
        <v>105</v>
      </c>
      <c r="P2068" s="15">
        <v>4</v>
      </c>
    </row>
    <row r="2069" spans="1:16" x14ac:dyDescent="0.25">
      <c r="A2069" s="3" t="str">
        <f t="shared" ca="1" si="498"/>
        <v xml:space="preserve">device = MCP23017 </v>
      </c>
      <c r="G2069" s="15">
        <f t="shared" ca="1" si="503"/>
        <v>132</v>
      </c>
      <c r="H2069" s="15">
        <v>1</v>
      </c>
      <c r="I2069" s="15" t="str">
        <f t="shared" ca="1" si="504"/>
        <v>I2C_Expander_11</v>
      </c>
      <c r="J2069" s="15" t="str">
        <f t="shared" ca="1" si="496"/>
        <v>I2C_Expander_11!A132</v>
      </c>
      <c r="K2069" s="15" t="str">
        <f t="shared" ca="1" si="497"/>
        <v>I2C_Expander_11!B132</v>
      </c>
    </row>
    <row r="2070" spans="1:16" x14ac:dyDescent="0.25">
      <c r="A2070" s="3" t="str">
        <f t="shared" ca="1" si="498"/>
        <v xml:space="preserve">i2c_addr = 0x21 </v>
      </c>
      <c r="G2070" s="15">
        <f t="shared" ca="1" si="509"/>
        <v>133</v>
      </c>
      <c r="H2070" s="15">
        <v>1</v>
      </c>
      <c r="I2070" s="15" t="str">
        <f t="shared" ca="1" si="510"/>
        <v>I2C_Expander_11</v>
      </c>
      <c r="J2070" s="15" t="str">
        <f t="shared" ca="1" si="496"/>
        <v>I2C_Expander_11!A133</v>
      </c>
      <c r="K2070" s="15" t="str">
        <f t="shared" ca="1" si="497"/>
        <v>I2C_Expander_11!B133</v>
      </c>
    </row>
    <row r="2071" spans="1:16" x14ac:dyDescent="0.25">
      <c r="A2071" s="3" t="str">
        <f t="shared" ca="1" si="498"/>
        <v xml:space="preserve">i2c_num = /dev/i2c-1 </v>
      </c>
      <c r="C2071" s="16"/>
      <c r="G2071" s="15">
        <f t="shared" ca="1" si="509"/>
        <v>134</v>
      </c>
      <c r="H2071" s="15">
        <v>1</v>
      </c>
      <c r="I2071" s="15" t="str">
        <f t="shared" ca="1" si="510"/>
        <v>I2C_Expander_11</v>
      </c>
      <c r="J2071" s="15" t="str">
        <f t="shared" ca="1" si="496"/>
        <v>I2C_Expander_11!A134</v>
      </c>
      <c r="K2071" s="15" t="str">
        <f t="shared" ca="1" si="497"/>
        <v>I2C_Expander_11!B134</v>
      </c>
    </row>
    <row r="2072" spans="1:16" x14ac:dyDescent="0.25">
      <c r="A2072" s="3" t="str">
        <f t="shared" ca="1" si="498"/>
        <v xml:space="preserve">pins_mode = 0x7450 </v>
      </c>
      <c r="G2072" s="15">
        <f t="shared" ca="1" si="509"/>
        <v>135</v>
      </c>
      <c r="H2072" s="15">
        <v>1</v>
      </c>
      <c r="I2072" s="15" t="str">
        <f t="shared" ca="1" si="510"/>
        <v>I2C_Expander_11</v>
      </c>
      <c r="J2072" s="15" t="str">
        <f t="shared" ca="1" si="496"/>
        <v>I2C_Expander_11!A135</v>
      </c>
      <c r="K2072" s="15" t="str">
        <f t="shared" ca="1" si="497"/>
        <v>I2C_Expander_11!B135</v>
      </c>
    </row>
    <row r="2073" spans="1:16" x14ac:dyDescent="0.25">
      <c r="A2073" s="3" t="str">
        <f t="shared" ca="1" si="498"/>
        <v xml:space="preserve">pins_state = 0x0BA7 </v>
      </c>
      <c r="G2073" s="15">
        <f t="shared" ca="1" si="509"/>
        <v>136</v>
      </c>
      <c r="H2073" s="15">
        <v>1</v>
      </c>
      <c r="I2073" s="15" t="str">
        <f t="shared" ca="1" si="510"/>
        <v>I2C_Expander_11</v>
      </c>
      <c r="J2073" s="15" t="str">
        <f t="shared" ca="1" si="496"/>
        <v>I2C_Expander_11!A136</v>
      </c>
      <c r="K2073" s="15" t="str">
        <f t="shared" ca="1" si="497"/>
        <v>I2C_Expander_11!B136</v>
      </c>
    </row>
    <row r="2074" spans="1:16" x14ac:dyDescent="0.25">
      <c r="A2074" s="3" t="str">
        <f t="shared" ca="1" si="498"/>
        <v xml:space="preserve">pins_pull_up = 0x0000 </v>
      </c>
      <c r="G2074" s="15">
        <f t="shared" ca="1" si="509"/>
        <v>137</v>
      </c>
      <c r="H2074" s="15">
        <v>1</v>
      </c>
      <c r="I2074" s="15" t="str">
        <f t="shared" ca="1" si="510"/>
        <v>I2C_Expander_11</v>
      </c>
      <c r="J2074" s="15" t="str">
        <f t="shared" ca="1" si="496"/>
        <v>I2C_Expander_11!A137</v>
      </c>
      <c r="K2074" s="15" t="str">
        <f t="shared" ca="1" si="497"/>
        <v>I2C_Expander_11!B137</v>
      </c>
    </row>
    <row r="2075" spans="1:16" x14ac:dyDescent="0.25">
      <c r="A2075" s="3" t="str">
        <f t="shared" ca="1" si="498"/>
        <v xml:space="preserve">#pins_int = 0x0000 </v>
      </c>
      <c r="G2075" s="15">
        <f t="shared" ca="1" si="509"/>
        <v>138</v>
      </c>
      <c r="H2075" s="15">
        <v>1</v>
      </c>
      <c r="I2075" s="15" t="str">
        <f t="shared" ca="1" si="510"/>
        <v>I2C_Expander_11</v>
      </c>
      <c r="J2075" s="15" t="str">
        <f t="shared" ca="1" si="496"/>
        <v>I2C_Expander_11!A138</v>
      </c>
      <c r="K2075" s="15" t="str">
        <f t="shared" ca="1" si="497"/>
        <v>I2C_Expander_11!B138</v>
      </c>
    </row>
    <row r="2076" spans="1:16" x14ac:dyDescent="0.25">
      <c r="A2076" s="3" t="str">
        <f t="shared" ca="1" si="498"/>
        <v xml:space="preserve">#pins_def_val = 0x0000 </v>
      </c>
      <c r="G2076" s="15">
        <f t="shared" ca="1" si="509"/>
        <v>139</v>
      </c>
      <c r="H2076" s="15">
        <v>1</v>
      </c>
      <c r="I2076" s="15" t="str">
        <f t="shared" ca="1" si="510"/>
        <v>I2C_Expander_11</v>
      </c>
      <c r="J2076" s="15" t="str">
        <f t="shared" ca="1" si="496"/>
        <v>I2C_Expander_11!A139</v>
      </c>
      <c r="K2076" s="15" t="str">
        <f t="shared" ca="1" si="497"/>
        <v>I2C_Expander_11!B139</v>
      </c>
    </row>
    <row r="2077" spans="1:16" x14ac:dyDescent="0.25">
      <c r="A2077" s="3" t="str">
        <f t="shared" ca="1" si="498"/>
        <v/>
      </c>
      <c r="G2077" s="15">
        <f t="shared" ca="1" si="509"/>
        <v>140</v>
      </c>
      <c r="H2077" s="15">
        <v>1</v>
      </c>
      <c r="I2077" s="15" t="str">
        <f t="shared" ca="1" si="510"/>
        <v>I2C_Expander_11</v>
      </c>
      <c r="J2077" s="15" t="str">
        <f t="shared" ca="1" si="496"/>
        <v>I2C_Expander_11!A140</v>
      </c>
      <c r="K2077" s="15" t="str">
        <f t="shared" ca="1" si="497"/>
        <v>I2C_Expander_11!B140</v>
      </c>
    </row>
    <row r="2078" spans="1:16" x14ac:dyDescent="0.25">
      <c r="A2078" s="3" t="str">
        <f t="shared" ca="1" si="498"/>
        <v xml:space="preserve">#pins_int = 10 </v>
      </c>
      <c r="G2078" s="15">
        <f t="shared" ca="1" si="509"/>
        <v>141</v>
      </c>
      <c r="H2078" s="15">
        <v>1</v>
      </c>
      <c r="I2078" s="15" t="str">
        <f t="shared" ca="1" si="510"/>
        <v>I2C_Expander_11</v>
      </c>
      <c r="J2078" s="15" t="str">
        <f t="shared" ca="1" si="496"/>
        <v>I2C_Expander_11!A141</v>
      </c>
      <c r="K2078" s="15" t="str">
        <f t="shared" ca="1" si="497"/>
        <v>I2C_Expander_11!B141</v>
      </c>
    </row>
    <row r="2079" spans="1:16" x14ac:dyDescent="0.25">
      <c r="A2079" s="3" t="str">
        <f t="shared" ca="1" si="498"/>
        <v/>
      </c>
      <c r="C2079" s="16"/>
      <c r="G2079" s="15">
        <f t="shared" ca="1" si="509"/>
        <v>142</v>
      </c>
      <c r="H2079" s="15">
        <v>1</v>
      </c>
      <c r="I2079" s="15" t="str">
        <f t="shared" ca="1" si="510"/>
        <v>I2C_Expander_11</v>
      </c>
      <c r="J2079" s="15" t="str">
        <f t="shared" ca="1" si="496"/>
        <v>I2C_Expander_11!A142</v>
      </c>
      <c r="K2079" s="15" t="str">
        <f t="shared" ca="1" si="497"/>
        <v>I2C_Expander_11!B142</v>
      </c>
    </row>
    <row r="2080" spans="1:16" x14ac:dyDescent="0.25">
      <c r="A2080" s="3" t="str">
        <f t="shared" ca="1" si="498"/>
        <v/>
      </c>
      <c r="G2080" s="15">
        <f t="shared" ca="1" si="509"/>
        <v>143</v>
      </c>
      <c r="H2080" s="15">
        <v>1</v>
      </c>
      <c r="I2080" s="15" t="str">
        <f t="shared" ca="1" si="510"/>
        <v>I2C_Expander_11</v>
      </c>
      <c r="J2080" s="15" t="str">
        <f t="shared" ca="1" si="496"/>
        <v>I2C_Expander_11!A143</v>
      </c>
      <c r="K2080" s="15" t="str">
        <f t="shared" ca="1" si="497"/>
        <v>I2C_Expander_11!B143</v>
      </c>
    </row>
    <row r="2081" spans="1:16" x14ac:dyDescent="0.25">
      <c r="A2081" s="3" t="str">
        <f t="shared" ca="1" si="498"/>
        <v/>
      </c>
      <c r="G2081" s="15">
        <f t="shared" ca="1" si="509"/>
        <v>144</v>
      </c>
      <c r="H2081" s="15">
        <v>1</v>
      </c>
      <c r="I2081" s="15" t="str">
        <f t="shared" ca="1" si="510"/>
        <v>I2C_Expander_11</v>
      </c>
      <c r="J2081" s="15" t="str">
        <f t="shared" ca="1" si="496"/>
        <v>I2C_Expander_11!A144</v>
      </c>
      <c r="K2081" s="15" t="str">
        <f t="shared" ca="1" si="497"/>
        <v>I2C_Expander_11!B144</v>
      </c>
    </row>
    <row r="2082" spans="1:16" x14ac:dyDescent="0.25">
      <c r="A2082" s="3" t="str">
        <f t="shared" ca="1" si="498"/>
        <v/>
      </c>
      <c r="G2082" s="15">
        <f t="shared" ca="1" si="509"/>
        <v>145</v>
      </c>
      <c r="H2082" s="15">
        <v>1</v>
      </c>
      <c r="I2082" s="15" t="str">
        <f t="shared" ca="1" si="510"/>
        <v>I2C_Expander_11</v>
      </c>
      <c r="J2082" s="15" t="str">
        <f t="shared" ca="1" si="496"/>
        <v>I2C_Expander_11!A145</v>
      </c>
      <c r="K2082" s="15" t="str">
        <f t="shared" ca="1" si="497"/>
        <v>I2C_Expander_11!B145</v>
      </c>
    </row>
    <row r="2083" spans="1:16" x14ac:dyDescent="0.25">
      <c r="A2083" s="3" t="str">
        <f t="shared" ca="1" si="498"/>
        <v/>
      </c>
      <c r="G2083" s="15">
        <f t="shared" ca="1" si="509"/>
        <v>146</v>
      </c>
      <c r="H2083" s="15">
        <v>1</v>
      </c>
      <c r="I2083" s="15" t="str">
        <f t="shared" ca="1" si="510"/>
        <v>I2C_Expander_11</v>
      </c>
      <c r="J2083" s="15" t="str">
        <f t="shared" ca="1" si="496"/>
        <v>I2C_Expander_11!A146</v>
      </c>
      <c r="K2083" s="15" t="str">
        <f t="shared" ca="1" si="497"/>
        <v>I2C_Expander_11!B146</v>
      </c>
    </row>
    <row r="2084" spans="1:16" x14ac:dyDescent="0.25">
      <c r="A2084" s="3" t="str">
        <f t="shared" ca="1" si="498"/>
        <v/>
      </c>
      <c r="G2084" s="15">
        <f t="shared" ca="1" si="509"/>
        <v>147</v>
      </c>
      <c r="H2084" s="15">
        <v>1</v>
      </c>
      <c r="I2084" s="15" t="str">
        <f t="shared" ca="1" si="510"/>
        <v>I2C_Expander_11</v>
      </c>
      <c r="J2084" s="15" t="str">
        <f t="shared" ref="J2084:J2147" ca="1" si="515">ADDRESS(G2084,H2084,4,1,I2084)</f>
        <v>I2C_Expander_11!A147</v>
      </c>
      <c r="K2084" s="15" t="str">
        <f t="shared" ref="K2084:K2147" ca="1" si="516">ADDRESS(G2084,H2084+1,4,1,I2084)</f>
        <v>I2C_Expander_11!B147</v>
      </c>
    </row>
    <row r="2085" spans="1:16" x14ac:dyDescent="0.25">
      <c r="A2085" s="3" t="str">
        <f t="shared" ca="1" si="498"/>
        <v/>
      </c>
      <c r="G2085" s="15">
        <f t="shared" ca="1" si="509"/>
        <v>148</v>
      </c>
      <c r="H2085" s="15">
        <v>1</v>
      </c>
      <c r="I2085" s="15" t="str">
        <f t="shared" ca="1" si="510"/>
        <v>I2C_Expander_11</v>
      </c>
      <c r="J2085" s="15" t="str">
        <f t="shared" ca="1" si="515"/>
        <v>I2C_Expander_11!A148</v>
      </c>
      <c r="K2085" s="15" t="str">
        <f t="shared" ca="1" si="516"/>
        <v>I2C_Expander_11!B148</v>
      </c>
    </row>
    <row r="2086" spans="1:16" x14ac:dyDescent="0.25">
      <c r="A2086" s="3" t="str">
        <f t="shared" ca="1" si="498"/>
        <v/>
      </c>
      <c r="G2086" s="15">
        <f t="shared" ca="1" si="509"/>
        <v>149</v>
      </c>
      <c r="H2086" s="15">
        <v>1</v>
      </c>
      <c r="I2086" s="15" t="str">
        <f t="shared" ca="1" si="510"/>
        <v>I2C_Expander_11</v>
      </c>
      <c r="J2086" s="15" t="str">
        <f t="shared" ca="1" si="515"/>
        <v>I2C_Expander_11!A149</v>
      </c>
      <c r="K2086" s="15" t="str">
        <f t="shared" ca="1" si="516"/>
        <v>I2C_Expander_11!B149</v>
      </c>
    </row>
    <row r="2087" spans="1:16" x14ac:dyDescent="0.25">
      <c r="A2087" s="3" t="str">
        <f t="shared" ca="1" si="498"/>
        <v/>
      </c>
      <c r="G2087" s="15">
        <f t="shared" ca="1" si="509"/>
        <v>150</v>
      </c>
      <c r="H2087" s="15">
        <v>1</v>
      </c>
      <c r="I2087" s="15" t="str">
        <f t="shared" ca="1" si="510"/>
        <v>I2C_Expander_11</v>
      </c>
      <c r="J2087" s="15" t="str">
        <f t="shared" ca="1" si="515"/>
        <v>I2C_Expander_11!A150</v>
      </c>
      <c r="K2087" s="15" t="str">
        <f t="shared" ca="1" si="516"/>
        <v>I2C_Expander_11!B150</v>
      </c>
    </row>
    <row r="2088" spans="1:16" x14ac:dyDescent="0.25">
      <c r="A2088" s="3" t="str">
        <f t="shared" ca="1" si="498"/>
        <v/>
      </c>
      <c r="G2088" s="15">
        <f t="shared" ref="G2088" ca="1" si="517">INDIRECT(M2088)</f>
        <v>31</v>
      </c>
      <c r="H2088" s="15">
        <v>1</v>
      </c>
      <c r="I2088" s="15">
        <f t="shared" ref="I2088" ca="1" si="518">INDIRECT(N2088)</f>
        <v>0</v>
      </c>
      <c r="J2088" s="15" t="str">
        <f t="shared" ca="1" si="515"/>
        <v>'0'!A31</v>
      </c>
      <c r="K2088" s="15" t="str">
        <f t="shared" ca="1" si="516"/>
        <v>'0'!B31</v>
      </c>
      <c r="M2088" s="15" t="str">
        <f t="shared" ref="M2088" si="519">ADDRESS(O2088,3,4,1,$R$1)</f>
        <v>konfig!C106</v>
      </c>
      <c r="N2088" s="15" t="str">
        <f t="shared" ref="N2088" si="520">ADDRESS(O2088,1,4,1,$R$1)</f>
        <v>konfig!A106</v>
      </c>
      <c r="O2088" s="15">
        <v>106</v>
      </c>
      <c r="P2088" s="15">
        <v>4</v>
      </c>
    </row>
    <row r="2089" spans="1:16" x14ac:dyDescent="0.25">
      <c r="A2089" s="3" t="str">
        <f t="shared" ca="1" si="498"/>
        <v/>
      </c>
      <c r="G2089" s="15">
        <f t="shared" ref="G2089:G2132" ca="1" si="521">G2088+1</f>
        <v>32</v>
      </c>
      <c r="H2089" s="15">
        <v>1</v>
      </c>
      <c r="I2089" s="15">
        <f t="shared" ref="I2089:I2132" ca="1" si="522">I2088</f>
        <v>0</v>
      </c>
      <c r="J2089" s="15" t="str">
        <f t="shared" ca="1" si="515"/>
        <v>'0'!A32</v>
      </c>
      <c r="K2089" s="15" t="str">
        <f t="shared" ca="1" si="516"/>
        <v>'0'!B32</v>
      </c>
    </row>
    <row r="2090" spans="1:16" x14ac:dyDescent="0.25">
      <c r="A2090" s="3" t="str">
        <f t="shared" ca="1" si="498"/>
        <v/>
      </c>
      <c r="G2090" s="15">
        <f t="shared" ca="1" si="521"/>
        <v>33</v>
      </c>
      <c r="H2090" s="15">
        <v>1</v>
      </c>
      <c r="I2090" s="15">
        <f t="shared" ca="1" si="522"/>
        <v>0</v>
      </c>
      <c r="J2090" s="15" t="str">
        <f t="shared" ca="1" si="515"/>
        <v>'0'!A33</v>
      </c>
      <c r="K2090" s="15" t="str">
        <f t="shared" ca="1" si="516"/>
        <v>'0'!B33</v>
      </c>
    </row>
    <row r="2091" spans="1:16" x14ac:dyDescent="0.25">
      <c r="A2091" s="3" t="str">
        <f t="shared" ca="1" si="498"/>
        <v/>
      </c>
      <c r="C2091" s="16"/>
      <c r="G2091" s="15">
        <f t="shared" ca="1" si="521"/>
        <v>34</v>
      </c>
      <c r="H2091" s="15">
        <v>1</v>
      </c>
      <c r="I2091" s="15">
        <f t="shared" ca="1" si="522"/>
        <v>0</v>
      </c>
      <c r="J2091" s="15" t="str">
        <f t="shared" ca="1" si="515"/>
        <v>'0'!A34</v>
      </c>
      <c r="K2091" s="15" t="str">
        <f t="shared" ca="1" si="516"/>
        <v>'0'!B34</v>
      </c>
    </row>
    <row r="2092" spans="1:16" x14ac:dyDescent="0.25">
      <c r="A2092" s="3" t="str">
        <f t="shared" ref="A2092:A2155" ca="1" si="523">IFERROR(IF(INDIRECT(J2092)&lt;&gt;"",CONCATENATE(INDIRECT(J2092)," = ",INDIRECT(K2092)," "),""),"")</f>
        <v/>
      </c>
      <c r="G2092" s="15">
        <f t="shared" ca="1" si="521"/>
        <v>35</v>
      </c>
      <c r="H2092" s="15">
        <v>1</v>
      </c>
      <c r="I2092" s="15">
        <f t="shared" ca="1" si="522"/>
        <v>0</v>
      </c>
      <c r="J2092" s="15" t="str">
        <f t="shared" ca="1" si="515"/>
        <v>'0'!A35</v>
      </c>
      <c r="K2092" s="15" t="str">
        <f t="shared" ca="1" si="516"/>
        <v>'0'!B35</v>
      </c>
    </row>
    <row r="2093" spans="1:16" x14ac:dyDescent="0.25">
      <c r="A2093" s="3" t="str">
        <f t="shared" ca="1" si="523"/>
        <v/>
      </c>
      <c r="G2093" s="15">
        <f t="shared" ca="1" si="509"/>
        <v>36</v>
      </c>
      <c r="H2093" s="15">
        <v>1</v>
      </c>
      <c r="I2093" s="15">
        <f t="shared" ca="1" si="510"/>
        <v>0</v>
      </c>
      <c r="J2093" s="15" t="str">
        <f t="shared" ca="1" si="515"/>
        <v>'0'!A36</v>
      </c>
      <c r="K2093" s="15" t="str">
        <f t="shared" ca="1" si="516"/>
        <v>'0'!B36</v>
      </c>
    </row>
    <row r="2094" spans="1:16" x14ac:dyDescent="0.25">
      <c r="A2094" s="3" t="str">
        <f t="shared" ca="1" si="523"/>
        <v/>
      </c>
      <c r="G2094" s="15">
        <f t="shared" ca="1" si="509"/>
        <v>37</v>
      </c>
      <c r="H2094" s="15">
        <v>1</v>
      </c>
      <c r="I2094" s="15">
        <f t="shared" ca="1" si="510"/>
        <v>0</v>
      </c>
      <c r="J2094" s="15" t="str">
        <f t="shared" ca="1" si="515"/>
        <v>'0'!A37</v>
      </c>
      <c r="K2094" s="15" t="str">
        <f t="shared" ca="1" si="516"/>
        <v>'0'!B37</v>
      </c>
    </row>
    <row r="2095" spans="1:16" x14ac:dyDescent="0.25">
      <c r="A2095" s="3" t="str">
        <f t="shared" ca="1" si="523"/>
        <v/>
      </c>
      <c r="G2095" s="15">
        <f t="shared" ca="1" si="509"/>
        <v>38</v>
      </c>
      <c r="H2095" s="15">
        <v>1</v>
      </c>
      <c r="I2095" s="15">
        <f t="shared" ca="1" si="510"/>
        <v>0</v>
      </c>
      <c r="J2095" s="15" t="str">
        <f t="shared" ca="1" si="515"/>
        <v>'0'!A38</v>
      </c>
      <c r="K2095" s="15" t="str">
        <f t="shared" ca="1" si="516"/>
        <v>'0'!B38</v>
      </c>
    </row>
    <row r="2096" spans="1:16" x14ac:dyDescent="0.25">
      <c r="A2096" s="3" t="str">
        <f t="shared" ca="1" si="523"/>
        <v/>
      </c>
      <c r="G2096" s="15">
        <f t="shared" ca="1" si="509"/>
        <v>39</v>
      </c>
      <c r="H2096" s="15">
        <v>1</v>
      </c>
      <c r="I2096" s="15">
        <f t="shared" ca="1" si="510"/>
        <v>0</v>
      </c>
      <c r="J2096" s="15" t="str">
        <f t="shared" ca="1" si="515"/>
        <v>'0'!A39</v>
      </c>
      <c r="K2096" s="15" t="str">
        <f t="shared" ca="1" si="516"/>
        <v>'0'!B39</v>
      </c>
    </row>
    <row r="2097" spans="1:16" x14ac:dyDescent="0.25">
      <c r="A2097" s="3" t="str">
        <f t="shared" ca="1" si="523"/>
        <v/>
      </c>
      <c r="G2097" s="15">
        <f t="shared" ca="1" si="509"/>
        <v>40</v>
      </c>
      <c r="H2097" s="15">
        <v>1</v>
      </c>
      <c r="I2097" s="15">
        <f t="shared" ca="1" si="510"/>
        <v>0</v>
      </c>
      <c r="J2097" s="15" t="str">
        <f t="shared" ca="1" si="515"/>
        <v>'0'!A40</v>
      </c>
      <c r="K2097" s="15" t="str">
        <f t="shared" ca="1" si="516"/>
        <v>'0'!B40</v>
      </c>
    </row>
    <row r="2098" spans="1:16" x14ac:dyDescent="0.25">
      <c r="A2098" s="3" t="str">
        <f t="shared" ca="1" si="523"/>
        <v/>
      </c>
      <c r="G2098" s="15">
        <f t="shared" ca="1" si="509"/>
        <v>41</v>
      </c>
      <c r="H2098" s="15">
        <v>1</v>
      </c>
      <c r="I2098" s="15">
        <f t="shared" ca="1" si="510"/>
        <v>0</v>
      </c>
      <c r="J2098" s="15" t="str">
        <f t="shared" ca="1" si="515"/>
        <v>'0'!A41</v>
      </c>
      <c r="K2098" s="15" t="str">
        <f t="shared" ca="1" si="516"/>
        <v>'0'!B41</v>
      </c>
    </row>
    <row r="2099" spans="1:16" x14ac:dyDescent="0.25">
      <c r="A2099" s="3" t="str">
        <f t="shared" ca="1" si="523"/>
        <v/>
      </c>
      <c r="C2099" s="16"/>
      <c r="G2099" s="15">
        <f t="shared" ca="1" si="509"/>
        <v>42</v>
      </c>
      <c r="H2099" s="15">
        <v>1</v>
      </c>
      <c r="I2099" s="15">
        <f t="shared" ca="1" si="510"/>
        <v>0</v>
      </c>
      <c r="J2099" s="15" t="str">
        <f t="shared" ca="1" si="515"/>
        <v>'0'!A42</v>
      </c>
      <c r="K2099" s="15" t="str">
        <f t="shared" ca="1" si="516"/>
        <v>'0'!B42</v>
      </c>
    </row>
    <row r="2100" spans="1:16" x14ac:dyDescent="0.25">
      <c r="A2100" s="3" t="str">
        <f t="shared" ca="1" si="523"/>
        <v/>
      </c>
      <c r="G2100" s="15">
        <f t="shared" ca="1" si="509"/>
        <v>43</v>
      </c>
      <c r="H2100" s="15">
        <v>1</v>
      </c>
      <c r="I2100" s="15">
        <f t="shared" ca="1" si="510"/>
        <v>0</v>
      </c>
      <c r="J2100" s="15" t="str">
        <f t="shared" ca="1" si="515"/>
        <v>'0'!A43</v>
      </c>
      <c r="K2100" s="15" t="str">
        <f t="shared" ca="1" si="516"/>
        <v>'0'!B43</v>
      </c>
    </row>
    <row r="2101" spans="1:16" x14ac:dyDescent="0.25">
      <c r="A2101" s="3" t="str">
        <f t="shared" ca="1" si="523"/>
        <v/>
      </c>
      <c r="G2101" s="15">
        <f t="shared" ca="1" si="509"/>
        <v>44</v>
      </c>
      <c r="H2101" s="15">
        <v>1</v>
      </c>
      <c r="I2101" s="15">
        <f t="shared" ca="1" si="510"/>
        <v>0</v>
      </c>
      <c r="J2101" s="15" t="str">
        <f t="shared" ca="1" si="515"/>
        <v>'0'!A44</v>
      </c>
      <c r="K2101" s="15" t="str">
        <f t="shared" ca="1" si="516"/>
        <v>'0'!B44</v>
      </c>
    </row>
    <row r="2102" spans="1:16" x14ac:dyDescent="0.25">
      <c r="A2102" s="3" t="str">
        <f t="shared" ca="1" si="523"/>
        <v/>
      </c>
      <c r="G2102" s="15">
        <f t="shared" ca="1" si="509"/>
        <v>45</v>
      </c>
      <c r="H2102" s="15">
        <v>1</v>
      </c>
      <c r="I2102" s="15">
        <f t="shared" ca="1" si="510"/>
        <v>0</v>
      </c>
      <c r="J2102" s="15" t="str">
        <f t="shared" ca="1" si="515"/>
        <v>'0'!A45</v>
      </c>
      <c r="K2102" s="15" t="str">
        <f t="shared" ca="1" si="516"/>
        <v>'0'!B45</v>
      </c>
    </row>
    <row r="2103" spans="1:16" x14ac:dyDescent="0.25">
      <c r="A2103" s="3" t="str">
        <f t="shared" ca="1" si="523"/>
        <v/>
      </c>
      <c r="G2103" s="15">
        <f t="shared" ca="1" si="509"/>
        <v>46</v>
      </c>
      <c r="H2103" s="15">
        <v>1</v>
      </c>
      <c r="I2103" s="15">
        <f t="shared" ca="1" si="510"/>
        <v>0</v>
      </c>
      <c r="J2103" s="15" t="str">
        <f t="shared" ca="1" si="515"/>
        <v>'0'!A46</v>
      </c>
      <c r="K2103" s="15" t="str">
        <f t="shared" ca="1" si="516"/>
        <v>'0'!B46</v>
      </c>
    </row>
    <row r="2104" spans="1:16" x14ac:dyDescent="0.25">
      <c r="A2104" s="3" t="str">
        <f t="shared" ca="1" si="523"/>
        <v/>
      </c>
      <c r="G2104" s="15">
        <f t="shared" ca="1" si="509"/>
        <v>47</v>
      </c>
      <c r="H2104" s="15">
        <v>1</v>
      </c>
      <c r="I2104" s="15">
        <f t="shared" ca="1" si="510"/>
        <v>0</v>
      </c>
      <c r="J2104" s="15" t="str">
        <f t="shared" ca="1" si="515"/>
        <v>'0'!A47</v>
      </c>
      <c r="K2104" s="15" t="str">
        <f t="shared" ca="1" si="516"/>
        <v>'0'!B47</v>
      </c>
    </row>
    <row r="2105" spans="1:16" x14ac:dyDescent="0.25">
      <c r="A2105" s="3" t="str">
        <f t="shared" ca="1" si="523"/>
        <v/>
      </c>
      <c r="G2105" s="15">
        <f t="shared" ca="1" si="509"/>
        <v>48</v>
      </c>
      <c r="H2105" s="15">
        <v>1</v>
      </c>
      <c r="I2105" s="15">
        <f t="shared" ca="1" si="510"/>
        <v>0</v>
      </c>
      <c r="J2105" s="15" t="str">
        <f t="shared" ca="1" si="515"/>
        <v>'0'!A48</v>
      </c>
      <c r="K2105" s="15" t="str">
        <f t="shared" ca="1" si="516"/>
        <v>'0'!B48</v>
      </c>
    </row>
    <row r="2106" spans="1:16" x14ac:dyDescent="0.25">
      <c r="A2106" s="3" t="str">
        <f t="shared" ca="1" si="523"/>
        <v/>
      </c>
      <c r="G2106" s="15">
        <f t="shared" ca="1" si="509"/>
        <v>49</v>
      </c>
      <c r="H2106" s="15">
        <v>1</v>
      </c>
      <c r="I2106" s="15">
        <f t="shared" ca="1" si="510"/>
        <v>0</v>
      </c>
      <c r="J2106" s="15" t="str">
        <f t="shared" ca="1" si="515"/>
        <v>'0'!A49</v>
      </c>
      <c r="K2106" s="15" t="str">
        <f t="shared" ca="1" si="516"/>
        <v>'0'!B49</v>
      </c>
    </row>
    <row r="2107" spans="1:16" x14ac:dyDescent="0.25">
      <c r="A2107" s="3" t="str">
        <f t="shared" ca="1" si="523"/>
        <v/>
      </c>
      <c r="G2107" s="15">
        <f t="shared" ca="1" si="509"/>
        <v>50</v>
      </c>
      <c r="H2107" s="15">
        <v>1</v>
      </c>
      <c r="I2107" s="15">
        <f t="shared" ca="1" si="510"/>
        <v>0</v>
      </c>
      <c r="J2107" s="15" t="str">
        <f t="shared" ca="1" si="515"/>
        <v>'0'!A50</v>
      </c>
      <c r="K2107" s="15" t="str">
        <f t="shared" ca="1" si="516"/>
        <v>'0'!B50</v>
      </c>
    </row>
    <row r="2108" spans="1:16" x14ac:dyDescent="0.25">
      <c r="A2108" s="3" t="str">
        <f t="shared" ca="1" si="523"/>
        <v/>
      </c>
      <c r="G2108" s="15">
        <f t="shared" ref="G2108" ca="1" si="524">INDIRECT(M2108)</f>
        <v>31</v>
      </c>
      <c r="H2108" s="15">
        <v>1</v>
      </c>
      <c r="I2108" s="15" t="str">
        <f t="shared" ref="I2108" ca="1" si="525">INDIRECT(N2108)</f>
        <v>karta 2 TETRA</v>
      </c>
      <c r="J2108" s="15" t="str">
        <f t="shared" ca="1" si="515"/>
        <v>'karta 2 TETRA'!A31</v>
      </c>
      <c r="K2108" s="15" t="str">
        <f t="shared" ca="1" si="516"/>
        <v>'karta 2 TETRA'!B31</v>
      </c>
      <c r="M2108" s="15" t="str">
        <f t="shared" ref="M2108" si="526">ADDRESS(O2108,3,4,1,$R$1)</f>
        <v>konfig!C107</v>
      </c>
      <c r="N2108" s="15" t="str">
        <f t="shared" ref="N2108" si="527">ADDRESS(O2108,1,4,1,$R$1)</f>
        <v>konfig!A107</v>
      </c>
      <c r="O2108" s="15">
        <v>107</v>
      </c>
      <c r="P2108" s="15">
        <v>4</v>
      </c>
    </row>
    <row r="2109" spans="1:16" x14ac:dyDescent="0.25">
      <c r="A2109" s="3" t="str">
        <f t="shared" ca="1" si="523"/>
        <v/>
      </c>
      <c r="G2109" s="15">
        <f t="shared" ref="G2109:G2149" ca="1" si="528">G2108+1</f>
        <v>32</v>
      </c>
      <c r="H2109" s="15">
        <v>1</v>
      </c>
      <c r="I2109" s="15" t="str">
        <f t="shared" ref="I2109:I2149" ca="1" si="529">I2108</f>
        <v>karta 2 TETRA</v>
      </c>
      <c r="J2109" s="15" t="str">
        <f t="shared" ca="1" si="515"/>
        <v>'karta 2 TETRA'!A32</v>
      </c>
      <c r="K2109" s="15" t="str">
        <f t="shared" ca="1" si="516"/>
        <v>'karta 2 TETRA'!B32</v>
      </c>
    </row>
    <row r="2110" spans="1:16" x14ac:dyDescent="0.25">
      <c r="A2110" s="3" t="str">
        <f t="shared" ca="1" si="523"/>
        <v/>
      </c>
      <c r="G2110" s="15">
        <f t="shared" ca="1" si="509"/>
        <v>33</v>
      </c>
      <c r="H2110" s="15">
        <v>1</v>
      </c>
      <c r="I2110" s="15" t="str">
        <f t="shared" ca="1" si="510"/>
        <v>karta 2 TETRA</v>
      </c>
      <c r="J2110" s="15" t="str">
        <f t="shared" ca="1" si="515"/>
        <v>'karta 2 TETRA'!A33</v>
      </c>
      <c r="K2110" s="15" t="str">
        <f t="shared" ca="1" si="516"/>
        <v>'karta 2 TETRA'!B33</v>
      </c>
    </row>
    <row r="2111" spans="1:16" x14ac:dyDescent="0.25">
      <c r="A2111" s="3" t="str">
        <f t="shared" ca="1" si="523"/>
        <v/>
      </c>
      <c r="C2111" s="16"/>
      <c r="G2111" s="15">
        <f t="shared" ca="1" si="509"/>
        <v>34</v>
      </c>
      <c r="H2111" s="15">
        <v>1</v>
      </c>
      <c r="I2111" s="15" t="str">
        <f t="shared" ca="1" si="510"/>
        <v>karta 2 TETRA</v>
      </c>
      <c r="J2111" s="15" t="str">
        <f t="shared" ca="1" si="515"/>
        <v>'karta 2 TETRA'!A34</v>
      </c>
      <c r="K2111" s="15" t="str">
        <f t="shared" ca="1" si="516"/>
        <v>'karta 2 TETRA'!B34</v>
      </c>
    </row>
    <row r="2112" spans="1:16" x14ac:dyDescent="0.25">
      <c r="A2112" s="3" t="str">
        <f t="shared" ca="1" si="523"/>
        <v/>
      </c>
      <c r="G2112" s="15">
        <f t="shared" ca="1" si="509"/>
        <v>35</v>
      </c>
      <c r="H2112" s="15">
        <v>1</v>
      </c>
      <c r="I2112" s="15" t="str">
        <f t="shared" ca="1" si="510"/>
        <v>karta 2 TETRA</v>
      </c>
      <c r="J2112" s="15" t="str">
        <f t="shared" ca="1" si="515"/>
        <v>'karta 2 TETRA'!A35</v>
      </c>
      <c r="K2112" s="15" t="str">
        <f t="shared" ca="1" si="516"/>
        <v>'karta 2 TETRA'!B35</v>
      </c>
    </row>
    <row r="2113" spans="1:16" x14ac:dyDescent="0.25">
      <c r="A2113" s="3" t="str">
        <f t="shared" ca="1" si="523"/>
        <v/>
      </c>
      <c r="G2113" s="15">
        <f t="shared" ca="1" si="509"/>
        <v>36</v>
      </c>
      <c r="H2113" s="15">
        <v>1</v>
      </c>
      <c r="I2113" s="15" t="str">
        <f t="shared" ca="1" si="510"/>
        <v>karta 2 TETRA</v>
      </c>
      <c r="J2113" s="15" t="str">
        <f t="shared" ca="1" si="515"/>
        <v>'karta 2 TETRA'!A36</v>
      </c>
      <c r="K2113" s="15" t="str">
        <f t="shared" ca="1" si="516"/>
        <v>'karta 2 TETRA'!B36</v>
      </c>
    </row>
    <row r="2114" spans="1:16" x14ac:dyDescent="0.25">
      <c r="A2114" s="3" t="str">
        <f t="shared" ca="1" si="523"/>
        <v/>
      </c>
      <c r="G2114" s="15">
        <f t="shared" ca="1" si="509"/>
        <v>37</v>
      </c>
      <c r="H2114" s="15">
        <v>1</v>
      </c>
      <c r="I2114" s="15" t="str">
        <f t="shared" ca="1" si="510"/>
        <v>karta 2 TETRA</v>
      </c>
      <c r="J2114" s="15" t="str">
        <f t="shared" ca="1" si="515"/>
        <v>'karta 2 TETRA'!A37</v>
      </c>
      <c r="K2114" s="15" t="str">
        <f t="shared" ca="1" si="516"/>
        <v>'karta 2 TETRA'!B37</v>
      </c>
    </row>
    <row r="2115" spans="1:16" x14ac:dyDescent="0.25">
      <c r="A2115" s="3" t="str">
        <f t="shared" ca="1" si="523"/>
        <v/>
      </c>
      <c r="G2115" s="15">
        <f t="shared" ca="1" si="509"/>
        <v>38</v>
      </c>
      <c r="H2115" s="15">
        <v>1</v>
      </c>
      <c r="I2115" s="15" t="str">
        <f t="shared" ca="1" si="510"/>
        <v>karta 2 TETRA</v>
      </c>
      <c r="J2115" s="15" t="str">
        <f t="shared" ca="1" si="515"/>
        <v>'karta 2 TETRA'!A38</v>
      </c>
      <c r="K2115" s="15" t="str">
        <f t="shared" ca="1" si="516"/>
        <v>'karta 2 TETRA'!B38</v>
      </c>
    </row>
    <row r="2116" spans="1:16" x14ac:dyDescent="0.25">
      <c r="A2116" s="3" t="str">
        <f t="shared" ca="1" si="523"/>
        <v/>
      </c>
      <c r="G2116" s="15">
        <f t="shared" ca="1" si="509"/>
        <v>39</v>
      </c>
      <c r="H2116" s="15">
        <v>1</v>
      </c>
      <c r="I2116" s="15" t="str">
        <f t="shared" ca="1" si="510"/>
        <v>karta 2 TETRA</v>
      </c>
      <c r="J2116" s="15" t="str">
        <f t="shared" ca="1" si="515"/>
        <v>'karta 2 TETRA'!A39</v>
      </c>
      <c r="K2116" s="15" t="str">
        <f t="shared" ca="1" si="516"/>
        <v>'karta 2 TETRA'!B39</v>
      </c>
    </row>
    <row r="2117" spans="1:16" x14ac:dyDescent="0.25">
      <c r="A2117" s="3" t="str">
        <f t="shared" ca="1" si="523"/>
        <v/>
      </c>
      <c r="G2117" s="15">
        <f t="shared" ca="1" si="509"/>
        <v>40</v>
      </c>
      <c r="H2117" s="15">
        <v>1</v>
      </c>
      <c r="I2117" s="15" t="str">
        <f t="shared" ca="1" si="510"/>
        <v>karta 2 TETRA</v>
      </c>
      <c r="J2117" s="15" t="str">
        <f t="shared" ca="1" si="515"/>
        <v>'karta 2 TETRA'!A40</v>
      </c>
      <c r="K2117" s="15" t="str">
        <f t="shared" ca="1" si="516"/>
        <v>'karta 2 TETRA'!B40</v>
      </c>
    </row>
    <row r="2118" spans="1:16" x14ac:dyDescent="0.25">
      <c r="A2118" s="3" t="str">
        <f t="shared" ca="1" si="523"/>
        <v/>
      </c>
      <c r="G2118" s="15">
        <f t="shared" ca="1" si="509"/>
        <v>41</v>
      </c>
      <c r="H2118" s="15">
        <v>1</v>
      </c>
      <c r="I2118" s="15" t="str">
        <f t="shared" ca="1" si="510"/>
        <v>karta 2 TETRA</v>
      </c>
      <c r="J2118" s="15" t="str">
        <f t="shared" ca="1" si="515"/>
        <v>'karta 2 TETRA'!A41</v>
      </c>
      <c r="K2118" s="15" t="str">
        <f t="shared" ca="1" si="516"/>
        <v>'karta 2 TETRA'!B41</v>
      </c>
    </row>
    <row r="2119" spans="1:16" x14ac:dyDescent="0.25">
      <c r="A2119" s="3" t="str">
        <f t="shared" ca="1" si="523"/>
        <v/>
      </c>
      <c r="C2119" s="16"/>
      <c r="G2119" s="15">
        <f t="shared" ca="1" si="509"/>
        <v>42</v>
      </c>
      <c r="H2119" s="15">
        <v>1</v>
      </c>
      <c r="I2119" s="15" t="str">
        <f t="shared" ca="1" si="510"/>
        <v>karta 2 TETRA</v>
      </c>
      <c r="J2119" s="15" t="str">
        <f t="shared" ca="1" si="515"/>
        <v>'karta 2 TETRA'!A42</v>
      </c>
      <c r="K2119" s="15" t="str">
        <f t="shared" ca="1" si="516"/>
        <v>'karta 2 TETRA'!B42</v>
      </c>
    </row>
    <row r="2120" spans="1:16" x14ac:dyDescent="0.25">
      <c r="A2120" s="3" t="str">
        <f t="shared" ca="1" si="523"/>
        <v/>
      </c>
      <c r="G2120" s="15">
        <f t="shared" ca="1" si="509"/>
        <v>43</v>
      </c>
      <c r="H2120" s="15">
        <v>1</v>
      </c>
      <c r="I2120" s="15" t="str">
        <f t="shared" ca="1" si="510"/>
        <v>karta 2 TETRA</v>
      </c>
      <c r="J2120" s="15" t="str">
        <f t="shared" ca="1" si="515"/>
        <v>'karta 2 TETRA'!A43</v>
      </c>
      <c r="K2120" s="15" t="str">
        <f t="shared" ca="1" si="516"/>
        <v>'karta 2 TETRA'!B43</v>
      </c>
    </row>
    <row r="2121" spans="1:16" x14ac:dyDescent="0.25">
      <c r="A2121" s="3" t="str">
        <f t="shared" ca="1" si="523"/>
        <v/>
      </c>
      <c r="G2121" s="15">
        <f t="shared" ref="G2121:G2184" ca="1" si="530">G2120+1</f>
        <v>44</v>
      </c>
      <c r="H2121" s="15">
        <v>1</v>
      </c>
      <c r="I2121" s="15" t="str">
        <f t="shared" ref="I2121:I2184" ca="1" si="531">I2120</f>
        <v>karta 2 TETRA</v>
      </c>
      <c r="J2121" s="15" t="str">
        <f t="shared" ca="1" si="515"/>
        <v>'karta 2 TETRA'!A44</v>
      </c>
      <c r="K2121" s="15" t="str">
        <f t="shared" ca="1" si="516"/>
        <v>'karta 2 TETRA'!B44</v>
      </c>
    </row>
    <row r="2122" spans="1:16" x14ac:dyDescent="0.25">
      <c r="A2122" s="3" t="str">
        <f t="shared" ca="1" si="523"/>
        <v/>
      </c>
      <c r="G2122" s="15">
        <f t="shared" ca="1" si="530"/>
        <v>45</v>
      </c>
      <c r="H2122" s="15">
        <v>1</v>
      </c>
      <c r="I2122" s="15" t="str">
        <f t="shared" ca="1" si="531"/>
        <v>karta 2 TETRA</v>
      </c>
      <c r="J2122" s="15" t="str">
        <f t="shared" ca="1" si="515"/>
        <v>'karta 2 TETRA'!A45</v>
      </c>
      <c r="K2122" s="15" t="str">
        <f t="shared" ca="1" si="516"/>
        <v>'karta 2 TETRA'!B45</v>
      </c>
    </row>
    <row r="2123" spans="1:16" x14ac:dyDescent="0.25">
      <c r="A2123" s="3" t="str">
        <f t="shared" ca="1" si="523"/>
        <v/>
      </c>
      <c r="G2123" s="15">
        <f t="shared" ca="1" si="530"/>
        <v>46</v>
      </c>
      <c r="H2123" s="15">
        <v>1</v>
      </c>
      <c r="I2123" s="15" t="str">
        <f t="shared" ca="1" si="531"/>
        <v>karta 2 TETRA</v>
      </c>
      <c r="J2123" s="15" t="str">
        <f t="shared" ca="1" si="515"/>
        <v>'karta 2 TETRA'!A46</v>
      </c>
      <c r="K2123" s="15" t="str">
        <f t="shared" ca="1" si="516"/>
        <v>'karta 2 TETRA'!B46</v>
      </c>
    </row>
    <row r="2124" spans="1:16" x14ac:dyDescent="0.25">
      <c r="A2124" s="3" t="str">
        <f t="shared" ca="1" si="523"/>
        <v/>
      </c>
      <c r="G2124" s="15">
        <f t="shared" ca="1" si="530"/>
        <v>47</v>
      </c>
      <c r="H2124" s="15">
        <v>1</v>
      </c>
      <c r="I2124" s="15" t="str">
        <f t="shared" ca="1" si="531"/>
        <v>karta 2 TETRA</v>
      </c>
      <c r="J2124" s="15" t="str">
        <f t="shared" ca="1" si="515"/>
        <v>'karta 2 TETRA'!A47</v>
      </c>
      <c r="K2124" s="15" t="str">
        <f t="shared" ca="1" si="516"/>
        <v>'karta 2 TETRA'!B47</v>
      </c>
    </row>
    <row r="2125" spans="1:16" x14ac:dyDescent="0.25">
      <c r="A2125" s="3" t="str">
        <f t="shared" ca="1" si="523"/>
        <v/>
      </c>
      <c r="G2125" s="15">
        <f t="shared" ca="1" si="530"/>
        <v>48</v>
      </c>
      <c r="H2125" s="15">
        <v>1</v>
      </c>
      <c r="I2125" s="15" t="str">
        <f t="shared" ca="1" si="531"/>
        <v>karta 2 TETRA</v>
      </c>
      <c r="J2125" s="15" t="str">
        <f t="shared" ca="1" si="515"/>
        <v>'karta 2 TETRA'!A48</v>
      </c>
      <c r="K2125" s="15" t="str">
        <f t="shared" ca="1" si="516"/>
        <v>'karta 2 TETRA'!B48</v>
      </c>
    </row>
    <row r="2126" spans="1:16" x14ac:dyDescent="0.25">
      <c r="A2126" s="3" t="str">
        <f t="shared" ca="1" si="523"/>
        <v/>
      </c>
      <c r="G2126" s="15">
        <f t="shared" ca="1" si="530"/>
        <v>49</v>
      </c>
      <c r="H2126" s="15">
        <v>1</v>
      </c>
      <c r="I2126" s="15" t="str">
        <f t="shared" ca="1" si="531"/>
        <v>karta 2 TETRA</v>
      </c>
      <c r="J2126" s="15" t="str">
        <f t="shared" ca="1" si="515"/>
        <v>'karta 2 TETRA'!A49</v>
      </c>
      <c r="K2126" s="15" t="str">
        <f t="shared" ca="1" si="516"/>
        <v>'karta 2 TETRA'!B49</v>
      </c>
    </row>
    <row r="2127" spans="1:16" x14ac:dyDescent="0.25">
      <c r="A2127" s="3" t="str">
        <f t="shared" ca="1" si="523"/>
        <v/>
      </c>
      <c r="G2127" s="15">
        <f t="shared" ca="1" si="530"/>
        <v>50</v>
      </c>
      <c r="H2127" s="15">
        <v>1</v>
      </c>
      <c r="I2127" s="15" t="str">
        <f t="shared" ca="1" si="531"/>
        <v>karta 2 TETRA</v>
      </c>
      <c r="J2127" s="15" t="str">
        <f t="shared" ca="1" si="515"/>
        <v>'karta 2 TETRA'!A50</v>
      </c>
      <c r="K2127" s="15" t="str">
        <f t="shared" ca="1" si="516"/>
        <v>'karta 2 TETRA'!B50</v>
      </c>
    </row>
    <row r="2128" spans="1:16" x14ac:dyDescent="0.25">
      <c r="A2128" s="3" t="str">
        <f t="shared" ca="1" si="523"/>
        <v xml:space="preserve">#I2C_Bridge_GPIO:exp_group_1x =  </v>
      </c>
      <c r="G2128" s="15">
        <f t="shared" ref="G2128" ca="1" si="532">INDIRECT(M2128)</f>
        <v>71</v>
      </c>
      <c r="H2128" s="15">
        <v>1</v>
      </c>
      <c r="I2128" s="15" t="str">
        <f t="shared" ref="I2128" ca="1" si="533">INDIRECT(N2128)</f>
        <v>I2C_Bridge_GPIO</v>
      </c>
      <c r="J2128" s="15" t="str">
        <f t="shared" ca="1" si="515"/>
        <v>I2C_Bridge_GPIO!A71</v>
      </c>
      <c r="K2128" s="15" t="str">
        <f t="shared" ca="1" si="516"/>
        <v>I2C_Bridge_GPIO!B71</v>
      </c>
      <c r="M2128" s="15" t="str">
        <f t="shared" ref="M2128" si="534">ADDRESS(O2128,3,4,1,$R$1)</f>
        <v>konfig!C108</v>
      </c>
      <c r="N2128" s="15" t="str">
        <f t="shared" ref="N2128" si="535">ADDRESS(O2128,1,4,1,$R$1)</f>
        <v>konfig!A108</v>
      </c>
      <c r="O2128" s="15">
        <v>108</v>
      </c>
      <c r="P2128" s="15">
        <v>4</v>
      </c>
    </row>
    <row r="2129" spans="1:11" x14ac:dyDescent="0.25">
      <c r="A2129" s="3" t="str">
        <f t="shared" ca="1" si="523"/>
        <v xml:space="preserve">device = TCA9548 </v>
      </c>
      <c r="G2129" s="15">
        <f t="shared" ca="1" si="521"/>
        <v>72</v>
      </c>
      <c r="H2129" s="15">
        <v>1</v>
      </c>
      <c r="I2129" s="15" t="str">
        <f t="shared" ca="1" si="522"/>
        <v>I2C_Bridge_GPIO</v>
      </c>
      <c r="J2129" s="15" t="str">
        <f t="shared" ca="1" si="515"/>
        <v>I2C_Bridge_GPIO!A72</v>
      </c>
      <c r="K2129" s="15" t="str">
        <f t="shared" ca="1" si="516"/>
        <v>I2C_Bridge_GPIO!B72</v>
      </c>
    </row>
    <row r="2130" spans="1:11" x14ac:dyDescent="0.25">
      <c r="A2130" s="3" t="str">
        <f t="shared" ca="1" si="523"/>
        <v xml:space="preserve">i2c_addr = 0x73 </v>
      </c>
      <c r="G2130" s="15">
        <f t="shared" ca="1" si="521"/>
        <v>73</v>
      </c>
      <c r="H2130" s="15">
        <v>1</v>
      </c>
      <c r="I2130" s="15" t="str">
        <f t="shared" ca="1" si="522"/>
        <v>I2C_Bridge_GPIO</v>
      </c>
      <c r="J2130" s="15" t="str">
        <f t="shared" ca="1" si="515"/>
        <v>I2C_Bridge_GPIO!A73</v>
      </c>
      <c r="K2130" s="15" t="str">
        <f t="shared" ca="1" si="516"/>
        <v>I2C_Bridge_GPIO!B73</v>
      </c>
    </row>
    <row r="2131" spans="1:11" x14ac:dyDescent="0.25">
      <c r="A2131" s="3" t="str">
        <f t="shared" ca="1" si="523"/>
        <v xml:space="preserve">i2c_num = /dev/i2c-1 </v>
      </c>
      <c r="C2131" s="16"/>
      <c r="G2131" s="15">
        <f t="shared" ca="1" si="521"/>
        <v>74</v>
      </c>
      <c r="H2131" s="15">
        <v>1</v>
      </c>
      <c r="I2131" s="15" t="str">
        <f t="shared" ca="1" si="522"/>
        <v>I2C_Bridge_GPIO</v>
      </c>
      <c r="J2131" s="15" t="str">
        <f t="shared" ca="1" si="515"/>
        <v>I2C_Bridge_GPIO!A74</v>
      </c>
      <c r="K2131" s="15" t="str">
        <f t="shared" ca="1" si="516"/>
        <v>I2C_Bridge_GPIO!B74</v>
      </c>
    </row>
    <row r="2132" spans="1:11" x14ac:dyDescent="0.25">
      <c r="A2132" s="3" t="str">
        <f t="shared" ca="1" si="523"/>
        <v xml:space="preserve">ctrl_reg = 0x10 </v>
      </c>
      <c r="G2132" s="15">
        <f t="shared" ca="1" si="521"/>
        <v>75</v>
      </c>
      <c r="H2132" s="15">
        <v>1</v>
      </c>
      <c r="I2132" s="15" t="str">
        <f t="shared" ca="1" si="522"/>
        <v>I2C_Bridge_GPIO</v>
      </c>
      <c r="J2132" s="15" t="str">
        <f t="shared" ca="1" si="515"/>
        <v>I2C_Bridge_GPIO!A75</v>
      </c>
      <c r="K2132" s="15" t="str">
        <f t="shared" ca="1" si="516"/>
        <v>I2C_Bridge_GPIO!B75</v>
      </c>
    </row>
    <row r="2133" spans="1:11" x14ac:dyDescent="0.25">
      <c r="A2133" s="3" t="str">
        <f t="shared" ca="1" si="523"/>
        <v/>
      </c>
      <c r="G2133" s="15">
        <f t="shared" ca="1" si="530"/>
        <v>76</v>
      </c>
      <c r="H2133" s="15">
        <v>1</v>
      </c>
      <c r="I2133" s="15" t="str">
        <f t="shared" ca="1" si="531"/>
        <v>I2C_Bridge_GPIO</v>
      </c>
      <c r="J2133" s="15" t="str">
        <f t="shared" ca="1" si="515"/>
        <v>I2C_Bridge_GPIO!A76</v>
      </c>
      <c r="K2133" s="15" t="str">
        <f t="shared" ca="1" si="516"/>
        <v>I2C_Bridge_GPIO!B76</v>
      </c>
    </row>
    <row r="2134" spans="1:11" x14ac:dyDescent="0.25">
      <c r="A2134" s="3" t="str">
        <f t="shared" ca="1" si="523"/>
        <v xml:space="preserve">time = 11 </v>
      </c>
      <c r="G2134" s="15">
        <f t="shared" ca="1" si="530"/>
        <v>77</v>
      </c>
      <c r="H2134" s="15">
        <v>1</v>
      </c>
      <c r="I2134" s="15" t="str">
        <f t="shared" ca="1" si="531"/>
        <v>I2C_Bridge_GPIO</v>
      </c>
      <c r="J2134" s="15" t="str">
        <f t="shared" ca="1" si="515"/>
        <v>I2C_Bridge_GPIO!A77</v>
      </c>
      <c r="K2134" s="15" t="str">
        <f t="shared" ca="1" si="516"/>
        <v>I2C_Bridge_GPIO!B77</v>
      </c>
    </row>
    <row r="2135" spans="1:11" x14ac:dyDescent="0.25">
      <c r="A2135" s="3" t="str">
        <f t="shared" ca="1" si="523"/>
        <v/>
      </c>
      <c r="G2135" s="15">
        <f t="shared" ca="1" si="530"/>
        <v>78</v>
      </c>
      <c r="H2135" s="15">
        <v>1</v>
      </c>
      <c r="I2135" s="15" t="str">
        <f t="shared" ca="1" si="531"/>
        <v>I2C_Bridge_GPIO</v>
      </c>
      <c r="J2135" s="15" t="str">
        <f t="shared" ca="1" si="515"/>
        <v>I2C_Bridge_GPIO!A78</v>
      </c>
      <c r="K2135" s="15" t="str">
        <f t="shared" ca="1" si="516"/>
        <v>I2C_Bridge_GPIO!B78</v>
      </c>
    </row>
    <row r="2136" spans="1:11" x14ac:dyDescent="0.25">
      <c r="A2136" s="3" t="str">
        <f t="shared" ca="1" si="523"/>
        <v/>
      </c>
      <c r="G2136" s="15">
        <f t="shared" ca="1" si="530"/>
        <v>79</v>
      </c>
      <c r="H2136" s="15">
        <v>1</v>
      </c>
      <c r="I2136" s="15" t="str">
        <f t="shared" ca="1" si="531"/>
        <v>I2C_Bridge_GPIO</v>
      </c>
      <c r="J2136" s="15" t="str">
        <f t="shared" ca="1" si="515"/>
        <v>I2C_Bridge_GPIO!A79</v>
      </c>
      <c r="K2136" s="15" t="str">
        <f t="shared" ca="1" si="516"/>
        <v>I2C_Bridge_GPIO!B79</v>
      </c>
    </row>
    <row r="2137" spans="1:11" x14ac:dyDescent="0.25">
      <c r="A2137" s="3" t="str">
        <f t="shared" ca="1" si="523"/>
        <v/>
      </c>
      <c r="G2137" s="15">
        <f t="shared" ca="1" si="530"/>
        <v>80</v>
      </c>
      <c r="H2137" s="15">
        <v>1</v>
      </c>
      <c r="I2137" s="15" t="str">
        <f t="shared" ca="1" si="531"/>
        <v>I2C_Bridge_GPIO</v>
      </c>
      <c r="J2137" s="15" t="str">
        <f t="shared" ca="1" si="515"/>
        <v>I2C_Bridge_GPIO!A80</v>
      </c>
      <c r="K2137" s="15" t="str">
        <f t="shared" ca="1" si="516"/>
        <v>I2C_Bridge_GPIO!B80</v>
      </c>
    </row>
    <row r="2138" spans="1:11" x14ac:dyDescent="0.25">
      <c r="A2138" s="3" t="str">
        <f t="shared" ca="1" si="523"/>
        <v/>
      </c>
      <c r="G2138" s="15">
        <f t="shared" ca="1" si="530"/>
        <v>81</v>
      </c>
      <c r="H2138" s="15">
        <v>1</v>
      </c>
      <c r="I2138" s="15" t="str">
        <f t="shared" ca="1" si="531"/>
        <v>I2C_Bridge_GPIO</v>
      </c>
      <c r="J2138" s="15" t="str">
        <f t="shared" ca="1" si="515"/>
        <v>I2C_Bridge_GPIO!A81</v>
      </c>
      <c r="K2138" s="15" t="str">
        <f t="shared" ca="1" si="516"/>
        <v>I2C_Bridge_GPIO!B81</v>
      </c>
    </row>
    <row r="2139" spans="1:11" x14ac:dyDescent="0.25">
      <c r="A2139" s="3" t="str">
        <f t="shared" ca="1" si="523"/>
        <v/>
      </c>
      <c r="C2139" s="16"/>
      <c r="G2139" s="15">
        <f t="shared" ca="1" si="530"/>
        <v>82</v>
      </c>
      <c r="H2139" s="15">
        <v>1</v>
      </c>
      <c r="I2139" s="15" t="str">
        <f t="shared" ca="1" si="531"/>
        <v>I2C_Bridge_GPIO</v>
      </c>
      <c r="J2139" s="15" t="str">
        <f t="shared" ca="1" si="515"/>
        <v>I2C_Bridge_GPIO!A82</v>
      </c>
      <c r="K2139" s="15" t="str">
        <f t="shared" ca="1" si="516"/>
        <v>I2C_Bridge_GPIO!B82</v>
      </c>
    </row>
    <row r="2140" spans="1:11" x14ac:dyDescent="0.25">
      <c r="A2140" s="3" t="str">
        <f t="shared" ca="1" si="523"/>
        <v/>
      </c>
      <c r="G2140" s="15">
        <f t="shared" ca="1" si="530"/>
        <v>83</v>
      </c>
      <c r="H2140" s="15">
        <v>1</v>
      </c>
      <c r="I2140" s="15" t="str">
        <f t="shared" ca="1" si="531"/>
        <v>I2C_Bridge_GPIO</v>
      </c>
      <c r="J2140" s="15" t="str">
        <f t="shared" ca="1" si="515"/>
        <v>I2C_Bridge_GPIO!A83</v>
      </c>
      <c r="K2140" s="15" t="str">
        <f t="shared" ca="1" si="516"/>
        <v>I2C_Bridge_GPIO!B83</v>
      </c>
    </row>
    <row r="2141" spans="1:11" x14ac:dyDescent="0.25">
      <c r="A2141" s="3" t="str">
        <f t="shared" ca="1" si="523"/>
        <v/>
      </c>
      <c r="G2141" s="15">
        <f t="shared" ca="1" si="530"/>
        <v>84</v>
      </c>
      <c r="H2141" s="15">
        <v>1</v>
      </c>
      <c r="I2141" s="15" t="str">
        <f t="shared" ca="1" si="531"/>
        <v>I2C_Bridge_GPIO</v>
      </c>
      <c r="J2141" s="15" t="str">
        <f t="shared" ca="1" si="515"/>
        <v>I2C_Bridge_GPIO!A84</v>
      </c>
      <c r="K2141" s="15" t="str">
        <f t="shared" ca="1" si="516"/>
        <v>I2C_Bridge_GPIO!B84</v>
      </c>
    </row>
    <row r="2142" spans="1:11" x14ac:dyDescent="0.25">
      <c r="A2142" s="3" t="str">
        <f t="shared" ca="1" si="523"/>
        <v/>
      </c>
      <c r="G2142" s="15">
        <f t="shared" ca="1" si="530"/>
        <v>85</v>
      </c>
      <c r="H2142" s="15">
        <v>1</v>
      </c>
      <c r="I2142" s="15" t="str">
        <f t="shared" ca="1" si="531"/>
        <v>I2C_Bridge_GPIO</v>
      </c>
      <c r="J2142" s="15" t="str">
        <f t="shared" ca="1" si="515"/>
        <v>I2C_Bridge_GPIO!A85</v>
      </c>
      <c r="K2142" s="15" t="str">
        <f t="shared" ca="1" si="516"/>
        <v>I2C_Bridge_GPIO!B85</v>
      </c>
    </row>
    <row r="2143" spans="1:11" x14ac:dyDescent="0.25">
      <c r="A2143" s="3" t="str">
        <f t="shared" ca="1" si="523"/>
        <v/>
      </c>
      <c r="G2143" s="15">
        <f t="shared" ca="1" si="530"/>
        <v>86</v>
      </c>
      <c r="H2143" s="15">
        <v>1</v>
      </c>
      <c r="I2143" s="15" t="str">
        <f t="shared" ca="1" si="531"/>
        <v>I2C_Bridge_GPIO</v>
      </c>
      <c r="J2143" s="15" t="str">
        <f t="shared" ca="1" si="515"/>
        <v>I2C_Bridge_GPIO!A86</v>
      </c>
      <c r="K2143" s="15" t="str">
        <f t="shared" ca="1" si="516"/>
        <v>I2C_Bridge_GPIO!B86</v>
      </c>
    </row>
    <row r="2144" spans="1:11" x14ac:dyDescent="0.25">
      <c r="A2144" s="3" t="str">
        <f t="shared" ca="1" si="523"/>
        <v/>
      </c>
      <c r="G2144" s="15">
        <f t="shared" ca="1" si="530"/>
        <v>87</v>
      </c>
      <c r="H2144" s="15">
        <v>1</v>
      </c>
      <c r="I2144" s="15" t="str">
        <f t="shared" ca="1" si="531"/>
        <v>I2C_Bridge_GPIO</v>
      </c>
      <c r="J2144" s="15" t="str">
        <f t="shared" ca="1" si="515"/>
        <v>I2C_Bridge_GPIO!A87</v>
      </c>
      <c r="K2144" s="15" t="str">
        <f t="shared" ca="1" si="516"/>
        <v>I2C_Bridge_GPIO!B87</v>
      </c>
    </row>
    <row r="2145" spans="1:16" x14ac:dyDescent="0.25">
      <c r="A2145" s="3" t="str">
        <f t="shared" ca="1" si="523"/>
        <v/>
      </c>
      <c r="G2145" s="15">
        <f t="shared" ca="1" si="530"/>
        <v>88</v>
      </c>
      <c r="H2145" s="15">
        <v>1</v>
      </c>
      <c r="I2145" s="15" t="str">
        <f t="shared" ca="1" si="531"/>
        <v>I2C_Bridge_GPIO</v>
      </c>
      <c r="J2145" s="15" t="str">
        <f t="shared" ca="1" si="515"/>
        <v>I2C_Bridge_GPIO!A88</v>
      </c>
      <c r="K2145" s="15" t="str">
        <f t="shared" ca="1" si="516"/>
        <v>I2C_Bridge_GPIO!B88</v>
      </c>
    </row>
    <row r="2146" spans="1:16" x14ac:dyDescent="0.25">
      <c r="A2146" s="3" t="str">
        <f t="shared" ca="1" si="523"/>
        <v/>
      </c>
      <c r="G2146" s="15">
        <f t="shared" ca="1" si="530"/>
        <v>89</v>
      </c>
      <c r="H2146" s="15">
        <v>1</v>
      </c>
      <c r="I2146" s="15" t="str">
        <f t="shared" ca="1" si="531"/>
        <v>I2C_Bridge_GPIO</v>
      </c>
      <c r="J2146" s="15" t="str">
        <f t="shared" ca="1" si="515"/>
        <v>I2C_Bridge_GPIO!A89</v>
      </c>
      <c r="K2146" s="15" t="str">
        <f t="shared" ca="1" si="516"/>
        <v>I2C_Bridge_GPIO!B89</v>
      </c>
    </row>
    <row r="2147" spans="1:16" x14ac:dyDescent="0.25">
      <c r="A2147" s="3" t="str">
        <f t="shared" ca="1" si="523"/>
        <v/>
      </c>
      <c r="G2147" s="15">
        <f t="shared" ca="1" si="530"/>
        <v>90</v>
      </c>
      <c r="H2147" s="15">
        <v>1</v>
      </c>
      <c r="I2147" s="15" t="str">
        <f t="shared" ca="1" si="531"/>
        <v>I2C_Bridge_GPIO</v>
      </c>
      <c r="J2147" s="15" t="str">
        <f t="shared" ca="1" si="515"/>
        <v>I2C_Bridge_GPIO!A90</v>
      </c>
      <c r="K2147" s="15" t="str">
        <f t="shared" ca="1" si="516"/>
        <v>I2C_Bridge_GPIO!B90</v>
      </c>
    </row>
    <row r="2148" spans="1:16" x14ac:dyDescent="0.25">
      <c r="A2148" s="3" t="str">
        <f t="shared" ca="1" si="523"/>
        <v xml:space="preserve">#I2C_Bridge_PCIE:PCIE2 =  </v>
      </c>
      <c r="G2148" s="15">
        <f t="shared" ref="G2148" ca="1" si="536">INDIRECT(M2148)</f>
        <v>91</v>
      </c>
      <c r="H2148" s="15">
        <v>1</v>
      </c>
      <c r="I2148" s="15" t="str">
        <f t="shared" ref="I2148" ca="1" si="537">INDIRECT(N2148)</f>
        <v>I2C_Bridge_PCIE</v>
      </c>
      <c r="J2148" s="15" t="str">
        <f t="shared" ref="J2148:J2211" ca="1" si="538">ADDRESS(G2148,H2148,4,1,I2148)</f>
        <v>I2C_Bridge_PCIE!A91</v>
      </c>
      <c r="K2148" s="15" t="str">
        <f t="shared" ref="K2148:K2211" ca="1" si="539">ADDRESS(G2148,H2148+1,4,1,I2148)</f>
        <v>I2C_Bridge_PCIE!B91</v>
      </c>
      <c r="M2148" s="15" t="str">
        <f t="shared" ref="M2148" si="540">ADDRESS(O2148,3,4,1,$R$1)</f>
        <v>konfig!C109</v>
      </c>
      <c r="N2148" s="15" t="str">
        <f t="shared" ref="N2148" si="541">ADDRESS(O2148,1,4,1,$R$1)</f>
        <v>konfig!A109</v>
      </c>
      <c r="O2148" s="15">
        <v>109</v>
      </c>
      <c r="P2148" s="15">
        <v>4</v>
      </c>
    </row>
    <row r="2149" spans="1:16" x14ac:dyDescent="0.25">
      <c r="A2149" s="3" t="str">
        <f t="shared" ca="1" si="523"/>
        <v xml:space="preserve">device = TCA9548 </v>
      </c>
      <c r="G2149" s="15">
        <f t="shared" ca="1" si="528"/>
        <v>92</v>
      </c>
      <c r="H2149" s="15">
        <v>1</v>
      </c>
      <c r="I2149" s="15" t="str">
        <f t="shared" ca="1" si="529"/>
        <v>I2C_Bridge_PCIE</v>
      </c>
      <c r="J2149" s="15" t="str">
        <f t="shared" ca="1" si="538"/>
        <v>I2C_Bridge_PCIE!A92</v>
      </c>
      <c r="K2149" s="15" t="str">
        <f t="shared" ca="1" si="539"/>
        <v>I2C_Bridge_PCIE!B92</v>
      </c>
    </row>
    <row r="2150" spans="1:16" x14ac:dyDescent="0.25">
      <c r="A2150" s="3" t="str">
        <f t="shared" ca="1" si="523"/>
        <v xml:space="preserve">i2c_addr = 0x71 </v>
      </c>
      <c r="G2150" s="15">
        <f t="shared" ca="1" si="530"/>
        <v>93</v>
      </c>
      <c r="H2150" s="15">
        <v>1</v>
      </c>
      <c r="I2150" s="15" t="str">
        <f t="shared" ca="1" si="531"/>
        <v>I2C_Bridge_PCIE</v>
      </c>
      <c r="J2150" s="15" t="str">
        <f t="shared" ca="1" si="538"/>
        <v>I2C_Bridge_PCIE!A93</v>
      </c>
      <c r="K2150" s="15" t="str">
        <f t="shared" ca="1" si="539"/>
        <v>I2C_Bridge_PCIE!B93</v>
      </c>
    </row>
    <row r="2151" spans="1:16" x14ac:dyDescent="0.25">
      <c r="A2151" s="3" t="str">
        <f t="shared" ca="1" si="523"/>
        <v xml:space="preserve">i2c_num = /dev/i2c-1 </v>
      </c>
      <c r="C2151" s="16"/>
      <c r="G2151" s="15">
        <f t="shared" ca="1" si="530"/>
        <v>94</v>
      </c>
      <c r="H2151" s="15">
        <v>1</v>
      </c>
      <c r="I2151" s="15" t="str">
        <f t="shared" ca="1" si="531"/>
        <v>I2C_Bridge_PCIE</v>
      </c>
      <c r="J2151" s="15" t="str">
        <f t="shared" ca="1" si="538"/>
        <v>I2C_Bridge_PCIE!A94</v>
      </c>
      <c r="K2151" s="15" t="str">
        <f t="shared" ca="1" si="539"/>
        <v>I2C_Bridge_PCIE!B94</v>
      </c>
    </row>
    <row r="2152" spans="1:16" x14ac:dyDescent="0.25">
      <c r="A2152" s="3" t="str">
        <f t="shared" ca="1" si="523"/>
        <v xml:space="preserve">ctrl_reg = 0x10 </v>
      </c>
      <c r="G2152" s="15">
        <f t="shared" ca="1" si="530"/>
        <v>95</v>
      </c>
      <c r="H2152" s="15">
        <v>1</v>
      </c>
      <c r="I2152" s="15" t="str">
        <f t="shared" ca="1" si="531"/>
        <v>I2C_Bridge_PCIE</v>
      </c>
      <c r="J2152" s="15" t="str">
        <f t="shared" ca="1" si="538"/>
        <v>I2C_Bridge_PCIE!A95</v>
      </c>
      <c r="K2152" s="15" t="str">
        <f t="shared" ca="1" si="539"/>
        <v>I2C_Bridge_PCIE!B95</v>
      </c>
    </row>
    <row r="2153" spans="1:16" x14ac:dyDescent="0.25">
      <c r="A2153" s="3" t="str">
        <f t="shared" ca="1" si="523"/>
        <v/>
      </c>
      <c r="G2153" s="15">
        <f t="shared" ca="1" si="530"/>
        <v>96</v>
      </c>
      <c r="H2153" s="15">
        <v>1</v>
      </c>
      <c r="I2153" s="15" t="str">
        <f t="shared" ca="1" si="531"/>
        <v>I2C_Bridge_PCIE</v>
      </c>
      <c r="J2153" s="15" t="str">
        <f t="shared" ca="1" si="538"/>
        <v>I2C_Bridge_PCIE!A96</v>
      </c>
      <c r="K2153" s="15" t="str">
        <f t="shared" ca="1" si="539"/>
        <v>I2C_Bridge_PCIE!B96</v>
      </c>
    </row>
    <row r="2154" spans="1:16" x14ac:dyDescent="0.25">
      <c r="A2154" s="3" t="str">
        <f t="shared" ca="1" si="523"/>
        <v xml:space="preserve">time = 11 </v>
      </c>
      <c r="G2154" s="15">
        <f t="shared" ca="1" si="530"/>
        <v>97</v>
      </c>
      <c r="H2154" s="15">
        <v>1</v>
      </c>
      <c r="I2154" s="15" t="str">
        <f t="shared" ca="1" si="531"/>
        <v>I2C_Bridge_PCIE</v>
      </c>
      <c r="J2154" s="15" t="str">
        <f t="shared" ca="1" si="538"/>
        <v>I2C_Bridge_PCIE!A97</v>
      </c>
      <c r="K2154" s="15" t="str">
        <f t="shared" ca="1" si="539"/>
        <v>I2C_Bridge_PCIE!B97</v>
      </c>
    </row>
    <row r="2155" spans="1:16" x14ac:dyDescent="0.25">
      <c r="A2155" s="3" t="str">
        <f t="shared" ca="1" si="523"/>
        <v/>
      </c>
      <c r="G2155" s="15">
        <f t="shared" ca="1" si="530"/>
        <v>98</v>
      </c>
      <c r="H2155" s="15">
        <v>1</v>
      </c>
      <c r="I2155" s="15" t="str">
        <f t="shared" ca="1" si="531"/>
        <v>I2C_Bridge_PCIE</v>
      </c>
      <c r="J2155" s="15" t="str">
        <f t="shared" ca="1" si="538"/>
        <v>I2C_Bridge_PCIE!A98</v>
      </c>
      <c r="K2155" s="15" t="str">
        <f t="shared" ca="1" si="539"/>
        <v>I2C_Bridge_PCIE!B98</v>
      </c>
    </row>
    <row r="2156" spans="1:16" x14ac:dyDescent="0.25">
      <c r="A2156" s="3" t="str">
        <f t="shared" ref="A2156:A2219" ca="1" si="542">IFERROR(IF(INDIRECT(J2156)&lt;&gt;"",CONCATENATE(INDIRECT(J2156)," = ",INDIRECT(K2156)," "),""),"")</f>
        <v/>
      </c>
      <c r="G2156" s="15">
        <f t="shared" ca="1" si="530"/>
        <v>99</v>
      </c>
      <c r="H2156" s="15">
        <v>1</v>
      </c>
      <c r="I2156" s="15" t="str">
        <f t="shared" ca="1" si="531"/>
        <v>I2C_Bridge_PCIE</v>
      </c>
      <c r="J2156" s="15" t="str">
        <f t="shared" ca="1" si="538"/>
        <v>I2C_Bridge_PCIE!A99</v>
      </c>
      <c r="K2156" s="15" t="str">
        <f t="shared" ca="1" si="539"/>
        <v>I2C_Bridge_PCIE!B99</v>
      </c>
    </row>
    <row r="2157" spans="1:16" x14ac:dyDescent="0.25">
      <c r="A2157" s="3" t="str">
        <f t="shared" ca="1" si="542"/>
        <v/>
      </c>
      <c r="G2157" s="15">
        <f t="shared" ca="1" si="530"/>
        <v>100</v>
      </c>
      <c r="H2157" s="15">
        <v>1</v>
      </c>
      <c r="I2157" s="15" t="str">
        <f t="shared" ca="1" si="531"/>
        <v>I2C_Bridge_PCIE</v>
      </c>
      <c r="J2157" s="15" t="str">
        <f t="shared" ca="1" si="538"/>
        <v>I2C_Bridge_PCIE!A100</v>
      </c>
      <c r="K2157" s="15" t="str">
        <f t="shared" ca="1" si="539"/>
        <v>I2C_Bridge_PCIE!B100</v>
      </c>
    </row>
    <row r="2158" spans="1:16" x14ac:dyDescent="0.25">
      <c r="A2158" s="3" t="str">
        <f t="shared" ca="1" si="542"/>
        <v/>
      </c>
      <c r="G2158" s="15">
        <f t="shared" ca="1" si="530"/>
        <v>101</v>
      </c>
      <c r="H2158" s="15">
        <v>1</v>
      </c>
      <c r="I2158" s="15" t="str">
        <f t="shared" ca="1" si="531"/>
        <v>I2C_Bridge_PCIE</v>
      </c>
      <c r="J2158" s="15" t="str">
        <f t="shared" ca="1" si="538"/>
        <v>I2C_Bridge_PCIE!A101</v>
      </c>
      <c r="K2158" s="15" t="str">
        <f t="shared" ca="1" si="539"/>
        <v>I2C_Bridge_PCIE!B101</v>
      </c>
    </row>
    <row r="2159" spans="1:16" x14ac:dyDescent="0.25">
      <c r="A2159" s="3" t="str">
        <f t="shared" ca="1" si="542"/>
        <v/>
      </c>
      <c r="C2159" s="16"/>
      <c r="G2159" s="15">
        <f t="shared" ca="1" si="530"/>
        <v>102</v>
      </c>
      <c r="H2159" s="15">
        <v>1</v>
      </c>
      <c r="I2159" s="15" t="str">
        <f t="shared" ca="1" si="531"/>
        <v>I2C_Bridge_PCIE</v>
      </c>
      <c r="J2159" s="15" t="str">
        <f t="shared" ca="1" si="538"/>
        <v>I2C_Bridge_PCIE!A102</v>
      </c>
      <c r="K2159" s="15" t="str">
        <f t="shared" ca="1" si="539"/>
        <v>I2C_Bridge_PCIE!B102</v>
      </c>
    </row>
    <row r="2160" spans="1:16" x14ac:dyDescent="0.25">
      <c r="A2160" s="3" t="str">
        <f t="shared" ca="1" si="542"/>
        <v/>
      </c>
      <c r="G2160" s="15">
        <f t="shared" ca="1" si="530"/>
        <v>103</v>
      </c>
      <c r="H2160" s="15">
        <v>1</v>
      </c>
      <c r="I2160" s="15" t="str">
        <f t="shared" ca="1" si="531"/>
        <v>I2C_Bridge_PCIE</v>
      </c>
      <c r="J2160" s="15" t="str">
        <f t="shared" ca="1" si="538"/>
        <v>I2C_Bridge_PCIE!A103</v>
      </c>
      <c r="K2160" s="15" t="str">
        <f t="shared" ca="1" si="539"/>
        <v>I2C_Bridge_PCIE!B103</v>
      </c>
    </row>
    <row r="2161" spans="1:16" x14ac:dyDescent="0.25">
      <c r="A2161" s="3" t="str">
        <f t="shared" ca="1" si="542"/>
        <v/>
      </c>
      <c r="G2161" s="15">
        <f t="shared" ca="1" si="530"/>
        <v>104</v>
      </c>
      <c r="H2161" s="15">
        <v>1</v>
      </c>
      <c r="I2161" s="15" t="str">
        <f t="shared" ca="1" si="531"/>
        <v>I2C_Bridge_PCIE</v>
      </c>
      <c r="J2161" s="15" t="str">
        <f t="shared" ca="1" si="538"/>
        <v>I2C_Bridge_PCIE!A104</v>
      </c>
      <c r="K2161" s="15" t="str">
        <f t="shared" ca="1" si="539"/>
        <v>I2C_Bridge_PCIE!B104</v>
      </c>
    </row>
    <row r="2162" spans="1:16" x14ac:dyDescent="0.25">
      <c r="A2162" s="3" t="str">
        <f t="shared" ca="1" si="542"/>
        <v/>
      </c>
      <c r="G2162" s="15">
        <f t="shared" ca="1" si="530"/>
        <v>105</v>
      </c>
      <c r="H2162" s="15">
        <v>1</v>
      </c>
      <c r="I2162" s="15" t="str">
        <f t="shared" ca="1" si="531"/>
        <v>I2C_Bridge_PCIE</v>
      </c>
      <c r="J2162" s="15" t="str">
        <f t="shared" ca="1" si="538"/>
        <v>I2C_Bridge_PCIE!A105</v>
      </c>
      <c r="K2162" s="15" t="str">
        <f t="shared" ca="1" si="539"/>
        <v>I2C_Bridge_PCIE!B105</v>
      </c>
    </row>
    <row r="2163" spans="1:16" x14ac:dyDescent="0.25">
      <c r="A2163" s="3" t="str">
        <f t="shared" ca="1" si="542"/>
        <v/>
      </c>
      <c r="G2163" s="15">
        <f t="shared" ca="1" si="530"/>
        <v>106</v>
      </c>
      <c r="H2163" s="15">
        <v>1</v>
      </c>
      <c r="I2163" s="15" t="str">
        <f t="shared" ca="1" si="531"/>
        <v>I2C_Bridge_PCIE</v>
      </c>
      <c r="J2163" s="15" t="str">
        <f t="shared" ca="1" si="538"/>
        <v>I2C_Bridge_PCIE!A106</v>
      </c>
      <c r="K2163" s="15" t="str">
        <f t="shared" ca="1" si="539"/>
        <v>I2C_Bridge_PCIE!B106</v>
      </c>
    </row>
    <row r="2164" spans="1:16" x14ac:dyDescent="0.25">
      <c r="A2164" s="3" t="str">
        <f t="shared" ca="1" si="542"/>
        <v/>
      </c>
      <c r="G2164" s="15">
        <f t="shared" ca="1" si="530"/>
        <v>107</v>
      </c>
      <c r="H2164" s="15">
        <v>1</v>
      </c>
      <c r="I2164" s="15" t="str">
        <f t="shared" ca="1" si="531"/>
        <v>I2C_Bridge_PCIE</v>
      </c>
      <c r="J2164" s="15" t="str">
        <f t="shared" ca="1" si="538"/>
        <v>I2C_Bridge_PCIE!A107</v>
      </c>
      <c r="K2164" s="15" t="str">
        <f t="shared" ca="1" si="539"/>
        <v>I2C_Bridge_PCIE!B107</v>
      </c>
    </row>
    <row r="2165" spans="1:16" x14ac:dyDescent="0.25">
      <c r="A2165" s="3" t="str">
        <f t="shared" ca="1" si="542"/>
        <v/>
      </c>
      <c r="G2165" s="15">
        <f t="shared" ca="1" si="530"/>
        <v>108</v>
      </c>
      <c r="H2165" s="15">
        <v>1</v>
      </c>
      <c r="I2165" s="15" t="str">
        <f t="shared" ca="1" si="531"/>
        <v>I2C_Bridge_PCIE</v>
      </c>
      <c r="J2165" s="15" t="str">
        <f t="shared" ca="1" si="538"/>
        <v>I2C_Bridge_PCIE!A108</v>
      </c>
      <c r="K2165" s="15" t="str">
        <f t="shared" ca="1" si="539"/>
        <v>I2C_Bridge_PCIE!B108</v>
      </c>
    </row>
    <row r="2166" spans="1:16" x14ac:dyDescent="0.25">
      <c r="A2166" s="3" t="str">
        <f t="shared" ca="1" si="542"/>
        <v/>
      </c>
      <c r="G2166" s="15">
        <f t="shared" ca="1" si="530"/>
        <v>109</v>
      </c>
      <c r="H2166" s="15">
        <v>1</v>
      </c>
      <c r="I2166" s="15" t="str">
        <f t="shared" ca="1" si="531"/>
        <v>I2C_Bridge_PCIE</v>
      </c>
      <c r="J2166" s="15" t="str">
        <f t="shared" ca="1" si="538"/>
        <v>I2C_Bridge_PCIE!A109</v>
      </c>
      <c r="K2166" s="15" t="str">
        <f t="shared" ca="1" si="539"/>
        <v>I2C_Bridge_PCIE!B109</v>
      </c>
    </row>
    <row r="2167" spans="1:16" x14ac:dyDescent="0.25">
      <c r="A2167" s="3" t="str">
        <f t="shared" ca="1" si="542"/>
        <v/>
      </c>
      <c r="G2167" s="15">
        <f t="shared" ca="1" si="530"/>
        <v>110</v>
      </c>
      <c r="H2167" s="15">
        <v>1</v>
      </c>
      <c r="I2167" s="15" t="str">
        <f t="shared" ca="1" si="531"/>
        <v>I2C_Bridge_PCIE</v>
      </c>
      <c r="J2167" s="15" t="str">
        <f t="shared" ca="1" si="538"/>
        <v>I2C_Bridge_PCIE!A110</v>
      </c>
      <c r="K2167" s="15" t="str">
        <f t="shared" ca="1" si="539"/>
        <v>I2C_Bridge_PCIE!B110</v>
      </c>
    </row>
    <row r="2168" spans="1:16" x14ac:dyDescent="0.25">
      <c r="A2168" s="3" t="str">
        <f t="shared" ca="1" si="542"/>
        <v xml:space="preserve">#I2C_Expander_10:etap 4 złacze En_SPI_PCIE2 =  </v>
      </c>
      <c r="G2168" s="15">
        <f t="shared" ref="G2168" ca="1" si="543">INDIRECT(M2168)</f>
        <v>111</v>
      </c>
      <c r="H2168" s="15">
        <v>1</v>
      </c>
      <c r="I2168" s="15" t="str">
        <f t="shared" ref="I2168" ca="1" si="544">INDIRECT(N2168)</f>
        <v>I2C_Expander_10</v>
      </c>
      <c r="J2168" s="15" t="str">
        <f t="shared" ca="1" si="538"/>
        <v>I2C_Expander_10!A111</v>
      </c>
      <c r="K2168" s="15" t="str">
        <f t="shared" ca="1" si="539"/>
        <v>I2C_Expander_10!B111</v>
      </c>
      <c r="M2168" s="15" t="str">
        <f t="shared" ref="M2168" si="545">ADDRESS(O2168,3,4,1,$R$1)</f>
        <v>konfig!C110</v>
      </c>
      <c r="N2168" s="15" t="str">
        <f t="shared" ref="N2168" si="546">ADDRESS(O2168,1,4,1,$R$1)</f>
        <v>konfig!A110</v>
      </c>
      <c r="O2168" s="15">
        <v>110</v>
      </c>
      <c r="P2168" s="15">
        <v>4</v>
      </c>
    </row>
    <row r="2169" spans="1:16" x14ac:dyDescent="0.25">
      <c r="A2169" s="3" t="str">
        <f t="shared" ca="1" si="542"/>
        <v xml:space="preserve">device = MCP23017 </v>
      </c>
      <c r="G2169" s="15">
        <f t="shared" ref="G2169:G2212" ca="1" si="547">G2168+1</f>
        <v>112</v>
      </c>
      <c r="H2169" s="15">
        <v>1</v>
      </c>
      <c r="I2169" s="15" t="str">
        <f t="shared" ref="I2169:I2212" ca="1" si="548">I2168</f>
        <v>I2C_Expander_10</v>
      </c>
      <c r="J2169" s="15" t="str">
        <f t="shared" ca="1" si="538"/>
        <v>I2C_Expander_10!A112</v>
      </c>
      <c r="K2169" s="15" t="str">
        <f t="shared" ca="1" si="539"/>
        <v>I2C_Expander_10!B112</v>
      </c>
    </row>
    <row r="2170" spans="1:16" x14ac:dyDescent="0.25">
      <c r="A2170" s="3" t="str">
        <f t="shared" ca="1" si="542"/>
        <v xml:space="preserve">i2c_addr = 0x20 </v>
      </c>
      <c r="G2170" s="15">
        <f t="shared" ca="1" si="547"/>
        <v>113</v>
      </c>
      <c r="H2170" s="15">
        <v>1</v>
      </c>
      <c r="I2170" s="15" t="str">
        <f t="shared" ca="1" si="548"/>
        <v>I2C_Expander_10</v>
      </c>
      <c r="J2170" s="15" t="str">
        <f t="shared" ca="1" si="538"/>
        <v>I2C_Expander_10!A113</v>
      </c>
      <c r="K2170" s="15" t="str">
        <f t="shared" ca="1" si="539"/>
        <v>I2C_Expander_10!B113</v>
      </c>
    </row>
    <row r="2171" spans="1:16" x14ac:dyDescent="0.25">
      <c r="A2171" s="3" t="str">
        <f t="shared" ca="1" si="542"/>
        <v xml:space="preserve">i2c_num = /dev/i2c-1 </v>
      </c>
      <c r="C2171" s="16"/>
      <c r="G2171" s="15">
        <f t="shared" ca="1" si="547"/>
        <v>114</v>
      </c>
      <c r="H2171" s="15">
        <v>1</v>
      </c>
      <c r="I2171" s="15" t="str">
        <f t="shared" ca="1" si="548"/>
        <v>I2C_Expander_10</v>
      </c>
      <c r="J2171" s="15" t="str">
        <f t="shared" ca="1" si="538"/>
        <v>I2C_Expander_10!A114</v>
      </c>
      <c r="K2171" s="15" t="str">
        <f t="shared" ca="1" si="539"/>
        <v>I2C_Expander_10!B114</v>
      </c>
    </row>
    <row r="2172" spans="1:16" x14ac:dyDescent="0.25">
      <c r="A2172" s="3" t="str">
        <f t="shared" ca="1" si="542"/>
        <v xml:space="preserve">pins_mode = 0x1BFE </v>
      </c>
      <c r="G2172" s="15">
        <f t="shared" ca="1" si="547"/>
        <v>115</v>
      </c>
      <c r="H2172" s="15">
        <v>1</v>
      </c>
      <c r="I2172" s="15" t="str">
        <f t="shared" ca="1" si="548"/>
        <v>I2C_Expander_10</v>
      </c>
      <c r="J2172" s="15" t="str">
        <f t="shared" ca="1" si="538"/>
        <v>I2C_Expander_10!A115</v>
      </c>
      <c r="K2172" s="15" t="str">
        <f t="shared" ca="1" si="539"/>
        <v>I2C_Expander_10!B115</v>
      </c>
    </row>
    <row r="2173" spans="1:16" x14ac:dyDescent="0.25">
      <c r="A2173" s="3" t="str">
        <f t="shared" ca="1" si="542"/>
        <v xml:space="preserve">pins_state = 0x6401 </v>
      </c>
      <c r="G2173" s="15">
        <f t="shared" ca="1" si="530"/>
        <v>116</v>
      </c>
      <c r="H2173" s="15">
        <v>1</v>
      </c>
      <c r="I2173" s="15" t="str">
        <f t="shared" ca="1" si="531"/>
        <v>I2C_Expander_10</v>
      </c>
      <c r="J2173" s="15" t="str">
        <f t="shared" ca="1" si="538"/>
        <v>I2C_Expander_10!A116</v>
      </c>
      <c r="K2173" s="15" t="str">
        <f t="shared" ca="1" si="539"/>
        <v>I2C_Expander_10!B116</v>
      </c>
    </row>
    <row r="2174" spans="1:16" x14ac:dyDescent="0.25">
      <c r="A2174" s="3" t="str">
        <f t="shared" ca="1" si="542"/>
        <v xml:space="preserve">pins_pull_up = 0x0000 </v>
      </c>
      <c r="G2174" s="15">
        <f t="shared" ca="1" si="530"/>
        <v>117</v>
      </c>
      <c r="H2174" s="15">
        <v>1</v>
      </c>
      <c r="I2174" s="15" t="str">
        <f t="shared" ca="1" si="531"/>
        <v>I2C_Expander_10</v>
      </c>
      <c r="J2174" s="15" t="str">
        <f t="shared" ca="1" si="538"/>
        <v>I2C_Expander_10!A117</v>
      </c>
      <c r="K2174" s="15" t="str">
        <f t="shared" ca="1" si="539"/>
        <v>I2C_Expander_10!B117</v>
      </c>
    </row>
    <row r="2175" spans="1:16" x14ac:dyDescent="0.25">
      <c r="A2175" s="3" t="str">
        <f t="shared" ca="1" si="542"/>
        <v xml:space="preserve">#pins_int = 0x0000 </v>
      </c>
      <c r="G2175" s="15">
        <f t="shared" ca="1" si="530"/>
        <v>118</v>
      </c>
      <c r="H2175" s="15">
        <v>1</v>
      </c>
      <c r="I2175" s="15" t="str">
        <f t="shared" ca="1" si="531"/>
        <v>I2C_Expander_10</v>
      </c>
      <c r="J2175" s="15" t="str">
        <f t="shared" ca="1" si="538"/>
        <v>I2C_Expander_10!A118</v>
      </c>
      <c r="K2175" s="15" t="str">
        <f t="shared" ca="1" si="539"/>
        <v>I2C_Expander_10!B118</v>
      </c>
    </row>
    <row r="2176" spans="1:16" x14ac:dyDescent="0.25">
      <c r="A2176" s="3" t="str">
        <f t="shared" ca="1" si="542"/>
        <v xml:space="preserve">#pins_def_val = 0x0000 </v>
      </c>
      <c r="G2176" s="15">
        <f t="shared" ca="1" si="530"/>
        <v>119</v>
      </c>
      <c r="H2176" s="15">
        <v>1</v>
      </c>
      <c r="I2176" s="15" t="str">
        <f t="shared" ca="1" si="531"/>
        <v>I2C_Expander_10</v>
      </c>
      <c r="J2176" s="15" t="str">
        <f t="shared" ca="1" si="538"/>
        <v>I2C_Expander_10!A119</v>
      </c>
      <c r="K2176" s="15" t="str">
        <f t="shared" ca="1" si="539"/>
        <v>I2C_Expander_10!B119</v>
      </c>
    </row>
    <row r="2177" spans="1:16" x14ac:dyDescent="0.25">
      <c r="A2177" s="3" t="str">
        <f t="shared" ca="1" si="542"/>
        <v/>
      </c>
      <c r="G2177" s="15">
        <f t="shared" ca="1" si="530"/>
        <v>120</v>
      </c>
      <c r="H2177" s="15">
        <v>1</v>
      </c>
      <c r="I2177" s="15" t="str">
        <f t="shared" ca="1" si="531"/>
        <v>I2C_Expander_10</v>
      </c>
      <c r="J2177" s="15" t="str">
        <f t="shared" ca="1" si="538"/>
        <v>I2C_Expander_10!A120</v>
      </c>
      <c r="K2177" s="15" t="str">
        <f t="shared" ca="1" si="539"/>
        <v>I2C_Expander_10!B120</v>
      </c>
    </row>
    <row r="2178" spans="1:16" x14ac:dyDescent="0.25">
      <c r="A2178" s="3" t="str">
        <f t="shared" ca="1" si="542"/>
        <v xml:space="preserve">#pins_int = 10 </v>
      </c>
      <c r="G2178" s="15">
        <f t="shared" ca="1" si="530"/>
        <v>121</v>
      </c>
      <c r="H2178" s="15">
        <v>1</v>
      </c>
      <c r="I2178" s="15" t="str">
        <f t="shared" ca="1" si="531"/>
        <v>I2C_Expander_10</v>
      </c>
      <c r="J2178" s="15" t="str">
        <f t="shared" ca="1" si="538"/>
        <v>I2C_Expander_10!A121</v>
      </c>
      <c r="K2178" s="15" t="str">
        <f t="shared" ca="1" si="539"/>
        <v>I2C_Expander_10!B121</v>
      </c>
    </row>
    <row r="2179" spans="1:16" x14ac:dyDescent="0.25">
      <c r="A2179" s="3" t="str">
        <f t="shared" ca="1" si="542"/>
        <v/>
      </c>
      <c r="C2179" s="16"/>
      <c r="G2179" s="15">
        <f t="shared" ca="1" si="530"/>
        <v>122</v>
      </c>
      <c r="H2179" s="15">
        <v>1</v>
      </c>
      <c r="I2179" s="15" t="str">
        <f t="shared" ca="1" si="531"/>
        <v>I2C_Expander_10</v>
      </c>
      <c r="J2179" s="15" t="str">
        <f t="shared" ca="1" si="538"/>
        <v>I2C_Expander_10!A122</v>
      </c>
      <c r="K2179" s="15" t="str">
        <f t="shared" ca="1" si="539"/>
        <v>I2C_Expander_10!B122</v>
      </c>
    </row>
    <row r="2180" spans="1:16" x14ac:dyDescent="0.25">
      <c r="A2180" s="3" t="str">
        <f t="shared" ca="1" si="542"/>
        <v/>
      </c>
      <c r="G2180" s="15">
        <f t="shared" ca="1" si="530"/>
        <v>123</v>
      </c>
      <c r="H2180" s="15">
        <v>1</v>
      </c>
      <c r="I2180" s="15" t="str">
        <f t="shared" ca="1" si="531"/>
        <v>I2C_Expander_10</v>
      </c>
      <c r="J2180" s="15" t="str">
        <f t="shared" ca="1" si="538"/>
        <v>I2C_Expander_10!A123</v>
      </c>
      <c r="K2180" s="15" t="str">
        <f t="shared" ca="1" si="539"/>
        <v>I2C_Expander_10!B123</v>
      </c>
    </row>
    <row r="2181" spans="1:16" x14ac:dyDescent="0.25">
      <c r="A2181" s="3" t="str">
        <f t="shared" ca="1" si="542"/>
        <v/>
      </c>
      <c r="G2181" s="15">
        <f t="shared" ca="1" si="530"/>
        <v>124</v>
      </c>
      <c r="H2181" s="15">
        <v>1</v>
      </c>
      <c r="I2181" s="15" t="str">
        <f t="shared" ca="1" si="531"/>
        <v>I2C_Expander_10</v>
      </c>
      <c r="J2181" s="15" t="str">
        <f t="shared" ca="1" si="538"/>
        <v>I2C_Expander_10!A124</v>
      </c>
      <c r="K2181" s="15" t="str">
        <f t="shared" ca="1" si="539"/>
        <v>I2C_Expander_10!B124</v>
      </c>
    </row>
    <row r="2182" spans="1:16" x14ac:dyDescent="0.25">
      <c r="A2182" s="3" t="str">
        <f t="shared" ca="1" si="542"/>
        <v/>
      </c>
      <c r="G2182" s="15">
        <f t="shared" ca="1" si="530"/>
        <v>125</v>
      </c>
      <c r="H2182" s="15">
        <v>1</v>
      </c>
      <c r="I2182" s="15" t="str">
        <f t="shared" ca="1" si="531"/>
        <v>I2C_Expander_10</v>
      </c>
      <c r="J2182" s="15" t="str">
        <f t="shared" ca="1" si="538"/>
        <v>I2C_Expander_10!A125</v>
      </c>
      <c r="K2182" s="15" t="str">
        <f t="shared" ca="1" si="539"/>
        <v>I2C_Expander_10!B125</v>
      </c>
    </row>
    <row r="2183" spans="1:16" x14ac:dyDescent="0.25">
      <c r="A2183" s="3" t="str">
        <f t="shared" ca="1" si="542"/>
        <v/>
      </c>
      <c r="G2183" s="15">
        <f t="shared" ca="1" si="530"/>
        <v>126</v>
      </c>
      <c r="H2183" s="15">
        <v>1</v>
      </c>
      <c r="I2183" s="15" t="str">
        <f t="shared" ca="1" si="531"/>
        <v>I2C_Expander_10</v>
      </c>
      <c r="J2183" s="15" t="str">
        <f t="shared" ca="1" si="538"/>
        <v>I2C_Expander_10!A126</v>
      </c>
      <c r="K2183" s="15" t="str">
        <f t="shared" ca="1" si="539"/>
        <v>I2C_Expander_10!B126</v>
      </c>
    </row>
    <row r="2184" spans="1:16" x14ac:dyDescent="0.25">
      <c r="A2184" s="3" t="str">
        <f t="shared" ca="1" si="542"/>
        <v/>
      </c>
      <c r="G2184" s="15">
        <f t="shared" ca="1" si="530"/>
        <v>127</v>
      </c>
      <c r="H2184" s="15">
        <v>1</v>
      </c>
      <c r="I2184" s="15" t="str">
        <f t="shared" ca="1" si="531"/>
        <v>I2C_Expander_10</v>
      </c>
      <c r="J2184" s="15" t="str">
        <f t="shared" ca="1" si="538"/>
        <v>I2C_Expander_10!A127</v>
      </c>
      <c r="K2184" s="15" t="str">
        <f t="shared" ca="1" si="539"/>
        <v>I2C_Expander_10!B127</v>
      </c>
    </row>
    <row r="2185" spans="1:16" x14ac:dyDescent="0.25">
      <c r="A2185" s="3" t="str">
        <f t="shared" ca="1" si="542"/>
        <v/>
      </c>
      <c r="G2185" s="15">
        <f t="shared" ref="G2185:G2247" ca="1" si="549">G2184+1</f>
        <v>128</v>
      </c>
      <c r="H2185" s="15">
        <v>1</v>
      </c>
      <c r="I2185" s="15" t="str">
        <f t="shared" ref="I2185:I2247" ca="1" si="550">I2184</f>
        <v>I2C_Expander_10</v>
      </c>
      <c r="J2185" s="15" t="str">
        <f t="shared" ca="1" si="538"/>
        <v>I2C_Expander_10!A128</v>
      </c>
      <c r="K2185" s="15" t="str">
        <f t="shared" ca="1" si="539"/>
        <v>I2C_Expander_10!B128</v>
      </c>
    </row>
    <row r="2186" spans="1:16" x14ac:dyDescent="0.25">
      <c r="A2186" s="3" t="str">
        <f t="shared" ca="1" si="542"/>
        <v/>
      </c>
      <c r="G2186" s="15">
        <f t="shared" ca="1" si="549"/>
        <v>129</v>
      </c>
      <c r="H2186" s="15">
        <v>1</v>
      </c>
      <c r="I2186" s="15" t="str">
        <f t="shared" ca="1" si="550"/>
        <v>I2C_Expander_10</v>
      </c>
      <c r="J2186" s="15" t="str">
        <f t="shared" ca="1" si="538"/>
        <v>I2C_Expander_10!A129</v>
      </c>
      <c r="K2186" s="15" t="str">
        <f t="shared" ca="1" si="539"/>
        <v>I2C_Expander_10!B129</v>
      </c>
    </row>
    <row r="2187" spans="1:16" x14ac:dyDescent="0.25">
      <c r="A2187" s="3" t="str">
        <f t="shared" ca="1" si="542"/>
        <v/>
      </c>
      <c r="G2187" s="15">
        <f t="shared" ca="1" si="549"/>
        <v>130</v>
      </c>
      <c r="H2187" s="15">
        <v>1</v>
      </c>
      <c r="I2187" s="15" t="str">
        <f t="shared" ca="1" si="550"/>
        <v>I2C_Expander_10</v>
      </c>
      <c r="J2187" s="15" t="str">
        <f t="shared" ca="1" si="538"/>
        <v>I2C_Expander_10!A130</v>
      </c>
      <c r="K2187" s="15" t="str">
        <f t="shared" ca="1" si="539"/>
        <v>I2C_Expander_10!B130</v>
      </c>
    </row>
    <row r="2188" spans="1:16" x14ac:dyDescent="0.25">
      <c r="A2188" s="3" t="str">
        <f t="shared" ca="1" si="542"/>
        <v xml:space="preserve">#RadioCard_TETRA_Exp1:etap 1 =  </v>
      </c>
      <c r="G2188" s="15">
        <f t="shared" ref="G2188" ca="1" si="551">INDIRECT(M2188)</f>
        <v>51</v>
      </c>
      <c r="H2188" s="15">
        <v>1</v>
      </c>
      <c r="I2188" s="15" t="str">
        <f t="shared" ref="I2188" ca="1" si="552">INDIRECT(N2188)</f>
        <v>RadioCard_TETRA_Exp1</v>
      </c>
      <c r="J2188" s="15" t="str">
        <f t="shared" ca="1" si="538"/>
        <v>RadioCard_TETRA_Exp1!A51</v>
      </c>
      <c r="K2188" s="15" t="str">
        <f t="shared" ca="1" si="539"/>
        <v>RadioCard_TETRA_Exp1!B51</v>
      </c>
      <c r="M2188" s="15" t="str">
        <f t="shared" ref="M2188" si="553">ADDRESS(O2188,3,4,1,$R$1)</f>
        <v>konfig!C111</v>
      </c>
      <c r="N2188" s="15" t="str">
        <f t="shared" ref="N2188" si="554">ADDRESS(O2188,1,4,1,$R$1)</f>
        <v>konfig!A111</v>
      </c>
      <c r="O2188" s="15">
        <v>111</v>
      </c>
      <c r="P2188" s="15">
        <v>4</v>
      </c>
    </row>
    <row r="2189" spans="1:16" x14ac:dyDescent="0.25">
      <c r="A2189" s="3" t="str">
        <f t="shared" ca="1" si="542"/>
        <v xml:space="preserve">device = MCP23017 </v>
      </c>
      <c r="G2189" s="15">
        <f t="shared" ref="G2189:G2229" ca="1" si="555">G2188+1</f>
        <v>52</v>
      </c>
      <c r="H2189" s="15">
        <v>1</v>
      </c>
      <c r="I2189" s="15" t="str">
        <f t="shared" ref="I2189:I2229" ca="1" si="556">I2188</f>
        <v>RadioCard_TETRA_Exp1</v>
      </c>
      <c r="J2189" s="15" t="str">
        <f t="shared" ca="1" si="538"/>
        <v>RadioCard_TETRA_Exp1!A52</v>
      </c>
      <c r="K2189" s="15" t="str">
        <f t="shared" ca="1" si="539"/>
        <v>RadioCard_TETRA_Exp1!B52</v>
      </c>
    </row>
    <row r="2190" spans="1:16" x14ac:dyDescent="0.25">
      <c r="A2190" s="3" t="str">
        <f t="shared" ca="1" si="542"/>
        <v xml:space="preserve">i2c_addr = 0x26 </v>
      </c>
      <c r="G2190" s="15">
        <f t="shared" ca="1" si="549"/>
        <v>53</v>
      </c>
      <c r="H2190" s="15">
        <v>1</v>
      </c>
      <c r="I2190" s="15" t="str">
        <f t="shared" ca="1" si="550"/>
        <v>RadioCard_TETRA_Exp1</v>
      </c>
      <c r="J2190" s="15" t="str">
        <f t="shared" ca="1" si="538"/>
        <v>RadioCard_TETRA_Exp1!A53</v>
      </c>
      <c r="K2190" s="15" t="str">
        <f t="shared" ca="1" si="539"/>
        <v>RadioCard_TETRA_Exp1!B53</v>
      </c>
    </row>
    <row r="2191" spans="1:16" x14ac:dyDescent="0.25">
      <c r="A2191" s="3" t="str">
        <f t="shared" ca="1" si="542"/>
        <v xml:space="preserve">i2c_num = /dev/i2c-1 </v>
      </c>
      <c r="C2191" s="16"/>
      <c r="G2191" s="15">
        <f t="shared" ca="1" si="549"/>
        <v>54</v>
      </c>
      <c r="H2191" s="15">
        <v>1</v>
      </c>
      <c r="I2191" s="15" t="str">
        <f t="shared" ca="1" si="550"/>
        <v>RadioCard_TETRA_Exp1</v>
      </c>
      <c r="J2191" s="15" t="str">
        <f t="shared" ca="1" si="538"/>
        <v>RadioCard_TETRA_Exp1!A54</v>
      </c>
      <c r="K2191" s="15" t="str">
        <f t="shared" ca="1" si="539"/>
        <v>RadioCard_TETRA_Exp1!B54</v>
      </c>
    </row>
    <row r="2192" spans="1:16" x14ac:dyDescent="0.25">
      <c r="A2192" s="3" t="str">
        <f t="shared" ca="1" si="542"/>
        <v xml:space="preserve">pins_mode = 0x00FF </v>
      </c>
      <c r="G2192" s="15">
        <f t="shared" ca="1" si="549"/>
        <v>55</v>
      </c>
      <c r="H2192" s="15">
        <v>1</v>
      </c>
      <c r="I2192" s="15" t="str">
        <f t="shared" ca="1" si="550"/>
        <v>RadioCard_TETRA_Exp1</v>
      </c>
      <c r="J2192" s="15" t="str">
        <f t="shared" ca="1" si="538"/>
        <v>RadioCard_TETRA_Exp1!A55</v>
      </c>
      <c r="K2192" s="15" t="str">
        <f t="shared" ca="1" si="539"/>
        <v>RadioCard_TETRA_Exp1!B55</v>
      </c>
    </row>
    <row r="2193" spans="1:16" x14ac:dyDescent="0.25">
      <c r="A2193" s="3" t="str">
        <f t="shared" ca="1" si="542"/>
        <v xml:space="preserve">pins_state = 0x0300 </v>
      </c>
      <c r="G2193" s="15">
        <f t="shared" ca="1" si="549"/>
        <v>56</v>
      </c>
      <c r="H2193" s="15">
        <v>1</v>
      </c>
      <c r="I2193" s="15" t="str">
        <f t="shared" ca="1" si="550"/>
        <v>RadioCard_TETRA_Exp1</v>
      </c>
      <c r="J2193" s="15" t="str">
        <f t="shared" ca="1" si="538"/>
        <v>RadioCard_TETRA_Exp1!A56</v>
      </c>
      <c r="K2193" s="15" t="str">
        <f t="shared" ca="1" si="539"/>
        <v>RadioCard_TETRA_Exp1!B56</v>
      </c>
    </row>
    <row r="2194" spans="1:16" x14ac:dyDescent="0.25">
      <c r="A2194" s="3" t="str">
        <f t="shared" ca="1" si="542"/>
        <v xml:space="preserve">pins_pull_up = 0x0000 </v>
      </c>
      <c r="G2194" s="15">
        <f t="shared" ca="1" si="549"/>
        <v>57</v>
      </c>
      <c r="H2194" s="15">
        <v>1</v>
      </c>
      <c r="I2194" s="15" t="str">
        <f t="shared" ca="1" si="550"/>
        <v>RadioCard_TETRA_Exp1</v>
      </c>
      <c r="J2194" s="15" t="str">
        <f t="shared" ca="1" si="538"/>
        <v>RadioCard_TETRA_Exp1!A57</v>
      </c>
      <c r="K2194" s="15" t="str">
        <f t="shared" ca="1" si="539"/>
        <v>RadioCard_TETRA_Exp1!B57</v>
      </c>
    </row>
    <row r="2195" spans="1:16" x14ac:dyDescent="0.25">
      <c r="A2195" s="3" t="str">
        <f t="shared" ca="1" si="542"/>
        <v xml:space="preserve">#pins_int = 0x0000 </v>
      </c>
      <c r="G2195" s="15">
        <f t="shared" ca="1" si="549"/>
        <v>58</v>
      </c>
      <c r="H2195" s="15">
        <v>1</v>
      </c>
      <c r="I2195" s="15" t="str">
        <f t="shared" ca="1" si="550"/>
        <v>RadioCard_TETRA_Exp1</v>
      </c>
      <c r="J2195" s="15" t="str">
        <f t="shared" ca="1" si="538"/>
        <v>RadioCard_TETRA_Exp1!A58</v>
      </c>
      <c r="K2195" s="15" t="str">
        <f t="shared" ca="1" si="539"/>
        <v>RadioCard_TETRA_Exp1!B58</v>
      </c>
    </row>
    <row r="2196" spans="1:16" x14ac:dyDescent="0.25">
      <c r="A2196" s="3" t="str">
        <f t="shared" ca="1" si="542"/>
        <v xml:space="preserve">#pins_def_val = 0x0000 </v>
      </c>
      <c r="G2196" s="15">
        <f t="shared" ca="1" si="549"/>
        <v>59</v>
      </c>
      <c r="H2196" s="15">
        <v>1</v>
      </c>
      <c r="I2196" s="15" t="str">
        <f t="shared" ca="1" si="550"/>
        <v>RadioCard_TETRA_Exp1</v>
      </c>
      <c r="J2196" s="15" t="str">
        <f t="shared" ca="1" si="538"/>
        <v>RadioCard_TETRA_Exp1!A59</v>
      </c>
      <c r="K2196" s="15" t="str">
        <f t="shared" ca="1" si="539"/>
        <v>RadioCard_TETRA_Exp1!B59</v>
      </c>
    </row>
    <row r="2197" spans="1:16" x14ac:dyDescent="0.25">
      <c r="A2197" s="3" t="str">
        <f t="shared" ca="1" si="542"/>
        <v/>
      </c>
      <c r="G2197" s="15">
        <f t="shared" ca="1" si="549"/>
        <v>60</v>
      </c>
      <c r="H2197" s="15">
        <v>1</v>
      </c>
      <c r="I2197" s="15" t="str">
        <f t="shared" ca="1" si="550"/>
        <v>RadioCard_TETRA_Exp1</v>
      </c>
      <c r="J2197" s="15" t="str">
        <f t="shared" ca="1" si="538"/>
        <v>RadioCard_TETRA_Exp1!A60</v>
      </c>
      <c r="K2197" s="15" t="str">
        <f t="shared" ca="1" si="539"/>
        <v>RadioCard_TETRA_Exp1!B60</v>
      </c>
    </row>
    <row r="2198" spans="1:16" x14ac:dyDescent="0.25">
      <c r="A2198" s="3" t="str">
        <f t="shared" ca="1" si="542"/>
        <v xml:space="preserve">time = 10 </v>
      </c>
      <c r="G2198" s="15">
        <f t="shared" ca="1" si="549"/>
        <v>61</v>
      </c>
      <c r="H2198" s="15">
        <v>1</v>
      </c>
      <c r="I2198" s="15" t="str">
        <f t="shared" ca="1" si="550"/>
        <v>RadioCard_TETRA_Exp1</v>
      </c>
      <c r="J2198" s="15" t="str">
        <f t="shared" ca="1" si="538"/>
        <v>RadioCard_TETRA_Exp1!A61</v>
      </c>
      <c r="K2198" s="15" t="str">
        <f t="shared" ca="1" si="539"/>
        <v>RadioCard_TETRA_Exp1!B61</v>
      </c>
    </row>
    <row r="2199" spans="1:16" x14ac:dyDescent="0.25">
      <c r="A2199" s="3" t="str">
        <f t="shared" ca="1" si="542"/>
        <v/>
      </c>
      <c r="C2199" s="16"/>
      <c r="G2199" s="15">
        <f t="shared" ca="1" si="549"/>
        <v>62</v>
      </c>
      <c r="H2199" s="15">
        <v>1</v>
      </c>
      <c r="I2199" s="15" t="str">
        <f t="shared" ca="1" si="550"/>
        <v>RadioCard_TETRA_Exp1</v>
      </c>
      <c r="J2199" s="15" t="str">
        <f t="shared" ca="1" si="538"/>
        <v>RadioCard_TETRA_Exp1!A62</v>
      </c>
      <c r="K2199" s="15" t="str">
        <f t="shared" ca="1" si="539"/>
        <v>RadioCard_TETRA_Exp1!B62</v>
      </c>
    </row>
    <row r="2200" spans="1:16" x14ac:dyDescent="0.25">
      <c r="A2200" s="3" t="str">
        <f t="shared" ca="1" si="542"/>
        <v/>
      </c>
      <c r="G2200" s="15">
        <f t="shared" ca="1" si="549"/>
        <v>63</v>
      </c>
      <c r="H2200" s="15">
        <v>1</v>
      </c>
      <c r="I2200" s="15" t="str">
        <f t="shared" ca="1" si="550"/>
        <v>RadioCard_TETRA_Exp1</v>
      </c>
      <c r="J2200" s="15" t="str">
        <f t="shared" ca="1" si="538"/>
        <v>RadioCard_TETRA_Exp1!A63</v>
      </c>
      <c r="K2200" s="15" t="str">
        <f t="shared" ca="1" si="539"/>
        <v>RadioCard_TETRA_Exp1!B63</v>
      </c>
    </row>
    <row r="2201" spans="1:16" x14ac:dyDescent="0.25">
      <c r="A2201" s="3" t="str">
        <f t="shared" ca="1" si="542"/>
        <v/>
      </c>
      <c r="G2201" s="15">
        <f t="shared" ca="1" si="549"/>
        <v>64</v>
      </c>
      <c r="H2201" s="15">
        <v>1</v>
      </c>
      <c r="I2201" s="15" t="str">
        <f t="shared" ca="1" si="550"/>
        <v>RadioCard_TETRA_Exp1</v>
      </c>
      <c r="J2201" s="15" t="str">
        <f t="shared" ca="1" si="538"/>
        <v>RadioCard_TETRA_Exp1!A64</v>
      </c>
      <c r="K2201" s="15" t="str">
        <f t="shared" ca="1" si="539"/>
        <v>RadioCard_TETRA_Exp1!B64</v>
      </c>
    </row>
    <row r="2202" spans="1:16" x14ac:dyDescent="0.25">
      <c r="A2202" s="3" t="str">
        <f t="shared" ca="1" si="542"/>
        <v/>
      </c>
      <c r="G2202" s="15">
        <f t="shared" ca="1" si="549"/>
        <v>65</v>
      </c>
      <c r="H2202" s="15">
        <v>1</v>
      </c>
      <c r="I2202" s="15" t="str">
        <f t="shared" ca="1" si="550"/>
        <v>RadioCard_TETRA_Exp1</v>
      </c>
      <c r="J2202" s="15" t="str">
        <f t="shared" ca="1" si="538"/>
        <v>RadioCard_TETRA_Exp1!A65</v>
      </c>
      <c r="K2202" s="15" t="str">
        <f t="shared" ca="1" si="539"/>
        <v>RadioCard_TETRA_Exp1!B65</v>
      </c>
    </row>
    <row r="2203" spans="1:16" x14ac:dyDescent="0.25">
      <c r="A2203" s="3" t="str">
        <f t="shared" ca="1" si="542"/>
        <v/>
      </c>
      <c r="G2203" s="15">
        <f t="shared" ca="1" si="549"/>
        <v>66</v>
      </c>
      <c r="H2203" s="15">
        <v>1</v>
      </c>
      <c r="I2203" s="15" t="str">
        <f t="shared" ca="1" si="550"/>
        <v>RadioCard_TETRA_Exp1</v>
      </c>
      <c r="J2203" s="15" t="str">
        <f t="shared" ca="1" si="538"/>
        <v>RadioCard_TETRA_Exp1!A66</v>
      </c>
      <c r="K2203" s="15" t="str">
        <f t="shared" ca="1" si="539"/>
        <v>RadioCard_TETRA_Exp1!B66</v>
      </c>
    </row>
    <row r="2204" spans="1:16" x14ac:dyDescent="0.25">
      <c r="A2204" s="3" t="str">
        <f t="shared" ca="1" si="542"/>
        <v/>
      </c>
      <c r="G2204" s="15">
        <f t="shared" ca="1" si="549"/>
        <v>67</v>
      </c>
      <c r="H2204" s="15">
        <v>1</v>
      </c>
      <c r="I2204" s="15" t="str">
        <f t="shared" ca="1" si="550"/>
        <v>RadioCard_TETRA_Exp1</v>
      </c>
      <c r="J2204" s="15" t="str">
        <f t="shared" ca="1" si="538"/>
        <v>RadioCard_TETRA_Exp1!A67</v>
      </c>
      <c r="K2204" s="15" t="str">
        <f t="shared" ca="1" si="539"/>
        <v>RadioCard_TETRA_Exp1!B67</v>
      </c>
    </row>
    <row r="2205" spans="1:16" x14ac:dyDescent="0.25">
      <c r="A2205" s="3" t="str">
        <f t="shared" ca="1" si="542"/>
        <v/>
      </c>
      <c r="G2205" s="15">
        <f t="shared" ca="1" si="549"/>
        <v>68</v>
      </c>
      <c r="H2205" s="15">
        <v>1</v>
      </c>
      <c r="I2205" s="15" t="str">
        <f t="shared" ca="1" si="550"/>
        <v>RadioCard_TETRA_Exp1</v>
      </c>
      <c r="J2205" s="15" t="str">
        <f t="shared" ca="1" si="538"/>
        <v>RadioCard_TETRA_Exp1!A68</v>
      </c>
      <c r="K2205" s="15" t="str">
        <f t="shared" ca="1" si="539"/>
        <v>RadioCard_TETRA_Exp1!B68</v>
      </c>
    </row>
    <row r="2206" spans="1:16" x14ac:dyDescent="0.25">
      <c r="A2206" s="3" t="str">
        <f t="shared" ca="1" si="542"/>
        <v/>
      </c>
      <c r="G2206" s="15">
        <f t="shared" ca="1" si="549"/>
        <v>69</v>
      </c>
      <c r="H2206" s="15">
        <v>1</v>
      </c>
      <c r="I2206" s="15" t="str">
        <f t="shared" ca="1" si="550"/>
        <v>RadioCard_TETRA_Exp1</v>
      </c>
      <c r="J2206" s="15" t="str">
        <f t="shared" ca="1" si="538"/>
        <v>RadioCard_TETRA_Exp1!A69</v>
      </c>
      <c r="K2206" s="15" t="str">
        <f t="shared" ca="1" si="539"/>
        <v>RadioCard_TETRA_Exp1!B69</v>
      </c>
    </row>
    <row r="2207" spans="1:16" x14ac:dyDescent="0.25">
      <c r="A2207" s="3" t="str">
        <f t="shared" ca="1" si="542"/>
        <v/>
      </c>
      <c r="G2207" s="15">
        <f t="shared" ca="1" si="549"/>
        <v>70</v>
      </c>
      <c r="H2207" s="15">
        <v>1</v>
      </c>
      <c r="I2207" s="15" t="str">
        <f t="shared" ca="1" si="550"/>
        <v>RadioCard_TETRA_Exp1</v>
      </c>
      <c r="J2207" s="15" t="str">
        <f t="shared" ca="1" si="538"/>
        <v>RadioCard_TETRA_Exp1!A70</v>
      </c>
      <c r="K2207" s="15" t="str">
        <f t="shared" ca="1" si="539"/>
        <v>RadioCard_TETRA_Exp1!B70</v>
      </c>
    </row>
    <row r="2208" spans="1:16" x14ac:dyDescent="0.25">
      <c r="A2208" s="3" t="str">
        <f t="shared" ca="1" si="542"/>
        <v xml:space="preserve">#RadioCard_TETRA_Exp1:etap 1 =  </v>
      </c>
      <c r="G2208" s="15">
        <f t="shared" ref="G2208" ca="1" si="557">INDIRECT(M2208)</f>
        <v>51</v>
      </c>
      <c r="H2208" s="15">
        <v>1</v>
      </c>
      <c r="I2208" s="15" t="str">
        <f t="shared" ref="I2208" ca="1" si="558">INDIRECT(N2208)</f>
        <v>RadioCard_TETRA_Exp2</v>
      </c>
      <c r="J2208" s="15" t="str">
        <f t="shared" ca="1" si="538"/>
        <v>RadioCard_TETRA_Exp2!A51</v>
      </c>
      <c r="K2208" s="15" t="str">
        <f t="shared" ca="1" si="539"/>
        <v>RadioCard_TETRA_Exp2!B51</v>
      </c>
      <c r="M2208" s="15" t="str">
        <f t="shared" ref="M2208" si="559">ADDRESS(O2208,3,4,1,$R$1)</f>
        <v>konfig!C112</v>
      </c>
      <c r="N2208" s="15" t="str">
        <f t="shared" ref="N2208" si="560">ADDRESS(O2208,1,4,1,$R$1)</f>
        <v>konfig!A112</v>
      </c>
      <c r="O2208" s="15">
        <v>112</v>
      </c>
      <c r="P2208" s="15">
        <v>4</v>
      </c>
    </row>
    <row r="2209" spans="1:11" x14ac:dyDescent="0.25">
      <c r="A2209" s="3" t="str">
        <f t="shared" ca="1" si="542"/>
        <v xml:space="preserve">device = MCP23017 </v>
      </c>
      <c r="G2209" s="15">
        <f t="shared" ca="1" si="547"/>
        <v>52</v>
      </c>
      <c r="H2209" s="15">
        <v>1</v>
      </c>
      <c r="I2209" s="15" t="str">
        <f t="shared" ca="1" si="548"/>
        <v>RadioCard_TETRA_Exp2</v>
      </c>
      <c r="J2209" s="15" t="str">
        <f t="shared" ca="1" si="538"/>
        <v>RadioCard_TETRA_Exp2!A52</v>
      </c>
      <c r="K2209" s="15" t="str">
        <f t="shared" ca="1" si="539"/>
        <v>RadioCard_TETRA_Exp2!B52</v>
      </c>
    </row>
    <row r="2210" spans="1:11" x14ac:dyDescent="0.25">
      <c r="A2210" s="3" t="str">
        <f t="shared" ca="1" si="542"/>
        <v xml:space="preserve">i2c_addr = 0x27 </v>
      </c>
      <c r="G2210" s="15">
        <f t="shared" ca="1" si="547"/>
        <v>53</v>
      </c>
      <c r="H2210" s="15">
        <v>1</v>
      </c>
      <c r="I2210" s="15" t="str">
        <f t="shared" ca="1" si="548"/>
        <v>RadioCard_TETRA_Exp2</v>
      </c>
      <c r="J2210" s="15" t="str">
        <f t="shared" ca="1" si="538"/>
        <v>RadioCard_TETRA_Exp2!A53</v>
      </c>
      <c r="K2210" s="15" t="str">
        <f t="shared" ca="1" si="539"/>
        <v>RadioCard_TETRA_Exp2!B53</v>
      </c>
    </row>
    <row r="2211" spans="1:11" x14ac:dyDescent="0.25">
      <c r="A2211" s="3" t="str">
        <f t="shared" ca="1" si="542"/>
        <v xml:space="preserve">i2c_num = /dev/i2c-1 </v>
      </c>
      <c r="C2211" s="16"/>
      <c r="G2211" s="15">
        <f t="shared" ca="1" si="547"/>
        <v>54</v>
      </c>
      <c r="H2211" s="15">
        <v>1</v>
      </c>
      <c r="I2211" s="15" t="str">
        <f t="shared" ca="1" si="548"/>
        <v>RadioCard_TETRA_Exp2</v>
      </c>
      <c r="J2211" s="15" t="str">
        <f t="shared" ca="1" si="538"/>
        <v>RadioCard_TETRA_Exp2!A54</v>
      </c>
      <c r="K2211" s="15" t="str">
        <f t="shared" ca="1" si="539"/>
        <v>RadioCard_TETRA_Exp2!B54</v>
      </c>
    </row>
    <row r="2212" spans="1:11" x14ac:dyDescent="0.25">
      <c r="A2212" s="3" t="str">
        <f t="shared" ca="1" si="542"/>
        <v xml:space="preserve">pins_mode = 0xCE8C </v>
      </c>
      <c r="G2212" s="15">
        <f t="shared" ca="1" si="547"/>
        <v>55</v>
      </c>
      <c r="H2212" s="15">
        <v>1</v>
      </c>
      <c r="I2212" s="15" t="str">
        <f t="shared" ca="1" si="548"/>
        <v>RadioCard_TETRA_Exp2</v>
      </c>
      <c r="J2212" s="15" t="str">
        <f t="shared" ref="J2212:J2275" ca="1" si="561">ADDRESS(G2212,H2212,4,1,I2212)</f>
        <v>RadioCard_TETRA_Exp2!A55</v>
      </c>
      <c r="K2212" s="15" t="str">
        <f t="shared" ref="K2212:K2275" ca="1" si="562">ADDRESS(G2212,H2212+1,4,1,I2212)</f>
        <v>RadioCard_TETRA_Exp2!B55</v>
      </c>
    </row>
    <row r="2213" spans="1:11" x14ac:dyDescent="0.25">
      <c r="A2213" s="3" t="str">
        <f t="shared" ca="1" si="542"/>
        <v xml:space="preserve">pins_state = 0x0100 </v>
      </c>
      <c r="G2213" s="15">
        <f t="shared" ca="1" si="549"/>
        <v>56</v>
      </c>
      <c r="H2213" s="15">
        <v>1</v>
      </c>
      <c r="I2213" s="15" t="str">
        <f t="shared" ca="1" si="550"/>
        <v>RadioCard_TETRA_Exp2</v>
      </c>
      <c r="J2213" s="15" t="str">
        <f t="shared" ca="1" si="561"/>
        <v>RadioCard_TETRA_Exp2!A56</v>
      </c>
      <c r="K2213" s="15" t="str">
        <f t="shared" ca="1" si="562"/>
        <v>RadioCard_TETRA_Exp2!B56</v>
      </c>
    </row>
    <row r="2214" spans="1:11" x14ac:dyDescent="0.25">
      <c r="A2214" s="3" t="str">
        <f t="shared" ca="1" si="542"/>
        <v xml:space="preserve">pins_pull_up = 0x4808 </v>
      </c>
      <c r="G2214" s="15">
        <f t="shared" ca="1" si="549"/>
        <v>57</v>
      </c>
      <c r="H2214" s="15">
        <v>1</v>
      </c>
      <c r="I2214" s="15" t="str">
        <f t="shared" ca="1" si="550"/>
        <v>RadioCard_TETRA_Exp2</v>
      </c>
      <c r="J2214" s="15" t="str">
        <f t="shared" ca="1" si="561"/>
        <v>RadioCard_TETRA_Exp2!A57</v>
      </c>
      <c r="K2214" s="15" t="str">
        <f t="shared" ca="1" si="562"/>
        <v>RadioCard_TETRA_Exp2!B57</v>
      </c>
    </row>
    <row r="2215" spans="1:11" x14ac:dyDescent="0.25">
      <c r="A2215" s="3" t="str">
        <f t="shared" ca="1" si="542"/>
        <v xml:space="preserve">#pins_int = 0x0000 </v>
      </c>
      <c r="G2215" s="15">
        <f t="shared" ca="1" si="549"/>
        <v>58</v>
      </c>
      <c r="H2215" s="15">
        <v>1</v>
      </c>
      <c r="I2215" s="15" t="str">
        <f t="shared" ca="1" si="550"/>
        <v>RadioCard_TETRA_Exp2</v>
      </c>
      <c r="J2215" s="15" t="str">
        <f t="shared" ca="1" si="561"/>
        <v>RadioCard_TETRA_Exp2!A58</v>
      </c>
      <c r="K2215" s="15" t="str">
        <f t="shared" ca="1" si="562"/>
        <v>RadioCard_TETRA_Exp2!B58</v>
      </c>
    </row>
    <row r="2216" spans="1:11" x14ac:dyDescent="0.25">
      <c r="A2216" s="3" t="str">
        <f t="shared" ca="1" si="542"/>
        <v xml:space="preserve">#pins_def_val = 0x0000 </v>
      </c>
      <c r="G2216" s="15">
        <f t="shared" ca="1" si="549"/>
        <v>59</v>
      </c>
      <c r="H2216" s="15">
        <v>1</v>
      </c>
      <c r="I2216" s="15" t="str">
        <f t="shared" ca="1" si="550"/>
        <v>RadioCard_TETRA_Exp2</v>
      </c>
      <c r="J2216" s="15" t="str">
        <f t="shared" ca="1" si="561"/>
        <v>RadioCard_TETRA_Exp2!A59</v>
      </c>
      <c r="K2216" s="15" t="str">
        <f t="shared" ca="1" si="562"/>
        <v>RadioCard_TETRA_Exp2!B59</v>
      </c>
    </row>
    <row r="2217" spans="1:11" x14ac:dyDescent="0.25">
      <c r="A2217" s="3" t="str">
        <f t="shared" ca="1" si="542"/>
        <v/>
      </c>
      <c r="G2217" s="15">
        <f t="shared" ca="1" si="549"/>
        <v>60</v>
      </c>
      <c r="H2217" s="15">
        <v>1</v>
      </c>
      <c r="I2217" s="15" t="str">
        <f t="shared" ca="1" si="550"/>
        <v>RadioCard_TETRA_Exp2</v>
      </c>
      <c r="J2217" s="15" t="str">
        <f t="shared" ca="1" si="561"/>
        <v>RadioCard_TETRA_Exp2!A60</v>
      </c>
      <c r="K2217" s="15" t="str">
        <f t="shared" ca="1" si="562"/>
        <v>RadioCard_TETRA_Exp2!B60</v>
      </c>
    </row>
    <row r="2218" spans="1:11" x14ac:dyDescent="0.25">
      <c r="A2218" s="3" t="str">
        <f t="shared" ca="1" si="542"/>
        <v xml:space="preserve">time = 10 </v>
      </c>
      <c r="G2218" s="15">
        <f t="shared" ca="1" si="549"/>
        <v>61</v>
      </c>
      <c r="H2218" s="15">
        <v>1</v>
      </c>
      <c r="I2218" s="15" t="str">
        <f t="shared" ca="1" si="550"/>
        <v>RadioCard_TETRA_Exp2</v>
      </c>
      <c r="J2218" s="15" t="str">
        <f t="shared" ca="1" si="561"/>
        <v>RadioCard_TETRA_Exp2!A61</v>
      </c>
      <c r="K2218" s="15" t="str">
        <f t="shared" ca="1" si="562"/>
        <v>RadioCard_TETRA_Exp2!B61</v>
      </c>
    </row>
    <row r="2219" spans="1:11" x14ac:dyDescent="0.25">
      <c r="A2219" s="3" t="str">
        <f t="shared" ca="1" si="542"/>
        <v/>
      </c>
      <c r="C2219" s="16"/>
      <c r="G2219" s="15">
        <f t="shared" ca="1" si="549"/>
        <v>62</v>
      </c>
      <c r="H2219" s="15">
        <v>1</v>
      </c>
      <c r="I2219" s="15" t="str">
        <f t="shared" ca="1" si="550"/>
        <v>RadioCard_TETRA_Exp2</v>
      </c>
      <c r="J2219" s="15" t="str">
        <f t="shared" ca="1" si="561"/>
        <v>RadioCard_TETRA_Exp2!A62</v>
      </c>
      <c r="K2219" s="15" t="str">
        <f t="shared" ca="1" si="562"/>
        <v>RadioCard_TETRA_Exp2!B62</v>
      </c>
    </row>
    <row r="2220" spans="1:11" x14ac:dyDescent="0.25">
      <c r="A2220" s="3" t="str">
        <f t="shared" ref="A2220:A2283" ca="1" si="563">IFERROR(IF(INDIRECT(J2220)&lt;&gt;"",CONCATENATE(INDIRECT(J2220)," = ",INDIRECT(K2220)," "),""),"")</f>
        <v/>
      </c>
      <c r="G2220" s="15">
        <f t="shared" ca="1" si="549"/>
        <v>63</v>
      </c>
      <c r="H2220" s="15">
        <v>1</v>
      </c>
      <c r="I2220" s="15" t="str">
        <f t="shared" ca="1" si="550"/>
        <v>RadioCard_TETRA_Exp2</v>
      </c>
      <c r="J2220" s="15" t="str">
        <f t="shared" ca="1" si="561"/>
        <v>RadioCard_TETRA_Exp2!A63</v>
      </c>
      <c r="K2220" s="15" t="str">
        <f t="shared" ca="1" si="562"/>
        <v>RadioCard_TETRA_Exp2!B63</v>
      </c>
    </row>
    <row r="2221" spans="1:11" x14ac:dyDescent="0.25">
      <c r="A2221" s="3" t="str">
        <f t="shared" ca="1" si="563"/>
        <v/>
      </c>
      <c r="G2221" s="15">
        <f t="shared" ca="1" si="549"/>
        <v>64</v>
      </c>
      <c r="H2221" s="15">
        <v>1</v>
      </c>
      <c r="I2221" s="15" t="str">
        <f t="shared" ca="1" si="550"/>
        <v>RadioCard_TETRA_Exp2</v>
      </c>
      <c r="J2221" s="15" t="str">
        <f t="shared" ca="1" si="561"/>
        <v>RadioCard_TETRA_Exp2!A64</v>
      </c>
      <c r="K2221" s="15" t="str">
        <f t="shared" ca="1" si="562"/>
        <v>RadioCard_TETRA_Exp2!B64</v>
      </c>
    </row>
    <row r="2222" spans="1:11" x14ac:dyDescent="0.25">
      <c r="A2222" s="3" t="str">
        <f t="shared" ca="1" si="563"/>
        <v/>
      </c>
      <c r="G2222" s="15">
        <f t="shared" ca="1" si="549"/>
        <v>65</v>
      </c>
      <c r="H2222" s="15">
        <v>1</v>
      </c>
      <c r="I2222" s="15" t="str">
        <f t="shared" ca="1" si="550"/>
        <v>RadioCard_TETRA_Exp2</v>
      </c>
      <c r="J2222" s="15" t="str">
        <f t="shared" ca="1" si="561"/>
        <v>RadioCard_TETRA_Exp2!A65</v>
      </c>
      <c r="K2222" s="15" t="str">
        <f t="shared" ca="1" si="562"/>
        <v>RadioCard_TETRA_Exp2!B65</v>
      </c>
    </row>
    <row r="2223" spans="1:11" x14ac:dyDescent="0.25">
      <c r="A2223" s="3" t="str">
        <f t="shared" ca="1" si="563"/>
        <v/>
      </c>
      <c r="G2223" s="15">
        <f t="shared" ca="1" si="549"/>
        <v>66</v>
      </c>
      <c r="H2223" s="15">
        <v>1</v>
      </c>
      <c r="I2223" s="15" t="str">
        <f t="shared" ca="1" si="550"/>
        <v>RadioCard_TETRA_Exp2</v>
      </c>
      <c r="J2223" s="15" t="str">
        <f t="shared" ca="1" si="561"/>
        <v>RadioCard_TETRA_Exp2!A66</v>
      </c>
      <c r="K2223" s="15" t="str">
        <f t="shared" ca="1" si="562"/>
        <v>RadioCard_TETRA_Exp2!B66</v>
      </c>
    </row>
    <row r="2224" spans="1:11" x14ac:dyDescent="0.25">
      <c r="A2224" s="3" t="str">
        <f t="shared" ca="1" si="563"/>
        <v/>
      </c>
      <c r="G2224" s="15">
        <f t="shared" ca="1" si="549"/>
        <v>67</v>
      </c>
      <c r="H2224" s="15">
        <v>1</v>
      </c>
      <c r="I2224" s="15" t="str">
        <f t="shared" ca="1" si="550"/>
        <v>RadioCard_TETRA_Exp2</v>
      </c>
      <c r="J2224" s="15" t="str">
        <f t="shared" ca="1" si="561"/>
        <v>RadioCard_TETRA_Exp2!A67</v>
      </c>
      <c r="K2224" s="15" t="str">
        <f t="shared" ca="1" si="562"/>
        <v>RadioCard_TETRA_Exp2!B67</v>
      </c>
    </row>
    <row r="2225" spans="1:16" x14ac:dyDescent="0.25">
      <c r="A2225" s="3" t="str">
        <f t="shared" ca="1" si="563"/>
        <v/>
      </c>
      <c r="G2225" s="15">
        <f t="shared" ca="1" si="549"/>
        <v>68</v>
      </c>
      <c r="H2225" s="15">
        <v>1</v>
      </c>
      <c r="I2225" s="15" t="str">
        <f t="shared" ca="1" si="550"/>
        <v>RadioCard_TETRA_Exp2</v>
      </c>
      <c r="J2225" s="15" t="str">
        <f t="shared" ca="1" si="561"/>
        <v>RadioCard_TETRA_Exp2!A68</v>
      </c>
      <c r="K2225" s="15" t="str">
        <f t="shared" ca="1" si="562"/>
        <v>RadioCard_TETRA_Exp2!B68</v>
      </c>
    </row>
    <row r="2226" spans="1:16" x14ac:dyDescent="0.25">
      <c r="A2226" s="3" t="str">
        <f t="shared" ca="1" si="563"/>
        <v/>
      </c>
      <c r="G2226" s="15">
        <f t="shared" ca="1" si="549"/>
        <v>69</v>
      </c>
      <c r="H2226" s="15">
        <v>1</v>
      </c>
      <c r="I2226" s="15" t="str">
        <f t="shared" ca="1" si="550"/>
        <v>RadioCard_TETRA_Exp2</v>
      </c>
      <c r="J2226" s="15" t="str">
        <f t="shared" ca="1" si="561"/>
        <v>RadioCard_TETRA_Exp2!A69</v>
      </c>
      <c r="K2226" s="15" t="str">
        <f t="shared" ca="1" si="562"/>
        <v>RadioCard_TETRA_Exp2!B69</v>
      </c>
    </row>
    <row r="2227" spans="1:16" x14ac:dyDescent="0.25">
      <c r="A2227" s="3" t="str">
        <f t="shared" ca="1" si="563"/>
        <v/>
      </c>
      <c r="G2227" s="15">
        <f t="shared" ca="1" si="549"/>
        <v>70</v>
      </c>
      <c r="H2227" s="15">
        <v>1</v>
      </c>
      <c r="I2227" s="15" t="str">
        <f t="shared" ca="1" si="550"/>
        <v>RadioCard_TETRA_Exp2</v>
      </c>
      <c r="J2227" s="15" t="str">
        <f t="shared" ca="1" si="561"/>
        <v>RadioCard_TETRA_Exp2!A70</v>
      </c>
      <c r="K2227" s="15" t="str">
        <f t="shared" ca="1" si="562"/>
        <v>RadioCard_TETRA_Exp2!B70</v>
      </c>
    </row>
    <row r="2228" spans="1:16" x14ac:dyDescent="0.25">
      <c r="A2228" s="3" t="str">
        <f t="shared" ca="1" si="563"/>
        <v xml:space="preserve">#RadioCard_TETRA_Exp1:etap 1 =  </v>
      </c>
      <c r="G2228" s="15">
        <f t="shared" ref="G2228" ca="1" si="564">INDIRECT(M2228)</f>
        <v>51</v>
      </c>
      <c r="H2228" s="15">
        <v>1</v>
      </c>
      <c r="I2228" s="15" t="str">
        <f t="shared" ref="I2228" ca="1" si="565">INDIRECT(N2228)</f>
        <v>RadioCard_TETRA_Exp1</v>
      </c>
      <c r="J2228" s="15" t="str">
        <f t="shared" ca="1" si="561"/>
        <v>RadioCard_TETRA_Exp1!A51</v>
      </c>
      <c r="K2228" s="15" t="str">
        <f t="shared" ca="1" si="562"/>
        <v>RadioCard_TETRA_Exp1!B51</v>
      </c>
      <c r="M2228" s="15" t="str">
        <f t="shared" ref="M2228" si="566">ADDRESS(O2228,3,4,1,$R$1)</f>
        <v>konfig!C113</v>
      </c>
      <c r="N2228" s="15" t="str">
        <f t="shared" ref="N2228" si="567">ADDRESS(O2228,1,4,1,$R$1)</f>
        <v>konfig!A113</v>
      </c>
      <c r="O2228" s="15">
        <v>113</v>
      </c>
      <c r="P2228" s="15">
        <v>4</v>
      </c>
    </row>
    <row r="2229" spans="1:16" x14ac:dyDescent="0.25">
      <c r="A2229" s="3" t="str">
        <f t="shared" ca="1" si="563"/>
        <v xml:space="preserve">device = MCP23017 </v>
      </c>
      <c r="G2229" s="15">
        <f t="shared" ca="1" si="555"/>
        <v>52</v>
      </c>
      <c r="H2229" s="15">
        <v>1</v>
      </c>
      <c r="I2229" s="15" t="str">
        <f t="shared" ca="1" si="556"/>
        <v>RadioCard_TETRA_Exp1</v>
      </c>
      <c r="J2229" s="15" t="str">
        <f t="shared" ca="1" si="561"/>
        <v>RadioCard_TETRA_Exp1!A52</v>
      </c>
      <c r="K2229" s="15" t="str">
        <f t="shared" ca="1" si="562"/>
        <v>RadioCard_TETRA_Exp1!B52</v>
      </c>
    </row>
    <row r="2230" spans="1:16" x14ac:dyDescent="0.25">
      <c r="A2230" s="3" t="str">
        <f t="shared" ca="1" si="563"/>
        <v xml:space="preserve">i2c_addr = 0x26 </v>
      </c>
      <c r="G2230" s="15">
        <f t="shared" ca="1" si="549"/>
        <v>53</v>
      </c>
      <c r="H2230" s="15">
        <v>1</v>
      </c>
      <c r="I2230" s="15" t="str">
        <f t="shared" ca="1" si="550"/>
        <v>RadioCard_TETRA_Exp1</v>
      </c>
      <c r="J2230" s="15" t="str">
        <f t="shared" ca="1" si="561"/>
        <v>RadioCard_TETRA_Exp1!A53</v>
      </c>
      <c r="K2230" s="15" t="str">
        <f t="shared" ca="1" si="562"/>
        <v>RadioCard_TETRA_Exp1!B53</v>
      </c>
    </row>
    <row r="2231" spans="1:16" x14ac:dyDescent="0.25">
      <c r="A2231" s="3" t="str">
        <f t="shared" ca="1" si="563"/>
        <v xml:space="preserve">i2c_num = /dev/i2c-1 </v>
      </c>
      <c r="C2231" s="16"/>
      <c r="G2231" s="15">
        <f t="shared" ca="1" si="549"/>
        <v>54</v>
      </c>
      <c r="H2231" s="15">
        <v>1</v>
      </c>
      <c r="I2231" s="15" t="str">
        <f t="shared" ca="1" si="550"/>
        <v>RadioCard_TETRA_Exp1</v>
      </c>
      <c r="J2231" s="15" t="str">
        <f t="shared" ca="1" si="561"/>
        <v>RadioCard_TETRA_Exp1!A54</v>
      </c>
      <c r="K2231" s="15" t="str">
        <f t="shared" ca="1" si="562"/>
        <v>RadioCard_TETRA_Exp1!B54</v>
      </c>
    </row>
    <row r="2232" spans="1:16" x14ac:dyDescent="0.25">
      <c r="A2232" s="3" t="str">
        <f t="shared" ca="1" si="563"/>
        <v xml:space="preserve">pins_mode = 0x00FF </v>
      </c>
      <c r="G2232" s="15">
        <f t="shared" ca="1" si="549"/>
        <v>55</v>
      </c>
      <c r="H2232" s="15">
        <v>1</v>
      </c>
      <c r="I2232" s="15" t="str">
        <f t="shared" ca="1" si="550"/>
        <v>RadioCard_TETRA_Exp1</v>
      </c>
      <c r="J2232" s="15" t="str">
        <f t="shared" ca="1" si="561"/>
        <v>RadioCard_TETRA_Exp1!A55</v>
      </c>
      <c r="K2232" s="15" t="str">
        <f t="shared" ca="1" si="562"/>
        <v>RadioCard_TETRA_Exp1!B55</v>
      </c>
    </row>
    <row r="2233" spans="1:16" x14ac:dyDescent="0.25">
      <c r="A2233" s="3" t="str">
        <f t="shared" ca="1" si="563"/>
        <v xml:space="preserve">pins_state = 0x0300 </v>
      </c>
      <c r="G2233" s="15">
        <f t="shared" ca="1" si="549"/>
        <v>56</v>
      </c>
      <c r="H2233" s="15">
        <v>1</v>
      </c>
      <c r="I2233" s="15" t="str">
        <f t="shared" ca="1" si="550"/>
        <v>RadioCard_TETRA_Exp1</v>
      </c>
      <c r="J2233" s="15" t="str">
        <f t="shared" ca="1" si="561"/>
        <v>RadioCard_TETRA_Exp1!A56</v>
      </c>
      <c r="K2233" s="15" t="str">
        <f t="shared" ca="1" si="562"/>
        <v>RadioCard_TETRA_Exp1!B56</v>
      </c>
    </row>
    <row r="2234" spans="1:16" x14ac:dyDescent="0.25">
      <c r="A2234" s="3" t="str">
        <f t="shared" ca="1" si="563"/>
        <v xml:space="preserve">pins_pull_up = 0x0000 </v>
      </c>
      <c r="G2234" s="15">
        <f t="shared" ca="1" si="549"/>
        <v>57</v>
      </c>
      <c r="H2234" s="15">
        <v>1</v>
      </c>
      <c r="I2234" s="15" t="str">
        <f t="shared" ca="1" si="550"/>
        <v>RadioCard_TETRA_Exp1</v>
      </c>
      <c r="J2234" s="15" t="str">
        <f t="shared" ca="1" si="561"/>
        <v>RadioCard_TETRA_Exp1!A57</v>
      </c>
      <c r="K2234" s="15" t="str">
        <f t="shared" ca="1" si="562"/>
        <v>RadioCard_TETRA_Exp1!B57</v>
      </c>
    </row>
    <row r="2235" spans="1:16" x14ac:dyDescent="0.25">
      <c r="A2235" s="3" t="str">
        <f t="shared" ca="1" si="563"/>
        <v xml:space="preserve">#pins_int = 0x0000 </v>
      </c>
      <c r="G2235" s="15">
        <f t="shared" ca="1" si="549"/>
        <v>58</v>
      </c>
      <c r="H2235" s="15">
        <v>1</v>
      </c>
      <c r="I2235" s="15" t="str">
        <f t="shared" ca="1" si="550"/>
        <v>RadioCard_TETRA_Exp1</v>
      </c>
      <c r="J2235" s="15" t="str">
        <f t="shared" ca="1" si="561"/>
        <v>RadioCard_TETRA_Exp1!A58</v>
      </c>
      <c r="K2235" s="15" t="str">
        <f t="shared" ca="1" si="562"/>
        <v>RadioCard_TETRA_Exp1!B58</v>
      </c>
    </row>
    <row r="2236" spans="1:16" x14ac:dyDescent="0.25">
      <c r="A2236" s="3" t="str">
        <f t="shared" ca="1" si="563"/>
        <v xml:space="preserve">#pins_def_val = 0x0000 </v>
      </c>
      <c r="G2236" s="15">
        <f t="shared" ca="1" si="549"/>
        <v>59</v>
      </c>
      <c r="H2236" s="15">
        <v>1</v>
      </c>
      <c r="I2236" s="15" t="str">
        <f t="shared" ca="1" si="550"/>
        <v>RadioCard_TETRA_Exp1</v>
      </c>
      <c r="J2236" s="15" t="str">
        <f t="shared" ca="1" si="561"/>
        <v>RadioCard_TETRA_Exp1!A59</v>
      </c>
      <c r="K2236" s="15" t="str">
        <f t="shared" ca="1" si="562"/>
        <v>RadioCard_TETRA_Exp1!B59</v>
      </c>
    </row>
    <row r="2237" spans="1:16" x14ac:dyDescent="0.25">
      <c r="A2237" s="3" t="str">
        <f t="shared" ca="1" si="563"/>
        <v/>
      </c>
      <c r="G2237" s="15">
        <f t="shared" ca="1" si="549"/>
        <v>60</v>
      </c>
      <c r="H2237" s="15">
        <v>1</v>
      </c>
      <c r="I2237" s="15" t="str">
        <f t="shared" ca="1" si="550"/>
        <v>RadioCard_TETRA_Exp1</v>
      </c>
      <c r="J2237" s="15" t="str">
        <f t="shared" ca="1" si="561"/>
        <v>RadioCard_TETRA_Exp1!A60</v>
      </c>
      <c r="K2237" s="15" t="str">
        <f t="shared" ca="1" si="562"/>
        <v>RadioCard_TETRA_Exp1!B60</v>
      </c>
    </row>
    <row r="2238" spans="1:16" x14ac:dyDescent="0.25">
      <c r="A2238" s="3" t="str">
        <f t="shared" ca="1" si="563"/>
        <v xml:space="preserve">time = 10 </v>
      </c>
      <c r="G2238" s="15">
        <f t="shared" ca="1" si="549"/>
        <v>61</v>
      </c>
      <c r="H2238" s="15">
        <v>1</v>
      </c>
      <c r="I2238" s="15" t="str">
        <f t="shared" ca="1" si="550"/>
        <v>RadioCard_TETRA_Exp1</v>
      </c>
      <c r="J2238" s="15" t="str">
        <f t="shared" ca="1" si="561"/>
        <v>RadioCard_TETRA_Exp1!A61</v>
      </c>
      <c r="K2238" s="15" t="str">
        <f t="shared" ca="1" si="562"/>
        <v>RadioCard_TETRA_Exp1!B61</v>
      </c>
    </row>
    <row r="2239" spans="1:16" x14ac:dyDescent="0.25">
      <c r="A2239" s="3" t="str">
        <f t="shared" ca="1" si="563"/>
        <v/>
      </c>
      <c r="C2239" s="16"/>
      <c r="G2239" s="15">
        <f t="shared" ca="1" si="549"/>
        <v>62</v>
      </c>
      <c r="H2239" s="15">
        <v>1</v>
      </c>
      <c r="I2239" s="15" t="str">
        <f t="shared" ca="1" si="550"/>
        <v>RadioCard_TETRA_Exp1</v>
      </c>
      <c r="J2239" s="15" t="str">
        <f t="shared" ca="1" si="561"/>
        <v>RadioCard_TETRA_Exp1!A62</v>
      </c>
      <c r="K2239" s="15" t="str">
        <f t="shared" ca="1" si="562"/>
        <v>RadioCard_TETRA_Exp1!B62</v>
      </c>
    </row>
    <row r="2240" spans="1:16" x14ac:dyDescent="0.25">
      <c r="A2240" s="3" t="str">
        <f t="shared" ca="1" si="563"/>
        <v/>
      </c>
      <c r="G2240" s="15">
        <f t="shared" ca="1" si="549"/>
        <v>63</v>
      </c>
      <c r="H2240" s="15">
        <v>1</v>
      </c>
      <c r="I2240" s="15" t="str">
        <f t="shared" ca="1" si="550"/>
        <v>RadioCard_TETRA_Exp1</v>
      </c>
      <c r="J2240" s="15" t="str">
        <f t="shared" ca="1" si="561"/>
        <v>RadioCard_TETRA_Exp1!A63</v>
      </c>
      <c r="K2240" s="15" t="str">
        <f t="shared" ca="1" si="562"/>
        <v>RadioCard_TETRA_Exp1!B63</v>
      </c>
    </row>
    <row r="2241" spans="1:16" x14ac:dyDescent="0.25">
      <c r="A2241" s="3" t="str">
        <f t="shared" ca="1" si="563"/>
        <v/>
      </c>
      <c r="G2241" s="15">
        <f t="shared" ca="1" si="549"/>
        <v>64</v>
      </c>
      <c r="H2241" s="15">
        <v>1</v>
      </c>
      <c r="I2241" s="15" t="str">
        <f t="shared" ca="1" si="550"/>
        <v>RadioCard_TETRA_Exp1</v>
      </c>
      <c r="J2241" s="15" t="str">
        <f t="shared" ca="1" si="561"/>
        <v>RadioCard_TETRA_Exp1!A64</v>
      </c>
      <c r="K2241" s="15" t="str">
        <f t="shared" ca="1" si="562"/>
        <v>RadioCard_TETRA_Exp1!B64</v>
      </c>
    </row>
    <row r="2242" spans="1:16" x14ac:dyDescent="0.25">
      <c r="A2242" s="3" t="str">
        <f t="shared" ca="1" si="563"/>
        <v/>
      </c>
      <c r="G2242" s="15">
        <f t="shared" ca="1" si="549"/>
        <v>65</v>
      </c>
      <c r="H2242" s="15">
        <v>1</v>
      </c>
      <c r="I2242" s="15" t="str">
        <f t="shared" ca="1" si="550"/>
        <v>RadioCard_TETRA_Exp1</v>
      </c>
      <c r="J2242" s="15" t="str">
        <f t="shared" ca="1" si="561"/>
        <v>RadioCard_TETRA_Exp1!A65</v>
      </c>
      <c r="K2242" s="15" t="str">
        <f t="shared" ca="1" si="562"/>
        <v>RadioCard_TETRA_Exp1!B65</v>
      </c>
    </row>
    <row r="2243" spans="1:16" x14ac:dyDescent="0.25">
      <c r="A2243" s="3" t="str">
        <f t="shared" ca="1" si="563"/>
        <v/>
      </c>
      <c r="G2243" s="15">
        <f t="shared" ca="1" si="549"/>
        <v>66</v>
      </c>
      <c r="H2243" s="15">
        <v>1</v>
      </c>
      <c r="I2243" s="15" t="str">
        <f t="shared" ca="1" si="550"/>
        <v>RadioCard_TETRA_Exp1</v>
      </c>
      <c r="J2243" s="15" t="str">
        <f t="shared" ca="1" si="561"/>
        <v>RadioCard_TETRA_Exp1!A66</v>
      </c>
      <c r="K2243" s="15" t="str">
        <f t="shared" ca="1" si="562"/>
        <v>RadioCard_TETRA_Exp1!B66</v>
      </c>
    </row>
    <row r="2244" spans="1:16" x14ac:dyDescent="0.25">
      <c r="A2244" s="3" t="str">
        <f t="shared" ca="1" si="563"/>
        <v/>
      </c>
      <c r="G2244" s="15">
        <f t="shared" ca="1" si="549"/>
        <v>67</v>
      </c>
      <c r="H2244" s="15">
        <v>1</v>
      </c>
      <c r="I2244" s="15" t="str">
        <f t="shared" ca="1" si="550"/>
        <v>RadioCard_TETRA_Exp1</v>
      </c>
      <c r="J2244" s="15" t="str">
        <f t="shared" ca="1" si="561"/>
        <v>RadioCard_TETRA_Exp1!A67</v>
      </c>
      <c r="K2244" s="15" t="str">
        <f t="shared" ca="1" si="562"/>
        <v>RadioCard_TETRA_Exp1!B67</v>
      </c>
    </row>
    <row r="2245" spans="1:16" x14ac:dyDescent="0.25">
      <c r="A2245" s="3" t="str">
        <f t="shared" ca="1" si="563"/>
        <v/>
      </c>
      <c r="G2245" s="15">
        <f t="shared" ca="1" si="549"/>
        <v>68</v>
      </c>
      <c r="H2245" s="15">
        <v>1</v>
      </c>
      <c r="I2245" s="15" t="str">
        <f t="shared" ca="1" si="550"/>
        <v>RadioCard_TETRA_Exp1</v>
      </c>
      <c r="J2245" s="15" t="str">
        <f t="shared" ca="1" si="561"/>
        <v>RadioCard_TETRA_Exp1!A68</v>
      </c>
      <c r="K2245" s="15" t="str">
        <f t="shared" ca="1" si="562"/>
        <v>RadioCard_TETRA_Exp1!B68</v>
      </c>
    </row>
    <row r="2246" spans="1:16" x14ac:dyDescent="0.25">
      <c r="A2246" s="3" t="str">
        <f t="shared" ca="1" si="563"/>
        <v/>
      </c>
      <c r="G2246" s="15">
        <f t="shared" ca="1" si="549"/>
        <v>69</v>
      </c>
      <c r="H2246" s="15">
        <v>1</v>
      </c>
      <c r="I2246" s="15" t="str">
        <f t="shared" ca="1" si="550"/>
        <v>RadioCard_TETRA_Exp1</v>
      </c>
      <c r="J2246" s="15" t="str">
        <f t="shared" ca="1" si="561"/>
        <v>RadioCard_TETRA_Exp1!A69</v>
      </c>
      <c r="K2246" s="15" t="str">
        <f t="shared" ca="1" si="562"/>
        <v>RadioCard_TETRA_Exp1!B69</v>
      </c>
    </row>
    <row r="2247" spans="1:16" x14ac:dyDescent="0.25">
      <c r="A2247" s="3" t="str">
        <f t="shared" ca="1" si="563"/>
        <v/>
      </c>
      <c r="G2247" s="15">
        <f t="shared" ca="1" si="549"/>
        <v>70</v>
      </c>
      <c r="H2247" s="15">
        <v>1</v>
      </c>
      <c r="I2247" s="15" t="str">
        <f t="shared" ca="1" si="550"/>
        <v>RadioCard_TETRA_Exp1</v>
      </c>
      <c r="J2247" s="15" t="str">
        <f t="shared" ca="1" si="561"/>
        <v>RadioCard_TETRA_Exp1!A70</v>
      </c>
      <c r="K2247" s="15" t="str">
        <f t="shared" ca="1" si="562"/>
        <v>RadioCard_TETRA_Exp1!B70</v>
      </c>
    </row>
    <row r="2248" spans="1:16" x14ac:dyDescent="0.25">
      <c r="A2248" s="3" t="str">
        <f t="shared" ca="1" si="563"/>
        <v xml:space="preserve">#RadioCard_TETRA_Exp1:etap 2 =  </v>
      </c>
      <c r="G2248" s="15">
        <f t="shared" ref="G2248" ca="1" si="568">INDIRECT(M2248)</f>
        <v>71</v>
      </c>
      <c r="H2248" s="15">
        <v>1</v>
      </c>
      <c r="I2248" s="15" t="str">
        <f t="shared" ref="I2248" ca="1" si="569">INDIRECT(N2248)</f>
        <v>RadioCard_TETRA_Exp2</v>
      </c>
      <c r="J2248" s="15" t="str">
        <f t="shared" ca="1" si="561"/>
        <v>RadioCard_TETRA_Exp2!A71</v>
      </c>
      <c r="K2248" s="15" t="str">
        <f t="shared" ca="1" si="562"/>
        <v>RadioCard_TETRA_Exp2!B71</v>
      </c>
      <c r="M2248" s="15" t="str">
        <f t="shared" ref="M2248" si="570">ADDRESS(O2248,3,4,1,$R$1)</f>
        <v>konfig!C114</v>
      </c>
      <c r="N2248" s="15" t="str">
        <f t="shared" ref="N2248" si="571">ADDRESS(O2248,1,4,1,$R$1)</f>
        <v>konfig!A114</v>
      </c>
      <c r="O2248" s="15">
        <v>114</v>
      </c>
      <c r="P2248" s="15">
        <v>4</v>
      </c>
    </row>
    <row r="2249" spans="1:16" x14ac:dyDescent="0.25">
      <c r="A2249" s="3" t="str">
        <f t="shared" ca="1" si="563"/>
        <v xml:space="preserve">device = MCP23017 </v>
      </c>
      <c r="G2249" s="15">
        <f t="shared" ref="G2249:G2312" ca="1" si="572">G2248+1</f>
        <v>72</v>
      </c>
      <c r="H2249" s="15">
        <v>1</v>
      </c>
      <c r="I2249" s="15" t="str">
        <f t="shared" ref="I2249:I2312" ca="1" si="573">I2248</f>
        <v>RadioCard_TETRA_Exp2</v>
      </c>
      <c r="J2249" s="15" t="str">
        <f t="shared" ca="1" si="561"/>
        <v>RadioCard_TETRA_Exp2!A72</v>
      </c>
      <c r="K2249" s="15" t="str">
        <f t="shared" ca="1" si="562"/>
        <v>RadioCard_TETRA_Exp2!B72</v>
      </c>
    </row>
    <row r="2250" spans="1:16" x14ac:dyDescent="0.25">
      <c r="A2250" s="3" t="str">
        <f t="shared" ca="1" si="563"/>
        <v xml:space="preserve">i2c_addr = 0x27 </v>
      </c>
      <c r="G2250" s="15">
        <f t="shared" ca="1" si="572"/>
        <v>73</v>
      </c>
      <c r="H2250" s="15">
        <v>1</v>
      </c>
      <c r="I2250" s="15" t="str">
        <f t="shared" ca="1" si="573"/>
        <v>RadioCard_TETRA_Exp2</v>
      </c>
      <c r="J2250" s="15" t="str">
        <f t="shared" ca="1" si="561"/>
        <v>RadioCard_TETRA_Exp2!A73</v>
      </c>
      <c r="K2250" s="15" t="str">
        <f t="shared" ca="1" si="562"/>
        <v>RadioCard_TETRA_Exp2!B73</v>
      </c>
    </row>
    <row r="2251" spans="1:16" x14ac:dyDescent="0.25">
      <c r="A2251" s="3" t="str">
        <f t="shared" ca="1" si="563"/>
        <v xml:space="preserve">i2c_num = /dev/i2c-1 </v>
      </c>
      <c r="C2251" s="16"/>
      <c r="G2251" s="15">
        <f t="shared" ca="1" si="572"/>
        <v>74</v>
      </c>
      <c r="H2251" s="15">
        <v>1</v>
      </c>
      <c r="I2251" s="15" t="str">
        <f t="shared" ca="1" si="573"/>
        <v>RadioCard_TETRA_Exp2</v>
      </c>
      <c r="J2251" s="15" t="str">
        <f t="shared" ca="1" si="561"/>
        <v>RadioCard_TETRA_Exp2!A74</v>
      </c>
      <c r="K2251" s="15" t="str">
        <f t="shared" ca="1" si="562"/>
        <v>RadioCard_TETRA_Exp2!B74</v>
      </c>
    </row>
    <row r="2252" spans="1:16" x14ac:dyDescent="0.25">
      <c r="A2252" s="3" t="str">
        <f t="shared" ca="1" si="563"/>
        <v xml:space="preserve">pins_mode = 0xCE8C </v>
      </c>
      <c r="G2252" s="15">
        <f t="shared" ca="1" si="572"/>
        <v>75</v>
      </c>
      <c r="H2252" s="15">
        <v>1</v>
      </c>
      <c r="I2252" s="15" t="str">
        <f t="shared" ca="1" si="573"/>
        <v>RadioCard_TETRA_Exp2</v>
      </c>
      <c r="J2252" s="15" t="str">
        <f t="shared" ca="1" si="561"/>
        <v>RadioCard_TETRA_Exp2!A75</v>
      </c>
      <c r="K2252" s="15" t="str">
        <f t="shared" ca="1" si="562"/>
        <v>RadioCard_TETRA_Exp2!B75</v>
      </c>
    </row>
    <row r="2253" spans="1:16" x14ac:dyDescent="0.25">
      <c r="A2253" s="3" t="str">
        <f t="shared" ca="1" si="563"/>
        <v xml:space="preserve">pins_state = 0x3132 </v>
      </c>
      <c r="G2253" s="15">
        <f t="shared" ca="1" si="572"/>
        <v>76</v>
      </c>
      <c r="H2253" s="15">
        <v>1</v>
      </c>
      <c r="I2253" s="15" t="str">
        <f t="shared" ca="1" si="573"/>
        <v>RadioCard_TETRA_Exp2</v>
      </c>
      <c r="J2253" s="15" t="str">
        <f t="shared" ca="1" si="561"/>
        <v>RadioCard_TETRA_Exp2!A76</v>
      </c>
      <c r="K2253" s="15" t="str">
        <f t="shared" ca="1" si="562"/>
        <v>RadioCard_TETRA_Exp2!B76</v>
      </c>
    </row>
    <row r="2254" spans="1:16" x14ac:dyDescent="0.25">
      <c r="A2254" s="3" t="str">
        <f t="shared" ca="1" si="563"/>
        <v xml:space="preserve">pins_pull_up = 0x4808 </v>
      </c>
      <c r="G2254" s="15">
        <f t="shared" ca="1" si="572"/>
        <v>77</v>
      </c>
      <c r="H2254" s="15">
        <v>1</v>
      </c>
      <c r="I2254" s="15" t="str">
        <f t="shared" ca="1" si="573"/>
        <v>RadioCard_TETRA_Exp2</v>
      </c>
      <c r="J2254" s="15" t="str">
        <f t="shared" ca="1" si="561"/>
        <v>RadioCard_TETRA_Exp2!A77</v>
      </c>
      <c r="K2254" s="15" t="str">
        <f t="shared" ca="1" si="562"/>
        <v>RadioCard_TETRA_Exp2!B77</v>
      </c>
    </row>
    <row r="2255" spans="1:16" x14ac:dyDescent="0.25">
      <c r="A2255" s="3" t="str">
        <f t="shared" ca="1" si="563"/>
        <v xml:space="preserve">#pins_int = 0x0000 </v>
      </c>
      <c r="G2255" s="15">
        <f t="shared" ca="1" si="572"/>
        <v>78</v>
      </c>
      <c r="H2255" s="15">
        <v>1</v>
      </c>
      <c r="I2255" s="15" t="str">
        <f t="shared" ca="1" si="573"/>
        <v>RadioCard_TETRA_Exp2</v>
      </c>
      <c r="J2255" s="15" t="str">
        <f t="shared" ca="1" si="561"/>
        <v>RadioCard_TETRA_Exp2!A78</v>
      </c>
      <c r="K2255" s="15" t="str">
        <f t="shared" ca="1" si="562"/>
        <v>RadioCard_TETRA_Exp2!B78</v>
      </c>
    </row>
    <row r="2256" spans="1:16" x14ac:dyDescent="0.25">
      <c r="A2256" s="3" t="str">
        <f t="shared" ca="1" si="563"/>
        <v xml:space="preserve">#pins_def_val = 0x0000 </v>
      </c>
      <c r="G2256" s="15">
        <f t="shared" ca="1" si="572"/>
        <v>79</v>
      </c>
      <c r="H2256" s="15">
        <v>1</v>
      </c>
      <c r="I2256" s="15" t="str">
        <f t="shared" ca="1" si="573"/>
        <v>RadioCard_TETRA_Exp2</v>
      </c>
      <c r="J2256" s="15" t="str">
        <f t="shared" ca="1" si="561"/>
        <v>RadioCard_TETRA_Exp2!A79</v>
      </c>
      <c r="K2256" s="15" t="str">
        <f t="shared" ca="1" si="562"/>
        <v>RadioCard_TETRA_Exp2!B79</v>
      </c>
    </row>
    <row r="2257" spans="1:16" x14ac:dyDescent="0.25">
      <c r="A2257" s="3" t="str">
        <f t="shared" ca="1" si="563"/>
        <v/>
      </c>
      <c r="G2257" s="15">
        <f t="shared" ca="1" si="572"/>
        <v>80</v>
      </c>
      <c r="H2257" s="15">
        <v>1</v>
      </c>
      <c r="I2257" s="15" t="str">
        <f t="shared" ca="1" si="573"/>
        <v>RadioCard_TETRA_Exp2</v>
      </c>
      <c r="J2257" s="15" t="str">
        <f t="shared" ca="1" si="561"/>
        <v>RadioCard_TETRA_Exp2!A80</v>
      </c>
      <c r="K2257" s="15" t="str">
        <f t="shared" ca="1" si="562"/>
        <v>RadioCard_TETRA_Exp2!B80</v>
      </c>
    </row>
    <row r="2258" spans="1:16" x14ac:dyDescent="0.25">
      <c r="A2258" s="3" t="str">
        <f t="shared" ca="1" si="563"/>
        <v xml:space="preserve">#pins_int = 10 </v>
      </c>
      <c r="G2258" s="15">
        <f t="shared" ca="1" si="572"/>
        <v>81</v>
      </c>
      <c r="H2258" s="15">
        <v>1</v>
      </c>
      <c r="I2258" s="15" t="str">
        <f t="shared" ca="1" si="573"/>
        <v>RadioCard_TETRA_Exp2</v>
      </c>
      <c r="J2258" s="15" t="str">
        <f t="shared" ca="1" si="561"/>
        <v>RadioCard_TETRA_Exp2!A81</v>
      </c>
      <c r="K2258" s="15" t="str">
        <f t="shared" ca="1" si="562"/>
        <v>RadioCard_TETRA_Exp2!B81</v>
      </c>
    </row>
    <row r="2259" spans="1:16" x14ac:dyDescent="0.25">
      <c r="A2259" s="3" t="str">
        <f t="shared" ca="1" si="563"/>
        <v/>
      </c>
      <c r="C2259" s="16"/>
      <c r="G2259" s="15">
        <f t="shared" ca="1" si="572"/>
        <v>82</v>
      </c>
      <c r="H2259" s="15">
        <v>1</v>
      </c>
      <c r="I2259" s="15" t="str">
        <f t="shared" ca="1" si="573"/>
        <v>RadioCard_TETRA_Exp2</v>
      </c>
      <c r="J2259" s="15" t="str">
        <f t="shared" ca="1" si="561"/>
        <v>RadioCard_TETRA_Exp2!A82</v>
      </c>
      <c r="K2259" s="15" t="str">
        <f t="shared" ca="1" si="562"/>
        <v>RadioCard_TETRA_Exp2!B82</v>
      </c>
    </row>
    <row r="2260" spans="1:16" x14ac:dyDescent="0.25">
      <c r="A2260" s="3" t="str">
        <f t="shared" ca="1" si="563"/>
        <v/>
      </c>
      <c r="G2260" s="15">
        <f t="shared" ca="1" si="572"/>
        <v>83</v>
      </c>
      <c r="H2260" s="15">
        <v>1</v>
      </c>
      <c r="I2260" s="15" t="str">
        <f t="shared" ca="1" si="573"/>
        <v>RadioCard_TETRA_Exp2</v>
      </c>
      <c r="J2260" s="15" t="str">
        <f t="shared" ca="1" si="561"/>
        <v>RadioCard_TETRA_Exp2!A83</v>
      </c>
      <c r="K2260" s="15" t="str">
        <f t="shared" ca="1" si="562"/>
        <v>RadioCard_TETRA_Exp2!B83</v>
      </c>
    </row>
    <row r="2261" spans="1:16" x14ac:dyDescent="0.25">
      <c r="A2261" s="3" t="str">
        <f t="shared" ca="1" si="563"/>
        <v/>
      </c>
      <c r="G2261" s="15">
        <f t="shared" ca="1" si="572"/>
        <v>84</v>
      </c>
      <c r="H2261" s="15">
        <v>1</v>
      </c>
      <c r="I2261" s="15" t="str">
        <f t="shared" ca="1" si="573"/>
        <v>RadioCard_TETRA_Exp2</v>
      </c>
      <c r="J2261" s="15" t="str">
        <f t="shared" ca="1" si="561"/>
        <v>RadioCard_TETRA_Exp2!A84</v>
      </c>
      <c r="K2261" s="15" t="str">
        <f t="shared" ca="1" si="562"/>
        <v>RadioCard_TETRA_Exp2!B84</v>
      </c>
    </row>
    <row r="2262" spans="1:16" x14ac:dyDescent="0.25">
      <c r="A2262" s="3" t="str">
        <f t="shared" ca="1" si="563"/>
        <v/>
      </c>
      <c r="G2262" s="15">
        <f t="shared" ca="1" si="572"/>
        <v>85</v>
      </c>
      <c r="H2262" s="15">
        <v>1</v>
      </c>
      <c r="I2262" s="15" t="str">
        <f t="shared" ca="1" si="573"/>
        <v>RadioCard_TETRA_Exp2</v>
      </c>
      <c r="J2262" s="15" t="str">
        <f t="shared" ca="1" si="561"/>
        <v>RadioCard_TETRA_Exp2!A85</v>
      </c>
      <c r="K2262" s="15" t="str">
        <f t="shared" ca="1" si="562"/>
        <v>RadioCard_TETRA_Exp2!B85</v>
      </c>
    </row>
    <row r="2263" spans="1:16" x14ac:dyDescent="0.25">
      <c r="A2263" s="3" t="str">
        <f t="shared" ca="1" si="563"/>
        <v/>
      </c>
      <c r="G2263" s="15">
        <f t="shared" ca="1" si="572"/>
        <v>86</v>
      </c>
      <c r="H2263" s="15">
        <v>1</v>
      </c>
      <c r="I2263" s="15" t="str">
        <f t="shared" ca="1" si="573"/>
        <v>RadioCard_TETRA_Exp2</v>
      </c>
      <c r="J2263" s="15" t="str">
        <f t="shared" ca="1" si="561"/>
        <v>RadioCard_TETRA_Exp2!A86</v>
      </c>
      <c r="K2263" s="15" t="str">
        <f t="shared" ca="1" si="562"/>
        <v>RadioCard_TETRA_Exp2!B86</v>
      </c>
    </row>
    <row r="2264" spans="1:16" x14ac:dyDescent="0.25">
      <c r="A2264" s="3" t="str">
        <f t="shared" ca="1" si="563"/>
        <v/>
      </c>
      <c r="G2264" s="15">
        <f t="shared" ca="1" si="572"/>
        <v>87</v>
      </c>
      <c r="H2264" s="15">
        <v>1</v>
      </c>
      <c r="I2264" s="15" t="str">
        <f t="shared" ca="1" si="573"/>
        <v>RadioCard_TETRA_Exp2</v>
      </c>
      <c r="J2264" s="15" t="str">
        <f t="shared" ca="1" si="561"/>
        <v>RadioCard_TETRA_Exp2!A87</v>
      </c>
      <c r="K2264" s="15" t="str">
        <f t="shared" ca="1" si="562"/>
        <v>RadioCard_TETRA_Exp2!B87</v>
      </c>
    </row>
    <row r="2265" spans="1:16" x14ac:dyDescent="0.25">
      <c r="A2265" s="3" t="str">
        <f t="shared" ca="1" si="563"/>
        <v/>
      </c>
      <c r="G2265" s="15">
        <f t="shared" ca="1" si="572"/>
        <v>88</v>
      </c>
      <c r="H2265" s="15">
        <v>1</v>
      </c>
      <c r="I2265" s="15" t="str">
        <f t="shared" ca="1" si="573"/>
        <v>RadioCard_TETRA_Exp2</v>
      </c>
      <c r="J2265" s="15" t="str">
        <f t="shared" ca="1" si="561"/>
        <v>RadioCard_TETRA_Exp2!A88</v>
      </c>
      <c r="K2265" s="15" t="str">
        <f t="shared" ca="1" si="562"/>
        <v>RadioCard_TETRA_Exp2!B88</v>
      </c>
    </row>
    <row r="2266" spans="1:16" x14ac:dyDescent="0.25">
      <c r="A2266" s="3" t="str">
        <f t="shared" ca="1" si="563"/>
        <v/>
      </c>
      <c r="G2266" s="15">
        <f t="shared" ca="1" si="572"/>
        <v>89</v>
      </c>
      <c r="H2266" s="15">
        <v>1</v>
      </c>
      <c r="I2266" s="15" t="str">
        <f t="shared" ca="1" si="573"/>
        <v>RadioCard_TETRA_Exp2</v>
      </c>
      <c r="J2266" s="15" t="str">
        <f t="shared" ca="1" si="561"/>
        <v>RadioCard_TETRA_Exp2!A89</v>
      </c>
      <c r="K2266" s="15" t="str">
        <f t="shared" ca="1" si="562"/>
        <v>RadioCard_TETRA_Exp2!B89</v>
      </c>
    </row>
    <row r="2267" spans="1:16" x14ac:dyDescent="0.25">
      <c r="A2267" s="3" t="str">
        <f t="shared" ca="1" si="563"/>
        <v/>
      </c>
      <c r="G2267" s="15">
        <f t="shared" ca="1" si="572"/>
        <v>90</v>
      </c>
      <c r="H2267" s="15">
        <v>1</v>
      </c>
      <c r="I2267" s="15" t="str">
        <f t="shared" ca="1" si="573"/>
        <v>RadioCard_TETRA_Exp2</v>
      </c>
      <c r="J2267" s="15" t="str">
        <f t="shared" ca="1" si="561"/>
        <v>RadioCard_TETRA_Exp2!A90</v>
      </c>
      <c r="K2267" s="15" t="str">
        <f t="shared" ca="1" si="562"/>
        <v>RadioCard_TETRA_Exp2!B90</v>
      </c>
    </row>
    <row r="2268" spans="1:16" x14ac:dyDescent="0.25">
      <c r="A2268" s="3" t="str">
        <f t="shared" ca="1" si="563"/>
        <v xml:space="preserve">#RadioCard_TETRA_Exp1:etap 2 =  </v>
      </c>
      <c r="G2268" s="15">
        <f t="shared" ref="G2268" ca="1" si="574">INDIRECT(M2268)</f>
        <v>71</v>
      </c>
      <c r="H2268" s="15">
        <v>1</v>
      </c>
      <c r="I2268" s="15" t="str">
        <f t="shared" ref="I2268" ca="1" si="575">INDIRECT(N2268)</f>
        <v>RadioCard_TETRA_Exp1</v>
      </c>
      <c r="J2268" s="15" t="str">
        <f t="shared" ca="1" si="561"/>
        <v>RadioCard_TETRA_Exp1!A71</v>
      </c>
      <c r="K2268" s="15" t="str">
        <f t="shared" ca="1" si="562"/>
        <v>RadioCard_TETRA_Exp1!B71</v>
      </c>
      <c r="M2268" s="15" t="str">
        <f t="shared" ref="M2268" si="576">ADDRESS(O2268,3,4,1,$R$1)</f>
        <v>konfig!C115</v>
      </c>
      <c r="N2268" s="15" t="str">
        <f t="shared" ref="N2268" si="577">ADDRESS(O2268,1,4,1,$R$1)</f>
        <v>konfig!A115</v>
      </c>
      <c r="O2268" s="15">
        <v>115</v>
      </c>
      <c r="P2268" s="15">
        <v>4</v>
      </c>
    </row>
    <row r="2269" spans="1:16" x14ac:dyDescent="0.25">
      <c r="A2269" s="3" t="str">
        <f t="shared" ca="1" si="563"/>
        <v xml:space="preserve">device = MCP23017 </v>
      </c>
      <c r="G2269" s="15">
        <f t="shared" ref="G2269:G2309" ca="1" si="578">G2268+1</f>
        <v>72</v>
      </c>
      <c r="H2269" s="15">
        <v>1</v>
      </c>
      <c r="I2269" s="15" t="str">
        <f t="shared" ref="I2269:I2309" ca="1" si="579">I2268</f>
        <v>RadioCard_TETRA_Exp1</v>
      </c>
      <c r="J2269" s="15" t="str">
        <f t="shared" ca="1" si="561"/>
        <v>RadioCard_TETRA_Exp1!A72</v>
      </c>
      <c r="K2269" s="15" t="str">
        <f t="shared" ca="1" si="562"/>
        <v>RadioCard_TETRA_Exp1!B72</v>
      </c>
    </row>
    <row r="2270" spans="1:16" x14ac:dyDescent="0.25">
      <c r="A2270" s="3" t="str">
        <f t="shared" ca="1" si="563"/>
        <v xml:space="preserve">i2c_addr = 0x26 </v>
      </c>
      <c r="G2270" s="15">
        <f t="shared" ca="1" si="572"/>
        <v>73</v>
      </c>
      <c r="H2270" s="15">
        <v>1</v>
      </c>
      <c r="I2270" s="15" t="str">
        <f t="shared" ca="1" si="573"/>
        <v>RadioCard_TETRA_Exp1</v>
      </c>
      <c r="J2270" s="15" t="str">
        <f t="shared" ca="1" si="561"/>
        <v>RadioCard_TETRA_Exp1!A73</v>
      </c>
      <c r="K2270" s="15" t="str">
        <f t="shared" ca="1" si="562"/>
        <v>RadioCard_TETRA_Exp1!B73</v>
      </c>
    </row>
    <row r="2271" spans="1:16" x14ac:dyDescent="0.25">
      <c r="A2271" s="3" t="str">
        <f t="shared" ca="1" si="563"/>
        <v xml:space="preserve">i2c_num = /dev/i2c-1 </v>
      </c>
      <c r="C2271" s="16"/>
      <c r="G2271" s="15">
        <f t="shared" ca="1" si="572"/>
        <v>74</v>
      </c>
      <c r="H2271" s="15">
        <v>1</v>
      </c>
      <c r="I2271" s="15" t="str">
        <f t="shared" ca="1" si="573"/>
        <v>RadioCard_TETRA_Exp1</v>
      </c>
      <c r="J2271" s="15" t="str">
        <f t="shared" ca="1" si="561"/>
        <v>RadioCard_TETRA_Exp1!A74</v>
      </c>
      <c r="K2271" s="15" t="str">
        <f t="shared" ca="1" si="562"/>
        <v>RadioCard_TETRA_Exp1!B74</v>
      </c>
    </row>
    <row r="2272" spans="1:16" x14ac:dyDescent="0.25">
      <c r="A2272" s="3" t="str">
        <f t="shared" ca="1" si="563"/>
        <v xml:space="preserve">pins_mode = 0x00FF </v>
      </c>
      <c r="G2272" s="15">
        <f t="shared" ca="1" si="572"/>
        <v>75</v>
      </c>
      <c r="H2272" s="15">
        <v>1</v>
      </c>
      <c r="I2272" s="15" t="str">
        <f t="shared" ca="1" si="573"/>
        <v>RadioCard_TETRA_Exp1</v>
      </c>
      <c r="J2272" s="15" t="str">
        <f t="shared" ca="1" si="561"/>
        <v>RadioCard_TETRA_Exp1!A75</v>
      </c>
      <c r="K2272" s="15" t="str">
        <f t="shared" ca="1" si="562"/>
        <v>RadioCard_TETRA_Exp1!B75</v>
      </c>
    </row>
    <row r="2273" spans="1:16" x14ac:dyDescent="0.25">
      <c r="A2273" s="3" t="str">
        <f t="shared" ca="1" si="563"/>
        <v xml:space="preserve">pins_state = 0x0200 </v>
      </c>
      <c r="G2273" s="15">
        <f t="shared" ca="1" si="572"/>
        <v>76</v>
      </c>
      <c r="H2273" s="15">
        <v>1</v>
      </c>
      <c r="I2273" s="15" t="str">
        <f t="shared" ca="1" si="573"/>
        <v>RadioCard_TETRA_Exp1</v>
      </c>
      <c r="J2273" s="15" t="str">
        <f t="shared" ca="1" si="561"/>
        <v>RadioCard_TETRA_Exp1!A76</v>
      </c>
      <c r="K2273" s="15" t="str">
        <f t="shared" ca="1" si="562"/>
        <v>RadioCard_TETRA_Exp1!B76</v>
      </c>
    </row>
    <row r="2274" spans="1:16" x14ac:dyDescent="0.25">
      <c r="A2274" s="3" t="str">
        <f t="shared" ca="1" si="563"/>
        <v xml:space="preserve">pins_pull_up = 0x0000 </v>
      </c>
      <c r="G2274" s="15">
        <f t="shared" ca="1" si="572"/>
        <v>77</v>
      </c>
      <c r="H2274" s="15">
        <v>1</v>
      </c>
      <c r="I2274" s="15" t="str">
        <f t="shared" ca="1" si="573"/>
        <v>RadioCard_TETRA_Exp1</v>
      </c>
      <c r="J2274" s="15" t="str">
        <f t="shared" ca="1" si="561"/>
        <v>RadioCard_TETRA_Exp1!A77</v>
      </c>
      <c r="K2274" s="15" t="str">
        <f t="shared" ca="1" si="562"/>
        <v>RadioCard_TETRA_Exp1!B77</v>
      </c>
    </row>
    <row r="2275" spans="1:16" x14ac:dyDescent="0.25">
      <c r="A2275" s="3" t="str">
        <f t="shared" ca="1" si="563"/>
        <v xml:space="preserve">#pins_int = 0x0000 </v>
      </c>
      <c r="G2275" s="15">
        <f t="shared" ca="1" si="572"/>
        <v>78</v>
      </c>
      <c r="H2275" s="15">
        <v>1</v>
      </c>
      <c r="I2275" s="15" t="str">
        <f t="shared" ca="1" si="573"/>
        <v>RadioCard_TETRA_Exp1</v>
      </c>
      <c r="J2275" s="15" t="str">
        <f t="shared" ca="1" si="561"/>
        <v>RadioCard_TETRA_Exp1!A78</v>
      </c>
      <c r="K2275" s="15" t="str">
        <f t="shared" ca="1" si="562"/>
        <v>RadioCard_TETRA_Exp1!B78</v>
      </c>
    </row>
    <row r="2276" spans="1:16" x14ac:dyDescent="0.25">
      <c r="A2276" s="3" t="str">
        <f t="shared" ca="1" si="563"/>
        <v xml:space="preserve">#pins_def_val = 0x0000 </v>
      </c>
      <c r="G2276" s="15">
        <f t="shared" ca="1" si="572"/>
        <v>79</v>
      </c>
      <c r="H2276" s="15">
        <v>1</v>
      </c>
      <c r="I2276" s="15" t="str">
        <f t="shared" ca="1" si="573"/>
        <v>RadioCard_TETRA_Exp1</v>
      </c>
      <c r="J2276" s="15" t="str">
        <f t="shared" ref="J2276:J2339" ca="1" si="580">ADDRESS(G2276,H2276,4,1,I2276)</f>
        <v>RadioCard_TETRA_Exp1!A79</v>
      </c>
      <c r="K2276" s="15" t="str">
        <f t="shared" ref="K2276:K2339" ca="1" si="581">ADDRESS(G2276,H2276+1,4,1,I2276)</f>
        <v>RadioCard_TETRA_Exp1!B79</v>
      </c>
    </row>
    <row r="2277" spans="1:16" x14ac:dyDescent="0.25">
      <c r="A2277" s="3" t="str">
        <f t="shared" ca="1" si="563"/>
        <v/>
      </c>
      <c r="G2277" s="15">
        <f t="shared" ca="1" si="572"/>
        <v>80</v>
      </c>
      <c r="H2277" s="15">
        <v>1</v>
      </c>
      <c r="I2277" s="15" t="str">
        <f t="shared" ca="1" si="573"/>
        <v>RadioCard_TETRA_Exp1</v>
      </c>
      <c r="J2277" s="15" t="str">
        <f t="shared" ca="1" si="580"/>
        <v>RadioCard_TETRA_Exp1!A80</v>
      </c>
      <c r="K2277" s="15" t="str">
        <f t="shared" ca="1" si="581"/>
        <v>RadioCard_TETRA_Exp1!B80</v>
      </c>
    </row>
    <row r="2278" spans="1:16" x14ac:dyDescent="0.25">
      <c r="A2278" s="3" t="str">
        <f t="shared" ca="1" si="563"/>
        <v xml:space="preserve">#pins_int = 10 </v>
      </c>
      <c r="G2278" s="15">
        <f t="shared" ca="1" si="572"/>
        <v>81</v>
      </c>
      <c r="H2278" s="15">
        <v>1</v>
      </c>
      <c r="I2278" s="15" t="str">
        <f t="shared" ca="1" si="573"/>
        <v>RadioCard_TETRA_Exp1</v>
      </c>
      <c r="J2278" s="15" t="str">
        <f t="shared" ca="1" si="580"/>
        <v>RadioCard_TETRA_Exp1!A81</v>
      </c>
      <c r="K2278" s="15" t="str">
        <f t="shared" ca="1" si="581"/>
        <v>RadioCard_TETRA_Exp1!B81</v>
      </c>
    </row>
    <row r="2279" spans="1:16" x14ac:dyDescent="0.25">
      <c r="A2279" s="3" t="str">
        <f t="shared" ca="1" si="563"/>
        <v/>
      </c>
      <c r="C2279" s="16"/>
      <c r="G2279" s="15">
        <f t="shared" ca="1" si="572"/>
        <v>82</v>
      </c>
      <c r="H2279" s="15">
        <v>1</v>
      </c>
      <c r="I2279" s="15" t="str">
        <f t="shared" ca="1" si="573"/>
        <v>RadioCard_TETRA_Exp1</v>
      </c>
      <c r="J2279" s="15" t="str">
        <f t="shared" ca="1" si="580"/>
        <v>RadioCard_TETRA_Exp1!A82</v>
      </c>
      <c r="K2279" s="15" t="str">
        <f t="shared" ca="1" si="581"/>
        <v>RadioCard_TETRA_Exp1!B82</v>
      </c>
    </row>
    <row r="2280" spans="1:16" x14ac:dyDescent="0.25">
      <c r="A2280" s="3" t="str">
        <f t="shared" ca="1" si="563"/>
        <v/>
      </c>
      <c r="G2280" s="15">
        <f t="shared" ca="1" si="572"/>
        <v>83</v>
      </c>
      <c r="H2280" s="15">
        <v>1</v>
      </c>
      <c r="I2280" s="15" t="str">
        <f t="shared" ca="1" si="573"/>
        <v>RadioCard_TETRA_Exp1</v>
      </c>
      <c r="J2280" s="15" t="str">
        <f t="shared" ca="1" si="580"/>
        <v>RadioCard_TETRA_Exp1!A83</v>
      </c>
      <c r="K2280" s="15" t="str">
        <f t="shared" ca="1" si="581"/>
        <v>RadioCard_TETRA_Exp1!B83</v>
      </c>
    </row>
    <row r="2281" spans="1:16" x14ac:dyDescent="0.25">
      <c r="A2281" s="3" t="str">
        <f t="shared" ca="1" si="563"/>
        <v/>
      </c>
      <c r="G2281" s="15">
        <f t="shared" ca="1" si="572"/>
        <v>84</v>
      </c>
      <c r="H2281" s="15">
        <v>1</v>
      </c>
      <c r="I2281" s="15" t="str">
        <f t="shared" ca="1" si="573"/>
        <v>RadioCard_TETRA_Exp1</v>
      </c>
      <c r="J2281" s="15" t="str">
        <f t="shared" ca="1" si="580"/>
        <v>RadioCard_TETRA_Exp1!A84</v>
      </c>
      <c r="K2281" s="15" t="str">
        <f t="shared" ca="1" si="581"/>
        <v>RadioCard_TETRA_Exp1!B84</v>
      </c>
    </row>
    <row r="2282" spans="1:16" x14ac:dyDescent="0.25">
      <c r="A2282" s="3" t="str">
        <f t="shared" ca="1" si="563"/>
        <v/>
      </c>
      <c r="G2282" s="15">
        <f t="shared" ca="1" si="572"/>
        <v>85</v>
      </c>
      <c r="H2282" s="15">
        <v>1</v>
      </c>
      <c r="I2282" s="15" t="str">
        <f t="shared" ca="1" si="573"/>
        <v>RadioCard_TETRA_Exp1</v>
      </c>
      <c r="J2282" s="15" t="str">
        <f t="shared" ca="1" si="580"/>
        <v>RadioCard_TETRA_Exp1!A85</v>
      </c>
      <c r="K2282" s="15" t="str">
        <f t="shared" ca="1" si="581"/>
        <v>RadioCard_TETRA_Exp1!B85</v>
      </c>
    </row>
    <row r="2283" spans="1:16" x14ac:dyDescent="0.25">
      <c r="A2283" s="3" t="str">
        <f t="shared" ca="1" si="563"/>
        <v/>
      </c>
      <c r="G2283" s="15">
        <f t="shared" ca="1" si="572"/>
        <v>86</v>
      </c>
      <c r="H2283" s="15">
        <v>1</v>
      </c>
      <c r="I2283" s="15" t="str">
        <f t="shared" ca="1" si="573"/>
        <v>RadioCard_TETRA_Exp1</v>
      </c>
      <c r="J2283" s="15" t="str">
        <f t="shared" ca="1" si="580"/>
        <v>RadioCard_TETRA_Exp1!A86</v>
      </c>
      <c r="K2283" s="15" t="str">
        <f t="shared" ca="1" si="581"/>
        <v>RadioCard_TETRA_Exp1!B86</v>
      </c>
    </row>
    <row r="2284" spans="1:16" x14ac:dyDescent="0.25">
      <c r="A2284" s="3" t="str">
        <f t="shared" ref="A2284:A2347" ca="1" si="582">IFERROR(IF(INDIRECT(J2284)&lt;&gt;"",CONCATENATE(INDIRECT(J2284)," = ",INDIRECT(K2284)," "),""),"")</f>
        <v/>
      </c>
      <c r="G2284" s="15">
        <f t="shared" ca="1" si="572"/>
        <v>87</v>
      </c>
      <c r="H2284" s="15">
        <v>1</v>
      </c>
      <c r="I2284" s="15" t="str">
        <f t="shared" ca="1" si="573"/>
        <v>RadioCard_TETRA_Exp1</v>
      </c>
      <c r="J2284" s="15" t="str">
        <f t="shared" ca="1" si="580"/>
        <v>RadioCard_TETRA_Exp1!A87</v>
      </c>
      <c r="K2284" s="15" t="str">
        <f t="shared" ca="1" si="581"/>
        <v>RadioCard_TETRA_Exp1!B87</v>
      </c>
    </row>
    <row r="2285" spans="1:16" x14ac:dyDescent="0.25">
      <c r="A2285" s="3" t="str">
        <f t="shared" ca="1" si="582"/>
        <v/>
      </c>
      <c r="G2285" s="15">
        <f t="shared" ca="1" si="572"/>
        <v>88</v>
      </c>
      <c r="H2285" s="15">
        <v>1</v>
      </c>
      <c r="I2285" s="15" t="str">
        <f t="shared" ca="1" si="573"/>
        <v>RadioCard_TETRA_Exp1</v>
      </c>
      <c r="J2285" s="15" t="str">
        <f t="shared" ca="1" si="580"/>
        <v>RadioCard_TETRA_Exp1!A88</v>
      </c>
      <c r="K2285" s="15" t="str">
        <f t="shared" ca="1" si="581"/>
        <v>RadioCard_TETRA_Exp1!B88</v>
      </c>
    </row>
    <row r="2286" spans="1:16" x14ac:dyDescent="0.25">
      <c r="A2286" s="3" t="str">
        <f t="shared" ca="1" si="582"/>
        <v/>
      </c>
      <c r="G2286" s="15">
        <f t="shared" ca="1" si="572"/>
        <v>89</v>
      </c>
      <c r="H2286" s="15">
        <v>1</v>
      </c>
      <c r="I2286" s="15" t="str">
        <f t="shared" ca="1" si="573"/>
        <v>RadioCard_TETRA_Exp1</v>
      </c>
      <c r="J2286" s="15" t="str">
        <f t="shared" ca="1" si="580"/>
        <v>RadioCard_TETRA_Exp1!A89</v>
      </c>
      <c r="K2286" s="15" t="str">
        <f t="shared" ca="1" si="581"/>
        <v>RadioCard_TETRA_Exp1!B89</v>
      </c>
    </row>
    <row r="2287" spans="1:16" x14ac:dyDescent="0.25">
      <c r="A2287" s="3" t="str">
        <f t="shared" ca="1" si="582"/>
        <v/>
      </c>
      <c r="G2287" s="15">
        <f t="shared" ca="1" si="572"/>
        <v>90</v>
      </c>
      <c r="H2287" s="15">
        <v>1</v>
      </c>
      <c r="I2287" s="15" t="str">
        <f t="shared" ca="1" si="573"/>
        <v>RadioCard_TETRA_Exp1</v>
      </c>
      <c r="J2287" s="15" t="str">
        <f t="shared" ca="1" si="580"/>
        <v>RadioCard_TETRA_Exp1!A90</v>
      </c>
      <c r="K2287" s="15" t="str">
        <f t="shared" ca="1" si="581"/>
        <v>RadioCard_TETRA_Exp1!B90</v>
      </c>
    </row>
    <row r="2288" spans="1:16" x14ac:dyDescent="0.25">
      <c r="A2288" s="3" t="str">
        <f t="shared" ca="1" si="582"/>
        <v xml:space="preserve">#RadioCard_TETRA_Exp1:etap 4- LMK =  </v>
      </c>
      <c r="G2288" s="15">
        <f t="shared" ref="G2288" ca="1" si="583">INDIRECT(M2288)</f>
        <v>111</v>
      </c>
      <c r="H2288" s="15">
        <v>1</v>
      </c>
      <c r="I2288" s="15" t="str">
        <f t="shared" ref="I2288" ca="1" si="584">INDIRECT(N2288)</f>
        <v>RadioCard_TETRA_Exp2</v>
      </c>
      <c r="J2288" s="15" t="str">
        <f t="shared" ca="1" si="580"/>
        <v>RadioCard_TETRA_Exp2!A111</v>
      </c>
      <c r="K2288" s="15" t="str">
        <f t="shared" ca="1" si="581"/>
        <v>RadioCard_TETRA_Exp2!B111</v>
      </c>
      <c r="M2288" s="15" t="str">
        <f t="shared" ref="M2288" si="585">ADDRESS(O2288,3,4,1,$R$1)</f>
        <v>konfig!C116</v>
      </c>
      <c r="N2288" s="15" t="str">
        <f t="shared" ref="N2288" si="586">ADDRESS(O2288,1,4,1,$R$1)</f>
        <v>konfig!A116</v>
      </c>
      <c r="O2288" s="15">
        <v>116</v>
      </c>
      <c r="P2288" s="15">
        <v>4</v>
      </c>
    </row>
    <row r="2289" spans="1:11" x14ac:dyDescent="0.25">
      <c r="A2289" s="3" t="str">
        <f t="shared" ca="1" si="582"/>
        <v xml:space="preserve">device = MCP23017 </v>
      </c>
      <c r="G2289" s="15">
        <f t="shared" ca="1" si="572"/>
        <v>112</v>
      </c>
      <c r="H2289" s="15">
        <v>1</v>
      </c>
      <c r="I2289" s="15" t="str">
        <f t="shared" ca="1" si="573"/>
        <v>RadioCard_TETRA_Exp2</v>
      </c>
      <c r="J2289" s="15" t="str">
        <f t="shared" ca="1" si="580"/>
        <v>RadioCard_TETRA_Exp2!A112</v>
      </c>
      <c r="K2289" s="15" t="str">
        <f t="shared" ca="1" si="581"/>
        <v>RadioCard_TETRA_Exp2!B112</v>
      </c>
    </row>
    <row r="2290" spans="1:11" x14ac:dyDescent="0.25">
      <c r="A2290" s="3" t="str">
        <f t="shared" ca="1" si="582"/>
        <v xml:space="preserve">i2c_addr = 0x27 </v>
      </c>
      <c r="G2290" s="15">
        <f t="shared" ca="1" si="572"/>
        <v>113</v>
      </c>
      <c r="H2290" s="15">
        <v>1</v>
      </c>
      <c r="I2290" s="15" t="str">
        <f t="shared" ca="1" si="573"/>
        <v>RadioCard_TETRA_Exp2</v>
      </c>
      <c r="J2290" s="15" t="str">
        <f t="shared" ca="1" si="580"/>
        <v>RadioCard_TETRA_Exp2!A113</v>
      </c>
      <c r="K2290" s="15" t="str">
        <f t="shared" ca="1" si="581"/>
        <v>RadioCard_TETRA_Exp2!B113</v>
      </c>
    </row>
    <row r="2291" spans="1:11" x14ac:dyDescent="0.25">
      <c r="A2291" s="3" t="str">
        <f t="shared" ca="1" si="582"/>
        <v xml:space="preserve">i2c_num = /dev/i2c-1 </v>
      </c>
      <c r="C2291" s="16"/>
      <c r="G2291" s="15">
        <f t="shared" ca="1" si="572"/>
        <v>114</v>
      </c>
      <c r="H2291" s="15">
        <v>1</v>
      </c>
      <c r="I2291" s="15" t="str">
        <f t="shared" ca="1" si="573"/>
        <v>RadioCard_TETRA_Exp2</v>
      </c>
      <c r="J2291" s="15" t="str">
        <f t="shared" ca="1" si="580"/>
        <v>RadioCard_TETRA_Exp2!A114</v>
      </c>
      <c r="K2291" s="15" t="str">
        <f t="shared" ca="1" si="581"/>
        <v>RadioCard_TETRA_Exp2!B114</v>
      </c>
    </row>
    <row r="2292" spans="1:11" x14ac:dyDescent="0.25">
      <c r="A2292" s="3" t="str">
        <f t="shared" ca="1" si="582"/>
        <v xml:space="preserve">pins_mode = 0xCE8C </v>
      </c>
      <c r="G2292" s="15">
        <f t="shared" ca="1" si="572"/>
        <v>115</v>
      </c>
      <c r="H2292" s="15">
        <v>1</v>
      </c>
      <c r="I2292" s="15" t="str">
        <f t="shared" ca="1" si="573"/>
        <v>RadioCard_TETRA_Exp2</v>
      </c>
      <c r="J2292" s="15" t="str">
        <f t="shared" ca="1" si="580"/>
        <v>RadioCard_TETRA_Exp2!A115</v>
      </c>
      <c r="K2292" s="15" t="str">
        <f t="shared" ca="1" si="581"/>
        <v>RadioCard_TETRA_Exp2!B115</v>
      </c>
    </row>
    <row r="2293" spans="1:11" x14ac:dyDescent="0.25">
      <c r="A2293" s="3" t="str">
        <f t="shared" ca="1" si="582"/>
        <v xml:space="preserve">pins_state = 0x3113 </v>
      </c>
      <c r="G2293" s="15">
        <f t="shared" ca="1" si="572"/>
        <v>116</v>
      </c>
      <c r="H2293" s="15">
        <v>1</v>
      </c>
      <c r="I2293" s="15" t="str">
        <f t="shared" ca="1" si="573"/>
        <v>RadioCard_TETRA_Exp2</v>
      </c>
      <c r="J2293" s="15" t="str">
        <f t="shared" ca="1" si="580"/>
        <v>RadioCard_TETRA_Exp2!A116</v>
      </c>
      <c r="K2293" s="15" t="str">
        <f t="shared" ca="1" si="581"/>
        <v>RadioCard_TETRA_Exp2!B116</v>
      </c>
    </row>
    <row r="2294" spans="1:11" x14ac:dyDescent="0.25">
      <c r="A2294" s="3" t="str">
        <f t="shared" ca="1" si="582"/>
        <v xml:space="preserve">pins_pull_up = 0x4808 </v>
      </c>
      <c r="G2294" s="15">
        <f t="shared" ca="1" si="572"/>
        <v>117</v>
      </c>
      <c r="H2294" s="15">
        <v>1</v>
      </c>
      <c r="I2294" s="15" t="str">
        <f t="shared" ca="1" si="573"/>
        <v>RadioCard_TETRA_Exp2</v>
      </c>
      <c r="J2294" s="15" t="str">
        <f t="shared" ca="1" si="580"/>
        <v>RadioCard_TETRA_Exp2!A117</v>
      </c>
      <c r="K2294" s="15" t="str">
        <f t="shared" ca="1" si="581"/>
        <v>RadioCard_TETRA_Exp2!B117</v>
      </c>
    </row>
    <row r="2295" spans="1:11" x14ac:dyDescent="0.25">
      <c r="A2295" s="3" t="str">
        <f t="shared" ca="1" si="582"/>
        <v xml:space="preserve">#pins_int = 0x0000 </v>
      </c>
      <c r="G2295" s="15">
        <f t="shared" ca="1" si="572"/>
        <v>118</v>
      </c>
      <c r="H2295" s="15">
        <v>1</v>
      </c>
      <c r="I2295" s="15" t="str">
        <f t="shared" ca="1" si="573"/>
        <v>RadioCard_TETRA_Exp2</v>
      </c>
      <c r="J2295" s="15" t="str">
        <f t="shared" ca="1" si="580"/>
        <v>RadioCard_TETRA_Exp2!A118</v>
      </c>
      <c r="K2295" s="15" t="str">
        <f t="shared" ca="1" si="581"/>
        <v>RadioCard_TETRA_Exp2!B118</v>
      </c>
    </row>
    <row r="2296" spans="1:11" x14ac:dyDescent="0.25">
      <c r="A2296" s="3" t="str">
        <f t="shared" ca="1" si="582"/>
        <v xml:space="preserve">#pins_def_val = 0x0000 </v>
      </c>
      <c r="G2296" s="15">
        <f t="shared" ca="1" si="572"/>
        <v>119</v>
      </c>
      <c r="H2296" s="15">
        <v>1</v>
      </c>
      <c r="I2296" s="15" t="str">
        <f t="shared" ca="1" si="573"/>
        <v>RadioCard_TETRA_Exp2</v>
      </c>
      <c r="J2296" s="15" t="str">
        <f t="shared" ca="1" si="580"/>
        <v>RadioCard_TETRA_Exp2!A119</v>
      </c>
      <c r="K2296" s="15" t="str">
        <f t="shared" ca="1" si="581"/>
        <v>RadioCard_TETRA_Exp2!B119</v>
      </c>
    </row>
    <row r="2297" spans="1:11" x14ac:dyDescent="0.25">
      <c r="A2297" s="3" t="str">
        <f t="shared" ca="1" si="582"/>
        <v/>
      </c>
      <c r="G2297" s="15">
        <f t="shared" ca="1" si="572"/>
        <v>120</v>
      </c>
      <c r="H2297" s="15">
        <v>1</v>
      </c>
      <c r="I2297" s="15" t="str">
        <f t="shared" ca="1" si="573"/>
        <v>RadioCard_TETRA_Exp2</v>
      </c>
      <c r="J2297" s="15" t="str">
        <f t="shared" ca="1" si="580"/>
        <v>RadioCard_TETRA_Exp2!A120</v>
      </c>
      <c r="K2297" s="15" t="str">
        <f t="shared" ca="1" si="581"/>
        <v>RadioCard_TETRA_Exp2!B120</v>
      </c>
    </row>
    <row r="2298" spans="1:11" x14ac:dyDescent="0.25">
      <c r="A2298" s="3" t="str">
        <f t="shared" ca="1" si="582"/>
        <v xml:space="preserve">#pins_int = 10 </v>
      </c>
      <c r="G2298" s="15">
        <f t="shared" ca="1" si="572"/>
        <v>121</v>
      </c>
      <c r="H2298" s="15">
        <v>1</v>
      </c>
      <c r="I2298" s="15" t="str">
        <f t="shared" ca="1" si="573"/>
        <v>RadioCard_TETRA_Exp2</v>
      </c>
      <c r="J2298" s="15" t="str">
        <f t="shared" ca="1" si="580"/>
        <v>RadioCard_TETRA_Exp2!A121</v>
      </c>
      <c r="K2298" s="15" t="str">
        <f t="shared" ca="1" si="581"/>
        <v>RadioCard_TETRA_Exp2!B121</v>
      </c>
    </row>
    <row r="2299" spans="1:11" x14ac:dyDescent="0.25">
      <c r="A2299" s="3" t="str">
        <f t="shared" ca="1" si="582"/>
        <v/>
      </c>
      <c r="C2299" s="16"/>
      <c r="G2299" s="15">
        <f t="shared" ca="1" si="572"/>
        <v>122</v>
      </c>
      <c r="H2299" s="15">
        <v>1</v>
      </c>
      <c r="I2299" s="15" t="str">
        <f t="shared" ca="1" si="573"/>
        <v>RadioCard_TETRA_Exp2</v>
      </c>
      <c r="J2299" s="15" t="str">
        <f t="shared" ca="1" si="580"/>
        <v>RadioCard_TETRA_Exp2!A122</v>
      </c>
      <c r="K2299" s="15" t="str">
        <f t="shared" ca="1" si="581"/>
        <v>RadioCard_TETRA_Exp2!B122</v>
      </c>
    </row>
    <row r="2300" spans="1:11" x14ac:dyDescent="0.25">
      <c r="A2300" s="3" t="str">
        <f t="shared" ca="1" si="582"/>
        <v/>
      </c>
      <c r="G2300" s="15">
        <f t="shared" ca="1" si="572"/>
        <v>123</v>
      </c>
      <c r="H2300" s="15">
        <v>1</v>
      </c>
      <c r="I2300" s="15" t="str">
        <f t="shared" ca="1" si="573"/>
        <v>RadioCard_TETRA_Exp2</v>
      </c>
      <c r="J2300" s="15" t="str">
        <f t="shared" ca="1" si="580"/>
        <v>RadioCard_TETRA_Exp2!A123</v>
      </c>
      <c r="K2300" s="15" t="str">
        <f t="shared" ca="1" si="581"/>
        <v>RadioCard_TETRA_Exp2!B123</v>
      </c>
    </row>
    <row r="2301" spans="1:11" x14ac:dyDescent="0.25">
      <c r="A2301" s="3" t="str">
        <f t="shared" ca="1" si="582"/>
        <v/>
      </c>
      <c r="G2301" s="15">
        <f t="shared" ca="1" si="572"/>
        <v>124</v>
      </c>
      <c r="H2301" s="15">
        <v>1</v>
      </c>
      <c r="I2301" s="15" t="str">
        <f t="shared" ca="1" si="573"/>
        <v>RadioCard_TETRA_Exp2</v>
      </c>
      <c r="J2301" s="15" t="str">
        <f t="shared" ca="1" si="580"/>
        <v>RadioCard_TETRA_Exp2!A124</v>
      </c>
      <c r="K2301" s="15" t="str">
        <f t="shared" ca="1" si="581"/>
        <v>RadioCard_TETRA_Exp2!B124</v>
      </c>
    </row>
    <row r="2302" spans="1:11" x14ac:dyDescent="0.25">
      <c r="A2302" s="3" t="str">
        <f t="shared" ca="1" si="582"/>
        <v/>
      </c>
      <c r="G2302" s="15">
        <f t="shared" ca="1" si="572"/>
        <v>125</v>
      </c>
      <c r="H2302" s="15">
        <v>1</v>
      </c>
      <c r="I2302" s="15" t="str">
        <f t="shared" ca="1" si="573"/>
        <v>RadioCard_TETRA_Exp2</v>
      </c>
      <c r="J2302" s="15" t="str">
        <f t="shared" ca="1" si="580"/>
        <v>RadioCard_TETRA_Exp2!A125</v>
      </c>
      <c r="K2302" s="15" t="str">
        <f t="shared" ca="1" si="581"/>
        <v>RadioCard_TETRA_Exp2!B125</v>
      </c>
    </row>
    <row r="2303" spans="1:11" x14ac:dyDescent="0.25">
      <c r="A2303" s="3" t="str">
        <f t="shared" ca="1" si="582"/>
        <v/>
      </c>
      <c r="G2303" s="15">
        <f t="shared" ca="1" si="572"/>
        <v>126</v>
      </c>
      <c r="H2303" s="15">
        <v>1</v>
      </c>
      <c r="I2303" s="15" t="str">
        <f t="shared" ca="1" si="573"/>
        <v>RadioCard_TETRA_Exp2</v>
      </c>
      <c r="J2303" s="15" t="str">
        <f t="shared" ca="1" si="580"/>
        <v>RadioCard_TETRA_Exp2!A126</v>
      </c>
      <c r="K2303" s="15" t="str">
        <f t="shared" ca="1" si="581"/>
        <v>RadioCard_TETRA_Exp2!B126</v>
      </c>
    </row>
    <row r="2304" spans="1:11" x14ac:dyDescent="0.25">
      <c r="A2304" s="3" t="str">
        <f t="shared" ca="1" si="582"/>
        <v/>
      </c>
      <c r="G2304" s="15">
        <f t="shared" ca="1" si="572"/>
        <v>127</v>
      </c>
      <c r="H2304" s="15">
        <v>1</v>
      </c>
      <c r="I2304" s="15" t="str">
        <f t="shared" ca="1" si="573"/>
        <v>RadioCard_TETRA_Exp2</v>
      </c>
      <c r="J2304" s="15" t="str">
        <f t="shared" ca="1" si="580"/>
        <v>RadioCard_TETRA_Exp2!A127</v>
      </c>
      <c r="K2304" s="15" t="str">
        <f t="shared" ca="1" si="581"/>
        <v>RadioCard_TETRA_Exp2!B127</v>
      </c>
    </row>
    <row r="2305" spans="1:16" x14ac:dyDescent="0.25">
      <c r="A2305" s="3" t="str">
        <f t="shared" ca="1" si="582"/>
        <v/>
      </c>
      <c r="G2305" s="15">
        <f t="shared" ca="1" si="572"/>
        <v>128</v>
      </c>
      <c r="H2305" s="15">
        <v>1</v>
      </c>
      <c r="I2305" s="15" t="str">
        <f t="shared" ca="1" si="573"/>
        <v>RadioCard_TETRA_Exp2</v>
      </c>
      <c r="J2305" s="15" t="str">
        <f t="shared" ca="1" si="580"/>
        <v>RadioCard_TETRA_Exp2!A128</v>
      </c>
      <c r="K2305" s="15" t="str">
        <f t="shared" ca="1" si="581"/>
        <v>RadioCard_TETRA_Exp2!B128</v>
      </c>
    </row>
    <row r="2306" spans="1:16" x14ac:dyDescent="0.25">
      <c r="A2306" s="3" t="str">
        <f t="shared" ca="1" si="582"/>
        <v/>
      </c>
      <c r="G2306" s="15">
        <f t="shared" ca="1" si="572"/>
        <v>129</v>
      </c>
      <c r="H2306" s="15">
        <v>1</v>
      </c>
      <c r="I2306" s="15" t="str">
        <f t="shared" ca="1" si="573"/>
        <v>RadioCard_TETRA_Exp2</v>
      </c>
      <c r="J2306" s="15" t="str">
        <f t="shared" ca="1" si="580"/>
        <v>RadioCard_TETRA_Exp2!A129</v>
      </c>
      <c r="K2306" s="15" t="str">
        <f t="shared" ca="1" si="581"/>
        <v>RadioCard_TETRA_Exp2!B129</v>
      </c>
    </row>
    <row r="2307" spans="1:16" x14ac:dyDescent="0.25">
      <c r="A2307" s="3" t="str">
        <f t="shared" ca="1" si="582"/>
        <v/>
      </c>
      <c r="G2307" s="15">
        <f t="shared" ca="1" si="572"/>
        <v>130</v>
      </c>
      <c r="H2307" s="15">
        <v>1</v>
      </c>
      <c r="I2307" s="15" t="str">
        <f t="shared" ca="1" si="573"/>
        <v>RadioCard_TETRA_Exp2</v>
      </c>
      <c r="J2307" s="15" t="str">
        <f t="shared" ca="1" si="580"/>
        <v>RadioCard_TETRA_Exp2!A130</v>
      </c>
      <c r="K2307" s="15" t="str">
        <f t="shared" ca="1" si="581"/>
        <v>RadioCard_TETRA_Exp2!B130</v>
      </c>
    </row>
    <row r="2308" spans="1:16" x14ac:dyDescent="0.25">
      <c r="A2308" s="3" t="str">
        <f t="shared" ca="1" si="582"/>
        <v xml:space="preserve">#LMK04610_TETRA =  configuration </v>
      </c>
      <c r="G2308" s="15">
        <f t="shared" ref="G2308" ca="1" si="587">INDIRECT(M2308)</f>
        <v>51</v>
      </c>
      <c r="H2308" s="15">
        <v>1</v>
      </c>
      <c r="I2308" s="15" t="str">
        <f t="shared" ref="I2308" ca="1" si="588">INDIRECT(N2308)</f>
        <v>RadioCard_TETRA_Devices</v>
      </c>
      <c r="J2308" s="15" t="str">
        <f t="shared" ca="1" si="580"/>
        <v>RadioCard_TETRA_Devices!A51</v>
      </c>
      <c r="K2308" s="15" t="str">
        <f t="shared" ca="1" si="581"/>
        <v>RadioCard_TETRA_Devices!B51</v>
      </c>
      <c r="M2308" s="15" t="str">
        <f t="shared" ref="M2308" si="589">ADDRESS(O2308,3,4,1,$R$1)</f>
        <v>konfig!C117</v>
      </c>
      <c r="N2308" s="15" t="str">
        <f t="shared" ref="N2308" si="590">ADDRESS(O2308,1,4,1,$R$1)</f>
        <v>konfig!A117</v>
      </c>
      <c r="O2308" s="15">
        <v>117</v>
      </c>
      <c r="P2308" s="15">
        <v>4</v>
      </c>
    </row>
    <row r="2309" spans="1:16" x14ac:dyDescent="0.25">
      <c r="A2309" s="3" t="str">
        <f t="shared" ca="1" si="582"/>
        <v xml:space="preserve">device = LMK04610 </v>
      </c>
      <c r="G2309" s="15">
        <f t="shared" ca="1" si="578"/>
        <v>52</v>
      </c>
      <c r="H2309" s="15">
        <v>1</v>
      </c>
      <c r="I2309" s="15" t="str">
        <f t="shared" ca="1" si="579"/>
        <v>RadioCard_TETRA_Devices</v>
      </c>
      <c r="J2309" s="15" t="str">
        <f t="shared" ca="1" si="580"/>
        <v>RadioCard_TETRA_Devices!A52</v>
      </c>
      <c r="K2309" s="15" t="str">
        <f t="shared" ca="1" si="581"/>
        <v>RadioCard_TETRA_Devices!B52</v>
      </c>
    </row>
    <row r="2310" spans="1:16" x14ac:dyDescent="0.25">
      <c r="A2310" s="3" t="str">
        <f t="shared" ca="1" si="582"/>
        <v xml:space="preserve">spi_num = /dev/spidev0.0 </v>
      </c>
      <c r="G2310" s="15">
        <f t="shared" ca="1" si="572"/>
        <v>53</v>
      </c>
      <c r="H2310" s="15">
        <v>1</v>
      </c>
      <c r="I2310" s="15" t="str">
        <f t="shared" ca="1" si="573"/>
        <v>RadioCard_TETRA_Devices</v>
      </c>
      <c r="J2310" s="15" t="str">
        <f t="shared" ca="1" si="580"/>
        <v>RadioCard_TETRA_Devices!A53</v>
      </c>
      <c r="K2310" s="15" t="str">
        <f t="shared" ca="1" si="581"/>
        <v>RadioCard_TETRA_Devices!B53</v>
      </c>
    </row>
    <row r="2311" spans="1:16" x14ac:dyDescent="0.25">
      <c r="A2311" s="3" t="str">
        <f t="shared" ca="1" si="582"/>
        <v xml:space="preserve">path_cfg = ./device_config_files/radio_config_files/radiocard_TETRA/LMK04610.txt </v>
      </c>
      <c r="C2311" s="16"/>
      <c r="G2311" s="15">
        <f t="shared" ca="1" si="572"/>
        <v>54</v>
      </c>
      <c r="H2311" s="15">
        <v>1</v>
      </c>
      <c r="I2311" s="15" t="str">
        <f t="shared" ca="1" si="573"/>
        <v>RadioCard_TETRA_Devices</v>
      </c>
      <c r="J2311" s="15" t="str">
        <f t="shared" ca="1" si="580"/>
        <v>RadioCard_TETRA_Devices!A54</v>
      </c>
      <c r="K2311" s="15" t="str">
        <f t="shared" ca="1" si="581"/>
        <v>RadioCard_TETRA_Devices!B54</v>
      </c>
    </row>
    <row r="2312" spans="1:16" x14ac:dyDescent="0.25">
      <c r="A2312" s="3" t="str">
        <f t="shared" ca="1" si="582"/>
        <v/>
      </c>
      <c r="G2312" s="15">
        <f t="shared" ca="1" si="572"/>
        <v>55</v>
      </c>
      <c r="H2312" s="15">
        <v>1</v>
      </c>
      <c r="I2312" s="15" t="str">
        <f t="shared" ca="1" si="573"/>
        <v>RadioCard_TETRA_Devices</v>
      </c>
      <c r="J2312" s="15" t="str">
        <f t="shared" ca="1" si="580"/>
        <v>RadioCard_TETRA_Devices!A55</v>
      </c>
      <c r="K2312" s="15" t="str">
        <f t="shared" ca="1" si="581"/>
        <v>RadioCard_TETRA_Devices!B55</v>
      </c>
    </row>
    <row r="2313" spans="1:16" x14ac:dyDescent="0.25">
      <c r="A2313" s="3" t="str">
        <f t="shared" ca="1" si="582"/>
        <v xml:space="preserve">time = 10 </v>
      </c>
      <c r="G2313" s="15">
        <f t="shared" ref="G2313:G2376" ca="1" si="591">G2312+1</f>
        <v>56</v>
      </c>
      <c r="H2313" s="15">
        <v>1</v>
      </c>
      <c r="I2313" s="15" t="str">
        <f t="shared" ref="I2313:I2376" ca="1" si="592">I2312</f>
        <v>RadioCard_TETRA_Devices</v>
      </c>
      <c r="J2313" s="15" t="str">
        <f t="shared" ca="1" si="580"/>
        <v>RadioCard_TETRA_Devices!A56</v>
      </c>
      <c r="K2313" s="15" t="str">
        <f t="shared" ca="1" si="581"/>
        <v>RadioCard_TETRA_Devices!B56</v>
      </c>
    </row>
    <row r="2314" spans="1:16" x14ac:dyDescent="0.25">
      <c r="A2314" s="3" t="str">
        <f t="shared" ca="1" si="582"/>
        <v/>
      </c>
      <c r="G2314" s="15">
        <f t="shared" ca="1" si="591"/>
        <v>57</v>
      </c>
      <c r="H2314" s="15">
        <v>1</v>
      </c>
      <c r="I2314" s="15" t="str">
        <f t="shared" ca="1" si="592"/>
        <v>RadioCard_TETRA_Devices</v>
      </c>
      <c r="J2314" s="15" t="str">
        <f t="shared" ca="1" si="580"/>
        <v>RadioCard_TETRA_Devices!A57</v>
      </c>
      <c r="K2314" s="15" t="str">
        <f t="shared" ca="1" si="581"/>
        <v>RadioCard_TETRA_Devices!B57</v>
      </c>
    </row>
    <row r="2315" spans="1:16" x14ac:dyDescent="0.25">
      <c r="A2315" s="3" t="str">
        <f t="shared" ca="1" si="582"/>
        <v/>
      </c>
      <c r="G2315" s="15">
        <f t="shared" ca="1" si="591"/>
        <v>58</v>
      </c>
      <c r="H2315" s="15">
        <v>1</v>
      </c>
      <c r="I2315" s="15" t="str">
        <f t="shared" ca="1" si="592"/>
        <v>RadioCard_TETRA_Devices</v>
      </c>
      <c r="J2315" s="15" t="str">
        <f t="shared" ca="1" si="580"/>
        <v>RadioCard_TETRA_Devices!A58</v>
      </c>
      <c r="K2315" s="15" t="str">
        <f t="shared" ca="1" si="581"/>
        <v>RadioCard_TETRA_Devices!B58</v>
      </c>
    </row>
    <row r="2316" spans="1:16" x14ac:dyDescent="0.25">
      <c r="A2316" s="3" t="str">
        <f t="shared" ca="1" si="582"/>
        <v/>
      </c>
      <c r="G2316" s="15">
        <f t="shared" ca="1" si="591"/>
        <v>59</v>
      </c>
      <c r="H2316" s="15">
        <v>1</v>
      </c>
      <c r="I2316" s="15" t="str">
        <f t="shared" ca="1" si="592"/>
        <v>RadioCard_TETRA_Devices</v>
      </c>
      <c r="J2316" s="15" t="str">
        <f t="shared" ca="1" si="580"/>
        <v>RadioCard_TETRA_Devices!A59</v>
      </c>
      <c r="K2316" s="15" t="str">
        <f t="shared" ca="1" si="581"/>
        <v>RadioCard_TETRA_Devices!B59</v>
      </c>
    </row>
    <row r="2317" spans="1:16" x14ac:dyDescent="0.25">
      <c r="A2317" s="3" t="str">
        <f t="shared" ca="1" si="582"/>
        <v/>
      </c>
      <c r="G2317" s="15">
        <f t="shared" ca="1" si="591"/>
        <v>60</v>
      </c>
      <c r="H2317" s="15">
        <v>1</v>
      </c>
      <c r="I2317" s="15" t="str">
        <f t="shared" ca="1" si="592"/>
        <v>RadioCard_TETRA_Devices</v>
      </c>
      <c r="J2317" s="15" t="str">
        <f t="shared" ca="1" si="580"/>
        <v>RadioCard_TETRA_Devices!A60</v>
      </c>
      <c r="K2317" s="15" t="str">
        <f t="shared" ca="1" si="581"/>
        <v>RadioCard_TETRA_Devices!B60</v>
      </c>
    </row>
    <row r="2318" spans="1:16" x14ac:dyDescent="0.25">
      <c r="A2318" s="3" t="str">
        <f t="shared" ca="1" si="582"/>
        <v/>
      </c>
      <c r="G2318" s="15">
        <f t="shared" ca="1" si="591"/>
        <v>61</v>
      </c>
      <c r="H2318" s="15">
        <v>1</v>
      </c>
      <c r="I2318" s="15" t="str">
        <f t="shared" ca="1" si="592"/>
        <v>RadioCard_TETRA_Devices</v>
      </c>
      <c r="J2318" s="15" t="str">
        <f t="shared" ca="1" si="580"/>
        <v>RadioCard_TETRA_Devices!A61</v>
      </c>
      <c r="K2318" s="15" t="str">
        <f t="shared" ca="1" si="581"/>
        <v>RadioCard_TETRA_Devices!B61</v>
      </c>
    </row>
    <row r="2319" spans="1:16" x14ac:dyDescent="0.25">
      <c r="A2319" s="3" t="str">
        <f t="shared" ca="1" si="582"/>
        <v/>
      </c>
      <c r="C2319" s="16"/>
      <c r="G2319" s="15">
        <f t="shared" ca="1" si="591"/>
        <v>62</v>
      </c>
      <c r="H2319" s="15">
        <v>1</v>
      </c>
      <c r="I2319" s="15" t="str">
        <f t="shared" ca="1" si="592"/>
        <v>RadioCard_TETRA_Devices</v>
      </c>
      <c r="J2319" s="15" t="str">
        <f t="shared" ca="1" si="580"/>
        <v>RadioCard_TETRA_Devices!A62</v>
      </c>
      <c r="K2319" s="15" t="str">
        <f t="shared" ca="1" si="581"/>
        <v>RadioCard_TETRA_Devices!B62</v>
      </c>
    </row>
    <row r="2320" spans="1:16" x14ac:dyDescent="0.25">
      <c r="A2320" s="3" t="str">
        <f t="shared" ca="1" si="582"/>
        <v/>
      </c>
      <c r="G2320" s="15">
        <f t="shared" ca="1" si="591"/>
        <v>63</v>
      </c>
      <c r="H2320" s="15">
        <v>1</v>
      </c>
      <c r="I2320" s="15" t="str">
        <f t="shared" ca="1" si="592"/>
        <v>RadioCard_TETRA_Devices</v>
      </c>
      <c r="J2320" s="15" t="str">
        <f t="shared" ca="1" si="580"/>
        <v>RadioCard_TETRA_Devices!A63</v>
      </c>
      <c r="K2320" s="15" t="str">
        <f t="shared" ca="1" si="581"/>
        <v>RadioCard_TETRA_Devices!B63</v>
      </c>
    </row>
    <row r="2321" spans="1:16" x14ac:dyDescent="0.25">
      <c r="A2321" s="3" t="str">
        <f t="shared" ca="1" si="582"/>
        <v/>
      </c>
      <c r="G2321" s="15">
        <f t="shared" ca="1" si="591"/>
        <v>64</v>
      </c>
      <c r="H2321" s="15">
        <v>1</v>
      </c>
      <c r="I2321" s="15" t="str">
        <f t="shared" ca="1" si="592"/>
        <v>RadioCard_TETRA_Devices</v>
      </c>
      <c r="J2321" s="15" t="str">
        <f t="shared" ca="1" si="580"/>
        <v>RadioCard_TETRA_Devices!A64</v>
      </c>
      <c r="K2321" s="15" t="str">
        <f t="shared" ca="1" si="581"/>
        <v>RadioCard_TETRA_Devices!B64</v>
      </c>
    </row>
    <row r="2322" spans="1:16" x14ac:dyDescent="0.25">
      <c r="A2322" s="3" t="str">
        <f t="shared" ca="1" si="582"/>
        <v/>
      </c>
      <c r="G2322" s="15">
        <f t="shared" ca="1" si="591"/>
        <v>65</v>
      </c>
      <c r="H2322" s="15">
        <v>1</v>
      </c>
      <c r="I2322" s="15" t="str">
        <f t="shared" ca="1" si="592"/>
        <v>RadioCard_TETRA_Devices</v>
      </c>
      <c r="J2322" s="15" t="str">
        <f t="shared" ca="1" si="580"/>
        <v>RadioCard_TETRA_Devices!A65</v>
      </c>
      <c r="K2322" s="15" t="str">
        <f t="shared" ca="1" si="581"/>
        <v>RadioCard_TETRA_Devices!B65</v>
      </c>
    </row>
    <row r="2323" spans="1:16" x14ac:dyDescent="0.25">
      <c r="A2323" s="3" t="str">
        <f t="shared" ca="1" si="582"/>
        <v/>
      </c>
      <c r="G2323" s="15">
        <f t="shared" ca="1" si="591"/>
        <v>66</v>
      </c>
      <c r="H2323" s="15">
        <v>1</v>
      </c>
      <c r="I2323" s="15" t="str">
        <f t="shared" ca="1" si="592"/>
        <v>RadioCard_TETRA_Devices</v>
      </c>
      <c r="J2323" s="15" t="str">
        <f t="shared" ca="1" si="580"/>
        <v>RadioCard_TETRA_Devices!A66</v>
      </c>
      <c r="K2323" s="15" t="str">
        <f t="shared" ca="1" si="581"/>
        <v>RadioCard_TETRA_Devices!B66</v>
      </c>
    </row>
    <row r="2324" spans="1:16" x14ac:dyDescent="0.25">
      <c r="A2324" s="3" t="str">
        <f t="shared" ca="1" si="582"/>
        <v/>
      </c>
      <c r="G2324" s="15">
        <f t="shared" ca="1" si="591"/>
        <v>67</v>
      </c>
      <c r="H2324" s="15">
        <v>1</v>
      </c>
      <c r="I2324" s="15" t="str">
        <f t="shared" ca="1" si="592"/>
        <v>RadioCard_TETRA_Devices</v>
      </c>
      <c r="J2324" s="15" t="str">
        <f t="shared" ca="1" si="580"/>
        <v>RadioCard_TETRA_Devices!A67</v>
      </c>
      <c r="K2324" s="15" t="str">
        <f t="shared" ca="1" si="581"/>
        <v>RadioCard_TETRA_Devices!B67</v>
      </c>
    </row>
    <row r="2325" spans="1:16" x14ac:dyDescent="0.25">
      <c r="A2325" s="3" t="str">
        <f t="shared" ca="1" si="582"/>
        <v/>
      </c>
      <c r="G2325" s="15">
        <f t="shared" ca="1" si="591"/>
        <v>68</v>
      </c>
      <c r="H2325" s="15">
        <v>1</v>
      </c>
      <c r="I2325" s="15" t="str">
        <f t="shared" ca="1" si="592"/>
        <v>RadioCard_TETRA_Devices</v>
      </c>
      <c r="J2325" s="15" t="str">
        <f t="shared" ca="1" si="580"/>
        <v>RadioCard_TETRA_Devices!A68</v>
      </c>
      <c r="K2325" s="15" t="str">
        <f t="shared" ca="1" si="581"/>
        <v>RadioCard_TETRA_Devices!B68</v>
      </c>
    </row>
    <row r="2326" spans="1:16" x14ac:dyDescent="0.25">
      <c r="A2326" s="3" t="str">
        <f t="shared" ca="1" si="582"/>
        <v/>
      </c>
      <c r="G2326" s="15">
        <f t="shared" ca="1" si="591"/>
        <v>69</v>
      </c>
      <c r="H2326" s="15">
        <v>1</v>
      </c>
      <c r="I2326" s="15" t="str">
        <f t="shared" ca="1" si="592"/>
        <v>RadioCard_TETRA_Devices</v>
      </c>
      <c r="J2326" s="15" t="str">
        <f t="shared" ca="1" si="580"/>
        <v>RadioCard_TETRA_Devices!A69</v>
      </c>
      <c r="K2326" s="15" t="str">
        <f t="shared" ca="1" si="581"/>
        <v>RadioCard_TETRA_Devices!B69</v>
      </c>
    </row>
    <row r="2327" spans="1:16" x14ac:dyDescent="0.25">
      <c r="A2327" s="3" t="str">
        <f t="shared" ca="1" si="582"/>
        <v/>
      </c>
      <c r="G2327" s="15">
        <f t="shared" ca="1" si="591"/>
        <v>70</v>
      </c>
      <c r="H2327" s="15">
        <v>1</v>
      </c>
      <c r="I2327" s="15" t="str">
        <f t="shared" ca="1" si="592"/>
        <v>RadioCard_TETRA_Devices</v>
      </c>
      <c r="J2327" s="15" t="str">
        <f t="shared" ca="1" si="580"/>
        <v>RadioCard_TETRA_Devices!A70</v>
      </c>
      <c r="K2327" s="15" t="str">
        <f t="shared" ca="1" si="581"/>
        <v>RadioCard_TETRA_Devices!B70</v>
      </c>
    </row>
    <row r="2328" spans="1:16" x14ac:dyDescent="0.25">
      <c r="A2328" s="3" t="str">
        <f t="shared" ca="1" si="582"/>
        <v xml:space="preserve">#RadioCard_TETRA_Exp1:etap 5 LTC =  </v>
      </c>
      <c r="G2328" s="15">
        <f t="shared" ref="G2328" ca="1" si="593">INDIRECT(M2328)</f>
        <v>131</v>
      </c>
      <c r="H2328" s="15">
        <v>1</v>
      </c>
      <c r="I2328" s="15" t="str">
        <f t="shared" ref="I2328" ca="1" si="594">INDIRECT(N2328)</f>
        <v>RadioCard_TETRA_Exp2</v>
      </c>
      <c r="J2328" s="15" t="str">
        <f t="shared" ca="1" si="580"/>
        <v>RadioCard_TETRA_Exp2!A131</v>
      </c>
      <c r="K2328" s="15" t="str">
        <f t="shared" ca="1" si="581"/>
        <v>RadioCard_TETRA_Exp2!B131</v>
      </c>
      <c r="M2328" s="15" t="str">
        <f t="shared" ref="M2328" si="595">ADDRESS(O2328,3,4,1,$R$1)</f>
        <v>konfig!C118</v>
      </c>
      <c r="N2328" s="15" t="str">
        <f t="shared" ref="N2328" si="596">ADDRESS(O2328,1,4,1,$R$1)</f>
        <v>konfig!A118</v>
      </c>
      <c r="O2328" s="15">
        <v>118</v>
      </c>
      <c r="P2328" s="15">
        <v>4</v>
      </c>
    </row>
    <row r="2329" spans="1:16" x14ac:dyDescent="0.25">
      <c r="A2329" s="3" t="str">
        <f t="shared" ca="1" si="582"/>
        <v xml:space="preserve">device = MCP23017 </v>
      </c>
      <c r="G2329" s="15">
        <f t="shared" ref="G2329:G2372" ca="1" si="597">G2328+1</f>
        <v>132</v>
      </c>
      <c r="H2329" s="15">
        <v>1</v>
      </c>
      <c r="I2329" s="15" t="str">
        <f t="shared" ref="I2329:I2372" ca="1" si="598">I2328</f>
        <v>RadioCard_TETRA_Exp2</v>
      </c>
      <c r="J2329" s="15" t="str">
        <f t="shared" ca="1" si="580"/>
        <v>RadioCard_TETRA_Exp2!A132</v>
      </c>
      <c r="K2329" s="15" t="str">
        <f t="shared" ca="1" si="581"/>
        <v>RadioCard_TETRA_Exp2!B132</v>
      </c>
    </row>
    <row r="2330" spans="1:16" x14ac:dyDescent="0.25">
      <c r="A2330" s="3" t="str">
        <f t="shared" ca="1" si="582"/>
        <v xml:space="preserve">i2c_addr = 0x27 </v>
      </c>
      <c r="G2330" s="15">
        <f t="shared" ca="1" si="597"/>
        <v>133</v>
      </c>
      <c r="H2330" s="15">
        <v>1</v>
      </c>
      <c r="I2330" s="15" t="str">
        <f t="shared" ca="1" si="598"/>
        <v>RadioCard_TETRA_Exp2</v>
      </c>
      <c r="J2330" s="15" t="str">
        <f t="shared" ca="1" si="580"/>
        <v>RadioCard_TETRA_Exp2!A133</v>
      </c>
      <c r="K2330" s="15" t="str">
        <f t="shared" ca="1" si="581"/>
        <v>RadioCard_TETRA_Exp2!B133</v>
      </c>
    </row>
    <row r="2331" spans="1:16" x14ac:dyDescent="0.25">
      <c r="A2331" s="3" t="str">
        <f t="shared" ca="1" si="582"/>
        <v xml:space="preserve">i2c_num = /dev/i2c-1 </v>
      </c>
      <c r="C2331" s="16"/>
      <c r="G2331" s="15">
        <f t="shared" ca="1" si="597"/>
        <v>134</v>
      </c>
      <c r="H2331" s="15">
        <v>1</v>
      </c>
      <c r="I2331" s="15" t="str">
        <f t="shared" ca="1" si="598"/>
        <v>RadioCard_TETRA_Exp2</v>
      </c>
      <c r="J2331" s="15" t="str">
        <f t="shared" ca="1" si="580"/>
        <v>RadioCard_TETRA_Exp2!A134</v>
      </c>
      <c r="K2331" s="15" t="str">
        <f t="shared" ca="1" si="581"/>
        <v>RadioCard_TETRA_Exp2!B134</v>
      </c>
    </row>
    <row r="2332" spans="1:16" x14ac:dyDescent="0.25">
      <c r="A2332" s="3" t="str">
        <f t="shared" ca="1" si="582"/>
        <v xml:space="preserve">pins_mode = 0xCE8C </v>
      </c>
      <c r="G2332" s="15">
        <f t="shared" ca="1" si="597"/>
        <v>135</v>
      </c>
      <c r="H2332" s="15">
        <v>1</v>
      </c>
      <c r="I2332" s="15" t="str">
        <f t="shared" ca="1" si="598"/>
        <v>RadioCard_TETRA_Exp2</v>
      </c>
      <c r="J2332" s="15" t="str">
        <f t="shared" ca="1" si="580"/>
        <v>RadioCard_TETRA_Exp2!A135</v>
      </c>
      <c r="K2332" s="15" t="str">
        <f t="shared" ca="1" si="581"/>
        <v>RadioCard_TETRA_Exp2!B135</v>
      </c>
    </row>
    <row r="2333" spans="1:16" x14ac:dyDescent="0.25">
      <c r="A2333" s="3" t="str">
        <f t="shared" ca="1" si="582"/>
        <v xml:space="preserve">pins_state = 0x3123 </v>
      </c>
      <c r="G2333" s="15">
        <f t="shared" ca="1" si="591"/>
        <v>136</v>
      </c>
      <c r="H2333" s="15">
        <v>1</v>
      </c>
      <c r="I2333" s="15" t="str">
        <f t="shared" ca="1" si="592"/>
        <v>RadioCard_TETRA_Exp2</v>
      </c>
      <c r="J2333" s="15" t="str">
        <f t="shared" ca="1" si="580"/>
        <v>RadioCard_TETRA_Exp2!A136</v>
      </c>
      <c r="K2333" s="15" t="str">
        <f t="shared" ca="1" si="581"/>
        <v>RadioCard_TETRA_Exp2!B136</v>
      </c>
    </row>
    <row r="2334" spans="1:16" x14ac:dyDescent="0.25">
      <c r="A2334" s="3" t="str">
        <f t="shared" ca="1" si="582"/>
        <v xml:space="preserve">pins_pull_up = 0x4808 </v>
      </c>
      <c r="G2334" s="15">
        <f t="shared" ca="1" si="591"/>
        <v>137</v>
      </c>
      <c r="H2334" s="15">
        <v>1</v>
      </c>
      <c r="I2334" s="15" t="str">
        <f t="shared" ca="1" si="592"/>
        <v>RadioCard_TETRA_Exp2</v>
      </c>
      <c r="J2334" s="15" t="str">
        <f t="shared" ca="1" si="580"/>
        <v>RadioCard_TETRA_Exp2!A137</v>
      </c>
      <c r="K2334" s="15" t="str">
        <f t="shared" ca="1" si="581"/>
        <v>RadioCard_TETRA_Exp2!B137</v>
      </c>
    </row>
    <row r="2335" spans="1:16" x14ac:dyDescent="0.25">
      <c r="A2335" s="3" t="str">
        <f t="shared" ca="1" si="582"/>
        <v xml:space="preserve">#pins_int = 0x0000 </v>
      </c>
      <c r="G2335" s="15">
        <f t="shared" ca="1" si="591"/>
        <v>138</v>
      </c>
      <c r="H2335" s="15">
        <v>1</v>
      </c>
      <c r="I2335" s="15" t="str">
        <f t="shared" ca="1" si="592"/>
        <v>RadioCard_TETRA_Exp2</v>
      </c>
      <c r="J2335" s="15" t="str">
        <f t="shared" ca="1" si="580"/>
        <v>RadioCard_TETRA_Exp2!A138</v>
      </c>
      <c r="K2335" s="15" t="str">
        <f t="shared" ca="1" si="581"/>
        <v>RadioCard_TETRA_Exp2!B138</v>
      </c>
    </row>
    <row r="2336" spans="1:16" x14ac:dyDescent="0.25">
      <c r="A2336" s="3" t="str">
        <f t="shared" ca="1" si="582"/>
        <v xml:space="preserve">#pins_def_val = 0x0000 </v>
      </c>
      <c r="G2336" s="15">
        <f t="shared" ca="1" si="591"/>
        <v>139</v>
      </c>
      <c r="H2336" s="15">
        <v>1</v>
      </c>
      <c r="I2336" s="15" t="str">
        <f t="shared" ca="1" si="592"/>
        <v>RadioCard_TETRA_Exp2</v>
      </c>
      <c r="J2336" s="15" t="str">
        <f t="shared" ca="1" si="580"/>
        <v>RadioCard_TETRA_Exp2!A139</v>
      </c>
      <c r="K2336" s="15" t="str">
        <f t="shared" ca="1" si="581"/>
        <v>RadioCard_TETRA_Exp2!B139</v>
      </c>
    </row>
    <row r="2337" spans="1:16" x14ac:dyDescent="0.25">
      <c r="A2337" s="3" t="str">
        <f t="shared" ca="1" si="582"/>
        <v/>
      </c>
      <c r="G2337" s="15">
        <f t="shared" ca="1" si="591"/>
        <v>140</v>
      </c>
      <c r="H2337" s="15">
        <v>1</v>
      </c>
      <c r="I2337" s="15" t="str">
        <f t="shared" ca="1" si="592"/>
        <v>RadioCard_TETRA_Exp2</v>
      </c>
      <c r="J2337" s="15" t="str">
        <f t="shared" ca="1" si="580"/>
        <v>RadioCard_TETRA_Exp2!A140</v>
      </c>
      <c r="K2337" s="15" t="str">
        <f t="shared" ca="1" si="581"/>
        <v>RadioCard_TETRA_Exp2!B140</v>
      </c>
    </row>
    <row r="2338" spans="1:16" x14ac:dyDescent="0.25">
      <c r="A2338" s="3" t="str">
        <f t="shared" ca="1" si="582"/>
        <v xml:space="preserve">#pins_int = 10 </v>
      </c>
      <c r="G2338" s="15">
        <f t="shared" ca="1" si="591"/>
        <v>141</v>
      </c>
      <c r="H2338" s="15">
        <v>1</v>
      </c>
      <c r="I2338" s="15" t="str">
        <f t="shared" ca="1" si="592"/>
        <v>RadioCard_TETRA_Exp2</v>
      </c>
      <c r="J2338" s="15" t="str">
        <f t="shared" ca="1" si="580"/>
        <v>RadioCard_TETRA_Exp2!A141</v>
      </c>
      <c r="K2338" s="15" t="str">
        <f t="shared" ca="1" si="581"/>
        <v>RadioCard_TETRA_Exp2!B141</v>
      </c>
    </row>
    <row r="2339" spans="1:16" x14ac:dyDescent="0.25">
      <c r="A2339" s="3" t="str">
        <f t="shared" ca="1" si="582"/>
        <v/>
      </c>
      <c r="C2339" s="16"/>
      <c r="G2339" s="15">
        <f t="shared" ca="1" si="591"/>
        <v>142</v>
      </c>
      <c r="H2339" s="15">
        <v>1</v>
      </c>
      <c r="I2339" s="15" t="str">
        <f t="shared" ca="1" si="592"/>
        <v>RadioCard_TETRA_Exp2</v>
      </c>
      <c r="J2339" s="15" t="str">
        <f t="shared" ca="1" si="580"/>
        <v>RadioCard_TETRA_Exp2!A142</v>
      </c>
      <c r="K2339" s="15" t="str">
        <f t="shared" ca="1" si="581"/>
        <v>RadioCard_TETRA_Exp2!B142</v>
      </c>
    </row>
    <row r="2340" spans="1:16" x14ac:dyDescent="0.25">
      <c r="A2340" s="3" t="str">
        <f t="shared" ca="1" si="582"/>
        <v/>
      </c>
      <c r="G2340" s="15">
        <f t="shared" ca="1" si="591"/>
        <v>143</v>
      </c>
      <c r="H2340" s="15">
        <v>1</v>
      </c>
      <c r="I2340" s="15" t="str">
        <f t="shared" ca="1" si="592"/>
        <v>RadioCard_TETRA_Exp2</v>
      </c>
      <c r="J2340" s="15" t="str">
        <f t="shared" ref="J2340:J2403" ca="1" si="599">ADDRESS(G2340,H2340,4,1,I2340)</f>
        <v>RadioCard_TETRA_Exp2!A143</v>
      </c>
      <c r="K2340" s="15" t="str">
        <f t="shared" ref="K2340:K2403" ca="1" si="600">ADDRESS(G2340,H2340+1,4,1,I2340)</f>
        <v>RadioCard_TETRA_Exp2!B143</v>
      </c>
    </row>
    <row r="2341" spans="1:16" x14ac:dyDescent="0.25">
      <c r="A2341" s="3" t="str">
        <f t="shared" ca="1" si="582"/>
        <v/>
      </c>
      <c r="G2341" s="15">
        <f t="shared" ca="1" si="591"/>
        <v>144</v>
      </c>
      <c r="H2341" s="15">
        <v>1</v>
      </c>
      <c r="I2341" s="15" t="str">
        <f t="shared" ca="1" si="592"/>
        <v>RadioCard_TETRA_Exp2</v>
      </c>
      <c r="J2341" s="15" t="str">
        <f t="shared" ca="1" si="599"/>
        <v>RadioCard_TETRA_Exp2!A144</v>
      </c>
      <c r="K2341" s="15" t="str">
        <f t="shared" ca="1" si="600"/>
        <v>RadioCard_TETRA_Exp2!B144</v>
      </c>
    </row>
    <row r="2342" spans="1:16" x14ac:dyDescent="0.25">
      <c r="A2342" s="3" t="str">
        <f t="shared" ca="1" si="582"/>
        <v/>
      </c>
      <c r="G2342" s="15">
        <f t="shared" ca="1" si="591"/>
        <v>145</v>
      </c>
      <c r="H2342" s="15">
        <v>1</v>
      </c>
      <c r="I2342" s="15" t="str">
        <f t="shared" ca="1" si="592"/>
        <v>RadioCard_TETRA_Exp2</v>
      </c>
      <c r="J2342" s="15" t="str">
        <f t="shared" ca="1" si="599"/>
        <v>RadioCard_TETRA_Exp2!A145</v>
      </c>
      <c r="K2342" s="15" t="str">
        <f t="shared" ca="1" si="600"/>
        <v>RadioCard_TETRA_Exp2!B145</v>
      </c>
    </row>
    <row r="2343" spans="1:16" x14ac:dyDescent="0.25">
      <c r="A2343" s="3" t="str">
        <f t="shared" ca="1" si="582"/>
        <v/>
      </c>
      <c r="G2343" s="15">
        <f t="shared" ca="1" si="591"/>
        <v>146</v>
      </c>
      <c r="H2343" s="15">
        <v>1</v>
      </c>
      <c r="I2343" s="15" t="str">
        <f t="shared" ca="1" si="592"/>
        <v>RadioCard_TETRA_Exp2</v>
      </c>
      <c r="J2343" s="15" t="str">
        <f t="shared" ca="1" si="599"/>
        <v>RadioCard_TETRA_Exp2!A146</v>
      </c>
      <c r="K2343" s="15" t="str">
        <f t="shared" ca="1" si="600"/>
        <v>RadioCard_TETRA_Exp2!B146</v>
      </c>
    </row>
    <row r="2344" spans="1:16" x14ac:dyDescent="0.25">
      <c r="A2344" s="3" t="str">
        <f t="shared" ca="1" si="582"/>
        <v/>
      </c>
      <c r="G2344" s="15">
        <f t="shared" ca="1" si="591"/>
        <v>147</v>
      </c>
      <c r="H2344" s="15">
        <v>1</v>
      </c>
      <c r="I2344" s="15" t="str">
        <f t="shared" ca="1" si="592"/>
        <v>RadioCard_TETRA_Exp2</v>
      </c>
      <c r="J2344" s="15" t="str">
        <f t="shared" ca="1" si="599"/>
        <v>RadioCard_TETRA_Exp2!A147</v>
      </c>
      <c r="K2344" s="15" t="str">
        <f t="shared" ca="1" si="600"/>
        <v>RadioCard_TETRA_Exp2!B147</v>
      </c>
    </row>
    <row r="2345" spans="1:16" x14ac:dyDescent="0.25">
      <c r="A2345" s="3" t="str">
        <f t="shared" ca="1" si="582"/>
        <v/>
      </c>
      <c r="G2345" s="15">
        <f t="shared" ca="1" si="591"/>
        <v>148</v>
      </c>
      <c r="H2345" s="15">
        <v>1</v>
      </c>
      <c r="I2345" s="15" t="str">
        <f t="shared" ca="1" si="592"/>
        <v>RadioCard_TETRA_Exp2</v>
      </c>
      <c r="J2345" s="15" t="str">
        <f t="shared" ca="1" si="599"/>
        <v>RadioCard_TETRA_Exp2!A148</v>
      </c>
      <c r="K2345" s="15" t="str">
        <f t="shared" ca="1" si="600"/>
        <v>RadioCard_TETRA_Exp2!B148</v>
      </c>
    </row>
    <row r="2346" spans="1:16" x14ac:dyDescent="0.25">
      <c r="A2346" s="3" t="str">
        <f t="shared" ca="1" si="582"/>
        <v/>
      </c>
      <c r="G2346" s="15">
        <f t="shared" ca="1" si="591"/>
        <v>149</v>
      </c>
      <c r="H2346" s="15">
        <v>1</v>
      </c>
      <c r="I2346" s="15" t="str">
        <f t="shared" ca="1" si="592"/>
        <v>RadioCard_TETRA_Exp2</v>
      </c>
      <c r="J2346" s="15" t="str">
        <f t="shared" ca="1" si="599"/>
        <v>RadioCard_TETRA_Exp2!A149</v>
      </c>
      <c r="K2346" s="15" t="str">
        <f t="shared" ca="1" si="600"/>
        <v>RadioCard_TETRA_Exp2!B149</v>
      </c>
    </row>
    <row r="2347" spans="1:16" x14ac:dyDescent="0.25">
      <c r="A2347" s="3" t="str">
        <f t="shared" ca="1" si="582"/>
        <v/>
      </c>
      <c r="G2347" s="15">
        <f t="shared" ca="1" si="591"/>
        <v>150</v>
      </c>
      <c r="H2347" s="15">
        <v>1</v>
      </c>
      <c r="I2347" s="15" t="str">
        <f t="shared" ca="1" si="592"/>
        <v>RadioCard_TETRA_Exp2</v>
      </c>
      <c r="J2347" s="15" t="str">
        <f t="shared" ca="1" si="599"/>
        <v>RadioCard_TETRA_Exp2!A150</v>
      </c>
      <c r="K2347" s="15" t="str">
        <f t="shared" ca="1" si="600"/>
        <v>RadioCard_TETRA_Exp2!B150</v>
      </c>
    </row>
    <row r="2348" spans="1:16" x14ac:dyDescent="0.25">
      <c r="A2348" s="3" t="str">
        <f t="shared" ref="A2348:A2411" ca="1" si="601">IFERROR(IF(INDIRECT(J2348)&lt;&gt;"",CONCATENATE(INDIRECT(J2348)," = ",INDIRECT(K2348)," "),""),"")</f>
        <v xml:space="preserve">#LTC2122_TETRA =  </v>
      </c>
      <c r="G2348" s="15">
        <f t="shared" ref="G2348" ca="1" si="602">INDIRECT(M2348)</f>
        <v>31</v>
      </c>
      <c r="H2348" s="15">
        <v>1</v>
      </c>
      <c r="I2348" s="15" t="str">
        <f t="shared" ref="I2348" ca="1" si="603">INDIRECT(N2348)</f>
        <v>RadioCard_TETRA_Devices</v>
      </c>
      <c r="J2348" s="15" t="str">
        <f t="shared" ca="1" si="599"/>
        <v>RadioCard_TETRA_Devices!A31</v>
      </c>
      <c r="K2348" s="15" t="str">
        <f t="shared" ca="1" si="600"/>
        <v>RadioCard_TETRA_Devices!B31</v>
      </c>
      <c r="M2348" s="15" t="str">
        <f t="shared" ref="M2348" si="604">ADDRESS(O2348,3,4,1,$R$1)</f>
        <v>konfig!C119</v>
      </c>
      <c r="N2348" s="15" t="str">
        <f t="shared" ref="N2348" si="605">ADDRESS(O2348,1,4,1,$R$1)</f>
        <v>konfig!A119</v>
      </c>
      <c r="O2348" s="15">
        <v>119</v>
      </c>
      <c r="P2348" s="15">
        <v>4</v>
      </c>
    </row>
    <row r="2349" spans="1:16" x14ac:dyDescent="0.25">
      <c r="A2349" s="3" t="str">
        <f t="shared" ca="1" si="601"/>
        <v xml:space="preserve">device = LTC2122 </v>
      </c>
      <c r="G2349" s="15">
        <f t="shared" ref="G2349:G2389" ca="1" si="606">G2348+1</f>
        <v>32</v>
      </c>
      <c r="H2349" s="15">
        <v>1</v>
      </c>
      <c r="I2349" s="15" t="str">
        <f t="shared" ref="I2349:I2389" ca="1" si="607">I2348</f>
        <v>RadioCard_TETRA_Devices</v>
      </c>
      <c r="J2349" s="15" t="str">
        <f t="shared" ca="1" si="599"/>
        <v>RadioCard_TETRA_Devices!A32</v>
      </c>
      <c r="K2349" s="15" t="str">
        <f t="shared" ca="1" si="600"/>
        <v>RadioCard_TETRA_Devices!B32</v>
      </c>
    </row>
    <row r="2350" spans="1:16" x14ac:dyDescent="0.25">
      <c r="A2350" s="3" t="str">
        <f t="shared" ca="1" si="601"/>
        <v xml:space="preserve">spi_num = /dev/spidev0.0 </v>
      </c>
      <c r="G2350" s="15">
        <f t="shared" ca="1" si="591"/>
        <v>33</v>
      </c>
      <c r="H2350" s="15">
        <v>1</v>
      </c>
      <c r="I2350" s="15" t="str">
        <f t="shared" ca="1" si="592"/>
        <v>RadioCard_TETRA_Devices</v>
      </c>
      <c r="J2350" s="15" t="str">
        <f t="shared" ca="1" si="599"/>
        <v>RadioCard_TETRA_Devices!A33</v>
      </c>
      <c r="K2350" s="15" t="str">
        <f t="shared" ca="1" si="600"/>
        <v>RadioCard_TETRA_Devices!B33</v>
      </c>
    </row>
    <row r="2351" spans="1:16" x14ac:dyDescent="0.25">
      <c r="A2351" s="3" t="str">
        <f t="shared" ca="1" si="601"/>
        <v xml:space="preserve">path_cfg = ./device_config_files/radio_config_files/radiocard_TETRA/LTC2122.cfg  </v>
      </c>
      <c r="C2351" s="16"/>
      <c r="G2351" s="15">
        <f t="shared" ca="1" si="591"/>
        <v>34</v>
      </c>
      <c r="H2351" s="15">
        <v>1</v>
      </c>
      <c r="I2351" s="15" t="str">
        <f t="shared" ca="1" si="592"/>
        <v>RadioCard_TETRA_Devices</v>
      </c>
      <c r="J2351" s="15" t="str">
        <f t="shared" ca="1" si="599"/>
        <v>RadioCard_TETRA_Devices!A34</v>
      </c>
      <c r="K2351" s="15" t="str">
        <f t="shared" ca="1" si="600"/>
        <v>RadioCard_TETRA_Devices!B34</v>
      </c>
    </row>
    <row r="2352" spans="1:16" x14ac:dyDescent="0.25">
      <c r="A2352" s="3" t="str">
        <f t="shared" ca="1" si="601"/>
        <v/>
      </c>
      <c r="G2352" s="15">
        <f t="shared" ca="1" si="591"/>
        <v>35</v>
      </c>
      <c r="H2352" s="15">
        <v>1</v>
      </c>
      <c r="I2352" s="15" t="str">
        <f t="shared" ca="1" si="592"/>
        <v>RadioCard_TETRA_Devices</v>
      </c>
      <c r="J2352" s="15" t="str">
        <f t="shared" ca="1" si="599"/>
        <v>RadioCard_TETRA_Devices!A35</v>
      </c>
      <c r="K2352" s="15" t="str">
        <f t="shared" ca="1" si="600"/>
        <v>RadioCard_TETRA_Devices!B35</v>
      </c>
    </row>
    <row r="2353" spans="1:16" x14ac:dyDescent="0.25">
      <c r="A2353" s="3" t="str">
        <f t="shared" ca="1" si="601"/>
        <v xml:space="preserve">time = 10 </v>
      </c>
      <c r="G2353" s="15">
        <f t="shared" ca="1" si="591"/>
        <v>36</v>
      </c>
      <c r="H2353" s="15">
        <v>1</v>
      </c>
      <c r="I2353" s="15" t="str">
        <f t="shared" ca="1" si="592"/>
        <v>RadioCard_TETRA_Devices</v>
      </c>
      <c r="J2353" s="15" t="str">
        <f t="shared" ca="1" si="599"/>
        <v>RadioCard_TETRA_Devices!A36</v>
      </c>
      <c r="K2353" s="15" t="str">
        <f t="shared" ca="1" si="600"/>
        <v>RadioCard_TETRA_Devices!B36</v>
      </c>
    </row>
    <row r="2354" spans="1:16" x14ac:dyDescent="0.25">
      <c r="A2354" s="3" t="str">
        <f t="shared" ca="1" si="601"/>
        <v/>
      </c>
      <c r="G2354" s="15">
        <f t="shared" ca="1" si="591"/>
        <v>37</v>
      </c>
      <c r="H2354" s="15">
        <v>1</v>
      </c>
      <c r="I2354" s="15" t="str">
        <f t="shared" ca="1" si="592"/>
        <v>RadioCard_TETRA_Devices</v>
      </c>
      <c r="J2354" s="15" t="str">
        <f t="shared" ca="1" si="599"/>
        <v>RadioCard_TETRA_Devices!A37</v>
      </c>
      <c r="K2354" s="15" t="str">
        <f t="shared" ca="1" si="600"/>
        <v>RadioCard_TETRA_Devices!B37</v>
      </c>
    </row>
    <row r="2355" spans="1:16" x14ac:dyDescent="0.25">
      <c r="A2355" s="3" t="str">
        <f t="shared" ca="1" si="601"/>
        <v/>
      </c>
      <c r="G2355" s="15">
        <f t="shared" ca="1" si="591"/>
        <v>38</v>
      </c>
      <c r="H2355" s="15">
        <v>1</v>
      </c>
      <c r="I2355" s="15" t="str">
        <f t="shared" ca="1" si="592"/>
        <v>RadioCard_TETRA_Devices</v>
      </c>
      <c r="J2355" s="15" t="str">
        <f t="shared" ca="1" si="599"/>
        <v>RadioCard_TETRA_Devices!A38</v>
      </c>
      <c r="K2355" s="15" t="str">
        <f t="shared" ca="1" si="600"/>
        <v>RadioCard_TETRA_Devices!B38</v>
      </c>
    </row>
    <row r="2356" spans="1:16" x14ac:dyDescent="0.25">
      <c r="A2356" s="3" t="str">
        <f t="shared" ca="1" si="601"/>
        <v/>
      </c>
      <c r="G2356" s="15">
        <f t="shared" ca="1" si="591"/>
        <v>39</v>
      </c>
      <c r="H2356" s="15">
        <v>1</v>
      </c>
      <c r="I2356" s="15" t="str">
        <f t="shared" ca="1" si="592"/>
        <v>RadioCard_TETRA_Devices</v>
      </c>
      <c r="J2356" s="15" t="str">
        <f t="shared" ca="1" si="599"/>
        <v>RadioCard_TETRA_Devices!A39</v>
      </c>
      <c r="K2356" s="15" t="str">
        <f t="shared" ca="1" si="600"/>
        <v>RadioCard_TETRA_Devices!B39</v>
      </c>
    </row>
    <row r="2357" spans="1:16" x14ac:dyDescent="0.25">
      <c r="A2357" s="3" t="str">
        <f t="shared" ca="1" si="601"/>
        <v/>
      </c>
      <c r="G2357" s="15">
        <f t="shared" ca="1" si="591"/>
        <v>40</v>
      </c>
      <c r="H2357" s="15">
        <v>1</v>
      </c>
      <c r="I2357" s="15" t="str">
        <f t="shared" ca="1" si="592"/>
        <v>RadioCard_TETRA_Devices</v>
      </c>
      <c r="J2357" s="15" t="str">
        <f t="shared" ca="1" si="599"/>
        <v>RadioCard_TETRA_Devices!A40</v>
      </c>
      <c r="K2357" s="15" t="str">
        <f t="shared" ca="1" si="600"/>
        <v>RadioCard_TETRA_Devices!B40</v>
      </c>
    </row>
    <row r="2358" spans="1:16" x14ac:dyDescent="0.25">
      <c r="A2358" s="3" t="str">
        <f t="shared" ca="1" si="601"/>
        <v/>
      </c>
      <c r="G2358" s="15">
        <f t="shared" ca="1" si="591"/>
        <v>41</v>
      </c>
      <c r="H2358" s="15">
        <v>1</v>
      </c>
      <c r="I2358" s="15" t="str">
        <f t="shared" ca="1" si="592"/>
        <v>RadioCard_TETRA_Devices</v>
      </c>
      <c r="J2358" s="15" t="str">
        <f t="shared" ca="1" si="599"/>
        <v>RadioCard_TETRA_Devices!A41</v>
      </c>
      <c r="K2358" s="15" t="str">
        <f t="shared" ca="1" si="600"/>
        <v>RadioCard_TETRA_Devices!B41</v>
      </c>
    </row>
    <row r="2359" spans="1:16" x14ac:dyDescent="0.25">
      <c r="A2359" s="3" t="str">
        <f t="shared" ca="1" si="601"/>
        <v/>
      </c>
      <c r="C2359" s="16"/>
      <c r="G2359" s="15">
        <f t="shared" ca="1" si="591"/>
        <v>42</v>
      </c>
      <c r="H2359" s="15">
        <v>1</v>
      </c>
      <c r="I2359" s="15" t="str">
        <f t="shared" ca="1" si="592"/>
        <v>RadioCard_TETRA_Devices</v>
      </c>
      <c r="J2359" s="15" t="str">
        <f t="shared" ca="1" si="599"/>
        <v>RadioCard_TETRA_Devices!A42</v>
      </c>
      <c r="K2359" s="15" t="str">
        <f t="shared" ca="1" si="600"/>
        <v>RadioCard_TETRA_Devices!B42</v>
      </c>
    </row>
    <row r="2360" spans="1:16" x14ac:dyDescent="0.25">
      <c r="A2360" s="3" t="str">
        <f t="shared" ca="1" si="601"/>
        <v/>
      </c>
      <c r="G2360" s="15">
        <f t="shared" ca="1" si="591"/>
        <v>43</v>
      </c>
      <c r="H2360" s="15">
        <v>1</v>
      </c>
      <c r="I2360" s="15" t="str">
        <f t="shared" ca="1" si="592"/>
        <v>RadioCard_TETRA_Devices</v>
      </c>
      <c r="J2360" s="15" t="str">
        <f t="shared" ca="1" si="599"/>
        <v>RadioCard_TETRA_Devices!A43</v>
      </c>
      <c r="K2360" s="15" t="str">
        <f t="shared" ca="1" si="600"/>
        <v>RadioCard_TETRA_Devices!B43</v>
      </c>
    </row>
    <row r="2361" spans="1:16" x14ac:dyDescent="0.25">
      <c r="A2361" s="3" t="str">
        <f t="shared" ca="1" si="601"/>
        <v/>
      </c>
      <c r="G2361" s="15">
        <f t="shared" ca="1" si="591"/>
        <v>44</v>
      </c>
      <c r="H2361" s="15">
        <v>1</v>
      </c>
      <c r="I2361" s="15" t="str">
        <f t="shared" ca="1" si="592"/>
        <v>RadioCard_TETRA_Devices</v>
      </c>
      <c r="J2361" s="15" t="str">
        <f t="shared" ca="1" si="599"/>
        <v>RadioCard_TETRA_Devices!A44</v>
      </c>
      <c r="K2361" s="15" t="str">
        <f t="shared" ca="1" si="600"/>
        <v>RadioCard_TETRA_Devices!B44</v>
      </c>
    </row>
    <row r="2362" spans="1:16" x14ac:dyDescent="0.25">
      <c r="A2362" s="3" t="str">
        <f t="shared" ca="1" si="601"/>
        <v/>
      </c>
      <c r="G2362" s="15">
        <f t="shared" ca="1" si="591"/>
        <v>45</v>
      </c>
      <c r="H2362" s="15">
        <v>1</v>
      </c>
      <c r="I2362" s="15" t="str">
        <f t="shared" ca="1" si="592"/>
        <v>RadioCard_TETRA_Devices</v>
      </c>
      <c r="J2362" s="15" t="str">
        <f t="shared" ca="1" si="599"/>
        <v>RadioCard_TETRA_Devices!A45</v>
      </c>
      <c r="K2362" s="15" t="str">
        <f t="shared" ca="1" si="600"/>
        <v>RadioCard_TETRA_Devices!B45</v>
      </c>
    </row>
    <row r="2363" spans="1:16" x14ac:dyDescent="0.25">
      <c r="A2363" s="3" t="str">
        <f t="shared" ca="1" si="601"/>
        <v/>
      </c>
      <c r="G2363" s="15">
        <f t="shared" ca="1" si="591"/>
        <v>46</v>
      </c>
      <c r="H2363" s="15">
        <v>1</v>
      </c>
      <c r="I2363" s="15" t="str">
        <f t="shared" ca="1" si="592"/>
        <v>RadioCard_TETRA_Devices</v>
      </c>
      <c r="J2363" s="15" t="str">
        <f t="shared" ca="1" si="599"/>
        <v>RadioCard_TETRA_Devices!A46</v>
      </c>
      <c r="K2363" s="15" t="str">
        <f t="shared" ca="1" si="600"/>
        <v>RadioCard_TETRA_Devices!B46</v>
      </c>
    </row>
    <row r="2364" spans="1:16" x14ac:dyDescent="0.25">
      <c r="A2364" s="3" t="str">
        <f t="shared" ca="1" si="601"/>
        <v/>
      </c>
      <c r="G2364" s="15">
        <f t="shared" ca="1" si="591"/>
        <v>47</v>
      </c>
      <c r="H2364" s="15">
        <v>1</v>
      </c>
      <c r="I2364" s="15" t="str">
        <f t="shared" ca="1" si="592"/>
        <v>RadioCard_TETRA_Devices</v>
      </c>
      <c r="J2364" s="15" t="str">
        <f t="shared" ca="1" si="599"/>
        <v>RadioCard_TETRA_Devices!A47</v>
      </c>
      <c r="K2364" s="15" t="str">
        <f t="shared" ca="1" si="600"/>
        <v>RadioCard_TETRA_Devices!B47</v>
      </c>
    </row>
    <row r="2365" spans="1:16" x14ac:dyDescent="0.25">
      <c r="A2365" s="3" t="str">
        <f t="shared" ca="1" si="601"/>
        <v/>
      </c>
      <c r="G2365" s="15">
        <f t="shared" ca="1" si="591"/>
        <v>48</v>
      </c>
      <c r="H2365" s="15">
        <v>1</v>
      </c>
      <c r="I2365" s="15" t="str">
        <f t="shared" ca="1" si="592"/>
        <v>RadioCard_TETRA_Devices</v>
      </c>
      <c r="J2365" s="15" t="str">
        <f t="shared" ca="1" si="599"/>
        <v>RadioCard_TETRA_Devices!A48</v>
      </c>
      <c r="K2365" s="15" t="str">
        <f t="shared" ca="1" si="600"/>
        <v>RadioCard_TETRA_Devices!B48</v>
      </c>
    </row>
    <row r="2366" spans="1:16" x14ac:dyDescent="0.25">
      <c r="A2366" s="3" t="str">
        <f t="shared" ca="1" si="601"/>
        <v/>
      </c>
      <c r="G2366" s="15">
        <f t="shared" ca="1" si="591"/>
        <v>49</v>
      </c>
      <c r="H2366" s="15">
        <v>1</v>
      </c>
      <c r="I2366" s="15" t="str">
        <f t="shared" ca="1" si="592"/>
        <v>RadioCard_TETRA_Devices</v>
      </c>
      <c r="J2366" s="15" t="str">
        <f t="shared" ca="1" si="599"/>
        <v>RadioCard_TETRA_Devices!A49</v>
      </c>
      <c r="K2366" s="15" t="str">
        <f t="shared" ca="1" si="600"/>
        <v>RadioCard_TETRA_Devices!B49</v>
      </c>
    </row>
    <row r="2367" spans="1:16" x14ac:dyDescent="0.25">
      <c r="A2367" s="3" t="str">
        <f t="shared" ca="1" si="601"/>
        <v/>
      </c>
      <c r="G2367" s="15">
        <f t="shared" ca="1" si="591"/>
        <v>50</v>
      </c>
      <c r="H2367" s="15">
        <v>1</v>
      </c>
      <c r="I2367" s="15" t="str">
        <f t="shared" ca="1" si="592"/>
        <v>RadioCard_TETRA_Devices</v>
      </c>
      <c r="J2367" s="15" t="str">
        <f t="shared" ca="1" si="599"/>
        <v>RadioCard_TETRA_Devices!A50</v>
      </c>
      <c r="K2367" s="15" t="str">
        <f t="shared" ca="1" si="600"/>
        <v>RadioCard_TETRA_Devices!B50</v>
      </c>
    </row>
    <row r="2368" spans="1:16" x14ac:dyDescent="0.25">
      <c r="A2368" s="3" t="str">
        <f t="shared" ca="1" si="601"/>
        <v xml:space="preserve">#RadioCard_TETRA_Exp1:etap 3 =  </v>
      </c>
      <c r="G2368" s="15">
        <f t="shared" ref="G2368" ca="1" si="608">INDIRECT(M2368)</f>
        <v>91</v>
      </c>
      <c r="H2368" s="15">
        <v>1</v>
      </c>
      <c r="I2368" s="15" t="str">
        <f t="shared" ref="I2368" ca="1" si="609">INDIRECT(N2368)</f>
        <v>RadioCard_TETRA_Exp2</v>
      </c>
      <c r="J2368" s="15" t="str">
        <f t="shared" ca="1" si="599"/>
        <v>RadioCard_TETRA_Exp2!A91</v>
      </c>
      <c r="K2368" s="15" t="str">
        <f t="shared" ca="1" si="600"/>
        <v>RadioCard_TETRA_Exp2!B91</v>
      </c>
      <c r="M2368" s="15" t="str">
        <f t="shared" ref="M2368" si="610">ADDRESS(O2368,3,4,1,$R$1)</f>
        <v>konfig!C120</v>
      </c>
      <c r="N2368" s="15" t="str">
        <f t="shared" ref="N2368" si="611">ADDRESS(O2368,1,4,1,$R$1)</f>
        <v>konfig!A120</v>
      </c>
      <c r="O2368" s="15">
        <v>120</v>
      </c>
      <c r="P2368" s="15">
        <v>4</v>
      </c>
    </row>
    <row r="2369" spans="1:11" x14ac:dyDescent="0.25">
      <c r="A2369" s="3" t="str">
        <f t="shared" ca="1" si="601"/>
        <v xml:space="preserve">device = MCP23017 </v>
      </c>
      <c r="G2369" s="15">
        <f t="shared" ca="1" si="597"/>
        <v>92</v>
      </c>
      <c r="H2369" s="15">
        <v>1</v>
      </c>
      <c r="I2369" s="15" t="str">
        <f t="shared" ca="1" si="598"/>
        <v>RadioCard_TETRA_Exp2</v>
      </c>
      <c r="J2369" s="15" t="str">
        <f t="shared" ca="1" si="599"/>
        <v>RadioCard_TETRA_Exp2!A92</v>
      </c>
      <c r="K2369" s="15" t="str">
        <f t="shared" ca="1" si="600"/>
        <v>RadioCard_TETRA_Exp2!B92</v>
      </c>
    </row>
    <row r="2370" spans="1:11" x14ac:dyDescent="0.25">
      <c r="A2370" s="3" t="str">
        <f t="shared" ca="1" si="601"/>
        <v xml:space="preserve">i2c_addr = 0x27 </v>
      </c>
      <c r="G2370" s="15">
        <f t="shared" ca="1" si="597"/>
        <v>93</v>
      </c>
      <c r="H2370" s="15">
        <v>1</v>
      </c>
      <c r="I2370" s="15" t="str">
        <f t="shared" ca="1" si="598"/>
        <v>RadioCard_TETRA_Exp2</v>
      </c>
      <c r="J2370" s="15" t="str">
        <f t="shared" ca="1" si="599"/>
        <v>RadioCard_TETRA_Exp2!A93</v>
      </c>
      <c r="K2370" s="15" t="str">
        <f t="shared" ca="1" si="600"/>
        <v>RadioCard_TETRA_Exp2!B93</v>
      </c>
    </row>
    <row r="2371" spans="1:11" x14ac:dyDescent="0.25">
      <c r="A2371" s="3" t="str">
        <f t="shared" ca="1" si="601"/>
        <v xml:space="preserve">i2c_num = /dev/i2c-1 </v>
      </c>
      <c r="C2371" s="16"/>
      <c r="G2371" s="15">
        <f t="shared" ca="1" si="597"/>
        <v>94</v>
      </c>
      <c r="H2371" s="15">
        <v>1</v>
      </c>
      <c r="I2371" s="15" t="str">
        <f t="shared" ca="1" si="598"/>
        <v>RadioCard_TETRA_Exp2</v>
      </c>
      <c r="J2371" s="15" t="str">
        <f t="shared" ca="1" si="599"/>
        <v>RadioCard_TETRA_Exp2!A94</v>
      </c>
      <c r="K2371" s="15" t="str">
        <f t="shared" ca="1" si="600"/>
        <v>RadioCard_TETRA_Exp2!B94</v>
      </c>
    </row>
    <row r="2372" spans="1:11" x14ac:dyDescent="0.25">
      <c r="A2372" s="3" t="str">
        <f t="shared" ca="1" si="601"/>
        <v xml:space="preserve">pins_mode = 0xCE8C </v>
      </c>
      <c r="G2372" s="15">
        <f t="shared" ca="1" si="597"/>
        <v>95</v>
      </c>
      <c r="H2372" s="15">
        <v>1</v>
      </c>
      <c r="I2372" s="15" t="str">
        <f t="shared" ca="1" si="598"/>
        <v>RadioCard_TETRA_Exp2</v>
      </c>
      <c r="J2372" s="15" t="str">
        <f t="shared" ca="1" si="599"/>
        <v>RadioCard_TETRA_Exp2!A95</v>
      </c>
      <c r="K2372" s="15" t="str">
        <f t="shared" ca="1" si="600"/>
        <v>RadioCard_TETRA_Exp2!B95</v>
      </c>
    </row>
    <row r="2373" spans="1:11" x14ac:dyDescent="0.25">
      <c r="A2373" s="3" t="str">
        <f t="shared" ca="1" si="601"/>
        <v xml:space="preserve">pins_state = 0x3133 </v>
      </c>
      <c r="G2373" s="15">
        <f t="shared" ca="1" si="591"/>
        <v>96</v>
      </c>
      <c r="H2373" s="15">
        <v>1</v>
      </c>
      <c r="I2373" s="15" t="str">
        <f t="shared" ca="1" si="592"/>
        <v>RadioCard_TETRA_Exp2</v>
      </c>
      <c r="J2373" s="15" t="str">
        <f t="shared" ca="1" si="599"/>
        <v>RadioCard_TETRA_Exp2!A96</v>
      </c>
      <c r="K2373" s="15" t="str">
        <f t="shared" ca="1" si="600"/>
        <v>RadioCard_TETRA_Exp2!B96</v>
      </c>
    </row>
    <row r="2374" spans="1:11" x14ac:dyDescent="0.25">
      <c r="A2374" s="3" t="str">
        <f t="shared" ca="1" si="601"/>
        <v xml:space="preserve">pins_pull_up = 0x4808 </v>
      </c>
      <c r="G2374" s="15">
        <f t="shared" ca="1" si="591"/>
        <v>97</v>
      </c>
      <c r="H2374" s="15">
        <v>1</v>
      </c>
      <c r="I2374" s="15" t="str">
        <f t="shared" ca="1" si="592"/>
        <v>RadioCard_TETRA_Exp2</v>
      </c>
      <c r="J2374" s="15" t="str">
        <f t="shared" ca="1" si="599"/>
        <v>RadioCard_TETRA_Exp2!A97</v>
      </c>
      <c r="K2374" s="15" t="str">
        <f t="shared" ca="1" si="600"/>
        <v>RadioCard_TETRA_Exp2!B97</v>
      </c>
    </row>
    <row r="2375" spans="1:11" x14ac:dyDescent="0.25">
      <c r="A2375" s="3" t="str">
        <f t="shared" ca="1" si="601"/>
        <v xml:space="preserve">#pins_int = 0x0000 </v>
      </c>
      <c r="G2375" s="15">
        <f t="shared" ca="1" si="591"/>
        <v>98</v>
      </c>
      <c r="H2375" s="15">
        <v>1</v>
      </c>
      <c r="I2375" s="15" t="str">
        <f t="shared" ca="1" si="592"/>
        <v>RadioCard_TETRA_Exp2</v>
      </c>
      <c r="J2375" s="15" t="str">
        <f t="shared" ca="1" si="599"/>
        <v>RadioCard_TETRA_Exp2!A98</v>
      </c>
      <c r="K2375" s="15" t="str">
        <f t="shared" ca="1" si="600"/>
        <v>RadioCard_TETRA_Exp2!B98</v>
      </c>
    </row>
    <row r="2376" spans="1:11" x14ac:dyDescent="0.25">
      <c r="A2376" s="3" t="str">
        <f t="shared" ca="1" si="601"/>
        <v xml:space="preserve">#pins_def_val = 0x0000 </v>
      </c>
      <c r="G2376" s="15">
        <f t="shared" ca="1" si="591"/>
        <v>99</v>
      </c>
      <c r="H2376" s="15">
        <v>1</v>
      </c>
      <c r="I2376" s="15" t="str">
        <f t="shared" ca="1" si="592"/>
        <v>RadioCard_TETRA_Exp2</v>
      </c>
      <c r="J2376" s="15" t="str">
        <f t="shared" ca="1" si="599"/>
        <v>RadioCard_TETRA_Exp2!A99</v>
      </c>
      <c r="K2376" s="15" t="str">
        <f t="shared" ca="1" si="600"/>
        <v>RadioCard_TETRA_Exp2!B99</v>
      </c>
    </row>
    <row r="2377" spans="1:11" x14ac:dyDescent="0.25">
      <c r="A2377" s="3" t="str">
        <f t="shared" ca="1" si="601"/>
        <v/>
      </c>
      <c r="G2377" s="15">
        <f t="shared" ref="G2377:G2440" ca="1" si="612">G2376+1</f>
        <v>100</v>
      </c>
      <c r="H2377" s="15">
        <v>1</v>
      </c>
      <c r="I2377" s="15" t="str">
        <f t="shared" ref="I2377:I2440" ca="1" si="613">I2376</f>
        <v>RadioCard_TETRA_Exp2</v>
      </c>
      <c r="J2377" s="15" t="str">
        <f t="shared" ca="1" si="599"/>
        <v>RadioCard_TETRA_Exp2!A100</v>
      </c>
      <c r="K2377" s="15" t="str">
        <f t="shared" ca="1" si="600"/>
        <v>RadioCard_TETRA_Exp2!B100</v>
      </c>
    </row>
    <row r="2378" spans="1:11" x14ac:dyDescent="0.25">
      <c r="A2378" s="3" t="str">
        <f t="shared" ca="1" si="601"/>
        <v xml:space="preserve">#pins_int = 10 </v>
      </c>
      <c r="G2378" s="15">
        <f t="shared" ca="1" si="612"/>
        <v>101</v>
      </c>
      <c r="H2378" s="15">
        <v>1</v>
      </c>
      <c r="I2378" s="15" t="str">
        <f t="shared" ca="1" si="613"/>
        <v>RadioCard_TETRA_Exp2</v>
      </c>
      <c r="J2378" s="15" t="str">
        <f t="shared" ca="1" si="599"/>
        <v>RadioCard_TETRA_Exp2!A101</v>
      </c>
      <c r="K2378" s="15" t="str">
        <f t="shared" ca="1" si="600"/>
        <v>RadioCard_TETRA_Exp2!B101</v>
      </c>
    </row>
    <row r="2379" spans="1:11" x14ac:dyDescent="0.25">
      <c r="A2379" s="3" t="str">
        <f t="shared" ca="1" si="601"/>
        <v/>
      </c>
      <c r="C2379" s="16"/>
      <c r="G2379" s="15">
        <f t="shared" ca="1" si="612"/>
        <v>102</v>
      </c>
      <c r="H2379" s="15">
        <v>1</v>
      </c>
      <c r="I2379" s="15" t="str">
        <f t="shared" ca="1" si="613"/>
        <v>RadioCard_TETRA_Exp2</v>
      </c>
      <c r="J2379" s="15" t="str">
        <f t="shared" ca="1" si="599"/>
        <v>RadioCard_TETRA_Exp2!A102</v>
      </c>
      <c r="K2379" s="15" t="str">
        <f t="shared" ca="1" si="600"/>
        <v>RadioCard_TETRA_Exp2!B102</v>
      </c>
    </row>
    <row r="2380" spans="1:11" x14ac:dyDescent="0.25">
      <c r="A2380" s="3" t="str">
        <f t="shared" ca="1" si="601"/>
        <v/>
      </c>
      <c r="G2380" s="15">
        <f t="shared" ca="1" si="612"/>
        <v>103</v>
      </c>
      <c r="H2380" s="15">
        <v>1</v>
      </c>
      <c r="I2380" s="15" t="str">
        <f t="shared" ca="1" si="613"/>
        <v>RadioCard_TETRA_Exp2</v>
      </c>
      <c r="J2380" s="15" t="str">
        <f t="shared" ca="1" si="599"/>
        <v>RadioCard_TETRA_Exp2!A103</v>
      </c>
      <c r="K2380" s="15" t="str">
        <f t="shared" ca="1" si="600"/>
        <v>RadioCard_TETRA_Exp2!B103</v>
      </c>
    </row>
    <row r="2381" spans="1:11" x14ac:dyDescent="0.25">
      <c r="A2381" s="3" t="str">
        <f t="shared" ca="1" si="601"/>
        <v/>
      </c>
      <c r="G2381" s="15">
        <f t="shared" ca="1" si="612"/>
        <v>104</v>
      </c>
      <c r="H2381" s="15">
        <v>1</v>
      </c>
      <c r="I2381" s="15" t="str">
        <f t="shared" ca="1" si="613"/>
        <v>RadioCard_TETRA_Exp2</v>
      </c>
      <c r="J2381" s="15" t="str">
        <f t="shared" ca="1" si="599"/>
        <v>RadioCard_TETRA_Exp2!A104</v>
      </c>
      <c r="K2381" s="15" t="str">
        <f t="shared" ca="1" si="600"/>
        <v>RadioCard_TETRA_Exp2!B104</v>
      </c>
    </row>
    <row r="2382" spans="1:11" x14ac:dyDescent="0.25">
      <c r="A2382" s="3" t="str">
        <f t="shared" ca="1" si="601"/>
        <v/>
      </c>
      <c r="G2382" s="15">
        <f t="shared" ca="1" si="612"/>
        <v>105</v>
      </c>
      <c r="H2382" s="15">
        <v>1</v>
      </c>
      <c r="I2382" s="15" t="str">
        <f t="shared" ca="1" si="613"/>
        <v>RadioCard_TETRA_Exp2</v>
      </c>
      <c r="J2382" s="15" t="str">
        <f t="shared" ca="1" si="599"/>
        <v>RadioCard_TETRA_Exp2!A105</v>
      </c>
      <c r="K2382" s="15" t="str">
        <f t="shared" ca="1" si="600"/>
        <v>RadioCard_TETRA_Exp2!B105</v>
      </c>
    </row>
    <row r="2383" spans="1:11" x14ac:dyDescent="0.25">
      <c r="A2383" s="3" t="str">
        <f t="shared" ca="1" si="601"/>
        <v/>
      </c>
      <c r="G2383" s="15">
        <f t="shared" ca="1" si="612"/>
        <v>106</v>
      </c>
      <c r="H2383" s="15">
        <v>1</v>
      </c>
      <c r="I2383" s="15" t="str">
        <f t="shared" ca="1" si="613"/>
        <v>RadioCard_TETRA_Exp2</v>
      </c>
      <c r="J2383" s="15" t="str">
        <f t="shared" ca="1" si="599"/>
        <v>RadioCard_TETRA_Exp2!A106</v>
      </c>
      <c r="K2383" s="15" t="str">
        <f t="shared" ca="1" si="600"/>
        <v>RadioCard_TETRA_Exp2!B106</v>
      </c>
    </row>
    <row r="2384" spans="1:11" x14ac:dyDescent="0.25">
      <c r="A2384" s="3" t="str">
        <f t="shared" ca="1" si="601"/>
        <v/>
      </c>
      <c r="G2384" s="15">
        <f t="shared" ca="1" si="612"/>
        <v>107</v>
      </c>
      <c r="H2384" s="15">
        <v>1</v>
      </c>
      <c r="I2384" s="15" t="str">
        <f t="shared" ca="1" si="613"/>
        <v>RadioCard_TETRA_Exp2</v>
      </c>
      <c r="J2384" s="15" t="str">
        <f t="shared" ca="1" si="599"/>
        <v>RadioCard_TETRA_Exp2!A107</v>
      </c>
      <c r="K2384" s="15" t="str">
        <f t="shared" ca="1" si="600"/>
        <v>RadioCard_TETRA_Exp2!B107</v>
      </c>
    </row>
    <row r="2385" spans="1:16" x14ac:dyDescent="0.25">
      <c r="A2385" s="3" t="str">
        <f t="shared" ca="1" si="601"/>
        <v/>
      </c>
      <c r="G2385" s="15">
        <f t="shared" ca="1" si="612"/>
        <v>108</v>
      </c>
      <c r="H2385" s="15">
        <v>1</v>
      </c>
      <c r="I2385" s="15" t="str">
        <f t="shared" ca="1" si="613"/>
        <v>RadioCard_TETRA_Exp2</v>
      </c>
      <c r="J2385" s="15" t="str">
        <f t="shared" ca="1" si="599"/>
        <v>RadioCard_TETRA_Exp2!A108</v>
      </c>
      <c r="K2385" s="15" t="str">
        <f t="shared" ca="1" si="600"/>
        <v>RadioCard_TETRA_Exp2!B108</v>
      </c>
    </row>
    <row r="2386" spans="1:16" x14ac:dyDescent="0.25">
      <c r="A2386" s="3" t="str">
        <f t="shared" ca="1" si="601"/>
        <v/>
      </c>
      <c r="G2386" s="15">
        <f t="shared" ca="1" si="612"/>
        <v>109</v>
      </c>
      <c r="H2386" s="15">
        <v>1</v>
      </c>
      <c r="I2386" s="15" t="str">
        <f t="shared" ca="1" si="613"/>
        <v>RadioCard_TETRA_Exp2</v>
      </c>
      <c r="J2386" s="15" t="str">
        <f t="shared" ca="1" si="599"/>
        <v>RadioCard_TETRA_Exp2!A109</v>
      </c>
      <c r="K2386" s="15" t="str">
        <f t="shared" ca="1" si="600"/>
        <v>RadioCard_TETRA_Exp2!B109</v>
      </c>
    </row>
    <row r="2387" spans="1:16" x14ac:dyDescent="0.25">
      <c r="A2387" s="3" t="str">
        <f t="shared" ca="1" si="601"/>
        <v/>
      </c>
      <c r="G2387" s="15">
        <f t="shared" ca="1" si="612"/>
        <v>110</v>
      </c>
      <c r="H2387" s="15">
        <v>1</v>
      </c>
      <c r="I2387" s="15" t="str">
        <f t="shared" ca="1" si="613"/>
        <v>RadioCard_TETRA_Exp2</v>
      </c>
      <c r="J2387" s="15" t="str">
        <f t="shared" ca="1" si="599"/>
        <v>RadioCard_TETRA_Exp2!A110</v>
      </c>
      <c r="K2387" s="15" t="str">
        <f t="shared" ca="1" si="600"/>
        <v>RadioCard_TETRA_Exp2!B110</v>
      </c>
    </row>
    <row r="2388" spans="1:16" x14ac:dyDescent="0.25">
      <c r="A2388" s="3" t="str">
        <f t="shared" ca="1" si="601"/>
        <v xml:space="preserve">#I2C_Expander_10:etap 2 =  </v>
      </c>
      <c r="G2388" s="15">
        <f t="shared" ref="G2388" ca="1" si="614">INDIRECT(M2388)</f>
        <v>71</v>
      </c>
      <c r="H2388" s="15">
        <v>1</v>
      </c>
      <c r="I2388" s="15" t="str">
        <f t="shared" ref="I2388" ca="1" si="615">INDIRECT(N2388)</f>
        <v>I2C_Expander_10</v>
      </c>
      <c r="J2388" s="15" t="str">
        <f t="shared" ca="1" si="599"/>
        <v>I2C_Expander_10!A71</v>
      </c>
      <c r="K2388" s="15" t="str">
        <f t="shared" ca="1" si="600"/>
        <v>I2C_Expander_10!B71</v>
      </c>
      <c r="M2388" s="15" t="str">
        <f t="shared" ref="M2388" si="616">ADDRESS(O2388,3,4,1,$R$1)</f>
        <v>konfig!C121</v>
      </c>
      <c r="N2388" s="15" t="str">
        <f t="shared" ref="N2388" si="617">ADDRESS(O2388,1,4,1,$R$1)</f>
        <v>konfig!A121</v>
      </c>
      <c r="O2388" s="15">
        <v>121</v>
      </c>
      <c r="P2388" s="15">
        <v>4</v>
      </c>
    </row>
    <row r="2389" spans="1:16" x14ac:dyDescent="0.25">
      <c r="A2389" s="3" t="str">
        <f t="shared" ca="1" si="601"/>
        <v xml:space="preserve">device = MCP23017 </v>
      </c>
      <c r="G2389" s="15">
        <f t="shared" ca="1" si="606"/>
        <v>72</v>
      </c>
      <c r="H2389" s="15">
        <v>1</v>
      </c>
      <c r="I2389" s="15" t="str">
        <f t="shared" ca="1" si="607"/>
        <v>I2C_Expander_10</v>
      </c>
      <c r="J2389" s="15" t="str">
        <f t="shared" ca="1" si="599"/>
        <v>I2C_Expander_10!A72</v>
      </c>
      <c r="K2389" s="15" t="str">
        <f t="shared" ca="1" si="600"/>
        <v>I2C_Expander_10!B72</v>
      </c>
    </row>
    <row r="2390" spans="1:16" x14ac:dyDescent="0.25">
      <c r="A2390" s="3" t="str">
        <f t="shared" ca="1" si="601"/>
        <v xml:space="preserve">i2c_addr = 0x20 </v>
      </c>
      <c r="G2390" s="15">
        <f t="shared" ca="1" si="612"/>
        <v>73</v>
      </c>
      <c r="H2390" s="15">
        <v>1</v>
      </c>
      <c r="I2390" s="15" t="str">
        <f t="shared" ca="1" si="613"/>
        <v>I2C_Expander_10</v>
      </c>
      <c r="J2390" s="15" t="str">
        <f t="shared" ca="1" si="599"/>
        <v>I2C_Expander_10!A73</v>
      </c>
      <c r="K2390" s="15" t="str">
        <f t="shared" ca="1" si="600"/>
        <v>I2C_Expander_10!B73</v>
      </c>
    </row>
    <row r="2391" spans="1:16" x14ac:dyDescent="0.25">
      <c r="A2391" s="3" t="str">
        <f t="shared" ca="1" si="601"/>
        <v xml:space="preserve">i2c_num = /dev/i2c-1 </v>
      </c>
      <c r="C2391" s="16"/>
      <c r="G2391" s="15">
        <f t="shared" ca="1" si="612"/>
        <v>74</v>
      </c>
      <c r="H2391" s="15">
        <v>1</v>
      </c>
      <c r="I2391" s="15" t="str">
        <f t="shared" ca="1" si="613"/>
        <v>I2C_Expander_10</v>
      </c>
      <c r="J2391" s="15" t="str">
        <f t="shared" ca="1" si="599"/>
        <v>I2C_Expander_10!A74</v>
      </c>
      <c r="K2391" s="15" t="str">
        <f t="shared" ca="1" si="600"/>
        <v>I2C_Expander_10!B74</v>
      </c>
    </row>
    <row r="2392" spans="1:16" x14ac:dyDescent="0.25">
      <c r="A2392" s="3" t="str">
        <f t="shared" ca="1" si="601"/>
        <v xml:space="preserve">pins_mode = 0x1BFE </v>
      </c>
      <c r="G2392" s="15">
        <f t="shared" ca="1" si="612"/>
        <v>75</v>
      </c>
      <c r="H2392" s="15">
        <v>1</v>
      </c>
      <c r="I2392" s="15" t="str">
        <f t="shared" ca="1" si="613"/>
        <v>I2C_Expander_10</v>
      </c>
      <c r="J2392" s="15" t="str">
        <f t="shared" ca="1" si="599"/>
        <v>I2C_Expander_10!A75</v>
      </c>
      <c r="K2392" s="15" t="str">
        <f t="shared" ca="1" si="600"/>
        <v>I2C_Expander_10!B75</v>
      </c>
    </row>
    <row r="2393" spans="1:16" x14ac:dyDescent="0.25">
      <c r="A2393" s="3" t="str">
        <f t="shared" ca="1" si="601"/>
        <v xml:space="preserve">pins_state = 0xE401 </v>
      </c>
      <c r="G2393" s="15">
        <f t="shared" ca="1" si="612"/>
        <v>76</v>
      </c>
      <c r="H2393" s="15">
        <v>1</v>
      </c>
      <c r="I2393" s="15" t="str">
        <f t="shared" ca="1" si="613"/>
        <v>I2C_Expander_10</v>
      </c>
      <c r="J2393" s="15" t="str">
        <f t="shared" ca="1" si="599"/>
        <v>I2C_Expander_10!A76</v>
      </c>
      <c r="K2393" s="15" t="str">
        <f t="shared" ca="1" si="600"/>
        <v>I2C_Expander_10!B76</v>
      </c>
    </row>
    <row r="2394" spans="1:16" x14ac:dyDescent="0.25">
      <c r="A2394" s="3" t="str">
        <f t="shared" ca="1" si="601"/>
        <v xml:space="preserve">pins_pull_up = 0x0000 </v>
      </c>
      <c r="G2394" s="15">
        <f t="shared" ca="1" si="612"/>
        <v>77</v>
      </c>
      <c r="H2394" s="15">
        <v>1</v>
      </c>
      <c r="I2394" s="15" t="str">
        <f t="shared" ca="1" si="613"/>
        <v>I2C_Expander_10</v>
      </c>
      <c r="J2394" s="15" t="str">
        <f t="shared" ca="1" si="599"/>
        <v>I2C_Expander_10!A77</v>
      </c>
      <c r="K2394" s="15" t="str">
        <f t="shared" ca="1" si="600"/>
        <v>I2C_Expander_10!B77</v>
      </c>
    </row>
    <row r="2395" spans="1:16" x14ac:dyDescent="0.25">
      <c r="A2395" s="3" t="str">
        <f t="shared" ca="1" si="601"/>
        <v xml:space="preserve">#pins_int = 0x0000 </v>
      </c>
      <c r="G2395" s="15">
        <f t="shared" ca="1" si="612"/>
        <v>78</v>
      </c>
      <c r="H2395" s="15">
        <v>1</v>
      </c>
      <c r="I2395" s="15" t="str">
        <f t="shared" ca="1" si="613"/>
        <v>I2C_Expander_10</v>
      </c>
      <c r="J2395" s="15" t="str">
        <f t="shared" ca="1" si="599"/>
        <v>I2C_Expander_10!A78</v>
      </c>
      <c r="K2395" s="15" t="str">
        <f t="shared" ca="1" si="600"/>
        <v>I2C_Expander_10!B78</v>
      </c>
    </row>
    <row r="2396" spans="1:16" x14ac:dyDescent="0.25">
      <c r="A2396" s="3" t="str">
        <f t="shared" ca="1" si="601"/>
        <v xml:space="preserve">#pins_def_val = 0x0000 </v>
      </c>
      <c r="G2396" s="15">
        <f t="shared" ca="1" si="612"/>
        <v>79</v>
      </c>
      <c r="H2396" s="15">
        <v>1</v>
      </c>
      <c r="I2396" s="15" t="str">
        <f t="shared" ca="1" si="613"/>
        <v>I2C_Expander_10</v>
      </c>
      <c r="J2396" s="15" t="str">
        <f t="shared" ca="1" si="599"/>
        <v>I2C_Expander_10!A79</v>
      </c>
      <c r="K2396" s="15" t="str">
        <f t="shared" ca="1" si="600"/>
        <v>I2C_Expander_10!B79</v>
      </c>
    </row>
    <row r="2397" spans="1:16" x14ac:dyDescent="0.25">
      <c r="A2397" s="3" t="str">
        <f t="shared" ca="1" si="601"/>
        <v/>
      </c>
      <c r="G2397" s="15">
        <f t="shared" ca="1" si="612"/>
        <v>80</v>
      </c>
      <c r="H2397" s="15">
        <v>1</v>
      </c>
      <c r="I2397" s="15" t="str">
        <f t="shared" ca="1" si="613"/>
        <v>I2C_Expander_10</v>
      </c>
      <c r="J2397" s="15" t="str">
        <f t="shared" ca="1" si="599"/>
        <v>I2C_Expander_10!A80</v>
      </c>
      <c r="K2397" s="15" t="str">
        <f t="shared" ca="1" si="600"/>
        <v>I2C_Expander_10!B80</v>
      </c>
    </row>
    <row r="2398" spans="1:16" x14ac:dyDescent="0.25">
      <c r="A2398" s="3" t="str">
        <f t="shared" ca="1" si="601"/>
        <v xml:space="preserve">#pins_int = 10 </v>
      </c>
      <c r="G2398" s="15">
        <f t="shared" ca="1" si="612"/>
        <v>81</v>
      </c>
      <c r="H2398" s="15">
        <v>1</v>
      </c>
      <c r="I2398" s="15" t="str">
        <f t="shared" ca="1" si="613"/>
        <v>I2C_Expander_10</v>
      </c>
      <c r="J2398" s="15" t="str">
        <f t="shared" ca="1" si="599"/>
        <v>I2C_Expander_10!A81</v>
      </c>
      <c r="K2398" s="15" t="str">
        <f t="shared" ca="1" si="600"/>
        <v>I2C_Expander_10!B81</v>
      </c>
    </row>
    <row r="2399" spans="1:16" x14ac:dyDescent="0.25">
      <c r="A2399" s="3" t="str">
        <f t="shared" ca="1" si="601"/>
        <v/>
      </c>
      <c r="C2399" s="16"/>
      <c r="G2399" s="15">
        <f t="shared" ca="1" si="612"/>
        <v>82</v>
      </c>
      <c r="H2399" s="15">
        <v>1</v>
      </c>
      <c r="I2399" s="15" t="str">
        <f t="shared" ca="1" si="613"/>
        <v>I2C_Expander_10</v>
      </c>
      <c r="J2399" s="15" t="str">
        <f t="shared" ca="1" si="599"/>
        <v>I2C_Expander_10!A82</v>
      </c>
      <c r="K2399" s="15" t="str">
        <f t="shared" ca="1" si="600"/>
        <v>I2C_Expander_10!B82</v>
      </c>
    </row>
    <row r="2400" spans="1:16" x14ac:dyDescent="0.25">
      <c r="A2400" s="3" t="str">
        <f t="shared" ca="1" si="601"/>
        <v/>
      </c>
      <c r="G2400" s="15">
        <f t="shared" ca="1" si="612"/>
        <v>83</v>
      </c>
      <c r="H2400" s="15">
        <v>1</v>
      </c>
      <c r="I2400" s="15" t="str">
        <f t="shared" ca="1" si="613"/>
        <v>I2C_Expander_10</v>
      </c>
      <c r="J2400" s="15" t="str">
        <f t="shared" ca="1" si="599"/>
        <v>I2C_Expander_10!A83</v>
      </c>
      <c r="K2400" s="15" t="str">
        <f t="shared" ca="1" si="600"/>
        <v>I2C_Expander_10!B83</v>
      </c>
    </row>
    <row r="2401" spans="1:16" x14ac:dyDescent="0.25">
      <c r="A2401" s="3" t="str">
        <f t="shared" ca="1" si="601"/>
        <v/>
      </c>
      <c r="G2401" s="15">
        <f t="shared" ca="1" si="612"/>
        <v>84</v>
      </c>
      <c r="H2401" s="15">
        <v>1</v>
      </c>
      <c r="I2401" s="15" t="str">
        <f t="shared" ca="1" si="613"/>
        <v>I2C_Expander_10</v>
      </c>
      <c r="J2401" s="15" t="str">
        <f t="shared" ca="1" si="599"/>
        <v>I2C_Expander_10!A84</v>
      </c>
      <c r="K2401" s="15" t="str">
        <f t="shared" ca="1" si="600"/>
        <v>I2C_Expander_10!B84</v>
      </c>
    </row>
    <row r="2402" spans="1:16" x14ac:dyDescent="0.25">
      <c r="A2402" s="3" t="str">
        <f t="shared" ca="1" si="601"/>
        <v/>
      </c>
      <c r="G2402" s="15">
        <f t="shared" ca="1" si="612"/>
        <v>85</v>
      </c>
      <c r="H2402" s="15">
        <v>1</v>
      </c>
      <c r="I2402" s="15" t="str">
        <f t="shared" ca="1" si="613"/>
        <v>I2C_Expander_10</v>
      </c>
      <c r="J2402" s="15" t="str">
        <f t="shared" ca="1" si="599"/>
        <v>I2C_Expander_10!A85</v>
      </c>
      <c r="K2402" s="15" t="str">
        <f t="shared" ca="1" si="600"/>
        <v>I2C_Expander_10!B85</v>
      </c>
    </row>
    <row r="2403" spans="1:16" x14ac:dyDescent="0.25">
      <c r="A2403" s="3" t="str">
        <f t="shared" ca="1" si="601"/>
        <v/>
      </c>
      <c r="G2403" s="15">
        <f t="shared" ca="1" si="612"/>
        <v>86</v>
      </c>
      <c r="H2403" s="15">
        <v>1</v>
      </c>
      <c r="I2403" s="15" t="str">
        <f t="shared" ca="1" si="613"/>
        <v>I2C_Expander_10</v>
      </c>
      <c r="J2403" s="15" t="str">
        <f t="shared" ca="1" si="599"/>
        <v>I2C_Expander_10!A86</v>
      </c>
      <c r="K2403" s="15" t="str">
        <f t="shared" ca="1" si="600"/>
        <v>I2C_Expander_10!B86</v>
      </c>
    </row>
    <row r="2404" spans="1:16" x14ac:dyDescent="0.25">
      <c r="A2404" s="3" t="str">
        <f t="shared" ca="1" si="601"/>
        <v/>
      </c>
      <c r="G2404" s="15">
        <f t="shared" ca="1" si="612"/>
        <v>87</v>
      </c>
      <c r="H2404" s="15">
        <v>1</v>
      </c>
      <c r="I2404" s="15" t="str">
        <f t="shared" ca="1" si="613"/>
        <v>I2C_Expander_10</v>
      </c>
      <c r="J2404" s="15" t="str">
        <f t="shared" ref="J2404:J2467" ca="1" si="618">ADDRESS(G2404,H2404,4,1,I2404)</f>
        <v>I2C_Expander_10!A87</v>
      </c>
      <c r="K2404" s="15" t="str">
        <f t="shared" ref="K2404:K2467" ca="1" si="619">ADDRESS(G2404,H2404+1,4,1,I2404)</f>
        <v>I2C_Expander_10!B87</v>
      </c>
    </row>
    <row r="2405" spans="1:16" x14ac:dyDescent="0.25">
      <c r="A2405" s="3" t="str">
        <f t="shared" ca="1" si="601"/>
        <v/>
      </c>
      <c r="G2405" s="15">
        <f t="shared" ca="1" si="612"/>
        <v>88</v>
      </c>
      <c r="H2405" s="15">
        <v>1</v>
      </c>
      <c r="I2405" s="15" t="str">
        <f t="shared" ca="1" si="613"/>
        <v>I2C_Expander_10</v>
      </c>
      <c r="J2405" s="15" t="str">
        <f t="shared" ca="1" si="618"/>
        <v>I2C_Expander_10!A88</v>
      </c>
      <c r="K2405" s="15" t="str">
        <f t="shared" ca="1" si="619"/>
        <v>I2C_Expander_10!B88</v>
      </c>
    </row>
    <row r="2406" spans="1:16" x14ac:dyDescent="0.25">
      <c r="A2406" s="3" t="str">
        <f t="shared" ca="1" si="601"/>
        <v/>
      </c>
      <c r="G2406" s="15">
        <f t="shared" ca="1" si="612"/>
        <v>89</v>
      </c>
      <c r="H2406" s="15">
        <v>1</v>
      </c>
      <c r="I2406" s="15" t="str">
        <f t="shared" ca="1" si="613"/>
        <v>I2C_Expander_10</v>
      </c>
      <c r="J2406" s="15" t="str">
        <f t="shared" ca="1" si="618"/>
        <v>I2C_Expander_10!A89</v>
      </c>
      <c r="K2406" s="15" t="str">
        <f t="shared" ca="1" si="619"/>
        <v>I2C_Expander_10!B89</v>
      </c>
    </row>
    <row r="2407" spans="1:16" x14ac:dyDescent="0.25">
      <c r="A2407" s="3" t="str">
        <f t="shared" ca="1" si="601"/>
        <v/>
      </c>
      <c r="G2407" s="15">
        <f t="shared" ca="1" si="612"/>
        <v>90</v>
      </c>
      <c r="H2407" s="15">
        <v>1</v>
      </c>
      <c r="I2407" s="15" t="str">
        <f t="shared" ca="1" si="613"/>
        <v>I2C_Expander_10</v>
      </c>
      <c r="J2407" s="15" t="str">
        <f t="shared" ca="1" si="618"/>
        <v>I2C_Expander_10!A90</v>
      </c>
      <c r="K2407" s="15" t="str">
        <f t="shared" ca="1" si="619"/>
        <v>I2C_Expander_10!B90</v>
      </c>
    </row>
    <row r="2408" spans="1:16" x14ac:dyDescent="0.25">
      <c r="A2408" s="3" t="str">
        <f t="shared" ca="1" si="601"/>
        <v/>
      </c>
      <c r="G2408" s="15">
        <f t="shared" ref="G2408" ca="1" si="620">INDIRECT(M2408)</f>
        <v>31</v>
      </c>
      <c r="H2408" s="15">
        <v>1</v>
      </c>
      <c r="I2408" s="15">
        <f t="shared" ref="I2408" ca="1" si="621">INDIRECT(N2408)</f>
        <v>0</v>
      </c>
      <c r="J2408" s="15" t="str">
        <f t="shared" ca="1" si="618"/>
        <v>'0'!A31</v>
      </c>
      <c r="K2408" s="15" t="str">
        <f t="shared" ca="1" si="619"/>
        <v>'0'!B31</v>
      </c>
      <c r="M2408" s="15" t="str">
        <f t="shared" ref="M2408" si="622">ADDRESS(O2408,3,4,1,$R$1)</f>
        <v>konfig!C122</v>
      </c>
      <c r="N2408" s="15" t="str">
        <f t="shared" ref="N2408" si="623">ADDRESS(O2408,1,4,1,$R$1)</f>
        <v>konfig!A122</v>
      </c>
      <c r="O2408" s="15">
        <v>122</v>
      </c>
      <c r="P2408" s="15">
        <v>4</v>
      </c>
    </row>
    <row r="2409" spans="1:16" x14ac:dyDescent="0.25">
      <c r="A2409" s="3" t="str">
        <f t="shared" ca="1" si="601"/>
        <v/>
      </c>
      <c r="G2409" s="15">
        <f t="shared" ref="G2409:G2452" ca="1" si="624">G2408+1</f>
        <v>32</v>
      </c>
      <c r="H2409" s="15">
        <v>1</v>
      </c>
      <c r="I2409" s="15">
        <f t="shared" ref="I2409:I2452" ca="1" si="625">I2408</f>
        <v>0</v>
      </c>
      <c r="J2409" s="15" t="str">
        <f t="shared" ca="1" si="618"/>
        <v>'0'!A32</v>
      </c>
      <c r="K2409" s="15" t="str">
        <f t="shared" ca="1" si="619"/>
        <v>'0'!B32</v>
      </c>
    </row>
    <row r="2410" spans="1:16" x14ac:dyDescent="0.25">
      <c r="A2410" s="3" t="str">
        <f t="shared" ca="1" si="601"/>
        <v/>
      </c>
      <c r="G2410" s="15">
        <f t="shared" ca="1" si="624"/>
        <v>33</v>
      </c>
      <c r="H2410" s="15">
        <v>1</v>
      </c>
      <c r="I2410" s="15">
        <f t="shared" ca="1" si="625"/>
        <v>0</v>
      </c>
      <c r="J2410" s="15" t="str">
        <f t="shared" ca="1" si="618"/>
        <v>'0'!A33</v>
      </c>
      <c r="K2410" s="15" t="str">
        <f t="shared" ca="1" si="619"/>
        <v>'0'!B33</v>
      </c>
    </row>
    <row r="2411" spans="1:16" x14ac:dyDescent="0.25">
      <c r="A2411" s="3" t="str">
        <f t="shared" ca="1" si="601"/>
        <v/>
      </c>
      <c r="C2411" s="16"/>
      <c r="G2411" s="15">
        <f t="shared" ca="1" si="624"/>
        <v>34</v>
      </c>
      <c r="H2411" s="15">
        <v>1</v>
      </c>
      <c r="I2411" s="15">
        <f t="shared" ca="1" si="625"/>
        <v>0</v>
      </c>
      <c r="J2411" s="15" t="str">
        <f t="shared" ca="1" si="618"/>
        <v>'0'!A34</v>
      </c>
      <c r="K2411" s="15" t="str">
        <f t="shared" ca="1" si="619"/>
        <v>'0'!B34</v>
      </c>
    </row>
    <row r="2412" spans="1:16" x14ac:dyDescent="0.25">
      <c r="A2412" s="3" t="str">
        <f t="shared" ref="A2412:A2475" ca="1" si="626">IFERROR(IF(INDIRECT(J2412)&lt;&gt;"",CONCATENATE(INDIRECT(J2412)," = ",INDIRECT(K2412)," "),""),"")</f>
        <v/>
      </c>
      <c r="G2412" s="15">
        <f t="shared" ca="1" si="624"/>
        <v>35</v>
      </c>
      <c r="H2412" s="15">
        <v>1</v>
      </c>
      <c r="I2412" s="15">
        <f t="shared" ca="1" si="625"/>
        <v>0</v>
      </c>
      <c r="J2412" s="15" t="str">
        <f t="shared" ca="1" si="618"/>
        <v>'0'!A35</v>
      </c>
      <c r="K2412" s="15" t="str">
        <f t="shared" ca="1" si="619"/>
        <v>'0'!B35</v>
      </c>
    </row>
    <row r="2413" spans="1:16" x14ac:dyDescent="0.25">
      <c r="A2413" s="3" t="str">
        <f t="shared" ca="1" si="626"/>
        <v/>
      </c>
      <c r="G2413" s="15">
        <f t="shared" ca="1" si="612"/>
        <v>36</v>
      </c>
      <c r="H2413" s="15">
        <v>1</v>
      </c>
      <c r="I2413" s="15">
        <f t="shared" ca="1" si="613"/>
        <v>0</v>
      </c>
      <c r="J2413" s="15" t="str">
        <f t="shared" ca="1" si="618"/>
        <v>'0'!A36</v>
      </c>
      <c r="K2413" s="15" t="str">
        <f t="shared" ca="1" si="619"/>
        <v>'0'!B36</v>
      </c>
    </row>
    <row r="2414" spans="1:16" x14ac:dyDescent="0.25">
      <c r="A2414" s="3" t="str">
        <f t="shared" ca="1" si="626"/>
        <v/>
      </c>
      <c r="G2414" s="15">
        <f t="shared" ca="1" si="612"/>
        <v>37</v>
      </c>
      <c r="H2414" s="15">
        <v>1</v>
      </c>
      <c r="I2414" s="15">
        <f t="shared" ca="1" si="613"/>
        <v>0</v>
      </c>
      <c r="J2414" s="15" t="str">
        <f t="shared" ca="1" si="618"/>
        <v>'0'!A37</v>
      </c>
      <c r="K2414" s="15" t="str">
        <f t="shared" ca="1" si="619"/>
        <v>'0'!B37</v>
      </c>
    </row>
    <row r="2415" spans="1:16" x14ac:dyDescent="0.25">
      <c r="A2415" s="3" t="str">
        <f t="shared" ca="1" si="626"/>
        <v/>
      </c>
      <c r="G2415" s="15">
        <f t="shared" ca="1" si="612"/>
        <v>38</v>
      </c>
      <c r="H2415" s="15">
        <v>1</v>
      </c>
      <c r="I2415" s="15">
        <f t="shared" ca="1" si="613"/>
        <v>0</v>
      </c>
      <c r="J2415" s="15" t="str">
        <f t="shared" ca="1" si="618"/>
        <v>'0'!A38</v>
      </c>
      <c r="K2415" s="15" t="str">
        <f t="shared" ca="1" si="619"/>
        <v>'0'!B38</v>
      </c>
    </row>
    <row r="2416" spans="1:16" x14ac:dyDescent="0.25">
      <c r="A2416" s="3" t="str">
        <f t="shared" ca="1" si="626"/>
        <v/>
      </c>
      <c r="G2416" s="15">
        <f t="shared" ca="1" si="612"/>
        <v>39</v>
      </c>
      <c r="H2416" s="15">
        <v>1</v>
      </c>
      <c r="I2416" s="15">
        <f t="shared" ca="1" si="613"/>
        <v>0</v>
      </c>
      <c r="J2416" s="15" t="str">
        <f t="shared" ca="1" si="618"/>
        <v>'0'!A39</v>
      </c>
      <c r="K2416" s="15" t="str">
        <f t="shared" ca="1" si="619"/>
        <v>'0'!B39</v>
      </c>
    </row>
    <row r="2417" spans="1:16" x14ac:dyDescent="0.25">
      <c r="A2417" s="3" t="str">
        <f t="shared" ca="1" si="626"/>
        <v/>
      </c>
      <c r="G2417" s="15">
        <f t="shared" ca="1" si="612"/>
        <v>40</v>
      </c>
      <c r="H2417" s="15">
        <v>1</v>
      </c>
      <c r="I2417" s="15">
        <f t="shared" ca="1" si="613"/>
        <v>0</v>
      </c>
      <c r="J2417" s="15" t="str">
        <f t="shared" ca="1" si="618"/>
        <v>'0'!A40</v>
      </c>
      <c r="K2417" s="15" t="str">
        <f t="shared" ca="1" si="619"/>
        <v>'0'!B40</v>
      </c>
    </row>
    <row r="2418" spans="1:16" x14ac:dyDescent="0.25">
      <c r="A2418" s="3" t="str">
        <f t="shared" ca="1" si="626"/>
        <v/>
      </c>
      <c r="G2418" s="15">
        <f t="shared" ca="1" si="612"/>
        <v>41</v>
      </c>
      <c r="H2418" s="15">
        <v>1</v>
      </c>
      <c r="I2418" s="15">
        <f t="shared" ca="1" si="613"/>
        <v>0</v>
      </c>
      <c r="J2418" s="15" t="str">
        <f t="shared" ca="1" si="618"/>
        <v>'0'!A41</v>
      </c>
      <c r="K2418" s="15" t="str">
        <f t="shared" ca="1" si="619"/>
        <v>'0'!B41</v>
      </c>
    </row>
    <row r="2419" spans="1:16" x14ac:dyDescent="0.25">
      <c r="A2419" s="3" t="str">
        <f t="shared" ca="1" si="626"/>
        <v/>
      </c>
      <c r="C2419" s="16"/>
      <c r="G2419" s="15">
        <f t="shared" ca="1" si="612"/>
        <v>42</v>
      </c>
      <c r="H2419" s="15">
        <v>1</v>
      </c>
      <c r="I2419" s="15">
        <f t="shared" ca="1" si="613"/>
        <v>0</v>
      </c>
      <c r="J2419" s="15" t="str">
        <f t="shared" ca="1" si="618"/>
        <v>'0'!A42</v>
      </c>
      <c r="K2419" s="15" t="str">
        <f t="shared" ca="1" si="619"/>
        <v>'0'!B42</v>
      </c>
    </row>
    <row r="2420" spans="1:16" x14ac:dyDescent="0.25">
      <c r="A2420" s="3" t="str">
        <f t="shared" ca="1" si="626"/>
        <v/>
      </c>
      <c r="G2420" s="15">
        <f t="shared" ca="1" si="612"/>
        <v>43</v>
      </c>
      <c r="H2420" s="15">
        <v>1</v>
      </c>
      <c r="I2420" s="15">
        <f t="shared" ca="1" si="613"/>
        <v>0</v>
      </c>
      <c r="J2420" s="15" t="str">
        <f t="shared" ca="1" si="618"/>
        <v>'0'!A43</v>
      </c>
      <c r="K2420" s="15" t="str">
        <f t="shared" ca="1" si="619"/>
        <v>'0'!B43</v>
      </c>
    </row>
    <row r="2421" spans="1:16" x14ac:dyDescent="0.25">
      <c r="A2421" s="3" t="str">
        <f t="shared" ca="1" si="626"/>
        <v/>
      </c>
      <c r="G2421" s="15">
        <f t="shared" ca="1" si="612"/>
        <v>44</v>
      </c>
      <c r="H2421" s="15">
        <v>1</v>
      </c>
      <c r="I2421" s="15">
        <f t="shared" ca="1" si="613"/>
        <v>0</v>
      </c>
      <c r="J2421" s="15" t="str">
        <f t="shared" ca="1" si="618"/>
        <v>'0'!A44</v>
      </c>
      <c r="K2421" s="15" t="str">
        <f t="shared" ca="1" si="619"/>
        <v>'0'!B44</v>
      </c>
    </row>
    <row r="2422" spans="1:16" x14ac:dyDescent="0.25">
      <c r="A2422" s="3" t="str">
        <f t="shared" ca="1" si="626"/>
        <v/>
      </c>
      <c r="G2422" s="15">
        <f t="shared" ca="1" si="612"/>
        <v>45</v>
      </c>
      <c r="H2422" s="15">
        <v>1</v>
      </c>
      <c r="I2422" s="15">
        <f t="shared" ca="1" si="613"/>
        <v>0</v>
      </c>
      <c r="J2422" s="15" t="str">
        <f t="shared" ca="1" si="618"/>
        <v>'0'!A45</v>
      </c>
      <c r="K2422" s="15" t="str">
        <f t="shared" ca="1" si="619"/>
        <v>'0'!B45</v>
      </c>
    </row>
    <row r="2423" spans="1:16" x14ac:dyDescent="0.25">
      <c r="A2423" s="3" t="str">
        <f t="shared" ca="1" si="626"/>
        <v/>
      </c>
      <c r="G2423" s="15">
        <f t="shared" ca="1" si="612"/>
        <v>46</v>
      </c>
      <c r="H2423" s="15">
        <v>1</v>
      </c>
      <c r="I2423" s="15">
        <f t="shared" ca="1" si="613"/>
        <v>0</v>
      </c>
      <c r="J2423" s="15" t="str">
        <f t="shared" ca="1" si="618"/>
        <v>'0'!A46</v>
      </c>
      <c r="K2423" s="15" t="str">
        <f t="shared" ca="1" si="619"/>
        <v>'0'!B46</v>
      </c>
    </row>
    <row r="2424" spans="1:16" x14ac:dyDescent="0.25">
      <c r="A2424" s="3" t="str">
        <f t="shared" ca="1" si="626"/>
        <v/>
      </c>
      <c r="G2424" s="15">
        <f t="shared" ca="1" si="612"/>
        <v>47</v>
      </c>
      <c r="H2424" s="15">
        <v>1</v>
      </c>
      <c r="I2424" s="15">
        <f t="shared" ca="1" si="613"/>
        <v>0</v>
      </c>
      <c r="J2424" s="15" t="str">
        <f t="shared" ca="1" si="618"/>
        <v>'0'!A47</v>
      </c>
      <c r="K2424" s="15" t="str">
        <f t="shared" ca="1" si="619"/>
        <v>'0'!B47</v>
      </c>
    </row>
    <row r="2425" spans="1:16" x14ac:dyDescent="0.25">
      <c r="A2425" s="3" t="str">
        <f t="shared" ca="1" si="626"/>
        <v/>
      </c>
      <c r="G2425" s="15">
        <f t="shared" ca="1" si="612"/>
        <v>48</v>
      </c>
      <c r="H2425" s="15">
        <v>1</v>
      </c>
      <c r="I2425" s="15">
        <f t="shared" ca="1" si="613"/>
        <v>0</v>
      </c>
      <c r="J2425" s="15" t="str">
        <f t="shared" ca="1" si="618"/>
        <v>'0'!A48</v>
      </c>
      <c r="K2425" s="15" t="str">
        <f t="shared" ca="1" si="619"/>
        <v>'0'!B48</v>
      </c>
    </row>
    <row r="2426" spans="1:16" x14ac:dyDescent="0.25">
      <c r="A2426" s="3" t="str">
        <f t="shared" ca="1" si="626"/>
        <v/>
      </c>
      <c r="G2426" s="15">
        <f t="shared" ca="1" si="612"/>
        <v>49</v>
      </c>
      <c r="H2426" s="15">
        <v>1</v>
      </c>
      <c r="I2426" s="15">
        <f t="shared" ca="1" si="613"/>
        <v>0</v>
      </c>
      <c r="J2426" s="15" t="str">
        <f t="shared" ca="1" si="618"/>
        <v>'0'!A49</v>
      </c>
      <c r="K2426" s="15" t="str">
        <f t="shared" ca="1" si="619"/>
        <v>'0'!B49</v>
      </c>
    </row>
    <row r="2427" spans="1:16" x14ac:dyDescent="0.25">
      <c r="A2427" s="3" t="str">
        <f t="shared" ca="1" si="626"/>
        <v/>
      </c>
      <c r="G2427" s="15">
        <f t="shared" ca="1" si="612"/>
        <v>50</v>
      </c>
      <c r="H2427" s="15">
        <v>1</v>
      </c>
      <c r="I2427" s="15">
        <f t="shared" ca="1" si="613"/>
        <v>0</v>
      </c>
      <c r="J2427" s="15" t="str">
        <f t="shared" ca="1" si="618"/>
        <v>'0'!A50</v>
      </c>
      <c r="K2427" s="15" t="str">
        <f t="shared" ca="1" si="619"/>
        <v>'0'!B50</v>
      </c>
    </row>
    <row r="2428" spans="1:16" x14ac:dyDescent="0.25">
      <c r="A2428" s="3" t="str">
        <f t="shared" ca="1" si="626"/>
        <v/>
      </c>
      <c r="G2428" s="15">
        <f t="shared" ref="G2428" ca="1" si="627">INDIRECT(M2428)</f>
        <v>31</v>
      </c>
      <c r="H2428" s="15">
        <v>1</v>
      </c>
      <c r="I2428" s="15" t="str">
        <f t="shared" ref="I2428" ca="1" si="628">INDIRECT(N2428)</f>
        <v>karta 3 TETRA</v>
      </c>
      <c r="J2428" s="15" t="str">
        <f t="shared" ca="1" si="618"/>
        <v>'karta 3 TETRA'!A31</v>
      </c>
      <c r="K2428" s="15" t="str">
        <f t="shared" ca="1" si="619"/>
        <v>'karta 3 TETRA'!B31</v>
      </c>
      <c r="M2428" s="15" t="str">
        <f t="shared" ref="M2428" si="629">ADDRESS(O2428,3,4,1,$R$1)</f>
        <v>konfig!C123</v>
      </c>
      <c r="N2428" s="15" t="str">
        <f t="shared" ref="N2428" si="630">ADDRESS(O2428,1,4,1,$R$1)</f>
        <v>konfig!A123</v>
      </c>
      <c r="O2428" s="15">
        <v>123</v>
      </c>
      <c r="P2428" s="15">
        <v>4</v>
      </c>
    </row>
    <row r="2429" spans="1:16" x14ac:dyDescent="0.25">
      <c r="A2429" s="3" t="str">
        <f t="shared" ca="1" si="626"/>
        <v/>
      </c>
      <c r="G2429" s="15">
        <f t="shared" ref="G2429:G2469" ca="1" si="631">G2428+1</f>
        <v>32</v>
      </c>
      <c r="H2429" s="15">
        <v>1</v>
      </c>
      <c r="I2429" s="15" t="str">
        <f t="shared" ref="I2429:I2469" ca="1" si="632">I2428</f>
        <v>karta 3 TETRA</v>
      </c>
      <c r="J2429" s="15" t="str">
        <f t="shared" ca="1" si="618"/>
        <v>'karta 3 TETRA'!A32</v>
      </c>
      <c r="K2429" s="15" t="str">
        <f t="shared" ca="1" si="619"/>
        <v>'karta 3 TETRA'!B32</v>
      </c>
    </row>
    <row r="2430" spans="1:16" x14ac:dyDescent="0.25">
      <c r="A2430" s="3" t="str">
        <f t="shared" ca="1" si="626"/>
        <v/>
      </c>
      <c r="G2430" s="15">
        <f t="shared" ca="1" si="612"/>
        <v>33</v>
      </c>
      <c r="H2430" s="15">
        <v>1</v>
      </c>
      <c r="I2430" s="15" t="str">
        <f t="shared" ca="1" si="613"/>
        <v>karta 3 TETRA</v>
      </c>
      <c r="J2430" s="15" t="str">
        <f t="shared" ca="1" si="618"/>
        <v>'karta 3 TETRA'!A33</v>
      </c>
      <c r="K2430" s="15" t="str">
        <f t="shared" ca="1" si="619"/>
        <v>'karta 3 TETRA'!B33</v>
      </c>
    </row>
    <row r="2431" spans="1:16" x14ac:dyDescent="0.25">
      <c r="A2431" s="3" t="str">
        <f t="shared" ca="1" si="626"/>
        <v/>
      </c>
      <c r="C2431" s="16"/>
      <c r="G2431" s="15">
        <f t="shared" ca="1" si="612"/>
        <v>34</v>
      </c>
      <c r="H2431" s="15">
        <v>1</v>
      </c>
      <c r="I2431" s="15" t="str">
        <f t="shared" ca="1" si="613"/>
        <v>karta 3 TETRA</v>
      </c>
      <c r="J2431" s="15" t="str">
        <f t="shared" ca="1" si="618"/>
        <v>'karta 3 TETRA'!A34</v>
      </c>
      <c r="K2431" s="15" t="str">
        <f t="shared" ca="1" si="619"/>
        <v>'karta 3 TETRA'!B34</v>
      </c>
    </row>
    <row r="2432" spans="1:16" x14ac:dyDescent="0.25">
      <c r="A2432" s="3" t="str">
        <f t="shared" ca="1" si="626"/>
        <v/>
      </c>
      <c r="G2432" s="15">
        <f t="shared" ca="1" si="612"/>
        <v>35</v>
      </c>
      <c r="H2432" s="15">
        <v>1</v>
      </c>
      <c r="I2432" s="15" t="str">
        <f t="shared" ca="1" si="613"/>
        <v>karta 3 TETRA</v>
      </c>
      <c r="J2432" s="15" t="str">
        <f t="shared" ca="1" si="618"/>
        <v>'karta 3 TETRA'!A35</v>
      </c>
      <c r="K2432" s="15" t="str">
        <f t="shared" ca="1" si="619"/>
        <v>'karta 3 TETRA'!B35</v>
      </c>
    </row>
    <row r="2433" spans="1:16" x14ac:dyDescent="0.25">
      <c r="A2433" s="3" t="str">
        <f t="shared" ca="1" si="626"/>
        <v/>
      </c>
      <c r="G2433" s="15">
        <f t="shared" ca="1" si="612"/>
        <v>36</v>
      </c>
      <c r="H2433" s="15">
        <v>1</v>
      </c>
      <c r="I2433" s="15" t="str">
        <f t="shared" ca="1" si="613"/>
        <v>karta 3 TETRA</v>
      </c>
      <c r="J2433" s="15" t="str">
        <f t="shared" ca="1" si="618"/>
        <v>'karta 3 TETRA'!A36</v>
      </c>
      <c r="K2433" s="15" t="str">
        <f t="shared" ca="1" si="619"/>
        <v>'karta 3 TETRA'!B36</v>
      </c>
    </row>
    <row r="2434" spans="1:16" x14ac:dyDescent="0.25">
      <c r="A2434" s="3" t="str">
        <f t="shared" ca="1" si="626"/>
        <v/>
      </c>
      <c r="G2434" s="15">
        <f t="shared" ca="1" si="612"/>
        <v>37</v>
      </c>
      <c r="H2434" s="15">
        <v>1</v>
      </c>
      <c r="I2434" s="15" t="str">
        <f t="shared" ca="1" si="613"/>
        <v>karta 3 TETRA</v>
      </c>
      <c r="J2434" s="15" t="str">
        <f t="shared" ca="1" si="618"/>
        <v>'karta 3 TETRA'!A37</v>
      </c>
      <c r="K2434" s="15" t="str">
        <f t="shared" ca="1" si="619"/>
        <v>'karta 3 TETRA'!B37</v>
      </c>
    </row>
    <row r="2435" spans="1:16" x14ac:dyDescent="0.25">
      <c r="A2435" s="3" t="str">
        <f t="shared" ca="1" si="626"/>
        <v/>
      </c>
      <c r="G2435" s="15">
        <f t="shared" ca="1" si="612"/>
        <v>38</v>
      </c>
      <c r="H2435" s="15">
        <v>1</v>
      </c>
      <c r="I2435" s="15" t="str">
        <f t="shared" ca="1" si="613"/>
        <v>karta 3 TETRA</v>
      </c>
      <c r="J2435" s="15" t="str">
        <f t="shared" ca="1" si="618"/>
        <v>'karta 3 TETRA'!A38</v>
      </c>
      <c r="K2435" s="15" t="str">
        <f t="shared" ca="1" si="619"/>
        <v>'karta 3 TETRA'!B38</v>
      </c>
    </row>
    <row r="2436" spans="1:16" x14ac:dyDescent="0.25">
      <c r="A2436" s="3" t="str">
        <f t="shared" ca="1" si="626"/>
        <v/>
      </c>
      <c r="G2436" s="15">
        <f t="shared" ca="1" si="612"/>
        <v>39</v>
      </c>
      <c r="H2436" s="15">
        <v>1</v>
      </c>
      <c r="I2436" s="15" t="str">
        <f t="shared" ca="1" si="613"/>
        <v>karta 3 TETRA</v>
      </c>
      <c r="J2436" s="15" t="str">
        <f t="shared" ca="1" si="618"/>
        <v>'karta 3 TETRA'!A39</v>
      </c>
      <c r="K2436" s="15" t="str">
        <f t="shared" ca="1" si="619"/>
        <v>'karta 3 TETRA'!B39</v>
      </c>
    </row>
    <row r="2437" spans="1:16" x14ac:dyDescent="0.25">
      <c r="A2437" s="3" t="str">
        <f t="shared" ca="1" si="626"/>
        <v/>
      </c>
      <c r="G2437" s="15">
        <f t="shared" ca="1" si="612"/>
        <v>40</v>
      </c>
      <c r="H2437" s="15">
        <v>1</v>
      </c>
      <c r="I2437" s="15" t="str">
        <f t="shared" ca="1" si="613"/>
        <v>karta 3 TETRA</v>
      </c>
      <c r="J2437" s="15" t="str">
        <f t="shared" ca="1" si="618"/>
        <v>'karta 3 TETRA'!A40</v>
      </c>
      <c r="K2437" s="15" t="str">
        <f t="shared" ca="1" si="619"/>
        <v>'karta 3 TETRA'!B40</v>
      </c>
    </row>
    <row r="2438" spans="1:16" x14ac:dyDescent="0.25">
      <c r="A2438" s="3" t="str">
        <f t="shared" ca="1" si="626"/>
        <v/>
      </c>
      <c r="G2438" s="15">
        <f t="shared" ca="1" si="612"/>
        <v>41</v>
      </c>
      <c r="H2438" s="15">
        <v>1</v>
      </c>
      <c r="I2438" s="15" t="str">
        <f t="shared" ca="1" si="613"/>
        <v>karta 3 TETRA</v>
      </c>
      <c r="J2438" s="15" t="str">
        <f t="shared" ca="1" si="618"/>
        <v>'karta 3 TETRA'!A41</v>
      </c>
      <c r="K2438" s="15" t="str">
        <f t="shared" ca="1" si="619"/>
        <v>'karta 3 TETRA'!B41</v>
      </c>
    </row>
    <row r="2439" spans="1:16" x14ac:dyDescent="0.25">
      <c r="A2439" s="3" t="str">
        <f t="shared" ca="1" si="626"/>
        <v/>
      </c>
      <c r="C2439" s="16"/>
      <c r="G2439" s="15">
        <f t="shared" ca="1" si="612"/>
        <v>42</v>
      </c>
      <c r="H2439" s="15">
        <v>1</v>
      </c>
      <c r="I2439" s="15" t="str">
        <f t="shared" ca="1" si="613"/>
        <v>karta 3 TETRA</v>
      </c>
      <c r="J2439" s="15" t="str">
        <f t="shared" ca="1" si="618"/>
        <v>'karta 3 TETRA'!A42</v>
      </c>
      <c r="K2439" s="15" t="str">
        <f t="shared" ca="1" si="619"/>
        <v>'karta 3 TETRA'!B42</v>
      </c>
    </row>
    <row r="2440" spans="1:16" x14ac:dyDescent="0.25">
      <c r="A2440" s="3" t="str">
        <f t="shared" ca="1" si="626"/>
        <v/>
      </c>
      <c r="G2440" s="15">
        <f t="shared" ca="1" si="612"/>
        <v>43</v>
      </c>
      <c r="H2440" s="15">
        <v>1</v>
      </c>
      <c r="I2440" s="15" t="str">
        <f t="shared" ca="1" si="613"/>
        <v>karta 3 TETRA</v>
      </c>
      <c r="J2440" s="15" t="str">
        <f t="shared" ca="1" si="618"/>
        <v>'karta 3 TETRA'!A43</v>
      </c>
      <c r="K2440" s="15" t="str">
        <f t="shared" ca="1" si="619"/>
        <v>'karta 3 TETRA'!B43</v>
      </c>
    </row>
    <row r="2441" spans="1:16" x14ac:dyDescent="0.25">
      <c r="A2441" s="3" t="str">
        <f t="shared" ca="1" si="626"/>
        <v/>
      </c>
      <c r="G2441" s="15">
        <f t="shared" ref="G2441:G2504" ca="1" si="633">G2440+1</f>
        <v>44</v>
      </c>
      <c r="H2441" s="15">
        <v>1</v>
      </c>
      <c r="I2441" s="15" t="str">
        <f t="shared" ref="I2441:I2504" ca="1" si="634">I2440</f>
        <v>karta 3 TETRA</v>
      </c>
      <c r="J2441" s="15" t="str">
        <f t="shared" ca="1" si="618"/>
        <v>'karta 3 TETRA'!A44</v>
      </c>
      <c r="K2441" s="15" t="str">
        <f t="shared" ca="1" si="619"/>
        <v>'karta 3 TETRA'!B44</v>
      </c>
    </row>
    <row r="2442" spans="1:16" x14ac:dyDescent="0.25">
      <c r="A2442" s="3" t="str">
        <f t="shared" ca="1" si="626"/>
        <v/>
      </c>
      <c r="G2442" s="15">
        <f t="shared" ca="1" si="633"/>
        <v>45</v>
      </c>
      <c r="H2442" s="15">
        <v>1</v>
      </c>
      <c r="I2442" s="15" t="str">
        <f t="shared" ca="1" si="634"/>
        <v>karta 3 TETRA</v>
      </c>
      <c r="J2442" s="15" t="str">
        <f t="shared" ca="1" si="618"/>
        <v>'karta 3 TETRA'!A45</v>
      </c>
      <c r="K2442" s="15" t="str">
        <f t="shared" ca="1" si="619"/>
        <v>'karta 3 TETRA'!B45</v>
      </c>
    </row>
    <row r="2443" spans="1:16" x14ac:dyDescent="0.25">
      <c r="A2443" s="3" t="str">
        <f t="shared" ca="1" si="626"/>
        <v/>
      </c>
      <c r="G2443" s="15">
        <f t="shared" ca="1" si="633"/>
        <v>46</v>
      </c>
      <c r="H2443" s="15">
        <v>1</v>
      </c>
      <c r="I2443" s="15" t="str">
        <f t="shared" ca="1" si="634"/>
        <v>karta 3 TETRA</v>
      </c>
      <c r="J2443" s="15" t="str">
        <f t="shared" ca="1" si="618"/>
        <v>'karta 3 TETRA'!A46</v>
      </c>
      <c r="K2443" s="15" t="str">
        <f t="shared" ca="1" si="619"/>
        <v>'karta 3 TETRA'!B46</v>
      </c>
    </row>
    <row r="2444" spans="1:16" x14ac:dyDescent="0.25">
      <c r="A2444" s="3" t="str">
        <f t="shared" ca="1" si="626"/>
        <v/>
      </c>
      <c r="G2444" s="15">
        <f t="shared" ca="1" si="633"/>
        <v>47</v>
      </c>
      <c r="H2444" s="15">
        <v>1</v>
      </c>
      <c r="I2444" s="15" t="str">
        <f t="shared" ca="1" si="634"/>
        <v>karta 3 TETRA</v>
      </c>
      <c r="J2444" s="15" t="str">
        <f t="shared" ca="1" si="618"/>
        <v>'karta 3 TETRA'!A47</v>
      </c>
      <c r="K2444" s="15" t="str">
        <f t="shared" ca="1" si="619"/>
        <v>'karta 3 TETRA'!B47</v>
      </c>
    </row>
    <row r="2445" spans="1:16" x14ac:dyDescent="0.25">
      <c r="A2445" s="3" t="str">
        <f t="shared" ca="1" si="626"/>
        <v/>
      </c>
      <c r="G2445" s="15">
        <f t="shared" ca="1" si="633"/>
        <v>48</v>
      </c>
      <c r="H2445" s="15">
        <v>1</v>
      </c>
      <c r="I2445" s="15" t="str">
        <f t="shared" ca="1" si="634"/>
        <v>karta 3 TETRA</v>
      </c>
      <c r="J2445" s="15" t="str">
        <f t="shared" ca="1" si="618"/>
        <v>'karta 3 TETRA'!A48</v>
      </c>
      <c r="K2445" s="15" t="str">
        <f t="shared" ca="1" si="619"/>
        <v>'karta 3 TETRA'!B48</v>
      </c>
    </row>
    <row r="2446" spans="1:16" x14ac:dyDescent="0.25">
      <c r="A2446" s="3" t="str">
        <f t="shared" ca="1" si="626"/>
        <v/>
      </c>
      <c r="G2446" s="15">
        <f t="shared" ca="1" si="633"/>
        <v>49</v>
      </c>
      <c r="H2446" s="15">
        <v>1</v>
      </c>
      <c r="I2446" s="15" t="str">
        <f t="shared" ca="1" si="634"/>
        <v>karta 3 TETRA</v>
      </c>
      <c r="J2446" s="15" t="str">
        <f t="shared" ca="1" si="618"/>
        <v>'karta 3 TETRA'!A49</v>
      </c>
      <c r="K2446" s="15" t="str">
        <f t="shared" ca="1" si="619"/>
        <v>'karta 3 TETRA'!B49</v>
      </c>
    </row>
    <row r="2447" spans="1:16" x14ac:dyDescent="0.25">
      <c r="A2447" s="3" t="str">
        <f t="shared" ca="1" si="626"/>
        <v/>
      </c>
      <c r="G2447" s="15">
        <f t="shared" ca="1" si="633"/>
        <v>50</v>
      </c>
      <c r="H2447" s="15">
        <v>1</v>
      </c>
      <c r="I2447" s="15" t="str">
        <f t="shared" ca="1" si="634"/>
        <v>karta 3 TETRA</v>
      </c>
      <c r="J2447" s="15" t="str">
        <f t="shared" ca="1" si="618"/>
        <v>'karta 3 TETRA'!A50</v>
      </c>
      <c r="K2447" s="15" t="str">
        <f t="shared" ca="1" si="619"/>
        <v>'karta 3 TETRA'!B50</v>
      </c>
    </row>
    <row r="2448" spans="1:16" x14ac:dyDescent="0.25">
      <c r="A2448" s="3" t="str">
        <f t="shared" ca="1" si="626"/>
        <v xml:space="preserve">#I2C_Bridge_GPIO:exp_group_0x =  </v>
      </c>
      <c r="G2448" s="15">
        <f t="shared" ref="G2448" ca="1" si="635">INDIRECT(M2448)</f>
        <v>51</v>
      </c>
      <c r="H2448" s="15">
        <v>1</v>
      </c>
      <c r="I2448" s="15" t="str">
        <f t="shared" ref="I2448" ca="1" si="636">INDIRECT(N2448)</f>
        <v>I2C_Bridge_GPIO</v>
      </c>
      <c r="J2448" s="15" t="str">
        <f t="shared" ca="1" si="618"/>
        <v>I2C_Bridge_GPIO!A51</v>
      </c>
      <c r="K2448" s="15" t="str">
        <f t="shared" ca="1" si="619"/>
        <v>I2C_Bridge_GPIO!B51</v>
      </c>
      <c r="M2448" s="15" t="str">
        <f t="shared" ref="M2448" si="637">ADDRESS(O2448,3,4,1,$R$1)</f>
        <v>konfig!C124</v>
      </c>
      <c r="N2448" s="15" t="str">
        <f t="shared" ref="N2448" si="638">ADDRESS(O2448,1,4,1,$R$1)</f>
        <v>konfig!A124</v>
      </c>
      <c r="O2448" s="15">
        <v>124</v>
      </c>
      <c r="P2448" s="15">
        <v>4</v>
      </c>
    </row>
    <row r="2449" spans="1:11" x14ac:dyDescent="0.25">
      <c r="A2449" s="3" t="str">
        <f t="shared" ca="1" si="626"/>
        <v xml:space="preserve">device = TCA9548 </v>
      </c>
      <c r="G2449" s="15">
        <f t="shared" ca="1" si="624"/>
        <v>52</v>
      </c>
      <c r="H2449" s="15">
        <v>1</v>
      </c>
      <c r="I2449" s="15" t="str">
        <f t="shared" ca="1" si="625"/>
        <v>I2C_Bridge_GPIO</v>
      </c>
      <c r="J2449" s="15" t="str">
        <f t="shared" ca="1" si="618"/>
        <v>I2C_Bridge_GPIO!A52</v>
      </c>
      <c r="K2449" s="15" t="str">
        <f t="shared" ca="1" si="619"/>
        <v>I2C_Bridge_GPIO!B52</v>
      </c>
    </row>
    <row r="2450" spans="1:11" x14ac:dyDescent="0.25">
      <c r="A2450" s="3" t="str">
        <f t="shared" ca="1" si="626"/>
        <v xml:space="preserve">i2c_addr = 0x73 </v>
      </c>
      <c r="G2450" s="15">
        <f t="shared" ca="1" si="624"/>
        <v>53</v>
      </c>
      <c r="H2450" s="15">
        <v>1</v>
      </c>
      <c r="I2450" s="15" t="str">
        <f t="shared" ca="1" si="625"/>
        <v>I2C_Bridge_GPIO</v>
      </c>
      <c r="J2450" s="15" t="str">
        <f t="shared" ca="1" si="618"/>
        <v>I2C_Bridge_GPIO!A53</v>
      </c>
      <c r="K2450" s="15" t="str">
        <f t="shared" ca="1" si="619"/>
        <v>I2C_Bridge_GPIO!B53</v>
      </c>
    </row>
    <row r="2451" spans="1:11" x14ac:dyDescent="0.25">
      <c r="A2451" s="3" t="str">
        <f t="shared" ca="1" si="626"/>
        <v xml:space="preserve">i2c_num = /dev/i2c-1 </v>
      </c>
      <c r="C2451" s="16"/>
      <c r="G2451" s="15">
        <f t="shared" ca="1" si="624"/>
        <v>54</v>
      </c>
      <c r="H2451" s="15">
        <v>1</v>
      </c>
      <c r="I2451" s="15" t="str">
        <f t="shared" ca="1" si="625"/>
        <v>I2C_Bridge_GPIO</v>
      </c>
      <c r="J2451" s="15" t="str">
        <f t="shared" ca="1" si="618"/>
        <v>I2C_Bridge_GPIO!A54</v>
      </c>
      <c r="K2451" s="15" t="str">
        <f t="shared" ca="1" si="619"/>
        <v>I2C_Bridge_GPIO!B54</v>
      </c>
    </row>
    <row r="2452" spans="1:11" x14ac:dyDescent="0.25">
      <c r="A2452" s="3" t="str">
        <f t="shared" ca="1" si="626"/>
        <v xml:space="preserve">ctrl_reg = 0x01 </v>
      </c>
      <c r="G2452" s="15">
        <f t="shared" ca="1" si="624"/>
        <v>55</v>
      </c>
      <c r="H2452" s="15">
        <v>1</v>
      </c>
      <c r="I2452" s="15" t="str">
        <f t="shared" ca="1" si="625"/>
        <v>I2C_Bridge_GPIO</v>
      </c>
      <c r="J2452" s="15" t="str">
        <f t="shared" ca="1" si="618"/>
        <v>I2C_Bridge_GPIO!A55</v>
      </c>
      <c r="K2452" s="15" t="str">
        <f t="shared" ca="1" si="619"/>
        <v>I2C_Bridge_GPIO!B55</v>
      </c>
    </row>
    <row r="2453" spans="1:11" x14ac:dyDescent="0.25">
      <c r="A2453" s="3" t="str">
        <f t="shared" ca="1" si="626"/>
        <v/>
      </c>
      <c r="G2453" s="15">
        <f t="shared" ca="1" si="633"/>
        <v>56</v>
      </c>
      <c r="H2453" s="15">
        <v>1</v>
      </c>
      <c r="I2453" s="15" t="str">
        <f t="shared" ca="1" si="634"/>
        <v>I2C_Bridge_GPIO</v>
      </c>
      <c r="J2453" s="15" t="str">
        <f t="shared" ca="1" si="618"/>
        <v>I2C_Bridge_GPIO!A56</v>
      </c>
      <c r="K2453" s="15" t="str">
        <f t="shared" ca="1" si="619"/>
        <v>I2C_Bridge_GPIO!B56</v>
      </c>
    </row>
    <row r="2454" spans="1:11" x14ac:dyDescent="0.25">
      <c r="A2454" s="3" t="str">
        <f t="shared" ca="1" si="626"/>
        <v xml:space="preserve">time = 10 </v>
      </c>
      <c r="G2454" s="15">
        <f t="shared" ca="1" si="633"/>
        <v>57</v>
      </c>
      <c r="H2454" s="15">
        <v>1</v>
      </c>
      <c r="I2454" s="15" t="str">
        <f t="shared" ca="1" si="634"/>
        <v>I2C_Bridge_GPIO</v>
      </c>
      <c r="J2454" s="15" t="str">
        <f t="shared" ca="1" si="618"/>
        <v>I2C_Bridge_GPIO!A57</v>
      </c>
      <c r="K2454" s="15" t="str">
        <f t="shared" ca="1" si="619"/>
        <v>I2C_Bridge_GPIO!B57</v>
      </c>
    </row>
    <row r="2455" spans="1:11" x14ac:dyDescent="0.25">
      <c r="A2455" s="3" t="str">
        <f t="shared" ca="1" si="626"/>
        <v/>
      </c>
      <c r="G2455" s="15">
        <f t="shared" ca="1" si="633"/>
        <v>58</v>
      </c>
      <c r="H2455" s="15">
        <v>1</v>
      </c>
      <c r="I2455" s="15" t="str">
        <f t="shared" ca="1" si="634"/>
        <v>I2C_Bridge_GPIO</v>
      </c>
      <c r="J2455" s="15" t="str">
        <f t="shared" ca="1" si="618"/>
        <v>I2C_Bridge_GPIO!A58</v>
      </c>
      <c r="K2455" s="15" t="str">
        <f t="shared" ca="1" si="619"/>
        <v>I2C_Bridge_GPIO!B58</v>
      </c>
    </row>
    <row r="2456" spans="1:11" x14ac:dyDescent="0.25">
      <c r="A2456" s="3" t="str">
        <f t="shared" ca="1" si="626"/>
        <v/>
      </c>
      <c r="G2456" s="15">
        <f t="shared" ca="1" si="633"/>
        <v>59</v>
      </c>
      <c r="H2456" s="15">
        <v>1</v>
      </c>
      <c r="I2456" s="15" t="str">
        <f t="shared" ca="1" si="634"/>
        <v>I2C_Bridge_GPIO</v>
      </c>
      <c r="J2456" s="15" t="str">
        <f t="shared" ca="1" si="618"/>
        <v>I2C_Bridge_GPIO!A59</v>
      </c>
      <c r="K2456" s="15" t="str">
        <f t="shared" ca="1" si="619"/>
        <v>I2C_Bridge_GPIO!B59</v>
      </c>
    </row>
    <row r="2457" spans="1:11" x14ac:dyDescent="0.25">
      <c r="A2457" s="3" t="str">
        <f t="shared" ca="1" si="626"/>
        <v/>
      </c>
      <c r="G2457" s="15">
        <f t="shared" ca="1" si="633"/>
        <v>60</v>
      </c>
      <c r="H2457" s="15">
        <v>1</v>
      </c>
      <c r="I2457" s="15" t="str">
        <f t="shared" ca="1" si="634"/>
        <v>I2C_Bridge_GPIO</v>
      </c>
      <c r="J2457" s="15" t="str">
        <f t="shared" ca="1" si="618"/>
        <v>I2C_Bridge_GPIO!A60</v>
      </c>
      <c r="K2457" s="15" t="str">
        <f t="shared" ca="1" si="619"/>
        <v>I2C_Bridge_GPIO!B60</v>
      </c>
    </row>
    <row r="2458" spans="1:11" x14ac:dyDescent="0.25">
      <c r="A2458" s="3" t="str">
        <f t="shared" ca="1" si="626"/>
        <v/>
      </c>
      <c r="G2458" s="15">
        <f t="shared" ca="1" si="633"/>
        <v>61</v>
      </c>
      <c r="H2458" s="15">
        <v>1</v>
      </c>
      <c r="I2458" s="15" t="str">
        <f t="shared" ca="1" si="634"/>
        <v>I2C_Bridge_GPIO</v>
      </c>
      <c r="J2458" s="15" t="str">
        <f t="shared" ca="1" si="618"/>
        <v>I2C_Bridge_GPIO!A61</v>
      </c>
      <c r="K2458" s="15" t="str">
        <f t="shared" ca="1" si="619"/>
        <v>I2C_Bridge_GPIO!B61</v>
      </c>
    </row>
    <row r="2459" spans="1:11" x14ac:dyDescent="0.25">
      <c r="A2459" s="3" t="str">
        <f t="shared" ca="1" si="626"/>
        <v/>
      </c>
      <c r="C2459" s="16"/>
      <c r="G2459" s="15">
        <f t="shared" ca="1" si="633"/>
        <v>62</v>
      </c>
      <c r="H2459" s="15">
        <v>1</v>
      </c>
      <c r="I2459" s="15" t="str">
        <f t="shared" ca="1" si="634"/>
        <v>I2C_Bridge_GPIO</v>
      </c>
      <c r="J2459" s="15" t="str">
        <f t="shared" ca="1" si="618"/>
        <v>I2C_Bridge_GPIO!A62</v>
      </c>
      <c r="K2459" s="15" t="str">
        <f t="shared" ca="1" si="619"/>
        <v>I2C_Bridge_GPIO!B62</v>
      </c>
    </row>
    <row r="2460" spans="1:11" x14ac:dyDescent="0.25">
      <c r="A2460" s="3" t="str">
        <f t="shared" ca="1" si="626"/>
        <v/>
      </c>
      <c r="G2460" s="15">
        <f t="shared" ca="1" si="633"/>
        <v>63</v>
      </c>
      <c r="H2460" s="15">
        <v>1</v>
      </c>
      <c r="I2460" s="15" t="str">
        <f t="shared" ca="1" si="634"/>
        <v>I2C_Bridge_GPIO</v>
      </c>
      <c r="J2460" s="15" t="str">
        <f t="shared" ca="1" si="618"/>
        <v>I2C_Bridge_GPIO!A63</v>
      </c>
      <c r="K2460" s="15" t="str">
        <f t="shared" ca="1" si="619"/>
        <v>I2C_Bridge_GPIO!B63</v>
      </c>
    </row>
    <row r="2461" spans="1:11" x14ac:dyDescent="0.25">
      <c r="A2461" s="3" t="str">
        <f t="shared" ca="1" si="626"/>
        <v/>
      </c>
      <c r="G2461" s="15">
        <f t="shared" ca="1" si="633"/>
        <v>64</v>
      </c>
      <c r="H2461" s="15">
        <v>1</v>
      </c>
      <c r="I2461" s="15" t="str">
        <f t="shared" ca="1" si="634"/>
        <v>I2C_Bridge_GPIO</v>
      </c>
      <c r="J2461" s="15" t="str">
        <f t="shared" ca="1" si="618"/>
        <v>I2C_Bridge_GPIO!A64</v>
      </c>
      <c r="K2461" s="15" t="str">
        <f t="shared" ca="1" si="619"/>
        <v>I2C_Bridge_GPIO!B64</v>
      </c>
    </row>
    <row r="2462" spans="1:11" x14ac:dyDescent="0.25">
      <c r="A2462" s="3" t="str">
        <f t="shared" ca="1" si="626"/>
        <v/>
      </c>
      <c r="G2462" s="15">
        <f t="shared" ca="1" si="633"/>
        <v>65</v>
      </c>
      <c r="H2462" s="15">
        <v>1</v>
      </c>
      <c r="I2462" s="15" t="str">
        <f t="shared" ca="1" si="634"/>
        <v>I2C_Bridge_GPIO</v>
      </c>
      <c r="J2462" s="15" t="str">
        <f t="shared" ca="1" si="618"/>
        <v>I2C_Bridge_GPIO!A65</v>
      </c>
      <c r="K2462" s="15" t="str">
        <f t="shared" ca="1" si="619"/>
        <v>I2C_Bridge_GPIO!B65</v>
      </c>
    </row>
    <row r="2463" spans="1:11" x14ac:dyDescent="0.25">
      <c r="A2463" s="3" t="str">
        <f t="shared" ca="1" si="626"/>
        <v/>
      </c>
      <c r="G2463" s="15">
        <f t="shared" ca="1" si="633"/>
        <v>66</v>
      </c>
      <c r="H2463" s="15">
        <v>1</v>
      </c>
      <c r="I2463" s="15" t="str">
        <f t="shared" ca="1" si="634"/>
        <v>I2C_Bridge_GPIO</v>
      </c>
      <c r="J2463" s="15" t="str">
        <f t="shared" ca="1" si="618"/>
        <v>I2C_Bridge_GPIO!A66</v>
      </c>
      <c r="K2463" s="15" t="str">
        <f t="shared" ca="1" si="619"/>
        <v>I2C_Bridge_GPIO!B66</v>
      </c>
    </row>
    <row r="2464" spans="1:11" x14ac:dyDescent="0.25">
      <c r="A2464" s="3" t="str">
        <f t="shared" ca="1" si="626"/>
        <v/>
      </c>
      <c r="G2464" s="15">
        <f t="shared" ca="1" si="633"/>
        <v>67</v>
      </c>
      <c r="H2464" s="15">
        <v>1</v>
      </c>
      <c r="I2464" s="15" t="str">
        <f t="shared" ca="1" si="634"/>
        <v>I2C_Bridge_GPIO</v>
      </c>
      <c r="J2464" s="15" t="str">
        <f t="shared" ca="1" si="618"/>
        <v>I2C_Bridge_GPIO!A67</v>
      </c>
      <c r="K2464" s="15" t="str">
        <f t="shared" ca="1" si="619"/>
        <v>I2C_Bridge_GPIO!B67</v>
      </c>
    </row>
    <row r="2465" spans="1:16" x14ac:dyDescent="0.25">
      <c r="A2465" s="3" t="str">
        <f t="shared" ca="1" si="626"/>
        <v/>
      </c>
      <c r="G2465" s="15">
        <f t="shared" ca="1" si="633"/>
        <v>68</v>
      </c>
      <c r="H2465" s="15">
        <v>1</v>
      </c>
      <c r="I2465" s="15" t="str">
        <f t="shared" ca="1" si="634"/>
        <v>I2C_Bridge_GPIO</v>
      </c>
      <c r="J2465" s="15" t="str">
        <f t="shared" ca="1" si="618"/>
        <v>I2C_Bridge_GPIO!A68</v>
      </c>
      <c r="K2465" s="15" t="str">
        <f t="shared" ca="1" si="619"/>
        <v>I2C_Bridge_GPIO!B68</v>
      </c>
    </row>
    <row r="2466" spans="1:16" x14ac:dyDescent="0.25">
      <c r="A2466" s="3" t="str">
        <f t="shared" ca="1" si="626"/>
        <v/>
      </c>
      <c r="G2466" s="15">
        <f t="shared" ca="1" si="633"/>
        <v>69</v>
      </c>
      <c r="H2466" s="15">
        <v>1</v>
      </c>
      <c r="I2466" s="15" t="str">
        <f t="shared" ca="1" si="634"/>
        <v>I2C_Bridge_GPIO</v>
      </c>
      <c r="J2466" s="15" t="str">
        <f t="shared" ca="1" si="618"/>
        <v>I2C_Bridge_GPIO!A69</v>
      </c>
      <c r="K2466" s="15" t="str">
        <f t="shared" ca="1" si="619"/>
        <v>I2C_Bridge_GPIO!B69</v>
      </c>
    </row>
    <row r="2467" spans="1:16" x14ac:dyDescent="0.25">
      <c r="A2467" s="3" t="str">
        <f t="shared" ca="1" si="626"/>
        <v/>
      </c>
      <c r="G2467" s="15">
        <f t="shared" ca="1" si="633"/>
        <v>70</v>
      </c>
      <c r="H2467" s="15">
        <v>1</v>
      </c>
      <c r="I2467" s="15" t="str">
        <f t="shared" ca="1" si="634"/>
        <v>I2C_Bridge_GPIO</v>
      </c>
      <c r="J2467" s="15" t="str">
        <f t="shared" ca="1" si="618"/>
        <v>I2C_Bridge_GPIO!A70</v>
      </c>
      <c r="K2467" s="15" t="str">
        <f t="shared" ca="1" si="619"/>
        <v>I2C_Bridge_GPIO!B70</v>
      </c>
    </row>
    <row r="2468" spans="1:16" x14ac:dyDescent="0.25">
      <c r="A2468" s="3" t="str">
        <f t="shared" ca="1" si="626"/>
        <v xml:space="preserve">#I2C_Bridge_PCIE:PCIE3 =  </v>
      </c>
      <c r="G2468" s="15">
        <f t="shared" ref="G2468" ca="1" si="639">INDIRECT(M2468)</f>
        <v>111</v>
      </c>
      <c r="H2468" s="15">
        <v>1</v>
      </c>
      <c r="I2468" s="15" t="str">
        <f t="shared" ref="I2468" ca="1" si="640">INDIRECT(N2468)</f>
        <v>I2C_Bridge_PCIE</v>
      </c>
      <c r="J2468" s="15" t="str">
        <f t="shared" ref="J2468:J2531" ca="1" si="641">ADDRESS(G2468,H2468,4,1,I2468)</f>
        <v>I2C_Bridge_PCIE!A111</v>
      </c>
      <c r="K2468" s="15" t="str">
        <f t="shared" ref="K2468:K2531" ca="1" si="642">ADDRESS(G2468,H2468+1,4,1,I2468)</f>
        <v>I2C_Bridge_PCIE!B111</v>
      </c>
      <c r="M2468" s="15" t="str">
        <f t="shared" ref="M2468" si="643">ADDRESS(O2468,3,4,1,$R$1)</f>
        <v>konfig!C125</v>
      </c>
      <c r="N2468" s="15" t="str">
        <f t="shared" ref="N2468" si="644">ADDRESS(O2468,1,4,1,$R$1)</f>
        <v>konfig!A125</v>
      </c>
      <c r="O2468" s="15">
        <v>125</v>
      </c>
      <c r="P2468" s="15">
        <v>4</v>
      </c>
    </row>
    <row r="2469" spans="1:16" x14ac:dyDescent="0.25">
      <c r="A2469" s="3" t="str">
        <f t="shared" ca="1" si="626"/>
        <v xml:space="preserve">device = TCA9548 </v>
      </c>
      <c r="G2469" s="15">
        <f t="shared" ca="1" si="631"/>
        <v>112</v>
      </c>
      <c r="H2469" s="15">
        <v>1</v>
      </c>
      <c r="I2469" s="15" t="str">
        <f t="shared" ca="1" si="632"/>
        <v>I2C_Bridge_PCIE</v>
      </c>
      <c r="J2469" s="15" t="str">
        <f t="shared" ca="1" si="641"/>
        <v>I2C_Bridge_PCIE!A112</v>
      </c>
      <c r="K2469" s="15" t="str">
        <f t="shared" ca="1" si="642"/>
        <v>I2C_Bridge_PCIE!B112</v>
      </c>
    </row>
    <row r="2470" spans="1:16" x14ac:dyDescent="0.25">
      <c r="A2470" s="3" t="str">
        <f t="shared" ca="1" si="626"/>
        <v xml:space="preserve">i2c_addr = 0x71 </v>
      </c>
      <c r="G2470" s="15">
        <f t="shared" ca="1" si="633"/>
        <v>113</v>
      </c>
      <c r="H2470" s="15">
        <v>1</v>
      </c>
      <c r="I2470" s="15" t="str">
        <f t="shared" ca="1" si="634"/>
        <v>I2C_Bridge_PCIE</v>
      </c>
      <c r="J2470" s="15" t="str">
        <f t="shared" ca="1" si="641"/>
        <v>I2C_Bridge_PCIE!A113</v>
      </c>
      <c r="K2470" s="15" t="str">
        <f t="shared" ca="1" si="642"/>
        <v>I2C_Bridge_PCIE!B113</v>
      </c>
    </row>
    <row r="2471" spans="1:16" x14ac:dyDescent="0.25">
      <c r="A2471" s="3" t="str">
        <f t="shared" ca="1" si="626"/>
        <v xml:space="preserve">i2c_num = /dev/i2c-1 </v>
      </c>
      <c r="C2471" s="16"/>
      <c r="G2471" s="15">
        <f t="shared" ca="1" si="633"/>
        <v>114</v>
      </c>
      <c r="H2471" s="15">
        <v>1</v>
      </c>
      <c r="I2471" s="15" t="str">
        <f t="shared" ca="1" si="634"/>
        <v>I2C_Bridge_PCIE</v>
      </c>
      <c r="J2471" s="15" t="str">
        <f t="shared" ca="1" si="641"/>
        <v>I2C_Bridge_PCIE!A114</v>
      </c>
      <c r="K2471" s="15" t="str">
        <f t="shared" ca="1" si="642"/>
        <v>I2C_Bridge_PCIE!B114</v>
      </c>
    </row>
    <row r="2472" spans="1:16" x14ac:dyDescent="0.25">
      <c r="A2472" s="3" t="str">
        <f t="shared" ca="1" si="626"/>
        <v xml:space="preserve">ctrl_reg = 0x01 </v>
      </c>
      <c r="G2472" s="15">
        <f t="shared" ca="1" si="633"/>
        <v>115</v>
      </c>
      <c r="H2472" s="15">
        <v>1</v>
      </c>
      <c r="I2472" s="15" t="str">
        <f t="shared" ca="1" si="634"/>
        <v>I2C_Bridge_PCIE</v>
      </c>
      <c r="J2472" s="15" t="str">
        <f t="shared" ca="1" si="641"/>
        <v>I2C_Bridge_PCIE!A115</v>
      </c>
      <c r="K2472" s="15" t="str">
        <f t="shared" ca="1" si="642"/>
        <v>I2C_Bridge_PCIE!B115</v>
      </c>
    </row>
    <row r="2473" spans="1:16" x14ac:dyDescent="0.25">
      <c r="A2473" s="3" t="str">
        <f t="shared" ca="1" si="626"/>
        <v/>
      </c>
      <c r="G2473" s="15">
        <f t="shared" ca="1" si="633"/>
        <v>116</v>
      </c>
      <c r="H2473" s="15">
        <v>1</v>
      </c>
      <c r="I2473" s="15" t="str">
        <f t="shared" ca="1" si="634"/>
        <v>I2C_Bridge_PCIE</v>
      </c>
      <c r="J2473" s="15" t="str">
        <f t="shared" ca="1" si="641"/>
        <v>I2C_Bridge_PCIE!A116</v>
      </c>
      <c r="K2473" s="15" t="str">
        <f t="shared" ca="1" si="642"/>
        <v>I2C_Bridge_PCIE!B116</v>
      </c>
    </row>
    <row r="2474" spans="1:16" x14ac:dyDescent="0.25">
      <c r="A2474" s="3" t="str">
        <f t="shared" ca="1" si="626"/>
        <v xml:space="preserve">time = 12 </v>
      </c>
      <c r="G2474" s="15">
        <f t="shared" ca="1" si="633"/>
        <v>117</v>
      </c>
      <c r="H2474" s="15">
        <v>1</v>
      </c>
      <c r="I2474" s="15" t="str">
        <f t="shared" ca="1" si="634"/>
        <v>I2C_Bridge_PCIE</v>
      </c>
      <c r="J2474" s="15" t="str">
        <f t="shared" ca="1" si="641"/>
        <v>I2C_Bridge_PCIE!A117</v>
      </c>
      <c r="K2474" s="15" t="str">
        <f t="shared" ca="1" si="642"/>
        <v>I2C_Bridge_PCIE!B117</v>
      </c>
    </row>
    <row r="2475" spans="1:16" x14ac:dyDescent="0.25">
      <c r="A2475" s="3" t="str">
        <f t="shared" ca="1" si="626"/>
        <v/>
      </c>
      <c r="G2475" s="15">
        <f t="shared" ca="1" si="633"/>
        <v>118</v>
      </c>
      <c r="H2475" s="15">
        <v>1</v>
      </c>
      <c r="I2475" s="15" t="str">
        <f t="shared" ca="1" si="634"/>
        <v>I2C_Bridge_PCIE</v>
      </c>
      <c r="J2475" s="15" t="str">
        <f t="shared" ca="1" si="641"/>
        <v>I2C_Bridge_PCIE!A118</v>
      </c>
      <c r="K2475" s="15" t="str">
        <f t="shared" ca="1" si="642"/>
        <v>I2C_Bridge_PCIE!B118</v>
      </c>
    </row>
    <row r="2476" spans="1:16" x14ac:dyDescent="0.25">
      <c r="A2476" s="3" t="str">
        <f t="shared" ref="A2476:A2539" ca="1" si="645">IFERROR(IF(INDIRECT(J2476)&lt;&gt;"",CONCATENATE(INDIRECT(J2476)," = ",INDIRECT(K2476)," "),""),"")</f>
        <v/>
      </c>
      <c r="G2476" s="15">
        <f t="shared" ca="1" si="633"/>
        <v>119</v>
      </c>
      <c r="H2476" s="15">
        <v>1</v>
      </c>
      <c r="I2476" s="15" t="str">
        <f t="shared" ca="1" si="634"/>
        <v>I2C_Bridge_PCIE</v>
      </c>
      <c r="J2476" s="15" t="str">
        <f t="shared" ca="1" si="641"/>
        <v>I2C_Bridge_PCIE!A119</v>
      </c>
      <c r="K2476" s="15" t="str">
        <f t="shared" ca="1" si="642"/>
        <v>I2C_Bridge_PCIE!B119</v>
      </c>
    </row>
    <row r="2477" spans="1:16" x14ac:dyDescent="0.25">
      <c r="A2477" s="3" t="str">
        <f t="shared" ca="1" si="645"/>
        <v/>
      </c>
      <c r="G2477" s="15">
        <f t="shared" ca="1" si="633"/>
        <v>120</v>
      </c>
      <c r="H2477" s="15">
        <v>1</v>
      </c>
      <c r="I2477" s="15" t="str">
        <f t="shared" ca="1" si="634"/>
        <v>I2C_Bridge_PCIE</v>
      </c>
      <c r="J2477" s="15" t="str">
        <f t="shared" ca="1" si="641"/>
        <v>I2C_Bridge_PCIE!A120</v>
      </c>
      <c r="K2477" s="15" t="str">
        <f t="shared" ca="1" si="642"/>
        <v>I2C_Bridge_PCIE!B120</v>
      </c>
    </row>
    <row r="2478" spans="1:16" x14ac:dyDescent="0.25">
      <c r="A2478" s="3" t="str">
        <f t="shared" ca="1" si="645"/>
        <v/>
      </c>
      <c r="G2478" s="15">
        <f t="shared" ca="1" si="633"/>
        <v>121</v>
      </c>
      <c r="H2478" s="15">
        <v>1</v>
      </c>
      <c r="I2478" s="15" t="str">
        <f t="shared" ca="1" si="634"/>
        <v>I2C_Bridge_PCIE</v>
      </c>
      <c r="J2478" s="15" t="str">
        <f t="shared" ca="1" si="641"/>
        <v>I2C_Bridge_PCIE!A121</v>
      </c>
      <c r="K2478" s="15" t="str">
        <f t="shared" ca="1" si="642"/>
        <v>I2C_Bridge_PCIE!B121</v>
      </c>
    </row>
    <row r="2479" spans="1:16" x14ac:dyDescent="0.25">
      <c r="A2479" s="3" t="str">
        <f t="shared" ca="1" si="645"/>
        <v/>
      </c>
      <c r="C2479" s="16"/>
      <c r="G2479" s="15">
        <f t="shared" ca="1" si="633"/>
        <v>122</v>
      </c>
      <c r="H2479" s="15">
        <v>1</v>
      </c>
      <c r="I2479" s="15" t="str">
        <f t="shared" ca="1" si="634"/>
        <v>I2C_Bridge_PCIE</v>
      </c>
      <c r="J2479" s="15" t="str">
        <f t="shared" ca="1" si="641"/>
        <v>I2C_Bridge_PCIE!A122</v>
      </c>
      <c r="K2479" s="15" t="str">
        <f t="shared" ca="1" si="642"/>
        <v>I2C_Bridge_PCIE!B122</v>
      </c>
    </row>
    <row r="2480" spans="1:16" x14ac:dyDescent="0.25">
      <c r="A2480" s="3" t="str">
        <f t="shared" ca="1" si="645"/>
        <v/>
      </c>
      <c r="G2480" s="15">
        <f t="shared" ca="1" si="633"/>
        <v>123</v>
      </c>
      <c r="H2480" s="15">
        <v>1</v>
      </c>
      <c r="I2480" s="15" t="str">
        <f t="shared" ca="1" si="634"/>
        <v>I2C_Bridge_PCIE</v>
      </c>
      <c r="J2480" s="15" t="str">
        <f t="shared" ca="1" si="641"/>
        <v>I2C_Bridge_PCIE!A123</v>
      </c>
      <c r="K2480" s="15" t="str">
        <f t="shared" ca="1" si="642"/>
        <v>I2C_Bridge_PCIE!B123</v>
      </c>
    </row>
    <row r="2481" spans="1:16" x14ac:dyDescent="0.25">
      <c r="A2481" s="3" t="str">
        <f t="shared" ca="1" si="645"/>
        <v/>
      </c>
      <c r="G2481" s="15">
        <f t="shared" ca="1" si="633"/>
        <v>124</v>
      </c>
      <c r="H2481" s="15">
        <v>1</v>
      </c>
      <c r="I2481" s="15" t="str">
        <f t="shared" ca="1" si="634"/>
        <v>I2C_Bridge_PCIE</v>
      </c>
      <c r="J2481" s="15" t="str">
        <f t="shared" ca="1" si="641"/>
        <v>I2C_Bridge_PCIE!A124</v>
      </c>
      <c r="K2481" s="15" t="str">
        <f t="shared" ca="1" si="642"/>
        <v>I2C_Bridge_PCIE!B124</v>
      </c>
    </row>
    <row r="2482" spans="1:16" x14ac:dyDescent="0.25">
      <c r="A2482" s="3" t="str">
        <f t="shared" ca="1" si="645"/>
        <v/>
      </c>
      <c r="G2482" s="15">
        <f t="shared" ca="1" si="633"/>
        <v>125</v>
      </c>
      <c r="H2482" s="15">
        <v>1</v>
      </c>
      <c r="I2482" s="15" t="str">
        <f t="shared" ca="1" si="634"/>
        <v>I2C_Bridge_PCIE</v>
      </c>
      <c r="J2482" s="15" t="str">
        <f t="shared" ca="1" si="641"/>
        <v>I2C_Bridge_PCIE!A125</v>
      </c>
      <c r="K2482" s="15" t="str">
        <f t="shared" ca="1" si="642"/>
        <v>I2C_Bridge_PCIE!B125</v>
      </c>
    </row>
    <row r="2483" spans="1:16" x14ac:dyDescent="0.25">
      <c r="A2483" s="3" t="str">
        <f t="shared" ca="1" si="645"/>
        <v/>
      </c>
      <c r="G2483" s="15">
        <f t="shared" ca="1" si="633"/>
        <v>126</v>
      </c>
      <c r="H2483" s="15">
        <v>1</v>
      </c>
      <c r="I2483" s="15" t="str">
        <f t="shared" ca="1" si="634"/>
        <v>I2C_Bridge_PCIE</v>
      </c>
      <c r="J2483" s="15" t="str">
        <f t="shared" ca="1" si="641"/>
        <v>I2C_Bridge_PCIE!A126</v>
      </c>
      <c r="K2483" s="15" t="str">
        <f t="shared" ca="1" si="642"/>
        <v>I2C_Bridge_PCIE!B126</v>
      </c>
    </row>
    <row r="2484" spans="1:16" x14ac:dyDescent="0.25">
      <c r="A2484" s="3" t="str">
        <f t="shared" ca="1" si="645"/>
        <v/>
      </c>
      <c r="G2484" s="15">
        <f t="shared" ca="1" si="633"/>
        <v>127</v>
      </c>
      <c r="H2484" s="15">
        <v>1</v>
      </c>
      <c r="I2484" s="15" t="str">
        <f t="shared" ca="1" si="634"/>
        <v>I2C_Bridge_PCIE</v>
      </c>
      <c r="J2484" s="15" t="str">
        <f t="shared" ca="1" si="641"/>
        <v>I2C_Bridge_PCIE!A127</v>
      </c>
      <c r="K2484" s="15" t="str">
        <f t="shared" ca="1" si="642"/>
        <v>I2C_Bridge_PCIE!B127</v>
      </c>
    </row>
    <row r="2485" spans="1:16" x14ac:dyDescent="0.25">
      <c r="A2485" s="3" t="str">
        <f t="shared" ca="1" si="645"/>
        <v/>
      </c>
      <c r="G2485" s="15">
        <f t="shared" ca="1" si="633"/>
        <v>128</v>
      </c>
      <c r="H2485" s="15">
        <v>1</v>
      </c>
      <c r="I2485" s="15" t="str">
        <f t="shared" ca="1" si="634"/>
        <v>I2C_Bridge_PCIE</v>
      </c>
      <c r="J2485" s="15" t="str">
        <f t="shared" ca="1" si="641"/>
        <v>I2C_Bridge_PCIE!A128</v>
      </c>
      <c r="K2485" s="15" t="str">
        <f t="shared" ca="1" si="642"/>
        <v>I2C_Bridge_PCIE!B128</v>
      </c>
    </row>
    <row r="2486" spans="1:16" x14ac:dyDescent="0.25">
      <c r="A2486" s="3" t="str">
        <f t="shared" ca="1" si="645"/>
        <v/>
      </c>
      <c r="G2486" s="15">
        <f t="shared" ca="1" si="633"/>
        <v>129</v>
      </c>
      <c r="H2486" s="15">
        <v>1</v>
      </c>
      <c r="I2486" s="15" t="str">
        <f t="shared" ca="1" si="634"/>
        <v>I2C_Bridge_PCIE</v>
      </c>
      <c r="J2486" s="15" t="str">
        <f t="shared" ca="1" si="641"/>
        <v>I2C_Bridge_PCIE!A129</v>
      </c>
      <c r="K2486" s="15" t="str">
        <f t="shared" ca="1" si="642"/>
        <v>I2C_Bridge_PCIE!B129</v>
      </c>
    </row>
    <row r="2487" spans="1:16" x14ac:dyDescent="0.25">
      <c r="A2487" s="3" t="str">
        <f t="shared" ca="1" si="645"/>
        <v/>
      </c>
      <c r="G2487" s="15">
        <f t="shared" ca="1" si="633"/>
        <v>130</v>
      </c>
      <c r="H2487" s="15">
        <v>1</v>
      </c>
      <c r="I2487" s="15" t="str">
        <f t="shared" ca="1" si="634"/>
        <v>I2C_Bridge_PCIE</v>
      </c>
      <c r="J2487" s="15" t="str">
        <f t="shared" ca="1" si="641"/>
        <v>I2C_Bridge_PCIE!A130</v>
      </c>
      <c r="K2487" s="15" t="str">
        <f t="shared" ca="1" si="642"/>
        <v>I2C_Bridge_PCIE!B130</v>
      </c>
    </row>
    <row r="2488" spans="1:16" x14ac:dyDescent="0.25">
      <c r="A2488" s="3" t="str">
        <f t="shared" ca="1" si="645"/>
        <v xml:space="preserve">#I2C_Expander_02:etap 5 En_SPI_PCIE3 =  </v>
      </c>
      <c r="G2488" s="15">
        <f t="shared" ref="G2488" ca="1" si="646">INDIRECT(M2488)</f>
        <v>131</v>
      </c>
      <c r="H2488" s="15">
        <v>1</v>
      </c>
      <c r="I2488" s="15" t="str">
        <f t="shared" ref="I2488" ca="1" si="647">INDIRECT(N2488)</f>
        <v>I2C_Expander_02</v>
      </c>
      <c r="J2488" s="15" t="str">
        <f t="shared" ca="1" si="641"/>
        <v>I2C_Expander_02!A131</v>
      </c>
      <c r="K2488" s="15" t="str">
        <f t="shared" ca="1" si="642"/>
        <v>I2C_Expander_02!B131</v>
      </c>
      <c r="M2488" s="15" t="str">
        <f t="shared" ref="M2488" si="648">ADDRESS(O2488,3,4,1,$R$1)</f>
        <v>konfig!C126</v>
      </c>
      <c r="N2488" s="15" t="str">
        <f t="shared" ref="N2488" si="649">ADDRESS(O2488,1,4,1,$R$1)</f>
        <v>konfig!A126</v>
      </c>
      <c r="O2488" s="15">
        <v>126</v>
      </c>
      <c r="P2488" s="15">
        <v>4</v>
      </c>
    </row>
    <row r="2489" spans="1:16" x14ac:dyDescent="0.25">
      <c r="A2489" s="3" t="str">
        <f t="shared" ca="1" si="645"/>
        <v xml:space="preserve">device = MCP23017 </v>
      </c>
      <c r="G2489" s="15">
        <f t="shared" ref="G2489:G2532" ca="1" si="650">G2488+1</f>
        <v>132</v>
      </c>
      <c r="H2489" s="15">
        <v>1</v>
      </c>
      <c r="I2489" s="15" t="str">
        <f t="shared" ref="I2489:I2532" ca="1" si="651">I2488</f>
        <v>I2C_Expander_02</v>
      </c>
      <c r="J2489" s="15" t="str">
        <f t="shared" ca="1" si="641"/>
        <v>I2C_Expander_02!A132</v>
      </c>
      <c r="K2489" s="15" t="str">
        <f t="shared" ca="1" si="642"/>
        <v>I2C_Expander_02!B132</v>
      </c>
    </row>
    <row r="2490" spans="1:16" x14ac:dyDescent="0.25">
      <c r="A2490" s="3" t="str">
        <f t="shared" ca="1" si="645"/>
        <v xml:space="preserve">i2c_addr = 0x22 </v>
      </c>
      <c r="G2490" s="15">
        <f t="shared" ca="1" si="650"/>
        <v>133</v>
      </c>
      <c r="H2490" s="15">
        <v>1</v>
      </c>
      <c r="I2490" s="15" t="str">
        <f t="shared" ca="1" si="651"/>
        <v>I2C_Expander_02</v>
      </c>
      <c r="J2490" s="15" t="str">
        <f t="shared" ca="1" si="641"/>
        <v>I2C_Expander_02!A133</v>
      </c>
      <c r="K2490" s="15" t="str">
        <f t="shared" ca="1" si="642"/>
        <v>I2C_Expander_02!B133</v>
      </c>
    </row>
    <row r="2491" spans="1:16" x14ac:dyDescent="0.25">
      <c r="A2491" s="3" t="str">
        <f t="shared" ca="1" si="645"/>
        <v xml:space="preserve">i2c_num = /dev/i2c-1 </v>
      </c>
      <c r="C2491" s="16"/>
      <c r="G2491" s="15">
        <f t="shared" ca="1" si="650"/>
        <v>134</v>
      </c>
      <c r="H2491" s="15">
        <v>1</v>
      </c>
      <c r="I2491" s="15" t="str">
        <f t="shared" ca="1" si="651"/>
        <v>I2C_Expander_02</v>
      </c>
      <c r="J2491" s="15" t="str">
        <f t="shared" ca="1" si="641"/>
        <v>I2C_Expander_02!A134</v>
      </c>
      <c r="K2491" s="15" t="str">
        <f t="shared" ca="1" si="642"/>
        <v>I2C_Expander_02!B134</v>
      </c>
    </row>
    <row r="2492" spans="1:16" x14ac:dyDescent="0.25">
      <c r="A2492" s="3" t="str">
        <f t="shared" ca="1" si="645"/>
        <v xml:space="preserve">pins_mode = 0xD27C </v>
      </c>
      <c r="G2492" s="15">
        <f t="shared" ca="1" si="650"/>
        <v>135</v>
      </c>
      <c r="H2492" s="15">
        <v>1</v>
      </c>
      <c r="I2492" s="15" t="str">
        <f t="shared" ca="1" si="651"/>
        <v>I2C_Expander_02</v>
      </c>
      <c r="J2492" s="15" t="str">
        <f t="shared" ca="1" si="641"/>
        <v>I2C_Expander_02!A135</v>
      </c>
      <c r="K2492" s="15" t="str">
        <f t="shared" ca="1" si="642"/>
        <v>I2C_Expander_02!B135</v>
      </c>
    </row>
    <row r="2493" spans="1:16" x14ac:dyDescent="0.25">
      <c r="A2493" s="3" t="str">
        <f t="shared" ca="1" si="645"/>
        <v xml:space="preserve">pins_state = 0x2583 </v>
      </c>
      <c r="G2493" s="15">
        <f t="shared" ca="1" si="633"/>
        <v>136</v>
      </c>
      <c r="H2493" s="15">
        <v>1</v>
      </c>
      <c r="I2493" s="15" t="str">
        <f t="shared" ca="1" si="634"/>
        <v>I2C_Expander_02</v>
      </c>
      <c r="J2493" s="15" t="str">
        <f t="shared" ca="1" si="641"/>
        <v>I2C_Expander_02!A136</v>
      </c>
      <c r="K2493" s="15" t="str">
        <f t="shared" ca="1" si="642"/>
        <v>I2C_Expander_02!B136</v>
      </c>
    </row>
    <row r="2494" spans="1:16" x14ac:dyDescent="0.25">
      <c r="A2494" s="3" t="str">
        <f t="shared" ca="1" si="645"/>
        <v xml:space="preserve">pins_pull_up = 0x1000 </v>
      </c>
      <c r="G2494" s="15">
        <f t="shared" ca="1" si="633"/>
        <v>137</v>
      </c>
      <c r="H2494" s="15">
        <v>1</v>
      </c>
      <c r="I2494" s="15" t="str">
        <f t="shared" ca="1" si="634"/>
        <v>I2C_Expander_02</v>
      </c>
      <c r="J2494" s="15" t="str">
        <f t="shared" ca="1" si="641"/>
        <v>I2C_Expander_02!A137</v>
      </c>
      <c r="K2494" s="15" t="str">
        <f t="shared" ca="1" si="642"/>
        <v>I2C_Expander_02!B137</v>
      </c>
    </row>
    <row r="2495" spans="1:16" x14ac:dyDescent="0.25">
      <c r="A2495" s="3" t="str">
        <f t="shared" ca="1" si="645"/>
        <v xml:space="preserve">#pins_int = 0x0000 </v>
      </c>
      <c r="G2495" s="15">
        <f t="shared" ca="1" si="633"/>
        <v>138</v>
      </c>
      <c r="H2495" s="15">
        <v>1</v>
      </c>
      <c r="I2495" s="15" t="str">
        <f t="shared" ca="1" si="634"/>
        <v>I2C_Expander_02</v>
      </c>
      <c r="J2495" s="15" t="str">
        <f t="shared" ca="1" si="641"/>
        <v>I2C_Expander_02!A138</v>
      </c>
      <c r="K2495" s="15" t="str">
        <f t="shared" ca="1" si="642"/>
        <v>I2C_Expander_02!B138</v>
      </c>
    </row>
    <row r="2496" spans="1:16" x14ac:dyDescent="0.25">
      <c r="A2496" s="3" t="str">
        <f t="shared" ca="1" si="645"/>
        <v xml:space="preserve">#pins_def_val = 0x0000 </v>
      </c>
      <c r="G2496" s="15">
        <f t="shared" ca="1" si="633"/>
        <v>139</v>
      </c>
      <c r="H2496" s="15">
        <v>1</v>
      </c>
      <c r="I2496" s="15" t="str">
        <f t="shared" ca="1" si="634"/>
        <v>I2C_Expander_02</v>
      </c>
      <c r="J2496" s="15" t="str">
        <f t="shared" ca="1" si="641"/>
        <v>I2C_Expander_02!A139</v>
      </c>
      <c r="K2496" s="15" t="str">
        <f t="shared" ca="1" si="642"/>
        <v>I2C_Expander_02!B139</v>
      </c>
    </row>
    <row r="2497" spans="1:16" x14ac:dyDescent="0.25">
      <c r="A2497" s="3" t="str">
        <f t="shared" ca="1" si="645"/>
        <v/>
      </c>
      <c r="G2497" s="15">
        <f t="shared" ca="1" si="633"/>
        <v>140</v>
      </c>
      <c r="H2497" s="15">
        <v>1</v>
      </c>
      <c r="I2497" s="15" t="str">
        <f t="shared" ca="1" si="634"/>
        <v>I2C_Expander_02</v>
      </c>
      <c r="J2497" s="15" t="str">
        <f t="shared" ca="1" si="641"/>
        <v>I2C_Expander_02!A140</v>
      </c>
      <c r="K2497" s="15" t="str">
        <f t="shared" ca="1" si="642"/>
        <v>I2C_Expander_02!B140</v>
      </c>
    </row>
    <row r="2498" spans="1:16" x14ac:dyDescent="0.25">
      <c r="A2498" s="3" t="str">
        <f t="shared" ca="1" si="645"/>
        <v xml:space="preserve">#pins_int = 10 </v>
      </c>
      <c r="G2498" s="15">
        <f t="shared" ca="1" si="633"/>
        <v>141</v>
      </c>
      <c r="H2498" s="15">
        <v>1</v>
      </c>
      <c r="I2498" s="15" t="str">
        <f t="shared" ca="1" si="634"/>
        <v>I2C_Expander_02</v>
      </c>
      <c r="J2498" s="15" t="str">
        <f t="shared" ca="1" si="641"/>
        <v>I2C_Expander_02!A141</v>
      </c>
      <c r="K2498" s="15" t="str">
        <f t="shared" ca="1" si="642"/>
        <v>I2C_Expander_02!B141</v>
      </c>
    </row>
    <row r="2499" spans="1:16" x14ac:dyDescent="0.25">
      <c r="A2499" s="3" t="str">
        <f t="shared" ca="1" si="645"/>
        <v/>
      </c>
      <c r="C2499" s="16"/>
      <c r="G2499" s="15">
        <f t="shared" ca="1" si="633"/>
        <v>142</v>
      </c>
      <c r="H2499" s="15">
        <v>1</v>
      </c>
      <c r="I2499" s="15" t="str">
        <f t="shared" ca="1" si="634"/>
        <v>I2C_Expander_02</v>
      </c>
      <c r="J2499" s="15" t="str">
        <f t="shared" ca="1" si="641"/>
        <v>I2C_Expander_02!A142</v>
      </c>
      <c r="K2499" s="15" t="str">
        <f t="shared" ca="1" si="642"/>
        <v>I2C_Expander_02!B142</v>
      </c>
    </row>
    <row r="2500" spans="1:16" x14ac:dyDescent="0.25">
      <c r="A2500" s="3" t="str">
        <f t="shared" ca="1" si="645"/>
        <v/>
      </c>
      <c r="G2500" s="15">
        <f t="shared" ca="1" si="633"/>
        <v>143</v>
      </c>
      <c r="H2500" s="15">
        <v>1</v>
      </c>
      <c r="I2500" s="15" t="str">
        <f t="shared" ca="1" si="634"/>
        <v>I2C_Expander_02</v>
      </c>
      <c r="J2500" s="15" t="str">
        <f t="shared" ca="1" si="641"/>
        <v>I2C_Expander_02!A143</v>
      </c>
      <c r="K2500" s="15" t="str">
        <f t="shared" ca="1" si="642"/>
        <v>I2C_Expander_02!B143</v>
      </c>
    </row>
    <row r="2501" spans="1:16" x14ac:dyDescent="0.25">
      <c r="A2501" s="3" t="str">
        <f t="shared" ca="1" si="645"/>
        <v/>
      </c>
      <c r="G2501" s="15">
        <f t="shared" ca="1" si="633"/>
        <v>144</v>
      </c>
      <c r="H2501" s="15">
        <v>1</v>
      </c>
      <c r="I2501" s="15" t="str">
        <f t="shared" ca="1" si="634"/>
        <v>I2C_Expander_02</v>
      </c>
      <c r="J2501" s="15" t="str">
        <f t="shared" ca="1" si="641"/>
        <v>I2C_Expander_02!A144</v>
      </c>
      <c r="K2501" s="15" t="str">
        <f t="shared" ca="1" si="642"/>
        <v>I2C_Expander_02!B144</v>
      </c>
    </row>
    <row r="2502" spans="1:16" x14ac:dyDescent="0.25">
      <c r="A2502" s="3" t="str">
        <f t="shared" ca="1" si="645"/>
        <v/>
      </c>
      <c r="G2502" s="15">
        <f t="shared" ca="1" si="633"/>
        <v>145</v>
      </c>
      <c r="H2502" s="15">
        <v>1</v>
      </c>
      <c r="I2502" s="15" t="str">
        <f t="shared" ca="1" si="634"/>
        <v>I2C_Expander_02</v>
      </c>
      <c r="J2502" s="15" t="str">
        <f t="shared" ca="1" si="641"/>
        <v>I2C_Expander_02!A145</v>
      </c>
      <c r="K2502" s="15" t="str">
        <f t="shared" ca="1" si="642"/>
        <v>I2C_Expander_02!B145</v>
      </c>
    </row>
    <row r="2503" spans="1:16" x14ac:dyDescent="0.25">
      <c r="A2503" s="3" t="str">
        <f t="shared" ca="1" si="645"/>
        <v/>
      </c>
      <c r="G2503" s="15">
        <f t="shared" ca="1" si="633"/>
        <v>146</v>
      </c>
      <c r="H2503" s="15">
        <v>1</v>
      </c>
      <c r="I2503" s="15" t="str">
        <f t="shared" ca="1" si="634"/>
        <v>I2C_Expander_02</v>
      </c>
      <c r="J2503" s="15" t="str">
        <f t="shared" ca="1" si="641"/>
        <v>I2C_Expander_02!A146</v>
      </c>
      <c r="K2503" s="15" t="str">
        <f t="shared" ca="1" si="642"/>
        <v>I2C_Expander_02!B146</v>
      </c>
    </row>
    <row r="2504" spans="1:16" x14ac:dyDescent="0.25">
      <c r="A2504" s="3" t="str">
        <f t="shared" ca="1" si="645"/>
        <v/>
      </c>
      <c r="G2504" s="15">
        <f t="shared" ca="1" si="633"/>
        <v>147</v>
      </c>
      <c r="H2504" s="15">
        <v>1</v>
      </c>
      <c r="I2504" s="15" t="str">
        <f t="shared" ca="1" si="634"/>
        <v>I2C_Expander_02</v>
      </c>
      <c r="J2504" s="15" t="str">
        <f t="shared" ca="1" si="641"/>
        <v>I2C_Expander_02!A147</v>
      </c>
      <c r="K2504" s="15" t="str">
        <f t="shared" ca="1" si="642"/>
        <v>I2C_Expander_02!B147</v>
      </c>
    </row>
    <row r="2505" spans="1:16" x14ac:dyDescent="0.25">
      <c r="A2505" s="3" t="str">
        <f t="shared" ca="1" si="645"/>
        <v/>
      </c>
      <c r="G2505" s="15">
        <f t="shared" ref="G2505:G2567" ca="1" si="652">G2504+1</f>
        <v>148</v>
      </c>
      <c r="H2505" s="15">
        <v>1</v>
      </c>
      <c r="I2505" s="15" t="str">
        <f t="shared" ref="I2505:I2567" ca="1" si="653">I2504</f>
        <v>I2C_Expander_02</v>
      </c>
      <c r="J2505" s="15" t="str">
        <f t="shared" ca="1" si="641"/>
        <v>I2C_Expander_02!A148</v>
      </c>
      <c r="K2505" s="15" t="str">
        <f t="shared" ca="1" si="642"/>
        <v>I2C_Expander_02!B148</v>
      </c>
    </row>
    <row r="2506" spans="1:16" x14ac:dyDescent="0.25">
      <c r="A2506" s="3" t="str">
        <f t="shared" ca="1" si="645"/>
        <v/>
      </c>
      <c r="G2506" s="15">
        <f t="shared" ca="1" si="652"/>
        <v>149</v>
      </c>
      <c r="H2506" s="15">
        <v>1</v>
      </c>
      <c r="I2506" s="15" t="str">
        <f t="shared" ca="1" si="653"/>
        <v>I2C_Expander_02</v>
      </c>
      <c r="J2506" s="15" t="str">
        <f t="shared" ca="1" si="641"/>
        <v>I2C_Expander_02!A149</v>
      </c>
      <c r="K2506" s="15" t="str">
        <f t="shared" ca="1" si="642"/>
        <v>I2C_Expander_02!B149</v>
      </c>
    </row>
    <row r="2507" spans="1:16" x14ac:dyDescent="0.25">
      <c r="A2507" s="3" t="str">
        <f t="shared" ca="1" si="645"/>
        <v/>
      </c>
      <c r="G2507" s="15">
        <f t="shared" ca="1" si="652"/>
        <v>150</v>
      </c>
      <c r="H2507" s="15">
        <v>1</v>
      </c>
      <c r="I2507" s="15" t="str">
        <f t="shared" ca="1" si="653"/>
        <v>I2C_Expander_02</v>
      </c>
      <c r="J2507" s="15" t="str">
        <f t="shared" ca="1" si="641"/>
        <v>I2C_Expander_02!A150</v>
      </c>
      <c r="K2507" s="15" t="str">
        <f t="shared" ca="1" si="642"/>
        <v>I2C_Expander_02!B150</v>
      </c>
    </row>
    <row r="2508" spans="1:16" x14ac:dyDescent="0.25">
      <c r="A2508" s="3" t="str">
        <f t="shared" ca="1" si="645"/>
        <v xml:space="preserve">#RadioCard_TETRA_Exp1:etap 1 =  </v>
      </c>
      <c r="G2508" s="15">
        <f t="shared" ref="G2508" ca="1" si="654">INDIRECT(M2508)</f>
        <v>51</v>
      </c>
      <c r="H2508" s="15">
        <v>1</v>
      </c>
      <c r="I2508" s="15" t="str">
        <f t="shared" ref="I2508" ca="1" si="655">INDIRECT(N2508)</f>
        <v>RadioCard_TETRA_Exp1</v>
      </c>
      <c r="J2508" s="15" t="str">
        <f t="shared" ca="1" si="641"/>
        <v>RadioCard_TETRA_Exp1!A51</v>
      </c>
      <c r="K2508" s="15" t="str">
        <f t="shared" ca="1" si="642"/>
        <v>RadioCard_TETRA_Exp1!B51</v>
      </c>
      <c r="M2508" s="15" t="str">
        <f t="shared" ref="M2508" si="656">ADDRESS(O2508,3,4,1,$R$1)</f>
        <v>konfig!C127</v>
      </c>
      <c r="N2508" s="15" t="str">
        <f t="shared" ref="N2508" si="657">ADDRESS(O2508,1,4,1,$R$1)</f>
        <v>konfig!A127</v>
      </c>
      <c r="O2508" s="15">
        <v>127</v>
      </c>
      <c r="P2508" s="15">
        <v>4</v>
      </c>
    </row>
    <row r="2509" spans="1:16" x14ac:dyDescent="0.25">
      <c r="A2509" s="3" t="str">
        <f t="shared" ca="1" si="645"/>
        <v xml:space="preserve">device = MCP23017 </v>
      </c>
      <c r="G2509" s="15">
        <f t="shared" ref="G2509:G2549" ca="1" si="658">G2508+1</f>
        <v>52</v>
      </c>
      <c r="H2509" s="15">
        <v>1</v>
      </c>
      <c r="I2509" s="15" t="str">
        <f t="shared" ref="I2509:I2549" ca="1" si="659">I2508</f>
        <v>RadioCard_TETRA_Exp1</v>
      </c>
      <c r="J2509" s="15" t="str">
        <f t="shared" ca="1" si="641"/>
        <v>RadioCard_TETRA_Exp1!A52</v>
      </c>
      <c r="K2509" s="15" t="str">
        <f t="shared" ca="1" si="642"/>
        <v>RadioCard_TETRA_Exp1!B52</v>
      </c>
    </row>
    <row r="2510" spans="1:16" x14ac:dyDescent="0.25">
      <c r="A2510" s="3" t="str">
        <f t="shared" ca="1" si="645"/>
        <v xml:space="preserve">i2c_addr = 0x26 </v>
      </c>
      <c r="G2510" s="15">
        <f t="shared" ca="1" si="652"/>
        <v>53</v>
      </c>
      <c r="H2510" s="15">
        <v>1</v>
      </c>
      <c r="I2510" s="15" t="str">
        <f t="shared" ca="1" si="653"/>
        <v>RadioCard_TETRA_Exp1</v>
      </c>
      <c r="J2510" s="15" t="str">
        <f t="shared" ca="1" si="641"/>
        <v>RadioCard_TETRA_Exp1!A53</v>
      </c>
      <c r="K2510" s="15" t="str">
        <f t="shared" ca="1" si="642"/>
        <v>RadioCard_TETRA_Exp1!B53</v>
      </c>
    </row>
    <row r="2511" spans="1:16" x14ac:dyDescent="0.25">
      <c r="A2511" s="3" t="str">
        <f t="shared" ca="1" si="645"/>
        <v xml:space="preserve">i2c_num = /dev/i2c-1 </v>
      </c>
      <c r="C2511" s="16"/>
      <c r="G2511" s="15">
        <f t="shared" ca="1" si="652"/>
        <v>54</v>
      </c>
      <c r="H2511" s="15">
        <v>1</v>
      </c>
      <c r="I2511" s="15" t="str">
        <f t="shared" ca="1" si="653"/>
        <v>RadioCard_TETRA_Exp1</v>
      </c>
      <c r="J2511" s="15" t="str">
        <f t="shared" ca="1" si="641"/>
        <v>RadioCard_TETRA_Exp1!A54</v>
      </c>
      <c r="K2511" s="15" t="str">
        <f t="shared" ca="1" si="642"/>
        <v>RadioCard_TETRA_Exp1!B54</v>
      </c>
    </row>
    <row r="2512" spans="1:16" x14ac:dyDescent="0.25">
      <c r="A2512" s="3" t="str">
        <f t="shared" ca="1" si="645"/>
        <v xml:space="preserve">pins_mode = 0x00FF </v>
      </c>
      <c r="G2512" s="15">
        <f t="shared" ca="1" si="652"/>
        <v>55</v>
      </c>
      <c r="H2512" s="15">
        <v>1</v>
      </c>
      <c r="I2512" s="15" t="str">
        <f t="shared" ca="1" si="653"/>
        <v>RadioCard_TETRA_Exp1</v>
      </c>
      <c r="J2512" s="15" t="str">
        <f t="shared" ca="1" si="641"/>
        <v>RadioCard_TETRA_Exp1!A55</v>
      </c>
      <c r="K2512" s="15" t="str">
        <f t="shared" ca="1" si="642"/>
        <v>RadioCard_TETRA_Exp1!B55</v>
      </c>
    </row>
    <row r="2513" spans="1:16" x14ac:dyDescent="0.25">
      <c r="A2513" s="3" t="str">
        <f t="shared" ca="1" si="645"/>
        <v xml:space="preserve">pins_state = 0x0300 </v>
      </c>
      <c r="G2513" s="15">
        <f t="shared" ca="1" si="652"/>
        <v>56</v>
      </c>
      <c r="H2513" s="15">
        <v>1</v>
      </c>
      <c r="I2513" s="15" t="str">
        <f t="shared" ca="1" si="653"/>
        <v>RadioCard_TETRA_Exp1</v>
      </c>
      <c r="J2513" s="15" t="str">
        <f t="shared" ca="1" si="641"/>
        <v>RadioCard_TETRA_Exp1!A56</v>
      </c>
      <c r="K2513" s="15" t="str">
        <f t="shared" ca="1" si="642"/>
        <v>RadioCard_TETRA_Exp1!B56</v>
      </c>
    </row>
    <row r="2514" spans="1:16" x14ac:dyDescent="0.25">
      <c r="A2514" s="3" t="str">
        <f t="shared" ca="1" si="645"/>
        <v xml:space="preserve">pins_pull_up = 0x0000 </v>
      </c>
      <c r="G2514" s="15">
        <f t="shared" ca="1" si="652"/>
        <v>57</v>
      </c>
      <c r="H2514" s="15">
        <v>1</v>
      </c>
      <c r="I2514" s="15" t="str">
        <f t="shared" ca="1" si="653"/>
        <v>RadioCard_TETRA_Exp1</v>
      </c>
      <c r="J2514" s="15" t="str">
        <f t="shared" ca="1" si="641"/>
        <v>RadioCard_TETRA_Exp1!A57</v>
      </c>
      <c r="K2514" s="15" t="str">
        <f t="shared" ca="1" si="642"/>
        <v>RadioCard_TETRA_Exp1!B57</v>
      </c>
    </row>
    <row r="2515" spans="1:16" x14ac:dyDescent="0.25">
      <c r="A2515" s="3" t="str">
        <f t="shared" ca="1" si="645"/>
        <v xml:space="preserve">#pins_int = 0x0000 </v>
      </c>
      <c r="G2515" s="15">
        <f t="shared" ca="1" si="652"/>
        <v>58</v>
      </c>
      <c r="H2515" s="15">
        <v>1</v>
      </c>
      <c r="I2515" s="15" t="str">
        <f t="shared" ca="1" si="653"/>
        <v>RadioCard_TETRA_Exp1</v>
      </c>
      <c r="J2515" s="15" t="str">
        <f t="shared" ca="1" si="641"/>
        <v>RadioCard_TETRA_Exp1!A58</v>
      </c>
      <c r="K2515" s="15" t="str">
        <f t="shared" ca="1" si="642"/>
        <v>RadioCard_TETRA_Exp1!B58</v>
      </c>
    </row>
    <row r="2516" spans="1:16" x14ac:dyDescent="0.25">
      <c r="A2516" s="3" t="str">
        <f t="shared" ca="1" si="645"/>
        <v xml:space="preserve">#pins_def_val = 0x0000 </v>
      </c>
      <c r="G2516" s="15">
        <f t="shared" ca="1" si="652"/>
        <v>59</v>
      </c>
      <c r="H2516" s="15">
        <v>1</v>
      </c>
      <c r="I2516" s="15" t="str">
        <f t="shared" ca="1" si="653"/>
        <v>RadioCard_TETRA_Exp1</v>
      </c>
      <c r="J2516" s="15" t="str">
        <f t="shared" ca="1" si="641"/>
        <v>RadioCard_TETRA_Exp1!A59</v>
      </c>
      <c r="K2516" s="15" t="str">
        <f t="shared" ca="1" si="642"/>
        <v>RadioCard_TETRA_Exp1!B59</v>
      </c>
    </row>
    <row r="2517" spans="1:16" x14ac:dyDescent="0.25">
      <c r="A2517" s="3" t="str">
        <f t="shared" ca="1" si="645"/>
        <v/>
      </c>
      <c r="G2517" s="15">
        <f t="shared" ca="1" si="652"/>
        <v>60</v>
      </c>
      <c r="H2517" s="15">
        <v>1</v>
      </c>
      <c r="I2517" s="15" t="str">
        <f t="shared" ca="1" si="653"/>
        <v>RadioCard_TETRA_Exp1</v>
      </c>
      <c r="J2517" s="15" t="str">
        <f t="shared" ca="1" si="641"/>
        <v>RadioCard_TETRA_Exp1!A60</v>
      </c>
      <c r="K2517" s="15" t="str">
        <f t="shared" ca="1" si="642"/>
        <v>RadioCard_TETRA_Exp1!B60</v>
      </c>
    </row>
    <row r="2518" spans="1:16" x14ac:dyDescent="0.25">
      <c r="A2518" s="3" t="str">
        <f t="shared" ca="1" si="645"/>
        <v xml:space="preserve">time = 10 </v>
      </c>
      <c r="G2518" s="15">
        <f t="shared" ca="1" si="652"/>
        <v>61</v>
      </c>
      <c r="H2518" s="15">
        <v>1</v>
      </c>
      <c r="I2518" s="15" t="str">
        <f t="shared" ca="1" si="653"/>
        <v>RadioCard_TETRA_Exp1</v>
      </c>
      <c r="J2518" s="15" t="str">
        <f t="shared" ca="1" si="641"/>
        <v>RadioCard_TETRA_Exp1!A61</v>
      </c>
      <c r="K2518" s="15" t="str">
        <f t="shared" ca="1" si="642"/>
        <v>RadioCard_TETRA_Exp1!B61</v>
      </c>
    </row>
    <row r="2519" spans="1:16" x14ac:dyDescent="0.25">
      <c r="A2519" s="3" t="str">
        <f t="shared" ca="1" si="645"/>
        <v/>
      </c>
      <c r="C2519" s="16"/>
      <c r="G2519" s="15">
        <f t="shared" ca="1" si="652"/>
        <v>62</v>
      </c>
      <c r="H2519" s="15">
        <v>1</v>
      </c>
      <c r="I2519" s="15" t="str">
        <f t="shared" ca="1" si="653"/>
        <v>RadioCard_TETRA_Exp1</v>
      </c>
      <c r="J2519" s="15" t="str">
        <f t="shared" ca="1" si="641"/>
        <v>RadioCard_TETRA_Exp1!A62</v>
      </c>
      <c r="K2519" s="15" t="str">
        <f t="shared" ca="1" si="642"/>
        <v>RadioCard_TETRA_Exp1!B62</v>
      </c>
    </row>
    <row r="2520" spans="1:16" x14ac:dyDescent="0.25">
      <c r="A2520" s="3" t="str">
        <f t="shared" ca="1" si="645"/>
        <v/>
      </c>
      <c r="G2520" s="15">
        <f t="shared" ca="1" si="652"/>
        <v>63</v>
      </c>
      <c r="H2520" s="15">
        <v>1</v>
      </c>
      <c r="I2520" s="15" t="str">
        <f t="shared" ca="1" si="653"/>
        <v>RadioCard_TETRA_Exp1</v>
      </c>
      <c r="J2520" s="15" t="str">
        <f t="shared" ca="1" si="641"/>
        <v>RadioCard_TETRA_Exp1!A63</v>
      </c>
      <c r="K2520" s="15" t="str">
        <f t="shared" ca="1" si="642"/>
        <v>RadioCard_TETRA_Exp1!B63</v>
      </c>
    </row>
    <row r="2521" spans="1:16" x14ac:dyDescent="0.25">
      <c r="A2521" s="3" t="str">
        <f t="shared" ca="1" si="645"/>
        <v/>
      </c>
      <c r="G2521" s="15">
        <f t="shared" ca="1" si="652"/>
        <v>64</v>
      </c>
      <c r="H2521" s="15">
        <v>1</v>
      </c>
      <c r="I2521" s="15" t="str">
        <f t="shared" ca="1" si="653"/>
        <v>RadioCard_TETRA_Exp1</v>
      </c>
      <c r="J2521" s="15" t="str">
        <f t="shared" ca="1" si="641"/>
        <v>RadioCard_TETRA_Exp1!A64</v>
      </c>
      <c r="K2521" s="15" t="str">
        <f t="shared" ca="1" si="642"/>
        <v>RadioCard_TETRA_Exp1!B64</v>
      </c>
    </row>
    <row r="2522" spans="1:16" x14ac:dyDescent="0.25">
      <c r="A2522" s="3" t="str">
        <f t="shared" ca="1" si="645"/>
        <v/>
      </c>
      <c r="G2522" s="15">
        <f t="shared" ca="1" si="652"/>
        <v>65</v>
      </c>
      <c r="H2522" s="15">
        <v>1</v>
      </c>
      <c r="I2522" s="15" t="str">
        <f t="shared" ca="1" si="653"/>
        <v>RadioCard_TETRA_Exp1</v>
      </c>
      <c r="J2522" s="15" t="str">
        <f t="shared" ca="1" si="641"/>
        <v>RadioCard_TETRA_Exp1!A65</v>
      </c>
      <c r="K2522" s="15" t="str">
        <f t="shared" ca="1" si="642"/>
        <v>RadioCard_TETRA_Exp1!B65</v>
      </c>
    </row>
    <row r="2523" spans="1:16" x14ac:dyDescent="0.25">
      <c r="A2523" s="3" t="str">
        <f t="shared" ca="1" si="645"/>
        <v/>
      </c>
      <c r="G2523" s="15">
        <f t="shared" ca="1" si="652"/>
        <v>66</v>
      </c>
      <c r="H2523" s="15">
        <v>1</v>
      </c>
      <c r="I2523" s="15" t="str">
        <f t="shared" ca="1" si="653"/>
        <v>RadioCard_TETRA_Exp1</v>
      </c>
      <c r="J2523" s="15" t="str">
        <f t="shared" ca="1" si="641"/>
        <v>RadioCard_TETRA_Exp1!A66</v>
      </c>
      <c r="K2523" s="15" t="str">
        <f t="shared" ca="1" si="642"/>
        <v>RadioCard_TETRA_Exp1!B66</v>
      </c>
    </row>
    <row r="2524" spans="1:16" x14ac:dyDescent="0.25">
      <c r="A2524" s="3" t="str">
        <f t="shared" ca="1" si="645"/>
        <v/>
      </c>
      <c r="G2524" s="15">
        <f t="shared" ca="1" si="652"/>
        <v>67</v>
      </c>
      <c r="H2524" s="15">
        <v>1</v>
      </c>
      <c r="I2524" s="15" t="str">
        <f t="shared" ca="1" si="653"/>
        <v>RadioCard_TETRA_Exp1</v>
      </c>
      <c r="J2524" s="15" t="str">
        <f t="shared" ca="1" si="641"/>
        <v>RadioCard_TETRA_Exp1!A67</v>
      </c>
      <c r="K2524" s="15" t="str">
        <f t="shared" ca="1" si="642"/>
        <v>RadioCard_TETRA_Exp1!B67</v>
      </c>
    </row>
    <row r="2525" spans="1:16" x14ac:dyDescent="0.25">
      <c r="A2525" s="3" t="str">
        <f t="shared" ca="1" si="645"/>
        <v/>
      </c>
      <c r="G2525" s="15">
        <f t="shared" ca="1" si="652"/>
        <v>68</v>
      </c>
      <c r="H2525" s="15">
        <v>1</v>
      </c>
      <c r="I2525" s="15" t="str">
        <f t="shared" ca="1" si="653"/>
        <v>RadioCard_TETRA_Exp1</v>
      </c>
      <c r="J2525" s="15" t="str">
        <f t="shared" ca="1" si="641"/>
        <v>RadioCard_TETRA_Exp1!A68</v>
      </c>
      <c r="K2525" s="15" t="str">
        <f t="shared" ca="1" si="642"/>
        <v>RadioCard_TETRA_Exp1!B68</v>
      </c>
    </row>
    <row r="2526" spans="1:16" x14ac:dyDescent="0.25">
      <c r="A2526" s="3" t="str">
        <f t="shared" ca="1" si="645"/>
        <v/>
      </c>
      <c r="G2526" s="15">
        <f t="shared" ca="1" si="652"/>
        <v>69</v>
      </c>
      <c r="H2526" s="15">
        <v>1</v>
      </c>
      <c r="I2526" s="15" t="str">
        <f t="shared" ca="1" si="653"/>
        <v>RadioCard_TETRA_Exp1</v>
      </c>
      <c r="J2526" s="15" t="str">
        <f t="shared" ca="1" si="641"/>
        <v>RadioCard_TETRA_Exp1!A69</v>
      </c>
      <c r="K2526" s="15" t="str">
        <f t="shared" ca="1" si="642"/>
        <v>RadioCard_TETRA_Exp1!B69</v>
      </c>
    </row>
    <row r="2527" spans="1:16" x14ac:dyDescent="0.25">
      <c r="A2527" s="3" t="str">
        <f t="shared" ca="1" si="645"/>
        <v/>
      </c>
      <c r="G2527" s="15">
        <f t="shared" ca="1" si="652"/>
        <v>70</v>
      </c>
      <c r="H2527" s="15">
        <v>1</v>
      </c>
      <c r="I2527" s="15" t="str">
        <f t="shared" ca="1" si="653"/>
        <v>RadioCard_TETRA_Exp1</v>
      </c>
      <c r="J2527" s="15" t="str">
        <f t="shared" ca="1" si="641"/>
        <v>RadioCard_TETRA_Exp1!A70</v>
      </c>
      <c r="K2527" s="15" t="str">
        <f t="shared" ca="1" si="642"/>
        <v>RadioCard_TETRA_Exp1!B70</v>
      </c>
    </row>
    <row r="2528" spans="1:16" x14ac:dyDescent="0.25">
      <c r="A2528" s="3" t="str">
        <f t="shared" ca="1" si="645"/>
        <v xml:space="preserve">#RadioCard_TETRA_Exp1:etap 1 =  </v>
      </c>
      <c r="G2528" s="15">
        <f t="shared" ref="G2528" ca="1" si="660">INDIRECT(M2528)</f>
        <v>51</v>
      </c>
      <c r="H2528" s="15">
        <v>1</v>
      </c>
      <c r="I2528" s="15" t="str">
        <f t="shared" ref="I2528" ca="1" si="661">INDIRECT(N2528)</f>
        <v>RadioCard_TETRA_Exp2</v>
      </c>
      <c r="J2528" s="15" t="str">
        <f t="shared" ca="1" si="641"/>
        <v>RadioCard_TETRA_Exp2!A51</v>
      </c>
      <c r="K2528" s="15" t="str">
        <f t="shared" ca="1" si="642"/>
        <v>RadioCard_TETRA_Exp2!B51</v>
      </c>
      <c r="M2528" s="15" t="str">
        <f t="shared" ref="M2528" si="662">ADDRESS(O2528,3,4,1,$R$1)</f>
        <v>konfig!C128</v>
      </c>
      <c r="N2528" s="15" t="str">
        <f t="shared" ref="N2528" si="663">ADDRESS(O2528,1,4,1,$R$1)</f>
        <v>konfig!A128</v>
      </c>
      <c r="O2528" s="15">
        <v>128</v>
      </c>
      <c r="P2528" s="15">
        <v>4</v>
      </c>
    </row>
    <row r="2529" spans="1:11" x14ac:dyDescent="0.25">
      <c r="A2529" s="3" t="str">
        <f t="shared" ca="1" si="645"/>
        <v xml:space="preserve">device = MCP23017 </v>
      </c>
      <c r="G2529" s="15">
        <f t="shared" ca="1" si="650"/>
        <v>52</v>
      </c>
      <c r="H2529" s="15">
        <v>1</v>
      </c>
      <c r="I2529" s="15" t="str">
        <f t="shared" ca="1" si="651"/>
        <v>RadioCard_TETRA_Exp2</v>
      </c>
      <c r="J2529" s="15" t="str">
        <f t="shared" ca="1" si="641"/>
        <v>RadioCard_TETRA_Exp2!A52</v>
      </c>
      <c r="K2529" s="15" t="str">
        <f t="shared" ca="1" si="642"/>
        <v>RadioCard_TETRA_Exp2!B52</v>
      </c>
    </row>
    <row r="2530" spans="1:11" x14ac:dyDescent="0.25">
      <c r="A2530" s="3" t="str">
        <f t="shared" ca="1" si="645"/>
        <v xml:space="preserve">i2c_addr = 0x27 </v>
      </c>
      <c r="G2530" s="15">
        <f t="shared" ca="1" si="650"/>
        <v>53</v>
      </c>
      <c r="H2530" s="15">
        <v>1</v>
      </c>
      <c r="I2530" s="15" t="str">
        <f t="shared" ca="1" si="651"/>
        <v>RadioCard_TETRA_Exp2</v>
      </c>
      <c r="J2530" s="15" t="str">
        <f t="shared" ca="1" si="641"/>
        <v>RadioCard_TETRA_Exp2!A53</v>
      </c>
      <c r="K2530" s="15" t="str">
        <f t="shared" ca="1" si="642"/>
        <v>RadioCard_TETRA_Exp2!B53</v>
      </c>
    </row>
    <row r="2531" spans="1:11" x14ac:dyDescent="0.25">
      <c r="A2531" s="3" t="str">
        <f t="shared" ca="1" si="645"/>
        <v xml:space="preserve">i2c_num = /dev/i2c-1 </v>
      </c>
      <c r="C2531" s="16"/>
      <c r="G2531" s="15">
        <f t="shared" ca="1" si="650"/>
        <v>54</v>
      </c>
      <c r="H2531" s="15">
        <v>1</v>
      </c>
      <c r="I2531" s="15" t="str">
        <f t="shared" ca="1" si="651"/>
        <v>RadioCard_TETRA_Exp2</v>
      </c>
      <c r="J2531" s="15" t="str">
        <f t="shared" ca="1" si="641"/>
        <v>RadioCard_TETRA_Exp2!A54</v>
      </c>
      <c r="K2531" s="15" t="str">
        <f t="shared" ca="1" si="642"/>
        <v>RadioCard_TETRA_Exp2!B54</v>
      </c>
    </row>
    <row r="2532" spans="1:11" x14ac:dyDescent="0.25">
      <c r="A2532" s="3" t="str">
        <f t="shared" ca="1" si="645"/>
        <v xml:space="preserve">pins_mode = 0xCE8C </v>
      </c>
      <c r="G2532" s="15">
        <f t="shared" ca="1" si="650"/>
        <v>55</v>
      </c>
      <c r="H2532" s="15">
        <v>1</v>
      </c>
      <c r="I2532" s="15" t="str">
        <f t="shared" ca="1" si="651"/>
        <v>RadioCard_TETRA_Exp2</v>
      </c>
      <c r="J2532" s="15" t="str">
        <f t="shared" ref="J2532:J2595" ca="1" si="664">ADDRESS(G2532,H2532,4,1,I2532)</f>
        <v>RadioCard_TETRA_Exp2!A55</v>
      </c>
      <c r="K2532" s="15" t="str">
        <f t="shared" ref="K2532:K2595" ca="1" si="665">ADDRESS(G2532,H2532+1,4,1,I2532)</f>
        <v>RadioCard_TETRA_Exp2!B55</v>
      </c>
    </row>
    <row r="2533" spans="1:11" x14ac:dyDescent="0.25">
      <c r="A2533" s="3" t="str">
        <f t="shared" ca="1" si="645"/>
        <v xml:space="preserve">pins_state = 0x0100 </v>
      </c>
      <c r="G2533" s="15">
        <f t="shared" ca="1" si="652"/>
        <v>56</v>
      </c>
      <c r="H2533" s="15">
        <v>1</v>
      </c>
      <c r="I2533" s="15" t="str">
        <f t="shared" ca="1" si="653"/>
        <v>RadioCard_TETRA_Exp2</v>
      </c>
      <c r="J2533" s="15" t="str">
        <f t="shared" ca="1" si="664"/>
        <v>RadioCard_TETRA_Exp2!A56</v>
      </c>
      <c r="K2533" s="15" t="str">
        <f t="shared" ca="1" si="665"/>
        <v>RadioCard_TETRA_Exp2!B56</v>
      </c>
    </row>
    <row r="2534" spans="1:11" x14ac:dyDescent="0.25">
      <c r="A2534" s="3" t="str">
        <f t="shared" ca="1" si="645"/>
        <v xml:space="preserve">pins_pull_up = 0x4808 </v>
      </c>
      <c r="G2534" s="15">
        <f t="shared" ca="1" si="652"/>
        <v>57</v>
      </c>
      <c r="H2534" s="15">
        <v>1</v>
      </c>
      <c r="I2534" s="15" t="str">
        <f t="shared" ca="1" si="653"/>
        <v>RadioCard_TETRA_Exp2</v>
      </c>
      <c r="J2534" s="15" t="str">
        <f t="shared" ca="1" si="664"/>
        <v>RadioCard_TETRA_Exp2!A57</v>
      </c>
      <c r="K2534" s="15" t="str">
        <f t="shared" ca="1" si="665"/>
        <v>RadioCard_TETRA_Exp2!B57</v>
      </c>
    </row>
    <row r="2535" spans="1:11" x14ac:dyDescent="0.25">
      <c r="A2535" s="3" t="str">
        <f t="shared" ca="1" si="645"/>
        <v xml:space="preserve">#pins_int = 0x0000 </v>
      </c>
      <c r="G2535" s="15">
        <f t="shared" ca="1" si="652"/>
        <v>58</v>
      </c>
      <c r="H2535" s="15">
        <v>1</v>
      </c>
      <c r="I2535" s="15" t="str">
        <f t="shared" ca="1" si="653"/>
        <v>RadioCard_TETRA_Exp2</v>
      </c>
      <c r="J2535" s="15" t="str">
        <f t="shared" ca="1" si="664"/>
        <v>RadioCard_TETRA_Exp2!A58</v>
      </c>
      <c r="K2535" s="15" t="str">
        <f t="shared" ca="1" si="665"/>
        <v>RadioCard_TETRA_Exp2!B58</v>
      </c>
    </row>
    <row r="2536" spans="1:11" x14ac:dyDescent="0.25">
      <c r="A2536" s="3" t="str">
        <f t="shared" ca="1" si="645"/>
        <v xml:space="preserve">#pins_def_val = 0x0000 </v>
      </c>
      <c r="G2536" s="15">
        <f t="shared" ca="1" si="652"/>
        <v>59</v>
      </c>
      <c r="H2536" s="15">
        <v>1</v>
      </c>
      <c r="I2536" s="15" t="str">
        <f t="shared" ca="1" si="653"/>
        <v>RadioCard_TETRA_Exp2</v>
      </c>
      <c r="J2536" s="15" t="str">
        <f t="shared" ca="1" si="664"/>
        <v>RadioCard_TETRA_Exp2!A59</v>
      </c>
      <c r="K2536" s="15" t="str">
        <f t="shared" ca="1" si="665"/>
        <v>RadioCard_TETRA_Exp2!B59</v>
      </c>
    </row>
    <row r="2537" spans="1:11" x14ac:dyDescent="0.25">
      <c r="A2537" s="3" t="str">
        <f t="shared" ca="1" si="645"/>
        <v/>
      </c>
      <c r="G2537" s="15">
        <f t="shared" ca="1" si="652"/>
        <v>60</v>
      </c>
      <c r="H2537" s="15">
        <v>1</v>
      </c>
      <c r="I2537" s="15" t="str">
        <f t="shared" ca="1" si="653"/>
        <v>RadioCard_TETRA_Exp2</v>
      </c>
      <c r="J2537" s="15" t="str">
        <f t="shared" ca="1" si="664"/>
        <v>RadioCard_TETRA_Exp2!A60</v>
      </c>
      <c r="K2537" s="15" t="str">
        <f t="shared" ca="1" si="665"/>
        <v>RadioCard_TETRA_Exp2!B60</v>
      </c>
    </row>
    <row r="2538" spans="1:11" x14ac:dyDescent="0.25">
      <c r="A2538" s="3" t="str">
        <f t="shared" ca="1" si="645"/>
        <v xml:space="preserve">time = 10 </v>
      </c>
      <c r="G2538" s="15">
        <f t="shared" ca="1" si="652"/>
        <v>61</v>
      </c>
      <c r="H2538" s="15">
        <v>1</v>
      </c>
      <c r="I2538" s="15" t="str">
        <f t="shared" ca="1" si="653"/>
        <v>RadioCard_TETRA_Exp2</v>
      </c>
      <c r="J2538" s="15" t="str">
        <f t="shared" ca="1" si="664"/>
        <v>RadioCard_TETRA_Exp2!A61</v>
      </c>
      <c r="K2538" s="15" t="str">
        <f t="shared" ca="1" si="665"/>
        <v>RadioCard_TETRA_Exp2!B61</v>
      </c>
    </row>
    <row r="2539" spans="1:11" x14ac:dyDescent="0.25">
      <c r="A2539" s="3" t="str">
        <f t="shared" ca="1" si="645"/>
        <v/>
      </c>
      <c r="C2539" s="16"/>
      <c r="G2539" s="15">
        <f t="shared" ca="1" si="652"/>
        <v>62</v>
      </c>
      <c r="H2539" s="15">
        <v>1</v>
      </c>
      <c r="I2539" s="15" t="str">
        <f t="shared" ca="1" si="653"/>
        <v>RadioCard_TETRA_Exp2</v>
      </c>
      <c r="J2539" s="15" t="str">
        <f t="shared" ca="1" si="664"/>
        <v>RadioCard_TETRA_Exp2!A62</v>
      </c>
      <c r="K2539" s="15" t="str">
        <f t="shared" ca="1" si="665"/>
        <v>RadioCard_TETRA_Exp2!B62</v>
      </c>
    </row>
    <row r="2540" spans="1:11" x14ac:dyDescent="0.25">
      <c r="A2540" s="3" t="str">
        <f t="shared" ref="A2540:A2603" ca="1" si="666">IFERROR(IF(INDIRECT(J2540)&lt;&gt;"",CONCATENATE(INDIRECT(J2540)," = ",INDIRECT(K2540)," "),""),"")</f>
        <v/>
      </c>
      <c r="G2540" s="15">
        <f t="shared" ca="1" si="652"/>
        <v>63</v>
      </c>
      <c r="H2540" s="15">
        <v>1</v>
      </c>
      <c r="I2540" s="15" t="str">
        <f t="shared" ca="1" si="653"/>
        <v>RadioCard_TETRA_Exp2</v>
      </c>
      <c r="J2540" s="15" t="str">
        <f t="shared" ca="1" si="664"/>
        <v>RadioCard_TETRA_Exp2!A63</v>
      </c>
      <c r="K2540" s="15" t="str">
        <f t="shared" ca="1" si="665"/>
        <v>RadioCard_TETRA_Exp2!B63</v>
      </c>
    </row>
    <row r="2541" spans="1:11" x14ac:dyDescent="0.25">
      <c r="A2541" s="3" t="str">
        <f t="shared" ca="1" si="666"/>
        <v/>
      </c>
      <c r="G2541" s="15">
        <f t="shared" ca="1" si="652"/>
        <v>64</v>
      </c>
      <c r="H2541" s="15">
        <v>1</v>
      </c>
      <c r="I2541" s="15" t="str">
        <f t="shared" ca="1" si="653"/>
        <v>RadioCard_TETRA_Exp2</v>
      </c>
      <c r="J2541" s="15" t="str">
        <f t="shared" ca="1" si="664"/>
        <v>RadioCard_TETRA_Exp2!A64</v>
      </c>
      <c r="K2541" s="15" t="str">
        <f t="shared" ca="1" si="665"/>
        <v>RadioCard_TETRA_Exp2!B64</v>
      </c>
    </row>
    <row r="2542" spans="1:11" x14ac:dyDescent="0.25">
      <c r="A2542" s="3" t="str">
        <f t="shared" ca="1" si="666"/>
        <v/>
      </c>
      <c r="G2542" s="15">
        <f t="shared" ca="1" si="652"/>
        <v>65</v>
      </c>
      <c r="H2542" s="15">
        <v>1</v>
      </c>
      <c r="I2542" s="15" t="str">
        <f t="shared" ca="1" si="653"/>
        <v>RadioCard_TETRA_Exp2</v>
      </c>
      <c r="J2542" s="15" t="str">
        <f t="shared" ca="1" si="664"/>
        <v>RadioCard_TETRA_Exp2!A65</v>
      </c>
      <c r="K2542" s="15" t="str">
        <f t="shared" ca="1" si="665"/>
        <v>RadioCard_TETRA_Exp2!B65</v>
      </c>
    </row>
    <row r="2543" spans="1:11" x14ac:dyDescent="0.25">
      <c r="A2543" s="3" t="str">
        <f t="shared" ca="1" si="666"/>
        <v/>
      </c>
      <c r="G2543" s="15">
        <f t="shared" ca="1" si="652"/>
        <v>66</v>
      </c>
      <c r="H2543" s="15">
        <v>1</v>
      </c>
      <c r="I2543" s="15" t="str">
        <f t="shared" ca="1" si="653"/>
        <v>RadioCard_TETRA_Exp2</v>
      </c>
      <c r="J2543" s="15" t="str">
        <f t="shared" ca="1" si="664"/>
        <v>RadioCard_TETRA_Exp2!A66</v>
      </c>
      <c r="K2543" s="15" t="str">
        <f t="shared" ca="1" si="665"/>
        <v>RadioCard_TETRA_Exp2!B66</v>
      </c>
    </row>
    <row r="2544" spans="1:11" x14ac:dyDescent="0.25">
      <c r="A2544" s="3" t="str">
        <f t="shared" ca="1" si="666"/>
        <v/>
      </c>
      <c r="G2544" s="15">
        <f t="shared" ca="1" si="652"/>
        <v>67</v>
      </c>
      <c r="H2544" s="15">
        <v>1</v>
      </c>
      <c r="I2544" s="15" t="str">
        <f t="shared" ca="1" si="653"/>
        <v>RadioCard_TETRA_Exp2</v>
      </c>
      <c r="J2544" s="15" t="str">
        <f t="shared" ca="1" si="664"/>
        <v>RadioCard_TETRA_Exp2!A67</v>
      </c>
      <c r="K2544" s="15" t="str">
        <f t="shared" ca="1" si="665"/>
        <v>RadioCard_TETRA_Exp2!B67</v>
      </c>
    </row>
    <row r="2545" spans="1:16" x14ac:dyDescent="0.25">
      <c r="A2545" s="3" t="str">
        <f t="shared" ca="1" si="666"/>
        <v/>
      </c>
      <c r="G2545" s="15">
        <f t="shared" ca="1" si="652"/>
        <v>68</v>
      </c>
      <c r="H2545" s="15">
        <v>1</v>
      </c>
      <c r="I2545" s="15" t="str">
        <f t="shared" ca="1" si="653"/>
        <v>RadioCard_TETRA_Exp2</v>
      </c>
      <c r="J2545" s="15" t="str">
        <f t="shared" ca="1" si="664"/>
        <v>RadioCard_TETRA_Exp2!A68</v>
      </c>
      <c r="K2545" s="15" t="str">
        <f t="shared" ca="1" si="665"/>
        <v>RadioCard_TETRA_Exp2!B68</v>
      </c>
    </row>
    <row r="2546" spans="1:16" x14ac:dyDescent="0.25">
      <c r="A2546" s="3" t="str">
        <f t="shared" ca="1" si="666"/>
        <v/>
      </c>
      <c r="G2546" s="15">
        <f t="shared" ca="1" si="652"/>
        <v>69</v>
      </c>
      <c r="H2546" s="15">
        <v>1</v>
      </c>
      <c r="I2546" s="15" t="str">
        <f t="shared" ca="1" si="653"/>
        <v>RadioCard_TETRA_Exp2</v>
      </c>
      <c r="J2546" s="15" t="str">
        <f t="shared" ca="1" si="664"/>
        <v>RadioCard_TETRA_Exp2!A69</v>
      </c>
      <c r="K2546" s="15" t="str">
        <f t="shared" ca="1" si="665"/>
        <v>RadioCard_TETRA_Exp2!B69</v>
      </c>
    </row>
    <row r="2547" spans="1:16" x14ac:dyDescent="0.25">
      <c r="A2547" s="3" t="str">
        <f t="shared" ca="1" si="666"/>
        <v/>
      </c>
      <c r="G2547" s="15">
        <f t="shared" ca="1" si="652"/>
        <v>70</v>
      </c>
      <c r="H2547" s="15">
        <v>1</v>
      </c>
      <c r="I2547" s="15" t="str">
        <f t="shared" ca="1" si="653"/>
        <v>RadioCard_TETRA_Exp2</v>
      </c>
      <c r="J2547" s="15" t="str">
        <f t="shared" ca="1" si="664"/>
        <v>RadioCard_TETRA_Exp2!A70</v>
      </c>
      <c r="K2547" s="15" t="str">
        <f t="shared" ca="1" si="665"/>
        <v>RadioCard_TETRA_Exp2!B70</v>
      </c>
    </row>
    <row r="2548" spans="1:16" x14ac:dyDescent="0.25">
      <c r="A2548" s="3" t="str">
        <f t="shared" ca="1" si="666"/>
        <v xml:space="preserve">#RadioCard_TETRA_Exp1:etap 1 =  </v>
      </c>
      <c r="G2548" s="15">
        <f t="shared" ref="G2548" ca="1" si="667">INDIRECT(M2548)</f>
        <v>51</v>
      </c>
      <c r="H2548" s="15">
        <v>1</v>
      </c>
      <c r="I2548" s="15" t="str">
        <f t="shared" ref="I2548" ca="1" si="668">INDIRECT(N2548)</f>
        <v>RadioCard_TETRA_Exp1</v>
      </c>
      <c r="J2548" s="15" t="str">
        <f t="shared" ca="1" si="664"/>
        <v>RadioCard_TETRA_Exp1!A51</v>
      </c>
      <c r="K2548" s="15" t="str">
        <f t="shared" ca="1" si="665"/>
        <v>RadioCard_TETRA_Exp1!B51</v>
      </c>
      <c r="M2548" s="15" t="str">
        <f t="shared" ref="M2548" si="669">ADDRESS(O2548,3,4,1,$R$1)</f>
        <v>konfig!C129</v>
      </c>
      <c r="N2548" s="15" t="str">
        <f t="shared" ref="N2548" si="670">ADDRESS(O2548,1,4,1,$R$1)</f>
        <v>konfig!A129</v>
      </c>
      <c r="O2548" s="15">
        <v>129</v>
      </c>
      <c r="P2548" s="15">
        <v>4</v>
      </c>
    </row>
    <row r="2549" spans="1:16" x14ac:dyDescent="0.25">
      <c r="A2549" s="3" t="str">
        <f t="shared" ca="1" si="666"/>
        <v xml:space="preserve">device = MCP23017 </v>
      </c>
      <c r="G2549" s="15">
        <f t="shared" ca="1" si="658"/>
        <v>52</v>
      </c>
      <c r="H2549" s="15">
        <v>1</v>
      </c>
      <c r="I2549" s="15" t="str">
        <f t="shared" ca="1" si="659"/>
        <v>RadioCard_TETRA_Exp1</v>
      </c>
      <c r="J2549" s="15" t="str">
        <f t="shared" ca="1" si="664"/>
        <v>RadioCard_TETRA_Exp1!A52</v>
      </c>
      <c r="K2549" s="15" t="str">
        <f t="shared" ca="1" si="665"/>
        <v>RadioCard_TETRA_Exp1!B52</v>
      </c>
    </row>
    <row r="2550" spans="1:16" x14ac:dyDescent="0.25">
      <c r="A2550" s="3" t="str">
        <f t="shared" ca="1" si="666"/>
        <v xml:space="preserve">i2c_addr = 0x26 </v>
      </c>
      <c r="G2550" s="15">
        <f t="shared" ca="1" si="652"/>
        <v>53</v>
      </c>
      <c r="H2550" s="15">
        <v>1</v>
      </c>
      <c r="I2550" s="15" t="str">
        <f t="shared" ca="1" si="653"/>
        <v>RadioCard_TETRA_Exp1</v>
      </c>
      <c r="J2550" s="15" t="str">
        <f t="shared" ca="1" si="664"/>
        <v>RadioCard_TETRA_Exp1!A53</v>
      </c>
      <c r="K2550" s="15" t="str">
        <f t="shared" ca="1" si="665"/>
        <v>RadioCard_TETRA_Exp1!B53</v>
      </c>
    </row>
    <row r="2551" spans="1:16" x14ac:dyDescent="0.25">
      <c r="A2551" s="3" t="str">
        <f t="shared" ca="1" si="666"/>
        <v xml:space="preserve">i2c_num = /dev/i2c-1 </v>
      </c>
      <c r="C2551" s="16"/>
      <c r="G2551" s="15">
        <f t="shared" ca="1" si="652"/>
        <v>54</v>
      </c>
      <c r="H2551" s="15">
        <v>1</v>
      </c>
      <c r="I2551" s="15" t="str">
        <f t="shared" ca="1" si="653"/>
        <v>RadioCard_TETRA_Exp1</v>
      </c>
      <c r="J2551" s="15" t="str">
        <f t="shared" ca="1" si="664"/>
        <v>RadioCard_TETRA_Exp1!A54</v>
      </c>
      <c r="K2551" s="15" t="str">
        <f t="shared" ca="1" si="665"/>
        <v>RadioCard_TETRA_Exp1!B54</v>
      </c>
    </row>
    <row r="2552" spans="1:16" x14ac:dyDescent="0.25">
      <c r="A2552" s="3" t="str">
        <f t="shared" ca="1" si="666"/>
        <v xml:space="preserve">pins_mode = 0x00FF </v>
      </c>
      <c r="G2552" s="15">
        <f t="shared" ca="1" si="652"/>
        <v>55</v>
      </c>
      <c r="H2552" s="15">
        <v>1</v>
      </c>
      <c r="I2552" s="15" t="str">
        <f t="shared" ca="1" si="653"/>
        <v>RadioCard_TETRA_Exp1</v>
      </c>
      <c r="J2552" s="15" t="str">
        <f t="shared" ca="1" si="664"/>
        <v>RadioCard_TETRA_Exp1!A55</v>
      </c>
      <c r="K2552" s="15" t="str">
        <f t="shared" ca="1" si="665"/>
        <v>RadioCard_TETRA_Exp1!B55</v>
      </c>
    </row>
    <row r="2553" spans="1:16" x14ac:dyDescent="0.25">
      <c r="A2553" s="3" t="str">
        <f t="shared" ca="1" si="666"/>
        <v xml:space="preserve">pins_state = 0x0300 </v>
      </c>
      <c r="G2553" s="15">
        <f t="shared" ca="1" si="652"/>
        <v>56</v>
      </c>
      <c r="H2553" s="15">
        <v>1</v>
      </c>
      <c r="I2553" s="15" t="str">
        <f t="shared" ca="1" si="653"/>
        <v>RadioCard_TETRA_Exp1</v>
      </c>
      <c r="J2553" s="15" t="str">
        <f t="shared" ca="1" si="664"/>
        <v>RadioCard_TETRA_Exp1!A56</v>
      </c>
      <c r="K2553" s="15" t="str">
        <f t="shared" ca="1" si="665"/>
        <v>RadioCard_TETRA_Exp1!B56</v>
      </c>
    </row>
    <row r="2554" spans="1:16" x14ac:dyDescent="0.25">
      <c r="A2554" s="3" t="str">
        <f t="shared" ca="1" si="666"/>
        <v xml:space="preserve">pins_pull_up = 0x0000 </v>
      </c>
      <c r="G2554" s="15">
        <f t="shared" ca="1" si="652"/>
        <v>57</v>
      </c>
      <c r="H2554" s="15">
        <v>1</v>
      </c>
      <c r="I2554" s="15" t="str">
        <f t="shared" ca="1" si="653"/>
        <v>RadioCard_TETRA_Exp1</v>
      </c>
      <c r="J2554" s="15" t="str">
        <f t="shared" ca="1" si="664"/>
        <v>RadioCard_TETRA_Exp1!A57</v>
      </c>
      <c r="K2554" s="15" t="str">
        <f t="shared" ca="1" si="665"/>
        <v>RadioCard_TETRA_Exp1!B57</v>
      </c>
    </row>
    <row r="2555" spans="1:16" x14ac:dyDescent="0.25">
      <c r="A2555" s="3" t="str">
        <f t="shared" ca="1" si="666"/>
        <v xml:space="preserve">#pins_int = 0x0000 </v>
      </c>
      <c r="G2555" s="15">
        <f t="shared" ca="1" si="652"/>
        <v>58</v>
      </c>
      <c r="H2555" s="15">
        <v>1</v>
      </c>
      <c r="I2555" s="15" t="str">
        <f t="shared" ca="1" si="653"/>
        <v>RadioCard_TETRA_Exp1</v>
      </c>
      <c r="J2555" s="15" t="str">
        <f t="shared" ca="1" si="664"/>
        <v>RadioCard_TETRA_Exp1!A58</v>
      </c>
      <c r="K2555" s="15" t="str">
        <f t="shared" ca="1" si="665"/>
        <v>RadioCard_TETRA_Exp1!B58</v>
      </c>
    </row>
    <row r="2556" spans="1:16" x14ac:dyDescent="0.25">
      <c r="A2556" s="3" t="str">
        <f t="shared" ca="1" si="666"/>
        <v xml:space="preserve">#pins_def_val = 0x0000 </v>
      </c>
      <c r="G2556" s="15">
        <f t="shared" ca="1" si="652"/>
        <v>59</v>
      </c>
      <c r="H2556" s="15">
        <v>1</v>
      </c>
      <c r="I2556" s="15" t="str">
        <f t="shared" ca="1" si="653"/>
        <v>RadioCard_TETRA_Exp1</v>
      </c>
      <c r="J2556" s="15" t="str">
        <f t="shared" ca="1" si="664"/>
        <v>RadioCard_TETRA_Exp1!A59</v>
      </c>
      <c r="K2556" s="15" t="str">
        <f t="shared" ca="1" si="665"/>
        <v>RadioCard_TETRA_Exp1!B59</v>
      </c>
    </row>
    <row r="2557" spans="1:16" x14ac:dyDescent="0.25">
      <c r="A2557" s="3" t="str">
        <f t="shared" ca="1" si="666"/>
        <v/>
      </c>
      <c r="G2557" s="15">
        <f t="shared" ca="1" si="652"/>
        <v>60</v>
      </c>
      <c r="H2557" s="15">
        <v>1</v>
      </c>
      <c r="I2557" s="15" t="str">
        <f t="shared" ca="1" si="653"/>
        <v>RadioCard_TETRA_Exp1</v>
      </c>
      <c r="J2557" s="15" t="str">
        <f t="shared" ca="1" si="664"/>
        <v>RadioCard_TETRA_Exp1!A60</v>
      </c>
      <c r="K2557" s="15" t="str">
        <f t="shared" ca="1" si="665"/>
        <v>RadioCard_TETRA_Exp1!B60</v>
      </c>
    </row>
    <row r="2558" spans="1:16" x14ac:dyDescent="0.25">
      <c r="A2558" s="3" t="str">
        <f t="shared" ca="1" si="666"/>
        <v xml:space="preserve">time = 10 </v>
      </c>
      <c r="G2558" s="15">
        <f t="shared" ca="1" si="652"/>
        <v>61</v>
      </c>
      <c r="H2558" s="15">
        <v>1</v>
      </c>
      <c r="I2558" s="15" t="str">
        <f t="shared" ca="1" si="653"/>
        <v>RadioCard_TETRA_Exp1</v>
      </c>
      <c r="J2558" s="15" t="str">
        <f t="shared" ca="1" si="664"/>
        <v>RadioCard_TETRA_Exp1!A61</v>
      </c>
      <c r="K2558" s="15" t="str">
        <f t="shared" ca="1" si="665"/>
        <v>RadioCard_TETRA_Exp1!B61</v>
      </c>
    </row>
    <row r="2559" spans="1:16" x14ac:dyDescent="0.25">
      <c r="A2559" s="3" t="str">
        <f t="shared" ca="1" si="666"/>
        <v/>
      </c>
      <c r="C2559" s="16"/>
      <c r="G2559" s="15">
        <f t="shared" ca="1" si="652"/>
        <v>62</v>
      </c>
      <c r="H2559" s="15">
        <v>1</v>
      </c>
      <c r="I2559" s="15" t="str">
        <f t="shared" ca="1" si="653"/>
        <v>RadioCard_TETRA_Exp1</v>
      </c>
      <c r="J2559" s="15" t="str">
        <f t="shared" ca="1" si="664"/>
        <v>RadioCard_TETRA_Exp1!A62</v>
      </c>
      <c r="K2559" s="15" t="str">
        <f t="shared" ca="1" si="665"/>
        <v>RadioCard_TETRA_Exp1!B62</v>
      </c>
    </row>
    <row r="2560" spans="1:16" x14ac:dyDescent="0.25">
      <c r="A2560" s="3" t="str">
        <f t="shared" ca="1" si="666"/>
        <v/>
      </c>
      <c r="G2560" s="15">
        <f t="shared" ca="1" si="652"/>
        <v>63</v>
      </c>
      <c r="H2560" s="15">
        <v>1</v>
      </c>
      <c r="I2560" s="15" t="str">
        <f t="shared" ca="1" si="653"/>
        <v>RadioCard_TETRA_Exp1</v>
      </c>
      <c r="J2560" s="15" t="str">
        <f t="shared" ca="1" si="664"/>
        <v>RadioCard_TETRA_Exp1!A63</v>
      </c>
      <c r="K2560" s="15" t="str">
        <f t="shared" ca="1" si="665"/>
        <v>RadioCard_TETRA_Exp1!B63</v>
      </c>
    </row>
    <row r="2561" spans="1:16" x14ac:dyDescent="0.25">
      <c r="A2561" s="3" t="str">
        <f t="shared" ca="1" si="666"/>
        <v/>
      </c>
      <c r="G2561" s="15">
        <f t="shared" ca="1" si="652"/>
        <v>64</v>
      </c>
      <c r="H2561" s="15">
        <v>1</v>
      </c>
      <c r="I2561" s="15" t="str">
        <f t="shared" ca="1" si="653"/>
        <v>RadioCard_TETRA_Exp1</v>
      </c>
      <c r="J2561" s="15" t="str">
        <f t="shared" ca="1" si="664"/>
        <v>RadioCard_TETRA_Exp1!A64</v>
      </c>
      <c r="K2561" s="15" t="str">
        <f t="shared" ca="1" si="665"/>
        <v>RadioCard_TETRA_Exp1!B64</v>
      </c>
    </row>
    <row r="2562" spans="1:16" x14ac:dyDescent="0.25">
      <c r="A2562" s="3" t="str">
        <f t="shared" ca="1" si="666"/>
        <v/>
      </c>
      <c r="G2562" s="15">
        <f t="shared" ca="1" si="652"/>
        <v>65</v>
      </c>
      <c r="H2562" s="15">
        <v>1</v>
      </c>
      <c r="I2562" s="15" t="str">
        <f t="shared" ca="1" si="653"/>
        <v>RadioCard_TETRA_Exp1</v>
      </c>
      <c r="J2562" s="15" t="str">
        <f t="shared" ca="1" si="664"/>
        <v>RadioCard_TETRA_Exp1!A65</v>
      </c>
      <c r="K2562" s="15" t="str">
        <f t="shared" ca="1" si="665"/>
        <v>RadioCard_TETRA_Exp1!B65</v>
      </c>
    </row>
    <row r="2563" spans="1:16" x14ac:dyDescent="0.25">
      <c r="A2563" s="3" t="str">
        <f t="shared" ca="1" si="666"/>
        <v/>
      </c>
      <c r="G2563" s="15">
        <f t="shared" ca="1" si="652"/>
        <v>66</v>
      </c>
      <c r="H2563" s="15">
        <v>1</v>
      </c>
      <c r="I2563" s="15" t="str">
        <f t="shared" ca="1" si="653"/>
        <v>RadioCard_TETRA_Exp1</v>
      </c>
      <c r="J2563" s="15" t="str">
        <f t="shared" ca="1" si="664"/>
        <v>RadioCard_TETRA_Exp1!A66</v>
      </c>
      <c r="K2563" s="15" t="str">
        <f t="shared" ca="1" si="665"/>
        <v>RadioCard_TETRA_Exp1!B66</v>
      </c>
    </row>
    <row r="2564" spans="1:16" x14ac:dyDescent="0.25">
      <c r="A2564" s="3" t="str">
        <f t="shared" ca="1" si="666"/>
        <v/>
      </c>
      <c r="G2564" s="15">
        <f t="shared" ca="1" si="652"/>
        <v>67</v>
      </c>
      <c r="H2564" s="15">
        <v>1</v>
      </c>
      <c r="I2564" s="15" t="str">
        <f t="shared" ca="1" si="653"/>
        <v>RadioCard_TETRA_Exp1</v>
      </c>
      <c r="J2564" s="15" t="str">
        <f t="shared" ca="1" si="664"/>
        <v>RadioCard_TETRA_Exp1!A67</v>
      </c>
      <c r="K2564" s="15" t="str">
        <f t="shared" ca="1" si="665"/>
        <v>RadioCard_TETRA_Exp1!B67</v>
      </c>
    </row>
    <row r="2565" spans="1:16" x14ac:dyDescent="0.25">
      <c r="A2565" s="3" t="str">
        <f t="shared" ca="1" si="666"/>
        <v/>
      </c>
      <c r="G2565" s="15">
        <f t="shared" ca="1" si="652"/>
        <v>68</v>
      </c>
      <c r="H2565" s="15">
        <v>1</v>
      </c>
      <c r="I2565" s="15" t="str">
        <f t="shared" ca="1" si="653"/>
        <v>RadioCard_TETRA_Exp1</v>
      </c>
      <c r="J2565" s="15" t="str">
        <f t="shared" ca="1" si="664"/>
        <v>RadioCard_TETRA_Exp1!A68</v>
      </c>
      <c r="K2565" s="15" t="str">
        <f t="shared" ca="1" si="665"/>
        <v>RadioCard_TETRA_Exp1!B68</v>
      </c>
    </row>
    <row r="2566" spans="1:16" x14ac:dyDescent="0.25">
      <c r="A2566" s="3" t="str">
        <f t="shared" ca="1" si="666"/>
        <v/>
      </c>
      <c r="G2566" s="15">
        <f t="shared" ca="1" si="652"/>
        <v>69</v>
      </c>
      <c r="H2566" s="15">
        <v>1</v>
      </c>
      <c r="I2566" s="15" t="str">
        <f t="shared" ca="1" si="653"/>
        <v>RadioCard_TETRA_Exp1</v>
      </c>
      <c r="J2566" s="15" t="str">
        <f t="shared" ca="1" si="664"/>
        <v>RadioCard_TETRA_Exp1!A69</v>
      </c>
      <c r="K2566" s="15" t="str">
        <f t="shared" ca="1" si="665"/>
        <v>RadioCard_TETRA_Exp1!B69</v>
      </c>
    </row>
    <row r="2567" spans="1:16" x14ac:dyDescent="0.25">
      <c r="A2567" s="3" t="str">
        <f t="shared" ca="1" si="666"/>
        <v/>
      </c>
      <c r="G2567" s="15">
        <f t="shared" ca="1" si="652"/>
        <v>70</v>
      </c>
      <c r="H2567" s="15">
        <v>1</v>
      </c>
      <c r="I2567" s="15" t="str">
        <f t="shared" ca="1" si="653"/>
        <v>RadioCard_TETRA_Exp1</v>
      </c>
      <c r="J2567" s="15" t="str">
        <f t="shared" ca="1" si="664"/>
        <v>RadioCard_TETRA_Exp1!A70</v>
      </c>
      <c r="K2567" s="15" t="str">
        <f t="shared" ca="1" si="665"/>
        <v>RadioCard_TETRA_Exp1!B70</v>
      </c>
    </row>
    <row r="2568" spans="1:16" x14ac:dyDescent="0.25">
      <c r="A2568" s="3" t="str">
        <f t="shared" ca="1" si="666"/>
        <v xml:space="preserve">#RadioCard_TETRA_Exp1:etap 2 =  </v>
      </c>
      <c r="G2568" s="15">
        <f t="shared" ref="G2568" ca="1" si="671">INDIRECT(M2568)</f>
        <v>71</v>
      </c>
      <c r="H2568" s="15">
        <v>1</v>
      </c>
      <c r="I2568" s="15" t="str">
        <f t="shared" ref="I2568" ca="1" si="672">INDIRECT(N2568)</f>
        <v>RadioCard_TETRA_Exp2</v>
      </c>
      <c r="J2568" s="15" t="str">
        <f t="shared" ca="1" si="664"/>
        <v>RadioCard_TETRA_Exp2!A71</v>
      </c>
      <c r="K2568" s="15" t="str">
        <f t="shared" ca="1" si="665"/>
        <v>RadioCard_TETRA_Exp2!B71</v>
      </c>
      <c r="M2568" s="15" t="str">
        <f t="shared" ref="M2568" si="673">ADDRESS(O2568,3,4,1,$R$1)</f>
        <v>konfig!C130</v>
      </c>
      <c r="N2568" s="15" t="str">
        <f t="shared" ref="N2568" si="674">ADDRESS(O2568,1,4,1,$R$1)</f>
        <v>konfig!A130</v>
      </c>
      <c r="O2568" s="15">
        <v>130</v>
      </c>
      <c r="P2568" s="15">
        <v>4</v>
      </c>
    </row>
    <row r="2569" spans="1:16" x14ac:dyDescent="0.25">
      <c r="A2569" s="3" t="str">
        <f t="shared" ca="1" si="666"/>
        <v xml:space="preserve">device = MCP23017 </v>
      </c>
      <c r="G2569" s="15">
        <f t="shared" ref="G2569:G2632" ca="1" si="675">G2568+1</f>
        <v>72</v>
      </c>
      <c r="H2569" s="15">
        <v>1</v>
      </c>
      <c r="I2569" s="15" t="str">
        <f t="shared" ref="I2569:I2632" ca="1" si="676">I2568</f>
        <v>RadioCard_TETRA_Exp2</v>
      </c>
      <c r="J2569" s="15" t="str">
        <f t="shared" ca="1" si="664"/>
        <v>RadioCard_TETRA_Exp2!A72</v>
      </c>
      <c r="K2569" s="15" t="str">
        <f t="shared" ca="1" si="665"/>
        <v>RadioCard_TETRA_Exp2!B72</v>
      </c>
    </row>
    <row r="2570" spans="1:16" x14ac:dyDescent="0.25">
      <c r="A2570" s="3" t="str">
        <f t="shared" ca="1" si="666"/>
        <v xml:space="preserve">i2c_addr = 0x27 </v>
      </c>
      <c r="G2570" s="15">
        <f t="shared" ca="1" si="675"/>
        <v>73</v>
      </c>
      <c r="H2570" s="15">
        <v>1</v>
      </c>
      <c r="I2570" s="15" t="str">
        <f t="shared" ca="1" si="676"/>
        <v>RadioCard_TETRA_Exp2</v>
      </c>
      <c r="J2570" s="15" t="str">
        <f t="shared" ca="1" si="664"/>
        <v>RadioCard_TETRA_Exp2!A73</v>
      </c>
      <c r="K2570" s="15" t="str">
        <f t="shared" ca="1" si="665"/>
        <v>RadioCard_TETRA_Exp2!B73</v>
      </c>
    </row>
    <row r="2571" spans="1:16" x14ac:dyDescent="0.25">
      <c r="A2571" s="3" t="str">
        <f t="shared" ca="1" si="666"/>
        <v xml:space="preserve">i2c_num = /dev/i2c-1 </v>
      </c>
      <c r="C2571" s="16"/>
      <c r="G2571" s="15">
        <f t="shared" ca="1" si="675"/>
        <v>74</v>
      </c>
      <c r="H2571" s="15">
        <v>1</v>
      </c>
      <c r="I2571" s="15" t="str">
        <f t="shared" ca="1" si="676"/>
        <v>RadioCard_TETRA_Exp2</v>
      </c>
      <c r="J2571" s="15" t="str">
        <f t="shared" ca="1" si="664"/>
        <v>RadioCard_TETRA_Exp2!A74</v>
      </c>
      <c r="K2571" s="15" t="str">
        <f t="shared" ca="1" si="665"/>
        <v>RadioCard_TETRA_Exp2!B74</v>
      </c>
    </row>
    <row r="2572" spans="1:16" x14ac:dyDescent="0.25">
      <c r="A2572" s="3" t="str">
        <f t="shared" ca="1" si="666"/>
        <v xml:space="preserve">pins_mode = 0xCE8C </v>
      </c>
      <c r="G2572" s="15">
        <f t="shared" ca="1" si="675"/>
        <v>75</v>
      </c>
      <c r="H2572" s="15">
        <v>1</v>
      </c>
      <c r="I2572" s="15" t="str">
        <f t="shared" ca="1" si="676"/>
        <v>RadioCard_TETRA_Exp2</v>
      </c>
      <c r="J2572" s="15" t="str">
        <f t="shared" ca="1" si="664"/>
        <v>RadioCard_TETRA_Exp2!A75</v>
      </c>
      <c r="K2572" s="15" t="str">
        <f t="shared" ca="1" si="665"/>
        <v>RadioCard_TETRA_Exp2!B75</v>
      </c>
    </row>
    <row r="2573" spans="1:16" x14ac:dyDescent="0.25">
      <c r="A2573" s="3" t="str">
        <f t="shared" ca="1" si="666"/>
        <v xml:space="preserve">pins_state = 0x3132 </v>
      </c>
      <c r="G2573" s="15">
        <f t="shared" ca="1" si="675"/>
        <v>76</v>
      </c>
      <c r="H2573" s="15">
        <v>1</v>
      </c>
      <c r="I2573" s="15" t="str">
        <f t="shared" ca="1" si="676"/>
        <v>RadioCard_TETRA_Exp2</v>
      </c>
      <c r="J2573" s="15" t="str">
        <f t="shared" ca="1" si="664"/>
        <v>RadioCard_TETRA_Exp2!A76</v>
      </c>
      <c r="K2573" s="15" t="str">
        <f t="shared" ca="1" si="665"/>
        <v>RadioCard_TETRA_Exp2!B76</v>
      </c>
    </row>
    <row r="2574" spans="1:16" x14ac:dyDescent="0.25">
      <c r="A2574" s="3" t="str">
        <f t="shared" ca="1" si="666"/>
        <v xml:space="preserve">pins_pull_up = 0x4808 </v>
      </c>
      <c r="G2574" s="15">
        <f t="shared" ca="1" si="675"/>
        <v>77</v>
      </c>
      <c r="H2574" s="15">
        <v>1</v>
      </c>
      <c r="I2574" s="15" t="str">
        <f t="shared" ca="1" si="676"/>
        <v>RadioCard_TETRA_Exp2</v>
      </c>
      <c r="J2574" s="15" t="str">
        <f t="shared" ca="1" si="664"/>
        <v>RadioCard_TETRA_Exp2!A77</v>
      </c>
      <c r="K2574" s="15" t="str">
        <f t="shared" ca="1" si="665"/>
        <v>RadioCard_TETRA_Exp2!B77</v>
      </c>
    </row>
    <row r="2575" spans="1:16" x14ac:dyDescent="0.25">
      <c r="A2575" s="3" t="str">
        <f t="shared" ca="1" si="666"/>
        <v xml:space="preserve">#pins_int = 0x0000 </v>
      </c>
      <c r="G2575" s="15">
        <f t="shared" ca="1" si="675"/>
        <v>78</v>
      </c>
      <c r="H2575" s="15">
        <v>1</v>
      </c>
      <c r="I2575" s="15" t="str">
        <f t="shared" ca="1" si="676"/>
        <v>RadioCard_TETRA_Exp2</v>
      </c>
      <c r="J2575" s="15" t="str">
        <f t="shared" ca="1" si="664"/>
        <v>RadioCard_TETRA_Exp2!A78</v>
      </c>
      <c r="K2575" s="15" t="str">
        <f t="shared" ca="1" si="665"/>
        <v>RadioCard_TETRA_Exp2!B78</v>
      </c>
    </row>
    <row r="2576" spans="1:16" x14ac:dyDescent="0.25">
      <c r="A2576" s="3" t="str">
        <f t="shared" ca="1" si="666"/>
        <v xml:space="preserve">#pins_def_val = 0x0000 </v>
      </c>
      <c r="G2576" s="15">
        <f t="shared" ca="1" si="675"/>
        <v>79</v>
      </c>
      <c r="H2576" s="15">
        <v>1</v>
      </c>
      <c r="I2576" s="15" t="str">
        <f t="shared" ca="1" si="676"/>
        <v>RadioCard_TETRA_Exp2</v>
      </c>
      <c r="J2576" s="15" t="str">
        <f t="shared" ca="1" si="664"/>
        <v>RadioCard_TETRA_Exp2!A79</v>
      </c>
      <c r="K2576" s="15" t="str">
        <f t="shared" ca="1" si="665"/>
        <v>RadioCard_TETRA_Exp2!B79</v>
      </c>
    </row>
    <row r="2577" spans="1:16" x14ac:dyDescent="0.25">
      <c r="A2577" s="3" t="str">
        <f t="shared" ca="1" si="666"/>
        <v/>
      </c>
      <c r="G2577" s="15">
        <f t="shared" ca="1" si="675"/>
        <v>80</v>
      </c>
      <c r="H2577" s="15">
        <v>1</v>
      </c>
      <c r="I2577" s="15" t="str">
        <f t="shared" ca="1" si="676"/>
        <v>RadioCard_TETRA_Exp2</v>
      </c>
      <c r="J2577" s="15" t="str">
        <f t="shared" ca="1" si="664"/>
        <v>RadioCard_TETRA_Exp2!A80</v>
      </c>
      <c r="K2577" s="15" t="str">
        <f t="shared" ca="1" si="665"/>
        <v>RadioCard_TETRA_Exp2!B80</v>
      </c>
    </row>
    <row r="2578" spans="1:16" x14ac:dyDescent="0.25">
      <c r="A2578" s="3" t="str">
        <f t="shared" ca="1" si="666"/>
        <v xml:space="preserve">#pins_int = 10 </v>
      </c>
      <c r="G2578" s="15">
        <f t="shared" ca="1" si="675"/>
        <v>81</v>
      </c>
      <c r="H2578" s="15">
        <v>1</v>
      </c>
      <c r="I2578" s="15" t="str">
        <f t="shared" ca="1" si="676"/>
        <v>RadioCard_TETRA_Exp2</v>
      </c>
      <c r="J2578" s="15" t="str">
        <f t="shared" ca="1" si="664"/>
        <v>RadioCard_TETRA_Exp2!A81</v>
      </c>
      <c r="K2578" s="15" t="str">
        <f t="shared" ca="1" si="665"/>
        <v>RadioCard_TETRA_Exp2!B81</v>
      </c>
    </row>
    <row r="2579" spans="1:16" x14ac:dyDescent="0.25">
      <c r="A2579" s="3" t="str">
        <f t="shared" ca="1" si="666"/>
        <v/>
      </c>
      <c r="C2579" s="16"/>
      <c r="G2579" s="15">
        <f t="shared" ca="1" si="675"/>
        <v>82</v>
      </c>
      <c r="H2579" s="15">
        <v>1</v>
      </c>
      <c r="I2579" s="15" t="str">
        <f t="shared" ca="1" si="676"/>
        <v>RadioCard_TETRA_Exp2</v>
      </c>
      <c r="J2579" s="15" t="str">
        <f t="shared" ca="1" si="664"/>
        <v>RadioCard_TETRA_Exp2!A82</v>
      </c>
      <c r="K2579" s="15" t="str">
        <f t="shared" ca="1" si="665"/>
        <v>RadioCard_TETRA_Exp2!B82</v>
      </c>
    </row>
    <row r="2580" spans="1:16" x14ac:dyDescent="0.25">
      <c r="A2580" s="3" t="str">
        <f t="shared" ca="1" si="666"/>
        <v/>
      </c>
      <c r="G2580" s="15">
        <f t="shared" ca="1" si="675"/>
        <v>83</v>
      </c>
      <c r="H2580" s="15">
        <v>1</v>
      </c>
      <c r="I2580" s="15" t="str">
        <f t="shared" ca="1" si="676"/>
        <v>RadioCard_TETRA_Exp2</v>
      </c>
      <c r="J2580" s="15" t="str">
        <f t="shared" ca="1" si="664"/>
        <v>RadioCard_TETRA_Exp2!A83</v>
      </c>
      <c r="K2580" s="15" t="str">
        <f t="shared" ca="1" si="665"/>
        <v>RadioCard_TETRA_Exp2!B83</v>
      </c>
    </row>
    <row r="2581" spans="1:16" x14ac:dyDescent="0.25">
      <c r="A2581" s="3" t="str">
        <f t="shared" ca="1" si="666"/>
        <v/>
      </c>
      <c r="G2581" s="15">
        <f t="shared" ca="1" si="675"/>
        <v>84</v>
      </c>
      <c r="H2581" s="15">
        <v>1</v>
      </c>
      <c r="I2581" s="15" t="str">
        <f t="shared" ca="1" si="676"/>
        <v>RadioCard_TETRA_Exp2</v>
      </c>
      <c r="J2581" s="15" t="str">
        <f t="shared" ca="1" si="664"/>
        <v>RadioCard_TETRA_Exp2!A84</v>
      </c>
      <c r="K2581" s="15" t="str">
        <f t="shared" ca="1" si="665"/>
        <v>RadioCard_TETRA_Exp2!B84</v>
      </c>
    </row>
    <row r="2582" spans="1:16" x14ac:dyDescent="0.25">
      <c r="A2582" s="3" t="str">
        <f t="shared" ca="1" si="666"/>
        <v/>
      </c>
      <c r="G2582" s="15">
        <f t="shared" ca="1" si="675"/>
        <v>85</v>
      </c>
      <c r="H2582" s="15">
        <v>1</v>
      </c>
      <c r="I2582" s="15" t="str">
        <f t="shared" ca="1" si="676"/>
        <v>RadioCard_TETRA_Exp2</v>
      </c>
      <c r="J2582" s="15" t="str">
        <f t="shared" ca="1" si="664"/>
        <v>RadioCard_TETRA_Exp2!A85</v>
      </c>
      <c r="K2582" s="15" t="str">
        <f t="shared" ca="1" si="665"/>
        <v>RadioCard_TETRA_Exp2!B85</v>
      </c>
    </row>
    <row r="2583" spans="1:16" x14ac:dyDescent="0.25">
      <c r="A2583" s="3" t="str">
        <f t="shared" ca="1" si="666"/>
        <v/>
      </c>
      <c r="G2583" s="15">
        <f t="shared" ca="1" si="675"/>
        <v>86</v>
      </c>
      <c r="H2583" s="15">
        <v>1</v>
      </c>
      <c r="I2583" s="15" t="str">
        <f t="shared" ca="1" si="676"/>
        <v>RadioCard_TETRA_Exp2</v>
      </c>
      <c r="J2583" s="15" t="str">
        <f t="shared" ca="1" si="664"/>
        <v>RadioCard_TETRA_Exp2!A86</v>
      </c>
      <c r="K2583" s="15" t="str">
        <f t="shared" ca="1" si="665"/>
        <v>RadioCard_TETRA_Exp2!B86</v>
      </c>
    </row>
    <row r="2584" spans="1:16" x14ac:dyDescent="0.25">
      <c r="A2584" s="3" t="str">
        <f t="shared" ca="1" si="666"/>
        <v/>
      </c>
      <c r="G2584" s="15">
        <f t="shared" ca="1" si="675"/>
        <v>87</v>
      </c>
      <c r="H2584" s="15">
        <v>1</v>
      </c>
      <c r="I2584" s="15" t="str">
        <f t="shared" ca="1" si="676"/>
        <v>RadioCard_TETRA_Exp2</v>
      </c>
      <c r="J2584" s="15" t="str">
        <f t="shared" ca="1" si="664"/>
        <v>RadioCard_TETRA_Exp2!A87</v>
      </c>
      <c r="K2584" s="15" t="str">
        <f t="shared" ca="1" si="665"/>
        <v>RadioCard_TETRA_Exp2!B87</v>
      </c>
    </row>
    <row r="2585" spans="1:16" x14ac:dyDescent="0.25">
      <c r="A2585" s="3" t="str">
        <f t="shared" ca="1" si="666"/>
        <v/>
      </c>
      <c r="G2585" s="15">
        <f t="shared" ca="1" si="675"/>
        <v>88</v>
      </c>
      <c r="H2585" s="15">
        <v>1</v>
      </c>
      <c r="I2585" s="15" t="str">
        <f t="shared" ca="1" si="676"/>
        <v>RadioCard_TETRA_Exp2</v>
      </c>
      <c r="J2585" s="15" t="str">
        <f t="shared" ca="1" si="664"/>
        <v>RadioCard_TETRA_Exp2!A88</v>
      </c>
      <c r="K2585" s="15" t="str">
        <f t="shared" ca="1" si="665"/>
        <v>RadioCard_TETRA_Exp2!B88</v>
      </c>
    </row>
    <row r="2586" spans="1:16" x14ac:dyDescent="0.25">
      <c r="A2586" s="3" t="str">
        <f t="shared" ca="1" si="666"/>
        <v/>
      </c>
      <c r="G2586" s="15">
        <f t="shared" ca="1" si="675"/>
        <v>89</v>
      </c>
      <c r="H2586" s="15">
        <v>1</v>
      </c>
      <c r="I2586" s="15" t="str">
        <f t="shared" ca="1" si="676"/>
        <v>RadioCard_TETRA_Exp2</v>
      </c>
      <c r="J2586" s="15" t="str">
        <f t="shared" ca="1" si="664"/>
        <v>RadioCard_TETRA_Exp2!A89</v>
      </c>
      <c r="K2586" s="15" t="str">
        <f t="shared" ca="1" si="665"/>
        <v>RadioCard_TETRA_Exp2!B89</v>
      </c>
    </row>
    <row r="2587" spans="1:16" x14ac:dyDescent="0.25">
      <c r="A2587" s="3" t="str">
        <f t="shared" ca="1" si="666"/>
        <v/>
      </c>
      <c r="G2587" s="15">
        <f t="shared" ca="1" si="675"/>
        <v>90</v>
      </c>
      <c r="H2587" s="15">
        <v>1</v>
      </c>
      <c r="I2587" s="15" t="str">
        <f t="shared" ca="1" si="676"/>
        <v>RadioCard_TETRA_Exp2</v>
      </c>
      <c r="J2587" s="15" t="str">
        <f t="shared" ca="1" si="664"/>
        <v>RadioCard_TETRA_Exp2!A90</v>
      </c>
      <c r="K2587" s="15" t="str">
        <f t="shared" ca="1" si="665"/>
        <v>RadioCard_TETRA_Exp2!B90</v>
      </c>
    </row>
    <row r="2588" spans="1:16" x14ac:dyDescent="0.25">
      <c r="A2588" s="3" t="str">
        <f t="shared" ca="1" si="666"/>
        <v xml:space="preserve">#RadioCard_TETRA_Exp1:etap 2 =  </v>
      </c>
      <c r="G2588" s="15">
        <f t="shared" ref="G2588" ca="1" si="677">INDIRECT(M2588)</f>
        <v>71</v>
      </c>
      <c r="H2588" s="15">
        <v>1</v>
      </c>
      <c r="I2588" s="15" t="str">
        <f t="shared" ref="I2588" ca="1" si="678">INDIRECT(N2588)</f>
        <v>RadioCard_TETRA_Exp1</v>
      </c>
      <c r="J2588" s="15" t="str">
        <f t="shared" ca="1" si="664"/>
        <v>RadioCard_TETRA_Exp1!A71</v>
      </c>
      <c r="K2588" s="15" t="str">
        <f t="shared" ca="1" si="665"/>
        <v>RadioCard_TETRA_Exp1!B71</v>
      </c>
      <c r="M2588" s="15" t="str">
        <f t="shared" ref="M2588" si="679">ADDRESS(O2588,3,4,1,$R$1)</f>
        <v>konfig!C131</v>
      </c>
      <c r="N2588" s="15" t="str">
        <f t="shared" ref="N2588" si="680">ADDRESS(O2588,1,4,1,$R$1)</f>
        <v>konfig!A131</v>
      </c>
      <c r="O2588" s="15">
        <v>131</v>
      </c>
      <c r="P2588" s="15">
        <v>4</v>
      </c>
    </row>
    <row r="2589" spans="1:16" x14ac:dyDescent="0.25">
      <c r="A2589" s="3" t="str">
        <f t="shared" ca="1" si="666"/>
        <v xml:space="preserve">device = MCP23017 </v>
      </c>
      <c r="G2589" s="15">
        <f t="shared" ref="G2589:G2629" ca="1" si="681">G2588+1</f>
        <v>72</v>
      </c>
      <c r="H2589" s="15">
        <v>1</v>
      </c>
      <c r="I2589" s="15" t="str">
        <f t="shared" ref="I2589:I2629" ca="1" si="682">I2588</f>
        <v>RadioCard_TETRA_Exp1</v>
      </c>
      <c r="J2589" s="15" t="str">
        <f t="shared" ca="1" si="664"/>
        <v>RadioCard_TETRA_Exp1!A72</v>
      </c>
      <c r="K2589" s="15" t="str">
        <f t="shared" ca="1" si="665"/>
        <v>RadioCard_TETRA_Exp1!B72</v>
      </c>
    </row>
    <row r="2590" spans="1:16" x14ac:dyDescent="0.25">
      <c r="A2590" s="3" t="str">
        <f t="shared" ca="1" si="666"/>
        <v xml:space="preserve">i2c_addr = 0x26 </v>
      </c>
      <c r="G2590" s="15">
        <f t="shared" ca="1" si="675"/>
        <v>73</v>
      </c>
      <c r="H2590" s="15">
        <v>1</v>
      </c>
      <c r="I2590" s="15" t="str">
        <f t="shared" ca="1" si="676"/>
        <v>RadioCard_TETRA_Exp1</v>
      </c>
      <c r="J2590" s="15" t="str">
        <f t="shared" ca="1" si="664"/>
        <v>RadioCard_TETRA_Exp1!A73</v>
      </c>
      <c r="K2590" s="15" t="str">
        <f t="shared" ca="1" si="665"/>
        <v>RadioCard_TETRA_Exp1!B73</v>
      </c>
    </row>
    <row r="2591" spans="1:16" x14ac:dyDescent="0.25">
      <c r="A2591" s="3" t="str">
        <f t="shared" ca="1" si="666"/>
        <v xml:space="preserve">i2c_num = /dev/i2c-1 </v>
      </c>
      <c r="C2591" s="16"/>
      <c r="G2591" s="15">
        <f t="shared" ca="1" si="675"/>
        <v>74</v>
      </c>
      <c r="H2591" s="15">
        <v>1</v>
      </c>
      <c r="I2591" s="15" t="str">
        <f t="shared" ca="1" si="676"/>
        <v>RadioCard_TETRA_Exp1</v>
      </c>
      <c r="J2591" s="15" t="str">
        <f t="shared" ca="1" si="664"/>
        <v>RadioCard_TETRA_Exp1!A74</v>
      </c>
      <c r="K2591" s="15" t="str">
        <f t="shared" ca="1" si="665"/>
        <v>RadioCard_TETRA_Exp1!B74</v>
      </c>
    </row>
    <row r="2592" spans="1:16" x14ac:dyDescent="0.25">
      <c r="A2592" s="3" t="str">
        <f t="shared" ca="1" si="666"/>
        <v xml:space="preserve">pins_mode = 0x00FF </v>
      </c>
      <c r="G2592" s="15">
        <f t="shared" ca="1" si="675"/>
        <v>75</v>
      </c>
      <c r="H2592" s="15">
        <v>1</v>
      </c>
      <c r="I2592" s="15" t="str">
        <f t="shared" ca="1" si="676"/>
        <v>RadioCard_TETRA_Exp1</v>
      </c>
      <c r="J2592" s="15" t="str">
        <f t="shared" ca="1" si="664"/>
        <v>RadioCard_TETRA_Exp1!A75</v>
      </c>
      <c r="K2592" s="15" t="str">
        <f t="shared" ca="1" si="665"/>
        <v>RadioCard_TETRA_Exp1!B75</v>
      </c>
    </row>
    <row r="2593" spans="1:16" x14ac:dyDescent="0.25">
      <c r="A2593" s="3" t="str">
        <f t="shared" ca="1" si="666"/>
        <v xml:space="preserve">pins_state = 0x0200 </v>
      </c>
      <c r="G2593" s="15">
        <f t="shared" ca="1" si="675"/>
        <v>76</v>
      </c>
      <c r="H2593" s="15">
        <v>1</v>
      </c>
      <c r="I2593" s="15" t="str">
        <f t="shared" ca="1" si="676"/>
        <v>RadioCard_TETRA_Exp1</v>
      </c>
      <c r="J2593" s="15" t="str">
        <f t="shared" ca="1" si="664"/>
        <v>RadioCard_TETRA_Exp1!A76</v>
      </c>
      <c r="K2593" s="15" t="str">
        <f t="shared" ca="1" si="665"/>
        <v>RadioCard_TETRA_Exp1!B76</v>
      </c>
    </row>
    <row r="2594" spans="1:16" x14ac:dyDescent="0.25">
      <c r="A2594" s="3" t="str">
        <f t="shared" ca="1" si="666"/>
        <v xml:space="preserve">pins_pull_up = 0x0000 </v>
      </c>
      <c r="G2594" s="15">
        <f t="shared" ca="1" si="675"/>
        <v>77</v>
      </c>
      <c r="H2594" s="15">
        <v>1</v>
      </c>
      <c r="I2594" s="15" t="str">
        <f t="shared" ca="1" si="676"/>
        <v>RadioCard_TETRA_Exp1</v>
      </c>
      <c r="J2594" s="15" t="str">
        <f t="shared" ca="1" si="664"/>
        <v>RadioCard_TETRA_Exp1!A77</v>
      </c>
      <c r="K2594" s="15" t="str">
        <f t="shared" ca="1" si="665"/>
        <v>RadioCard_TETRA_Exp1!B77</v>
      </c>
    </row>
    <row r="2595" spans="1:16" x14ac:dyDescent="0.25">
      <c r="A2595" s="3" t="str">
        <f t="shared" ca="1" si="666"/>
        <v xml:space="preserve">#pins_int = 0x0000 </v>
      </c>
      <c r="G2595" s="15">
        <f t="shared" ca="1" si="675"/>
        <v>78</v>
      </c>
      <c r="H2595" s="15">
        <v>1</v>
      </c>
      <c r="I2595" s="15" t="str">
        <f t="shared" ca="1" si="676"/>
        <v>RadioCard_TETRA_Exp1</v>
      </c>
      <c r="J2595" s="15" t="str">
        <f t="shared" ca="1" si="664"/>
        <v>RadioCard_TETRA_Exp1!A78</v>
      </c>
      <c r="K2595" s="15" t="str">
        <f t="shared" ca="1" si="665"/>
        <v>RadioCard_TETRA_Exp1!B78</v>
      </c>
    </row>
    <row r="2596" spans="1:16" x14ac:dyDescent="0.25">
      <c r="A2596" s="3" t="str">
        <f t="shared" ca="1" si="666"/>
        <v xml:space="preserve">#pins_def_val = 0x0000 </v>
      </c>
      <c r="G2596" s="15">
        <f t="shared" ca="1" si="675"/>
        <v>79</v>
      </c>
      <c r="H2596" s="15">
        <v>1</v>
      </c>
      <c r="I2596" s="15" t="str">
        <f t="shared" ca="1" si="676"/>
        <v>RadioCard_TETRA_Exp1</v>
      </c>
      <c r="J2596" s="15" t="str">
        <f t="shared" ref="J2596:J2659" ca="1" si="683">ADDRESS(G2596,H2596,4,1,I2596)</f>
        <v>RadioCard_TETRA_Exp1!A79</v>
      </c>
      <c r="K2596" s="15" t="str">
        <f t="shared" ref="K2596:K2659" ca="1" si="684">ADDRESS(G2596,H2596+1,4,1,I2596)</f>
        <v>RadioCard_TETRA_Exp1!B79</v>
      </c>
    </row>
    <row r="2597" spans="1:16" x14ac:dyDescent="0.25">
      <c r="A2597" s="3" t="str">
        <f t="shared" ca="1" si="666"/>
        <v/>
      </c>
      <c r="G2597" s="15">
        <f t="shared" ca="1" si="675"/>
        <v>80</v>
      </c>
      <c r="H2597" s="15">
        <v>1</v>
      </c>
      <c r="I2597" s="15" t="str">
        <f t="shared" ca="1" si="676"/>
        <v>RadioCard_TETRA_Exp1</v>
      </c>
      <c r="J2597" s="15" t="str">
        <f t="shared" ca="1" si="683"/>
        <v>RadioCard_TETRA_Exp1!A80</v>
      </c>
      <c r="K2597" s="15" t="str">
        <f t="shared" ca="1" si="684"/>
        <v>RadioCard_TETRA_Exp1!B80</v>
      </c>
    </row>
    <row r="2598" spans="1:16" x14ac:dyDescent="0.25">
      <c r="A2598" s="3" t="str">
        <f t="shared" ca="1" si="666"/>
        <v xml:space="preserve">#pins_int = 10 </v>
      </c>
      <c r="G2598" s="15">
        <f t="shared" ca="1" si="675"/>
        <v>81</v>
      </c>
      <c r="H2598" s="15">
        <v>1</v>
      </c>
      <c r="I2598" s="15" t="str">
        <f t="shared" ca="1" si="676"/>
        <v>RadioCard_TETRA_Exp1</v>
      </c>
      <c r="J2598" s="15" t="str">
        <f t="shared" ca="1" si="683"/>
        <v>RadioCard_TETRA_Exp1!A81</v>
      </c>
      <c r="K2598" s="15" t="str">
        <f t="shared" ca="1" si="684"/>
        <v>RadioCard_TETRA_Exp1!B81</v>
      </c>
    </row>
    <row r="2599" spans="1:16" x14ac:dyDescent="0.25">
      <c r="A2599" s="3" t="str">
        <f t="shared" ca="1" si="666"/>
        <v/>
      </c>
      <c r="C2599" s="16"/>
      <c r="G2599" s="15">
        <f t="shared" ca="1" si="675"/>
        <v>82</v>
      </c>
      <c r="H2599" s="15">
        <v>1</v>
      </c>
      <c r="I2599" s="15" t="str">
        <f t="shared" ca="1" si="676"/>
        <v>RadioCard_TETRA_Exp1</v>
      </c>
      <c r="J2599" s="15" t="str">
        <f t="shared" ca="1" si="683"/>
        <v>RadioCard_TETRA_Exp1!A82</v>
      </c>
      <c r="K2599" s="15" t="str">
        <f t="shared" ca="1" si="684"/>
        <v>RadioCard_TETRA_Exp1!B82</v>
      </c>
    </row>
    <row r="2600" spans="1:16" x14ac:dyDescent="0.25">
      <c r="A2600" s="3" t="str">
        <f t="shared" ca="1" si="666"/>
        <v/>
      </c>
      <c r="G2600" s="15">
        <f t="shared" ca="1" si="675"/>
        <v>83</v>
      </c>
      <c r="H2600" s="15">
        <v>1</v>
      </c>
      <c r="I2600" s="15" t="str">
        <f t="shared" ca="1" si="676"/>
        <v>RadioCard_TETRA_Exp1</v>
      </c>
      <c r="J2600" s="15" t="str">
        <f t="shared" ca="1" si="683"/>
        <v>RadioCard_TETRA_Exp1!A83</v>
      </c>
      <c r="K2600" s="15" t="str">
        <f t="shared" ca="1" si="684"/>
        <v>RadioCard_TETRA_Exp1!B83</v>
      </c>
    </row>
    <row r="2601" spans="1:16" x14ac:dyDescent="0.25">
      <c r="A2601" s="3" t="str">
        <f t="shared" ca="1" si="666"/>
        <v/>
      </c>
      <c r="G2601" s="15">
        <f t="shared" ca="1" si="675"/>
        <v>84</v>
      </c>
      <c r="H2601" s="15">
        <v>1</v>
      </c>
      <c r="I2601" s="15" t="str">
        <f t="shared" ca="1" si="676"/>
        <v>RadioCard_TETRA_Exp1</v>
      </c>
      <c r="J2601" s="15" t="str">
        <f t="shared" ca="1" si="683"/>
        <v>RadioCard_TETRA_Exp1!A84</v>
      </c>
      <c r="K2601" s="15" t="str">
        <f t="shared" ca="1" si="684"/>
        <v>RadioCard_TETRA_Exp1!B84</v>
      </c>
    </row>
    <row r="2602" spans="1:16" x14ac:dyDescent="0.25">
      <c r="A2602" s="3" t="str">
        <f t="shared" ca="1" si="666"/>
        <v/>
      </c>
      <c r="G2602" s="15">
        <f t="shared" ca="1" si="675"/>
        <v>85</v>
      </c>
      <c r="H2602" s="15">
        <v>1</v>
      </c>
      <c r="I2602" s="15" t="str">
        <f t="shared" ca="1" si="676"/>
        <v>RadioCard_TETRA_Exp1</v>
      </c>
      <c r="J2602" s="15" t="str">
        <f t="shared" ca="1" si="683"/>
        <v>RadioCard_TETRA_Exp1!A85</v>
      </c>
      <c r="K2602" s="15" t="str">
        <f t="shared" ca="1" si="684"/>
        <v>RadioCard_TETRA_Exp1!B85</v>
      </c>
    </row>
    <row r="2603" spans="1:16" x14ac:dyDescent="0.25">
      <c r="A2603" s="3" t="str">
        <f t="shared" ca="1" si="666"/>
        <v/>
      </c>
      <c r="G2603" s="15">
        <f t="shared" ca="1" si="675"/>
        <v>86</v>
      </c>
      <c r="H2603" s="15">
        <v>1</v>
      </c>
      <c r="I2603" s="15" t="str">
        <f t="shared" ca="1" si="676"/>
        <v>RadioCard_TETRA_Exp1</v>
      </c>
      <c r="J2603" s="15" t="str">
        <f t="shared" ca="1" si="683"/>
        <v>RadioCard_TETRA_Exp1!A86</v>
      </c>
      <c r="K2603" s="15" t="str">
        <f t="shared" ca="1" si="684"/>
        <v>RadioCard_TETRA_Exp1!B86</v>
      </c>
    </row>
    <row r="2604" spans="1:16" x14ac:dyDescent="0.25">
      <c r="A2604" s="3" t="str">
        <f t="shared" ref="A2604:A2667" ca="1" si="685">IFERROR(IF(INDIRECT(J2604)&lt;&gt;"",CONCATENATE(INDIRECT(J2604)," = ",INDIRECT(K2604)," "),""),"")</f>
        <v/>
      </c>
      <c r="G2604" s="15">
        <f t="shared" ca="1" si="675"/>
        <v>87</v>
      </c>
      <c r="H2604" s="15">
        <v>1</v>
      </c>
      <c r="I2604" s="15" t="str">
        <f t="shared" ca="1" si="676"/>
        <v>RadioCard_TETRA_Exp1</v>
      </c>
      <c r="J2604" s="15" t="str">
        <f t="shared" ca="1" si="683"/>
        <v>RadioCard_TETRA_Exp1!A87</v>
      </c>
      <c r="K2604" s="15" t="str">
        <f t="shared" ca="1" si="684"/>
        <v>RadioCard_TETRA_Exp1!B87</v>
      </c>
    </row>
    <row r="2605" spans="1:16" x14ac:dyDescent="0.25">
      <c r="A2605" s="3" t="str">
        <f t="shared" ca="1" si="685"/>
        <v/>
      </c>
      <c r="G2605" s="15">
        <f t="shared" ca="1" si="675"/>
        <v>88</v>
      </c>
      <c r="H2605" s="15">
        <v>1</v>
      </c>
      <c r="I2605" s="15" t="str">
        <f t="shared" ca="1" si="676"/>
        <v>RadioCard_TETRA_Exp1</v>
      </c>
      <c r="J2605" s="15" t="str">
        <f t="shared" ca="1" si="683"/>
        <v>RadioCard_TETRA_Exp1!A88</v>
      </c>
      <c r="K2605" s="15" t="str">
        <f t="shared" ca="1" si="684"/>
        <v>RadioCard_TETRA_Exp1!B88</v>
      </c>
    </row>
    <row r="2606" spans="1:16" x14ac:dyDescent="0.25">
      <c r="A2606" s="3" t="str">
        <f t="shared" ca="1" si="685"/>
        <v/>
      </c>
      <c r="G2606" s="15">
        <f t="shared" ca="1" si="675"/>
        <v>89</v>
      </c>
      <c r="H2606" s="15">
        <v>1</v>
      </c>
      <c r="I2606" s="15" t="str">
        <f t="shared" ca="1" si="676"/>
        <v>RadioCard_TETRA_Exp1</v>
      </c>
      <c r="J2606" s="15" t="str">
        <f t="shared" ca="1" si="683"/>
        <v>RadioCard_TETRA_Exp1!A89</v>
      </c>
      <c r="K2606" s="15" t="str">
        <f t="shared" ca="1" si="684"/>
        <v>RadioCard_TETRA_Exp1!B89</v>
      </c>
    </row>
    <row r="2607" spans="1:16" x14ac:dyDescent="0.25">
      <c r="A2607" s="3" t="str">
        <f t="shared" ca="1" si="685"/>
        <v/>
      </c>
      <c r="G2607" s="15">
        <f t="shared" ca="1" si="675"/>
        <v>90</v>
      </c>
      <c r="H2607" s="15">
        <v>1</v>
      </c>
      <c r="I2607" s="15" t="str">
        <f t="shared" ca="1" si="676"/>
        <v>RadioCard_TETRA_Exp1</v>
      </c>
      <c r="J2607" s="15" t="str">
        <f t="shared" ca="1" si="683"/>
        <v>RadioCard_TETRA_Exp1!A90</v>
      </c>
      <c r="K2607" s="15" t="str">
        <f t="shared" ca="1" si="684"/>
        <v>RadioCard_TETRA_Exp1!B90</v>
      </c>
    </row>
    <row r="2608" spans="1:16" x14ac:dyDescent="0.25">
      <c r="A2608" s="3" t="str">
        <f t="shared" ca="1" si="685"/>
        <v xml:space="preserve">#RadioCard_TETRA_Exp1:etap 4- LMK =  </v>
      </c>
      <c r="G2608" s="15">
        <f t="shared" ref="G2608" ca="1" si="686">INDIRECT(M2608)</f>
        <v>111</v>
      </c>
      <c r="H2608" s="15">
        <v>1</v>
      </c>
      <c r="I2608" s="15" t="str">
        <f t="shared" ref="I2608" ca="1" si="687">INDIRECT(N2608)</f>
        <v>RadioCard_TETRA_Exp2</v>
      </c>
      <c r="J2608" s="15" t="str">
        <f t="shared" ca="1" si="683"/>
        <v>RadioCard_TETRA_Exp2!A111</v>
      </c>
      <c r="K2608" s="15" t="str">
        <f t="shared" ca="1" si="684"/>
        <v>RadioCard_TETRA_Exp2!B111</v>
      </c>
      <c r="M2608" s="15" t="str">
        <f t="shared" ref="M2608" si="688">ADDRESS(O2608,3,4,1,$R$1)</f>
        <v>konfig!C132</v>
      </c>
      <c r="N2608" s="15" t="str">
        <f t="shared" ref="N2608" si="689">ADDRESS(O2608,1,4,1,$R$1)</f>
        <v>konfig!A132</v>
      </c>
      <c r="O2608" s="15">
        <v>132</v>
      </c>
      <c r="P2608" s="15">
        <v>4</v>
      </c>
    </row>
    <row r="2609" spans="1:11" x14ac:dyDescent="0.25">
      <c r="A2609" s="3" t="str">
        <f t="shared" ca="1" si="685"/>
        <v xml:space="preserve">device = MCP23017 </v>
      </c>
      <c r="G2609" s="15">
        <f t="shared" ca="1" si="675"/>
        <v>112</v>
      </c>
      <c r="H2609" s="15">
        <v>1</v>
      </c>
      <c r="I2609" s="15" t="str">
        <f t="shared" ca="1" si="676"/>
        <v>RadioCard_TETRA_Exp2</v>
      </c>
      <c r="J2609" s="15" t="str">
        <f t="shared" ca="1" si="683"/>
        <v>RadioCard_TETRA_Exp2!A112</v>
      </c>
      <c r="K2609" s="15" t="str">
        <f t="shared" ca="1" si="684"/>
        <v>RadioCard_TETRA_Exp2!B112</v>
      </c>
    </row>
    <row r="2610" spans="1:11" x14ac:dyDescent="0.25">
      <c r="A2610" s="3" t="str">
        <f t="shared" ca="1" si="685"/>
        <v xml:space="preserve">i2c_addr = 0x27 </v>
      </c>
      <c r="G2610" s="15">
        <f t="shared" ca="1" si="675"/>
        <v>113</v>
      </c>
      <c r="H2610" s="15">
        <v>1</v>
      </c>
      <c r="I2610" s="15" t="str">
        <f t="shared" ca="1" si="676"/>
        <v>RadioCard_TETRA_Exp2</v>
      </c>
      <c r="J2610" s="15" t="str">
        <f t="shared" ca="1" si="683"/>
        <v>RadioCard_TETRA_Exp2!A113</v>
      </c>
      <c r="K2610" s="15" t="str">
        <f t="shared" ca="1" si="684"/>
        <v>RadioCard_TETRA_Exp2!B113</v>
      </c>
    </row>
    <row r="2611" spans="1:11" x14ac:dyDescent="0.25">
      <c r="A2611" s="3" t="str">
        <f t="shared" ca="1" si="685"/>
        <v xml:space="preserve">i2c_num = /dev/i2c-1 </v>
      </c>
      <c r="C2611" s="16"/>
      <c r="G2611" s="15">
        <f t="shared" ca="1" si="675"/>
        <v>114</v>
      </c>
      <c r="H2611" s="15">
        <v>1</v>
      </c>
      <c r="I2611" s="15" t="str">
        <f t="shared" ca="1" si="676"/>
        <v>RadioCard_TETRA_Exp2</v>
      </c>
      <c r="J2611" s="15" t="str">
        <f t="shared" ca="1" si="683"/>
        <v>RadioCard_TETRA_Exp2!A114</v>
      </c>
      <c r="K2611" s="15" t="str">
        <f t="shared" ca="1" si="684"/>
        <v>RadioCard_TETRA_Exp2!B114</v>
      </c>
    </row>
    <row r="2612" spans="1:11" x14ac:dyDescent="0.25">
      <c r="A2612" s="3" t="str">
        <f t="shared" ca="1" si="685"/>
        <v xml:space="preserve">pins_mode = 0xCE8C </v>
      </c>
      <c r="G2612" s="15">
        <f t="shared" ca="1" si="675"/>
        <v>115</v>
      </c>
      <c r="H2612" s="15">
        <v>1</v>
      </c>
      <c r="I2612" s="15" t="str">
        <f t="shared" ca="1" si="676"/>
        <v>RadioCard_TETRA_Exp2</v>
      </c>
      <c r="J2612" s="15" t="str">
        <f t="shared" ca="1" si="683"/>
        <v>RadioCard_TETRA_Exp2!A115</v>
      </c>
      <c r="K2612" s="15" t="str">
        <f t="shared" ca="1" si="684"/>
        <v>RadioCard_TETRA_Exp2!B115</v>
      </c>
    </row>
    <row r="2613" spans="1:11" x14ac:dyDescent="0.25">
      <c r="A2613" s="3" t="str">
        <f t="shared" ca="1" si="685"/>
        <v xml:space="preserve">pins_state = 0x3113 </v>
      </c>
      <c r="G2613" s="15">
        <f t="shared" ca="1" si="675"/>
        <v>116</v>
      </c>
      <c r="H2613" s="15">
        <v>1</v>
      </c>
      <c r="I2613" s="15" t="str">
        <f t="shared" ca="1" si="676"/>
        <v>RadioCard_TETRA_Exp2</v>
      </c>
      <c r="J2613" s="15" t="str">
        <f t="shared" ca="1" si="683"/>
        <v>RadioCard_TETRA_Exp2!A116</v>
      </c>
      <c r="K2613" s="15" t="str">
        <f t="shared" ca="1" si="684"/>
        <v>RadioCard_TETRA_Exp2!B116</v>
      </c>
    </row>
    <row r="2614" spans="1:11" x14ac:dyDescent="0.25">
      <c r="A2614" s="3" t="str">
        <f t="shared" ca="1" si="685"/>
        <v xml:space="preserve">pins_pull_up = 0x4808 </v>
      </c>
      <c r="G2614" s="15">
        <f t="shared" ca="1" si="675"/>
        <v>117</v>
      </c>
      <c r="H2614" s="15">
        <v>1</v>
      </c>
      <c r="I2614" s="15" t="str">
        <f t="shared" ca="1" si="676"/>
        <v>RadioCard_TETRA_Exp2</v>
      </c>
      <c r="J2614" s="15" t="str">
        <f t="shared" ca="1" si="683"/>
        <v>RadioCard_TETRA_Exp2!A117</v>
      </c>
      <c r="K2614" s="15" t="str">
        <f t="shared" ca="1" si="684"/>
        <v>RadioCard_TETRA_Exp2!B117</v>
      </c>
    </row>
    <row r="2615" spans="1:11" x14ac:dyDescent="0.25">
      <c r="A2615" s="3" t="str">
        <f t="shared" ca="1" si="685"/>
        <v xml:space="preserve">#pins_int = 0x0000 </v>
      </c>
      <c r="G2615" s="15">
        <f t="shared" ca="1" si="675"/>
        <v>118</v>
      </c>
      <c r="H2615" s="15">
        <v>1</v>
      </c>
      <c r="I2615" s="15" t="str">
        <f t="shared" ca="1" si="676"/>
        <v>RadioCard_TETRA_Exp2</v>
      </c>
      <c r="J2615" s="15" t="str">
        <f t="shared" ca="1" si="683"/>
        <v>RadioCard_TETRA_Exp2!A118</v>
      </c>
      <c r="K2615" s="15" t="str">
        <f t="shared" ca="1" si="684"/>
        <v>RadioCard_TETRA_Exp2!B118</v>
      </c>
    </row>
    <row r="2616" spans="1:11" x14ac:dyDescent="0.25">
      <c r="A2616" s="3" t="str">
        <f t="shared" ca="1" si="685"/>
        <v xml:space="preserve">#pins_def_val = 0x0000 </v>
      </c>
      <c r="G2616" s="15">
        <f t="shared" ca="1" si="675"/>
        <v>119</v>
      </c>
      <c r="H2616" s="15">
        <v>1</v>
      </c>
      <c r="I2616" s="15" t="str">
        <f t="shared" ca="1" si="676"/>
        <v>RadioCard_TETRA_Exp2</v>
      </c>
      <c r="J2616" s="15" t="str">
        <f t="shared" ca="1" si="683"/>
        <v>RadioCard_TETRA_Exp2!A119</v>
      </c>
      <c r="K2616" s="15" t="str">
        <f t="shared" ca="1" si="684"/>
        <v>RadioCard_TETRA_Exp2!B119</v>
      </c>
    </row>
    <row r="2617" spans="1:11" x14ac:dyDescent="0.25">
      <c r="A2617" s="3" t="str">
        <f t="shared" ca="1" si="685"/>
        <v/>
      </c>
      <c r="G2617" s="15">
        <f t="shared" ca="1" si="675"/>
        <v>120</v>
      </c>
      <c r="H2617" s="15">
        <v>1</v>
      </c>
      <c r="I2617" s="15" t="str">
        <f t="shared" ca="1" si="676"/>
        <v>RadioCard_TETRA_Exp2</v>
      </c>
      <c r="J2617" s="15" t="str">
        <f t="shared" ca="1" si="683"/>
        <v>RadioCard_TETRA_Exp2!A120</v>
      </c>
      <c r="K2617" s="15" t="str">
        <f t="shared" ca="1" si="684"/>
        <v>RadioCard_TETRA_Exp2!B120</v>
      </c>
    </row>
    <row r="2618" spans="1:11" x14ac:dyDescent="0.25">
      <c r="A2618" s="3" t="str">
        <f t="shared" ca="1" si="685"/>
        <v xml:space="preserve">#pins_int = 10 </v>
      </c>
      <c r="G2618" s="15">
        <f t="shared" ca="1" si="675"/>
        <v>121</v>
      </c>
      <c r="H2618" s="15">
        <v>1</v>
      </c>
      <c r="I2618" s="15" t="str">
        <f t="shared" ca="1" si="676"/>
        <v>RadioCard_TETRA_Exp2</v>
      </c>
      <c r="J2618" s="15" t="str">
        <f t="shared" ca="1" si="683"/>
        <v>RadioCard_TETRA_Exp2!A121</v>
      </c>
      <c r="K2618" s="15" t="str">
        <f t="shared" ca="1" si="684"/>
        <v>RadioCard_TETRA_Exp2!B121</v>
      </c>
    </row>
    <row r="2619" spans="1:11" x14ac:dyDescent="0.25">
      <c r="A2619" s="3" t="str">
        <f t="shared" ca="1" si="685"/>
        <v/>
      </c>
      <c r="C2619" s="16"/>
      <c r="G2619" s="15">
        <f t="shared" ca="1" si="675"/>
        <v>122</v>
      </c>
      <c r="H2619" s="15">
        <v>1</v>
      </c>
      <c r="I2619" s="15" t="str">
        <f t="shared" ca="1" si="676"/>
        <v>RadioCard_TETRA_Exp2</v>
      </c>
      <c r="J2619" s="15" t="str">
        <f t="shared" ca="1" si="683"/>
        <v>RadioCard_TETRA_Exp2!A122</v>
      </c>
      <c r="K2619" s="15" t="str">
        <f t="shared" ca="1" si="684"/>
        <v>RadioCard_TETRA_Exp2!B122</v>
      </c>
    </row>
    <row r="2620" spans="1:11" x14ac:dyDescent="0.25">
      <c r="A2620" s="3" t="str">
        <f t="shared" ca="1" si="685"/>
        <v/>
      </c>
      <c r="G2620" s="15">
        <f t="shared" ca="1" si="675"/>
        <v>123</v>
      </c>
      <c r="H2620" s="15">
        <v>1</v>
      </c>
      <c r="I2620" s="15" t="str">
        <f t="shared" ca="1" si="676"/>
        <v>RadioCard_TETRA_Exp2</v>
      </c>
      <c r="J2620" s="15" t="str">
        <f t="shared" ca="1" si="683"/>
        <v>RadioCard_TETRA_Exp2!A123</v>
      </c>
      <c r="K2620" s="15" t="str">
        <f t="shared" ca="1" si="684"/>
        <v>RadioCard_TETRA_Exp2!B123</v>
      </c>
    </row>
    <row r="2621" spans="1:11" x14ac:dyDescent="0.25">
      <c r="A2621" s="3" t="str">
        <f t="shared" ca="1" si="685"/>
        <v/>
      </c>
      <c r="G2621" s="15">
        <f t="shared" ca="1" si="675"/>
        <v>124</v>
      </c>
      <c r="H2621" s="15">
        <v>1</v>
      </c>
      <c r="I2621" s="15" t="str">
        <f t="shared" ca="1" si="676"/>
        <v>RadioCard_TETRA_Exp2</v>
      </c>
      <c r="J2621" s="15" t="str">
        <f t="shared" ca="1" si="683"/>
        <v>RadioCard_TETRA_Exp2!A124</v>
      </c>
      <c r="K2621" s="15" t="str">
        <f t="shared" ca="1" si="684"/>
        <v>RadioCard_TETRA_Exp2!B124</v>
      </c>
    </row>
    <row r="2622" spans="1:11" x14ac:dyDescent="0.25">
      <c r="A2622" s="3" t="str">
        <f t="shared" ca="1" si="685"/>
        <v/>
      </c>
      <c r="G2622" s="15">
        <f t="shared" ca="1" si="675"/>
        <v>125</v>
      </c>
      <c r="H2622" s="15">
        <v>1</v>
      </c>
      <c r="I2622" s="15" t="str">
        <f t="shared" ca="1" si="676"/>
        <v>RadioCard_TETRA_Exp2</v>
      </c>
      <c r="J2622" s="15" t="str">
        <f t="shared" ca="1" si="683"/>
        <v>RadioCard_TETRA_Exp2!A125</v>
      </c>
      <c r="K2622" s="15" t="str">
        <f t="shared" ca="1" si="684"/>
        <v>RadioCard_TETRA_Exp2!B125</v>
      </c>
    </row>
    <row r="2623" spans="1:11" x14ac:dyDescent="0.25">
      <c r="A2623" s="3" t="str">
        <f t="shared" ca="1" si="685"/>
        <v/>
      </c>
      <c r="G2623" s="15">
        <f t="shared" ca="1" si="675"/>
        <v>126</v>
      </c>
      <c r="H2623" s="15">
        <v>1</v>
      </c>
      <c r="I2623" s="15" t="str">
        <f t="shared" ca="1" si="676"/>
        <v>RadioCard_TETRA_Exp2</v>
      </c>
      <c r="J2623" s="15" t="str">
        <f t="shared" ca="1" si="683"/>
        <v>RadioCard_TETRA_Exp2!A126</v>
      </c>
      <c r="K2623" s="15" t="str">
        <f t="shared" ca="1" si="684"/>
        <v>RadioCard_TETRA_Exp2!B126</v>
      </c>
    </row>
    <row r="2624" spans="1:11" x14ac:dyDescent="0.25">
      <c r="A2624" s="3" t="str">
        <f t="shared" ca="1" si="685"/>
        <v/>
      </c>
      <c r="G2624" s="15">
        <f t="shared" ca="1" si="675"/>
        <v>127</v>
      </c>
      <c r="H2624" s="15">
        <v>1</v>
      </c>
      <c r="I2624" s="15" t="str">
        <f t="shared" ca="1" si="676"/>
        <v>RadioCard_TETRA_Exp2</v>
      </c>
      <c r="J2624" s="15" t="str">
        <f t="shared" ca="1" si="683"/>
        <v>RadioCard_TETRA_Exp2!A127</v>
      </c>
      <c r="K2624" s="15" t="str">
        <f t="shared" ca="1" si="684"/>
        <v>RadioCard_TETRA_Exp2!B127</v>
      </c>
    </row>
    <row r="2625" spans="1:16" x14ac:dyDescent="0.25">
      <c r="A2625" s="3" t="str">
        <f t="shared" ca="1" si="685"/>
        <v/>
      </c>
      <c r="G2625" s="15">
        <f t="shared" ca="1" si="675"/>
        <v>128</v>
      </c>
      <c r="H2625" s="15">
        <v>1</v>
      </c>
      <c r="I2625" s="15" t="str">
        <f t="shared" ca="1" si="676"/>
        <v>RadioCard_TETRA_Exp2</v>
      </c>
      <c r="J2625" s="15" t="str">
        <f t="shared" ca="1" si="683"/>
        <v>RadioCard_TETRA_Exp2!A128</v>
      </c>
      <c r="K2625" s="15" t="str">
        <f t="shared" ca="1" si="684"/>
        <v>RadioCard_TETRA_Exp2!B128</v>
      </c>
    </row>
    <row r="2626" spans="1:16" x14ac:dyDescent="0.25">
      <c r="A2626" s="3" t="str">
        <f t="shared" ca="1" si="685"/>
        <v/>
      </c>
      <c r="G2626" s="15">
        <f t="shared" ca="1" si="675"/>
        <v>129</v>
      </c>
      <c r="H2626" s="15">
        <v>1</v>
      </c>
      <c r="I2626" s="15" t="str">
        <f t="shared" ca="1" si="676"/>
        <v>RadioCard_TETRA_Exp2</v>
      </c>
      <c r="J2626" s="15" t="str">
        <f t="shared" ca="1" si="683"/>
        <v>RadioCard_TETRA_Exp2!A129</v>
      </c>
      <c r="K2626" s="15" t="str">
        <f t="shared" ca="1" si="684"/>
        <v>RadioCard_TETRA_Exp2!B129</v>
      </c>
    </row>
    <row r="2627" spans="1:16" x14ac:dyDescent="0.25">
      <c r="A2627" s="3" t="str">
        <f t="shared" ca="1" si="685"/>
        <v/>
      </c>
      <c r="G2627" s="15">
        <f t="shared" ca="1" si="675"/>
        <v>130</v>
      </c>
      <c r="H2627" s="15">
        <v>1</v>
      </c>
      <c r="I2627" s="15" t="str">
        <f t="shared" ca="1" si="676"/>
        <v>RadioCard_TETRA_Exp2</v>
      </c>
      <c r="J2627" s="15" t="str">
        <f t="shared" ca="1" si="683"/>
        <v>RadioCard_TETRA_Exp2!A130</v>
      </c>
      <c r="K2627" s="15" t="str">
        <f t="shared" ca="1" si="684"/>
        <v>RadioCard_TETRA_Exp2!B130</v>
      </c>
    </row>
    <row r="2628" spans="1:16" x14ac:dyDescent="0.25">
      <c r="A2628" s="3" t="str">
        <f t="shared" ca="1" si="685"/>
        <v xml:space="preserve">#LMK04610_TETRA =  configuration </v>
      </c>
      <c r="G2628" s="15">
        <f t="shared" ref="G2628" ca="1" si="690">INDIRECT(M2628)</f>
        <v>51</v>
      </c>
      <c r="H2628" s="15">
        <v>1</v>
      </c>
      <c r="I2628" s="15" t="str">
        <f t="shared" ref="I2628" ca="1" si="691">INDIRECT(N2628)</f>
        <v>RadioCard_TETRA_Devices</v>
      </c>
      <c r="J2628" s="15" t="str">
        <f t="shared" ca="1" si="683"/>
        <v>RadioCard_TETRA_Devices!A51</v>
      </c>
      <c r="K2628" s="15" t="str">
        <f t="shared" ca="1" si="684"/>
        <v>RadioCard_TETRA_Devices!B51</v>
      </c>
      <c r="M2628" s="15" t="str">
        <f t="shared" ref="M2628" si="692">ADDRESS(O2628,3,4,1,$R$1)</f>
        <v>konfig!C133</v>
      </c>
      <c r="N2628" s="15" t="str">
        <f t="shared" ref="N2628" si="693">ADDRESS(O2628,1,4,1,$R$1)</f>
        <v>konfig!A133</v>
      </c>
      <c r="O2628" s="15">
        <v>133</v>
      </c>
      <c r="P2628" s="15">
        <v>4</v>
      </c>
    </row>
    <row r="2629" spans="1:16" x14ac:dyDescent="0.25">
      <c r="A2629" s="3" t="str">
        <f t="shared" ca="1" si="685"/>
        <v xml:space="preserve">device = LMK04610 </v>
      </c>
      <c r="G2629" s="15">
        <f t="shared" ca="1" si="681"/>
        <v>52</v>
      </c>
      <c r="H2629" s="15">
        <v>1</v>
      </c>
      <c r="I2629" s="15" t="str">
        <f t="shared" ca="1" si="682"/>
        <v>RadioCard_TETRA_Devices</v>
      </c>
      <c r="J2629" s="15" t="str">
        <f t="shared" ca="1" si="683"/>
        <v>RadioCard_TETRA_Devices!A52</v>
      </c>
      <c r="K2629" s="15" t="str">
        <f t="shared" ca="1" si="684"/>
        <v>RadioCard_TETRA_Devices!B52</v>
      </c>
    </row>
    <row r="2630" spans="1:16" x14ac:dyDescent="0.25">
      <c r="A2630" s="3" t="str">
        <f t="shared" ca="1" si="685"/>
        <v xml:space="preserve">spi_num = /dev/spidev0.0 </v>
      </c>
      <c r="G2630" s="15">
        <f t="shared" ca="1" si="675"/>
        <v>53</v>
      </c>
      <c r="H2630" s="15">
        <v>1</v>
      </c>
      <c r="I2630" s="15" t="str">
        <f t="shared" ca="1" si="676"/>
        <v>RadioCard_TETRA_Devices</v>
      </c>
      <c r="J2630" s="15" t="str">
        <f t="shared" ca="1" si="683"/>
        <v>RadioCard_TETRA_Devices!A53</v>
      </c>
      <c r="K2630" s="15" t="str">
        <f t="shared" ca="1" si="684"/>
        <v>RadioCard_TETRA_Devices!B53</v>
      </c>
    </row>
    <row r="2631" spans="1:16" x14ac:dyDescent="0.25">
      <c r="A2631" s="3" t="str">
        <f t="shared" ca="1" si="685"/>
        <v xml:space="preserve">path_cfg = ./device_config_files/radio_config_files/radiocard_TETRA/LMK04610.txt </v>
      </c>
      <c r="C2631" s="16"/>
      <c r="G2631" s="15">
        <f t="shared" ca="1" si="675"/>
        <v>54</v>
      </c>
      <c r="H2631" s="15">
        <v>1</v>
      </c>
      <c r="I2631" s="15" t="str">
        <f t="shared" ca="1" si="676"/>
        <v>RadioCard_TETRA_Devices</v>
      </c>
      <c r="J2631" s="15" t="str">
        <f t="shared" ca="1" si="683"/>
        <v>RadioCard_TETRA_Devices!A54</v>
      </c>
      <c r="K2631" s="15" t="str">
        <f t="shared" ca="1" si="684"/>
        <v>RadioCard_TETRA_Devices!B54</v>
      </c>
    </row>
    <row r="2632" spans="1:16" x14ac:dyDescent="0.25">
      <c r="A2632" s="3" t="str">
        <f t="shared" ca="1" si="685"/>
        <v/>
      </c>
      <c r="G2632" s="15">
        <f t="shared" ca="1" si="675"/>
        <v>55</v>
      </c>
      <c r="H2632" s="15">
        <v>1</v>
      </c>
      <c r="I2632" s="15" t="str">
        <f t="shared" ca="1" si="676"/>
        <v>RadioCard_TETRA_Devices</v>
      </c>
      <c r="J2632" s="15" t="str">
        <f t="shared" ca="1" si="683"/>
        <v>RadioCard_TETRA_Devices!A55</v>
      </c>
      <c r="K2632" s="15" t="str">
        <f t="shared" ca="1" si="684"/>
        <v>RadioCard_TETRA_Devices!B55</v>
      </c>
    </row>
    <row r="2633" spans="1:16" x14ac:dyDescent="0.25">
      <c r="A2633" s="3" t="str">
        <f t="shared" ca="1" si="685"/>
        <v xml:space="preserve">time = 10 </v>
      </c>
      <c r="G2633" s="15">
        <f t="shared" ref="G2633:G2696" ca="1" si="694">G2632+1</f>
        <v>56</v>
      </c>
      <c r="H2633" s="15">
        <v>1</v>
      </c>
      <c r="I2633" s="15" t="str">
        <f t="shared" ref="I2633:I2696" ca="1" si="695">I2632</f>
        <v>RadioCard_TETRA_Devices</v>
      </c>
      <c r="J2633" s="15" t="str">
        <f t="shared" ca="1" si="683"/>
        <v>RadioCard_TETRA_Devices!A56</v>
      </c>
      <c r="K2633" s="15" t="str">
        <f t="shared" ca="1" si="684"/>
        <v>RadioCard_TETRA_Devices!B56</v>
      </c>
    </row>
    <row r="2634" spans="1:16" x14ac:dyDescent="0.25">
      <c r="A2634" s="3" t="str">
        <f t="shared" ca="1" si="685"/>
        <v/>
      </c>
      <c r="G2634" s="15">
        <f t="shared" ca="1" si="694"/>
        <v>57</v>
      </c>
      <c r="H2634" s="15">
        <v>1</v>
      </c>
      <c r="I2634" s="15" t="str">
        <f t="shared" ca="1" si="695"/>
        <v>RadioCard_TETRA_Devices</v>
      </c>
      <c r="J2634" s="15" t="str">
        <f t="shared" ca="1" si="683"/>
        <v>RadioCard_TETRA_Devices!A57</v>
      </c>
      <c r="K2634" s="15" t="str">
        <f t="shared" ca="1" si="684"/>
        <v>RadioCard_TETRA_Devices!B57</v>
      </c>
    </row>
    <row r="2635" spans="1:16" x14ac:dyDescent="0.25">
      <c r="A2635" s="3" t="str">
        <f t="shared" ca="1" si="685"/>
        <v/>
      </c>
      <c r="G2635" s="15">
        <f t="shared" ca="1" si="694"/>
        <v>58</v>
      </c>
      <c r="H2635" s="15">
        <v>1</v>
      </c>
      <c r="I2635" s="15" t="str">
        <f t="shared" ca="1" si="695"/>
        <v>RadioCard_TETRA_Devices</v>
      </c>
      <c r="J2635" s="15" t="str">
        <f t="shared" ca="1" si="683"/>
        <v>RadioCard_TETRA_Devices!A58</v>
      </c>
      <c r="K2635" s="15" t="str">
        <f t="shared" ca="1" si="684"/>
        <v>RadioCard_TETRA_Devices!B58</v>
      </c>
    </row>
    <row r="2636" spans="1:16" x14ac:dyDescent="0.25">
      <c r="A2636" s="3" t="str">
        <f t="shared" ca="1" si="685"/>
        <v/>
      </c>
      <c r="G2636" s="15">
        <f t="shared" ca="1" si="694"/>
        <v>59</v>
      </c>
      <c r="H2636" s="15">
        <v>1</v>
      </c>
      <c r="I2636" s="15" t="str">
        <f t="shared" ca="1" si="695"/>
        <v>RadioCard_TETRA_Devices</v>
      </c>
      <c r="J2636" s="15" t="str">
        <f t="shared" ca="1" si="683"/>
        <v>RadioCard_TETRA_Devices!A59</v>
      </c>
      <c r="K2636" s="15" t="str">
        <f t="shared" ca="1" si="684"/>
        <v>RadioCard_TETRA_Devices!B59</v>
      </c>
    </row>
    <row r="2637" spans="1:16" x14ac:dyDescent="0.25">
      <c r="A2637" s="3" t="str">
        <f t="shared" ca="1" si="685"/>
        <v/>
      </c>
      <c r="G2637" s="15">
        <f t="shared" ca="1" si="694"/>
        <v>60</v>
      </c>
      <c r="H2637" s="15">
        <v>1</v>
      </c>
      <c r="I2637" s="15" t="str">
        <f t="shared" ca="1" si="695"/>
        <v>RadioCard_TETRA_Devices</v>
      </c>
      <c r="J2637" s="15" t="str">
        <f t="shared" ca="1" si="683"/>
        <v>RadioCard_TETRA_Devices!A60</v>
      </c>
      <c r="K2637" s="15" t="str">
        <f t="shared" ca="1" si="684"/>
        <v>RadioCard_TETRA_Devices!B60</v>
      </c>
    </row>
    <row r="2638" spans="1:16" x14ac:dyDescent="0.25">
      <c r="A2638" s="3" t="str">
        <f t="shared" ca="1" si="685"/>
        <v/>
      </c>
      <c r="G2638" s="15">
        <f t="shared" ca="1" si="694"/>
        <v>61</v>
      </c>
      <c r="H2638" s="15">
        <v>1</v>
      </c>
      <c r="I2638" s="15" t="str">
        <f t="shared" ca="1" si="695"/>
        <v>RadioCard_TETRA_Devices</v>
      </c>
      <c r="J2638" s="15" t="str">
        <f t="shared" ca="1" si="683"/>
        <v>RadioCard_TETRA_Devices!A61</v>
      </c>
      <c r="K2638" s="15" t="str">
        <f t="shared" ca="1" si="684"/>
        <v>RadioCard_TETRA_Devices!B61</v>
      </c>
    </row>
    <row r="2639" spans="1:16" x14ac:dyDescent="0.25">
      <c r="A2639" s="3" t="str">
        <f t="shared" ca="1" si="685"/>
        <v/>
      </c>
      <c r="C2639" s="16"/>
      <c r="G2639" s="15">
        <f t="shared" ca="1" si="694"/>
        <v>62</v>
      </c>
      <c r="H2639" s="15">
        <v>1</v>
      </c>
      <c r="I2639" s="15" t="str">
        <f t="shared" ca="1" si="695"/>
        <v>RadioCard_TETRA_Devices</v>
      </c>
      <c r="J2639" s="15" t="str">
        <f t="shared" ca="1" si="683"/>
        <v>RadioCard_TETRA_Devices!A62</v>
      </c>
      <c r="K2639" s="15" t="str">
        <f t="shared" ca="1" si="684"/>
        <v>RadioCard_TETRA_Devices!B62</v>
      </c>
    </row>
    <row r="2640" spans="1:16" x14ac:dyDescent="0.25">
      <c r="A2640" s="3" t="str">
        <f t="shared" ca="1" si="685"/>
        <v/>
      </c>
      <c r="G2640" s="15">
        <f t="shared" ca="1" si="694"/>
        <v>63</v>
      </c>
      <c r="H2640" s="15">
        <v>1</v>
      </c>
      <c r="I2640" s="15" t="str">
        <f t="shared" ca="1" si="695"/>
        <v>RadioCard_TETRA_Devices</v>
      </c>
      <c r="J2640" s="15" t="str">
        <f t="shared" ca="1" si="683"/>
        <v>RadioCard_TETRA_Devices!A63</v>
      </c>
      <c r="K2640" s="15" t="str">
        <f t="shared" ca="1" si="684"/>
        <v>RadioCard_TETRA_Devices!B63</v>
      </c>
    </row>
    <row r="2641" spans="1:16" x14ac:dyDescent="0.25">
      <c r="A2641" s="3" t="str">
        <f t="shared" ca="1" si="685"/>
        <v/>
      </c>
      <c r="G2641" s="15">
        <f t="shared" ca="1" si="694"/>
        <v>64</v>
      </c>
      <c r="H2641" s="15">
        <v>1</v>
      </c>
      <c r="I2641" s="15" t="str">
        <f t="shared" ca="1" si="695"/>
        <v>RadioCard_TETRA_Devices</v>
      </c>
      <c r="J2641" s="15" t="str">
        <f t="shared" ca="1" si="683"/>
        <v>RadioCard_TETRA_Devices!A64</v>
      </c>
      <c r="K2641" s="15" t="str">
        <f t="shared" ca="1" si="684"/>
        <v>RadioCard_TETRA_Devices!B64</v>
      </c>
    </row>
    <row r="2642" spans="1:16" x14ac:dyDescent="0.25">
      <c r="A2642" s="3" t="str">
        <f t="shared" ca="1" si="685"/>
        <v/>
      </c>
      <c r="G2642" s="15">
        <f t="shared" ca="1" si="694"/>
        <v>65</v>
      </c>
      <c r="H2642" s="15">
        <v>1</v>
      </c>
      <c r="I2642" s="15" t="str">
        <f t="shared" ca="1" si="695"/>
        <v>RadioCard_TETRA_Devices</v>
      </c>
      <c r="J2642" s="15" t="str">
        <f t="shared" ca="1" si="683"/>
        <v>RadioCard_TETRA_Devices!A65</v>
      </c>
      <c r="K2642" s="15" t="str">
        <f t="shared" ca="1" si="684"/>
        <v>RadioCard_TETRA_Devices!B65</v>
      </c>
    </row>
    <row r="2643" spans="1:16" x14ac:dyDescent="0.25">
      <c r="A2643" s="3" t="str">
        <f t="shared" ca="1" si="685"/>
        <v/>
      </c>
      <c r="G2643" s="15">
        <f t="shared" ca="1" si="694"/>
        <v>66</v>
      </c>
      <c r="H2643" s="15">
        <v>1</v>
      </c>
      <c r="I2643" s="15" t="str">
        <f t="shared" ca="1" si="695"/>
        <v>RadioCard_TETRA_Devices</v>
      </c>
      <c r="J2643" s="15" t="str">
        <f t="shared" ca="1" si="683"/>
        <v>RadioCard_TETRA_Devices!A66</v>
      </c>
      <c r="K2643" s="15" t="str">
        <f t="shared" ca="1" si="684"/>
        <v>RadioCard_TETRA_Devices!B66</v>
      </c>
    </row>
    <row r="2644" spans="1:16" x14ac:dyDescent="0.25">
      <c r="A2644" s="3" t="str">
        <f t="shared" ca="1" si="685"/>
        <v/>
      </c>
      <c r="G2644" s="15">
        <f t="shared" ca="1" si="694"/>
        <v>67</v>
      </c>
      <c r="H2644" s="15">
        <v>1</v>
      </c>
      <c r="I2644" s="15" t="str">
        <f t="shared" ca="1" si="695"/>
        <v>RadioCard_TETRA_Devices</v>
      </c>
      <c r="J2644" s="15" t="str">
        <f t="shared" ca="1" si="683"/>
        <v>RadioCard_TETRA_Devices!A67</v>
      </c>
      <c r="K2644" s="15" t="str">
        <f t="shared" ca="1" si="684"/>
        <v>RadioCard_TETRA_Devices!B67</v>
      </c>
    </row>
    <row r="2645" spans="1:16" x14ac:dyDescent="0.25">
      <c r="A2645" s="3" t="str">
        <f t="shared" ca="1" si="685"/>
        <v/>
      </c>
      <c r="G2645" s="15">
        <f t="shared" ca="1" si="694"/>
        <v>68</v>
      </c>
      <c r="H2645" s="15">
        <v>1</v>
      </c>
      <c r="I2645" s="15" t="str">
        <f t="shared" ca="1" si="695"/>
        <v>RadioCard_TETRA_Devices</v>
      </c>
      <c r="J2645" s="15" t="str">
        <f t="shared" ca="1" si="683"/>
        <v>RadioCard_TETRA_Devices!A68</v>
      </c>
      <c r="K2645" s="15" t="str">
        <f t="shared" ca="1" si="684"/>
        <v>RadioCard_TETRA_Devices!B68</v>
      </c>
    </row>
    <row r="2646" spans="1:16" x14ac:dyDescent="0.25">
      <c r="A2646" s="3" t="str">
        <f t="shared" ca="1" si="685"/>
        <v/>
      </c>
      <c r="G2646" s="15">
        <f t="shared" ca="1" si="694"/>
        <v>69</v>
      </c>
      <c r="H2646" s="15">
        <v>1</v>
      </c>
      <c r="I2646" s="15" t="str">
        <f t="shared" ca="1" si="695"/>
        <v>RadioCard_TETRA_Devices</v>
      </c>
      <c r="J2646" s="15" t="str">
        <f t="shared" ca="1" si="683"/>
        <v>RadioCard_TETRA_Devices!A69</v>
      </c>
      <c r="K2646" s="15" t="str">
        <f t="shared" ca="1" si="684"/>
        <v>RadioCard_TETRA_Devices!B69</v>
      </c>
    </row>
    <row r="2647" spans="1:16" x14ac:dyDescent="0.25">
      <c r="A2647" s="3" t="str">
        <f t="shared" ca="1" si="685"/>
        <v/>
      </c>
      <c r="G2647" s="15">
        <f t="shared" ca="1" si="694"/>
        <v>70</v>
      </c>
      <c r="H2647" s="15">
        <v>1</v>
      </c>
      <c r="I2647" s="15" t="str">
        <f t="shared" ca="1" si="695"/>
        <v>RadioCard_TETRA_Devices</v>
      </c>
      <c r="J2647" s="15" t="str">
        <f t="shared" ca="1" si="683"/>
        <v>RadioCard_TETRA_Devices!A70</v>
      </c>
      <c r="K2647" s="15" t="str">
        <f t="shared" ca="1" si="684"/>
        <v>RadioCard_TETRA_Devices!B70</v>
      </c>
    </row>
    <row r="2648" spans="1:16" x14ac:dyDescent="0.25">
      <c r="A2648" s="3" t="str">
        <f t="shared" ca="1" si="685"/>
        <v xml:space="preserve">#RadioCard_TETRA_Exp1:etap 5 LTC =  </v>
      </c>
      <c r="G2648" s="15">
        <f t="shared" ref="G2648" ca="1" si="696">INDIRECT(M2648)</f>
        <v>131</v>
      </c>
      <c r="H2648" s="15">
        <v>1</v>
      </c>
      <c r="I2648" s="15" t="str">
        <f t="shared" ref="I2648" ca="1" si="697">INDIRECT(N2648)</f>
        <v>RadioCard_TETRA_Exp2</v>
      </c>
      <c r="J2648" s="15" t="str">
        <f t="shared" ca="1" si="683"/>
        <v>RadioCard_TETRA_Exp2!A131</v>
      </c>
      <c r="K2648" s="15" t="str">
        <f t="shared" ca="1" si="684"/>
        <v>RadioCard_TETRA_Exp2!B131</v>
      </c>
      <c r="M2648" s="15" t="str">
        <f t="shared" ref="M2648" si="698">ADDRESS(O2648,3,4,1,$R$1)</f>
        <v>konfig!C134</v>
      </c>
      <c r="N2648" s="15" t="str">
        <f t="shared" ref="N2648" si="699">ADDRESS(O2648,1,4,1,$R$1)</f>
        <v>konfig!A134</v>
      </c>
      <c r="O2648" s="15">
        <v>134</v>
      </c>
      <c r="P2648" s="15">
        <v>4</v>
      </c>
    </row>
    <row r="2649" spans="1:16" x14ac:dyDescent="0.25">
      <c r="A2649" s="3" t="str">
        <f t="shared" ca="1" si="685"/>
        <v xml:space="preserve">device = MCP23017 </v>
      </c>
      <c r="G2649" s="15">
        <f t="shared" ref="G2649:G2692" ca="1" si="700">G2648+1</f>
        <v>132</v>
      </c>
      <c r="H2649" s="15">
        <v>1</v>
      </c>
      <c r="I2649" s="15" t="str">
        <f t="shared" ref="I2649:I2692" ca="1" si="701">I2648</f>
        <v>RadioCard_TETRA_Exp2</v>
      </c>
      <c r="J2649" s="15" t="str">
        <f t="shared" ca="1" si="683"/>
        <v>RadioCard_TETRA_Exp2!A132</v>
      </c>
      <c r="K2649" s="15" t="str">
        <f t="shared" ca="1" si="684"/>
        <v>RadioCard_TETRA_Exp2!B132</v>
      </c>
    </row>
    <row r="2650" spans="1:16" x14ac:dyDescent="0.25">
      <c r="A2650" s="3" t="str">
        <f t="shared" ca="1" si="685"/>
        <v xml:space="preserve">i2c_addr = 0x27 </v>
      </c>
      <c r="G2650" s="15">
        <f t="shared" ca="1" si="700"/>
        <v>133</v>
      </c>
      <c r="H2650" s="15">
        <v>1</v>
      </c>
      <c r="I2650" s="15" t="str">
        <f t="shared" ca="1" si="701"/>
        <v>RadioCard_TETRA_Exp2</v>
      </c>
      <c r="J2650" s="15" t="str">
        <f t="shared" ca="1" si="683"/>
        <v>RadioCard_TETRA_Exp2!A133</v>
      </c>
      <c r="K2650" s="15" t="str">
        <f t="shared" ca="1" si="684"/>
        <v>RadioCard_TETRA_Exp2!B133</v>
      </c>
    </row>
    <row r="2651" spans="1:16" x14ac:dyDescent="0.25">
      <c r="A2651" s="3" t="str">
        <f t="shared" ca="1" si="685"/>
        <v xml:space="preserve">i2c_num = /dev/i2c-1 </v>
      </c>
      <c r="C2651" s="16"/>
      <c r="G2651" s="15">
        <f t="shared" ca="1" si="700"/>
        <v>134</v>
      </c>
      <c r="H2651" s="15">
        <v>1</v>
      </c>
      <c r="I2651" s="15" t="str">
        <f t="shared" ca="1" si="701"/>
        <v>RadioCard_TETRA_Exp2</v>
      </c>
      <c r="J2651" s="15" t="str">
        <f t="shared" ca="1" si="683"/>
        <v>RadioCard_TETRA_Exp2!A134</v>
      </c>
      <c r="K2651" s="15" t="str">
        <f t="shared" ca="1" si="684"/>
        <v>RadioCard_TETRA_Exp2!B134</v>
      </c>
    </row>
    <row r="2652" spans="1:16" x14ac:dyDescent="0.25">
      <c r="A2652" s="3" t="str">
        <f t="shared" ca="1" si="685"/>
        <v xml:space="preserve">pins_mode = 0xCE8C </v>
      </c>
      <c r="G2652" s="15">
        <f t="shared" ca="1" si="700"/>
        <v>135</v>
      </c>
      <c r="H2652" s="15">
        <v>1</v>
      </c>
      <c r="I2652" s="15" t="str">
        <f t="shared" ca="1" si="701"/>
        <v>RadioCard_TETRA_Exp2</v>
      </c>
      <c r="J2652" s="15" t="str">
        <f t="shared" ca="1" si="683"/>
        <v>RadioCard_TETRA_Exp2!A135</v>
      </c>
      <c r="K2652" s="15" t="str">
        <f t="shared" ca="1" si="684"/>
        <v>RadioCard_TETRA_Exp2!B135</v>
      </c>
    </row>
    <row r="2653" spans="1:16" x14ac:dyDescent="0.25">
      <c r="A2653" s="3" t="str">
        <f t="shared" ca="1" si="685"/>
        <v xml:space="preserve">pins_state = 0x3123 </v>
      </c>
      <c r="G2653" s="15">
        <f t="shared" ca="1" si="694"/>
        <v>136</v>
      </c>
      <c r="H2653" s="15">
        <v>1</v>
      </c>
      <c r="I2653" s="15" t="str">
        <f t="shared" ca="1" si="695"/>
        <v>RadioCard_TETRA_Exp2</v>
      </c>
      <c r="J2653" s="15" t="str">
        <f t="shared" ca="1" si="683"/>
        <v>RadioCard_TETRA_Exp2!A136</v>
      </c>
      <c r="K2653" s="15" t="str">
        <f t="shared" ca="1" si="684"/>
        <v>RadioCard_TETRA_Exp2!B136</v>
      </c>
    </row>
    <row r="2654" spans="1:16" x14ac:dyDescent="0.25">
      <c r="A2654" s="3" t="str">
        <f t="shared" ca="1" si="685"/>
        <v xml:space="preserve">pins_pull_up = 0x4808 </v>
      </c>
      <c r="G2654" s="15">
        <f t="shared" ca="1" si="694"/>
        <v>137</v>
      </c>
      <c r="H2654" s="15">
        <v>1</v>
      </c>
      <c r="I2654" s="15" t="str">
        <f t="shared" ca="1" si="695"/>
        <v>RadioCard_TETRA_Exp2</v>
      </c>
      <c r="J2654" s="15" t="str">
        <f t="shared" ca="1" si="683"/>
        <v>RadioCard_TETRA_Exp2!A137</v>
      </c>
      <c r="K2654" s="15" t="str">
        <f t="shared" ca="1" si="684"/>
        <v>RadioCard_TETRA_Exp2!B137</v>
      </c>
    </row>
    <row r="2655" spans="1:16" x14ac:dyDescent="0.25">
      <c r="A2655" s="3" t="str">
        <f t="shared" ca="1" si="685"/>
        <v xml:space="preserve">#pins_int = 0x0000 </v>
      </c>
      <c r="G2655" s="15">
        <f t="shared" ca="1" si="694"/>
        <v>138</v>
      </c>
      <c r="H2655" s="15">
        <v>1</v>
      </c>
      <c r="I2655" s="15" t="str">
        <f t="shared" ca="1" si="695"/>
        <v>RadioCard_TETRA_Exp2</v>
      </c>
      <c r="J2655" s="15" t="str">
        <f t="shared" ca="1" si="683"/>
        <v>RadioCard_TETRA_Exp2!A138</v>
      </c>
      <c r="K2655" s="15" t="str">
        <f t="shared" ca="1" si="684"/>
        <v>RadioCard_TETRA_Exp2!B138</v>
      </c>
    </row>
    <row r="2656" spans="1:16" x14ac:dyDescent="0.25">
      <c r="A2656" s="3" t="str">
        <f t="shared" ca="1" si="685"/>
        <v xml:space="preserve">#pins_def_val = 0x0000 </v>
      </c>
      <c r="G2656" s="15">
        <f t="shared" ca="1" si="694"/>
        <v>139</v>
      </c>
      <c r="H2656" s="15">
        <v>1</v>
      </c>
      <c r="I2656" s="15" t="str">
        <f t="shared" ca="1" si="695"/>
        <v>RadioCard_TETRA_Exp2</v>
      </c>
      <c r="J2656" s="15" t="str">
        <f t="shared" ca="1" si="683"/>
        <v>RadioCard_TETRA_Exp2!A139</v>
      </c>
      <c r="K2656" s="15" t="str">
        <f t="shared" ca="1" si="684"/>
        <v>RadioCard_TETRA_Exp2!B139</v>
      </c>
    </row>
    <row r="2657" spans="1:16" x14ac:dyDescent="0.25">
      <c r="A2657" s="3" t="str">
        <f t="shared" ca="1" si="685"/>
        <v/>
      </c>
      <c r="G2657" s="15">
        <f t="shared" ca="1" si="694"/>
        <v>140</v>
      </c>
      <c r="H2657" s="15">
        <v>1</v>
      </c>
      <c r="I2657" s="15" t="str">
        <f t="shared" ca="1" si="695"/>
        <v>RadioCard_TETRA_Exp2</v>
      </c>
      <c r="J2657" s="15" t="str">
        <f t="shared" ca="1" si="683"/>
        <v>RadioCard_TETRA_Exp2!A140</v>
      </c>
      <c r="K2657" s="15" t="str">
        <f t="shared" ca="1" si="684"/>
        <v>RadioCard_TETRA_Exp2!B140</v>
      </c>
    </row>
    <row r="2658" spans="1:16" x14ac:dyDescent="0.25">
      <c r="A2658" s="3" t="str">
        <f t="shared" ca="1" si="685"/>
        <v xml:space="preserve">#pins_int = 10 </v>
      </c>
      <c r="G2658" s="15">
        <f t="shared" ca="1" si="694"/>
        <v>141</v>
      </c>
      <c r="H2658" s="15">
        <v>1</v>
      </c>
      <c r="I2658" s="15" t="str">
        <f t="shared" ca="1" si="695"/>
        <v>RadioCard_TETRA_Exp2</v>
      </c>
      <c r="J2658" s="15" t="str">
        <f t="shared" ca="1" si="683"/>
        <v>RadioCard_TETRA_Exp2!A141</v>
      </c>
      <c r="K2658" s="15" t="str">
        <f t="shared" ca="1" si="684"/>
        <v>RadioCard_TETRA_Exp2!B141</v>
      </c>
    </row>
    <row r="2659" spans="1:16" x14ac:dyDescent="0.25">
      <c r="A2659" s="3" t="str">
        <f t="shared" ca="1" si="685"/>
        <v/>
      </c>
      <c r="C2659" s="16"/>
      <c r="G2659" s="15">
        <f t="shared" ca="1" si="694"/>
        <v>142</v>
      </c>
      <c r="H2659" s="15">
        <v>1</v>
      </c>
      <c r="I2659" s="15" t="str">
        <f t="shared" ca="1" si="695"/>
        <v>RadioCard_TETRA_Exp2</v>
      </c>
      <c r="J2659" s="15" t="str">
        <f t="shared" ca="1" si="683"/>
        <v>RadioCard_TETRA_Exp2!A142</v>
      </c>
      <c r="K2659" s="15" t="str">
        <f t="shared" ca="1" si="684"/>
        <v>RadioCard_TETRA_Exp2!B142</v>
      </c>
    </row>
    <row r="2660" spans="1:16" x14ac:dyDescent="0.25">
      <c r="A2660" s="3" t="str">
        <f t="shared" ca="1" si="685"/>
        <v/>
      </c>
      <c r="G2660" s="15">
        <f t="shared" ca="1" si="694"/>
        <v>143</v>
      </c>
      <c r="H2660" s="15">
        <v>1</v>
      </c>
      <c r="I2660" s="15" t="str">
        <f t="shared" ca="1" si="695"/>
        <v>RadioCard_TETRA_Exp2</v>
      </c>
      <c r="J2660" s="15" t="str">
        <f t="shared" ref="J2660:J2723" ca="1" si="702">ADDRESS(G2660,H2660,4,1,I2660)</f>
        <v>RadioCard_TETRA_Exp2!A143</v>
      </c>
      <c r="K2660" s="15" t="str">
        <f t="shared" ref="K2660:K2723" ca="1" si="703">ADDRESS(G2660,H2660+1,4,1,I2660)</f>
        <v>RadioCard_TETRA_Exp2!B143</v>
      </c>
    </row>
    <row r="2661" spans="1:16" x14ac:dyDescent="0.25">
      <c r="A2661" s="3" t="str">
        <f t="shared" ca="1" si="685"/>
        <v/>
      </c>
      <c r="G2661" s="15">
        <f t="shared" ca="1" si="694"/>
        <v>144</v>
      </c>
      <c r="H2661" s="15">
        <v>1</v>
      </c>
      <c r="I2661" s="15" t="str">
        <f t="shared" ca="1" si="695"/>
        <v>RadioCard_TETRA_Exp2</v>
      </c>
      <c r="J2661" s="15" t="str">
        <f t="shared" ca="1" si="702"/>
        <v>RadioCard_TETRA_Exp2!A144</v>
      </c>
      <c r="K2661" s="15" t="str">
        <f t="shared" ca="1" si="703"/>
        <v>RadioCard_TETRA_Exp2!B144</v>
      </c>
    </row>
    <row r="2662" spans="1:16" x14ac:dyDescent="0.25">
      <c r="A2662" s="3" t="str">
        <f t="shared" ca="1" si="685"/>
        <v/>
      </c>
      <c r="G2662" s="15">
        <f t="shared" ca="1" si="694"/>
        <v>145</v>
      </c>
      <c r="H2662" s="15">
        <v>1</v>
      </c>
      <c r="I2662" s="15" t="str">
        <f t="shared" ca="1" si="695"/>
        <v>RadioCard_TETRA_Exp2</v>
      </c>
      <c r="J2662" s="15" t="str">
        <f t="shared" ca="1" si="702"/>
        <v>RadioCard_TETRA_Exp2!A145</v>
      </c>
      <c r="K2662" s="15" t="str">
        <f t="shared" ca="1" si="703"/>
        <v>RadioCard_TETRA_Exp2!B145</v>
      </c>
    </row>
    <row r="2663" spans="1:16" x14ac:dyDescent="0.25">
      <c r="A2663" s="3" t="str">
        <f t="shared" ca="1" si="685"/>
        <v/>
      </c>
      <c r="G2663" s="15">
        <f t="shared" ca="1" si="694"/>
        <v>146</v>
      </c>
      <c r="H2663" s="15">
        <v>1</v>
      </c>
      <c r="I2663" s="15" t="str">
        <f t="shared" ca="1" si="695"/>
        <v>RadioCard_TETRA_Exp2</v>
      </c>
      <c r="J2663" s="15" t="str">
        <f t="shared" ca="1" si="702"/>
        <v>RadioCard_TETRA_Exp2!A146</v>
      </c>
      <c r="K2663" s="15" t="str">
        <f t="shared" ca="1" si="703"/>
        <v>RadioCard_TETRA_Exp2!B146</v>
      </c>
    </row>
    <row r="2664" spans="1:16" x14ac:dyDescent="0.25">
      <c r="A2664" s="3" t="str">
        <f t="shared" ca="1" si="685"/>
        <v/>
      </c>
      <c r="G2664" s="15">
        <f t="shared" ca="1" si="694"/>
        <v>147</v>
      </c>
      <c r="H2664" s="15">
        <v>1</v>
      </c>
      <c r="I2664" s="15" t="str">
        <f t="shared" ca="1" si="695"/>
        <v>RadioCard_TETRA_Exp2</v>
      </c>
      <c r="J2664" s="15" t="str">
        <f t="shared" ca="1" si="702"/>
        <v>RadioCard_TETRA_Exp2!A147</v>
      </c>
      <c r="K2664" s="15" t="str">
        <f t="shared" ca="1" si="703"/>
        <v>RadioCard_TETRA_Exp2!B147</v>
      </c>
    </row>
    <row r="2665" spans="1:16" x14ac:dyDescent="0.25">
      <c r="A2665" s="3" t="str">
        <f t="shared" ca="1" si="685"/>
        <v/>
      </c>
      <c r="G2665" s="15">
        <f t="shared" ca="1" si="694"/>
        <v>148</v>
      </c>
      <c r="H2665" s="15">
        <v>1</v>
      </c>
      <c r="I2665" s="15" t="str">
        <f t="shared" ca="1" si="695"/>
        <v>RadioCard_TETRA_Exp2</v>
      </c>
      <c r="J2665" s="15" t="str">
        <f t="shared" ca="1" si="702"/>
        <v>RadioCard_TETRA_Exp2!A148</v>
      </c>
      <c r="K2665" s="15" t="str">
        <f t="shared" ca="1" si="703"/>
        <v>RadioCard_TETRA_Exp2!B148</v>
      </c>
    </row>
    <row r="2666" spans="1:16" x14ac:dyDescent="0.25">
      <c r="A2666" s="3" t="str">
        <f t="shared" ca="1" si="685"/>
        <v/>
      </c>
      <c r="G2666" s="15">
        <f t="shared" ca="1" si="694"/>
        <v>149</v>
      </c>
      <c r="H2666" s="15">
        <v>1</v>
      </c>
      <c r="I2666" s="15" t="str">
        <f t="shared" ca="1" si="695"/>
        <v>RadioCard_TETRA_Exp2</v>
      </c>
      <c r="J2666" s="15" t="str">
        <f t="shared" ca="1" si="702"/>
        <v>RadioCard_TETRA_Exp2!A149</v>
      </c>
      <c r="K2666" s="15" t="str">
        <f t="shared" ca="1" si="703"/>
        <v>RadioCard_TETRA_Exp2!B149</v>
      </c>
    </row>
    <row r="2667" spans="1:16" x14ac:dyDescent="0.25">
      <c r="A2667" s="3" t="str">
        <f t="shared" ca="1" si="685"/>
        <v/>
      </c>
      <c r="G2667" s="15">
        <f t="shared" ca="1" si="694"/>
        <v>150</v>
      </c>
      <c r="H2667" s="15">
        <v>1</v>
      </c>
      <c r="I2667" s="15" t="str">
        <f t="shared" ca="1" si="695"/>
        <v>RadioCard_TETRA_Exp2</v>
      </c>
      <c r="J2667" s="15" t="str">
        <f t="shared" ca="1" si="702"/>
        <v>RadioCard_TETRA_Exp2!A150</v>
      </c>
      <c r="K2667" s="15" t="str">
        <f t="shared" ca="1" si="703"/>
        <v>RadioCard_TETRA_Exp2!B150</v>
      </c>
    </row>
    <row r="2668" spans="1:16" x14ac:dyDescent="0.25">
      <c r="A2668" s="3" t="str">
        <f t="shared" ref="A2668:A2731" ca="1" si="704">IFERROR(IF(INDIRECT(J2668)&lt;&gt;"",CONCATENATE(INDIRECT(J2668)," = ",INDIRECT(K2668)," "),""),"")</f>
        <v xml:space="preserve">#LTC2122_TETRA =  </v>
      </c>
      <c r="G2668" s="15">
        <f t="shared" ref="G2668" ca="1" si="705">INDIRECT(M2668)</f>
        <v>31</v>
      </c>
      <c r="H2668" s="15">
        <v>1</v>
      </c>
      <c r="I2668" s="15" t="str">
        <f t="shared" ref="I2668" ca="1" si="706">INDIRECT(N2668)</f>
        <v>RadioCard_TETRA_Devices</v>
      </c>
      <c r="J2668" s="15" t="str">
        <f t="shared" ca="1" si="702"/>
        <v>RadioCard_TETRA_Devices!A31</v>
      </c>
      <c r="K2668" s="15" t="str">
        <f t="shared" ca="1" si="703"/>
        <v>RadioCard_TETRA_Devices!B31</v>
      </c>
      <c r="M2668" s="15" t="str">
        <f t="shared" ref="M2668" si="707">ADDRESS(O2668,3,4,1,$R$1)</f>
        <v>konfig!C135</v>
      </c>
      <c r="N2668" s="15" t="str">
        <f t="shared" ref="N2668" si="708">ADDRESS(O2668,1,4,1,$R$1)</f>
        <v>konfig!A135</v>
      </c>
      <c r="O2668" s="15">
        <v>135</v>
      </c>
      <c r="P2668" s="15">
        <v>4</v>
      </c>
    </row>
    <row r="2669" spans="1:16" x14ac:dyDescent="0.25">
      <c r="A2669" s="3" t="str">
        <f t="shared" ca="1" si="704"/>
        <v xml:space="preserve">device = LTC2122 </v>
      </c>
      <c r="G2669" s="15">
        <f t="shared" ref="G2669:G2709" ca="1" si="709">G2668+1</f>
        <v>32</v>
      </c>
      <c r="H2669" s="15">
        <v>1</v>
      </c>
      <c r="I2669" s="15" t="str">
        <f t="shared" ref="I2669:I2709" ca="1" si="710">I2668</f>
        <v>RadioCard_TETRA_Devices</v>
      </c>
      <c r="J2669" s="15" t="str">
        <f t="shared" ca="1" si="702"/>
        <v>RadioCard_TETRA_Devices!A32</v>
      </c>
      <c r="K2669" s="15" t="str">
        <f t="shared" ca="1" si="703"/>
        <v>RadioCard_TETRA_Devices!B32</v>
      </c>
    </row>
    <row r="2670" spans="1:16" x14ac:dyDescent="0.25">
      <c r="A2670" s="3" t="str">
        <f t="shared" ca="1" si="704"/>
        <v xml:space="preserve">spi_num = /dev/spidev0.0 </v>
      </c>
      <c r="G2670" s="15">
        <f t="shared" ca="1" si="694"/>
        <v>33</v>
      </c>
      <c r="H2670" s="15">
        <v>1</v>
      </c>
      <c r="I2670" s="15" t="str">
        <f t="shared" ca="1" si="695"/>
        <v>RadioCard_TETRA_Devices</v>
      </c>
      <c r="J2670" s="15" t="str">
        <f t="shared" ca="1" si="702"/>
        <v>RadioCard_TETRA_Devices!A33</v>
      </c>
      <c r="K2670" s="15" t="str">
        <f t="shared" ca="1" si="703"/>
        <v>RadioCard_TETRA_Devices!B33</v>
      </c>
    </row>
    <row r="2671" spans="1:16" x14ac:dyDescent="0.25">
      <c r="A2671" s="3" t="str">
        <f t="shared" ca="1" si="704"/>
        <v xml:space="preserve">path_cfg = ./device_config_files/radio_config_files/radiocard_TETRA/LTC2122.cfg  </v>
      </c>
      <c r="C2671" s="16"/>
      <c r="G2671" s="15">
        <f t="shared" ca="1" si="694"/>
        <v>34</v>
      </c>
      <c r="H2671" s="15">
        <v>1</v>
      </c>
      <c r="I2671" s="15" t="str">
        <f t="shared" ca="1" si="695"/>
        <v>RadioCard_TETRA_Devices</v>
      </c>
      <c r="J2671" s="15" t="str">
        <f t="shared" ca="1" si="702"/>
        <v>RadioCard_TETRA_Devices!A34</v>
      </c>
      <c r="K2671" s="15" t="str">
        <f t="shared" ca="1" si="703"/>
        <v>RadioCard_TETRA_Devices!B34</v>
      </c>
    </row>
    <row r="2672" spans="1:16" x14ac:dyDescent="0.25">
      <c r="A2672" s="3" t="str">
        <f t="shared" ca="1" si="704"/>
        <v/>
      </c>
      <c r="G2672" s="15">
        <f t="shared" ca="1" si="694"/>
        <v>35</v>
      </c>
      <c r="H2672" s="15">
        <v>1</v>
      </c>
      <c r="I2672" s="15" t="str">
        <f t="shared" ca="1" si="695"/>
        <v>RadioCard_TETRA_Devices</v>
      </c>
      <c r="J2672" s="15" t="str">
        <f t="shared" ca="1" si="702"/>
        <v>RadioCard_TETRA_Devices!A35</v>
      </c>
      <c r="K2672" s="15" t="str">
        <f t="shared" ca="1" si="703"/>
        <v>RadioCard_TETRA_Devices!B35</v>
      </c>
    </row>
    <row r="2673" spans="1:16" x14ac:dyDescent="0.25">
      <c r="A2673" s="3" t="str">
        <f t="shared" ca="1" si="704"/>
        <v xml:space="preserve">time = 10 </v>
      </c>
      <c r="G2673" s="15">
        <f t="shared" ca="1" si="694"/>
        <v>36</v>
      </c>
      <c r="H2673" s="15">
        <v>1</v>
      </c>
      <c r="I2673" s="15" t="str">
        <f t="shared" ca="1" si="695"/>
        <v>RadioCard_TETRA_Devices</v>
      </c>
      <c r="J2673" s="15" t="str">
        <f t="shared" ca="1" si="702"/>
        <v>RadioCard_TETRA_Devices!A36</v>
      </c>
      <c r="K2673" s="15" t="str">
        <f t="shared" ca="1" si="703"/>
        <v>RadioCard_TETRA_Devices!B36</v>
      </c>
    </row>
    <row r="2674" spans="1:16" x14ac:dyDescent="0.25">
      <c r="A2674" s="3" t="str">
        <f t="shared" ca="1" si="704"/>
        <v/>
      </c>
      <c r="G2674" s="15">
        <f t="shared" ca="1" si="694"/>
        <v>37</v>
      </c>
      <c r="H2674" s="15">
        <v>1</v>
      </c>
      <c r="I2674" s="15" t="str">
        <f t="shared" ca="1" si="695"/>
        <v>RadioCard_TETRA_Devices</v>
      </c>
      <c r="J2674" s="15" t="str">
        <f t="shared" ca="1" si="702"/>
        <v>RadioCard_TETRA_Devices!A37</v>
      </c>
      <c r="K2674" s="15" t="str">
        <f t="shared" ca="1" si="703"/>
        <v>RadioCard_TETRA_Devices!B37</v>
      </c>
    </row>
    <row r="2675" spans="1:16" x14ac:dyDescent="0.25">
      <c r="A2675" s="3" t="str">
        <f t="shared" ca="1" si="704"/>
        <v/>
      </c>
      <c r="G2675" s="15">
        <f t="shared" ca="1" si="694"/>
        <v>38</v>
      </c>
      <c r="H2675" s="15">
        <v>1</v>
      </c>
      <c r="I2675" s="15" t="str">
        <f t="shared" ca="1" si="695"/>
        <v>RadioCard_TETRA_Devices</v>
      </c>
      <c r="J2675" s="15" t="str">
        <f t="shared" ca="1" si="702"/>
        <v>RadioCard_TETRA_Devices!A38</v>
      </c>
      <c r="K2675" s="15" t="str">
        <f t="shared" ca="1" si="703"/>
        <v>RadioCard_TETRA_Devices!B38</v>
      </c>
    </row>
    <row r="2676" spans="1:16" x14ac:dyDescent="0.25">
      <c r="A2676" s="3" t="str">
        <f t="shared" ca="1" si="704"/>
        <v/>
      </c>
      <c r="G2676" s="15">
        <f t="shared" ca="1" si="694"/>
        <v>39</v>
      </c>
      <c r="H2676" s="15">
        <v>1</v>
      </c>
      <c r="I2676" s="15" t="str">
        <f t="shared" ca="1" si="695"/>
        <v>RadioCard_TETRA_Devices</v>
      </c>
      <c r="J2676" s="15" t="str">
        <f t="shared" ca="1" si="702"/>
        <v>RadioCard_TETRA_Devices!A39</v>
      </c>
      <c r="K2676" s="15" t="str">
        <f t="shared" ca="1" si="703"/>
        <v>RadioCard_TETRA_Devices!B39</v>
      </c>
    </row>
    <row r="2677" spans="1:16" x14ac:dyDescent="0.25">
      <c r="A2677" s="3" t="str">
        <f t="shared" ca="1" si="704"/>
        <v/>
      </c>
      <c r="G2677" s="15">
        <f t="shared" ca="1" si="694"/>
        <v>40</v>
      </c>
      <c r="H2677" s="15">
        <v>1</v>
      </c>
      <c r="I2677" s="15" t="str">
        <f t="shared" ca="1" si="695"/>
        <v>RadioCard_TETRA_Devices</v>
      </c>
      <c r="J2677" s="15" t="str">
        <f t="shared" ca="1" si="702"/>
        <v>RadioCard_TETRA_Devices!A40</v>
      </c>
      <c r="K2677" s="15" t="str">
        <f t="shared" ca="1" si="703"/>
        <v>RadioCard_TETRA_Devices!B40</v>
      </c>
    </row>
    <row r="2678" spans="1:16" x14ac:dyDescent="0.25">
      <c r="A2678" s="3" t="str">
        <f t="shared" ca="1" si="704"/>
        <v/>
      </c>
      <c r="G2678" s="15">
        <f t="shared" ca="1" si="694"/>
        <v>41</v>
      </c>
      <c r="H2678" s="15">
        <v>1</v>
      </c>
      <c r="I2678" s="15" t="str">
        <f t="shared" ca="1" si="695"/>
        <v>RadioCard_TETRA_Devices</v>
      </c>
      <c r="J2678" s="15" t="str">
        <f t="shared" ca="1" si="702"/>
        <v>RadioCard_TETRA_Devices!A41</v>
      </c>
      <c r="K2678" s="15" t="str">
        <f t="shared" ca="1" si="703"/>
        <v>RadioCard_TETRA_Devices!B41</v>
      </c>
    </row>
    <row r="2679" spans="1:16" x14ac:dyDescent="0.25">
      <c r="A2679" s="3" t="str">
        <f t="shared" ca="1" si="704"/>
        <v/>
      </c>
      <c r="C2679" s="16"/>
      <c r="G2679" s="15">
        <f t="shared" ca="1" si="694"/>
        <v>42</v>
      </c>
      <c r="H2679" s="15">
        <v>1</v>
      </c>
      <c r="I2679" s="15" t="str">
        <f t="shared" ca="1" si="695"/>
        <v>RadioCard_TETRA_Devices</v>
      </c>
      <c r="J2679" s="15" t="str">
        <f t="shared" ca="1" si="702"/>
        <v>RadioCard_TETRA_Devices!A42</v>
      </c>
      <c r="K2679" s="15" t="str">
        <f t="shared" ca="1" si="703"/>
        <v>RadioCard_TETRA_Devices!B42</v>
      </c>
    </row>
    <row r="2680" spans="1:16" x14ac:dyDescent="0.25">
      <c r="A2680" s="3" t="str">
        <f t="shared" ca="1" si="704"/>
        <v/>
      </c>
      <c r="G2680" s="15">
        <f t="shared" ca="1" si="694"/>
        <v>43</v>
      </c>
      <c r="H2680" s="15">
        <v>1</v>
      </c>
      <c r="I2680" s="15" t="str">
        <f t="shared" ca="1" si="695"/>
        <v>RadioCard_TETRA_Devices</v>
      </c>
      <c r="J2680" s="15" t="str">
        <f t="shared" ca="1" si="702"/>
        <v>RadioCard_TETRA_Devices!A43</v>
      </c>
      <c r="K2680" s="15" t="str">
        <f t="shared" ca="1" si="703"/>
        <v>RadioCard_TETRA_Devices!B43</v>
      </c>
    </row>
    <row r="2681" spans="1:16" x14ac:dyDescent="0.25">
      <c r="A2681" s="3" t="str">
        <f t="shared" ca="1" si="704"/>
        <v/>
      </c>
      <c r="G2681" s="15">
        <f t="shared" ca="1" si="694"/>
        <v>44</v>
      </c>
      <c r="H2681" s="15">
        <v>1</v>
      </c>
      <c r="I2681" s="15" t="str">
        <f t="shared" ca="1" si="695"/>
        <v>RadioCard_TETRA_Devices</v>
      </c>
      <c r="J2681" s="15" t="str">
        <f t="shared" ca="1" si="702"/>
        <v>RadioCard_TETRA_Devices!A44</v>
      </c>
      <c r="K2681" s="15" t="str">
        <f t="shared" ca="1" si="703"/>
        <v>RadioCard_TETRA_Devices!B44</v>
      </c>
    </row>
    <row r="2682" spans="1:16" x14ac:dyDescent="0.25">
      <c r="A2682" s="3" t="str">
        <f t="shared" ca="1" si="704"/>
        <v/>
      </c>
      <c r="G2682" s="15">
        <f t="shared" ca="1" si="694"/>
        <v>45</v>
      </c>
      <c r="H2682" s="15">
        <v>1</v>
      </c>
      <c r="I2682" s="15" t="str">
        <f t="shared" ca="1" si="695"/>
        <v>RadioCard_TETRA_Devices</v>
      </c>
      <c r="J2682" s="15" t="str">
        <f t="shared" ca="1" si="702"/>
        <v>RadioCard_TETRA_Devices!A45</v>
      </c>
      <c r="K2682" s="15" t="str">
        <f t="shared" ca="1" si="703"/>
        <v>RadioCard_TETRA_Devices!B45</v>
      </c>
    </row>
    <row r="2683" spans="1:16" x14ac:dyDescent="0.25">
      <c r="A2683" s="3" t="str">
        <f t="shared" ca="1" si="704"/>
        <v/>
      </c>
      <c r="G2683" s="15">
        <f t="shared" ca="1" si="694"/>
        <v>46</v>
      </c>
      <c r="H2683" s="15">
        <v>1</v>
      </c>
      <c r="I2683" s="15" t="str">
        <f t="shared" ca="1" si="695"/>
        <v>RadioCard_TETRA_Devices</v>
      </c>
      <c r="J2683" s="15" t="str">
        <f t="shared" ca="1" si="702"/>
        <v>RadioCard_TETRA_Devices!A46</v>
      </c>
      <c r="K2683" s="15" t="str">
        <f t="shared" ca="1" si="703"/>
        <v>RadioCard_TETRA_Devices!B46</v>
      </c>
    </row>
    <row r="2684" spans="1:16" x14ac:dyDescent="0.25">
      <c r="A2684" s="3" t="str">
        <f t="shared" ca="1" si="704"/>
        <v/>
      </c>
      <c r="G2684" s="15">
        <f t="shared" ca="1" si="694"/>
        <v>47</v>
      </c>
      <c r="H2684" s="15">
        <v>1</v>
      </c>
      <c r="I2684" s="15" t="str">
        <f t="shared" ca="1" si="695"/>
        <v>RadioCard_TETRA_Devices</v>
      </c>
      <c r="J2684" s="15" t="str">
        <f t="shared" ca="1" si="702"/>
        <v>RadioCard_TETRA_Devices!A47</v>
      </c>
      <c r="K2684" s="15" t="str">
        <f t="shared" ca="1" si="703"/>
        <v>RadioCard_TETRA_Devices!B47</v>
      </c>
    </row>
    <row r="2685" spans="1:16" x14ac:dyDescent="0.25">
      <c r="A2685" s="3" t="str">
        <f t="shared" ca="1" si="704"/>
        <v/>
      </c>
      <c r="G2685" s="15">
        <f t="shared" ca="1" si="694"/>
        <v>48</v>
      </c>
      <c r="H2685" s="15">
        <v>1</v>
      </c>
      <c r="I2685" s="15" t="str">
        <f t="shared" ca="1" si="695"/>
        <v>RadioCard_TETRA_Devices</v>
      </c>
      <c r="J2685" s="15" t="str">
        <f t="shared" ca="1" si="702"/>
        <v>RadioCard_TETRA_Devices!A48</v>
      </c>
      <c r="K2685" s="15" t="str">
        <f t="shared" ca="1" si="703"/>
        <v>RadioCard_TETRA_Devices!B48</v>
      </c>
    </row>
    <row r="2686" spans="1:16" x14ac:dyDescent="0.25">
      <c r="A2686" s="3" t="str">
        <f t="shared" ca="1" si="704"/>
        <v/>
      </c>
      <c r="G2686" s="15">
        <f t="shared" ca="1" si="694"/>
        <v>49</v>
      </c>
      <c r="H2686" s="15">
        <v>1</v>
      </c>
      <c r="I2686" s="15" t="str">
        <f t="shared" ca="1" si="695"/>
        <v>RadioCard_TETRA_Devices</v>
      </c>
      <c r="J2686" s="15" t="str">
        <f t="shared" ca="1" si="702"/>
        <v>RadioCard_TETRA_Devices!A49</v>
      </c>
      <c r="K2686" s="15" t="str">
        <f t="shared" ca="1" si="703"/>
        <v>RadioCard_TETRA_Devices!B49</v>
      </c>
    </row>
    <row r="2687" spans="1:16" x14ac:dyDescent="0.25">
      <c r="A2687" s="3" t="str">
        <f t="shared" ca="1" si="704"/>
        <v/>
      </c>
      <c r="G2687" s="15">
        <f t="shared" ca="1" si="694"/>
        <v>50</v>
      </c>
      <c r="H2687" s="15">
        <v>1</v>
      </c>
      <c r="I2687" s="15" t="str">
        <f t="shared" ca="1" si="695"/>
        <v>RadioCard_TETRA_Devices</v>
      </c>
      <c r="J2687" s="15" t="str">
        <f t="shared" ca="1" si="702"/>
        <v>RadioCard_TETRA_Devices!A50</v>
      </c>
      <c r="K2687" s="15" t="str">
        <f t="shared" ca="1" si="703"/>
        <v>RadioCard_TETRA_Devices!B50</v>
      </c>
    </row>
    <row r="2688" spans="1:16" x14ac:dyDescent="0.25">
      <c r="A2688" s="3" t="str">
        <f t="shared" ca="1" si="704"/>
        <v xml:space="preserve">#RadioCard_TETRA_Exp1:etap 3 =  </v>
      </c>
      <c r="G2688" s="15">
        <f t="shared" ref="G2688" ca="1" si="711">INDIRECT(M2688)</f>
        <v>91</v>
      </c>
      <c r="H2688" s="15">
        <v>1</v>
      </c>
      <c r="I2688" s="15" t="str">
        <f t="shared" ref="I2688" ca="1" si="712">INDIRECT(N2688)</f>
        <v>RadioCard_TETRA_Exp2</v>
      </c>
      <c r="J2688" s="15" t="str">
        <f t="shared" ca="1" si="702"/>
        <v>RadioCard_TETRA_Exp2!A91</v>
      </c>
      <c r="K2688" s="15" t="str">
        <f t="shared" ca="1" si="703"/>
        <v>RadioCard_TETRA_Exp2!B91</v>
      </c>
      <c r="M2688" s="15" t="str">
        <f t="shared" ref="M2688" si="713">ADDRESS(O2688,3,4,1,$R$1)</f>
        <v>konfig!C136</v>
      </c>
      <c r="N2688" s="15" t="str">
        <f t="shared" ref="N2688" si="714">ADDRESS(O2688,1,4,1,$R$1)</f>
        <v>konfig!A136</v>
      </c>
      <c r="O2688" s="15">
        <v>136</v>
      </c>
      <c r="P2688" s="15">
        <v>4</v>
      </c>
    </row>
    <row r="2689" spans="1:11" x14ac:dyDescent="0.25">
      <c r="A2689" s="3" t="str">
        <f t="shared" ca="1" si="704"/>
        <v xml:space="preserve">device = MCP23017 </v>
      </c>
      <c r="G2689" s="15">
        <f t="shared" ca="1" si="700"/>
        <v>92</v>
      </c>
      <c r="H2689" s="15">
        <v>1</v>
      </c>
      <c r="I2689" s="15" t="str">
        <f t="shared" ca="1" si="701"/>
        <v>RadioCard_TETRA_Exp2</v>
      </c>
      <c r="J2689" s="15" t="str">
        <f t="shared" ca="1" si="702"/>
        <v>RadioCard_TETRA_Exp2!A92</v>
      </c>
      <c r="K2689" s="15" t="str">
        <f t="shared" ca="1" si="703"/>
        <v>RadioCard_TETRA_Exp2!B92</v>
      </c>
    </row>
    <row r="2690" spans="1:11" x14ac:dyDescent="0.25">
      <c r="A2690" s="3" t="str">
        <f t="shared" ca="1" si="704"/>
        <v xml:space="preserve">i2c_addr = 0x27 </v>
      </c>
      <c r="G2690" s="15">
        <f t="shared" ca="1" si="700"/>
        <v>93</v>
      </c>
      <c r="H2690" s="15">
        <v>1</v>
      </c>
      <c r="I2690" s="15" t="str">
        <f t="shared" ca="1" si="701"/>
        <v>RadioCard_TETRA_Exp2</v>
      </c>
      <c r="J2690" s="15" t="str">
        <f t="shared" ca="1" si="702"/>
        <v>RadioCard_TETRA_Exp2!A93</v>
      </c>
      <c r="K2690" s="15" t="str">
        <f t="shared" ca="1" si="703"/>
        <v>RadioCard_TETRA_Exp2!B93</v>
      </c>
    </row>
    <row r="2691" spans="1:11" x14ac:dyDescent="0.25">
      <c r="A2691" s="3" t="str">
        <f t="shared" ca="1" si="704"/>
        <v xml:space="preserve">i2c_num = /dev/i2c-1 </v>
      </c>
      <c r="C2691" s="16"/>
      <c r="G2691" s="15">
        <f t="shared" ca="1" si="700"/>
        <v>94</v>
      </c>
      <c r="H2691" s="15">
        <v>1</v>
      </c>
      <c r="I2691" s="15" t="str">
        <f t="shared" ca="1" si="701"/>
        <v>RadioCard_TETRA_Exp2</v>
      </c>
      <c r="J2691" s="15" t="str">
        <f t="shared" ca="1" si="702"/>
        <v>RadioCard_TETRA_Exp2!A94</v>
      </c>
      <c r="K2691" s="15" t="str">
        <f t="shared" ca="1" si="703"/>
        <v>RadioCard_TETRA_Exp2!B94</v>
      </c>
    </row>
    <row r="2692" spans="1:11" x14ac:dyDescent="0.25">
      <c r="A2692" s="3" t="str">
        <f t="shared" ca="1" si="704"/>
        <v xml:space="preserve">pins_mode = 0xCE8C </v>
      </c>
      <c r="G2692" s="15">
        <f t="shared" ca="1" si="700"/>
        <v>95</v>
      </c>
      <c r="H2692" s="15">
        <v>1</v>
      </c>
      <c r="I2692" s="15" t="str">
        <f t="shared" ca="1" si="701"/>
        <v>RadioCard_TETRA_Exp2</v>
      </c>
      <c r="J2692" s="15" t="str">
        <f t="shared" ca="1" si="702"/>
        <v>RadioCard_TETRA_Exp2!A95</v>
      </c>
      <c r="K2692" s="15" t="str">
        <f t="shared" ca="1" si="703"/>
        <v>RadioCard_TETRA_Exp2!B95</v>
      </c>
    </row>
    <row r="2693" spans="1:11" x14ac:dyDescent="0.25">
      <c r="A2693" s="3" t="str">
        <f t="shared" ca="1" si="704"/>
        <v xml:space="preserve">pins_state = 0x3133 </v>
      </c>
      <c r="G2693" s="15">
        <f t="shared" ca="1" si="694"/>
        <v>96</v>
      </c>
      <c r="H2693" s="15">
        <v>1</v>
      </c>
      <c r="I2693" s="15" t="str">
        <f t="shared" ca="1" si="695"/>
        <v>RadioCard_TETRA_Exp2</v>
      </c>
      <c r="J2693" s="15" t="str">
        <f t="shared" ca="1" si="702"/>
        <v>RadioCard_TETRA_Exp2!A96</v>
      </c>
      <c r="K2693" s="15" t="str">
        <f t="shared" ca="1" si="703"/>
        <v>RadioCard_TETRA_Exp2!B96</v>
      </c>
    </row>
    <row r="2694" spans="1:11" x14ac:dyDescent="0.25">
      <c r="A2694" s="3" t="str">
        <f t="shared" ca="1" si="704"/>
        <v xml:space="preserve">pins_pull_up = 0x4808 </v>
      </c>
      <c r="G2694" s="15">
        <f t="shared" ca="1" si="694"/>
        <v>97</v>
      </c>
      <c r="H2694" s="15">
        <v>1</v>
      </c>
      <c r="I2694" s="15" t="str">
        <f t="shared" ca="1" si="695"/>
        <v>RadioCard_TETRA_Exp2</v>
      </c>
      <c r="J2694" s="15" t="str">
        <f t="shared" ca="1" si="702"/>
        <v>RadioCard_TETRA_Exp2!A97</v>
      </c>
      <c r="K2694" s="15" t="str">
        <f t="shared" ca="1" si="703"/>
        <v>RadioCard_TETRA_Exp2!B97</v>
      </c>
    </row>
    <row r="2695" spans="1:11" x14ac:dyDescent="0.25">
      <c r="A2695" s="3" t="str">
        <f t="shared" ca="1" si="704"/>
        <v xml:space="preserve">#pins_int = 0x0000 </v>
      </c>
      <c r="G2695" s="15">
        <f t="shared" ca="1" si="694"/>
        <v>98</v>
      </c>
      <c r="H2695" s="15">
        <v>1</v>
      </c>
      <c r="I2695" s="15" t="str">
        <f t="shared" ca="1" si="695"/>
        <v>RadioCard_TETRA_Exp2</v>
      </c>
      <c r="J2695" s="15" t="str">
        <f t="shared" ca="1" si="702"/>
        <v>RadioCard_TETRA_Exp2!A98</v>
      </c>
      <c r="K2695" s="15" t="str">
        <f t="shared" ca="1" si="703"/>
        <v>RadioCard_TETRA_Exp2!B98</v>
      </c>
    </row>
    <row r="2696" spans="1:11" x14ac:dyDescent="0.25">
      <c r="A2696" s="3" t="str">
        <f t="shared" ca="1" si="704"/>
        <v xml:space="preserve">#pins_def_val = 0x0000 </v>
      </c>
      <c r="G2696" s="15">
        <f t="shared" ca="1" si="694"/>
        <v>99</v>
      </c>
      <c r="H2696" s="15">
        <v>1</v>
      </c>
      <c r="I2696" s="15" t="str">
        <f t="shared" ca="1" si="695"/>
        <v>RadioCard_TETRA_Exp2</v>
      </c>
      <c r="J2696" s="15" t="str">
        <f t="shared" ca="1" si="702"/>
        <v>RadioCard_TETRA_Exp2!A99</v>
      </c>
      <c r="K2696" s="15" t="str">
        <f t="shared" ca="1" si="703"/>
        <v>RadioCard_TETRA_Exp2!B99</v>
      </c>
    </row>
    <row r="2697" spans="1:11" x14ac:dyDescent="0.25">
      <c r="A2697" s="3" t="str">
        <f t="shared" ca="1" si="704"/>
        <v/>
      </c>
      <c r="G2697" s="15">
        <f t="shared" ref="G2697:G2760" ca="1" si="715">G2696+1</f>
        <v>100</v>
      </c>
      <c r="H2697" s="15">
        <v>1</v>
      </c>
      <c r="I2697" s="15" t="str">
        <f t="shared" ref="I2697:I2760" ca="1" si="716">I2696</f>
        <v>RadioCard_TETRA_Exp2</v>
      </c>
      <c r="J2697" s="15" t="str">
        <f t="shared" ca="1" si="702"/>
        <v>RadioCard_TETRA_Exp2!A100</v>
      </c>
      <c r="K2697" s="15" t="str">
        <f t="shared" ca="1" si="703"/>
        <v>RadioCard_TETRA_Exp2!B100</v>
      </c>
    </row>
    <row r="2698" spans="1:11" x14ac:dyDescent="0.25">
      <c r="A2698" s="3" t="str">
        <f t="shared" ca="1" si="704"/>
        <v xml:space="preserve">#pins_int = 10 </v>
      </c>
      <c r="G2698" s="15">
        <f t="shared" ca="1" si="715"/>
        <v>101</v>
      </c>
      <c r="H2698" s="15">
        <v>1</v>
      </c>
      <c r="I2698" s="15" t="str">
        <f t="shared" ca="1" si="716"/>
        <v>RadioCard_TETRA_Exp2</v>
      </c>
      <c r="J2698" s="15" t="str">
        <f t="shared" ca="1" si="702"/>
        <v>RadioCard_TETRA_Exp2!A101</v>
      </c>
      <c r="K2698" s="15" t="str">
        <f t="shared" ca="1" si="703"/>
        <v>RadioCard_TETRA_Exp2!B101</v>
      </c>
    </row>
    <row r="2699" spans="1:11" x14ac:dyDescent="0.25">
      <c r="A2699" s="3" t="str">
        <f t="shared" ca="1" si="704"/>
        <v/>
      </c>
      <c r="C2699" s="16"/>
      <c r="G2699" s="15">
        <f t="shared" ca="1" si="715"/>
        <v>102</v>
      </c>
      <c r="H2699" s="15">
        <v>1</v>
      </c>
      <c r="I2699" s="15" t="str">
        <f t="shared" ca="1" si="716"/>
        <v>RadioCard_TETRA_Exp2</v>
      </c>
      <c r="J2699" s="15" t="str">
        <f t="shared" ca="1" si="702"/>
        <v>RadioCard_TETRA_Exp2!A102</v>
      </c>
      <c r="K2699" s="15" t="str">
        <f t="shared" ca="1" si="703"/>
        <v>RadioCard_TETRA_Exp2!B102</v>
      </c>
    </row>
    <row r="2700" spans="1:11" x14ac:dyDescent="0.25">
      <c r="A2700" s="3" t="str">
        <f t="shared" ca="1" si="704"/>
        <v/>
      </c>
      <c r="G2700" s="15">
        <f t="shared" ca="1" si="715"/>
        <v>103</v>
      </c>
      <c r="H2700" s="15">
        <v>1</v>
      </c>
      <c r="I2700" s="15" t="str">
        <f t="shared" ca="1" si="716"/>
        <v>RadioCard_TETRA_Exp2</v>
      </c>
      <c r="J2700" s="15" t="str">
        <f t="shared" ca="1" si="702"/>
        <v>RadioCard_TETRA_Exp2!A103</v>
      </c>
      <c r="K2700" s="15" t="str">
        <f t="shared" ca="1" si="703"/>
        <v>RadioCard_TETRA_Exp2!B103</v>
      </c>
    </row>
    <row r="2701" spans="1:11" x14ac:dyDescent="0.25">
      <c r="A2701" s="3" t="str">
        <f t="shared" ca="1" si="704"/>
        <v/>
      </c>
      <c r="G2701" s="15">
        <f t="shared" ca="1" si="715"/>
        <v>104</v>
      </c>
      <c r="H2701" s="15">
        <v>1</v>
      </c>
      <c r="I2701" s="15" t="str">
        <f t="shared" ca="1" si="716"/>
        <v>RadioCard_TETRA_Exp2</v>
      </c>
      <c r="J2701" s="15" t="str">
        <f t="shared" ca="1" si="702"/>
        <v>RadioCard_TETRA_Exp2!A104</v>
      </c>
      <c r="K2701" s="15" t="str">
        <f t="shared" ca="1" si="703"/>
        <v>RadioCard_TETRA_Exp2!B104</v>
      </c>
    </row>
    <row r="2702" spans="1:11" x14ac:dyDescent="0.25">
      <c r="A2702" s="3" t="str">
        <f t="shared" ca="1" si="704"/>
        <v/>
      </c>
      <c r="G2702" s="15">
        <f t="shared" ca="1" si="715"/>
        <v>105</v>
      </c>
      <c r="H2702" s="15">
        <v>1</v>
      </c>
      <c r="I2702" s="15" t="str">
        <f t="shared" ca="1" si="716"/>
        <v>RadioCard_TETRA_Exp2</v>
      </c>
      <c r="J2702" s="15" t="str">
        <f t="shared" ca="1" si="702"/>
        <v>RadioCard_TETRA_Exp2!A105</v>
      </c>
      <c r="K2702" s="15" t="str">
        <f t="shared" ca="1" si="703"/>
        <v>RadioCard_TETRA_Exp2!B105</v>
      </c>
    </row>
    <row r="2703" spans="1:11" x14ac:dyDescent="0.25">
      <c r="A2703" s="3" t="str">
        <f t="shared" ca="1" si="704"/>
        <v/>
      </c>
      <c r="G2703" s="15">
        <f t="shared" ca="1" si="715"/>
        <v>106</v>
      </c>
      <c r="H2703" s="15">
        <v>1</v>
      </c>
      <c r="I2703" s="15" t="str">
        <f t="shared" ca="1" si="716"/>
        <v>RadioCard_TETRA_Exp2</v>
      </c>
      <c r="J2703" s="15" t="str">
        <f t="shared" ca="1" si="702"/>
        <v>RadioCard_TETRA_Exp2!A106</v>
      </c>
      <c r="K2703" s="15" t="str">
        <f t="shared" ca="1" si="703"/>
        <v>RadioCard_TETRA_Exp2!B106</v>
      </c>
    </row>
    <row r="2704" spans="1:11" x14ac:dyDescent="0.25">
      <c r="A2704" s="3" t="str">
        <f t="shared" ca="1" si="704"/>
        <v/>
      </c>
      <c r="G2704" s="15">
        <f t="shared" ca="1" si="715"/>
        <v>107</v>
      </c>
      <c r="H2704" s="15">
        <v>1</v>
      </c>
      <c r="I2704" s="15" t="str">
        <f t="shared" ca="1" si="716"/>
        <v>RadioCard_TETRA_Exp2</v>
      </c>
      <c r="J2704" s="15" t="str">
        <f t="shared" ca="1" si="702"/>
        <v>RadioCard_TETRA_Exp2!A107</v>
      </c>
      <c r="K2704" s="15" t="str">
        <f t="shared" ca="1" si="703"/>
        <v>RadioCard_TETRA_Exp2!B107</v>
      </c>
    </row>
    <row r="2705" spans="1:16" x14ac:dyDescent="0.25">
      <c r="A2705" s="3" t="str">
        <f t="shared" ca="1" si="704"/>
        <v/>
      </c>
      <c r="G2705" s="15">
        <f t="shared" ca="1" si="715"/>
        <v>108</v>
      </c>
      <c r="H2705" s="15">
        <v>1</v>
      </c>
      <c r="I2705" s="15" t="str">
        <f t="shared" ca="1" si="716"/>
        <v>RadioCard_TETRA_Exp2</v>
      </c>
      <c r="J2705" s="15" t="str">
        <f t="shared" ca="1" si="702"/>
        <v>RadioCard_TETRA_Exp2!A108</v>
      </c>
      <c r="K2705" s="15" t="str">
        <f t="shared" ca="1" si="703"/>
        <v>RadioCard_TETRA_Exp2!B108</v>
      </c>
    </row>
    <row r="2706" spans="1:16" x14ac:dyDescent="0.25">
      <c r="A2706" s="3" t="str">
        <f t="shared" ca="1" si="704"/>
        <v/>
      </c>
      <c r="G2706" s="15">
        <f t="shared" ca="1" si="715"/>
        <v>109</v>
      </c>
      <c r="H2706" s="15">
        <v>1</v>
      </c>
      <c r="I2706" s="15" t="str">
        <f t="shared" ca="1" si="716"/>
        <v>RadioCard_TETRA_Exp2</v>
      </c>
      <c r="J2706" s="15" t="str">
        <f t="shared" ca="1" si="702"/>
        <v>RadioCard_TETRA_Exp2!A109</v>
      </c>
      <c r="K2706" s="15" t="str">
        <f t="shared" ca="1" si="703"/>
        <v>RadioCard_TETRA_Exp2!B109</v>
      </c>
    </row>
    <row r="2707" spans="1:16" x14ac:dyDescent="0.25">
      <c r="A2707" s="3" t="str">
        <f t="shared" ca="1" si="704"/>
        <v/>
      </c>
      <c r="G2707" s="15">
        <f t="shared" ca="1" si="715"/>
        <v>110</v>
      </c>
      <c r="H2707" s="15">
        <v>1</v>
      </c>
      <c r="I2707" s="15" t="str">
        <f t="shared" ca="1" si="716"/>
        <v>RadioCard_TETRA_Exp2</v>
      </c>
      <c r="J2707" s="15" t="str">
        <f t="shared" ca="1" si="702"/>
        <v>RadioCard_TETRA_Exp2!A110</v>
      </c>
      <c r="K2707" s="15" t="str">
        <f t="shared" ca="1" si="703"/>
        <v>RadioCard_TETRA_Exp2!B110</v>
      </c>
    </row>
    <row r="2708" spans="1:16" x14ac:dyDescent="0.25">
      <c r="A2708" s="3" t="str">
        <f t="shared" ca="1" si="704"/>
        <v xml:space="preserve">#I2C_Expander_02:etap 2 =  </v>
      </c>
      <c r="G2708" s="15">
        <f t="shared" ref="G2708" ca="1" si="717">INDIRECT(M2708)</f>
        <v>71</v>
      </c>
      <c r="H2708" s="15">
        <v>1</v>
      </c>
      <c r="I2708" s="15" t="str">
        <f t="shared" ref="I2708" ca="1" si="718">INDIRECT(N2708)</f>
        <v>I2C_Expander_02</v>
      </c>
      <c r="J2708" s="15" t="str">
        <f t="shared" ca="1" si="702"/>
        <v>I2C_Expander_02!A71</v>
      </c>
      <c r="K2708" s="15" t="str">
        <f t="shared" ca="1" si="703"/>
        <v>I2C_Expander_02!B71</v>
      </c>
      <c r="M2708" s="15" t="str">
        <f t="shared" ref="M2708" si="719">ADDRESS(O2708,3,4,1,$R$1)</f>
        <v>konfig!C137</v>
      </c>
      <c r="N2708" s="15" t="str">
        <f t="shared" ref="N2708" si="720">ADDRESS(O2708,1,4,1,$R$1)</f>
        <v>konfig!A137</v>
      </c>
      <c r="O2708" s="15">
        <v>137</v>
      </c>
      <c r="P2708" s="15">
        <v>4</v>
      </c>
    </row>
    <row r="2709" spans="1:16" x14ac:dyDescent="0.25">
      <c r="A2709" s="3" t="str">
        <f t="shared" ca="1" si="704"/>
        <v xml:space="preserve">device = MCP23017 </v>
      </c>
      <c r="G2709" s="15">
        <f t="shared" ca="1" si="709"/>
        <v>72</v>
      </c>
      <c r="H2709" s="15">
        <v>1</v>
      </c>
      <c r="I2709" s="15" t="str">
        <f t="shared" ca="1" si="710"/>
        <v>I2C_Expander_02</v>
      </c>
      <c r="J2709" s="15" t="str">
        <f t="shared" ca="1" si="702"/>
        <v>I2C_Expander_02!A72</v>
      </c>
      <c r="K2709" s="15" t="str">
        <f t="shared" ca="1" si="703"/>
        <v>I2C_Expander_02!B72</v>
      </c>
    </row>
    <row r="2710" spans="1:16" x14ac:dyDescent="0.25">
      <c r="A2710" s="3" t="str">
        <f t="shared" ca="1" si="704"/>
        <v xml:space="preserve">i2c_addr = 0x22 </v>
      </c>
      <c r="G2710" s="15">
        <f t="shared" ca="1" si="715"/>
        <v>73</v>
      </c>
      <c r="H2710" s="15">
        <v>1</v>
      </c>
      <c r="I2710" s="15" t="str">
        <f t="shared" ca="1" si="716"/>
        <v>I2C_Expander_02</v>
      </c>
      <c r="J2710" s="15" t="str">
        <f t="shared" ca="1" si="702"/>
        <v>I2C_Expander_02!A73</v>
      </c>
      <c r="K2710" s="15" t="str">
        <f t="shared" ca="1" si="703"/>
        <v>I2C_Expander_02!B73</v>
      </c>
    </row>
    <row r="2711" spans="1:16" x14ac:dyDescent="0.25">
      <c r="A2711" s="3" t="str">
        <f t="shared" ca="1" si="704"/>
        <v xml:space="preserve">i2c_num = /dev/i2c-1 </v>
      </c>
      <c r="C2711" s="16"/>
      <c r="G2711" s="15">
        <f t="shared" ca="1" si="715"/>
        <v>74</v>
      </c>
      <c r="H2711" s="15">
        <v>1</v>
      </c>
      <c r="I2711" s="15" t="str">
        <f t="shared" ca="1" si="716"/>
        <v>I2C_Expander_02</v>
      </c>
      <c r="J2711" s="15" t="str">
        <f t="shared" ca="1" si="702"/>
        <v>I2C_Expander_02!A74</v>
      </c>
      <c r="K2711" s="15" t="str">
        <f t="shared" ca="1" si="703"/>
        <v>I2C_Expander_02!B74</v>
      </c>
    </row>
    <row r="2712" spans="1:16" x14ac:dyDescent="0.25">
      <c r="A2712" s="3" t="str">
        <f t="shared" ca="1" si="704"/>
        <v xml:space="preserve">pins_mode = 0xD27C </v>
      </c>
      <c r="G2712" s="15">
        <f t="shared" ca="1" si="715"/>
        <v>75</v>
      </c>
      <c r="H2712" s="15">
        <v>1</v>
      </c>
      <c r="I2712" s="15" t="str">
        <f t="shared" ca="1" si="716"/>
        <v>I2C_Expander_02</v>
      </c>
      <c r="J2712" s="15" t="str">
        <f t="shared" ca="1" si="702"/>
        <v>I2C_Expander_02!A75</v>
      </c>
      <c r="K2712" s="15" t="str">
        <f t="shared" ca="1" si="703"/>
        <v>I2C_Expander_02!B75</v>
      </c>
    </row>
    <row r="2713" spans="1:16" x14ac:dyDescent="0.25">
      <c r="A2713" s="3" t="str">
        <f t="shared" ca="1" si="704"/>
        <v xml:space="preserve">pins_state = 0x2D83 </v>
      </c>
      <c r="G2713" s="15">
        <f t="shared" ca="1" si="715"/>
        <v>76</v>
      </c>
      <c r="H2713" s="15">
        <v>1</v>
      </c>
      <c r="I2713" s="15" t="str">
        <f t="shared" ca="1" si="716"/>
        <v>I2C_Expander_02</v>
      </c>
      <c r="J2713" s="15" t="str">
        <f t="shared" ca="1" si="702"/>
        <v>I2C_Expander_02!A76</v>
      </c>
      <c r="K2713" s="15" t="str">
        <f t="shared" ca="1" si="703"/>
        <v>I2C_Expander_02!B76</v>
      </c>
    </row>
    <row r="2714" spans="1:16" x14ac:dyDescent="0.25">
      <c r="A2714" s="3" t="str">
        <f t="shared" ca="1" si="704"/>
        <v xml:space="preserve">pins_pull_up = 0x1000 </v>
      </c>
      <c r="G2714" s="15">
        <f t="shared" ca="1" si="715"/>
        <v>77</v>
      </c>
      <c r="H2714" s="15">
        <v>1</v>
      </c>
      <c r="I2714" s="15" t="str">
        <f t="shared" ca="1" si="716"/>
        <v>I2C_Expander_02</v>
      </c>
      <c r="J2714" s="15" t="str">
        <f t="shared" ca="1" si="702"/>
        <v>I2C_Expander_02!A77</v>
      </c>
      <c r="K2714" s="15" t="str">
        <f t="shared" ca="1" si="703"/>
        <v>I2C_Expander_02!B77</v>
      </c>
    </row>
    <row r="2715" spans="1:16" x14ac:dyDescent="0.25">
      <c r="A2715" s="3" t="str">
        <f t="shared" ca="1" si="704"/>
        <v xml:space="preserve">#pins_int = 0x0000 </v>
      </c>
      <c r="G2715" s="15">
        <f t="shared" ca="1" si="715"/>
        <v>78</v>
      </c>
      <c r="H2715" s="15">
        <v>1</v>
      </c>
      <c r="I2715" s="15" t="str">
        <f t="shared" ca="1" si="716"/>
        <v>I2C_Expander_02</v>
      </c>
      <c r="J2715" s="15" t="str">
        <f t="shared" ca="1" si="702"/>
        <v>I2C_Expander_02!A78</v>
      </c>
      <c r="K2715" s="15" t="str">
        <f t="shared" ca="1" si="703"/>
        <v>I2C_Expander_02!B78</v>
      </c>
    </row>
    <row r="2716" spans="1:16" x14ac:dyDescent="0.25">
      <c r="A2716" s="3" t="str">
        <f t="shared" ca="1" si="704"/>
        <v xml:space="preserve">#pins_def_val = 0x0000 </v>
      </c>
      <c r="G2716" s="15">
        <f t="shared" ca="1" si="715"/>
        <v>79</v>
      </c>
      <c r="H2716" s="15">
        <v>1</v>
      </c>
      <c r="I2716" s="15" t="str">
        <f t="shared" ca="1" si="716"/>
        <v>I2C_Expander_02</v>
      </c>
      <c r="J2716" s="15" t="str">
        <f t="shared" ca="1" si="702"/>
        <v>I2C_Expander_02!A79</v>
      </c>
      <c r="K2716" s="15" t="str">
        <f t="shared" ca="1" si="703"/>
        <v>I2C_Expander_02!B79</v>
      </c>
    </row>
    <row r="2717" spans="1:16" x14ac:dyDescent="0.25">
      <c r="A2717" s="3" t="str">
        <f t="shared" ca="1" si="704"/>
        <v/>
      </c>
      <c r="G2717" s="15">
        <f t="shared" ca="1" si="715"/>
        <v>80</v>
      </c>
      <c r="H2717" s="15">
        <v>1</v>
      </c>
      <c r="I2717" s="15" t="str">
        <f t="shared" ca="1" si="716"/>
        <v>I2C_Expander_02</v>
      </c>
      <c r="J2717" s="15" t="str">
        <f t="shared" ca="1" si="702"/>
        <v>I2C_Expander_02!A80</v>
      </c>
      <c r="K2717" s="15" t="str">
        <f t="shared" ca="1" si="703"/>
        <v>I2C_Expander_02!B80</v>
      </c>
    </row>
    <row r="2718" spans="1:16" x14ac:dyDescent="0.25">
      <c r="A2718" s="3" t="str">
        <f t="shared" ca="1" si="704"/>
        <v xml:space="preserve">#pins_int = 10 </v>
      </c>
      <c r="G2718" s="15">
        <f t="shared" ca="1" si="715"/>
        <v>81</v>
      </c>
      <c r="H2718" s="15">
        <v>1</v>
      </c>
      <c r="I2718" s="15" t="str">
        <f t="shared" ca="1" si="716"/>
        <v>I2C_Expander_02</v>
      </c>
      <c r="J2718" s="15" t="str">
        <f t="shared" ca="1" si="702"/>
        <v>I2C_Expander_02!A81</v>
      </c>
      <c r="K2718" s="15" t="str">
        <f t="shared" ca="1" si="703"/>
        <v>I2C_Expander_02!B81</v>
      </c>
    </row>
    <row r="2719" spans="1:16" x14ac:dyDescent="0.25">
      <c r="A2719" s="3" t="str">
        <f t="shared" ca="1" si="704"/>
        <v/>
      </c>
      <c r="C2719" s="16"/>
      <c r="G2719" s="15">
        <f t="shared" ca="1" si="715"/>
        <v>82</v>
      </c>
      <c r="H2719" s="15">
        <v>1</v>
      </c>
      <c r="I2719" s="15" t="str">
        <f t="shared" ca="1" si="716"/>
        <v>I2C_Expander_02</v>
      </c>
      <c r="J2719" s="15" t="str">
        <f t="shared" ca="1" si="702"/>
        <v>I2C_Expander_02!A82</v>
      </c>
      <c r="K2719" s="15" t="str">
        <f t="shared" ca="1" si="703"/>
        <v>I2C_Expander_02!B82</v>
      </c>
    </row>
    <row r="2720" spans="1:16" x14ac:dyDescent="0.25">
      <c r="A2720" s="3" t="str">
        <f t="shared" ca="1" si="704"/>
        <v/>
      </c>
      <c r="G2720" s="15">
        <f t="shared" ca="1" si="715"/>
        <v>83</v>
      </c>
      <c r="H2720" s="15">
        <v>1</v>
      </c>
      <c r="I2720" s="15" t="str">
        <f t="shared" ca="1" si="716"/>
        <v>I2C_Expander_02</v>
      </c>
      <c r="J2720" s="15" t="str">
        <f t="shared" ca="1" si="702"/>
        <v>I2C_Expander_02!A83</v>
      </c>
      <c r="K2720" s="15" t="str">
        <f t="shared" ca="1" si="703"/>
        <v>I2C_Expander_02!B83</v>
      </c>
    </row>
    <row r="2721" spans="1:16" x14ac:dyDescent="0.25">
      <c r="A2721" s="3" t="str">
        <f t="shared" ca="1" si="704"/>
        <v/>
      </c>
      <c r="G2721" s="15">
        <f t="shared" ca="1" si="715"/>
        <v>84</v>
      </c>
      <c r="H2721" s="15">
        <v>1</v>
      </c>
      <c r="I2721" s="15" t="str">
        <f t="shared" ca="1" si="716"/>
        <v>I2C_Expander_02</v>
      </c>
      <c r="J2721" s="15" t="str">
        <f t="shared" ca="1" si="702"/>
        <v>I2C_Expander_02!A84</v>
      </c>
      <c r="K2721" s="15" t="str">
        <f t="shared" ca="1" si="703"/>
        <v>I2C_Expander_02!B84</v>
      </c>
    </row>
    <row r="2722" spans="1:16" x14ac:dyDescent="0.25">
      <c r="A2722" s="3" t="str">
        <f t="shared" ca="1" si="704"/>
        <v/>
      </c>
      <c r="G2722" s="15">
        <f t="shared" ca="1" si="715"/>
        <v>85</v>
      </c>
      <c r="H2722" s="15">
        <v>1</v>
      </c>
      <c r="I2722" s="15" t="str">
        <f t="shared" ca="1" si="716"/>
        <v>I2C_Expander_02</v>
      </c>
      <c r="J2722" s="15" t="str">
        <f t="shared" ca="1" si="702"/>
        <v>I2C_Expander_02!A85</v>
      </c>
      <c r="K2722" s="15" t="str">
        <f t="shared" ca="1" si="703"/>
        <v>I2C_Expander_02!B85</v>
      </c>
    </row>
    <row r="2723" spans="1:16" x14ac:dyDescent="0.25">
      <c r="A2723" s="3" t="str">
        <f t="shared" ca="1" si="704"/>
        <v/>
      </c>
      <c r="G2723" s="15">
        <f t="shared" ca="1" si="715"/>
        <v>86</v>
      </c>
      <c r="H2723" s="15">
        <v>1</v>
      </c>
      <c r="I2723" s="15" t="str">
        <f t="shared" ca="1" si="716"/>
        <v>I2C_Expander_02</v>
      </c>
      <c r="J2723" s="15" t="str">
        <f t="shared" ca="1" si="702"/>
        <v>I2C_Expander_02!A86</v>
      </c>
      <c r="K2723" s="15" t="str">
        <f t="shared" ca="1" si="703"/>
        <v>I2C_Expander_02!B86</v>
      </c>
    </row>
    <row r="2724" spans="1:16" x14ac:dyDescent="0.25">
      <c r="A2724" s="3" t="str">
        <f t="shared" ca="1" si="704"/>
        <v/>
      </c>
      <c r="G2724" s="15">
        <f t="shared" ca="1" si="715"/>
        <v>87</v>
      </c>
      <c r="H2724" s="15">
        <v>1</v>
      </c>
      <c r="I2724" s="15" t="str">
        <f t="shared" ca="1" si="716"/>
        <v>I2C_Expander_02</v>
      </c>
      <c r="J2724" s="15" t="str">
        <f t="shared" ref="J2724:J2787" ca="1" si="721">ADDRESS(G2724,H2724,4,1,I2724)</f>
        <v>I2C_Expander_02!A87</v>
      </c>
      <c r="K2724" s="15" t="str">
        <f t="shared" ref="K2724:K2787" ca="1" si="722">ADDRESS(G2724,H2724+1,4,1,I2724)</f>
        <v>I2C_Expander_02!B87</v>
      </c>
    </row>
    <row r="2725" spans="1:16" x14ac:dyDescent="0.25">
      <c r="A2725" s="3" t="str">
        <f t="shared" ca="1" si="704"/>
        <v/>
      </c>
      <c r="G2725" s="15">
        <f t="shared" ca="1" si="715"/>
        <v>88</v>
      </c>
      <c r="H2725" s="15">
        <v>1</v>
      </c>
      <c r="I2725" s="15" t="str">
        <f t="shared" ca="1" si="716"/>
        <v>I2C_Expander_02</v>
      </c>
      <c r="J2725" s="15" t="str">
        <f t="shared" ca="1" si="721"/>
        <v>I2C_Expander_02!A88</v>
      </c>
      <c r="K2725" s="15" t="str">
        <f t="shared" ca="1" si="722"/>
        <v>I2C_Expander_02!B88</v>
      </c>
    </row>
    <row r="2726" spans="1:16" x14ac:dyDescent="0.25">
      <c r="A2726" s="3" t="str">
        <f t="shared" ca="1" si="704"/>
        <v/>
      </c>
      <c r="G2726" s="15">
        <f t="shared" ca="1" si="715"/>
        <v>89</v>
      </c>
      <c r="H2726" s="15">
        <v>1</v>
      </c>
      <c r="I2726" s="15" t="str">
        <f t="shared" ca="1" si="716"/>
        <v>I2C_Expander_02</v>
      </c>
      <c r="J2726" s="15" t="str">
        <f t="shared" ca="1" si="721"/>
        <v>I2C_Expander_02!A89</v>
      </c>
      <c r="K2726" s="15" t="str">
        <f t="shared" ca="1" si="722"/>
        <v>I2C_Expander_02!B89</v>
      </c>
    </row>
    <row r="2727" spans="1:16" x14ac:dyDescent="0.25">
      <c r="A2727" s="3" t="str">
        <f t="shared" ca="1" si="704"/>
        <v/>
      </c>
      <c r="G2727" s="15">
        <f t="shared" ca="1" si="715"/>
        <v>90</v>
      </c>
      <c r="H2727" s="15">
        <v>1</v>
      </c>
      <c r="I2727" s="15" t="str">
        <f t="shared" ca="1" si="716"/>
        <v>I2C_Expander_02</v>
      </c>
      <c r="J2727" s="15" t="str">
        <f t="shared" ca="1" si="721"/>
        <v>I2C_Expander_02!A90</v>
      </c>
      <c r="K2727" s="15" t="str">
        <f t="shared" ca="1" si="722"/>
        <v>I2C_Expander_02!B90</v>
      </c>
    </row>
    <row r="2728" spans="1:16" x14ac:dyDescent="0.25">
      <c r="A2728" s="3" t="str">
        <f t="shared" ca="1" si="704"/>
        <v/>
      </c>
      <c r="G2728" s="15">
        <f t="shared" ref="G2728" ca="1" si="723">INDIRECT(M2728)</f>
        <v>31</v>
      </c>
      <c r="H2728" s="15">
        <v>1</v>
      </c>
      <c r="I2728" s="15">
        <f t="shared" ref="I2728" ca="1" si="724">INDIRECT(N2728)</f>
        <v>0</v>
      </c>
      <c r="J2728" s="15" t="str">
        <f t="shared" ca="1" si="721"/>
        <v>'0'!A31</v>
      </c>
      <c r="K2728" s="15" t="str">
        <f t="shared" ca="1" si="722"/>
        <v>'0'!B31</v>
      </c>
      <c r="M2728" s="15" t="str">
        <f t="shared" ref="M2728" si="725">ADDRESS(O2728,3,4,1,$R$1)</f>
        <v>konfig!C138</v>
      </c>
      <c r="N2728" s="15" t="str">
        <f t="shared" ref="N2728" si="726">ADDRESS(O2728,1,4,1,$R$1)</f>
        <v>konfig!A138</v>
      </c>
      <c r="O2728" s="15">
        <v>138</v>
      </c>
      <c r="P2728" s="15">
        <v>4</v>
      </c>
    </row>
    <row r="2729" spans="1:16" x14ac:dyDescent="0.25">
      <c r="A2729" s="3" t="str">
        <f t="shared" ca="1" si="704"/>
        <v/>
      </c>
      <c r="G2729" s="15">
        <f t="shared" ref="G2729:G2772" ca="1" si="727">G2728+1</f>
        <v>32</v>
      </c>
      <c r="H2729" s="15">
        <v>1</v>
      </c>
      <c r="I2729" s="15">
        <f t="shared" ref="I2729:I2772" ca="1" si="728">I2728</f>
        <v>0</v>
      </c>
      <c r="J2729" s="15" t="str">
        <f t="shared" ca="1" si="721"/>
        <v>'0'!A32</v>
      </c>
      <c r="K2729" s="15" t="str">
        <f t="shared" ca="1" si="722"/>
        <v>'0'!B32</v>
      </c>
    </row>
    <row r="2730" spans="1:16" x14ac:dyDescent="0.25">
      <c r="A2730" s="3" t="str">
        <f t="shared" ca="1" si="704"/>
        <v/>
      </c>
      <c r="G2730" s="15">
        <f t="shared" ca="1" si="727"/>
        <v>33</v>
      </c>
      <c r="H2730" s="15">
        <v>1</v>
      </c>
      <c r="I2730" s="15">
        <f t="shared" ca="1" si="728"/>
        <v>0</v>
      </c>
      <c r="J2730" s="15" t="str">
        <f t="shared" ca="1" si="721"/>
        <v>'0'!A33</v>
      </c>
      <c r="K2730" s="15" t="str">
        <f t="shared" ca="1" si="722"/>
        <v>'0'!B33</v>
      </c>
    </row>
    <row r="2731" spans="1:16" x14ac:dyDescent="0.25">
      <c r="A2731" s="3" t="str">
        <f t="shared" ca="1" si="704"/>
        <v/>
      </c>
      <c r="C2731" s="16"/>
      <c r="G2731" s="15">
        <f t="shared" ca="1" si="727"/>
        <v>34</v>
      </c>
      <c r="H2731" s="15">
        <v>1</v>
      </c>
      <c r="I2731" s="15">
        <f t="shared" ca="1" si="728"/>
        <v>0</v>
      </c>
      <c r="J2731" s="15" t="str">
        <f t="shared" ca="1" si="721"/>
        <v>'0'!A34</v>
      </c>
      <c r="K2731" s="15" t="str">
        <f t="shared" ca="1" si="722"/>
        <v>'0'!B34</v>
      </c>
    </row>
    <row r="2732" spans="1:16" x14ac:dyDescent="0.25">
      <c r="A2732" s="3" t="str">
        <f t="shared" ref="A2732:A2795" ca="1" si="729">IFERROR(IF(INDIRECT(J2732)&lt;&gt;"",CONCATENATE(INDIRECT(J2732)," = ",INDIRECT(K2732)," "),""),"")</f>
        <v/>
      </c>
      <c r="G2732" s="15">
        <f t="shared" ca="1" si="727"/>
        <v>35</v>
      </c>
      <c r="H2732" s="15">
        <v>1</v>
      </c>
      <c r="I2732" s="15">
        <f t="shared" ca="1" si="728"/>
        <v>0</v>
      </c>
      <c r="J2732" s="15" t="str">
        <f t="shared" ca="1" si="721"/>
        <v>'0'!A35</v>
      </c>
      <c r="K2732" s="15" t="str">
        <f t="shared" ca="1" si="722"/>
        <v>'0'!B35</v>
      </c>
    </row>
    <row r="2733" spans="1:16" x14ac:dyDescent="0.25">
      <c r="A2733" s="3" t="str">
        <f t="shared" ca="1" si="729"/>
        <v/>
      </c>
      <c r="G2733" s="15">
        <f t="shared" ca="1" si="715"/>
        <v>36</v>
      </c>
      <c r="H2733" s="15">
        <v>1</v>
      </c>
      <c r="I2733" s="15">
        <f t="shared" ca="1" si="716"/>
        <v>0</v>
      </c>
      <c r="J2733" s="15" t="str">
        <f t="shared" ca="1" si="721"/>
        <v>'0'!A36</v>
      </c>
      <c r="K2733" s="15" t="str">
        <f t="shared" ca="1" si="722"/>
        <v>'0'!B36</v>
      </c>
    </row>
    <row r="2734" spans="1:16" x14ac:dyDescent="0.25">
      <c r="A2734" s="3" t="str">
        <f t="shared" ca="1" si="729"/>
        <v/>
      </c>
      <c r="G2734" s="15">
        <f t="shared" ca="1" si="715"/>
        <v>37</v>
      </c>
      <c r="H2734" s="15">
        <v>1</v>
      </c>
      <c r="I2734" s="15">
        <f t="shared" ca="1" si="716"/>
        <v>0</v>
      </c>
      <c r="J2734" s="15" t="str">
        <f t="shared" ca="1" si="721"/>
        <v>'0'!A37</v>
      </c>
      <c r="K2734" s="15" t="str">
        <f t="shared" ca="1" si="722"/>
        <v>'0'!B37</v>
      </c>
    </row>
    <row r="2735" spans="1:16" x14ac:dyDescent="0.25">
      <c r="A2735" s="3" t="str">
        <f t="shared" ca="1" si="729"/>
        <v/>
      </c>
      <c r="G2735" s="15">
        <f t="shared" ca="1" si="715"/>
        <v>38</v>
      </c>
      <c r="H2735" s="15">
        <v>1</v>
      </c>
      <c r="I2735" s="15">
        <f t="shared" ca="1" si="716"/>
        <v>0</v>
      </c>
      <c r="J2735" s="15" t="str">
        <f t="shared" ca="1" si="721"/>
        <v>'0'!A38</v>
      </c>
      <c r="K2735" s="15" t="str">
        <f t="shared" ca="1" si="722"/>
        <v>'0'!B38</v>
      </c>
    </row>
    <row r="2736" spans="1:16" x14ac:dyDescent="0.25">
      <c r="A2736" s="3" t="str">
        <f t="shared" ca="1" si="729"/>
        <v/>
      </c>
      <c r="G2736" s="15">
        <f t="shared" ca="1" si="715"/>
        <v>39</v>
      </c>
      <c r="H2736" s="15">
        <v>1</v>
      </c>
      <c r="I2736" s="15">
        <f t="shared" ca="1" si="716"/>
        <v>0</v>
      </c>
      <c r="J2736" s="15" t="str">
        <f t="shared" ca="1" si="721"/>
        <v>'0'!A39</v>
      </c>
      <c r="K2736" s="15" t="str">
        <f t="shared" ca="1" si="722"/>
        <v>'0'!B39</v>
      </c>
    </row>
    <row r="2737" spans="1:16" x14ac:dyDescent="0.25">
      <c r="A2737" s="3" t="str">
        <f t="shared" ca="1" si="729"/>
        <v/>
      </c>
      <c r="G2737" s="15">
        <f t="shared" ca="1" si="715"/>
        <v>40</v>
      </c>
      <c r="H2737" s="15">
        <v>1</v>
      </c>
      <c r="I2737" s="15">
        <f t="shared" ca="1" si="716"/>
        <v>0</v>
      </c>
      <c r="J2737" s="15" t="str">
        <f t="shared" ca="1" si="721"/>
        <v>'0'!A40</v>
      </c>
      <c r="K2737" s="15" t="str">
        <f t="shared" ca="1" si="722"/>
        <v>'0'!B40</v>
      </c>
    </row>
    <row r="2738" spans="1:16" x14ac:dyDescent="0.25">
      <c r="A2738" s="3" t="str">
        <f t="shared" ca="1" si="729"/>
        <v/>
      </c>
      <c r="G2738" s="15">
        <f t="shared" ca="1" si="715"/>
        <v>41</v>
      </c>
      <c r="H2738" s="15">
        <v>1</v>
      </c>
      <c r="I2738" s="15">
        <f t="shared" ca="1" si="716"/>
        <v>0</v>
      </c>
      <c r="J2738" s="15" t="str">
        <f t="shared" ca="1" si="721"/>
        <v>'0'!A41</v>
      </c>
      <c r="K2738" s="15" t="str">
        <f t="shared" ca="1" si="722"/>
        <v>'0'!B41</v>
      </c>
    </row>
    <row r="2739" spans="1:16" x14ac:dyDescent="0.25">
      <c r="A2739" s="3" t="str">
        <f t="shared" ca="1" si="729"/>
        <v/>
      </c>
      <c r="C2739" s="16"/>
      <c r="G2739" s="15">
        <f t="shared" ca="1" si="715"/>
        <v>42</v>
      </c>
      <c r="H2739" s="15">
        <v>1</v>
      </c>
      <c r="I2739" s="15">
        <f t="shared" ca="1" si="716"/>
        <v>0</v>
      </c>
      <c r="J2739" s="15" t="str">
        <f t="shared" ca="1" si="721"/>
        <v>'0'!A42</v>
      </c>
      <c r="K2739" s="15" t="str">
        <f t="shared" ca="1" si="722"/>
        <v>'0'!B42</v>
      </c>
    </row>
    <row r="2740" spans="1:16" x14ac:dyDescent="0.25">
      <c r="A2740" s="3" t="str">
        <f t="shared" ca="1" si="729"/>
        <v/>
      </c>
      <c r="G2740" s="15">
        <f t="shared" ca="1" si="715"/>
        <v>43</v>
      </c>
      <c r="H2740" s="15">
        <v>1</v>
      </c>
      <c r="I2740" s="15">
        <f t="shared" ca="1" si="716"/>
        <v>0</v>
      </c>
      <c r="J2740" s="15" t="str">
        <f t="shared" ca="1" si="721"/>
        <v>'0'!A43</v>
      </c>
      <c r="K2740" s="15" t="str">
        <f t="shared" ca="1" si="722"/>
        <v>'0'!B43</v>
      </c>
    </row>
    <row r="2741" spans="1:16" x14ac:dyDescent="0.25">
      <c r="A2741" s="3" t="str">
        <f t="shared" ca="1" si="729"/>
        <v/>
      </c>
      <c r="G2741" s="15">
        <f t="shared" ca="1" si="715"/>
        <v>44</v>
      </c>
      <c r="H2741" s="15">
        <v>1</v>
      </c>
      <c r="I2741" s="15">
        <f t="shared" ca="1" si="716"/>
        <v>0</v>
      </c>
      <c r="J2741" s="15" t="str">
        <f t="shared" ca="1" si="721"/>
        <v>'0'!A44</v>
      </c>
      <c r="K2741" s="15" t="str">
        <f t="shared" ca="1" si="722"/>
        <v>'0'!B44</v>
      </c>
    </row>
    <row r="2742" spans="1:16" x14ac:dyDescent="0.25">
      <c r="A2742" s="3" t="str">
        <f t="shared" ca="1" si="729"/>
        <v/>
      </c>
      <c r="G2742" s="15">
        <f t="shared" ca="1" si="715"/>
        <v>45</v>
      </c>
      <c r="H2742" s="15">
        <v>1</v>
      </c>
      <c r="I2742" s="15">
        <f t="shared" ca="1" si="716"/>
        <v>0</v>
      </c>
      <c r="J2742" s="15" t="str">
        <f t="shared" ca="1" si="721"/>
        <v>'0'!A45</v>
      </c>
      <c r="K2742" s="15" t="str">
        <f t="shared" ca="1" si="722"/>
        <v>'0'!B45</v>
      </c>
    </row>
    <row r="2743" spans="1:16" x14ac:dyDescent="0.25">
      <c r="A2743" s="3" t="str">
        <f t="shared" ca="1" si="729"/>
        <v/>
      </c>
      <c r="G2743" s="15">
        <f t="shared" ca="1" si="715"/>
        <v>46</v>
      </c>
      <c r="H2743" s="15">
        <v>1</v>
      </c>
      <c r="I2743" s="15">
        <f t="shared" ca="1" si="716"/>
        <v>0</v>
      </c>
      <c r="J2743" s="15" t="str">
        <f t="shared" ca="1" si="721"/>
        <v>'0'!A46</v>
      </c>
      <c r="K2743" s="15" t="str">
        <f t="shared" ca="1" si="722"/>
        <v>'0'!B46</v>
      </c>
    </row>
    <row r="2744" spans="1:16" x14ac:dyDescent="0.25">
      <c r="A2744" s="3" t="str">
        <f t="shared" ca="1" si="729"/>
        <v/>
      </c>
      <c r="G2744" s="15">
        <f t="shared" ca="1" si="715"/>
        <v>47</v>
      </c>
      <c r="H2744" s="15">
        <v>1</v>
      </c>
      <c r="I2744" s="15">
        <f t="shared" ca="1" si="716"/>
        <v>0</v>
      </c>
      <c r="J2744" s="15" t="str">
        <f t="shared" ca="1" si="721"/>
        <v>'0'!A47</v>
      </c>
      <c r="K2744" s="15" t="str">
        <f t="shared" ca="1" si="722"/>
        <v>'0'!B47</v>
      </c>
    </row>
    <row r="2745" spans="1:16" x14ac:dyDescent="0.25">
      <c r="A2745" s="3" t="str">
        <f t="shared" ca="1" si="729"/>
        <v/>
      </c>
      <c r="G2745" s="15">
        <f t="shared" ca="1" si="715"/>
        <v>48</v>
      </c>
      <c r="H2745" s="15">
        <v>1</v>
      </c>
      <c r="I2745" s="15">
        <f t="shared" ca="1" si="716"/>
        <v>0</v>
      </c>
      <c r="J2745" s="15" t="str">
        <f t="shared" ca="1" si="721"/>
        <v>'0'!A48</v>
      </c>
      <c r="K2745" s="15" t="str">
        <f t="shared" ca="1" si="722"/>
        <v>'0'!B48</v>
      </c>
    </row>
    <row r="2746" spans="1:16" x14ac:dyDescent="0.25">
      <c r="A2746" s="3" t="str">
        <f t="shared" ca="1" si="729"/>
        <v/>
      </c>
      <c r="G2746" s="15">
        <f t="shared" ca="1" si="715"/>
        <v>49</v>
      </c>
      <c r="H2746" s="15">
        <v>1</v>
      </c>
      <c r="I2746" s="15">
        <f t="shared" ca="1" si="716"/>
        <v>0</v>
      </c>
      <c r="J2746" s="15" t="str">
        <f t="shared" ca="1" si="721"/>
        <v>'0'!A49</v>
      </c>
      <c r="K2746" s="15" t="str">
        <f t="shared" ca="1" si="722"/>
        <v>'0'!B49</v>
      </c>
    </row>
    <row r="2747" spans="1:16" x14ac:dyDescent="0.25">
      <c r="A2747" s="3" t="str">
        <f t="shared" ca="1" si="729"/>
        <v/>
      </c>
      <c r="G2747" s="15">
        <f t="shared" ca="1" si="715"/>
        <v>50</v>
      </c>
      <c r="H2747" s="15">
        <v>1</v>
      </c>
      <c r="I2747" s="15">
        <f t="shared" ca="1" si="716"/>
        <v>0</v>
      </c>
      <c r="J2747" s="15" t="str">
        <f t="shared" ca="1" si="721"/>
        <v>'0'!A50</v>
      </c>
      <c r="K2747" s="15" t="str">
        <f t="shared" ca="1" si="722"/>
        <v>'0'!B50</v>
      </c>
    </row>
    <row r="2748" spans="1:16" x14ac:dyDescent="0.25">
      <c r="A2748" s="3" t="str">
        <f t="shared" ca="1" si="729"/>
        <v/>
      </c>
      <c r="G2748" s="15">
        <f t="shared" ref="G2748" ca="1" si="730">INDIRECT(M2748)</f>
        <v>31</v>
      </c>
      <c r="H2748" s="15">
        <v>1</v>
      </c>
      <c r="I2748" s="15">
        <f t="shared" ref="I2748" ca="1" si="731">INDIRECT(N2748)</f>
        <v>0</v>
      </c>
      <c r="J2748" s="15" t="str">
        <f t="shared" ca="1" si="721"/>
        <v>'0'!A31</v>
      </c>
      <c r="K2748" s="15" t="str">
        <f t="shared" ca="1" si="722"/>
        <v>'0'!B31</v>
      </c>
      <c r="M2748" s="15" t="str">
        <f t="shared" ref="M2748" si="732">ADDRESS(O2748,3,4,1,$R$1)</f>
        <v>konfig!C139</v>
      </c>
      <c r="N2748" s="15" t="str">
        <f t="shared" ref="N2748" si="733">ADDRESS(O2748,1,4,1,$R$1)</f>
        <v>konfig!A139</v>
      </c>
      <c r="O2748" s="15">
        <v>139</v>
      </c>
      <c r="P2748" s="15">
        <v>4</v>
      </c>
    </row>
    <row r="2749" spans="1:16" x14ac:dyDescent="0.25">
      <c r="A2749" s="3" t="str">
        <f t="shared" ca="1" si="729"/>
        <v/>
      </c>
      <c r="G2749" s="15">
        <f t="shared" ref="G2749:G2789" ca="1" si="734">G2748+1</f>
        <v>32</v>
      </c>
      <c r="H2749" s="15">
        <v>1</v>
      </c>
      <c r="I2749" s="15">
        <f t="shared" ref="I2749:I2789" ca="1" si="735">I2748</f>
        <v>0</v>
      </c>
      <c r="J2749" s="15" t="str">
        <f t="shared" ca="1" si="721"/>
        <v>'0'!A32</v>
      </c>
      <c r="K2749" s="15" t="str">
        <f t="shared" ca="1" si="722"/>
        <v>'0'!B32</v>
      </c>
    </row>
    <row r="2750" spans="1:16" x14ac:dyDescent="0.25">
      <c r="A2750" s="3" t="str">
        <f t="shared" ca="1" si="729"/>
        <v/>
      </c>
      <c r="G2750" s="15">
        <f t="shared" ca="1" si="715"/>
        <v>33</v>
      </c>
      <c r="H2750" s="15">
        <v>1</v>
      </c>
      <c r="I2750" s="15">
        <f t="shared" ca="1" si="716"/>
        <v>0</v>
      </c>
      <c r="J2750" s="15" t="str">
        <f t="shared" ca="1" si="721"/>
        <v>'0'!A33</v>
      </c>
      <c r="K2750" s="15" t="str">
        <f t="shared" ca="1" si="722"/>
        <v>'0'!B33</v>
      </c>
    </row>
    <row r="2751" spans="1:16" x14ac:dyDescent="0.25">
      <c r="A2751" s="3" t="str">
        <f t="shared" ca="1" si="729"/>
        <v/>
      </c>
      <c r="C2751" s="16"/>
      <c r="G2751" s="15">
        <f t="shared" ca="1" si="715"/>
        <v>34</v>
      </c>
      <c r="H2751" s="15">
        <v>1</v>
      </c>
      <c r="I2751" s="15">
        <f t="shared" ca="1" si="716"/>
        <v>0</v>
      </c>
      <c r="J2751" s="15" t="str">
        <f t="shared" ca="1" si="721"/>
        <v>'0'!A34</v>
      </c>
      <c r="K2751" s="15" t="str">
        <f t="shared" ca="1" si="722"/>
        <v>'0'!B34</v>
      </c>
    </row>
    <row r="2752" spans="1:16" x14ac:dyDescent="0.25">
      <c r="A2752" s="3" t="str">
        <f t="shared" ca="1" si="729"/>
        <v/>
      </c>
      <c r="G2752" s="15">
        <f t="shared" ca="1" si="715"/>
        <v>35</v>
      </c>
      <c r="H2752" s="15">
        <v>1</v>
      </c>
      <c r="I2752" s="15">
        <f t="shared" ca="1" si="716"/>
        <v>0</v>
      </c>
      <c r="J2752" s="15" t="str">
        <f t="shared" ca="1" si="721"/>
        <v>'0'!A35</v>
      </c>
      <c r="K2752" s="15" t="str">
        <f t="shared" ca="1" si="722"/>
        <v>'0'!B35</v>
      </c>
    </row>
    <row r="2753" spans="1:16" x14ac:dyDescent="0.25">
      <c r="A2753" s="3" t="str">
        <f t="shared" ca="1" si="729"/>
        <v/>
      </c>
      <c r="G2753" s="15">
        <f t="shared" ca="1" si="715"/>
        <v>36</v>
      </c>
      <c r="H2753" s="15">
        <v>1</v>
      </c>
      <c r="I2753" s="15">
        <f t="shared" ca="1" si="716"/>
        <v>0</v>
      </c>
      <c r="J2753" s="15" t="str">
        <f t="shared" ca="1" si="721"/>
        <v>'0'!A36</v>
      </c>
      <c r="K2753" s="15" t="str">
        <f t="shared" ca="1" si="722"/>
        <v>'0'!B36</v>
      </c>
    </row>
    <row r="2754" spans="1:16" x14ac:dyDescent="0.25">
      <c r="A2754" s="3" t="str">
        <f t="shared" ca="1" si="729"/>
        <v/>
      </c>
      <c r="G2754" s="15">
        <f t="shared" ca="1" si="715"/>
        <v>37</v>
      </c>
      <c r="H2754" s="15">
        <v>1</v>
      </c>
      <c r="I2754" s="15">
        <f t="shared" ca="1" si="716"/>
        <v>0</v>
      </c>
      <c r="J2754" s="15" t="str">
        <f t="shared" ca="1" si="721"/>
        <v>'0'!A37</v>
      </c>
      <c r="K2754" s="15" t="str">
        <f t="shared" ca="1" si="722"/>
        <v>'0'!B37</v>
      </c>
    </row>
    <row r="2755" spans="1:16" x14ac:dyDescent="0.25">
      <c r="A2755" s="3" t="str">
        <f t="shared" ca="1" si="729"/>
        <v/>
      </c>
      <c r="G2755" s="15">
        <f t="shared" ca="1" si="715"/>
        <v>38</v>
      </c>
      <c r="H2755" s="15">
        <v>1</v>
      </c>
      <c r="I2755" s="15">
        <f t="shared" ca="1" si="716"/>
        <v>0</v>
      </c>
      <c r="J2755" s="15" t="str">
        <f t="shared" ca="1" si="721"/>
        <v>'0'!A38</v>
      </c>
      <c r="K2755" s="15" t="str">
        <f t="shared" ca="1" si="722"/>
        <v>'0'!B38</v>
      </c>
    </row>
    <row r="2756" spans="1:16" x14ac:dyDescent="0.25">
      <c r="A2756" s="3" t="str">
        <f t="shared" ca="1" si="729"/>
        <v/>
      </c>
      <c r="G2756" s="15">
        <f t="shared" ca="1" si="715"/>
        <v>39</v>
      </c>
      <c r="H2756" s="15">
        <v>1</v>
      </c>
      <c r="I2756" s="15">
        <f t="shared" ca="1" si="716"/>
        <v>0</v>
      </c>
      <c r="J2756" s="15" t="str">
        <f t="shared" ca="1" si="721"/>
        <v>'0'!A39</v>
      </c>
      <c r="K2756" s="15" t="str">
        <f t="shared" ca="1" si="722"/>
        <v>'0'!B39</v>
      </c>
    </row>
    <row r="2757" spans="1:16" x14ac:dyDescent="0.25">
      <c r="A2757" s="3" t="str">
        <f t="shared" ca="1" si="729"/>
        <v/>
      </c>
      <c r="G2757" s="15">
        <f t="shared" ca="1" si="715"/>
        <v>40</v>
      </c>
      <c r="H2757" s="15">
        <v>1</v>
      </c>
      <c r="I2757" s="15">
        <f t="shared" ca="1" si="716"/>
        <v>0</v>
      </c>
      <c r="J2757" s="15" t="str">
        <f t="shared" ca="1" si="721"/>
        <v>'0'!A40</v>
      </c>
      <c r="K2757" s="15" t="str">
        <f t="shared" ca="1" si="722"/>
        <v>'0'!B40</v>
      </c>
    </row>
    <row r="2758" spans="1:16" x14ac:dyDescent="0.25">
      <c r="A2758" s="3" t="str">
        <f t="shared" ca="1" si="729"/>
        <v/>
      </c>
      <c r="G2758" s="15">
        <f t="shared" ca="1" si="715"/>
        <v>41</v>
      </c>
      <c r="H2758" s="15">
        <v>1</v>
      </c>
      <c r="I2758" s="15">
        <f t="shared" ca="1" si="716"/>
        <v>0</v>
      </c>
      <c r="J2758" s="15" t="str">
        <f t="shared" ca="1" si="721"/>
        <v>'0'!A41</v>
      </c>
      <c r="K2758" s="15" t="str">
        <f t="shared" ca="1" si="722"/>
        <v>'0'!B41</v>
      </c>
    </row>
    <row r="2759" spans="1:16" x14ac:dyDescent="0.25">
      <c r="A2759" s="3" t="str">
        <f t="shared" ca="1" si="729"/>
        <v/>
      </c>
      <c r="C2759" s="16"/>
      <c r="G2759" s="15">
        <f t="shared" ca="1" si="715"/>
        <v>42</v>
      </c>
      <c r="H2759" s="15">
        <v>1</v>
      </c>
      <c r="I2759" s="15">
        <f t="shared" ca="1" si="716"/>
        <v>0</v>
      </c>
      <c r="J2759" s="15" t="str">
        <f t="shared" ca="1" si="721"/>
        <v>'0'!A42</v>
      </c>
      <c r="K2759" s="15" t="str">
        <f t="shared" ca="1" si="722"/>
        <v>'0'!B42</v>
      </c>
    </row>
    <row r="2760" spans="1:16" x14ac:dyDescent="0.25">
      <c r="A2760" s="3" t="str">
        <f t="shared" ca="1" si="729"/>
        <v/>
      </c>
      <c r="G2760" s="15">
        <f t="shared" ca="1" si="715"/>
        <v>43</v>
      </c>
      <c r="H2760" s="15">
        <v>1</v>
      </c>
      <c r="I2760" s="15">
        <f t="shared" ca="1" si="716"/>
        <v>0</v>
      </c>
      <c r="J2760" s="15" t="str">
        <f t="shared" ca="1" si="721"/>
        <v>'0'!A43</v>
      </c>
      <c r="K2760" s="15" t="str">
        <f t="shared" ca="1" si="722"/>
        <v>'0'!B43</v>
      </c>
    </row>
    <row r="2761" spans="1:16" x14ac:dyDescent="0.25">
      <c r="A2761" s="3" t="str">
        <f t="shared" ca="1" si="729"/>
        <v/>
      </c>
      <c r="G2761" s="15">
        <f t="shared" ref="G2761:G2824" ca="1" si="736">G2760+1</f>
        <v>44</v>
      </c>
      <c r="H2761" s="15">
        <v>1</v>
      </c>
      <c r="I2761" s="15">
        <f t="shared" ref="I2761:I2824" ca="1" si="737">I2760</f>
        <v>0</v>
      </c>
      <c r="J2761" s="15" t="str">
        <f t="shared" ca="1" si="721"/>
        <v>'0'!A44</v>
      </c>
      <c r="K2761" s="15" t="str">
        <f t="shared" ca="1" si="722"/>
        <v>'0'!B44</v>
      </c>
    </row>
    <row r="2762" spans="1:16" x14ac:dyDescent="0.25">
      <c r="A2762" s="3" t="str">
        <f t="shared" ca="1" si="729"/>
        <v/>
      </c>
      <c r="G2762" s="15">
        <f t="shared" ca="1" si="736"/>
        <v>45</v>
      </c>
      <c r="H2762" s="15">
        <v>1</v>
      </c>
      <c r="I2762" s="15">
        <f t="shared" ca="1" si="737"/>
        <v>0</v>
      </c>
      <c r="J2762" s="15" t="str">
        <f t="shared" ca="1" si="721"/>
        <v>'0'!A45</v>
      </c>
      <c r="K2762" s="15" t="str">
        <f t="shared" ca="1" si="722"/>
        <v>'0'!B45</v>
      </c>
    </row>
    <row r="2763" spans="1:16" x14ac:dyDescent="0.25">
      <c r="A2763" s="3" t="str">
        <f t="shared" ca="1" si="729"/>
        <v/>
      </c>
      <c r="G2763" s="15">
        <f t="shared" ca="1" si="736"/>
        <v>46</v>
      </c>
      <c r="H2763" s="15">
        <v>1</v>
      </c>
      <c r="I2763" s="15">
        <f t="shared" ca="1" si="737"/>
        <v>0</v>
      </c>
      <c r="J2763" s="15" t="str">
        <f t="shared" ca="1" si="721"/>
        <v>'0'!A46</v>
      </c>
      <c r="K2763" s="15" t="str">
        <f t="shared" ca="1" si="722"/>
        <v>'0'!B46</v>
      </c>
    </row>
    <row r="2764" spans="1:16" x14ac:dyDescent="0.25">
      <c r="A2764" s="3" t="str">
        <f t="shared" ca="1" si="729"/>
        <v/>
      </c>
      <c r="G2764" s="15">
        <f t="shared" ca="1" si="736"/>
        <v>47</v>
      </c>
      <c r="H2764" s="15">
        <v>1</v>
      </c>
      <c r="I2764" s="15">
        <f t="shared" ca="1" si="737"/>
        <v>0</v>
      </c>
      <c r="J2764" s="15" t="str">
        <f t="shared" ca="1" si="721"/>
        <v>'0'!A47</v>
      </c>
      <c r="K2764" s="15" t="str">
        <f t="shared" ca="1" si="722"/>
        <v>'0'!B47</v>
      </c>
    </row>
    <row r="2765" spans="1:16" x14ac:dyDescent="0.25">
      <c r="A2765" s="3" t="str">
        <f t="shared" ca="1" si="729"/>
        <v/>
      </c>
      <c r="G2765" s="15">
        <f t="shared" ca="1" si="736"/>
        <v>48</v>
      </c>
      <c r="H2765" s="15">
        <v>1</v>
      </c>
      <c r="I2765" s="15">
        <f t="shared" ca="1" si="737"/>
        <v>0</v>
      </c>
      <c r="J2765" s="15" t="str">
        <f t="shared" ca="1" si="721"/>
        <v>'0'!A48</v>
      </c>
      <c r="K2765" s="15" t="str">
        <f t="shared" ca="1" si="722"/>
        <v>'0'!B48</v>
      </c>
    </row>
    <row r="2766" spans="1:16" x14ac:dyDescent="0.25">
      <c r="A2766" s="3" t="str">
        <f t="shared" ca="1" si="729"/>
        <v/>
      </c>
      <c r="G2766" s="15">
        <f t="shared" ca="1" si="736"/>
        <v>49</v>
      </c>
      <c r="H2766" s="15">
        <v>1</v>
      </c>
      <c r="I2766" s="15">
        <f t="shared" ca="1" si="737"/>
        <v>0</v>
      </c>
      <c r="J2766" s="15" t="str">
        <f t="shared" ca="1" si="721"/>
        <v>'0'!A49</v>
      </c>
      <c r="K2766" s="15" t="str">
        <f t="shared" ca="1" si="722"/>
        <v>'0'!B49</v>
      </c>
    </row>
    <row r="2767" spans="1:16" x14ac:dyDescent="0.25">
      <c r="A2767" s="3" t="str">
        <f t="shared" ca="1" si="729"/>
        <v/>
      </c>
      <c r="G2767" s="15">
        <f t="shared" ca="1" si="736"/>
        <v>50</v>
      </c>
      <c r="H2767" s="15">
        <v>1</v>
      </c>
      <c r="I2767" s="15">
        <f t="shared" ca="1" si="737"/>
        <v>0</v>
      </c>
      <c r="J2767" s="15" t="str">
        <f t="shared" ca="1" si="721"/>
        <v>'0'!A50</v>
      </c>
      <c r="K2767" s="15" t="str">
        <f t="shared" ca="1" si="722"/>
        <v>'0'!B50</v>
      </c>
    </row>
    <row r="2768" spans="1:16" x14ac:dyDescent="0.25">
      <c r="A2768" s="3" t="str">
        <f t="shared" ca="1" si="729"/>
        <v/>
      </c>
      <c r="G2768" s="15">
        <f t="shared" ref="G2768" ca="1" si="738">INDIRECT(M2768)</f>
        <v>31</v>
      </c>
      <c r="H2768" s="15">
        <v>1</v>
      </c>
      <c r="I2768" s="15" t="str">
        <f t="shared" ref="I2768" ca="1" si="739">INDIRECT(N2768)</f>
        <v>karta4 GNSS_L1</v>
      </c>
      <c r="J2768" s="15" t="str">
        <f t="shared" ca="1" si="721"/>
        <v>'karta4 GNSS_L1'!A31</v>
      </c>
      <c r="K2768" s="15" t="str">
        <f t="shared" ca="1" si="722"/>
        <v>'karta4 GNSS_L1'!B31</v>
      </c>
      <c r="M2768" s="15" t="str">
        <f t="shared" ref="M2768" si="740">ADDRESS(O2768,3,4,1,$R$1)</f>
        <v>konfig!C140</v>
      </c>
      <c r="N2768" s="15" t="str">
        <f t="shared" ref="N2768" si="741">ADDRESS(O2768,1,4,1,$R$1)</f>
        <v>konfig!A140</v>
      </c>
      <c r="O2768" s="15">
        <v>140</v>
      </c>
      <c r="P2768" s="15">
        <v>4</v>
      </c>
    </row>
    <row r="2769" spans="1:11" x14ac:dyDescent="0.25">
      <c r="A2769" s="3" t="str">
        <f t="shared" ca="1" si="729"/>
        <v/>
      </c>
      <c r="G2769" s="15">
        <f t="shared" ca="1" si="727"/>
        <v>32</v>
      </c>
      <c r="H2769" s="15">
        <v>1</v>
      </c>
      <c r="I2769" s="15" t="str">
        <f t="shared" ca="1" si="728"/>
        <v>karta4 GNSS_L1</v>
      </c>
      <c r="J2769" s="15" t="str">
        <f t="shared" ca="1" si="721"/>
        <v>'karta4 GNSS_L1'!A32</v>
      </c>
      <c r="K2769" s="15" t="str">
        <f t="shared" ca="1" si="722"/>
        <v>'karta4 GNSS_L1'!B32</v>
      </c>
    </row>
    <row r="2770" spans="1:11" x14ac:dyDescent="0.25">
      <c r="A2770" s="3" t="str">
        <f t="shared" ca="1" si="729"/>
        <v/>
      </c>
      <c r="G2770" s="15">
        <f t="shared" ca="1" si="727"/>
        <v>33</v>
      </c>
      <c r="H2770" s="15">
        <v>1</v>
      </c>
      <c r="I2770" s="15" t="str">
        <f t="shared" ca="1" si="728"/>
        <v>karta4 GNSS_L1</v>
      </c>
      <c r="J2770" s="15" t="str">
        <f t="shared" ca="1" si="721"/>
        <v>'karta4 GNSS_L1'!A33</v>
      </c>
      <c r="K2770" s="15" t="str">
        <f t="shared" ca="1" si="722"/>
        <v>'karta4 GNSS_L1'!B33</v>
      </c>
    </row>
    <row r="2771" spans="1:11" x14ac:dyDescent="0.25">
      <c r="A2771" s="3" t="str">
        <f t="shared" ca="1" si="729"/>
        <v/>
      </c>
      <c r="C2771" s="16"/>
      <c r="G2771" s="15">
        <f t="shared" ca="1" si="727"/>
        <v>34</v>
      </c>
      <c r="H2771" s="15">
        <v>1</v>
      </c>
      <c r="I2771" s="15" t="str">
        <f t="shared" ca="1" si="728"/>
        <v>karta4 GNSS_L1</v>
      </c>
      <c r="J2771" s="15" t="str">
        <f t="shared" ca="1" si="721"/>
        <v>'karta4 GNSS_L1'!A34</v>
      </c>
      <c r="K2771" s="15" t="str">
        <f t="shared" ca="1" si="722"/>
        <v>'karta4 GNSS_L1'!B34</v>
      </c>
    </row>
    <row r="2772" spans="1:11" x14ac:dyDescent="0.25">
      <c r="A2772" s="3" t="str">
        <f t="shared" ca="1" si="729"/>
        <v/>
      </c>
      <c r="G2772" s="15">
        <f t="shared" ca="1" si="727"/>
        <v>35</v>
      </c>
      <c r="H2772" s="15">
        <v>1</v>
      </c>
      <c r="I2772" s="15" t="str">
        <f t="shared" ca="1" si="728"/>
        <v>karta4 GNSS_L1</v>
      </c>
      <c r="J2772" s="15" t="str">
        <f t="shared" ca="1" si="721"/>
        <v>'karta4 GNSS_L1'!A35</v>
      </c>
      <c r="K2772" s="15" t="str">
        <f t="shared" ca="1" si="722"/>
        <v>'karta4 GNSS_L1'!B35</v>
      </c>
    </row>
    <row r="2773" spans="1:11" x14ac:dyDescent="0.25">
      <c r="A2773" s="3" t="str">
        <f t="shared" ca="1" si="729"/>
        <v/>
      </c>
      <c r="G2773" s="15">
        <f t="shared" ca="1" si="736"/>
        <v>36</v>
      </c>
      <c r="H2773" s="15">
        <v>1</v>
      </c>
      <c r="I2773" s="15" t="str">
        <f t="shared" ca="1" si="737"/>
        <v>karta4 GNSS_L1</v>
      </c>
      <c r="J2773" s="15" t="str">
        <f t="shared" ca="1" si="721"/>
        <v>'karta4 GNSS_L1'!A36</v>
      </c>
      <c r="K2773" s="15" t="str">
        <f t="shared" ca="1" si="722"/>
        <v>'karta4 GNSS_L1'!B36</v>
      </c>
    </row>
    <row r="2774" spans="1:11" x14ac:dyDescent="0.25">
      <c r="A2774" s="3" t="str">
        <f t="shared" ca="1" si="729"/>
        <v/>
      </c>
      <c r="G2774" s="15">
        <f t="shared" ca="1" si="736"/>
        <v>37</v>
      </c>
      <c r="H2774" s="15">
        <v>1</v>
      </c>
      <c r="I2774" s="15" t="str">
        <f t="shared" ca="1" si="737"/>
        <v>karta4 GNSS_L1</v>
      </c>
      <c r="J2774" s="15" t="str">
        <f t="shared" ca="1" si="721"/>
        <v>'karta4 GNSS_L1'!A37</v>
      </c>
      <c r="K2774" s="15" t="str">
        <f t="shared" ca="1" si="722"/>
        <v>'karta4 GNSS_L1'!B37</v>
      </c>
    </row>
    <row r="2775" spans="1:11" x14ac:dyDescent="0.25">
      <c r="A2775" s="3" t="str">
        <f t="shared" ca="1" si="729"/>
        <v/>
      </c>
      <c r="G2775" s="15">
        <f t="shared" ca="1" si="736"/>
        <v>38</v>
      </c>
      <c r="H2775" s="15">
        <v>1</v>
      </c>
      <c r="I2775" s="15" t="str">
        <f t="shared" ca="1" si="737"/>
        <v>karta4 GNSS_L1</v>
      </c>
      <c r="J2775" s="15" t="str">
        <f t="shared" ca="1" si="721"/>
        <v>'karta4 GNSS_L1'!A38</v>
      </c>
      <c r="K2775" s="15" t="str">
        <f t="shared" ca="1" si="722"/>
        <v>'karta4 GNSS_L1'!B38</v>
      </c>
    </row>
    <row r="2776" spans="1:11" x14ac:dyDescent="0.25">
      <c r="A2776" s="3" t="str">
        <f t="shared" ca="1" si="729"/>
        <v/>
      </c>
      <c r="G2776" s="15">
        <f t="shared" ca="1" si="736"/>
        <v>39</v>
      </c>
      <c r="H2776" s="15">
        <v>1</v>
      </c>
      <c r="I2776" s="15" t="str">
        <f t="shared" ca="1" si="737"/>
        <v>karta4 GNSS_L1</v>
      </c>
      <c r="J2776" s="15" t="str">
        <f t="shared" ca="1" si="721"/>
        <v>'karta4 GNSS_L1'!A39</v>
      </c>
      <c r="K2776" s="15" t="str">
        <f t="shared" ca="1" si="722"/>
        <v>'karta4 GNSS_L1'!B39</v>
      </c>
    </row>
    <row r="2777" spans="1:11" x14ac:dyDescent="0.25">
      <c r="A2777" s="3" t="str">
        <f t="shared" ca="1" si="729"/>
        <v/>
      </c>
      <c r="G2777" s="15">
        <f t="shared" ca="1" si="736"/>
        <v>40</v>
      </c>
      <c r="H2777" s="15">
        <v>1</v>
      </c>
      <c r="I2777" s="15" t="str">
        <f t="shared" ca="1" si="737"/>
        <v>karta4 GNSS_L1</v>
      </c>
      <c r="J2777" s="15" t="str">
        <f t="shared" ca="1" si="721"/>
        <v>'karta4 GNSS_L1'!A40</v>
      </c>
      <c r="K2777" s="15" t="str">
        <f t="shared" ca="1" si="722"/>
        <v>'karta4 GNSS_L1'!B40</v>
      </c>
    </row>
    <row r="2778" spans="1:11" x14ac:dyDescent="0.25">
      <c r="A2778" s="3" t="str">
        <f t="shared" ca="1" si="729"/>
        <v/>
      </c>
      <c r="G2778" s="15">
        <f t="shared" ca="1" si="736"/>
        <v>41</v>
      </c>
      <c r="H2778" s="15">
        <v>1</v>
      </c>
      <c r="I2778" s="15" t="str">
        <f t="shared" ca="1" si="737"/>
        <v>karta4 GNSS_L1</v>
      </c>
      <c r="J2778" s="15" t="str">
        <f t="shared" ca="1" si="721"/>
        <v>'karta4 GNSS_L1'!A41</v>
      </c>
      <c r="K2778" s="15" t="str">
        <f t="shared" ca="1" si="722"/>
        <v>'karta4 GNSS_L1'!B41</v>
      </c>
    </row>
    <row r="2779" spans="1:11" x14ac:dyDescent="0.25">
      <c r="A2779" s="3" t="str">
        <f t="shared" ca="1" si="729"/>
        <v/>
      </c>
      <c r="C2779" s="16"/>
      <c r="G2779" s="15">
        <f t="shared" ca="1" si="736"/>
        <v>42</v>
      </c>
      <c r="H2779" s="15">
        <v>1</v>
      </c>
      <c r="I2779" s="15" t="str">
        <f t="shared" ca="1" si="737"/>
        <v>karta4 GNSS_L1</v>
      </c>
      <c r="J2779" s="15" t="str">
        <f t="shared" ca="1" si="721"/>
        <v>'karta4 GNSS_L1'!A42</v>
      </c>
      <c r="K2779" s="15" t="str">
        <f t="shared" ca="1" si="722"/>
        <v>'karta4 GNSS_L1'!B42</v>
      </c>
    </row>
    <row r="2780" spans="1:11" x14ac:dyDescent="0.25">
      <c r="A2780" s="3" t="str">
        <f t="shared" ca="1" si="729"/>
        <v/>
      </c>
      <c r="G2780" s="15">
        <f t="shared" ca="1" si="736"/>
        <v>43</v>
      </c>
      <c r="H2780" s="15">
        <v>1</v>
      </c>
      <c r="I2780" s="15" t="str">
        <f t="shared" ca="1" si="737"/>
        <v>karta4 GNSS_L1</v>
      </c>
      <c r="J2780" s="15" t="str">
        <f t="shared" ca="1" si="721"/>
        <v>'karta4 GNSS_L1'!A43</v>
      </c>
      <c r="K2780" s="15" t="str">
        <f t="shared" ca="1" si="722"/>
        <v>'karta4 GNSS_L1'!B43</v>
      </c>
    </row>
    <row r="2781" spans="1:11" x14ac:dyDescent="0.25">
      <c r="A2781" s="3" t="str">
        <f t="shared" ca="1" si="729"/>
        <v/>
      </c>
      <c r="G2781" s="15">
        <f t="shared" ca="1" si="736"/>
        <v>44</v>
      </c>
      <c r="H2781" s="15">
        <v>1</v>
      </c>
      <c r="I2781" s="15" t="str">
        <f t="shared" ca="1" si="737"/>
        <v>karta4 GNSS_L1</v>
      </c>
      <c r="J2781" s="15" t="str">
        <f t="shared" ca="1" si="721"/>
        <v>'karta4 GNSS_L1'!A44</v>
      </c>
      <c r="K2781" s="15" t="str">
        <f t="shared" ca="1" si="722"/>
        <v>'karta4 GNSS_L1'!B44</v>
      </c>
    </row>
    <row r="2782" spans="1:11" x14ac:dyDescent="0.25">
      <c r="A2782" s="3" t="str">
        <f t="shared" ca="1" si="729"/>
        <v/>
      </c>
      <c r="G2782" s="15">
        <f t="shared" ca="1" si="736"/>
        <v>45</v>
      </c>
      <c r="H2782" s="15">
        <v>1</v>
      </c>
      <c r="I2782" s="15" t="str">
        <f t="shared" ca="1" si="737"/>
        <v>karta4 GNSS_L1</v>
      </c>
      <c r="J2782" s="15" t="str">
        <f t="shared" ca="1" si="721"/>
        <v>'karta4 GNSS_L1'!A45</v>
      </c>
      <c r="K2782" s="15" t="str">
        <f t="shared" ca="1" si="722"/>
        <v>'karta4 GNSS_L1'!B45</v>
      </c>
    </row>
    <row r="2783" spans="1:11" x14ac:dyDescent="0.25">
      <c r="A2783" s="3" t="str">
        <f t="shared" ca="1" si="729"/>
        <v/>
      </c>
      <c r="G2783" s="15">
        <f t="shared" ca="1" si="736"/>
        <v>46</v>
      </c>
      <c r="H2783" s="15">
        <v>1</v>
      </c>
      <c r="I2783" s="15" t="str">
        <f t="shared" ca="1" si="737"/>
        <v>karta4 GNSS_L1</v>
      </c>
      <c r="J2783" s="15" t="str">
        <f t="shared" ca="1" si="721"/>
        <v>'karta4 GNSS_L1'!A46</v>
      </c>
      <c r="K2783" s="15" t="str">
        <f t="shared" ca="1" si="722"/>
        <v>'karta4 GNSS_L1'!B46</v>
      </c>
    </row>
    <row r="2784" spans="1:11" x14ac:dyDescent="0.25">
      <c r="A2784" s="3" t="str">
        <f t="shared" ca="1" si="729"/>
        <v/>
      </c>
      <c r="G2784" s="15">
        <f t="shared" ca="1" si="736"/>
        <v>47</v>
      </c>
      <c r="H2784" s="15">
        <v>1</v>
      </c>
      <c r="I2784" s="15" t="str">
        <f t="shared" ca="1" si="737"/>
        <v>karta4 GNSS_L1</v>
      </c>
      <c r="J2784" s="15" t="str">
        <f t="shared" ca="1" si="721"/>
        <v>'karta4 GNSS_L1'!A47</v>
      </c>
      <c r="K2784" s="15" t="str">
        <f t="shared" ca="1" si="722"/>
        <v>'karta4 GNSS_L1'!B47</v>
      </c>
    </row>
    <row r="2785" spans="1:16" x14ac:dyDescent="0.25">
      <c r="A2785" s="3" t="str">
        <f t="shared" ca="1" si="729"/>
        <v/>
      </c>
      <c r="G2785" s="15">
        <f t="shared" ca="1" si="736"/>
        <v>48</v>
      </c>
      <c r="H2785" s="15">
        <v>1</v>
      </c>
      <c r="I2785" s="15" t="str">
        <f t="shared" ca="1" si="737"/>
        <v>karta4 GNSS_L1</v>
      </c>
      <c r="J2785" s="15" t="str">
        <f t="shared" ca="1" si="721"/>
        <v>'karta4 GNSS_L1'!A48</v>
      </c>
      <c r="K2785" s="15" t="str">
        <f t="shared" ca="1" si="722"/>
        <v>'karta4 GNSS_L1'!B48</v>
      </c>
    </row>
    <row r="2786" spans="1:16" x14ac:dyDescent="0.25">
      <c r="A2786" s="3" t="str">
        <f t="shared" ca="1" si="729"/>
        <v/>
      </c>
      <c r="G2786" s="15">
        <f t="shared" ca="1" si="736"/>
        <v>49</v>
      </c>
      <c r="H2786" s="15">
        <v>1</v>
      </c>
      <c r="I2786" s="15" t="str">
        <f t="shared" ca="1" si="737"/>
        <v>karta4 GNSS_L1</v>
      </c>
      <c r="J2786" s="15" t="str">
        <f t="shared" ca="1" si="721"/>
        <v>'karta4 GNSS_L1'!A49</v>
      </c>
      <c r="K2786" s="15" t="str">
        <f t="shared" ca="1" si="722"/>
        <v>'karta4 GNSS_L1'!B49</v>
      </c>
    </row>
    <row r="2787" spans="1:16" x14ac:dyDescent="0.25">
      <c r="A2787" s="3" t="str">
        <f t="shared" ca="1" si="729"/>
        <v/>
      </c>
      <c r="G2787" s="15">
        <f t="shared" ca="1" si="736"/>
        <v>50</v>
      </c>
      <c r="H2787" s="15">
        <v>1</v>
      </c>
      <c r="I2787" s="15" t="str">
        <f t="shared" ca="1" si="737"/>
        <v>karta4 GNSS_L1</v>
      </c>
      <c r="J2787" s="15" t="str">
        <f t="shared" ca="1" si="721"/>
        <v>'karta4 GNSS_L1'!A50</v>
      </c>
      <c r="K2787" s="15" t="str">
        <f t="shared" ca="1" si="722"/>
        <v>'karta4 GNSS_L1'!B50</v>
      </c>
    </row>
    <row r="2788" spans="1:16" x14ac:dyDescent="0.25">
      <c r="A2788" s="3" t="str">
        <f t="shared" ca="1" si="729"/>
        <v xml:space="preserve">#I2C_Bridge_GPIO:exp_group_1x =  </v>
      </c>
      <c r="G2788" s="15">
        <f t="shared" ref="G2788" ca="1" si="742">INDIRECT(M2788)</f>
        <v>71</v>
      </c>
      <c r="H2788" s="15">
        <v>1</v>
      </c>
      <c r="I2788" s="15" t="str">
        <f t="shared" ref="I2788" ca="1" si="743">INDIRECT(N2788)</f>
        <v>I2C_Bridge_GPIO</v>
      </c>
      <c r="J2788" s="15" t="str">
        <f t="shared" ref="J2788:J2851" ca="1" si="744">ADDRESS(G2788,H2788,4,1,I2788)</f>
        <v>I2C_Bridge_GPIO!A71</v>
      </c>
      <c r="K2788" s="15" t="str">
        <f t="shared" ref="K2788:K2851" ca="1" si="745">ADDRESS(G2788,H2788+1,4,1,I2788)</f>
        <v>I2C_Bridge_GPIO!B71</v>
      </c>
      <c r="M2788" s="15" t="str">
        <f t="shared" ref="M2788" si="746">ADDRESS(O2788,3,4,1,$R$1)</f>
        <v>konfig!C141</v>
      </c>
      <c r="N2788" s="15" t="str">
        <f t="shared" ref="N2788" si="747">ADDRESS(O2788,1,4,1,$R$1)</f>
        <v>konfig!A141</v>
      </c>
      <c r="O2788" s="15">
        <v>141</v>
      </c>
      <c r="P2788" s="15">
        <v>4</v>
      </c>
    </row>
    <row r="2789" spans="1:16" x14ac:dyDescent="0.25">
      <c r="A2789" s="3" t="str">
        <f t="shared" ca="1" si="729"/>
        <v xml:space="preserve">device = TCA9548 </v>
      </c>
      <c r="G2789" s="15">
        <f t="shared" ca="1" si="734"/>
        <v>72</v>
      </c>
      <c r="H2789" s="15">
        <v>1</v>
      </c>
      <c r="I2789" s="15" t="str">
        <f t="shared" ca="1" si="735"/>
        <v>I2C_Bridge_GPIO</v>
      </c>
      <c r="J2789" s="15" t="str">
        <f t="shared" ca="1" si="744"/>
        <v>I2C_Bridge_GPIO!A72</v>
      </c>
      <c r="K2789" s="15" t="str">
        <f t="shared" ca="1" si="745"/>
        <v>I2C_Bridge_GPIO!B72</v>
      </c>
    </row>
    <row r="2790" spans="1:16" x14ac:dyDescent="0.25">
      <c r="A2790" s="3" t="str">
        <f t="shared" ca="1" si="729"/>
        <v xml:space="preserve">i2c_addr = 0x73 </v>
      </c>
      <c r="G2790" s="15">
        <f t="shared" ca="1" si="736"/>
        <v>73</v>
      </c>
      <c r="H2790" s="15">
        <v>1</v>
      </c>
      <c r="I2790" s="15" t="str">
        <f t="shared" ca="1" si="737"/>
        <v>I2C_Bridge_GPIO</v>
      </c>
      <c r="J2790" s="15" t="str">
        <f t="shared" ca="1" si="744"/>
        <v>I2C_Bridge_GPIO!A73</v>
      </c>
      <c r="K2790" s="15" t="str">
        <f t="shared" ca="1" si="745"/>
        <v>I2C_Bridge_GPIO!B73</v>
      </c>
    </row>
    <row r="2791" spans="1:16" x14ac:dyDescent="0.25">
      <c r="A2791" s="3" t="str">
        <f t="shared" ca="1" si="729"/>
        <v xml:space="preserve">i2c_num = /dev/i2c-1 </v>
      </c>
      <c r="C2791" s="16"/>
      <c r="G2791" s="15">
        <f t="shared" ca="1" si="736"/>
        <v>74</v>
      </c>
      <c r="H2791" s="15">
        <v>1</v>
      </c>
      <c r="I2791" s="15" t="str">
        <f t="shared" ca="1" si="737"/>
        <v>I2C_Bridge_GPIO</v>
      </c>
      <c r="J2791" s="15" t="str">
        <f t="shared" ca="1" si="744"/>
        <v>I2C_Bridge_GPIO!A74</v>
      </c>
      <c r="K2791" s="15" t="str">
        <f t="shared" ca="1" si="745"/>
        <v>I2C_Bridge_GPIO!B74</v>
      </c>
    </row>
    <row r="2792" spans="1:16" x14ac:dyDescent="0.25">
      <c r="A2792" s="3" t="str">
        <f t="shared" ca="1" si="729"/>
        <v xml:space="preserve">ctrl_reg = 0x10 </v>
      </c>
      <c r="G2792" s="15">
        <f t="shared" ca="1" si="736"/>
        <v>75</v>
      </c>
      <c r="H2792" s="15">
        <v>1</v>
      </c>
      <c r="I2792" s="15" t="str">
        <f t="shared" ca="1" si="737"/>
        <v>I2C_Bridge_GPIO</v>
      </c>
      <c r="J2792" s="15" t="str">
        <f t="shared" ca="1" si="744"/>
        <v>I2C_Bridge_GPIO!A75</v>
      </c>
      <c r="K2792" s="15" t="str">
        <f t="shared" ca="1" si="745"/>
        <v>I2C_Bridge_GPIO!B75</v>
      </c>
    </row>
    <row r="2793" spans="1:16" x14ac:dyDescent="0.25">
      <c r="A2793" s="3" t="str">
        <f t="shared" ca="1" si="729"/>
        <v/>
      </c>
      <c r="G2793" s="15">
        <f t="shared" ca="1" si="736"/>
        <v>76</v>
      </c>
      <c r="H2793" s="15">
        <v>1</v>
      </c>
      <c r="I2793" s="15" t="str">
        <f t="shared" ca="1" si="737"/>
        <v>I2C_Bridge_GPIO</v>
      </c>
      <c r="J2793" s="15" t="str">
        <f t="shared" ca="1" si="744"/>
        <v>I2C_Bridge_GPIO!A76</v>
      </c>
      <c r="K2793" s="15" t="str">
        <f t="shared" ca="1" si="745"/>
        <v>I2C_Bridge_GPIO!B76</v>
      </c>
    </row>
    <row r="2794" spans="1:16" x14ac:dyDescent="0.25">
      <c r="A2794" s="3" t="str">
        <f t="shared" ca="1" si="729"/>
        <v xml:space="preserve">time = 11 </v>
      </c>
      <c r="G2794" s="15">
        <f t="shared" ca="1" si="736"/>
        <v>77</v>
      </c>
      <c r="H2794" s="15">
        <v>1</v>
      </c>
      <c r="I2794" s="15" t="str">
        <f t="shared" ca="1" si="737"/>
        <v>I2C_Bridge_GPIO</v>
      </c>
      <c r="J2794" s="15" t="str">
        <f t="shared" ca="1" si="744"/>
        <v>I2C_Bridge_GPIO!A77</v>
      </c>
      <c r="K2794" s="15" t="str">
        <f t="shared" ca="1" si="745"/>
        <v>I2C_Bridge_GPIO!B77</v>
      </c>
    </row>
    <row r="2795" spans="1:16" x14ac:dyDescent="0.25">
      <c r="A2795" s="3" t="str">
        <f t="shared" ca="1" si="729"/>
        <v/>
      </c>
      <c r="G2795" s="15">
        <f t="shared" ca="1" si="736"/>
        <v>78</v>
      </c>
      <c r="H2795" s="15">
        <v>1</v>
      </c>
      <c r="I2795" s="15" t="str">
        <f t="shared" ca="1" si="737"/>
        <v>I2C_Bridge_GPIO</v>
      </c>
      <c r="J2795" s="15" t="str">
        <f t="shared" ca="1" si="744"/>
        <v>I2C_Bridge_GPIO!A78</v>
      </c>
      <c r="K2795" s="15" t="str">
        <f t="shared" ca="1" si="745"/>
        <v>I2C_Bridge_GPIO!B78</v>
      </c>
    </row>
    <row r="2796" spans="1:16" x14ac:dyDescent="0.25">
      <c r="A2796" s="3" t="str">
        <f t="shared" ref="A2796:A2859" ca="1" si="748">IFERROR(IF(INDIRECT(J2796)&lt;&gt;"",CONCATENATE(INDIRECT(J2796)," = ",INDIRECT(K2796)," "),""),"")</f>
        <v/>
      </c>
      <c r="G2796" s="15">
        <f t="shared" ca="1" si="736"/>
        <v>79</v>
      </c>
      <c r="H2796" s="15">
        <v>1</v>
      </c>
      <c r="I2796" s="15" t="str">
        <f t="shared" ca="1" si="737"/>
        <v>I2C_Bridge_GPIO</v>
      </c>
      <c r="J2796" s="15" t="str">
        <f t="shared" ca="1" si="744"/>
        <v>I2C_Bridge_GPIO!A79</v>
      </c>
      <c r="K2796" s="15" t="str">
        <f t="shared" ca="1" si="745"/>
        <v>I2C_Bridge_GPIO!B79</v>
      </c>
    </row>
    <row r="2797" spans="1:16" x14ac:dyDescent="0.25">
      <c r="A2797" s="3" t="str">
        <f t="shared" ca="1" si="748"/>
        <v/>
      </c>
      <c r="G2797" s="15">
        <f t="shared" ca="1" si="736"/>
        <v>80</v>
      </c>
      <c r="H2797" s="15">
        <v>1</v>
      </c>
      <c r="I2797" s="15" t="str">
        <f t="shared" ca="1" si="737"/>
        <v>I2C_Bridge_GPIO</v>
      </c>
      <c r="J2797" s="15" t="str">
        <f t="shared" ca="1" si="744"/>
        <v>I2C_Bridge_GPIO!A80</v>
      </c>
      <c r="K2797" s="15" t="str">
        <f t="shared" ca="1" si="745"/>
        <v>I2C_Bridge_GPIO!B80</v>
      </c>
    </row>
    <row r="2798" spans="1:16" x14ac:dyDescent="0.25">
      <c r="A2798" s="3" t="str">
        <f t="shared" ca="1" si="748"/>
        <v/>
      </c>
      <c r="G2798" s="15">
        <f t="shared" ca="1" si="736"/>
        <v>81</v>
      </c>
      <c r="H2798" s="15">
        <v>1</v>
      </c>
      <c r="I2798" s="15" t="str">
        <f t="shared" ca="1" si="737"/>
        <v>I2C_Bridge_GPIO</v>
      </c>
      <c r="J2798" s="15" t="str">
        <f t="shared" ca="1" si="744"/>
        <v>I2C_Bridge_GPIO!A81</v>
      </c>
      <c r="K2798" s="15" t="str">
        <f t="shared" ca="1" si="745"/>
        <v>I2C_Bridge_GPIO!B81</v>
      </c>
    </row>
    <row r="2799" spans="1:16" x14ac:dyDescent="0.25">
      <c r="A2799" s="3" t="str">
        <f t="shared" ca="1" si="748"/>
        <v/>
      </c>
      <c r="C2799" s="16"/>
      <c r="G2799" s="15">
        <f t="shared" ca="1" si="736"/>
        <v>82</v>
      </c>
      <c r="H2799" s="15">
        <v>1</v>
      </c>
      <c r="I2799" s="15" t="str">
        <f t="shared" ca="1" si="737"/>
        <v>I2C_Bridge_GPIO</v>
      </c>
      <c r="J2799" s="15" t="str">
        <f t="shared" ca="1" si="744"/>
        <v>I2C_Bridge_GPIO!A82</v>
      </c>
      <c r="K2799" s="15" t="str">
        <f t="shared" ca="1" si="745"/>
        <v>I2C_Bridge_GPIO!B82</v>
      </c>
    </row>
    <row r="2800" spans="1:16" x14ac:dyDescent="0.25">
      <c r="A2800" s="3" t="str">
        <f t="shared" ca="1" si="748"/>
        <v/>
      </c>
      <c r="G2800" s="15">
        <f t="shared" ca="1" si="736"/>
        <v>83</v>
      </c>
      <c r="H2800" s="15">
        <v>1</v>
      </c>
      <c r="I2800" s="15" t="str">
        <f t="shared" ca="1" si="737"/>
        <v>I2C_Bridge_GPIO</v>
      </c>
      <c r="J2800" s="15" t="str">
        <f t="shared" ca="1" si="744"/>
        <v>I2C_Bridge_GPIO!A83</v>
      </c>
      <c r="K2800" s="15" t="str">
        <f t="shared" ca="1" si="745"/>
        <v>I2C_Bridge_GPIO!B83</v>
      </c>
    </row>
    <row r="2801" spans="1:16" x14ac:dyDescent="0.25">
      <c r="A2801" s="3" t="str">
        <f t="shared" ca="1" si="748"/>
        <v/>
      </c>
      <c r="G2801" s="15">
        <f t="shared" ca="1" si="736"/>
        <v>84</v>
      </c>
      <c r="H2801" s="15">
        <v>1</v>
      </c>
      <c r="I2801" s="15" t="str">
        <f t="shared" ca="1" si="737"/>
        <v>I2C_Bridge_GPIO</v>
      </c>
      <c r="J2801" s="15" t="str">
        <f t="shared" ca="1" si="744"/>
        <v>I2C_Bridge_GPIO!A84</v>
      </c>
      <c r="K2801" s="15" t="str">
        <f t="shared" ca="1" si="745"/>
        <v>I2C_Bridge_GPIO!B84</v>
      </c>
    </row>
    <row r="2802" spans="1:16" x14ac:dyDescent="0.25">
      <c r="A2802" s="3" t="str">
        <f t="shared" ca="1" si="748"/>
        <v/>
      </c>
      <c r="G2802" s="15">
        <f t="shared" ca="1" si="736"/>
        <v>85</v>
      </c>
      <c r="H2802" s="15">
        <v>1</v>
      </c>
      <c r="I2802" s="15" t="str">
        <f t="shared" ca="1" si="737"/>
        <v>I2C_Bridge_GPIO</v>
      </c>
      <c r="J2802" s="15" t="str">
        <f t="shared" ca="1" si="744"/>
        <v>I2C_Bridge_GPIO!A85</v>
      </c>
      <c r="K2802" s="15" t="str">
        <f t="shared" ca="1" si="745"/>
        <v>I2C_Bridge_GPIO!B85</v>
      </c>
    </row>
    <row r="2803" spans="1:16" x14ac:dyDescent="0.25">
      <c r="A2803" s="3" t="str">
        <f t="shared" ca="1" si="748"/>
        <v/>
      </c>
      <c r="G2803" s="15">
        <f t="shared" ca="1" si="736"/>
        <v>86</v>
      </c>
      <c r="H2803" s="15">
        <v>1</v>
      </c>
      <c r="I2803" s="15" t="str">
        <f t="shared" ca="1" si="737"/>
        <v>I2C_Bridge_GPIO</v>
      </c>
      <c r="J2803" s="15" t="str">
        <f t="shared" ca="1" si="744"/>
        <v>I2C_Bridge_GPIO!A86</v>
      </c>
      <c r="K2803" s="15" t="str">
        <f t="shared" ca="1" si="745"/>
        <v>I2C_Bridge_GPIO!B86</v>
      </c>
    </row>
    <row r="2804" spans="1:16" x14ac:dyDescent="0.25">
      <c r="A2804" s="3" t="str">
        <f t="shared" ca="1" si="748"/>
        <v/>
      </c>
      <c r="G2804" s="15">
        <f t="shared" ca="1" si="736"/>
        <v>87</v>
      </c>
      <c r="H2804" s="15">
        <v>1</v>
      </c>
      <c r="I2804" s="15" t="str">
        <f t="shared" ca="1" si="737"/>
        <v>I2C_Bridge_GPIO</v>
      </c>
      <c r="J2804" s="15" t="str">
        <f t="shared" ca="1" si="744"/>
        <v>I2C_Bridge_GPIO!A87</v>
      </c>
      <c r="K2804" s="15" t="str">
        <f t="shared" ca="1" si="745"/>
        <v>I2C_Bridge_GPIO!B87</v>
      </c>
    </row>
    <row r="2805" spans="1:16" x14ac:dyDescent="0.25">
      <c r="A2805" s="3" t="str">
        <f t="shared" ca="1" si="748"/>
        <v/>
      </c>
      <c r="G2805" s="15">
        <f t="shared" ca="1" si="736"/>
        <v>88</v>
      </c>
      <c r="H2805" s="15">
        <v>1</v>
      </c>
      <c r="I2805" s="15" t="str">
        <f t="shared" ca="1" si="737"/>
        <v>I2C_Bridge_GPIO</v>
      </c>
      <c r="J2805" s="15" t="str">
        <f t="shared" ca="1" si="744"/>
        <v>I2C_Bridge_GPIO!A88</v>
      </c>
      <c r="K2805" s="15" t="str">
        <f t="shared" ca="1" si="745"/>
        <v>I2C_Bridge_GPIO!B88</v>
      </c>
    </row>
    <row r="2806" spans="1:16" x14ac:dyDescent="0.25">
      <c r="A2806" s="3" t="str">
        <f t="shared" ca="1" si="748"/>
        <v/>
      </c>
      <c r="G2806" s="15">
        <f t="shared" ca="1" si="736"/>
        <v>89</v>
      </c>
      <c r="H2806" s="15">
        <v>1</v>
      </c>
      <c r="I2806" s="15" t="str">
        <f t="shared" ca="1" si="737"/>
        <v>I2C_Bridge_GPIO</v>
      </c>
      <c r="J2806" s="15" t="str">
        <f t="shared" ca="1" si="744"/>
        <v>I2C_Bridge_GPIO!A89</v>
      </c>
      <c r="K2806" s="15" t="str">
        <f t="shared" ca="1" si="745"/>
        <v>I2C_Bridge_GPIO!B89</v>
      </c>
    </row>
    <row r="2807" spans="1:16" x14ac:dyDescent="0.25">
      <c r="A2807" s="3" t="str">
        <f t="shared" ca="1" si="748"/>
        <v/>
      </c>
      <c r="G2807" s="15">
        <f t="shared" ca="1" si="736"/>
        <v>90</v>
      </c>
      <c r="H2807" s="15">
        <v>1</v>
      </c>
      <c r="I2807" s="15" t="str">
        <f t="shared" ca="1" si="737"/>
        <v>I2C_Bridge_GPIO</v>
      </c>
      <c r="J2807" s="15" t="str">
        <f t="shared" ca="1" si="744"/>
        <v>I2C_Bridge_GPIO!A90</v>
      </c>
      <c r="K2807" s="15" t="str">
        <f t="shared" ca="1" si="745"/>
        <v>I2C_Bridge_GPIO!B90</v>
      </c>
    </row>
    <row r="2808" spans="1:16" x14ac:dyDescent="0.25">
      <c r="A2808" s="3" t="str">
        <f t="shared" ca="1" si="748"/>
        <v xml:space="preserve">#I2C_Bridge_PCIE:PCIE4 =  </v>
      </c>
      <c r="G2808" s="15">
        <f t="shared" ref="G2808" ca="1" si="749">INDIRECT(M2808)</f>
        <v>131</v>
      </c>
      <c r="H2808" s="15">
        <v>1</v>
      </c>
      <c r="I2808" s="15" t="str">
        <f t="shared" ref="I2808" ca="1" si="750">INDIRECT(N2808)</f>
        <v>I2C_Bridge_PCIE</v>
      </c>
      <c r="J2808" s="15" t="str">
        <f t="shared" ca="1" si="744"/>
        <v>I2C_Bridge_PCIE!A131</v>
      </c>
      <c r="K2808" s="15" t="str">
        <f t="shared" ca="1" si="745"/>
        <v>I2C_Bridge_PCIE!B131</v>
      </c>
      <c r="M2808" s="15" t="str">
        <f t="shared" ref="M2808" si="751">ADDRESS(O2808,3,4,1,$R$1)</f>
        <v>konfig!C142</v>
      </c>
      <c r="N2808" s="15" t="str">
        <f t="shared" ref="N2808" si="752">ADDRESS(O2808,1,4,1,$R$1)</f>
        <v>konfig!A142</v>
      </c>
      <c r="O2808" s="15">
        <v>142</v>
      </c>
      <c r="P2808" s="15">
        <v>4</v>
      </c>
    </row>
    <row r="2809" spans="1:16" x14ac:dyDescent="0.25">
      <c r="A2809" s="3" t="str">
        <f t="shared" ca="1" si="748"/>
        <v xml:space="preserve">device = TCA9548 </v>
      </c>
      <c r="G2809" s="15">
        <f t="shared" ref="G2809:G2852" ca="1" si="753">G2808+1</f>
        <v>132</v>
      </c>
      <c r="H2809" s="15">
        <v>1</v>
      </c>
      <c r="I2809" s="15" t="str">
        <f t="shared" ref="I2809:I2852" ca="1" si="754">I2808</f>
        <v>I2C_Bridge_PCIE</v>
      </c>
      <c r="J2809" s="15" t="str">
        <f t="shared" ca="1" si="744"/>
        <v>I2C_Bridge_PCIE!A132</v>
      </c>
      <c r="K2809" s="15" t="str">
        <f t="shared" ca="1" si="745"/>
        <v>I2C_Bridge_PCIE!B132</v>
      </c>
    </row>
    <row r="2810" spans="1:16" x14ac:dyDescent="0.25">
      <c r="A2810" s="3" t="str">
        <f t="shared" ca="1" si="748"/>
        <v xml:space="preserve">i2c_addr = 0x71 </v>
      </c>
      <c r="G2810" s="15">
        <f t="shared" ca="1" si="753"/>
        <v>133</v>
      </c>
      <c r="H2810" s="15">
        <v>1</v>
      </c>
      <c r="I2810" s="15" t="str">
        <f t="shared" ca="1" si="754"/>
        <v>I2C_Bridge_PCIE</v>
      </c>
      <c r="J2810" s="15" t="str">
        <f t="shared" ca="1" si="744"/>
        <v>I2C_Bridge_PCIE!A133</v>
      </c>
      <c r="K2810" s="15" t="str">
        <f t="shared" ca="1" si="745"/>
        <v>I2C_Bridge_PCIE!B133</v>
      </c>
    </row>
    <row r="2811" spans="1:16" x14ac:dyDescent="0.25">
      <c r="A2811" s="3" t="str">
        <f t="shared" ca="1" si="748"/>
        <v xml:space="preserve">i2c_num = /dev/i2c-1 </v>
      </c>
      <c r="C2811" s="16"/>
      <c r="G2811" s="15">
        <f t="shared" ca="1" si="753"/>
        <v>134</v>
      </c>
      <c r="H2811" s="15">
        <v>1</v>
      </c>
      <c r="I2811" s="15" t="str">
        <f t="shared" ca="1" si="754"/>
        <v>I2C_Bridge_PCIE</v>
      </c>
      <c r="J2811" s="15" t="str">
        <f t="shared" ca="1" si="744"/>
        <v>I2C_Bridge_PCIE!A134</v>
      </c>
      <c r="K2811" s="15" t="str">
        <f t="shared" ca="1" si="745"/>
        <v>I2C_Bridge_PCIE!B134</v>
      </c>
    </row>
    <row r="2812" spans="1:16" x14ac:dyDescent="0.25">
      <c r="A2812" s="3" t="str">
        <f t="shared" ca="1" si="748"/>
        <v xml:space="preserve">ctrl_reg = 0x20 </v>
      </c>
      <c r="G2812" s="15">
        <f t="shared" ca="1" si="753"/>
        <v>135</v>
      </c>
      <c r="H2812" s="15">
        <v>1</v>
      </c>
      <c r="I2812" s="15" t="str">
        <f t="shared" ca="1" si="754"/>
        <v>I2C_Bridge_PCIE</v>
      </c>
      <c r="J2812" s="15" t="str">
        <f t="shared" ca="1" si="744"/>
        <v>I2C_Bridge_PCIE!A135</v>
      </c>
      <c r="K2812" s="15" t="str">
        <f t="shared" ca="1" si="745"/>
        <v>I2C_Bridge_PCIE!B135</v>
      </c>
    </row>
    <row r="2813" spans="1:16" x14ac:dyDescent="0.25">
      <c r="A2813" s="3" t="str">
        <f t="shared" ca="1" si="748"/>
        <v/>
      </c>
      <c r="G2813" s="15">
        <f t="shared" ca="1" si="736"/>
        <v>136</v>
      </c>
      <c r="H2813" s="15">
        <v>1</v>
      </c>
      <c r="I2813" s="15" t="str">
        <f t="shared" ca="1" si="737"/>
        <v>I2C_Bridge_PCIE</v>
      </c>
      <c r="J2813" s="15" t="str">
        <f t="shared" ca="1" si="744"/>
        <v>I2C_Bridge_PCIE!A136</v>
      </c>
      <c r="K2813" s="15" t="str">
        <f t="shared" ca="1" si="745"/>
        <v>I2C_Bridge_PCIE!B136</v>
      </c>
    </row>
    <row r="2814" spans="1:16" x14ac:dyDescent="0.25">
      <c r="A2814" s="3" t="str">
        <f t="shared" ca="1" si="748"/>
        <v xml:space="preserve">time = 12 </v>
      </c>
      <c r="G2814" s="15">
        <f t="shared" ca="1" si="736"/>
        <v>137</v>
      </c>
      <c r="H2814" s="15">
        <v>1</v>
      </c>
      <c r="I2814" s="15" t="str">
        <f t="shared" ca="1" si="737"/>
        <v>I2C_Bridge_PCIE</v>
      </c>
      <c r="J2814" s="15" t="str">
        <f t="shared" ca="1" si="744"/>
        <v>I2C_Bridge_PCIE!A137</v>
      </c>
      <c r="K2814" s="15" t="str">
        <f t="shared" ca="1" si="745"/>
        <v>I2C_Bridge_PCIE!B137</v>
      </c>
    </row>
    <row r="2815" spans="1:16" x14ac:dyDescent="0.25">
      <c r="A2815" s="3" t="str">
        <f t="shared" ca="1" si="748"/>
        <v/>
      </c>
      <c r="G2815" s="15">
        <f t="shared" ca="1" si="736"/>
        <v>138</v>
      </c>
      <c r="H2815" s="15">
        <v>1</v>
      </c>
      <c r="I2815" s="15" t="str">
        <f t="shared" ca="1" si="737"/>
        <v>I2C_Bridge_PCIE</v>
      </c>
      <c r="J2815" s="15" t="str">
        <f t="shared" ca="1" si="744"/>
        <v>I2C_Bridge_PCIE!A138</v>
      </c>
      <c r="K2815" s="15" t="str">
        <f t="shared" ca="1" si="745"/>
        <v>I2C_Bridge_PCIE!B138</v>
      </c>
    </row>
    <row r="2816" spans="1:16" x14ac:dyDescent="0.25">
      <c r="A2816" s="3" t="str">
        <f t="shared" ca="1" si="748"/>
        <v/>
      </c>
      <c r="G2816" s="15">
        <f t="shared" ca="1" si="736"/>
        <v>139</v>
      </c>
      <c r="H2816" s="15">
        <v>1</v>
      </c>
      <c r="I2816" s="15" t="str">
        <f t="shared" ca="1" si="737"/>
        <v>I2C_Bridge_PCIE</v>
      </c>
      <c r="J2816" s="15" t="str">
        <f t="shared" ca="1" si="744"/>
        <v>I2C_Bridge_PCIE!A139</v>
      </c>
      <c r="K2816" s="15" t="str">
        <f t="shared" ca="1" si="745"/>
        <v>I2C_Bridge_PCIE!B139</v>
      </c>
    </row>
    <row r="2817" spans="1:16" x14ac:dyDescent="0.25">
      <c r="A2817" s="3" t="str">
        <f t="shared" ca="1" si="748"/>
        <v/>
      </c>
      <c r="G2817" s="15">
        <f t="shared" ca="1" si="736"/>
        <v>140</v>
      </c>
      <c r="H2817" s="15">
        <v>1</v>
      </c>
      <c r="I2817" s="15" t="str">
        <f t="shared" ca="1" si="737"/>
        <v>I2C_Bridge_PCIE</v>
      </c>
      <c r="J2817" s="15" t="str">
        <f t="shared" ca="1" si="744"/>
        <v>I2C_Bridge_PCIE!A140</v>
      </c>
      <c r="K2817" s="15" t="str">
        <f t="shared" ca="1" si="745"/>
        <v>I2C_Bridge_PCIE!B140</v>
      </c>
    </row>
    <row r="2818" spans="1:16" x14ac:dyDescent="0.25">
      <c r="A2818" s="3" t="str">
        <f t="shared" ca="1" si="748"/>
        <v/>
      </c>
      <c r="G2818" s="15">
        <f t="shared" ca="1" si="736"/>
        <v>141</v>
      </c>
      <c r="H2818" s="15">
        <v>1</v>
      </c>
      <c r="I2818" s="15" t="str">
        <f t="shared" ca="1" si="737"/>
        <v>I2C_Bridge_PCIE</v>
      </c>
      <c r="J2818" s="15" t="str">
        <f t="shared" ca="1" si="744"/>
        <v>I2C_Bridge_PCIE!A141</v>
      </c>
      <c r="K2818" s="15" t="str">
        <f t="shared" ca="1" si="745"/>
        <v>I2C_Bridge_PCIE!B141</v>
      </c>
    </row>
    <row r="2819" spans="1:16" x14ac:dyDescent="0.25">
      <c r="A2819" s="3" t="str">
        <f t="shared" ca="1" si="748"/>
        <v/>
      </c>
      <c r="C2819" s="16"/>
      <c r="G2819" s="15">
        <f t="shared" ca="1" si="736"/>
        <v>142</v>
      </c>
      <c r="H2819" s="15">
        <v>1</v>
      </c>
      <c r="I2819" s="15" t="str">
        <f t="shared" ca="1" si="737"/>
        <v>I2C_Bridge_PCIE</v>
      </c>
      <c r="J2819" s="15" t="str">
        <f t="shared" ca="1" si="744"/>
        <v>I2C_Bridge_PCIE!A142</v>
      </c>
      <c r="K2819" s="15" t="str">
        <f t="shared" ca="1" si="745"/>
        <v>I2C_Bridge_PCIE!B142</v>
      </c>
    </row>
    <row r="2820" spans="1:16" x14ac:dyDescent="0.25">
      <c r="A2820" s="3" t="str">
        <f t="shared" ca="1" si="748"/>
        <v/>
      </c>
      <c r="G2820" s="15">
        <f t="shared" ca="1" si="736"/>
        <v>143</v>
      </c>
      <c r="H2820" s="15">
        <v>1</v>
      </c>
      <c r="I2820" s="15" t="str">
        <f t="shared" ca="1" si="737"/>
        <v>I2C_Bridge_PCIE</v>
      </c>
      <c r="J2820" s="15" t="str">
        <f t="shared" ca="1" si="744"/>
        <v>I2C_Bridge_PCIE!A143</v>
      </c>
      <c r="K2820" s="15" t="str">
        <f t="shared" ca="1" si="745"/>
        <v>I2C_Bridge_PCIE!B143</v>
      </c>
    </row>
    <row r="2821" spans="1:16" x14ac:dyDescent="0.25">
      <c r="A2821" s="3" t="str">
        <f t="shared" ca="1" si="748"/>
        <v/>
      </c>
      <c r="G2821" s="15">
        <f t="shared" ca="1" si="736"/>
        <v>144</v>
      </c>
      <c r="H2821" s="15">
        <v>1</v>
      </c>
      <c r="I2821" s="15" t="str">
        <f t="shared" ca="1" si="737"/>
        <v>I2C_Bridge_PCIE</v>
      </c>
      <c r="J2821" s="15" t="str">
        <f t="shared" ca="1" si="744"/>
        <v>I2C_Bridge_PCIE!A144</v>
      </c>
      <c r="K2821" s="15" t="str">
        <f t="shared" ca="1" si="745"/>
        <v>I2C_Bridge_PCIE!B144</v>
      </c>
    </row>
    <row r="2822" spans="1:16" x14ac:dyDescent="0.25">
      <c r="A2822" s="3" t="str">
        <f t="shared" ca="1" si="748"/>
        <v/>
      </c>
      <c r="G2822" s="15">
        <f t="shared" ca="1" si="736"/>
        <v>145</v>
      </c>
      <c r="H2822" s="15">
        <v>1</v>
      </c>
      <c r="I2822" s="15" t="str">
        <f t="shared" ca="1" si="737"/>
        <v>I2C_Bridge_PCIE</v>
      </c>
      <c r="J2822" s="15" t="str">
        <f t="shared" ca="1" si="744"/>
        <v>I2C_Bridge_PCIE!A145</v>
      </c>
      <c r="K2822" s="15" t="str">
        <f t="shared" ca="1" si="745"/>
        <v>I2C_Bridge_PCIE!B145</v>
      </c>
    </row>
    <row r="2823" spans="1:16" x14ac:dyDescent="0.25">
      <c r="A2823" s="3" t="str">
        <f t="shared" ca="1" si="748"/>
        <v/>
      </c>
      <c r="G2823" s="15">
        <f t="shared" ca="1" si="736"/>
        <v>146</v>
      </c>
      <c r="H2823" s="15">
        <v>1</v>
      </c>
      <c r="I2823" s="15" t="str">
        <f t="shared" ca="1" si="737"/>
        <v>I2C_Bridge_PCIE</v>
      </c>
      <c r="J2823" s="15" t="str">
        <f t="shared" ca="1" si="744"/>
        <v>I2C_Bridge_PCIE!A146</v>
      </c>
      <c r="K2823" s="15" t="str">
        <f t="shared" ca="1" si="745"/>
        <v>I2C_Bridge_PCIE!B146</v>
      </c>
    </row>
    <row r="2824" spans="1:16" x14ac:dyDescent="0.25">
      <c r="A2824" s="3" t="str">
        <f t="shared" ca="1" si="748"/>
        <v/>
      </c>
      <c r="G2824" s="15">
        <f t="shared" ca="1" si="736"/>
        <v>147</v>
      </c>
      <c r="H2824" s="15">
        <v>1</v>
      </c>
      <c r="I2824" s="15" t="str">
        <f t="shared" ca="1" si="737"/>
        <v>I2C_Bridge_PCIE</v>
      </c>
      <c r="J2824" s="15" t="str">
        <f t="shared" ca="1" si="744"/>
        <v>I2C_Bridge_PCIE!A147</v>
      </c>
      <c r="K2824" s="15" t="str">
        <f t="shared" ca="1" si="745"/>
        <v>I2C_Bridge_PCIE!B147</v>
      </c>
    </row>
    <row r="2825" spans="1:16" x14ac:dyDescent="0.25">
      <c r="A2825" s="3" t="str">
        <f t="shared" ca="1" si="748"/>
        <v/>
      </c>
      <c r="G2825" s="15">
        <f t="shared" ref="G2825:G2887" ca="1" si="755">G2824+1</f>
        <v>148</v>
      </c>
      <c r="H2825" s="15">
        <v>1</v>
      </c>
      <c r="I2825" s="15" t="str">
        <f t="shared" ref="I2825:I2887" ca="1" si="756">I2824</f>
        <v>I2C_Bridge_PCIE</v>
      </c>
      <c r="J2825" s="15" t="str">
        <f t="shared" ca="1" si="744"/>
        <v>I2C_Bridge_PCIE!A148</v>
      </c>
      <c r="K2825" s="15" t="str">
        <f t="shared" ca="1" si="745"/>
        <v>I2C_Bridge_PCIE!B148</v>
      </c>
    </row>
    <row r="2826" spans="1:16" x14ac:dyDescent="0.25">
      <c r="A2826" s="3" t="str">
        <f t="shared" ca="1" si="748"/>
        <v/>
      </c>
      <c r="G2826" s="15">
        <f t="shared" ca="1" si="755"/>
        <v>149</v>
      </c>
      <c r="H2826" s="15">
        <v>1</v>
      </c>
      <c r="I2826" s="15" t="str">
        <f t="shared" ca="1" si="756"/>
        <v>I2C_Bridge_PCIE</v>
      </c>
      <c r="J2826" s="15" t="str">
        <f t="shared" ca="1" si="744"/>
        <v>I2C_Bridge_PCIE!A149</v>
      </c>
      <c r="K2826" s="15" t="str">
        <f t="shared" ca="1" si="745"/>
        <v>I2C_Bridge_PCIE!B149</v>
      </c>
    </row>
    <row r="2827" spans="1:16" x14ac:dyDescent="0.25">
      <c r="A2827" s="3" t="str">
        <f t="shared" ca="1" si="748"/>
        <v/>
      </c>
      <c r="G2827" s="15">
        <f t="shared" ca="1" si="755"/>
        <v>150</v>
      </c>
      <c r="H2827" s="15">
        <v>1</v>
      </c>
      <c r="I2827" s="15" t="str">
        <f t="shared" ca="1" si="756"/>
        <v>I2C_Bridge_PCIE</v>
      </c>
      <c r="J2827" s="15" t="str">
        <f t="shared" ca="1" si="744"/>
        <v>I2C_Bridge_PCIE!A150</v>
      </c>
      <c r="K2827" s="15" t="str">
        <f t="shared" ca="1" si="745"/>
        <v>I2C_Bridge_PCIE!B150</v>
      </c>
    </row>
    <row r="2828" spans="1:16" x14ac:dyDescent="0.25">
      <c r="A2828" s="3" t="str">
        <f t="shared" ca="1" si="748"/>
        <v xml:space="preserve">#I2C_Expander_11:etap 7 En_PCIE4 =  </v>
      </c>
      <c r="G2828" s="15">
        <f t="shared" ref="G2828" ca="1" si="757">INDIRECT(M2828)</f>
        <v>171</v>
      </c>
      <c r="H2828" s="15">
        <v>1</v>
      </c>
      <c r="I2828" s="15" t="str">
        <f t="shared" ref="I2828" ca="1" si="758">INDIRECT(N2828)</f>
        <v>I2C_Expander_11</v>
      </c>
      <c r="J2828" s="15" t="str">
        <f t="shared" ca="1" si="744"/>
        <v>I2C_Expander_11!A171</v>
      </c>
      <c r="K2828" s="15" t="str">
        <f t="shared" ca="1" si="745"/>
        <v>I2C_Expander_11!B171</v>
      </c>
      <c r="M2828" s="15" t="str">
        <f t="shared" ref="M2828" si="759">ADDRESS(O2828,3,4,1,$R$1)</f>
        <v>konfig!C143</v>
      </c>
      <c r="N2828" s="15" t="str">
        <f t="shared" ref="N2828" si="760">ADDRESS(O2828,1,4,1,$R$1)</f>
        <v>konfig!A143</v>
      </c>
      <c r="O2828" s="15">
        <v>143</v>
      </c>
      <c r="P2828" s="15">
        <v>4</v>
      </c>
    </row>
    <row r="2829" spans="1:16" x14ac:dyDescent="0.25">
      <c r="A2829" s="3" t="str">
        <f t="shared" ca="1" si="748"/>
        <v xml:space="preserve">device = MCP23017 </v>
      </c>
      <c r="G2829" s="15">
        <f t="shared" ref="G2829:G2869" ca="1" si="761">G2828+1</f>
        <v>172</v>
      </c>
      <c r="H2829" s="15">
        <v>1</v>
      </c>
      <c r="I2829" s="15" t="str">
        <f t="shared" ref="I2829:I2869" ca="1" si="762">I2828</f>
        <v>I2C_Expander_11</v>
      </c>
      <c r="J2829" s="15" t="str">
        <f t="shared" ca="1" si="744"/>
        <v>I2C_Expander_11!A172</v>
      </c>
      <c r="K2829" s="15" t="str">
        <f t="shared" ca="1" si="745"/>
        <v>I2C_Expander_11!B172</v>
      </c>
    </row>
    <row r="2830" spans="1:16" x14ac:dyDescent="0.25">
      <c r="A2830" s="3" t="str">
        <f t="shared" ca="1" si="748"/>
        <v xml:space="preserve">i2c_addr = 0x21 </v>
      </c>
      <c r="G2830" s="15">
        <f t="shared" ca="1" si="755"/>
        <v>173</v>
      </c>
      <c r="H2830" s="15">
        <v>1</v>
      </c>
      <c r="I2830" s="15" t="str">
        <f t="shared" ca="1" si="756"/>
        <v>I2C_Expander_11</v>
      </c>
      <c r="J2830" s="15" t="str">
        <f t="shared" ca="1" si="744"/>
        <v>I2C_Expander_11!A173</v>
      </c>
      <c r="K2830" s="15" t="str">
        <f t="shared" ca="1" si="745"/>
        <v>I2C_Expander_11!B173</v>
      </c>
    </row>
    <row r="2831" spans="1:16" x14ac:dyDescent="0.25">
      <c r="A2831" s="3" t="str">
        <f t="shared" ca="1" si="748"/>
        <v xml:space="preserve">i2c_num = /dev/i2c-1 </v>
      </c>
      <c r="C2831" s="16"/>
      <c r="G2831" s="15">
        <f t="shared" ca="1" si="755"/>
        <v>174</v>
      </c>
      <c r="H2831" s="15">
        <v>1</v>
      </c>
      <c r="I2831" s="15" t="str">
        <f t="shared" ca="1" si="756"/>
        <v>I2C_Expander_11</v>
      </c>
      <c r="J2831" s="15" t="str">
        <f t="shared" ca="1" si="744"/>
        <v>I2C_Expander_11!A174</v>
      </c>
      <c r="K2831" s="15" t="str">
        <f t="shared" ca="1" si="745"/>
        <v>I2C_Expander_11!B174</v>
      </c>
    </row>
    <row r="2832" spans="1:16" x14ac:dyDescent="0.25">
      <c r="A2832" s="3" t="str">
        <f t="shared" ca="1" si="748"/>
        <v xml:space="preserve">pins_mode = 0x7450 </v>
      </c>
      <c r="G2832" s="15">
        <f t="shared" ca="1" si="755"/>
        <v>175</v>
      </c>
      <c r="H2832" s="15">
        <v>1</v>
      </c>
      <c r="I2832" s="15" t="str">
        <f t="shared" ca="1" si="756"/>
        <v>I2C_Expander_11</v>
      </c>
      <c r="J2832" s="15" t="str">
        <f t="shared" ca="1" si="744"/>
        <v>I2C_Expander_11!A175</v>
      </c>
      <c r="K2832" s="15" t="str">
        <f t="shared" ca="1" si="745"/>
        <v>I2C_Expander_11!B175</v>
      </c>
    </row>
    <row r="2833" spans="1:16" x14ac:dyDescent="0.25">
      <c r="A2833" s="3" t="str">
        <f t="shared" ca="1" si="748"/>
        <v xml:space="preserve">pins_state = 0x0AA7 </v>
      </c>
      <c r="G2833" s="15">
        <f t="shared" ca="1" si="755"/>
        <v>176</v>
      </c>
      <c r="H2833" s="15">
        <v>1</v>
      </c>
      <c r="I2833" s="15" t="str">
        <f t="shared" ca="1" si="756"/>
        <v>I2C_Expander_11</v>
      </c>
      <c r="J2833" s="15" t="str">
        <f t="shared" ca="1" si="744"/>
        <v>I2C_Expander_11!A176</v>
      </c>
      <c r="K2833" s="15" t="str">
        <f t="shared" ca="1" si="745"/>
        <v>I2C_Expander_11!B176</v>
      </c>
    </row>
    <row r="2834" spans="1:16" x14ac:dyDescent="0.25">
      <c r="A2834" s="3" t="str">
        <f t="shared" ca="1" si="748"/>
        <v xml:space="preserve">pins_pull_up = 0x0000 </v>
      </c>
      <c r="G2834" s="15">
        <f t="shared" ca="1" si="755"/>
        <v>177</v>
      </c>
      <c r="H2834" s="15">
        <v>1</v>
      </c>
      <c r="I2834" s="15" t="str">
        <f t="shared" ca="1" si="756"/>
        <v>I2C_Expander_11</v>
      </c>
      <c r="J2834" s="15" t="str">
        <f t="shared" ca="1" si="744"/>
        <v>I2C_Expander_11!A177</v>
      </c>
      <c r="K2834" s="15" t="str">
        <f t="shared" ca="1" si="745"/>
        <v>I2C_Expander_11!B177</v>
      </c>
    </row>
    <row r="2835" spans="1:16" x14ac:dyDescent="0.25">
      <c r="A2835" s="3" t="str">
        <f t="shared" ca="1" si="748"/>
        <v xml:space="preserve">#pins_int = 0x0000 </v>
      </c>
      <c r="G2835" s="15">
        <f t="shared" ca="1" si="755"/>
        <v>178</v>
      </c>
      <c r="H2835" s="15">
        <v>1</v>
      </c>
      <c r="I2835" s="15" t="str">
        <f t="shared" ca="1" si="756"/>
        <v>I2C_Expander_11</v>
      </c>
      <c r="J2835" s="15" t="str">
        <f t="shared" ca="1" si="744"/>
        <v>I2C_Expander_11!A178</v>
      </c>
      <c r="K2835" s="15" t="str">
        <f t="shared" ca="1" si="745"/>
        <v>I2C_Expander_11!B178</v>
      </c>
    </row>
    <row r="2836" spans="1:16" x14ac:dyDescent="0.25">
      <c r="A2836" s="3" t="str">
        <f t="shared" ca="1" si="748"/>
        <v xml:space="preserve">#pins_def_val = 0x0000 </v>
      </c>
      <c r="G2836" s="15">
        <f t="shared" ca="1" si="755"/>
        <v>179</v>
      </c>
      <c r="H2836" s="15">
        <v>1</v>
      </c>
      <c r="I2836" s="15" t="str">
        <f t="shared" ca="1" si="756"/>
        <v>I2C_Expander_11</v>
      </c>
      <c r="J2836" s="15" t="str">
        <f t="shared" ca="1" si="744"/>
        <v>I2C_Expander_11!A179</v>
      </c>
      <c r="K2836" s="15" t="str">
        <f t="shared" ca="1" si="745"/>
        <v>I2C_Expander_11!B179</v>
      </c>
    </row>
    <row r="2837" spans="1:16" x14ac:dyDescent="0.25">
      <c r="A2837" s="3" t="str">
        <f t="shared" ca="1" si="748"/>
        <v/>
      </c>
      <c r="G2837" s="15">
        <f t="shared" ca="1" si="755"/>
        <v>180</v>
      </c>
      <c r="H2837" s="15">
        <v>1</v>
      </c>
      <c r="I2837" s="15" t="str">
        <f t="shared" ca="1" si="756"/>
        <v>I2C_Expander_11</v>
      </c>
      <c r="J2837" s="15" t="str">
        <f t="shared" ca="1" si="744"/>
        <v>I2C_Expander_11!A180</v>
      </c>
      <c r="K2837" s="15" t="str">
        <f t="shared" ca="1" si="745"/>
        <v>I2C_Expander_11!B180</v>
      </c>
    </row>
    <row r="2838" spans="1:16" x14ac:dyDescent="0.25">
      <c r="A2838" s="3" t="str">
        <f t="shared" ca="1" si="748"/>
        <v xml:space="preserve">#pins_int = 10 </v>
      </c>
      <c r="G2838" s="15">
        <f t="shared" ca="1" si="755"/>
        <v>181</v>
      </c>
      <c r="H2838" s="15">
        <v>1</v>
      </c>
      <c r="I2838" s="15" t="str">
        <f t="shared" ca="1" si="756"/>
        <v>I2C_Expander_11</v>
      </c>
      <c r="J2838" s="15" t="str">
        <f t="shared" ca="1" si="744"/>
        <v>I2C_Expander_11!A181</v>
      </c>
      <c r="K2838" s="15" t="str">
        <f t="shared" ca="1" si="745"/>
        <v>I2C_Expander_11!B181</v>
      </c>
    </row>
    <row r="2839" spans="1:16" x14ac:dyDescent="0.25">
      <c r="A2839" s="3" t="str">
        <f t="shared" ca="1" si="748"/>
        <v/>
      </c>
      <c r="C2839" s="16"/>
      <c r="G2839" s="15">
        <f t="shared" ca="1" si="755"/>
        <v>182</v>
      </c>
      <c r="H2839" s="15">
        <v>1</v>
      </c>
      <c r="I2839" s="15" t="str">
        <f t="shared" ca="1" si="756"/>
        <v>I2C_Expander_11</v>
      </c>
      <c r="J2839" s="15" t="str">
        <f t="shared" ca="1" si="744"/>
        <v>I2C_Expander_11!A182</v>
      </c>
      <c r="K2839" s="15" t="str">
        <f t="shared" ca="1" si="745"/>
        <v>I2C_Expander_11!B182</v>
      </c>
    </row>
    <row r="2840" spans="1:16" x14ac:dyDescent="0.25">
      <c r="A2840" s="3" t="str">
        <f t="shared" ca="1" si="748"/>
        <v/>
      </c>
      <c r="G2840" s="15">
        <f t="shared" ca="1" si="755"/>
        <v>183</v>
      </c>
      <c r="H2840" s="15">
        <v>1</v>
      </c>
      <c r="I2840" s="15" t="str">
        <f t="shared" ca="1" si="756"/>
        <v>I2C_Expander_11</v>
      </c>
      <c r="J2840" s="15" t="str">
        <f t="shared" ca="1" si="744"/>
        <v>I2C_Expander_11!A183</v>
      </c>
      <c r="K2840" s="15" t="str">
        <f t="shared" ca="1" si="745"/>
        <v>I2C_Expander_11!B183</v>
      </c>
    </row>
    <row r="2841" spans="1:16" x14ac:dyDescent="0.25">
      <c r="A2841" s="3" t="str">
        <f t="shared" ca="1" si="748"/>
        <v/>
      </c>
      <c r="G2841" s="15">
        <f t="shared" ca="1" si="755"/>
        <v>184</v>
      </c>
      <c r="H2841" s="15">
        <v>1</v>
      </c>
      <c r="I2841" s="15" t="str">
        <f t="shared" ca="1" si="756"/>
        <v>I2C_Expander_11</v>
      </c>
      <c r="J2841" s="15" t="str">
        <f t="shared" ca="1" si="744"/>
        <v>I2C_Expander_11!A184</v>
      </c>
      <c r="K2841" s="15" t="str">
        <f t="shared" ca="1" si="745"/>
        <v>I2C_Expander_11!B184</v>
      </c>
    </row>
    <row r="2842" spans="1:16" x14ac:dyDescent="0.25">
      <c r="A2842" s="3" t="str">
        <f t="shared" ca="1" si="748"/>
        <v/>
      </c>
      <c r="G2842" s="15">
        <f t="shared" ca="1" si="755"/>
        <v>185</v>
      </c>
      <c r="H2842" s="15">
        <v>1</v>
      </c>
      <c r="I2842" s="15" t="str">
        <f t="shared" ca="1" si="756"/>
        <v>I2C_Expander_11</v>
      </c>
      <c r="J2842" s="15" t="str">
        <f t="shared" ca="1" si="744"/>
        <v>I2C_Expander_11!A185</v>
      </c>
      <c r="K2842" s="15" t="str">
        <f t="shared" ca="1" si="745"/>
        <v>I2C_Expander_11!B185</v>
      </c>
    </row>
    <row r="2843" spans="1:16" x14ac:dyDescent="0.25">
      <c r="A2843" s="3" t="str">
        <f t="shared" ca="1" si="748"/>
        <v/>
      </c>
      <c r="G2843" s="15">
        <f t="shared" ca="1" si="755"/>
        <v>186</v>
      </c>
      <c r="H2843" s="15">
        <v>1</v>
      </c>
      <c r="I2843" s="15" t="str">
        <f t="shared" ca="1" si="756"/>
        <v>I2C_Expander_11</v>
      </c>
      <c r="J2843" s="15" t="str">
        <f t="shared" ca="1" si="744"/>
        <v>I2C_Expander_11!A186</v>
      </c>
      <c r="K2843" s="15" t="str">
        <f t="shared" ca="1" si="745"/>
        <v>I2C_Expander_11!B186</v>
      </c>
    </row>
    <row r="2844" spans="1:16" x14ac:dyDescent="0.25">
      <c r="A2844" s="3" t="str">
        <f t="shared" ca="1" si="748"/>
        <v/>
      </c>
      <c r="G2844" s="15">
        <f t="shared" ca="1" si="755"/>
        <v>187</v>
      </c>
      <c r="H2844" s="15">
        <v>1</v>
      </c>
      <c r="I2844" s="15" t="str">
        <f t="shared" ca="1" si="756"/>
        <v>I2C_Expander_11</v>
      </c>
      <c r="J2844" s="15" t="str">
        <f t="shared" ca="1" si="744"/>
        <v>I2C_Expander_11!A187</v>
      </c>
      <c r="K2844" s="15" t="str">
        <f t="shared" ca="1" si="745"/>
        <v>I2C_Expander_11!B187</v>
      </c>
    </row>
    <row r="2845" spans="1:16" x14ac:dyDescent="0.25">
      <c r="A2845" s="3" t="str">
        <f t="shared" ca="1" si="748"/>
        <v/>
      </c>
      <c r="G2845" s="15">
        <f t="shared" ca="1" si="755"/>
        <v>188</v>
      </c>
      <c r="H2845" s="15">
        <v>1</v>
      </c>
      <c r="I2845" s="15" t="str">
        <f t="shared" ca="1" si="756"/>
        <v>I2C_Expander_11</v>
      </c>
      <c r="J2845" s="15" t="str">
        <f t="shared" ca="1" si="744"/>
        <v>I2C_Expander_11!A188</v>
      </c>
      <c r="K2845" s="15" t="str">
        <f t="shared" ca="1" si="745"/>
        <v>I2C_Expander_11!B188</v>
      </c>
    </row>
    <row r="2846" spans="1:16" x14ac:dyDescent="0.25">
      <c r="A2846" s="3" t="str">
        <f t="shared" ca="1" si="748"/>
        <v/>
      </c>
      <c r="G2846" s="15">
        <f t="shared" ca="1" si="755"/>
        <v>189</v>
      </c>
      <c r="H2846" s="15">
        <v>1</v>
      </c>
      <c r="I2846" s="15" t="str">
        <f t="shared" ca="1" si="756"/>
        <v>I2C_Expander_11</v>
      </c>
      <c r="J2846" s="15" t="str">
        <f t="shared" ca="1" si="744"/>
        <v>I2C_Expander_11!A189</v>
      </c>
      <c r="K2846" s="15" t="str">
        <f t="shared" ca="1" si="745"/>
        <v>I2C_Expander_11!B189</v>
      </c>
    </row>
    <row r="2847" spans="1:16" x14ac:dyDescent="0.25">
      <c r="A2847" s="3" t="str">
        <f t="shared" ca="1" si="748"/>
        <v/>
      </c>
      <c r="G2847" s="15">
        <f t="shared" ca="1" si="755"/>
        <v>190</v>
      </c>
      <c r="H2847" s="15">
        <v>1</v>
      </c>
      <c r="I2847" s="15" t="str">
        <f t="shared" ca="1" si="756"/>
        <v>I2C_Expander_11</v>
      </c>
      <c r="J2847" s="15" t="str">
        <f t="shared" ca="1" si="744"/>
        <v>I2C_Expander_11!A190</v>
      </c>
      <c r="K2847" s="15" t="str">
        <f t="shared" ca="1" si="745"/>
        <v>I2C_Expander_11!B190</v>
      </c>
    </row>
    <row r="2848" spans="1:16" x14ac:dyDescent="0.25">
      <c r="A2848" s="3" t="str">
        <f t="shared" ca="1" si="748"/>
        <v xml:space="preserve">#RadioCard_TETRA_Exp1:etap 1 =  </v>
      </c>
      <c r="G2848" s="15">
        <f t="shared" ref="G2848" ca="1" si="763">INDIRECT(M2848)</f>
        <v>51</v>
      </c>
      <c r="H2848" s="15">
        <v>1</v>
      </c>
      <c r="I2848" s="15" t="str">
        <f t="shared" ref="I2848" ca="1" si="764">INDIRECT(N2848)</f>
        <v>RadioCard_TETRA_Exp1</v>
      </c>
      <c r="J2848" s="15" t="str">
        <f t="shared" ca="1" si="744"/>
        <v>RadioCard_TETRA_Exp1!A51</v>
      </c>
      <c r="K2848" s="15" t="str">
        <f t="shared" ca="1" si="745"/>
        <v>RadioCard_TETRA_Exp1!B51</v>
      </c>
      <c r="M2848" s="15" t="str">
        <f t="shared" ref="M2848" si="765">ADDRESS(O2848,3,4,1,$R$1)</f>
        <v>konfig!C144</v>
      </c>
      <c r="N2848" s="15" t="str">
        <f t="shared" ref="N2848" si="766">ADDRESS(O2848,1,4,1,$R$1)</f>
        <v>konfig!A144</v>
      </c>
      <c r="O2848" s="15">
        <v>144</v>
      </c>
      <c r="P2848" s="15">
        <v>4</v>
      </c>
    </row>
    <row r="2849" spans="1:11" x14ac:dyDescent="0.25">
      <c r="A2849" s="3" t="str">
        <f t="shared" ca="1" si="748"/>
        <v xml:space="preserve">device = MCP23017 </v>
      </c>
      <c r="G2849" s="15">
        <f t="shared" ca="1" si="753"/>
        <v>52</v>
      </c>
      <c r="H2849" s="15">
        <v>1</v>
      </c>
      <c r="I2849" s="15" t="str">
        <f t="shared" ca="1" si="754"/>
        <v>RadioCard_TETRA_Exp1</v>
      </c>
      <c r="J2849" s="15" t="str">
        <f t="shared" ca="1" si="744"/>
        <v>RadioCard_TETRA_Exp1!A52</v>
      </c>
      <c r="K2849" s="15" t="str">
        <f t="shared" ca="1" si="745"/>
        <v>RadioCard_TETRA_Exp1!B52</v>
      </c>
    </row>
    <row r="2850" spans="1:11" x14ac:dyDescent="0.25">
      <c r="A2850" s="3" t="str">
        <f t="shared" ca="1" si="748"/>
        <v xml:space="preserve">i2c_addr = 0x26 </v>
      </c>
      <c r="G2850" s="15">
        <f t="shared" ca="1" si="753"/>
        <v>53</v>
      </c>
      <c r="H2850" s="15">
        <v>1</v>
      </c>
      <c r="I2850" s="15" t="str">
        <f t="shared" ca="1" si="754"/>
        <v>RadioCard_TETRA_Exp1</v>
      </c>
      <c r="J2850" s="15" t="str">
        <f t="shared" ca="1" si="744"/>
        <v>RadioCard_TETRA_Exp1!A53</v>
      </c>
      <c r="K2850" s="15" t="str">
        <f t="shared" ca="1" si="745"/>
        <v>RadioCard_TETRA_Exp1!B53</v>
      </c>
    </row>
    <row r="2851" spans="1:11" x14ac:dyDescent="0.25">
      <c r="A2851" s="3" t="str">
        <f t="shared" ca="1" si="748"/>
        <v xml:space="preserve">i2c_num = /dev/i2c-1 </v>
      </c>
      <c r="C2851" s="16"/>
      <c r="G2851" s="15">
        <f t="shared" ca="1" si="753"/>
        <v>54</v>
      </c>
      <c r="H2851" s="15">
        <v>1</v>
      </c>
      <c r="I2851" s="15" t="str">
        <f t="shared" ca="1" si="754"/>
        <v>RadioCard_TETRA_Exp1</v>
      </c>
      <c r="J2851" s="15" t="str">
        <f t="shared" ca="1" si="744"/>
        <v>RadioCard_TETRA_Exp1!A54</v>
      </c>
      <c r="K2851" s="15" t="str">
        <f t="shared" ca="1" si="745"/>
        <v>RadioCard_TETRA_Exp1!B54</v>
      </c>
    </row>
    <row r="2852" spans="1:11" x14ac:dyDescent="0.25">
      <c r="A2852" s="3" t="str">
        <f t="shared" ca="1" si="748"/>
        <v xml:space="preserve">pins_mode = 0x00FF </v>
      </c>
      <c r="G2852" s="15">
        <f t="shared" ca="1" si="753"/>
        <v>55</v>
      </c>
      <c r="H2852" s="15">
        <v>1</v>
      </c>
      <c r="I2852" s="15" t="str">
        <f t="shared" ca="1" si="754"/>
        <v>RadioCard_TETRA_Exp1</v>
      </c>
      <c r="J2852" s="15" t="str">
        <f t="shared" ref="J2852:J2915" ca="1" si="767">ADDRESS(G2852,H2852,4,1,I2852)</f>
        <v>RadioCard_TETRA_Exp1!A55</v>
      </c>
      <c r="K2852" s="15" t="str">
        <f t="shared" ref="K2852:K2915" ca="1" si="768">ADDRESS(G2852,H2852+1,4,1,I2852)</f>
        <v>RadioCard_TETRA_Exp1!B55</v>
      </c>
    </row>
    <row r="2853" spans="1:11" x14ac:dyDescent="0.25">
      <c r="A2853" s="3" t="str">
        <f t="shared" ca="1" si="748"/>
        <v xml:space="preserve">pins_state = 0x0300 </v>
      </c>
      <c r="G2853" s="15">
        <f t="shared" ca="1" si="755"/>
        <v>56</v>
      </c>
      <c r="H2853" s="15">
        <v>1</v>
      </c>
      <c r="I2853" s="15" t="str">
        <f t="shared" ca="1" si="756"/>
        <v>RadioCard_TETRA_Exp1</v>
      </c>
      <c r="J2853" s="15" t="str">
        <f t="shared" ca="1" si="767"/>
        <v>RadioCard_TETRA_Exp1!A56</v>
      </c>
      <c r="K2853" s="15" t="str">
        <f t="shared" ca="1" si="768"/>
        <v>RadioCard_TETRA_Exp1!B56</v>
      </c>
    </row>
    <row r="2854" spans="1:11" x14ac:dyDescent="0.25">
      <c r="A2854" s="3" t="str">
        <f t="shared" ca="1" si="748"/>
        <v xml:space="preserve">pins_pull_up = 0x0000 </v>
      </c>
      <c r="G2854" s="15">
        <f t="shared" ca="1" si="755"/>
        <v>57</v>
      </c>
      <c r="H2854" s="15">
        <v>1</v>
      </c>
      <c r="I2854" s="15" t="str">
        <f t="shared" ca="1" si="756"/>
        <v>RadioCard_TETRA_Exp1</v>
      </c>
      <c r="J2854" s="15" t="str">
        <f t="shared" ca="1" si="767"/>
        <v>RadioCard_TETRA_Exp1!A57</v>
      </c>
      <c r="K2854" s="15" t="str">
        <f t="shared" ca="1" si="768"/>
        <v>RadioCard_TETRA_Exp1!B57</v>
      </c>
    </row>
    <row r="2855" spans="1:11" x14ac:dyDescent="0.25">
      <c r="A2855" s="3" t="str">
        <f t="shared" ca="1" si="748"/>
        <v xml:space="preserve">#pins_int = 0x0000 </v>
      </c>
      <c r="G2855" s="15">
        <f t="shared" ca="1" si="755"/>
        <v>58</v>
      </c>
      <c r="H2855" s="15">
        <v>1</v>
      </c>
      <c r="I2855" s="15" t="str">
        <f t="shared" ca="1" si="756"/>
        <v>RadioCard_TETRA_Exp1</v>
      </c>
      <c r="J2855" s="15" t="str">
        <f t="shared" ca="1" si="767"/>
        <v>RadioCard_TETRA_Exp1!A58</v>
      </c>
      <c r="K2855" s="15" t="str">
        <f t="shared" ca="1" si="768"/>
        <v>RadioCard_TETRA_Exp1!B58</v>
      </c>
    </row>
    <row r="2856" spans="1:11" x14ac:dyDescent="0.25">
      <c r="A2856" s="3" t="str">
        <f t="shared" ca="1" si="748"/>
        <v xml:space="preserve">#pins_def_val = 0x0000 </v>
      </c>
      <c r="G2856" s="15">
        <f t="shared" ca="1" si="755"/>
        <v>59</v>
      </c>
      <c r="H2856" s="15">
        <v>1</v>
      </c>
      <c r="I2856" s="15" t="str">
        <f t="shared" ca="1" si="756"/>
        <v>RadioCard_TETRA_Exp1</v>
      </c>
      <c r="J2856" s="15" t="str">
        <f t="shared" ca="1" si="767"/>
        <v>RadioCard_TETRA_Exp1!A59</v>
      </c>
      <c r="K2856" s="15" t="str">
        <f t="shared" ca="1" si="768"/>
        <v>RadioCard_TETRA_Exp1!B59</v>
      </c>
    </row>
    <row r="2857" spans="1:11" x14ac:dyDescent="0.25">
      <c r="A2857" s="3" t="str">
        <f t="shared" ca="1" si="748"/>
        <v/>
      </c>
      <c r="G2857" s="15">
        <f t="shared" ca="1" si="755"/>
        <v>60</v>
      </c>
      <c r="H2857" s="15">
        <v>1</v>
      </c>
      <c r="I2857" s="15" t="str">
        <f t="shared" ca="1" si="756"/>
        <v>RadioCard_TETRA_Exp1</v>
      </c>
      <c r="J2857" s="15" t="str">
        <f t="shared" ca="1" si="767"/>
        <v>RadioCard_TETRA_Exp1!A60</v>
      </c>
      <c r="K2857" s="15" t="str">
        <f t="shared" ca="1" si="768"/>
        <v>RadioCard_TETRA_Exp1!B60</v>
      </c>
    </row>
    <row r="2858" spans="1:11" x14ac:dyDescent="0.25">
      <c r="A2858" s="3" t="str">
        <f t="shared" ca="1" si="748"/>
        <v xml:space="preserve">time = 10 </v>
      </c>
      <c r="G2858" s="15">
        <f t="shared" ca="1" si="755"/>
        <v>61</v>
      </c>
      <c r="H2858" s="15">
        <v>1</v>
      </c>
      <c r="I2858" s="15" t="str">
        <f t="shared" ca="1" si="756"/>
        <v>RadioCard_TETRA_Exp1</v>
      </c>
      <c r="J2858" s="15" t="str">
        <f t="shared" ca="1" si="767"/>
        <v>RadioCard_TETRA_Exp1!A61</v>
      </c>
      <c r="K2858" s="15" t="str">
        <f t="shared" ca="1" si="768"/>
        <v>RadioCard_TETRA_Exp1!B61</v>
      </c>
    </row>
    <row r="2859" spans="1:11" x14ac:dyDescent="0.25">
      <c r="A2859" s="3" t="str">
        <f t="shared" ca="1" si="748"/>
        <v/>
      </c>
      <c r="C2859" s="16"/>
      <c r="G2859" s="15">
        <f t="shared" ca="1" si="755"/>
        <v>62</v>
      </c>
      <c r="H2859" s="15">
        <v>1</v>
      </c>
      <c r="I2859" s="15" t="str">
        <f t="shared" ca="1" si="756"/>
        <v>RadioCard_TETRA_Exp1</v>
      </c>
      <c r="J2859" s="15" t="str">
        <f t="shared" ca="1" si="767"/>
        <v>RadioCard_TETRA_Exp1!A62</v>
      </c>
      <c r="K2859" s="15" t="str">
        <f t="shared" ca="1" si="768"/>
        <v>RadioCard_TETRA_Exp1!B62</v>
      </c>
    </row>
    <row r="2860" spans="1:11" x14ac:dyDescent="0.25">
      <c r="A2860" s="3" t="str">
        <f t="shared" ref="A2860:A2923" ca="1" si="769">IFERROR(IF(INDIRECT(J2860)&lt;&gt;"",CONCATENATE(INDIRECT(J2860)," = ",INDIRECT(K2860)," "),""),"")</f>
        <v/>
      </c>
      <c r="G2860" s="15">
        <f t="shared" ca="1" si="755"/>
        <v>63</v>
      </c>
      <c r="H2860" s="15">
        <v>1</v>
      </c>
      <c r="I2860" s="15" t="str">
        <f t="shared" ca="1" si="756"/>
        <v>RadioCard_TETRA_Exp1</v>
      </c>
      <c r="J2860" s="15" t="str">
        <f t="shared" ca="1" si="767"/>
        <v>RadioCard_TETRA_Exp1!A63</v>
      </c>
      <c r="K2860" s="15" t="str">
        <f t="shared" ca="1" si="768"/>
        <v>RadioCard_TETRA_Exp1!B63</v>
      </c>
    </row>
    <row r="2861" spans="1:11" x14ac:dyDescent="0.25">
      <c r="A2861" s="3" t="str">
        <f t="shared" ca="1" si="769"/>
        <v/>
      </c>
      <c r="G2861" s="15">
        <f t="shared" ca="1" si="755"/>
        <v>64</v>
      </c>
      <c r="H2861" s="15">
        <v>1</v>
      </c>
      <c r="I2861" s="15" t="str">
        <f t="shared" ca="1" si="756"/>
        <v>RadioCard_TETRA_Exp1</v>
      </c>
      <c r="J2861" s="15" t="str">
        <f t="shared" ca="1" si="767"/>
        <v>RadioCard_TETRA_Exp1!A64</v>
      </c>
      <c r="K2861" s="15" t="str">
        <f t="shared" ca="1" si="768"/>
        <v>RadioCard_TETRA_Exp1!B64</v>
      </c>
    </row>
    <row r="2862" spans="1:11" x14ac:dyDescent="0.25">
      <c r="A2862" s="3" t="str">
        <f t="shared" ca="1" si="769"/>
        <v/>
      </c>
      <c r="G2862" s="15">
        <f t="shared" ca="1" si="755"/>
        <v>65</v>
      </c>
      <c r="H2862" s="15">
        <v>1</v>
      </c>
      <c r="I2862" s="15" t="str">
        <f t="shared" ca="1" si="756"/>
        <v>RadioCard_TETRA_Exp1</v>
      </c>
      <c r="J2862" s="15" t="str">
        <f t="shared" ca="1" si="767"/>
        <v>RadioCard_TETRA_Exp1!A65</v>
      </c>
      <c r="K2862" s="15" t="str">
        <f t="shared" ca="1" si="768"/>
        <v>RadioCard_TETRA_Exp1!B65</v>
      </c>
    </row>
    <row r="2863" spans="1:11" x14ac:dyDescent="0.25">
      <c r="A2863" s="3" t="str">
        <f t="shared" ca="1" si="769"/>
        <v/>
      </c>
      <c r="G2863" s="15">
        <f t="shared" ca="1" si="755"/>
        <v>66</v>
      </c>
      <c r="H2863" s="15">
        <v>1</v>
      </c>
      <c r="I2863" s="15" t="str">
        <f t="shared" ca="1" si="756"/>
        <v>RadioCard_TETRA_Exp1</v>
      </c>
      <c r="J2863" s="15" t="str">
        <f t="shared" ca="1" si="767"/>
        <v>RadioCard_TETRA_Exp1!A66</v>
      </c>
      <c r="K2863" s="15" t="str">
        <f t="shared" ca="1" si="768"/>
        <v>RadioCard_TETRA_Exp1!B66</v>
      </c>
    </row>
    <row r="2864" spans="1:11" x14ac:dyDescent="0.25">
      <c r="A2864" s="3" t="str">
        <f t="shared" ca="1" si="769"/>
        <v/>
      </c>
      <c r="G2864" s="15">
        <f t="shared" ca="1" si="755"/>
        <v>67</v>
      </c>
      <c r="H2864" s="15">
        <v>1</v>
      </c>
      <c r="I2864" s="15" t="str">
        <f t="shared" ca="1" si="756"/>
        <v>RadioCard_TETRA_Exp1</v>
      </c>
      <c r="J2864" s="15" t="str">
        <f t="shared" ca="1" si="767"/>
        <v>RadioCard_TETRA_Exp1!A67</v>
      </c>
      <c r="K2864" s="15" t="str">
        <f t="shared" ca="1" si="768"/>
        <v>RadioCard_TETRA_Exp1!B67</v>
      </c>
    </row>
    <row r="2865" spans="1:16" x14ac:dyDescent="0.25">
      <c r="A2865" s="3" t="str">
        <f t="shared" ca="1" si="769"/>
        <v/>
      </c>
      <c r="G2865" s="15">
        <f t="shared" ca="1" si="755"/>
        <v>68</v>
      </c>
      <c r="H2865" s="15">
        <v>1</v>
      </c>
      <c r="I2865" s="15" t="str">
        <f t="shared" ca="1" si="756"/>
        <v>RadioCard_TETRA_Exp1</v>
      </c>
      <c r="J2865" s="15" t="str">
        <f t="shared" ca="1" si="767"/>
        <v>RadioCard_TETRA_Exp1!A68</v>
      </c>
      <c r="K2865" s="15" t="str">
        <f t="shared" ca="1" si="768"/>
        <v>RadioCard_TETRA_Exp1!B68</v>
      </c>
    </row>
    <row r="2866" spans="1:16" x14ac:dyDescent="0.25">
      <c r="A2866" s="3" t="str">
        <f t="shared" ca="1" si="769"/>
        <v/>
      </c>
      <c r="G2866" s="15">
        <f t="shared" ca="1" si="755"/>
        <v>69</v>
      </c>
      <c r="H2866" s="15">
        <v>1</v>
      </c>
      <c r="I2866" s="15" t="str">
        <f t="shared" ca="1" si="756"/>
        <v>RadioCard_TETRA_Exp1</v>
      </c>
      <c r="J2866" s="15" t="str">
        <f t="shared" ca="1" si="767"/>
        <v>RadioCard_TETRA_Exp1!A69</v>
      </c>
      <c r="K2866" s="15" t="str">
        <f t="shared" ca="1" si="768"/>
        <v>RadioCard_TETRA_Exp1!B69</v>
      </c>
    </row>
    <row r="2867" spans="1:16" x14ac:dyDescent="0.25">
      <c r="A2867" s="3" t="str">
        <f t="shared" ca="1" si="769"/>
        <v/>
      </c>
      <c r="G2867" s="15">
        <f t="shared" ca="1" si="755"/>
        <v>70</v>
      </c>
      <c r="H2867" s="15">
        <v>1</v>
      </c>
      <c r="I2867" s="15" t="str">
        <f t="shared" ca="1" si="756"/>
        <v>RadioCard_TETRA_Exp1</v>
      </c>
      <c r="J2867" s="15" t="str">
        <f t="shared" ca="1" si="767"/>
        <v>RadioCard_TETRA_Exp1!A70</v>
      </c>
      <c r="K2867" s="15" t="str">
        <f t="shared" ca="1" si="768"/>
        <v>RadioCard_TETRA_Exp1!B70</v>
      </c>
    </row>
    <row r="2868" spans="1:16" x14ac:dyDescent="0.25">
      <c r="A2868" s="3" t="str">
        <f t="shared" ca="1" si="769"/>
        <v xml:space="preserve">#RadioCard_TETRA_Exp1:etap 1 =  </v>
      </c>
      <c r="G2868" s="15">
        <f t="shared" ref="G2868" ca="1" si="770">INDIRECT(M2868)</f>
        <v>51</v>
      </c>
      <c r="H2868" s="15">
        <v>1</v>
      </c>
      <c r="I2868" s="15" t="str">
        <f t="shared" ref="I2868" ca="1" si="771">INDIRECT(N2868)</f>
        <v>RadioCard_TETRA_Exp2</v>
      </c>
      <c r="J2868" s="15" t="str">
        <f t="shared" ca="1" si="767"/>
        <v>RadioCard_TETRA_Exp2!A51</v>
      </c>
      <c r="K2868" s="15" t="str">
        <f t="shared" ca="1" si="768"/>
        <v>RadioCard_TETRA_Exp2!B51</v>
      </c>
      <c r="M2868" s="15" t="str">
        <f t="shared" ref="M2868" si="772">ADDRESS(O2868,3,4,1,$R$1)</f>
        <v>konfig!C145</v>
      </c>
      <c r="N2868" s="15" t="str">
        <f t="shared" ref="N2868" si="773">ADDRESS(O2868,1,4,1,$R$1)</f>
        <v>konfig!A145</v>
      </c>
      <c r="O2868" s="15">
        <v>145</v>
      </c>
      <c r="P2868" s="15">
        <v>4</v>
      </c>
    </row>
    <row r="2869" spans="1:16" x14ac:dyDescent="0.25">
      <c r="A2869" s="3" t="str">
        <f t="shared" ca="1" si="769"/>
        <v xml:space="preserve">device = MCP23017 </v>
      </c>
      <c r="G2869" s="15">
        <f t="shared" ca="1" si="761"/>
        <v>52</v>
      </c>
      <c r="H2869" s="15">
        <v>1</v>
      </c>
      <c r="I2869" s="15" t="str">
        <f t="shared" ca="1" si="762"/>
        <v>RadioCard_TETRA_Exp2</v>
      </c>
      <c r="J2869" s="15" t="str">
        <f t="shared" ca="1" si="767"/>
        <v>RadioCard_TETRA_Exp2!A52</v>
      </c>
      <c r="K2869" s="15" t="str">
        <f t="shared" ca="1" si="768"/>
        <v>RadioCard_TETRA_Exp2!B52</v>
      </c>
    </row>
    <row r="2870" spans="1:16" x14ac:dyDescent="0.25">
      <c r="A2870" s="3" t="str">
        <f t="shared" ca="1" si="769"/>
        <v xml:space="preserve">i2c_addr = 0x27 </v>
      </c>
      <c r="G2870" s="15">
        <f t="shared" ca="1" si="755"/>
        <v>53</v>
      </c>
      <c r="H2870" s="15">
        <v>1</v>
      </c>
      <c r="I2870" s="15" t="str">
        <f t="shared" ca="1" si="756"/>
        <v>RadioCard_TETRA_Exp2</v>
      </c>
      <c r="J2870" s="15" t="str">
        <f t="shared" ca="1" si="767"/>
        <v>RadioCard_TETRA_Exp2!A53</v>
      </c>
      <c r="K2870" s="15" t="str">
        <f t="shared" ca="1" si="768"/>
        <v>RadioCard_TETRA_Exp2!B53</v>
      </c>
    </row>
    <row r="2871" spans="1:16" x14ac:dyDescent="0.25">
      <c r="A2871" s="3" t="str">
        <f t="shared" ca="1" si="769"/>
        <v xml:space="preserve">i2c_num = /dev/i2c-1 </v>
      </c>
      <c r="C2871" s="16"/>
      <c r="G2871" s="15">
        <f t="shared" ca="1" si="755"/>
        <v>54</v>
      </c>
      <c r="H2871" s="15">
        <v>1</v>
      </c>
      <c r="I2871" s="15" t="str">
        <f t="shared" ca="1" si="756"/>
        <v>RadioCard_TETRA_Exp2</v>
      </c>
      <c r="J2871" s="15" t="str">
        <f t="shared" ca="1" si="767"/>
        <v>RadioCard_TETRA_Exp2!A54</v>
      </c>
      <c r="K2871" s="15" t="str">
        <f t="shared" ca="1" si="768"/>
        <v>RadioCard_TETRA_Exp2!B54</v>
      </c>
    </row>
    <row r="2872" spans="1:16" x14ac:dyDescent="0.25">
      <c r="A2872" s="3" t="str">
        <f t="shared" ca="1" si="769"/>
        <v xml:space="preserve">pins_mode = 0xCE8C </v>
      </c>
      <c r="G2872" s="15">
        <f t="shared" ca="1" si="755"/>
        <v>55</v>
      </c>
      <c r="H2872" s="15">
        <v>1</v>
      </c>
      <c r="I2872" s="15" t="str">
        <f t="shared" ca="1" si="756"/>
        <v>RadioCard_TETRA_Exp2</v>
      </c>
      <c r="J2872" s="15" t="str">
        <f t="shared" ca="1" si="767"/>
        <v>RadioCard_TETRA_Exp2!A55</v>
      </c>
      <c r="K2872" s="15" t="str">
        <f t="shared" ca="1" si="768"/>
        <v>RadioCard_TETRA_Exp2!B55</v>
      </c>
    </row>
    <row r="2873" spans="1:16" x14ac:dyDescent="0.25">
      <c r="A2873" s="3" t="str">
        <f t="shared" ca="1" si="769"/>
        <v xml:space="preserve">pins_state = 0x0100 </v>
      </c>
      <c r="G2873" s="15">
        <f t="shared" ca="1" si="755"/>
        <v>56</v>
      </c>
      <c r="H2873" s="15">
        <v>1</v>
      </c>
      <c r="I2873" s="15" t="str">
        <f t="shared" ca="1" si="756"/>
        <v>RadioCard_TETRA_Exp2</v>
      </c>
      <c r="J2873" s="15" t="str">
        <f t="shared" ca="1" si="767"/>
        <v>RadioCard_TETRA_Exp2!A56</v>
      </c>
      <c r="K2873" s="15" t="str">
        <f t="shared" ca="1" si="768"/>
        <v>RadioCard_TETRA_Exp2!B56</v>
      </c>
    </row>
    <row r="2874" spans="1:16" x14ac:dyDescent="0.25">
      <c r="A2874" s="3" t="str">
        <f t="shared" ca="1" si="769"/>
        <v xml:space="preserve">pins_pull_up = 0x4808 </v>
      </c>
      <c r="G2874" s="15">
        <f t="shared" ca="1" si="755"/>
        <v>57</v>
      </c>
      <c r="H2874" s="15">
        <v>1</v>
      </c>
      <c r="I2874" s="15" t="str">
        <f t="shared" ca="1" si="756"/>
        <v>RadioCard_TETRA_Exp2</v>
      </c>
      <c r="J2874" s="15" t="str">
        <f t="shared" ca="1" si="767"/>
        <v>RadioCard_TETRA_Exp2!A57</v>
      </c>
      <c r="K2874" s="15" t="str">
        <f t="shared" ca="1" si="768"/>
        <v>RadioCard_TETRA_Exp2!B57</v>
      </c>
    </row>
    <row r="2875" spans="1:16" x14ac:dyDescent="0.25">
      <c r="A2875" s="3" t="str">
        <f t="shared" ca="1" si="769"/>
        <v xml:space="preserve">#pins_int = 0x0000 </v>
      </c>
      <c r="G2875" s="15">
        <f t="shared" ca="1" si="755"/>
        <v>58</v>
      </c>
      <c r="H2875" s="15">
        <v>1</v>
      </c>
      <c r="I2875" s="15" t="str">
        <f t="shared" ca="1" si="756"/>
        <v>RadioCard_TETRA_Exp2</v>
      </c>
      <c r="J2875" s="15" t="str">
        <f t="shared" ca="1" si="767"/>
        <v>RadioCard_TETRA_Exp2!A58</v>
      </c>
      <c r="K2875" s="15" t="str">
        <f t="shared" ca="1" si="768"/>
        <v>RadioCard_TETRA_Exp2!B58</v>
      </c>
    </row>
    <row r="2876" spans="1:16" x14ac:dyDescent="0.25">
      <c r="A2876" s="3" t="str">
        <f t="shared" ca="1" si="769"/>
        <v xml:space="preserve">#pins_def_val = 0x0000 </v>
      </c>
      <c r="G2876" s="15">
        <f t="shared" ca="1" si="755"/>
        <v>59</v>
      </c>
      <c r="H2876" s="15">
        <v>1</v>
      </c>
      <c r="I2876" s="15" t="str">
        <f t="shared" ca="1" si="756"/>
        <v>RadioCard_TETRA_Exp2</v>
      </c>
      <c r="J2876" s="15" t="str">
        <f t="shared" ca="1" si="767"/>
        <v>RadioCard_TETRA_Exp2!A59</v>
      </c>
      <c r="K2876" s="15" t="str">
        <f t="shared" ca="1" si="768"/>
        <v>RadioCard_TETRA_Exp2!B59</v>
      </c>
    </row>
    <row r="2877" spans="1:16" x14ac:dyDescent="0.25">
      <c r="A2877" s="3" t="str">
        <f t="shared" ca="1" si="769"/>
        <v/>
      </c>
      <c r="G2877" s="15">
        <f t="shared" ca="1" si="755"/>
        <v>60</v>
      </c>
      <c r="H2877" s="15">
        <v>1</v>
      </c>
      <c r="I2877" s="15" t="str">
        <f t="shared" ca="1" si="756"/>
        <v>RadioCard_TETRA_Exp2</v>
      </c>
      <c r="J2877" s="15" t="str">
        <f t="shared" ca="1" si="767"/>
        <v>RadioCard_TETRA_Exp2!A60</v>
      </c>
      <c r="K2877" s="15" t="str">
        <f t="shared" ca="1" si="768"/>
        <v>RadioCard_TETRA_Exp2!B60</v>
      </c>
    </row>
    <row r="2878" spans="1:16" x14ac:dyDescent="0.25">
      <c r="A2878" s="3" t="str">
        <f t="shared" ca="1" si="769"/>
        <v xml:space="preserve">time = 10 </v>
      </c>
      <c r="G2878" s="15">
        <f t="shared" ca="1" si="755"/>
        <v>61</v>
      </c>
      <c r="H2878" s="15">
        <v>1</v>
      </c>
      <c r="I2878" s="15" t="str">
        <f t="shared" ca="1" si="756"/>
        <v>RadioCard_TETRA_Exp2</v>
      </c>
      <c r="J2878" s="15" t="str">
        <f t="shared" ca="1" si="767"/>
        <v>RadioCard_TETRA_Exp2!A61</v>
      </c>
      <c r="K2878" s="15" t="str">
        <f t="shared" ca="1" si="768"/>
        <v>RadioCard_TETRA_Exp2!B61</v>
      </c>
    </row>
    <row r="2879" spans="1:16" x14ac:dyDescent="0.25">
      <c r="A2879" s="3" t="str">
        <f t="shared" ca="1" si="769"/>
        <v/>
      </c>
      <c r="C2879" s="16"/>
      <c r="G2879" s="15">
        <f t="shared" ca="1" si="755"/>
        <v>62</v>
      </c>
      <c r="H2879" s="15">
        <v>1</v>
      </c>
      <c r="I2879" s="15" t="str">
        <f t="shared" ca="1" si="756"/>
        <v>RadioCard_TETRA_Exp2</v>
      </c>
      <c r="J2879" s="15" t="str">
        <f t="shared" ca="1" si="767"/>
        <v>RadioCard_TETRA_Exp2!A62</v>
      </c>
      <c r="K2879" s="15" t="str">
        <f t="shared" ca="1" si="768"/>
        <v>RadioCard_TETRA_Exp2!B62</v>
      </c>
    </row>
    <row r="2880" spans="1:16" x14ac:dyDescent="0.25">
      <c r="A2880" s="3" t="str">
        <f t="shared" ca="1" si="769"/>
        <v/>
      </c>
      <c r="G2880" s="15">
        <f t="shared" ca="1" si="755"/>
        <v>63</v>
      </c>
      <c r="H2880" s="15">
        <v>1</v>
      </c>
      <c r="I2880" s="15" t="str">
        <f t="shared" ca="1" si="756"/>
        <v>RadioCard_TETRA_Exp2</v>
      </c>
      <c r="J2880" s="15" t="str">
        <f t="shared" ca="1" si="767"/>
        <v>RadioCard_TETRA_Exp2!A63</v>
      </c>
      <c r="K2880" s="15" t="str">
        <f t="shared" ca="1" si="768"/>
        <v>RadioCard_TETRA_Exp2!B63</v>
      </c>
    </row>
    <row r="2881" spans="1:16" x14ac:dyDescent="0.25">
      <c r="A2881" s="3" t="str">
        <f t="shared" ca="1" si="769"/>
        <v/>
      </c>
      <c r="G2881" s="15">
        <f t="shared" ca="1" si="755"/>
        <v>64</v>
      </c>
      <c r="H2881" s="15">
        <v>1</v>
      </c>
      <c r="I2881" s="15" t="str">
        <f t="shared" ca="1" si="756"/>
        <v>RadioCard_TETRA_Exp2</v>
      </c>
      <c r="J2881" s="15" t="str">
        <f t="shared" ca="1" si="767"/>
        <v>RadioCard_TETRA_Exp2!A64</v>
      </c>
      <c r="K2881" s="15" t="str">
        <f t="shared" ca="1" si="768"/>
        <v>RadioCard_TETRA_Exp2!B64</v>
      </c>
    </row>
    <row r="2882" spans="1:16" x14ac:dyDescent="0.25">
      <c r="A2882" s="3" t="str">
        <f t="shared" ca="1" si="769"/>
        <v/>
      </c>
      <c r="G2882" s="15">
        <f t="shared" ca="1" si="755"/>
        <v>65</v>
      </c>
      <c r="H2882" s="15">
        <v>1</v>
      </c>
      <c r="I2882" s="15" t="str">
        <f t="shared" ca="1" si="756"/>
        <v>RadioCard_TETRA_Exp2</v>
      </c>
      <c r="J2882" s="15" t="str">
        <f t="shared" ca="1" si="767"/>
        <v>RadioCard_TETRA_Exp2!A65</v>
      </c>
      <c r="K2882" s="15" t="str">
        <f t="shared" ca="1" si="768"/>
        <v>RadioCard_TETRA_Exp2!B65</v>
      </c>
    </row>
    <row r="2883" spans="1:16" x14ac:dyDescent="0.25">
      <c r="A2883" s="3" t="str">
        <f t="shared" ca="1" si="769"/>
        <v/>
      </c>
      <c r="G2883" s="15">
        <f t="shared" ca="1" si="755"/>
        <v>66</v>
      </c>
      <c r="H2883" s="15">
        <v>1</v>
      </c>
      <c r="I2883" s="15" t="str">
        <f t="shared" ca="1" si="756"/>
        <v>RadioCard_TETRA_Exp2</v>
      </c>
      <c r="J2883" s="15" t="str">
        <f t="shared" ca="1" si="767"/>
        <v>RadioCard_TETRA_Exp2!A66</v>
      </c>
      <c r="K2883" s="15" t="str">
        <f t="shared" ca="1" si="768"/>
        <v>RadioCard_TETRA_Exp2!B66</v>
      </c>
    </row>
    <row r="2884" spans="1:16" x14ac:dyDescent="0.25">
      <c r="A2884" s="3" t="str">
        <f t="shared" ca="1" si="769"/>
        <v/>
      </c>
      <c r="G2884" s="15">
        <f t="shared" ca="1" si="755"/>
        <v>67</v>
      </c>
      <c r="H2884" s="15">
        <v>1</v>
      </c>
      <c r="I2884" s="15" t="str">
        <f t="shared" ca="1" si="756"/>
        <v>RadioCard_TETRA_Exp2</v>
      </c>
      <c r="J2884" s="15" t="str">
        <f t="shared" ca="1" si="767"/>
        <v>RadioCard_TETRA_Exp2!A67</v>
      </c>
      <c r="K2884" s="15" t="str">
        <f t="shared" ca="1" si="768"/>
        <v>RadioCard_TETRA_Exp2!B67</v>
      </c>
    </row>
    <row r="2885" spans="1:16" x14ac:dyDescent="0.25">
      <c r="A2885" s="3" t="str">
        <f t="shared" ca="1" si="769"/>
        <v/>
      </c>
      <c r="G2885" s="15">
        <f t="shared" ca="1" si="755"/>
        <v>68</v>
      </c>
      <c r="H2885" s="15">
        <v>1</v>
      </c>
      <c r="I2885" s="15" t="str">
        <f t="shared" ca="1" si="756"/>
        <v>RadioCard_TETRA_Exp2</v>
      </c>
      <c r="J2885" s="15" t="str">
        <f t="shared" ca="1" si="767"/>
        <v>RadioCard_TETRA_Exp2!A68</v>
      </c>
      <c r="K2885" s="15" t="str">
        <f t="shared" ca="1" si="768"/>
        <v>RadioCard_TETRA_Exp2!B68</v>
      </c>
    </row>
    <row r="2886" spans="1:16" x14ac:dyDescent="0.25">
      <c r="A2886" s="3" t="str">
        <f t="shared" ca="1" si="769"/>
        <v/>
      </c>
      <c r="G2886" s="15">
        <f t="shared" ca="1" si="755"/>
        <v>69</v>
      </c>
      <c r="H2886" s="15">
        <v>1</v>
      </c>
      <c r="I2886" s="15" t="str">
        <f t="shared" ca="1" si="756"/>
        <v>RadioCard_TETRA_Exp2</v>
      </c>
      <c r="J2886" s="15" t="str">
        <f t="shared" ca="1" si="767"/>
        <v>RadioCard_TETRA_Exp2!A69</v>
      </c>
      <c r="K2886" s="15" t="str">
        <f t="shared" ca="1" si="768"/>
        <v>RadioCard_TETRA_Exp2!B69</v>
      </c>
    </row>
    <row r="2887" spans="1:16" x14ac:dyDescent="0.25">
      <c r="A2887" s="3" t="str">
        <f t="shared" ca="1" si="769"/>
        <v/>
      </c>
      <c r="G2887" s="15">
        <f t="shared" ca="1" si="755"/>
        <v>70</v>
      </c>
      <c r="H2887" s="15">
        <v>1</v>
      </c>
      <c r="I2887" s="15" t="str">
        <f t="shared" ca="1" si="756"/>
        <v>RadioCard_TETRA_Exp2</v>
      </c>
      <c r="J2887" s="15" t="str">
        <f t="shared" ca="1" si="767"/>
        <v>RadioCard_TETRA_Exp2!A70</v>
      </c>
      <c r="K2887" s="15" t="str">
        <f t="shared" ca="1" si="768"/>
        <v>RadioCard_TETRA_Exp2!B70</v>
      </c>
    </row>
    <row r="2888" spans="1:16" x14ac:dyDescent="0.25">
      <c r="A2888" s="3" t="str">
        <f t="shared" ca="1" si="769"/>
        <v xml:space="preserve">#RadioCard_TETRA_Exp1:etap 1 =  </v>
      </c>
      <c r="G2888" s="15">
        <f t="shared" ref="G2888" ca="1" si="774">INDIRECT(M2888)</f>
        <v>51</v>
      </c>
      <c r="H2888" s="15">
        <v>1</v>
      </c>
      <c r="I2888" s="15" t="str">
        <f t="shared" ref="I2888" ca="1" si="775">INDIRECT(N2888)</f>
        <v>RadioCard_TETRA_Exp1</v>
      </c>
      <c r="J2888" s="15" t="str">
        <f t="shared" ca="1" si="767"/>
        <v>RadioCard_TETRA_Exp1!A51</v>
      </c>
      <c r="K2888" s="15" t="str">
        <f t="shared" ca="1" si="768"/>
        <v>RadioCard_TETRA_Exp1!B51</v>
      </c>
      <c r="M2888" s="15" t="str">
        <f t="shared" ref="M2888" si="776">ADDRESS(O2888,3,4,1,$R$1)</f>
        <v>konfig!C146</v>
      </c>
      <c r="N2888" s="15" t="str">
        <f t="shared" ref="N2888" si="777">ADDRESS(O2888,1,4,1,$R$1)</f>
        <v>konfig!A146</v>
      </c>
      <c r="O2888" s="15">
        <v>146</v>
      </c>
      <c r="P2888" s="15">
        <v>4</v>
      </c>
    </row>
    <row r="2889" spans="1:16" x14ac:dyDescent="0.25">
      <c r="A2889" s="3" t="str">
        <f t="shared" ca="1" si="769"/>
        <v xml:space="preserve">device = MCP23017 </v>
      </c>
      <c r="G2889" s="15">
        <f t="shared" ref="G2889:G2952" ca="1" si="778">G2888+1</f>
        <v>52</v>
      </c>
      <c r="H2889" s="15">
        <v>1</v>
      </c>
      <c r="I2889" s="15" t="str">
        <f t="shared" ref="I2889:I2952" ca="1" si="779">I2888</f>
        <v>RadioCard_TETRA_Exp1</v>
      </c>
      <c r="J2889" s="15" t="str">
        <f t="shared" ca="1" si="767"/>
        <v>RadioCard_TETRA_Exp1!A52</v>
      </c>
      <c r="K2889" s="15" t="str">
        <f t="shared" ca="1" si="768"/>
        <v>RadioCard_TETRA_Exp1!B52</v>
      </c>
    </row>
    <row r="2890" spans="1:16" x14ac:dyDescent="0.25">
      <c r="A2890" s="3" t="str">
        <f t="shared" ca="1" si="769"/>
        <v xml:space="preserve">i2c_addr = 0x26 </v>
      </c>
      <c r="G2890" s="15">
        <f t="shared" ca="1" si="778"/>
        <v>53</v>
      </c>
      <c r="H2890" s="15">
        <v>1</v>
      </c>
      <c r="I2890" s="15" t="str">
        <f t="shared" ca="1" si="779"/>
        <v>RadioCard_TETRA_Exp1</v>
      </c>
      <c r="J2890" s="15" t="str">
        <f t="shared" ca="1" si="767"/>
        <v>RadioCard_TETRA_Exp1!A53</v>
      </c>
      <c r="K2890" s="15" t="str">
        <f t="shared" ca="1" si="768"/>
        <v>RadioCard_TETRA_Exp1!B53</v>
      </c>
    </row>
    <row r="2891" spans="1:16" x14ac:dyDescent="0.25">
      <c r="A2891" s="3" t="str">
        <f t="shared" ca="1" si="769"/>
        <v xml:space="preserve">i2c_num = /dev/i2c-1 </v>
      </c>
      <c r="C2891" s="16"/>
      <c r="G2891" s="15">
        <f t="shared" ca="1" si="778"/>
        <v>54</v>
      </c>
      <c r="H2891" s="15">
        <v>1</v>
      </c>
      <c r="I2891" s="15" t="str">
        <f t="shared" ca="1" si="779"/>
        <v>RadioCard_TETRA_Exp1</v>
      </c>
      <c r="J2891" s="15" t="str">
        <f t="shared" ca="1" si="767"/>
        <v>RadioCard_TETRA_Exp1!A54</v>
      </c>
      <c r="K2891" s="15" t="str">
        <f t="shared" ca="1" si="768"/>
        <v>RadioCard_TETRA_Exp1!B54</v>
      </c>
    </row>
    <row r="2892" spans="1:16" x14ac:dyDescent="0.25">
      <c r="A2892" s="3" t="str">
        <f t="shared" ca="1" si="769"/>
        <v xml:space="preserve">pins_mode = 0x00FF </v>
      </c>
      <c r="G2892" s="15">
        <f t="shared" ca="1" si="778"/>
        <v>55</v>
      </c>
      <c r="H2892" s="15">
        <v>1</v>
      </c>
      <c r="I2892" s="15" t="str">
        <f t="shared" ca="1" si="779"/>
        <v>RadioCard_TETRA_Exp1</v>
      </c>
      <c r="J2892" s="15" t="str">
        <f t="shared" ca="1" si="767"/>
        <v>RadioCard_TETRA_Exp1!A55</v>
      </c>
      <c r="K2892" s="15" t="str">
        <f t="shared" ca="1" si="768"/>
        <v>RadioCard_TETRA_Exp1!B55</v>
      </c>
    </row>
    <row r="2893" spans="1:16" x14ac:dyDescent="0.25">
      <c r="A2893" s="3" t="str">
        <f t="shared" ca="1" si="769"/>
        <v xml:space="preserve">pins_state = 0x0300 </v>
      </c>
      <c r="G2893" s="15">
        <f t="shared" ca="1" si="778"/>
        <v>56</v>
      </c>
      <c r="H2893" s="15">
        <v>1</v>
      </c>
      <c r="I2893" s="15" t="str">
        <f t="shared" ca="1" si="779"/>
        <v>RadioCard_TETRA_Exp1</v>
      </c>
      <c r="J2893" s="15" t="str">
        <f t="shared" ca="1" si="767"/>
        <v>RadioCard_TETRA_Exp1!A56</v>
      </c>
      <c r="K2893" s="15" t="str">
        <f t="shared" ca="1" si="768"/>
        <v>RadioCard_TETRA_Exp1!B56</v>
      </c>
    </row>
    <row r="2894" spans="1:16" x14ac:dyDescent="0.25">
      <c r="A2894" s="3" t="str">
        <f t="shared" ca="1" si="769"/>
        <v xml:space="preserve">pins_pull_up = 0x0000 </v>
      </c>
      <c r="G2894" s="15">
        <f t="shared" ca="1" si="778"/>
        <v>57</v>
      </c>
      <c r="H2894" s="15">
        <v>1</v>
      </c>
      <c r="I2894" s="15" t="str">
        <f t="shared" ca="1" si="779"/>
        <v>RadioCard_TETRA_Exp1</v>
      </c>
      <c r="J2894" s="15" t="str">
        <f t="shared" ca="1" si="767"/>
        <v>RadioCard_TETRA_Exp1!A57</v>
      </c>
      <c r="K2894" s="15" t="str">
        <f t="shared" ca="1" si="768"/>
        <v>RadioCard_TETRA_Exp1!B57</v>
      </c>
    </row>
    <row r="2895" spans="1:16" x14ac:dyDescent="0.25">
      <c r="A2895" s="3" t="str">
        <f t="shared" ca="1" si="769"/>
        <v xml:space="preserve">#pins_int = 0x0000 </v>
      </c>
      <c r="G2895" s="15">
        <f t="shared" ca="1" si="778"/>
        <v>58</v>
      </c>
      <c r="H2895" s="15">
        <v>1</v>
      </c>
      <c r="I2895" s="15" t="str">
        <f t="shared" ca="1" si="779"/>
        <v>RadioCard_TETRA_Exp1</v>
      </c>
      <c r="J2895" s="15" t="str">
        <f t="shared" ca="1" si="767"/>
        <v>RadioCard_TETRA_Exp1!A58</v>
      </c>
      <c r="K2895" s="15" t="str">
        <f t="shared" ca="1" si="768"/>
        <v>RadioCard_TETRA_Exp1!B58</v>
      </c>
    </row>
    <row r="2896" spans="1:16" x14ac:dyDescent="0.25">
      <c r="A2896" s="3" t="str">
        <f t="shared" ca="1" si="769"/>
        <v xml:space="preserve">#pins_def_val = 0x0000 </v>
      </c>
      <c r="G2896" s="15">
        <f t="shared" ca="1" si="778"/>
        <v>59</v>
      </c>
      <c r="H2896" s="15">
        <v>1</v>
      </c>
      <c r="I2896" s="15" t="str">
        <f t="shared" ca="1" si="779"/>
        <v>RadioCard_TETRA_Exp1</v>
      </c>
      <c r="J2896" s="15" t="str">
        <f t="shared" ca="1" si="767"/>
        <v>RadioCard_TETRA_Exp1!A59</v>
      </c>
      <c r="K2896" s="15" t="str">
        <f t="shared" ca="1" si="768"/>
        <v>RadioCard_TETRA_Exp1!B59</v>
      </c>
    </row>
    <row r="2897" spans="1:16" x14ac:dyDescent="0.25">
      <c r="A2897" s="3" t="str">
        <f t="shared" ca="1" si="769"/>
        <v/>
      </c>
      <c r="G2897" s="15">
        <f t="shared" ca="1" si="778"/>
        <v>60</v>
      </c>
      <c r="H2897" s="15">
        <v>1</v>
      </c>
      <c r="I2897" s="15" t="str">
        <f t="shared" ca="1" si="779"/>
        <v>RadioCard_TETRA_Exp1</v>
      </c>
      <c r="J2897" s="15" t="str">
        <f t="shared" ca="1" si="767"/>
        <v>RadioCard_TETRA_Exp1!A60</v>
      </c>
      <c r="K2897" s="15" t="str">
        <f t="shared" ca="1" si="768"/>
        <v>RadioCard_TETRA_Exp1!B60</v>
      </c>
    </row>
    <row r="2898" spans="1:16" x14ac:dyDescent="0.25">
      <c r="A2898" s="3" t="str">
        <f t="shared" ca="1" si="769"/>
        <v xml:space="preserve">time = 10 </v>
      </c>
      <c r="G2898" s="15">
        <f t="shared" ca="1" si="778"/>
        <v>61</v>
      </c>
      <c r="H2898" s="15">
        <v>1</v>
      </c>
      <c r="I2898" s="15" t="str">
        <f t="shared" ca="1" si="779"/>
        <v>RadioCard_TETRA_Exp1</v>
      </c>
      <c r="J2898" s="15" t="str">
        <f t="shared" ca="1" si="767"/>
        <v>RadioCard_TETRA_Exp1!A61</v>
      </c>
      <c r="K2898" s="15" t="str">
        <f t="shared" ca="1" si="768"/>
        <v>RadioCard_TETRA_Exp1!B61</v>
      </c>
    </row>
    <row r="2899" spans="1:16" x14ac:dyDescent="0.25">
      <c r="A2899" s="3" t="str">
        <f t="shared" ca="1" si="769"/>
        <v/>
      </c>
      <c r="C2899" s="16"/>
      <c r="G2899" s="15">
        <f t="shared" ca="1" si="778"/>
        <v>62</v>
      </c>
      <c r="H2899" s="15">
        <v>1</v>
      </c>
      <c r="I2899" s="15" t="str">
        <f t="shared" ca="1" si="779"/>
        <v>RadioCard_TETRA_Exp1</v>
      </c>
      <c r="J2899" s="15" t="str">
        <f t="shared" ca="1" si="767"/>
        <v>RadioCard_TETRA_Exp1!A62</v>
      </c>
      <c r="K2899" s="15" t="str">
        <f t="shared" ca="1" si="768"/>
        <v>RadioCard_TETRA_Exp1!B62</v>
      </c>
    </row>
    <row r="2900" spans="1:16" x14ac:dyDescent="0.25">
      <c r="A2900" s="3" t="str">
        <f t="shared" ca="1" si="769"/>
        <v/>
      </c>
      <c r="G2900" s="15">
        <f t="shared" ca="1" si="778"/>
        <v>63</v>
      </c>
      <c r="H2900" s="15">
        <v>1</v>
      </c>
      <c r="I2900" s="15" t="str">
        <f t="shared" ca="1" si="779"/>
        <v>RadioCard_TETRA_Exp1</v>
      </c>
      <c r="J2900" s="15" t="str">
        <f t="shared" ca="1" si="767"/>
        <v>RadioCard_TETRA_Exp1!A63</v>
      </c>
      <c r="K2900" s="15" t="str">
        <f t="shared" ca="1" si="768"/>
        <v>RadioCard_TETRA_Exp1!B63</v>
      </c>
    </row>
    <row r="2901" spans="1:16" x14ac:dyDescent="0.25">
      <c r="A2901" s="3" t="str">
        <f t="shared" ca="1" si="769"/>
        <v/>
      </c>
      <c r="G2901" s="15">
        <f t="shared" ca="1" si="778"/>
        <v>64</v>
      </c>
      <c r="H2901" s="15">
        <v>1</v>
      </c>
      <c r="I2901" s="15" t="str">
        <f t="shared" ca="1" si="779"/>
        <v>RadioCard_TETRA_Exp1</v>
      </c>
      <c r="J2901" s="15" t="str">
        <f t="shared" ca="1" si="767"/>
        <v>RadioCard_TETRA_Exp1!A64</v>
      </c>
      <c r="K2901" s="15" t="str">
        <f t="shared" ca="1" si="768"/>
        <v>RadioCard_TETRA_Exp1!B64</v>
      </c>
    </row>
    <row r="2902" spans="1:16" x14ac:dyDescent="0.25">
      <c r="A2902" s="3" t="str">
        <f t="shared" ca="1" si="769"/>
        <v/>
      </c>
      <c r="G2902" s="15">
        <f t="shared" ca="1" si="778"/>
        <v>65</v>
      </c>
      <c r="H2902" s="15">
        <v>1</v>
      </c>
      <c r="I2902" s="15" t="str">
        <f t="shared" ca="1" si="779"/>
        <v>RadioCard_TETRA_Exp1</v>
      </c>
      <c r="J2902" s="15" t="str">
        <f t="shared" ca="1" si="767"/>
        <v>RadioCard_TETRA_Exp1!A65</v>
      </c>
      <c r="K2902" s="15" t="str">
        <f t="shared" ca="1" si="768"/>
        <v>RadioCard_TETRA_Exp1!B65</v>
      </c>
    </row>
    <row r="2903" spans="1:16" x14ac:dyDescent="0.25">
      <c r="A2903" s="3" t="str">
        <f t="shared" ca="1" si="769"/>
        <v/>
      </c>
      <c r="G2903" s="15">
        <f t="shared" ca="1" si="778"/>
        <v>66</v>
      </c>
      <c r="H2903" s="15">
        <v>1</v>
      </c>
      <c r="I2903" s="15" t="str">
        <f t="shared" ca="1" si="779"/>
        <v>RadioCard_TETRA_Exp1</v>
      </c>
      <c r="J2903" s="15" t="str">
        <f t="shared" ca="1" si="767"/>
        <v>RadioCard_TETRA_Exp1!A66</v>
      </c>
      <c r="K2903" s="15" t="str">
        <f t="shared" ca="1" si="768"/>
        <v>RadioCard_TETRA_Exp1!B66</v>
      </c>
    </row>
    <row r="2904" spans="1:16" x14ac:dyDescent="0.25">
      <c r="A2904" s="3" t="str">
        <f t="shared" ca="1" si="769"/>
        <v/>
      </c>
      <c r="G2904" s="15">
        <f t="shared" ca="1" si="778"/>
        <v>67</v>
      </c>
      <c r="H2904" s="15">
        <v>1</v>
      </c>
      <c r="I2904" s="15" t="str">
        <f t="shared" ca="1" si="779"/>
        <v>RadioCard_TETRA_Exp1</v>
      </c>
      <c r="J2904" s="15" t="str">
        <f t="shared" ca="1" si="767"/>
        <v>RadioCard_TETRA_Exp1!A67</v>
      </c>
      <c r="K2904" s="15" t="str">
        <f t="shared" ca="1" si="768"/>
        <v>RadioCard_TETRA_Exp1!B67</v>
      </c>
    </row>
    <row r="2905" spans="1:16" x14ac:dyDescent="0.25">
      <c r="A2905" s="3" t="str">
        <f t="shared" ca="1" si="769"/>
        <v/>
      </c>
      <c r="G2905" s="15">
        <f t="shared" ca="1" si="778"/>
        <v>68</v>
      </c>
      <c r="H2905" s="15">
        <v>1</v>
      </c>
      <c r="I2905" s="15" t="str">
        <f t="shared" ca="1" si="779"/>
        <v>RadioCard_TETRA_Exp1</v>
      </c>
      <c r="J2905" s="15" t="str">
        <f t="shared" ca="1" si="767"/>
        <v>RadioCard_TETRA_Exp1!A68</v>
      </c>
      <c r="K2905" s="15" t="str">
        <f t="shared" ca="1" si="768"/>
        <v>RadioCard_TETRA_Exp1!B68</v>
      </c>
    </row>
    <row r="2906" spans="1:16" x14ac:dyDescent="0.25">
      <c r="A2906" s="3" t="str">
        <f t="shared" ca="1" si="769"/>
        <v/>
      </c>
      <c r="G2906" s="15">
        <f t="shared" ca="1" si="778"/>
        <v>69</v>
      </c>
      <c r="H2906" s="15">
        <v>1</v>
      </c>
      <c r="I2906" s="15" t="str">
        <f t="shared" ca="1" si="779"/>
        <v>RadioCard_TETRA_Exp1</v>
      </c>
      <c r="J2906" s="15" t="str">
        <f t="shared" ca="1" si="767"/>
        <v>RadioCard_TETRA_Exp1!A69</v>
      </c>
      <c r="K2906" s="15" t="str">
        <f t="shared" ca="1" si="768"/>
        <v>RadioCard_TETRA_Exp1!B69</v>
      </c>
    </row>
    <row r="2907" spans="1:16" x14ac:dyDescent="0.25">
      <c r="A2907" s="3" t="str">
        <f t="shared" ca="1" si="769"/>
        <v/>
      </c>
      <c r="G2907" s="15">
        <f t="shared" ca="1" si="778"/>
        <v>70</v>
      </c>
      <c r="H2907" s="15">
        <v>1</v>
      </c>
      <c r="I2907" s="15" t="str">
        <f t="shared" ca="1" si="779"/>
        <v>RadioCard_TETRA_Exp1</v>
      </c>
      <c r="J2907" s="15" t="str">
        <f t="shared" ca="1" si="767"/>
        <v>RadioCard_TETRA_Exp1!A70</v>
      </c>
      <c r="K2907" s="15" t="str">
        <f t="shared" ca="1" si="768"/>
        <v>RadioCard_TETRA_Exp1!B70</v>
      </c>
    </row>
    <row r="2908" spans="1:16" x14ac:dyDescent="0.25">
      <c r="A2908" s="3" t="str">
        <f t="shared" ca="1" si="769"/>
        <v xml:space="preserve">#RadioCard_TETRA_Exp1:etap 2 =  </v>
      </c>
      <c r="G2908" s="15">
        <f t="shared" ref="G2908" ca="1" si="780">INDIRECT(M2908)</f>
        <v>71</v>
      </c>
      <c r="H2908" s="15">
        <v>1</v>
      </c>
      <c r="I2908" s="15" t="str">
        <f t="shared" ref="I2908" ca="1" si="781">INDIRECT(N2908)</f>
        <v>RadioCard_TETRA_Exp2</v>
      </c>
      <c r="J2908" s="15" t="str">
        <f t="shared" ca="1" si="767"/>
        <v>RadioCard_TETRA_Exp2!A71</v>
      </c>
      <c r="K2908" s="15" t="str">
        <f t="shared" ca="1" si="768"/>
        <v>RadioCard_TETRA_Exp2!B71</v>
      </c>
      <c r="M2908" s="15" t="str">
        <f t="shared" ref="M2908" si="782">ADDRESS(O2908,3,4,1,$R$1)</f>
        <v>konfig!C147</v>
      </c>
      <c r="N2908" s="15" t="str">
        <f t="shared" ref="N2908" si="783">ADDRESS(O2908,1,4,1,$R$1)</f>
        <v>konfig!A147</v>
      </c>
      <c r="O2908" s="15">
        <v>147</v>
      </c>
      <c r="P2908" s="15">
        <v>4</v>
      </c>
    </row>
    <row r="2909" spans="1:16" x14ac:dyDescent="0.25">
      <c r="A2909" s="3" t="str">
        <f t="shared" ca="1" si="769"/>
        <v xml:space="preserve">device = MCP23017 </v>
      </c>
      <c r="G2909" s="15">
        <f t="shared" ref="G2909:G2949" ca="1" si="784">G2908+1</f>
        <v>72</v>
      </c>
      <c r="H2909" s="15">
        <v>1</v>
      </c>
      <c r="I2909" s="15" t="str">
        <f t="shared" ref="I2909:I2949" ca="1" si="785">I2908</f>
        <v>RadioCard_TETRA_Exp2</v>
      </c>
      <c r="J2909" s="15" t="str">
        <f t="shared" ca="1" si="767"/>
        <v>RadioCard_TETRA_Exp2!A72</v>
      </c>
      <c r="K2909" s="15" t="str">
        <f t="shared" ca="1" si="768"/>
        <v>RadioCard_TETRA_Exp2!B72</v>
      </c>
    </row>
    <row r="2910" spans="1:16" x14ac:dyDescent="0.25">
      <c r="A2910" s="3" t="str">
        <f t="shared" ca="1" si="769"/>
        <v xml:space="preserve">i2c_addr = 0x27 </v>
      </c>
      <c r="G2910" s="15">
        <f t="shared" ca="1" si="778"/>
        <v>73</v>
      </c>
      <c r="H2910" s="15">
        <v>1</v>
      </c>
      <c r="I2910" s="15" t="str">
        <f t="shared" ca="1" si="779"/>
        <v>RadioCard_TETRA_Exp2</v>
      </c>
      <c r="J2910" s="15" t="str">
        <f t="shared" ca="1" si="767"/>
        <v>RadioCard_TETRA_Exp2!A73</v>
      </c>
      <c r="K2910" s="15" t="str">
        <f t="shared" ca="1" si="768"/>
        <v>RadioCard_TETRA_Exp2!B73</v>
      </c>
    </row>
    <row r="2911" spans="1:16" x14ac:dyDescent="0.25">
      <c r="A2911" s="3" t="str">
        <f t="shared" ca="1" si="769"/>
        <v xml:space="preserve">i2c_num = /dev/i2c-1 </v>
      </c>
      <c r="C2911" s="16"/>
      <c r="G2911" s="15">
        <f t="shared" ca="1" si="778"/>
        <v>74</v>
      </c>
      <c r="H2911" s="15">
        <v>1</v>
      </c>
      <c r="I2911" s="15" t="str">
        <f t="shared" ca="1" si="779"/>
        <v>RadioCard_TETRA_Exp2</v>
      </c>
      <c r="J2911" s="15" t="str">
        <f t="shared" ca="1" si="767"/>
        <v>RadioCard_TETRA_Exp2!A74</v>
      </c>
      <c r="K2911" s="15" t="str">
        <f t="shared" ca="1" si="768"/>
        <v>RadioCard_TETRA_Exp2!B74</v>
      </c>
    </row>
    <row r="2912" spans="1:16" x14ac:dyDescent="0.25">
      <c r="A2912" s="3" t="str">
        <f t="shared" ca="1" si="769"/>
        <v xml:space="preserve">pins_mode = 0xCE8C </v>
      </c>
      <c r="G2912" s="15">
        <f t="shared" ca="1" si="778"/>
        <v>75</v>
      </c>
      <c r="H2912" s="15">
        <v>1</v>
      </c>
      <c r="I2912" s="15" t="str">
        <f t="shared" ca="1" si="779"/>
        <v>RadioCard_TETRA_Exp2</v>
      </c>
      <c r="J2912" s="15" t="str">
        <f t="shared" ca="1" si="767"/>
        <v>RadioCard_TETRA_Exp2!A75</v>
      </c>
      <c r="K2912" s="15" t="str">
        <f t="shared" ca="1" si="768"/>
        <v>RadioCard_TETRA_Exp2!B75</v>
      </c>
    </row>
    <row r="2913" spans="1:16" x14ac:dyDescent="0.25">
      <c r="A2913" s="3" t="str">
        <f t="shared" ca="1" si="769"/>
        <v xml:space="preserve">pins_state = 0x3132 </v>
      </c>
      <c r="G2913" s="15">
        <f t="shared" ca="1" si="778"/>
        <v>76</v>
      </c>
      <c r="H2913" s="15">
        <v>1</v>
      </c>
      <c r="I2913" s="15" t="str">
        <f t="shared" ca="1" si="779"/>
        <v>RadioCard_TETRA_Exp2</v>
      </c>
      <c r="J2913" s="15" t="str">
        <f t="shared" ca="1" si="767"/>
        <v>RadioCard_TETRA_Exp2!A76</v>
      </c>
      <c r="K2913" s="15" t="str">
        <f t="shared" ca="1" si="768"/>
        <v>RadioCard_TETRA_Exp2!B76</v>
      </c>
    </row>
    <row r="2914" spans="1:16" x14ac:dyDescent="0.25">
      <c r="A2914" s="3" t="str">
        <f t="shared" ca="1" si="769"/>
        <v xml:space="preserve">pins_pull_up = 0x4808 </v>
      </c>
      <c r="G2914" s="15">
        <f t="shared" ca="1" si="778"/>
        <v>77</v>
      </c>
      <c r="H2914" s="15">
        <v>1</v>
      </c>
      <c r="I2914" s="15" t="str">
        <f t="shared" ca="1" si="779"/>
        <v>RadioCard_TETRA_Exp2</v>
      </c>
      <c r="J2914" s="15" t="str">
        <f t="shared" ca="1" si="767"/>
        <v>RadioCard_TETRA_Exp2!A77</v>
      </c>
      <c r="K2914" s="15" t="str">
        <f t="shared" ca="1" si="768"/>
        <v>RadioCard_TETRA_Exp2!B77</v>
      </c>
    </row>
    <row r="2915" spans="1:16" x14ac:dyDescent="0.25">
      <c r="A2915" s="3" t="str">
        <f t="shared" ca="1" si="769"/>
        <v xml:space="preserve">#pins_int = 0x0000 </v>
      </c>
      <c r="G2915" s="15">
        <f t="shared" ca="1" si="778"/>
        <v>78</v>
      </c>
      <c r="H2915" s="15">
        <v>1</v>
      </c>
      <c r="I2915" s="15" t="str">
        <f t="shared" ca="1" si="779"/>
        <v>RadioCard_TETRA_Exp2</v>
      </c>
      <c r="J2915" s="15" t="str">
        <f t="shared" ca="1" si="767"/>
        <v>RadioCard_TETRA_Exp2!A78</v>
      </c>
      <c r="K2915" s="15" t="str">
        <f t="shared" ca="1" si="768"/>
        <v>RadioCard_TETRA_Exp2!B78</v>
      </c>
    </row>
    <row r="2916" spans="1:16" x14ac:dyDescent="0.25">
      <c r="A2916" s="3" t="str">
        <f t="shared" ca="1" si="769"/>
        <v xml:space="preserve">#pins_def_val = 0x0000 </v>
      </c>
      <c r="G2916" s="15">
        <f t="shared" ca="1" si="778"/>
        <v>79</v>
      </c>
      <c r="H2916" s="15">
        <v>1</v>
      </c>
      <c r="I2916" s="15" t="str">
        <f t="shared" ca="1" si="779"/>
        <v>RadioCard_TETRA_Exp2</v>
      </c>
      <c r="J2916" s="15" t="str">
        <f t="shared" ref="J2916:J2979" ca="1" si="786">ADDRESS(G2916,H2916,4,1,I2916)</f>
        <v>RadioCard_TETRA_Exp2!A79</v>
      </c>
      <c r="K2916" s="15" t="str">
        <f t="shared" ref="K2916:K2979" ca="1" si="787">ADDRESS(G2916,H2916+1,4,1,I2916)</f>
        <v>RadioCard_TETRA_Exp2!B79</v>
      </c>
    </row>
    <row r="2917" spans="1:16" x14ac:dyDescent="0.25">
      <c r="A2917" s="3" t="str">
        <f t="shared" ca="1" si="769"/>
        <v/>
      </c>
      <c r="G2917" s="15">
        <f t="shared" ca="1" si="778"/>
        <v>80</v>
      </c>
      <c r="H2917" s="15">
        <v>1</v>
      </c>
      <c r="I2917" s="15" t="str">
        <f t="shared" ca="1" si="779"/>
        <v>RadioCard_TETRA_Exp2</v>
      </c>
      <c r="J2917" s="15" t="str">
        <f t="shared" ca="1" si="786"/>
        <v>RadioCard_TETRA_Exp2!A80</v>
      </c>
      <c r="K2917" s="15" t="str">
        <f t="shared" ca="1" si="787"/>
        <v>RadioCard_TETRA_Exp2!B80</v>
      </c>
    </row>
    <row r="2918" spans="1:16" x14ac:dyDescent="0.25">
      <c r="A2918" s="3" t="str">
        <f t="shared" ca="1" si="769"/>
        <v xml:space="preserve">#pins_int = 10 </v>
      </c>
      <c r="G2918" s="15">
        <f t="shared" ca="1" si="778"/>
        <v>81</v>
      </c>
      <c r="H2918" s="15">
        <v>1</v>
      </c>
      <c r="I2918" s="15" t="str">
        <f t="shared" ca="1" si="779"/>
        <v>RadioCard_TETRA_Exp2</v>
      </c>
      <c r="J2918" s="15" t="str">
        <f t="shared" ca="1" si="786"/>
        <v>RadioCard_TETRA_Exp2!A81</v>
      </c>
      <c r="K2918" s="15" t="str">
        <f t="shared" ca="1" si="787"/>
        <v>RadioCard_TETRA_Exp2!B81</v>
      </c>
    </row>
    <row r="2919" spans="1:16" x14ac:dyDescent="0.25">
      <c r="A2919" s="3" t="str">
        <f t="shared" ca="1" si="769"/>
        <v/>
      </c>
      <c r="C2919" s="16"/>
      <c r="G2919" s="15">
        <f t="shared" ca="1" si="778"/>
        <v>82</v>
      </c>
      <c r="H2919" s="15">
        <v>1</v>
      </c>
      <c r="I2919" s="15" t="str">
        <f t="shared" ca="1" si="779"/>
        <v>RadioCard_TETRA_Exp2</v>
      </c>
      <c r="J2919" s="15" t="str">
        <f t="shared" ca="1" si="786"/>
        <v>RadioCard_TETRA_Exp2!A82</v>
      </c>
      <c r="K2919" s="15" t="str">
        <f t="shared" ca="1" si="787"/>
        <v>RadioCard_TETRA_Exp2!B82</v>
      </c>
    </row>
    <row r="2920" spans="1:16" x14ac:dyDescent="0.25">
      <c r="A2920" s="3" t="str">
        <f t="shared" ca="1" si="769"/>
        <v/>
      </c>
      <c r="G2920" s="15">
        <f t="shared" ca="1" si="778"/>
        <v>83</v>
      </c>
      <c r="H2920" s="15">
        <v>1</v>
      </c>
      <c r="I2920" s="15" t="str">
        <f t="shared" ca="1" si="779"/>
        <v>RadioCard_TETRA_Exp2</v>
      </c>
      <c r="J2920" s="15" t="str">
        <f t="shared" ca="1" si="786"/>
        <v>RadioCard_TETRA_Exp2!A83</v>
      </c>
      <c r="K2920" s="15" t="str">
        <f t="shared" ca="1" si="787"/>
        <v>RadioCard_TETRA_Exp2!B83</v>
      </c>
    </row>
    <row r="2921" spans="1:16" x14ac:dyDescent="0.25">
      <c r="A2921" s="3" t="str">
        <f t="shared" ca="1" si="769"/>
        <v/>
      </c>
      <c r="G2921" s="15">
        <f t="shared" ca="1" si="778"/>
        <v>84</v>
      </c>
      <c r="H2921" s="15">
        <v>1</v>
      </c>
      <c r="I2921" s="15" t="str">
        <f t="shared" ca="1" si="779"/>
        <v>RadioCard_TETRA_Exp2</v>
      </c>
      <c r="J2921" s="15" t="str">
        <f t="shared" ca="1" si="786"/>
        <v>RadioCard_TETRA_Exp2!A84</v>
      </c>
      <c r="K2921" s="15" t="str">
        <f t="shared" ca="1" si="787"/>
        <v>RadioCard_TETRA_Exp2!B84</v>
      </c>
    </row>
    <row r="2922" spans="1:16" x14ac:dyDescent="0.25">
      <c r="A2922" s="3" t="str">
        <f t="shared" ca="1" si="769"/>
        <v/>
      </c>
      <c r="G2922" s="15">
        <f t="shared" ca="1" si="778"/>
        <v>85</v>
      </c>
      <c r="H2922" s="15">
        <v>1</v>
      </c>
      <c r="I2922" s="15" t="str">
        <f t="shared" ca="1" si="779"/>
        <v>RadioCard_TETRA_Exp2</v>
      </c>
      <c r="J2922" s="15" t="str">
        <f t="shared" ca="1" si="786"/>
        <v>RadioCard_TETRA_Exp2!A85</v>
      </c>
      <c r="K2922" s="15" t="str">
        <f t="shared" ca="1" si="787"/>
        <v>RadioCard_TETRA_Exp2!B85</v>
      </c>
    </row>
    <row r="2923" spans="1:16" x14ac:dyDescent="0.25">
      <c r="A2923" s="3" t="str">
        <f t="shared" ca="1" si="769"/>
        <v/>
      </c>
      <c r="G2923" s="15">
        <f t="shared" ca="1" si="778"/>
        <v>86</v>
      </c>
      <c r="H2923" s="15">
        <v>1</v>
      </c>
      <c r="I2923" s="15" t="str">
        <f t="shared" ca="1" si="779"/>
        <v>RadioCard_TETRA_Exp2</v>
      </c>
      <c r="J2923" s="15" t="str">
        <f t="shared" ca="1" si="786"/>
        <v>RadioCard_TETRA_Exp2!A86</v>
      </c>
      <c r="K2923" s="15" t="str">
        <f t="shared" ca="1" si="787"/>
        <v>RadioCard_TETRA_Exp2!B86</v>
      </c>
    </row>
    <row r="2924" spans="1:16" x14ac:dyDescent="0.25">
      <c r="A2924" s="3" t="str">
        <f t="shared" ref="A2924:A2987" ca="1" si="788">IFERROR(IF(INDIRECT(J2924)&lt;&gt;"",CONCATENATE(INDIRECT(J2924)," = ",INDIRECT(K2924)," "),""),"")</f>
        <v/>
      </c>
      <c r="G2924" s="15">
        <f t="shared" ca="1" si="778"/>
        <v>87</v>
      </c>
      <c r="H2924" s="15">
        <v>1</v>
      </c>
      <c r="I2924" s="15" t="str">
        <f t="shared" ca="1" si="779"/>
        <v>RadioCard_TETRA_Exp2</v>
      </c>
      <c r="J2924" s="15" t="str">
        <f t="shared" ca="1" si="786"/>
        <v>RadioCard_TETRA_Exp2!A87</v>
      </c>
      <c r="K2924" s="15" t="str">
        <f t="shared" ca="1" si="787"/>
        <v>RadioCard_TETRA_Exp2!B87</v>
      </c>
    </row>
    <row r="2925" spans="1:16" x14ac:dyDescent="0.25">
      <c r="A2925" s="3" t="str">
        <f t="shared" ca="1" si="788"/>
        <v/>
      </c>
      <c r="G2925" s="15">
        <f t="shared" ca="1" si="778"/>
        <v>88</v>
      </c>
      <c r="H2925" s="15">
        <v>1</v>
      </c>
      <c r="I2925" s="15" t="str">
        <f t="shared" ca="1" si="779"/>
        <v>RadioCard_TETRA_Exp2</v>
      </c>
      <c r="J2925" s="15" t="str">
        <f t="shared" ca="1" si="786"/>
        <v>RadioCard_TETRA_Exp2!A88</v>
      </c>
      <c r="K2925" s="15" t="str">
        <f t="shared" ca="1" si="787"/>
        <v>RadioCard_TETRA_Exp2!B88</v>
      </c>
    </row>
    <row r="2926" spans="1:16" x14ac:dyDescent="0.25">
      <c r="A2926" s="3" t="str">
        <f t="shared" ca="1" si="788"/>
        <v/>
      </c>
      <c r="G2926" s="15">
        <f t="shared" ca="1" si="778"/>
        <v>89</v>
      </c>
      <c r="H2926" s="15">
        <v>1</v>
      </c>
      <c r="I2926" s="15" t="str">
        <f t="shared" ca="1" si="779"/>
        <v>RadioCard_TETRA_Exp2</v>
      </c>
      <c r="J2926" s="15" t="str">
        <f t="shared" ca="1" si="786"/>
        <v>RadioCard_TETRA_Exp2!A89</v>
      </c>
      <c r="K2926" s="15" t="str">
        <f t="shared" ca="1" si="787"/>
        <v>RadioCard_TETRA_Exp2!B89</v>
      </c>
    </row>
    <row r="2927" spans="1:16" x14ac:dyDescent="0.25">
      <c r="A2927" s="3" t="str">
        <f t="shared" ca="1" si="788"/>
        <v/>
      </c>
      <c r="G2927" s="15">
        <f t="shared" ca="1" si="778"/>
        <v>90</v>
      </c>
      <c r="H2927" s="15">
        <v>1</v>
      </c>
      <c r="I2927" s="15" t="str">
        <f t="shared" ca="1" si="779"/>
        <v>RadioCard_TETRA_Exp2</v>
      </c>
      <c r="J2927" s="15" t="str">
        <f t="shared" ca="1" si="786"/>
        <v>RadioCard_TETRA_Exp2!A90</v>
      </c>
      <c r="K2927" s="15" t="str">
        <f t="shared" ca="1" si="787"/>
        <v>RadioCard_TETRA_Exp2!B90</v>
      </c>
    </row>
    <row r="2928" spans="1:16" x14ac:dyDescent="0.25">
      <c r="A2928" s="3" t="str">
        <f t="shared" ca="1" si="788"/>
        <v xml:space="preserve">#RadioCard_TETRA_Exp1:etap 2 =  </v>
      </c>
      <c r="G2928" s="15">
        <f t="shared" ref="G2928" ca="1" si="789">INDIRECT(M2928)</f>
        <v>71</v>
      </c>
      <c r="H2928" s="15">
        <v>1</v>
      </c>
      <c r="I2928" s="15" t="str">
        <f t="shared" ref="I2928" ca="1" si="790">INDIRECT(N2928)</f>
        <v>RadioCard_TETRA_Exp1</v>
      </c>
      <c r="J2928" s="15" t="str">
        <f t="shared" ca="1" si="786"/>
        <v>RadioCard_TETRA_Exp1!A71</v>
      </c>
      <c r="K2928" s="15" t="str">
        <f t="shared" ca="1" si="787"/>
        <v>RadioCard_TETRA_Exp1!B71</v>
      </c>
      <c r="M2928" s="15" t="str">
        <f t="shared" ref="M2928" si="791">ADDRESS(O2928,3,4,1,$R$1)</f>
        <v>konfig!C148</v>
      </c>
      <c r="N2928" s="15" t="str">
        <f t="shared" ref="N2928" si="792">ADDRESS(O2928,1,4,1,$R$1)</f>
        <v>konfig!A148</v>
      </c>
      <c r="O2928" s="15">
        <v>148</v>
      </c>
      <c r="P2928" s="15">
        <v>4</v>
      </c>
    </row>
    <row r="2929" spans="1:11" x14ac:dyDescent="0.25">
      <c r="A2929" s="3" t="str">
        <f t="shared" ca="1" si="788"/>
        <v xml:space="preserve">device = MCP23017 </v>
      </c>
      <c r="G2929" s="15">
        <f t="shared" ca="1" si="778"/>
        <v>72</v>
      </c>
      <c r="H2929" s="15">
        <v>1</v>
      </c>
      <c r="I2929" s="15" t="str">
        <f t="shared" ca="1" si="779"/>
        <v>RadioCard_TETRA_Exp1</v>
      </c>
      <c r="J2929" s="15" t="str">
        <f t="shared" ca="1" si="786"/>
        <v>RadioCard_TETRA_Exp1!A72</v>
      </c>
      <c r="K2929" s="15" t="str">
        <f t="shared" ca="1" si="787"/>
        <v>RadioCard_TETRA_Exp1!B72</v>
      </c>
    </row>
    <row r="2930" spans="1:11" x14ac:dyDescent="0.25">
      <c r="A2930" s="3" t="str">
        <f t="shared" ca="1" si="788"/>
        <v xml:space="preserve">i2c_addr = 0x26 </v>
      </c>
      <c r="G2930" s="15">
        <f t="shared" ca="1" si="778"/>
        <v>73</v>
      </c>
      <c r="H2930" s="15">
        <v>1</v>
      </c>
      <c r="I2930" s="15" t="str">
        <f t="shared" ca="1" si="779"/>
        <v>RadioCard_TETRA_Exp1</v>
      </c>
      <c r="J2930" s="15" t="str">
        <f t="shared" ca="1" si="786"/>
        <v>RadioCard_TETRA_Exp1!A73</v>
      </c>
      <c r="K2930" s="15" t="str">
        <f t="shared" ca="1" si="787"/>
        <v>RadioCard_TETRA_Exp1!B73</v>
      </c>
    </row>
    <row r="2931" spans="1:11" x14ac:dyDescent="0.25">
      <c r="A2931" s="3" t="str">
        <f t="shared" ca="1" si="788"/>
        <v xml:space="preserve">i2c_num = /dev/i2c-1 </v>
      </c>
      <c r="C2931" s="16"/>
      <c r="G2931" s="15">
        <f t="shared" ca="1" si="778"/>
        <v>74</v>
      </c>
      <c r="H2931" s="15">
        <v>1</v>
      </c>
      <c r="I2931" s="15" t="str">
        <f t="shared" ca="1" si="779"/>
        <v>RadioCard_TETRA_Exp1</v>
      </c>
      <c r="J2931" s="15" t="str">
        <f t="shared" ca="1" si="786"/>
        <v>RadioCard_TETRA_Exp1!A74</v>
      </c>
      <c r="K2931" s="15" t="str">
        <f t="shared" ca="1" si="787"/>
        <v>RadioCard_TETRA_Exp1!B74</v>
      </c>
    </row>
    <row r="2932" spans="1:11" x14ac:dyDescent="0.25">
      <c r="A2932" s="3" t="str">
        <f t="shared" ca="1" si="788"/>
        <v xml:space="preserve">pins_mode = 0x00FF </v>
      </c>
      <c r="G2932" s="15">
        <f t="shared" ca="1" si="778"/>
        <v>75</v>
      </c>
      <c r="H2932" s="15">
        <v>1</v>
      </c>
      <c r="I2932" s="15" t="str">
        <f t="shared" ca="1" si="779"/>
        <v>RadioCard_TETRA_Exp1</v>
      </c>
      <c r="J2932" s="15" t="str">
        <f t="shared" ca="1" si="786"/>
        <v>RadioCard_TETRA_Exp1!A75</v>
      </c>
      <c r="K2932" s="15" t="str">
        <f t="shared" ca="1" si="787"/>
        <v>RadioCard_TETRA_Exp1!B75</v>
      </c>
    </row>
    <row r="2933" spans="1:11" x14ac:dyDescent="0.25">
      <c r="A2933" s="3" t="str">
        <f t="shared" ca="1" si="788"/>
        <v xml:space="preserve">pins_state = 0x0200 </v>
      </c>
      <c r="G2933" s="15">
        <f t="shared" ca="1" si="778"/>
        <v>76</v>
      </c>
      <c r="H2933" s="15">
        <v>1</v>
      </c>
      <c r="I2933" s="15" t="str">
        <f t="shared" ca="1" si="779"/>
        <v>RadioCard_TETRA_Exp1</v>
      </c>
      <c r="J2933" s="15" t="str">
        <f t="shared" ca="1" si="786"/>
        <v>RadioCard_TETRA_Exp1!A76</v>
      </c>
      <c r="K2933" s="15" t="str">
        <f t="shared" ca="1" si="787"/>
        <v>RadioCard_TETRA_Exp1!B76</v>
      </c>
    </row>
    <row r="2934" spans="1:11" x14ac:dyDescent="0.25">
      <c r="A2934" s="3" t="str">
        <f t="shared" ca="1" si="788"/>
        <v xml:space="preserve">pins_pull_up = 0x0000 </v>
      </c>
      <c r="G2934" s="15">
        <f t="shared" ca="1" si="778"/>
        <v>77</v>
      </c>
      <c r="H2934" s="15">
        <v>1</v>
      </c>
      <c r="I2934" s="15" t="str">
        <f t="shared" ca="1" si="779"/>
        <v>RadioCard_TETRA_Exp1</v>
      </c>
      <c r="J2934" s="15" t="str">
        <f t="shared" ca="1" si="786"/>
        <v>RadioCard_TETRA_Exp1!A77</v>
      </c>
      <c r="K2934" s="15" t="str">
        <f t="shared" ca="1" si="787"/>
        <v>RadioCard_TETRA_Exp1!B77</v>
      </c>
    </row>
    <row r="2935" spans="1:11" x14ac:dyDescent="0.25">
      <c r="A2935" s="3" t="str">
        <f t="shared" ca="1" si="788"/>
        <v xml:space="preserve">#pins_int = 0x0000 </v>
      </c>
      <c r="G2935" s="15">
        <f t="shared" ca="1" si="778"/>
        <v>78</v>
      </c>
      <c r="H2935" s="15">
        <v>1</v>
      </c>
      <c r="I2935" s="15" t="str">
        <f t="shared" ca="1" si="779"/>
        <v>RadioCard_TETRA_Exp1</v>
      </c>
      <c r="J2935" s="15" t="str">
        <f t="shared" ca="1" si="786"/>
        <v>RadioCard_TETRA_Exp1!A78</v>
      </c>
      <c r="K2935" s="15" t="str">
        <f t="shared" ca="1" si="787"/>
        <v>RadioCard_TETRA_Exp1!B78</v>
      </c>
    </row>
    <row r="2936" spans="1:11" x14ac:dyDescent="0.25">
      <c r="A2936" s="3" t="str">
        <f t="shared" ca="1" si="788"/>
        <v xml:space="preserve">#pins_def_val = 0x0000 </v>
      </c>
      <c r="G2936" s="15">
        <f t="shared" ca="1" si="778"/>
        <v>79</v>
      </c>
      <c r="H2936" s="15">
        <v>1</v>
      </c>
      <c r="I2936" s="15" t="str">
        <f t="shared" ca="1" si="779"/>
        <v>RadioCard_TETRA_Exp1</v>
      </c>
      <c r="J2936" s="15" t="str">
        <f t="shared" ca="1" si="786"/>
        <v>RadioCard_TETRA_Exp1!A79</v>
      </c>
      <c r="K2936" s="15" t="str">
        <f t="shared" ca="1" si="787"/>
        <v>RadioCard_TETRA_Exp1!B79</v>
      </c>
    </row>
    <row r="2937" spans="1:11" x14ac:dyDescent="0.25">
      <c r="A2937" s="3" t="str">
        <f t="shared" ca="1" si="788"/>
        <v/>
      </c>
      <c r="G2937" s="15">
        <f t="shared" ca="1" si="778"/>
        <v>80</v>
      </c>
      <c r="H2937" s="15">
        <v>1</v>
      </c>
      <c r="I2937" s="15" t="str">
        <f t="shared" ca="1" si="779"/>
        <v>RadioCard_TETRA_Exp1</v>
      </c>
      <c r="J2937" s="15" t="str">
        <f t="shared" ca="1" si="786"/>
        <v>RadioCard_TETRA_Exp1!A80</v>
      </c>
      <c r="K2937" s="15" t="str">
        <f t="shared" ca="1" si="787"/>
        <v>RadioCard_TETRA_Exp1!B80</v>
      </c>
    </row>
    <row r="2938" spans="1:11" x14ac:dyDescent="0.25">
      <c r="A2938" s="3" t="str">
        <f t="shared" ca="1" si="788"/>
        <v xml:space="preserve">#pins_int = 10 </v>
      </c>
      <c r="G2938" s="15">
        <f t="shared" ca="1" si="778"/>
        <v>81</v>
      </c>
      <c r="H2938" s="15">
        <v>1</v>
      </c>
      <c r="I2938" s="15" t="str">
        <f t="shared" ca="1" si="779"/>
        <v>RadioCard_TETRA_Exp1</v>
      </c>
      <c r="J2938" s="15" t="str">
        <f t="shared" ca="1" si="786"/>
        <v>RadioCard_TETRA_Exp1!A81</v>
      </c>
      <c r="K2938" s="15" t="str">
        <f t="shared" ca="1" si="787"/>
        <v>RadioCard_TETRA_Exp1!B81</v>
      </c>
    </row>
    <row r="2939" spans="1:11" x14ac:dyDescent="0.25">
      <c r="A2939" s="3" t="str">
        <f t="shared" ca="1" si="788"/>
        <v/>
      </c>
      <c r="C2939" s="16"/>
      <c r="G2939" s="15">
        <f t="shared" ca="1" si="778"/>
        <v>82</v>
      </c>
      <c r="H2939" s="15">
        <v>1</v>
      </c>
      <c r="I2939" s="15" t="str">
        <f t="shared" ca="1" si="779"/>
        <v>RadioCard_TETRA_Exp1</v>
      </c>
      <c r="J2939" s="15" t="str">
        <f t="shared" ca="1" si="786"/>
        <v>RadioCard_TETRA_Exp1!A82</v>
      </c>
      <c r="K2939" s="15" t="str">
        <f t="shared" ca="1" si="787"/>
        <v>RadioCard_TETRA_Exp1!B82</v>
      </c>
    </row>
    <row r="2940" spans="1:11" x14ac:dyDescent="0.25">
      <c r="A2940" s="3" t="str">
        <f t="shared" ca="1" si="788"/>
        <v/>
      </c>
      <c r="G2940" s="15">
        <f t="shared" ca="1" si="778"/>
        <v>83</v>
      </c>
      <c r="H2940" s="15">
        <v>1</v>
      </c>
      <c r="I2940" s="15" t="str">
        <f t="shared" ca="1" si="779"/>
        <v>RadioCard_TETRA_Exp1</v>
      </c>
      <c r="J2940" s="15" t="str">
        <f t="shared" ca="1" si="786"/>
        <v>RadioCard_TETRA_Exp1!A83</v>
      </c>
      <c r="K2940" s="15" t="str">
        <f t="shared" ca="1" si="787"/>
        <v>RadioCard_TETRA_Exp1!B83</v>
      </c>
    </row>
    <row r="2941" spans="1:11" x14ac:dyDescent="0.25">
      <c r="A2941" s="3" t="str">
        <f t="shared" ca="1" si="788"/>
        <v/>
      </c>
      <c r="G2941" s="15">
        <f t="shared" ca="1" si="778"/>
        <v>84</v>
      </c>
      <c r="H2941" s="15">
        <v>1</v>
      </c>
      <c r="I2941" s="15" t="str">
        <f t="shared" ca="1" si="779"/>
        <v>RadioCard_TETRA_Exp1</v>
      </c>
      <c r="J2941" s="15" t="str">
        <f t="shared" ca="1" si="786"/>
        <v>RadioCard_TETRA_Exp1!A84</v>
      </c>
      <c r="K2941" s="15" t="str">
        <f t="shared" ca="1" si="787"/>
        <v>RadioCard_TETRA_Exp1!B84</v>
      </c>
    </row>
    <row r="2942" spans="1:11" x14ac:dyDescent="0.25">
      <c r="A2942" s="3" t="str">
        <f t="shared" ca="1" si="788"/>
        <v/>
      </c>
      <c r="G2942" s="15">
        <f t="shared" ca="1" si="778"/>
        <v>85</v>
      </c>
      <c r="H2942" s="15">
        <v>1</v>
      </c>
      <c r="I2942" s="15" t="str">
        <f t="shared" ca="1" si="779"/>
        <v>RadioCard_TETRA_Exp1</v>
      </c>
      <c r="J2942" s="15" t="str">
        <f t="shared" ca="1" si="786"/>
        <v>RadioCard_TETRA_Exp1!A85</v>
      </c>
      <c r="K2942" s="15" t="str">
        <f t="shared" ca="1" si="787"/>
        <v>RadioCard_TETRA_Exp1!B85</v>
      </c>
    </row>
    <row r="2943" spans="1:11" x14ac:dyDescent="0.25">
      <c r="A2943" s="3" t="str">
        <f t="shared" ca="1" si="788"/>
        <v/>
      </c>
      <c r="G2943" s="15">
        <f t="shared" ca="1" si="778"/>
        <v>86</v>
      </c>
      <c r="H2943" s="15">
        <v>1</v>
      </c>
      <c r="I2943" s="15" t="str">
        <f t="shared" ca="1" si="779"/>
        <v>RadioCard_TETRA_Exp1</v>
      </c>
      <c r="J2943" s="15" t="str">
        <f t="shared" ca="1" si="786"/>
        <v>RadioCard_TETRA_Exp1!A86</v>
      </c>
      <c r="K2943" s="15" t="str">
        <f t="shared" ca="1" si="787"/>
        <v>RadioCard_TETRA_Exp1!B86</v>
      </c>
    </row>
    <row r="2944" spans="1:11" x14ac:dyDescent="0.25">
      <c r="A2944" s="3" t="str">
        <f t="shared" ca="1" si="788"/>
        <v/>
      </c>
      <c r="G2944" s="15">
        <f t="shared" ca="1" si="778"/>
        <v>87</v>
      </c>
      <c r="H2944" s="15">
        <v>1</v>
      </c>
      <c r="I2944" s="15" t="str">
        <f t="shared" ca="1" si="779"/>
        <v>RadioCard_TETRA_Exp1</v>
      </c>
      <c r="J2944" s="15" t="str">
        <f t="shared" ca="1" si="786"/>
        <v>RadioCard_TETRA_Exp1!A87</v>
      </c>
      <c r="K2944" s="15" t="str">
        <f t="shared" ca="1" si="787"/>
        <v>RadioCard_TETRA_Exp1!B87</v>
      </c>
    </row>
    <row r="2945" spans="1:16" x14ac:dyDescent="0.25">
      <c r="A2945" s="3" t="str">
        <f t="shared" ca="1" si="788"/>
        <v/>
      </c>
      <c r="G2945" s="15">
        <f t="shared" ca="1" si="778"/>
        <v>88</v>
      </c>
      <c r="H2945" s="15">
        <v>1</v>
      </c>
      <c r="I2945" s="15" t="str">
        <f t="shared" ca="1" si="779"/>
        <v>RadioCard_TETRA_Exp1</v>
      </c>
      <c r="J2945" s="15" t="str">
        <f t="shared" ca="1" si="786"/>
        <v>RadioCard_TETRA_Exp1!A88</v>
      </c>
      <c r="K2945" s="15" t="str">
        <f t="shared" ca="1" si="787"/>
        <v>RadioCard_TETRA_Exp1!B88</v>
      </c>
    </row>
    <row r="2946" spans="1:16" x14ac:dyDescent="0.25">
      <c r="A2946" s="3" t="str">
        <f t="shared" ca="1" si="788"/>
        <v/>
      </c>
      <c r="G2946" s="15">
        <f t="shared" ca="1" si="778"/>
        <v>89</v>
      </c>
      <c r="H2946" s="15">
        <v>1</v>
      </c>
      <c r="I2946" s="15" t="str">
        <f t="shared" ca="1" si="779"/>
        <v>RadioCard_TETRA_Exp1</v>
      </c>
      <c r="J2946" s="15" t="str">
        <f t="shared" ca="1" si="786"/>
        <v>RadioCard_TETRA_Exp1!A89</v>
      </c>
      <c r="K2946" s="15" t="str">
        <f t="shared" ca="1" si="787"/>
        <v>RadioCard_TETRA_Exp1!B89</v>
      </c>
    </row>
    <row r="2947" spans="1:16" x14ac:dyDescent="0.25">
      <c r="A2947" s="3" t="str">
        <f t="shared" ca="1" si="788"/>
        <v/>
      </c>
      <c r="G2947" s="15">
        <f t="shared" ca="1" si="778"/>
        <v>90</v>
      </c>
      <c r="H2947" s="15">
        <v>1</v>
      </c>
      <c r="I2947" s="15" t="str">
        <f t="shared" ca="1" si="779"/>
        <v>RadioCard_TETRA_Exp1</v>
      </c>
      <c r="J2947" s="15" t="str">
        <f t="shared" ca="1" si="786"/>
        <v>RadioCard_TETRA_Exp1!A90</v>
      </c>
      <c r="K2947" s="15" t="str">
        <f t="shared" ca="1" si="787"/>
        <v>RadioCard_TETRA_Exp1!B90</v>
      </c>
    </row>
    <row r="2948" spans="1:16" x14ac:dyDescent="0.25">
      <c r="A2948" s="3" t="str">
        <f t="shared" ca="1" si="788"/>
        <v xml:space="preserve">#RadioCard_TETRA_Exp1:etap 4- LMK =  </v>
      </c>
      <c r="G2948" s="15">
        <f t="shared" ref="G2948" ca="1" si="793">INDIRECT(M2948)</f>
        <v>111</v>
      </c>
      <c r="H2948" s="15">
        <v>1</v>
      </c>
      <c r="I2948" s="15" t="str">
        <f t="shared" ref="I2948" ca="1" si="794">INDIRECT(N2948)</f>
        <v>RadioCard_TETRA_Exp2</v>
      </c>
      <c r="J2948" s="15" t="str">
        <f t="shared" ca="1" si="786"/>
        <v>RadioCard_TETRA_Exp2!A111</v>
      </c>
      <c r="K2948" s="15" t="str">
        <f t="shared" ca="1" si="787"/>
        <v>RadioCard_TETRA_Exp2!B111</v>
      </c>
      <c r="M2948" s="15" t="str">
        <f t="shared" ref="M2948" si="795">ADDRESS(O2948,3,4,1,$R$1)</f>
        <v>konfig!C149</v>
      </c>
      <c r="N2948" s="15" t="str">
        <f t="shared" ref="N2948" si="796">ADDRESS(O2948,1,4,1,$R$1)</f>
        <v>konfig!A149</v>
      </c>
      <c r="O2948" s="15">
        <v>149</v>
      </c>
      <c r="P2948" s="15">
        <v>4</v>
      </c>
    </row>
    <row r="2949" spans="1:16" x14ac:dyDescent="0.25">
      <c r="A2949" s="3" t="str">
        <f t="shared" ca="1" si="788"/>
        <v xml:space="preserve">device = MCP23017 </v>
      </c>
      <c r="G2949" s="15">
        <f t="shared" ca="1" si="784"/>
        <v>112</v>
      </c>
      <c r="H2949" s="15">
        <v>1</v>
      </c>
      <c r="I2949" s="15" t="str">
        <f t="shared" ca="1" si="785"/>
        <v>RadioCard_TETRA_Exp2</v>
      </c>
      <c r="J2949" s="15" t="str">
        <f t="shared" ca="1" si="786"/>
        <v>RadioCard_TETRA_Exp2!A112</v>
      </c>
      <c r="K2949" s="15" t="str">
        <f t="shared" ca="1" si="787"/>
        <v>RadioCard_TETRA_Exp2!B112</v>
      </c>
    </row>
    <row r="2950" spans="1:16" x14ac:dyDescent="0.25">
      <c r="A2950" s="3" t="str">
        <f t="shared" ca="1" si="788"/>
        <v xml:space="preserve">i2c_addr = 0x27 </v>
      </c>
      <c r="G2950" s="15">
        <f t="shared" ca="1" si="778"/>
        <v>113</v>
      </c>
      <c r="H2950" s="15">
        <v>1</v>
      </c>
      <c r="I2950" s="15" t="str">
        <f t="shared" ca="1" si="779"/>
        <v>RadioCard_TETRA_Exp2</v>
      </c>
      <c r="J2950" s="15" t="str">
        <f t="shared" ca="1" si="786"/>
        <v>RadioCard_TETRA_Exp2!A113</v>
      </c>
      <c r="K2950" s="15" t="str">
        <f t="shared" ca="1" si="787"/>
        <v>RadioCard_TETRA_Exp2!B113</v>
      </c>
    </row>
    <row r="2951" spans="1:16" x14ac:dyDescent="0.25">
      <c r="A2951" s="3" t="str">
        <f t="shared" ca="1" si="788"/>
        <v xml:space="preserve">i2c_num = /dev/i2c-1 </v>
      </c>
      <c r="C2951" s="16"/>
      <c r="G2951" s="15">
        <f t="shared" ca="1" si="778"/>
        <v>114</v>
      </c>
      <c r="H2951" s="15">
        <v>1</v>
      </c>
      <c r="I2951" s="15" t="str">
        <f t="shared" ca="1" si="779"/>
        <v>RadioCard_TETRA_Exp2</v>
      </c>
      <c r="J2951" s="15" t="str">
        <f t="shared" ca="1" si="786"/>
        <v>RadioCard_TETRA_Exp2!A114</v>
      </c>
      <c r="K2951" s="15" t="str">
        <f t="shared" ca="1" si="787"/>
        <v>RadioCard_TETRA_Exp2!B114</v>
      </c>
    </row>
    <row r="2952" spans="1:16" x14ac:dyDescent="0.25">
      <c r="A2952" s="3" t="str">
        <f t="shared" ca="1" si="788"/>
        <v xml:space="preserve">pins_mode = 0xCE8C </v>
      </c>
      <c r="G2952" s="15">
        <f t="shared" ca="1" si="778"/>
        <v>115</v>
      </c>
      <c r="H2952" s="15">
        <v>1</v>
      </c>
      <c r="I2952" s="15" t="str">
        <f t="shared" ca="1" si="779"/>
        <v>RadioCard_TETRA_Exp2</v>
      </c>
      <c r="J2952" s="15" t="str">
        <f t="shared" ca="1" si="786"/>
        <v>RadioCard_TETRA_Exp2!A115</v>
      </c>
      <c r="K2952" s="15" t="str">
        <f t="shared" ca="1" si="787"/>
        <v>RadioCard_TETRA_Exp2!B115</v>
      </c>
    </row>
    <row r="2953" spans="1:16" x14ac:dyDescent="0.25">
      <c r="A2953" s="3" t="str">
        <f t="shared" ca="1" si="788"/>
        <v xml:space="preserve">pins_state = 0x3113 </v>
      </c>
      <c r="G2953" s="15">
        <f t="shared" ref="G2953:G3016" ca="1" si="797">G2952+1</f>
        <v>116</v>
      </c>
      <c r="H2953" s="15">
        <v>1</v>
      </c>
      <c r="I2953" s="15" t="str">
        <f t="shared" ref="I2953:I3016" ca="1" si="798">I2952</f>
        <v>RadioCard_TETRA_Exp2</v>
      </c>
      <c r="J2953" s="15" t="str">
        <f t="shared" ca="1" si="786"/>
        <v>RadioCard_TETRA_Exp2!A116</v>
      </c>
      <c r="K2953" s="15" t="str">
        <f t="shared" ca="1" si="787"/>
        <v>RadioCard_TETRA_Exp2!B116</v>
      </c>
    </row>
    <row r="2954" spans="1:16" x14ac:dyDescent="0.25">
      <c r="A2954" s="3" t="str">
        <f t="shared" ca="1" si="788"/>
        <v xml:space="preserve">pins_pull_up = 0x4808 </v>
      </c>
      <c r="G2954" s="15">
        <f t="shared" ca="1" si="797"/>
        <v>117</v>
      </c>
      <c r="H2954" s="15">
        <v>1</v>
      </c>
      <c r="I2954" s="15" t="str">
        <f t="shared" ca="1" si="798"/>
        <v>RadioCard_TETRA_Exp2</v>
      </c>
      <c r="J2954" s="15" t="str">
        <f t="shared" ca="1" si="786"/>
        <v>RadioCard_TETRA_Exp2!A117</v>
      </c>
      <c r="K2954" s="15" t="str">
        <f t="shared" ca="1" si="787"/>
        <v>RadioCard_TETRA_Exp2!B117</v>
      </c>
    </row>
    <row r="2955" spans="1:16" x14ac:dyDescent="0.25">
      <c r="A2955" s="3" t="str">
        <f t="shared" ca="1" si="788"/>
        <v xml:space="preserve">#pins_int = 0x0000 </v>
      </c>
      <c r="G2955" s="15">
        <f t="shared" ca="1" si="797"/>
        <v>118</v>
      </c>
      <c r="H2955" s="15">
        <v>1</v>
      </c>
      <c r="I2955" s="15" t="str">
        <f t="shared" ca="1" si="798"/>
        <v>RadioCard_TETRA_Exp2</v>
      </c>
      <c r="J2955" s="15" t="str">
        <f t="shared" ca="1" si="786"/>
        <v>RadioCard_TETRA_Exp2!A118</v>
      </c>
      <c r="K2955" s="15" t="str">
        <f t="shared" ca="1" si="787"/>
        <v>RadioCard_TETRA_Exp2!B118</v>
      </c>
    </row>
    <row r="2956" spans="1:16" x14ac:dyDescent="0.25">
      <c r="A2956" s="3" t="str">
        <f t="shared" ca="1" si="788"/>
        <v xml:space="preserve">#pins_def_val = 0x0000 </v>
      </c>
      <c r="G2956" s="15">
        <f t="shared" ca="1" si="797"/>
        <v>119</v>
      </c>
      <c r="H2956" s="15">
        <v>1</v>
      </c>
      <c r="I2956" s="15" t="str">
        <f t="shared" ca="1" si="798"/>
        <v>RadioCard_TETRA_Exp2</v>
      </c>
      <c r="J2956" s="15" t="str">
        <f t="shared" ca="1" si="786"/>
        <v>RadioCard_TETRA_Exp2!A119</v>
      </c>
      <c r="K2956" s="15" t="str">
        <f t="shared" ca="1" si="787"/>
        <v>RadioCard_TETRA_Exp2!B119</v>
      </c>
    </row>
    <row r="2957" spans="1:16" x14ac:dyDescent="0.25">
      <c r="A2957" s="3" t="str">
        <f t="shared" ca="1" si="788"/>
        <v/>
      </c>
      <c r="G2957" s="15">
        <f t="shared" ca="1" si="797"/>
        <v>120</v>
      </c>
      <c r="H2957" s="15">
        <v>1</v>
      </c>
      <c r="I2957" s="15" t="str">
        <f t="shared" ca="1" si="798"/>
        <v>RadioCard_TETRA_Exp2</v>
      </c>
      <c r="J2957" s="15" t="str">
        <f t="shared" ca="1" si="786"/>
        <v>RadioCard_TETRA_Exp2!A120</v>
      </c>
      <c r="K2957" s="15" t="str">
        <f t="shared" ca="1" si="787"/>
        <v>RadioCard_TETRA_Exp2!B120</v>
      </c>
    </row>
    <row r="2958" spans="1:16" x14ac:dyDescent="0.25">
      <c r="A2958" s="3" t="str">
        <f t="shared" ca="1" si="788"/>
        <v xml:space="preserve">#pins_int = 10 </v>
      </c>
      <c r="G2958" s="15">
        <f t="shared" ca="1" si="797"/>
        <v>121</v>
      </c>
      <c r="H2958" s="15">
        <v>1</v>
      </c>
      <c r="I2958" s="15" t="str">
        <f t="shared" ca="1" si="798"/>
        <v>RadioCard_TETRA_Exp2</v>
      </c>
      <c r="J2958" s="15" t="str">
        <f t="shared" ca="1" si="786"/>
        <v>RadioCard_TETRA_Exp2!A121</v>
      </c>
      <c r="K2958" s="15" t="str">
        <f t="shared" ca="1" si="787"/>
        <v>RadioCard_TETRA_Exp2!B121</v>
      </c>
    </row>
    <row r="2959" spans="1:16" x14ac:dyDescent="0.25">
      <c r="A2959" s="3" t="str">
        <f t="shared" ca="1" si="788"/>
        <v/>
      </c>
      <c r="C2959" s="16"/>
      <c r="G2959" s="15">
        <f t="shared" ca="1" si="797"/>
        <v>122</v>
      </c>
      <c r="H2959" s="15">
        <v>1</v>
      </c>
      <c r="I2959" s="15" t="str">
        <f t="shared" ca="1" si="798"/>
        <v>RadioCard_TETRA_Exp2</v>
      </c>
      <c r="J2959" s="15" t="str">
        <f t="shared" ca="1" si="786"/>
        <v>RadioCard_TETRA_Exp2!A122</v>
      </c>
      <c r="K2959" s="15" t="str">
        <f t="shared" ca="1" si="787"/>
        <v>RadioCard_TETRA_Exp2!B122</v>
      </c>
    </row>
    <row r="2960" spans="1:16" x14ac:dyDescent="0.25">
      <c r="A2960" s="3" t="str">
        <f t="shared" ca="1" si="788"/>
        <v/>
      </c>
      <c r="G2960" s="15">
        <f t="shared" ca="1" si="797"/>
        <v>123</v>
      </c>
      <c r="H2960" s="15">
        <v>1</v>
      </c>
      <c r="I2960" s="15" t="str">
        <f t="shared" ca="1" si="798"/>
        <v>RadioCard_TETRA_Exp2</v>
      </c>
      <c r="J2960" s="15" t="str">
        <f t="shared" ca="1" si="786"/>
        <v>RadioCard_TETRA_Exp2!A123</v>
      </c>
      <c r="K2960" s="15" t="str">
        <f t="shared" ca="1" si="787"/>
        <v>RadioCard_TETRA_Exp2!B123</v>
      </c>
    </row>
    <row r="2961" spans="1:16" x14ac:dyDescent="0.25">
      <c r="A2961" s="3" t="str">
        <f t="shared" ca="1" si="788"/>
        <v/>
      </c>
      <c r="G2961" s="15">
        <f t="shared" ca="1" si="797"/>
        <v>124</v>
      </c>
      <c r="H2961" s="15">
        <v>1</v>
      </c>
      <c r="I2961" s="15" t="str">
        <f t="shared" ca="1" si="798"/>
        <v>RadioCard_TETRA_Exp2</v>
      </c>
      <c r="J2961" s="15" t="str">
        <f t="shared" ca="1" si="786"/>
        <v>RadioCard_TETRA_Exp2!A124</v>
      </c>
      <c r="K2961" s="15" t="str">
        <f t="shared" ca="1" si="787"/>
        <v>RadioCard_TETRA_Exp2!B124</v>
      </c>
    </row>
    <row r="2962" spans="1:16" x14ac:dyDescent="0.25">
      <c r="A2962" s="3" t="str">
        <f t="shared" ca="1" si="788"/>
        <v/>
      </c>
      <c r="G2962" s="15">
        <f t="shared" ca="1" si="797"/>
        <v>125</v>
      </c>
      <c r="H2962" s="15">
        <v>1</v>
      </c>
      <c r="I2962" s="15" t="str">
        <f t="shared" ca="1" si="798"/>
        <v>RadioCard_TETRA_Exp2</v>
      </c>
      <c r="J2962" s="15" t="str">
        <f t="shared" ca="1" si="786"/>
        <v>RadioCard_TETRA_Exp2!A125</v>
      </c>
      <c r="K2962" s="15" t="str">
        <f t="shared" ca="1" si="787"/>
        <v>RadioCard_TETRA_Exp2!B125</v>
      </c>
    </row>
    <row r="2963" spans="1:16" x14ac:dyDescent="0.25">
      <c r="A2963" s="3" t="str">
        <f t="shared" ca="1" si="788"/>
        <v/>
      </c>
      <c r="G2963" s="15">
        <f t="shared" ca="1" si="797"/>
        <v>126</v>
      </c>
      <c r="H2963" s="15">
        <v>1</v>
      </c>
      <c r="I2963" s="15" t="str">
        <f t="shared" ca="1" si="798"/>
        <v>RadioCard_TETRA_Exp2</v>
      </c>
      <c r="J2963" s="15" t="str">
        <f t="shared" ca="1" si="786"/>
        <v>RadioCard_TETRA_Exp2!A126</v>
      </c>
      <c r="K2963" s="15" t="str">
        <f t="shared" ca="1" si="787"/>
        <v>RadioCard_TETRA_Exp2!B126</v>
      </c>
    </row>
    <row r="2964" spans="1:16" x14ac:dyDescent="0.25">
      <c r="A2964" s="3" t="str">
        <f t="shared" ca="1" si="788"/>
        <v/>
      </c>
      <c r="G2964" s="15">
        <f t="shared" ca="1" si="797"/>
        <v>127</v>
      </c>
      <c r="H2964" s="15">
        <v>1</v>
      </c>
      <c r="I2964" s="15" t="str">
        <f t="shared" ca="1" si="798"/>
        <v>RadioCard_TETRA_Exp2</v>
      </c>
      <c r="J2964" s="15" t="str">
        <f t="shared" ca="1" si="786"/>
        <v>RadioCard_TETRA_Exp2!A127</v>
      </c>
      <c r="K2964" s="15" t="str">
        <f t="shared" ca="1" si="787"/>
        <v>RadioCard_TETRA_Exp2!B127</v>
      </c>
    </row>
    <row r="2965" spans="1:16" x14ac:dyDescent="0.25">
      <c r="A2965" s="3" t="str">
        <f t="shared" ca="1" si="788"/>
        <v/>
      </c>
      <c r="G2965" s="15">
        <f t="shared" ca="1" si="797"/>
        <v>128</v>
      </c>
      <c r="H2965" s="15">
        <v>1</v>
      </c>
      <c r="I2965" s="15" t="str">
        <f t="shared" ca="1" si="798"/>
        <v>RadioCard_TETRA_Exp2</v>
      </c>
      <c r="J2965" s="15" t="str">
        <f t="shared" ca="1" si="786"/>
        <v>RadioCard_TETRA_Exp2!A128</v>
      </c>
      <c r="K2965" s="15" t="str">
        <f t="shared" ca="1" si="787"/>
        <v>RadioCard_TETRA_Exp2!B128</v>
      </c>
    </row>
    <row r="2966" spans="1:16" x14ac:dyDescent="0.25">
      <c r="A2966" s="3" t="str">
        <f t="shared" ca="1" si="788"/>
        <v/>
      </c>
      <c r="G2966" s="15">
        <f t="shared" ca="1" si="797"/>
        <v>129</v>
      </c>
      <c r="H2966" s="15">
        <v>1</v>
      </c>
      <c r="I2966" s="15" t="str">
        <f t="shared" ca="1" si="798"/>
        <v>RadioCard_TETRA_Exp2</v>
      </c>
      <c r="J2966" s="15" t="str">
        <f t="shared" ca="1" si="786"/>
        <v>RadioCard_TETRA_Exp2!A129</v>
      </c>
      <c r="K2966" s="15" t="str">
        <f t="shared" ca="1" si="787"/>
        <v>RadioCard_TETRA_Exp2!B129</v>
      </c>
    </row>
    <row r="2967" spans="1:16" x14ac:dyDescent="0.25">
      <c r="A2967" s="3" t="str">
        <f t="shared" ca="1" si="788"/>
        <v/>
      </c>
      <c r="G2967" s="15">
        <f t="shared" ca="1" si="797"/>
        <v>130</v>
      </c>
      <c r="H2967" s="15">
        <v>1</v>
      </c>
      <c r="I2967" s="15" t="str">
        <f t="shared" ca="1" si="798"/>
        <v>RadioCard_TETRA_Exp2</v>
      </c>
      <c r="J2967" s="15" t="str">
        <f t="shared" ca="1" si="786"/>
        <v>RadioCard_TETRA_Exp2!A130</v>
      </c>
      <c r="K2967" s="15" t="str">
        <f t="shared" ca="1" si="787"/>
        <v>RadioCard_TETRA_Exp2!B130</v>
      </c>
    </row>
    <row r="2968" spans="1:16" x14ac:dyDescent="0.25">
      <c r="A2968" s="3" t="str">
        <f t="shared" ca="1" si="788"/>
        <v xml:space="preserve">#LMK04610_TETRA =  configuration </v>
      </c>
      <c r="G2968" s="15">
        <f t="shared" ref="G2968" ca="1" si="799">INDIRECT(M2968)</f>
        <v>51</v>
      </c>
      <c r="H2968" s="15">
        <v>1</v>
      </c>
      <c r="I2968" s="15" t="str">
        <f t="shared" ref="I2968" ca="1" si="800">INDIRECT(N2968)</f>
        <v>RadioCard_TETRA_Devices</v>
      </c>
      <c r="J2968" s="15" t="str">
        <f t="shared" ca="1" si="786"/>
        <v>RadioCard_TETRA_Devices!A51</v>
      </c>
      <c r="K2968" s="15" t="str">
        <f t="shared" ca="1" si="787"/>
        <v>RadioCard_TETRA_Devices!B51</v>
      </c>
      <c r="M2968" s="15" t="str">
        <f t="shared" ref="M2968" si="801">ADDRESS(O2968,3,4,1,$R$1)</f>
        <v>konfig!C150</v>
      </c>
      <c r="N2968" s="15" t="str">
        <f t="shared" ref="N2968" si="802">ADDRESS(O2968,1,4,1,$R$1)</f>
        <v>konfig!A150</v>
      </c>
      <c r="O2968" s="15">
        <v>150</v>
      </c>
      <c r="P2968" s="15">
        <v>4</v>
      </c>
    </row>
    <row r="2969" spans="1:16" x14ac:dyDescent="0.25">
      <c r="A2969" s="3" t="str">
        <f t="shared" ca="1" si="788"/>
        <v xml:space="preserve">device = LMK04610 </v>
      </c>
      <c r="G2969" s="15">
        <f t="shared" ref="G2969:G3012" ca="1" si="803">G2968+1</f>
        <v>52</v>
      </c>
      <c r="H2969" s="15">
        <v>1</v>
      </c>
      <c r="I2969" s="15" t="str">
        <f t="shared" ref="I2969:I3012" ca="1" si="804">I2968</f>
        <v>RadioCard_TETRA_Devices</v>
      </c>
      <c r="J2969" s="15" t="str">
        <f t="shared" ca="1" si="786"/>
        <v>RadioCard_TETRA_Devices!A52</v>
      </c>
      <c r="K2969" s="15" t="str">
        <f t="shared" ca="1" si="787"/>
        <v>RadioCard_TETRA_Devices!B52</v>
      </c>
    </row>
    <row r="2970" spans="1:16" x14ac:dyDescent="0.25">
      <c r="A2970" s="3" t="str">
        <f t="shared" ca="1" si="788"/>
        <v xml:space="preserve">spi_num = /dev/spidev0.0 </v>
      </c>
      <c r="G2970" s="15">
        <f t="shared" ca="1" si="803"/>
        <v>53</v>
      </c>
      <c r="H2970" s="15">
        <v>1</v>
      </c>
      <c r="I2970" s="15" t="str">
        <f t="shared" ca="1" si="804"/>
        <v>RadioCard_TETRA_Devices</v>
      </c>
      <c r="J2970" s="15" t="str">
        <f t="shared" ca="1" si="786"/>
        <v>RadioCard_TETRA_Devices!A53</v>
      </c>
      <c r="K2970" s="15" t="str">
        <f t="shared" ca="1" si="787"/>
        <v>RadioCard_TETRA_Devices!B53</v>
      </c>
    </row>
    <row r="2971" spans="1:16" x14ac:dyDescent="0.25">
      <c r="A2971" s="3" t="str">
        <f t="shared" ca="1" si="788"/>
        <v xml:space="preserve">path_cfg = ./device_config_files/radio_config_files/radiocard_TETRA/LMK04610.txt </v>
      </c>
      <c r="C2971" s="16"/>
      <c r="G2971" s="15">
        <f t="shared" ca="1" si="803"/>
        <v>54</v>
      </c>
      <c r="H2971" s="15">
        <v>1</v>
      </c>
      <c r="I2971" s="15" t="str">
        <f t="shared" ca="1" si="804"/>
        <v>RadioCard_TETRA_Devices</v>
      </c>
      <c r="J2971" s="15" t="str">
        <f t="shared" ca="1" si="786"/>
        <v>RadioCard_TETRA_Devices!A54</v>
      </c>
      <c r="K2971" s="15" t="str">
        <f t="shared" ca="1" si="787"/>
        <v>RadioCard_TETRA_Devices!B54</v>
      </c>
    </row>
    <row r="2972" spans="1:16" x14ac:dyDescent="0.25">
      <c r="A2972" s="3" t="str">
        <f t="shared" ca="1" si="788"/>
        <v/>
      </c>
      <c r="G2972" s="15">
        <f t="shared" ca="1" si="803"/>
        <v>55</v>
      </c>
      <c r="H2972" s="15">
        <v>1</v>
      </c>
      <c r="I2972" s="15" t="str">
        <f t="shared" ca="1" si="804"/>
        <v>RadioCard_TETRA_Devices</v>
      </c>
      <c r="J2972" s="15" t="str">
        <f t="shared" ca="1" si="786"/>
        <v>RadioCard_TETRA_Devices!A55</v>
      </c>
      <c r="K2972" s="15" t="str">
        <f t="shared" ca="1" si="787"/>
        <v>RadioCard_TETRA_Devices!B55</v>
      </c>
    </row>
    <row r="2973" spans="1:16" x14ac:dyDescent="0.25">
      <c r="A2973" s="3" t="str">
        <f t="shared" ca="1" si="788"/>
        <v xml:space="preserve">time = 10 </v>
      </c>
      <c r="G2973" s="15">
        <f t="shared" ca="1" si="797"/>
        <v>56</v>
      </c>
      <c r="H2973" s="15">
        <v>1</v>
      </c>
      <c r="I2973" s="15" t="str">
        <f t="shared" ca="1" si="798"/>
        <v>RadioCard_TETRA_Devices</v>
      </c>
      <c r="J2973" s="15" t="str">
        <f t="shared" ca="1" si="786"/>
        <v>RadioCard_TETRA_Devices!A56</v>
      </c>
      <c r="K2973" s="15" t="str">
        <f t="shared" ca="1" si="787"/>
        <v>RadioCard_TETRA_Devices!B56</v>
      </c>
    </row>
    <row r="2974" spans="1:16" x14ac:dyDescent="0.25">
      <c r="A2974" s="3" t="str">
        <f t="shared" ca="1" si="788"/>
        <v/>
      </c>
      <c r="G2974" s="15">
        <f t="shared" ca="1" si="797"/>
        <v>57</v>
      </c>
      <c r="H2974" s="15">
        <v>1</v>
      </c>
      <c r="I2974" s="15" t="str">
        <f t="shared" ca="1" si="798"/>
        <v>RadioCard_TETRA_Devices</v>
      </c>
      <c r="J2974" s="15" t="str">
        <f t="shared" ca="1" si="786"/>
        <v>RadioCard_TETRA_Devices!A57</v>
      </c>
      <c r="K2974" s="15" t="str">
        <f t="shared" ca="1" si="787"/>
        <v>RadioCard_TETRA_Devices!B57</v>
      </c>
    </row>
    <row r="2975" spans="1:16" x14ac:dyDescent="0.25">
      <c r="A2975" s="3" t="str">
        <f t="shared" ca="1" si="788"/>
        <v/>
      </c>
      <c r="G2975" s="15">
        <f t="shared" ca="1" si="797"/>
        <v>58</v>
      </c>
      <c r="H2975" s="15">
        <v>1</v>
      </c>
      <c r="I2975" s="15" t="str">
        <f t="shared" ca="1" si="798"/>
        <v>RadioCard_TETRA_Devices</v>
      </c>
      <c r="J2975" s="15" t="str">
        <f t="shared" ca="1" si="786"/>
        <v>RadioCard_TETRA_Devices!A58</v>
      </c>
      <c r="K2975" s="15" t="str">
        <f t="shared" ca="1" si="787"/>
        <v>RadioCard_TETRA_Devices!B58</v>
      </c>
    </row>
    <row r="2976" spans="1:16" x14ac:dyDescent="0.25">
      <c r="A2976" s="3" t="str">
        <f t="shared" ca="1" si="788"/>
        <v/>
      </c>
      <c r="G2976" s="15">
        <f t="shared" ca="1" si="797"/>
        <v>59</v>
      </c>
      <c r="H2976" s="15">
        <v>1</v>
      </c>
      <c r="I2976" s="15" t="str">
        <f t="shared" ca="1" si="798"/>
        <v>RadioCard_TETRA_Devices</v>
      </c>
      <c r="J2976" s="15" t="str">
        <f t="shared" ca="1" si="786"/>
        <v>RadioCard_TETRA_Devices!A59</v>
      </c>
      <c r="K2976" s="15" t="str">
        <f t="shared" ca="1" si="787"/>
        <v>RadioCard_TETRA_Devices!B59</v>
      </c>
    </row>
    <row r="2977" spans="1:16" x14ac:dyDescent="0.25">
      <c r="A2977" s="3" t="str">
        <f t="shared" ca="1" si="788"/>
        <v/>
      </c>
      <c r="G2977" s="15">
        <f t="shared" ca="1" si="797"/>
        <v>60</v>
      </c>
      <c r="H2977" s="15">
        <v>1</v>
      </c>
      <c r="I2977" s="15" t="str">
        <f t="shared" ca="1" si="798"/>
        <v>RadioCard_TETRA_Devices</v>
      </c>
      <c r="J2977" s="15" t="str">
        <f t="shared" ca="1" si="786"/>
        <v>RadioCard_TETRA_Devices!A60</v>
      </c>
      <c r="K2977" s="15" t="str">
        <f t="shared" ca="1" si="787"/>
        <v>RadioCard_TETRA_Devices!B60</v>
      </c>
    </row>
    <row r="2978" spans="1:16" x14ac:dyDescent="0.25">
      <c r="A2978" s="3" t="str">
        <f t="shared" ca="1" si="788"/>
        <v/>
      </c>
      <c r="G2978" s="15">
        <f t="shared" ca="1" si="797"/>
        <v>61</v>
      </c>
      <c r="H2978" s="15">
        <v>1</v>
      </c>
      <c r="I2978" s="15" t="str">
        <f t="shared" ca="1" si="798"/>
        <v>RadioCard_TETRA_Devices</v>
      </c>
      <c r="J2978" s="15" t="str">
        <f t="shared" ca="1" si="786"/>
        <v>RadioCard_TETRA_Devices!A61</v>
      </c>
      <c r="K2978" s="15" t="str">
        <f t="shared" ca="1" si="787"/>
        <v>RadioCard_TETRA_Devices!B61</v>
      </c>
    </row>
    <row r="2979" spans="1:16" x14ac:dyDescent="0.25">
      <c r="A2979" s="3" t="str">
        <f t="shared" ca="1" si="788"/>
        <v/>
      </c>
      <c r="C2979" s="16"/>
      <c r="G2979" s="15">
        <f t="shared" ca="1" si="797"/>
        <v>62</v>
      </c>
      <c r="H2979" s="15">
        <v>1</v>
      </c>
      <c r="I2979" s="15" t="str">
        <f t="shared" ca="1" si="798"/>
        <v>RadioCard_TETRA_Devices</v>
      </c>
      <c r="J2979" s="15" t="str">
        <f t="shared" ca="1" si="786"/>
        <v>RadioCard_TETRA_Devices!A62</v>
      </c>
      <c r="K2979" s="15" t="str">
        <f t="shared" ca="1" si="787"/>
        <v>RadioCard_TETRA_Devices!B62</v>
      </c>
    </row>
    <row r="2980" spans="1:16" x14ac:dyDescent="0.25">
      <c r="A2980" s="3" t="str">
        <f t="shared" ca="1" si="788"/>
        <v/>
      </c>
      <c r="G2980" s="15">
        <f t="shared" ca="1" si="797"/>
        <v>63</v>
      </c>
      <c r="H2980" s="15">
        <v>1</v>
      </c>
      <c r="I2980" s="15" t="str">
        <f t="shared" ca="1" si="798"/>
        <v>RadioCard_TETRA_Devices</v>
      </c>
      <c r="J2980" s="15" t="str">
        <f t="shared" ref="J2980:J3043" ca="1" si="805">ADDRESS(G2980,H2980,4,1,I2980)</f>
        <v>RadioCard_TETRA_Devices!A63</v>
      </c>
      <c r="K2980" s="15" t="str">
        <f t="shared" ref="K2980:K3043" ca="1" si="806">ADDRESS(G2980,H2980+1,4,1,I2980)</f>
        <v>RadioCard_TETRA_Devices!B63</v>
      </c>
    </row>
    <row r="2981" spans="1:16" x14ac:dyDescent="0.25">
      <c r="A2981" s="3" t="str">
        <f t="shared" ca="1" si="788"/>
        <v/>
      </c>
      <c r="G2981" s="15">
        <f t="shared" ca="1" si="797"/>
        <v>64</v>
      </c>
      <c r="H2981" s="15">
        <v>1</v>
      </c>
      <c r="I2981" s="15" t="str">
        <f t="shared" ca="1" si="798"/>
        <v>RadioCard_TETRA_Devices</v>
      </c>
      <c r="J2981" s="15" t="str">
        <f t="shared" ca="1" si="805"/>
        <v>RadioCard_TETRA_Devices!A64</v>
      </c>
      <c r="K2981" s="15" t="str">
        <f t="shared" ca="1" si="806"/>
        <v>RadioCard_TETRA_Devices!B64</v>
      </c>
    </row>
    <row r="2982" spans="1:16" x14ac:dyDescent="0.25">
      <c r="A2982" s="3" t="str">
        <f t="shared" ca="1" si="788"/>
        <v/>
      </c>
      <c r="G2982" s="15">
        <f t="shared" ca="1" si="797"/>
        <v>65</v>
      </c>
      <c r="H2982" s="15">
        <v>1</v>
      </c>
      <c r="I2982" s="15" t="str">
        <f t="shared" ca="1" si="798"/>
        <v>RadioCard_TETRA_Devices</v>
      </c>
      <c r="J2982" s="15" t="str">
        <f t="shared" ca="1" si="805"/>
        <v>RadioCard_TETRA_Devices!A65</v>
      </c>
      <c r="K2982" s="15" t="str">
        <f t="shared" ca="1" si="806"/>
        <v>RadioCard_TETRA_Devices!B65</v>
      </c>
    </row>
    <row r="2983" spans="1:16" x14ac:dyDescent="0.25">
      <c r="A2983" s="3" t="str">
        <f t="shared" ca="1" si="788"/>
        <v/>
      </c>
      <c r="G2983" s="15">
        <f t="shared" ca="1" si="797"/>
        <v>66</v>
      </c>
      <c r="H2983" s="15">
        <v>1</v>
      </c>
      <c r="I2983" s="15" t="str">
        <f t="shared" ca="1" si="798"/>
        <v>RadioCard_TETRA_Devices</v>
      </c>
      <c r="J2983" s="15" t="str">
        <f t="shared" ca="1" si="805"/>
        <v>RadioCard_TETRA_Devices!A66</v>
      </c>
      <c r="K2983" s="15" t="str">
        <f t="shared" ca="1" si="806"/>
        <v>RadioCard_TETRA_Devices!B66</v>
      </c>
    </row>
    <row r="2984" spans="1:16" x14ac:dyDescent="0.25">
      <c r="A2984" s="3" t="str">
        <f t="shared" ca="1" si="788"/>
        <v/>
      </c>
      <c r="G2984" s="15">
        <f t="shared" ca="1" si="797"/>
        <v>67</v>
      </c>
      <c r="H2984" s="15">
        <v>1</v>
      </c>
      <c r="I2984" s="15" t="str">
        <f t="shared" ca="1" si="798"/>
        <v>RadioCard_TETRA_Devices</v>
      </c>
      <c r="J2984" s="15" t="str">
        <f t="shared" ca="1" si="805"/>
        <v>RadioCard_TETRA_Devices!A67</v>
      </c>
      <c r="K2984" s="15" t="str">
        <f t="shared" ca="1" si="806"/>
        <v>RadioCard_TETRA_Devices!B67</v>
      </c>
    </row>
    <row r="2985" spans="1:16" x14ac:dyDescent="0.25">
      <c r="A2985" s="3" t="str">
        <f t="shared" ca="1" si="788"/>
        <v/>
      </c>
      <c r="G2985" s="15">
        <f t="shared" ca="1" si="797"/>
        <v>68</v>
      </c>
      <c r="H2985" s="15">
        <v>1</v>
      </c>
      <c r="I2985" s="15" t="str">
        <f t="shared" ca="1" si="798"/>
        <v>RadioCard_TETRA_Devices</v>
      </c>
      <c r="J2985" s="15" t="str">
        <f t="shared" ca="1" si="805"/>
        <v>RadioCard_TETRA_Devices!A68</v>
      </c>
      <c r="K2985" s="15" t="str">
        <f t="shared" ca="1" si="806"/>
        <v>RadioCard_TETRA_Devices!B68</v>
      </c>
    </row>
    <row r="2986" spans="1:16" x14ac:dyDescent="0.25">
      <c r="A2986" s="3" t="str">
        <f t="shared" ca="1" si="788"/>
        <v/>
      </c>
      <c r="G2986" s="15">
        <f t="shared" ca="1" si="797"/>
        <v>69</v>
      </c>
      <c r="H2986" s="15">
        <v>1</v>
      </c>
      <c r="I2986" s="15" t="str">
        <f t="shared" ca="1" si="798"/>
        <v>RadioCard_TETRA_Devices</v>
      </c>
      <c r="J2986" s="15" t="str">
        <f t="shared" ca="1" si="805"/>
        <v>RadioCard_TETRA_Devices!A69</v>
      </c>
      <c r="K2986" s="15" t="str">
        <f t="shared" ca="1" si="806"/>
        <v>RadioCard_TETRA_Devices!B69</v>
      </c>
    </row>
    <row r="2987" spans="1:16" x14ac:dyDescent="0.25">
      <c r="A2987" s="3" t="str">
        <f t="shared" ca="1" si="788"/>
        <v/>
      </c>
      <c r="G2987" s="15">
        <f t="shared" ca="1" si="797"/>
        <v>70</v>
      </c>
      <c r="H2987" s="15">
        <v>1</v>
      </c>
      <c r="I2987" s="15" t="str">
        <f t="shared" ca="1" si="798"/>
        <v>RadioCard_TETRA_Devices</v>
      </c>
      <c r="J2987" s="15" t="str">
        <f t="shared" ca="1" si="805"/>
        <v>RadioCard_TETRA_Devices!A70</v>
      </c>
      <c r="K2987" s="15" t="str">
        <f t="shared" ca="1" si="806"/>
        <v>RadioCard_TETRA_Devices!B70</v>
      </c>
    </row>
    <row r="2988" spans="1:16" x14ac:dyDescent="0.25">
      <c r="A2988" s="3" t="str">
        <f t="shared" ref="A2988:A3051" ca="1" si="807">IFERROR(IF(INDIRECT(J2988)&lt;&gt;"",CONCATENATE(INDIRECT(J2988)," = ",INDIRECT(K2988)," "),""),"")</f>
        <v xml:space="preserve">#RadioCard_TETRA_Exp1:etap 5 LTC =  </v>
      </c>
      <c r="G2988" s="15">
        <f t="shared" ref="G2988" ca="1" si="808">INDIRECT(M2988)</f>
        <v>131</v>
      </c>
      <c r="H2988" s="15">
        <v>1</v>
      </c>
      <c r="I2988" s="15" t="str">
        <f t="shared" ref="I2988" ca="1" si="809">INDIRECT(N2988)</f>
        <v>RadioCard_TETRA_Exp2</v>
      </c>
      <c r="J2988" s="15" t="str">
        <f t="shared" ca="1" si="805"/>
        <v>RadioCard_TETRA_Exp2!A131</v>
      </c>
      <c r="K2988" s="15" t="str">
        <f t="shared" ca="1" si="806"/>
        <v>RadioCard_TETRA_Exp2!B131</v>
      </c>
      <c r="M2988" s="15" t="str">
        <f t="shared" ref="M2988" si="810">ADDRESS(O2988,3,4,1,$R$1)</f>
        <v>konfig!C151</v>
      </c>
      <c r="N2988" s="15" t="str">
        <f t="shared" ref="N2988" si="811">ADDRESS(O2988,1,4,1,$R$1)</f>
        <v>konfig!A151</v>
      </c>
      <c r="O2988" s="15">
        <v>151</v>
      </c>
      <c r="P2988" s="15">
        <v>4</v>
      </c>
    </row>
    <row r="2989" spans="1:16" x14ac:dyDescent="0.25">
      <c r="A2989" s="3" t="str">
        <f t="shared" ca="1" si="807"/>
        <v xml:space="preserve">device = MCP23017 </v>
      </c>
      <c r="G2989" s="15">
        <f t="shared" ref="G2989:G3029" ca="1" si="812">G2988+1</f>
        <v>132</v>
      </c>
      <c r="H2989" s="15">
        <v>1</v>
      </c>
      <c r="I2989" s="15" t="str">
        <f t="shared" ref="I2989:I3029" ca="1" si="813">I2988</f>
        <v>RadioCard_TETRA_Exp2</v>
      </c>
      <c r="J2989" s="15" t="str">
        <f t="shared" ca="1" si="805"/>
        <v>RadioCard_TETRA_Exp2!A132</v>
      </c>
      <c r="K2989" s="15" t="str">
        <f t="shared" ca="1" si="806"/>
        <v>RadioCard_TETRA_Exp2!B132</v>
      </c>
    </row>
    <row r="2990" spans="1:16" x14ac:dyDescent="0.25">
      <c r="A2990" s="3" t="str">
        <f t="shared" ca="1" si="807"/>
        <v xml:space="preserve">i2c_addr = 0x27 </v>
      </c>
      <c r="G2990" s="15">
        <f t="shared" ca="1" si="797"/>
        <v>133</v>
      </c>
      <c r="H2990" s="15">
        <v>1</v>
      </c>
      <c r="I2990" s="15" t="str">
        <f t="shared" ca="1" si="798"/>
        <v>RadioCard_TETRA_Exp2</v>
      </c>
      <c r="J2990" s="15" t="str">
        <f t="shared" ca="1" si="805"/>
        <v>RadioCard_TETRA_Exp2!A133</v>
      </c>
      <c r="K2990" s="15" t="str">
        <f t="shared" ca="1" si="806"/>
        <v>RadioCard_TETRA_Exp2!B133</v>
      </c>
    </row>
    <row r="2991" spans="1:16" x14ac:dyDescent="0.25">
      <c r="A2991" s="3" t="str">
        <f t="shared" ca="1" si="807"/>
        <v xml:space="preserve">i2c_num = /dev/i2c-1 </v>
      </c>
      <c r="C2991" s="16"/>
      <c r="G2991" s="15">
        <f t="shared" ca="1" si="797"/>
        <v>134</v>
      </c>
      <c r="H2991" s="15">
        <v>1</v>
      </c>
      <c r="I2991" s="15" t="str">
        <f t="shared" ca="1" si="798"/>
        <v>RadioCard_TETRA_Exp2</v>
      </c>
      <c r="J2991" s="15" t="str">
        <f t="shared" ca="1" si="805"/>
        <v>RadioCard_TETRA_Exp2!A134</v>
      </c>
      <c r="K2991" s="15" t="str">
        <f t="shared" ca="1" si="806"/>
        <v>RadioCard_TETRA_Exp2!B134</v>
      </c>
    </row>
    <row r="2992" spans="1:16" x14ac:dyDescent="0.25">
      <c r="A2992" s="3" t="str">
        <f t="shared" ca="1" si="807"/>
        <v xml:space="preserve">pins_mode = 0xCE8C </v>
      </c>
      <c r="G2992" s="15">
        <f t="shared" ca="1" si="797"/>
        <v>135</v>
      </c>
      <c r="H2992" s="15">
        <v>1</v>
      </c>
      <c r="I2992" s="15" t="str">
        <f t="shared" ca="1" si="798"/>
        <v>RadioCard_TETRA_Exp2</v>
      </c>
      <c r="J2992" s="15" t="str">
        <f t="shared" ca="1" si="805"/>
        <v>RadioCard_TETRA_Exp2!A135</v>
      </c>
      <c r="K2992" s="15" t="str">
        <f t="shared" ca="1" si="806"/>
        <v>RadioCard_TETRA_Exp2!B135</v>
      </c>
    </row>
    <row r="2993" spans="1:16" x14ac:dyDescent="0.25">
      <c r="A2993" s="3" t="str">
        <f t="shared" ca="1" si="807"/>
        <v xml:space="preserve">pins_state = 0x3123 </v>
      </c>
      <c r="G2993" s="15">
        <f t="shared" ca="1" si="797"/>
        <v>136</v>
      </c>
      <c r="H2993" s="15">
        <v>1</v>
      </c>
      <c r="I2993" s="15" t="str">
        <f t="shared" ca="1" si="798"/>
        <v>RadioCard_TETRA_Exp2</v>
      </c>
      <c r="J2993" s="15" t="str">
        <f t="shared" ca="1" si="805"/>
        <v>RadioCard_TETRA_Exp2!A136</v>
      </c>
      <c r="K2993" s="15" t="str">
        <f t="shared" ca="1" si="806"/>
        <v>RadioCard_TETRA_Exp2!B136</v>
      </c>
    </row>
    <row r="2994" spans="1:16" x14ac:dyDescent="0.25">
      <c r="A2994" s="3" t="str">
        <f t="shared" ca="1" si="807"/>
        <v xml:space="preserve">pins_pull_up = 0x4808 </v>
      </c>
      <c r="G2994" s="15">
        <f t="shared" ca="1" si="797"/>
        <v>137</v>
      </c>
      <c r="H2994" s="15">
        <v>1</v>
      </c>
      <c r="I2994" s="15" t="str">
        <f t="shared" ca="1" si="798"/>
        <v>RadioCard_TETRA_Exp2</v>
      </c>
      <c r="J2994" s="15" t="str">
        <f t="shared" ca="1" si="805"/>
        <v>RadioCard_TETRA_Exp2!A137</v>
      </c>
      <c r="K2994" s="15" t="str">
        <f t="shared" ca="1" si="806"/>
        <v>RadioCard_TETRA_Exp2!B137</v>
      </c>
    </row>
    <row r="2995" spans="1:16" x14ac:dyDescent="0.25">
      <c r="A2995" s="3" t="str">
        <f t="shared" ca="1" si="807"/>
        <v xml:space="preserve">#pins_int = 0x0000 </v>
      </c>
      <c r="G2995" s="15">
        <f t="shared" ca="1" si="797"/>
        <v>138</v>
      </c>
      <c r="H2995" s="15">
        <v>1</v>
      </c>
      <c r="I2995" s="15" t="str">
        <f t="shared" ca="1" si="798"/>
        <v>RadioCard_TETRA_Exp2</v>
      </c>
      <c r="J2995" s="15" t="str">
        <f t="shared" ca="1" si="805"/>
        <v>RadioCard_TETRA_Exp2!A138</v>
      </c>
      <c r="K2995" s="15" t="str">
        <f t="shared" ca="1" si="806"/>
        <v>RadioCard_TETRA_Exp2!B138</v>
      </c>
    </row>
    <row r="2996" spans="1:16" x14ac:dyDescent="0.25">
      <c r="A2996" s="3" t="str">
        <f t="shared" ca="1" si="807"/>
        <v xml:space="preserve">#pins_def_val = 0x0000 </v>
      </c>
      <c r="G2996" s="15">
        <f t="shared" ca="1" si="797"/>
        <v>139</v>
      </c>
      <c r="H2996" s="15">
        <v>1</v>
      </c>
      <c r="I2996" s="15" t="str">
        <f t="shared" ca="1" si="798"/>
        <v>RadioCard_TETRA_Exp2</v>
      </c>
      <c r="J2996" s="15" t="str">
        <f t="shared" ca="1" si="805"/>
        <v>RadioCard_TETRA_Exp2!A139</v>
      </c>
      <c r="K2996" s="15" t="str">
        <f t="shared" ca="1" si="806"/>
        <v>RadioCard_TETRA_Exp2!B139</v>
      </c>
    </row>
    <row r="2997" spans="1:16" x14ac:dyDescent="0.25">
      <c r="A2997" s="3" t="str">
        <f t="shared" ca="1" si="807"/>
        <v/>
      </c>
      <c r="G2997" s="15">
        <f t="shared" ca="1" si="797"/>
        <v>140</v>
      </c>
      <c r="H2997" s="15">
        <v>1</v>
      </c>
      <c r="I2997" s="15" t="str">
        <f t="shared" ca="1" si="798"/>
        <v>RadioCard_TETRA_Exp2</v>
      </c>
      <c r="J2997" s="15" t="str">
        <f t="shared" ca="1" si="805"/>
        <v>RadioCard_TETRA_Exp2!A140</v>
      </c>
      <c r="K2997" s="15" t="str">
        <f t="shared" ca="1" si="806"/>
        <v>RadioCard_TETRA_Exp2!B140</v>
      </c>
    </row>
    <row r="2998" spans="1:16" x14ac:dyDescent="0.25">
      <c r="A2998" s="3" t="str">
        <f t="shared" ca="1" si="807"/>
        <v xml:space="preserve">#pins_int = 10 </v>
      </c>
      <c r="G2998" s="15">
        <f t="shared" ca="1" si="797"/>
        <v>141</v>
      </c>
      <c r="H2998" s="15">
        <v>1</v>
      </c>
      <c r="I2998" s="15" t="str">
        <f t="shared" ca="1" si="798"/>
        <v>RadioCard_TETRA_Exp2</v>
      </c>
      <c r="J2998" s="15" t="str">
        <f t="shared" ca="1" si="805"/>
        <v>RadioCard_TETRA_Exp2!A141</v>
      </c>
      <c r="K2998" s="15" t="str">
        <f t="shared" ca="1" si="806"/>
        <v>RadioCard_TETRA_Exp2!B141</v>
      </c>
    </row>
    <row r="2999" spans="1:16" x14ac:dyDescent="0.25">
      <c r="A2999" s="3" t="str">
        <f t="shared" ca="1" si="807"/>
        <v/>
      </c>
      <c r="C2999" s="16"/>
      <c r="G2999" s="15">
        <f t="shared" ca="1" si="797"/>
        <v>142</v>
      </c>
      <c r="H2999" s="15">
        <v>1</v>
      </c>
      <c r="I2999" s="15" t="str">
        <f t="shared" ca="1" si="798"/>
        <v>RadioCard_TETRA_Exp2</v>
      </c>
      <c r="J2999" s="15" t="str">
        <f t="shared" ca="1" si="805"/>
        <v>RadioCard_TETRA_Exp2!A142</v>
      </c>
      <c r="K2999" s="15" t="str">
        <f t="shared" ca="1" si="806"/>
        <v>RadioCard_TETRA_Exp2!B142</v>
      </c>
    </row>
    <row r="3000" spans="1:16" x14ac:dyDescent="0.25">
      <c r="A3000" s="3" t="str">
        <f t="shared" ca="1" si="807"/>
        <v/>
      </c>
      <c r="G3000" s="15">
        <f t="shared" ca="1" si="797"/>
        <v>143</v>
      </c>
      <c r="H3000" s="15">
        <v>1</v>
      </c>
      <c r="I3000" s="15" t="str">
        <f t="shared" ca="1" si="798"/>
        <v>RadioCard_TETRA_Exp2</v>
      </c>
      <c r="J3000" s="15" t="str">
        <f t="shared" ca="1" si="805"/>
        <v>RadioCard_TETRA_Exp2!A143</v>
      </c>
      <c r="K3000" s="15" t="str">
        <f t="shared" ca="1" si="806"/>
        <v>RadioCard_TETRA_Exp2!B143</v>
      </c>
    </row>
    <row r="3001" spans="1:16" x14ac:dyDescent="0.25">
      <c r="A3001" s="3" t="str">
        <f t="shared" ca="1" si="807"/>
        <v/>
      </c>
      <c r="G3001" s="15">
        <f t="shared" ca="1" si="797"/>
        <v>144</v>
      </c>
      <c r="H3001" s="15">
        <v>1</v>
      </c>
      <c r="I3001" s="15" t="str">
        <f t="shared" ca="1" si="798"/>
        <v>RadioCard_TETRA_Exp2</v>
      </c>
      <c r="J3001" s="15" t="str">
        <f t="shared" ca="1" si="805"/>
        <v>RadioCard_TETRA_Exp2!A144</v>
      </c>
      <c r="K3001" s="15" t="str">
        <f t="shared" ca="1" si="806"/>
        <v>RadioCard_TETRA_Exp2!B144</v>
      </c>
    </row>
    <row r="3002" spans="1:16" x14ac:dyDescent="0.25">
      <c r="A3002" s="3" t="str">
        <f t="shared" ca="1" si="807"/>
        <v/>
      </c>
      <c r="G3002" s="15">
        <f t="shared" ca="1" si="797"/>
        <v>145</v>
      </c>
      <c r="H3002" s="15">
        <v>1</v>
      </c>
      <c r="I3002" s="15" t="str">
        <f t="shared" ca="1" si="798"/>
        <v>RadioCard_TETRA_Exp2</v>
      </c>
      <c r="J3002" s="15" t="str">
        <f t="shared" ca="1" si="805"/>
        <v>RadioCard_TETRA_Exp2!A145</v>
      </c>
      <c r="K3002" s="15" t="str">
        <f t="shared" ca="1" si="806"/>
        <v>RadioCard_TETRA_Exp2!B145</v>
      </c>
    </row>
    <row r="3003" spans="1:16" x14ac:dyDescent="0.25">
      <c r="A3003" s="3" t="str">
        <f t="shared" ca="1" si="807"/>
        <v/>
      </c>
      <c r="G3003" s="15">
        <f t="shared" ca="1" si="797"/>
        <v>146</v>
      </c>
      <c r="H3003" s="15">
        <v>1</v>
      </c>
      <c r="I3003" s="15" t="str">
        <f t="shared" ca="1" si="798"/>
        <v>RadioCard_TETRA_Exp2</v>
      </c>
      <c r="J3003" s="15" t="str">
        <f t="shared" ca="1" si="805"/>
        <v>RadioCard_TETRA_Exp2!A146</v>
      </c>
      <c r="K3003" s="15" t="str">
        <f t="shared" ca="1" si="806"/>
        <v>RadioCard_TETRA_Exp2!B146</v>
      </c>
    </row>
    <row r="3004" spans="1:16" x14ac:dyDescent="0.25">
      <c r="A3004" s="3" t="str">
        <f t="shared" ca="1" si="807"/>
        <v/>
      </c>
      <c r="G3004" s="15">
        <f t="shared" ca="1" si="797"/>
        <v>147</v>
      </c>
      <c r="H3004" s="15">
        <v>1</v>
      </c>
      <c r="I3004" s="15" t="str">
        <f t="shared" ca="1" si="798"/>
        <v>RadioCard_TETRA_Exp2</v>
      </c>
      <c r="J3004" s="15" t="str">
        <f t="shared" ca="1" si="805"/>
        <v>RadioCard_TETRA_Exp2!A147</v>
      </c>
      <c r="K3004" s="15" t="str">
        <f t="shared" ca="1" si="806"/>
        <v>RadioCard_TETRA_Exp2!B147</v>
      </c>
    </row>
    <row r="3005" spans="1:16" x14ac:dyDescent="0.25">
      <c r="A3005" s="3" t="str">
        <f t="shared" ca="1" si="807"/>
        <v/>
      </c>
      <c r="G3005" s="15">
        <f t="shared" ca="1" si="797"/>
        <v>148</v>
      </c>
      <c r="H3005" s="15">
        <v>1</v>
      </c>
      <c r="I3005" s="15" t="str">
        <f t="shared" ca="1" si="798"/>
        <v>RadioCard_TETRA_Exp2</v>
      </c>
      <c r="J3005" s="15" t="str">
        <f t="shared" ca="1" si="805"/>
        <v>RadioCard_TETRA_Exp2!A148</v>
      </c>
      <c r="K3005" s="15" t="str">
        <f t="shared" ca="1" si="806"/>
        <v>RadioCard_TETRA_Exp2!B148</v>
      </c>
    </row>
    <row r="3006" spans="1:16" x14ac:dyDescent="0.25">
      <c r="A3006" s="3" t="str">
        <f t="shared" ca="1" si="807"/>
        <v/>
      </c>
      <c r="G3006" s="15">
        <f t="shared" ca="1" si="797"/>
        <v>149</v>
      </c>
      <c r="H3006" s="15">
        <v>1</v>
      </c>
      <c r="I3006" s="15" t="str">
        <f t="shared" ca="1" si="798"/>
        <v>RadioCard_TETRA_Exp2</v>
      </c>
      <c r="J3006" s="15" t="str">
        <f t="shared" ca="1" si="805"/>
        <v>RadioCard_TETRA_Exp2!A149</v>
      </c>
      <c r="K3006" s="15" t="str">
        <f t="shared" ca="1" si="806"/>
        <v>RadioCard_TETRA_Exp2!B149</v>
      </c>
    </row>
    <row r="3007" spans="1:16" x14ac:dyDescent="0.25">
      <c r="A3007" s="3" t="str">
        <f t="shared" ca="1" si="807"/>
        <v/>
      </c>
      <c r="G3007" s="15">
        <f t="shared" ca="1" si="797"/>
        <v>150</v>
      </c>
      <c r="H3007" s="15">
        <v>1</v>
      </c>
      <c r="I3007" s="15" t="str">
        <f t="shared" ca="1" si="798"/>
        <v>RadioCard_TETRA_Exp2</v>
      </c>
      <c r="J3007" s="15" t="str">
        <f t="shared" ca="1" si="805"/>
        <v>RadioCard_TETRA_Exp2!A150</v>
      </c>
      <c r="K3007" s="15" t="str">
        <f t="shared" ca="1" si="806"/>
        <v>RadioCard_TETRA_Exp2!B150</v>
      </c>
    </row>
    <row r="3008" spans="1:16" x14ac:dyDescent="0.25">
      <c r="A3008" s="3" t="str">
        <f t="shared" ca="1" si="807"/>
        <v xml:space="preserve">#LTC2122_TETRA =  </v>
      </c>
      <c r="G3008" s="15">
        <f t="shared" ref="G3008" ca="1" si="814">INDIRECT(M3008)</f>
        <v>31</v>
      </c>
      <c r="H3008" s="15">
        <v>1</v>
      </c>
      <c r="I3008" s="15" t="str">
        <f t="shared" ref="I3008" ca="1" si="815">INDIRECT(N3008)</f>
        <v>RadioCard_TETRA_Devices</v>
      </c>
      <c r="J3008" s="15" t="str">
        <f t="shared" ca="1" si="805"/>
        <v>RadioCard_TETRA_Devices!A31</v>
      </c>
      <c r="K3008" s="15" t="str">
        <f t="shared" ca="1" si="806"/>
        <v>RadioCard_TETRA_Devices!B31</v>
      </c>
      <c r="M3008" s="15" t="str">
        <f t="shared" ref="M3008" si="816">ADDRESS(O3008,3,4,1,$R$1)</f>
        <v>konfig!C152</v>
      </c>
      <c r="N3008" s="15" t="str">
        <f t="shared" ref="N3008" si="817">ADDRESS(O3008,1,4,1,$R$1)</f>
        <v>konfig!A152</v>
      </c>
      <c r="O3008" s="15">
        <v>152</v>
      </c>
      <c r="P3008" s="15">
        <v>4</v>
      </c>
    </row>
    <row r="3009" spans="1:11" x14ac:dyDescent="0.25">
      <c r="A3009" s="3" t="str">
        <f t="shared" ca="1" si="807"/>
        <v xml:space="preserve">device = LTC2122 </v>
      </c>
      <c r="G3009" s="15">
        <f t="shared" ca="1" si="803"/>
        <v>32</v>
      </c>
      <c r="H3009" s="15">
        <v>1</v>
      </c>
      <c r="I3009" s="15" t="str">
        <f t="shared" ca="1" si="804"/>
        <v>RadioCard_TETRA_Devices</v>
      </c>
      <c r="J3009" s="15" t="str">
        <f t="shared" ca="1" si="805"/>
        <v>RadioCard_TETRA_Devices!A32</v>
      </c>
      <c r="K3009" s="15" t="str">
        <f t="shared" ca="1" si="806"/>
        <v>RadioCard_TETRA_Devices!B32</v>
      </c>
    </row>
    <row r="3010" spans="1:11" x14ac:dyDescent="0.25">
      <c r="A3010" s="3" t="str">
        <f t="shared" ca="1" si="807"/>
        <v xml:space="preserve">spi_num = /dev/spidev0.0 </v>
      </c>
      <c r="G3010" s="15">
        <f t="shared" ca="1" si="803"/>
        <v>33</v>
      </c>
      <c r="H3010" s="15">
        <v>1</v>
      </c>
      <c r="I3010" s="15" t="str">
        <f t="shared" ca="1" si="804"/>
        <v>RadioCard_TETRA_Devices</v>
      </c>
      <c r="J3010" s="15" t="str">
        <f t="shared" ca="1" si="805"/>
        <v>RadioCard_TETRA_Devices!A33</v>
      </c>
      <c r="K3010" s="15" t="str">
        <f t="shared" ca="1" si="806"/>
        <v>RadioCard_TETRA_Devices!B33</v>
      </c>
    </row>
    <row r="3011" spans="1:11" x14ac:dyDescent="0.25">
      <c r="A3011" s="3" t="str">
        <f t="shared" ca="1" si="807"/>
        <v xml:space="preserve">path_cfg = ./device_config_files/radio_config_files/radiocard_TETRA/LTC2122.cfg  </v>
      </c>
      <c r="C3011" s="16"/>
      <c r="G3011" s="15">
        <f t="shared" ca="1" si="803"/>
        <v>34</v>
      </c>
      <c r="H3011" s="15">
        <v>1</v>
      </c>
      <c r="I3011" s="15" t="str">
        <f t="shared" ca="1" si="804"/>
        <v>RadioCard_TETRA_Devices</v>
      </c>
      <c r="J3011" s="15" t="str">
        <f t="shared" ca="1" si="805"/>
        <v>RadioCard_TETRA_Devices!A34</v>
      </c>
      <c r="K3011" s="15" t="str">
        <f t="shared" ca="1" si="806"/>
        <v>RadioCard_TETRA_Devices!B34</v>
      </c>
    </row>
    <row r="3012" spans="1:11" x14ac:dyDescent="0.25">
      <c r="A3012" s="3" t="str">
        <f t="shared" ca="1" si="807"/>
        <v/>
      </c>
      <c r="G3012" s="15">
        <f t="shared" ca="1" si="803"/>
        <v>35</v>
      </c>
      <c r="H3012" s="15">
        <v>1</v>
      </c>
      <c r="I3012" s="15" t="str">
        <f t="shared" ca="1" si="804"/>
        <v>RadioCard_TETRA_Devices</v>
      </c>
      <c r="J3012" s="15" t="str">
        <f t="shared" ca="1" si="805"/>
        <v>RadioCard_TETRA_Devices!A35</v>
      </c>
      <c r="K3012" s="15" t="str">
        <f t="shared" ca="1" si="806"/>
        <v>RadioCard_TETRA_Devices!B35</v>
      </c>
    </row>
    <row r="3013" spans="1:11" x14ac:dyDescent="0.25">
      <c r="A3013" s="3" t="str">
        <f t="shared" ca="1" si="807"/>
        <v xml:space="preserve">time = 10 </v>
      </c>
      <c r="G3013" s="15">
        <f t="shared" ca="1" si="797"/>
        <v>36</v>
      </c>
      <c r="H3013" s="15">
        <v>1</v>
      </c>
      <c r="I3013" s="15" t="str">
        <f t="shared" ca="1" si="798"/>
        <v>RadioCard_TETRA_Devices</v>
      </c>
      <c r="J3013" s="15" t="str">
        <f t="shared" ca="1" si="805"/>
        <v>RadioCard_TETRA_Devices!A36</v>
      </c>
      <c r="K3013" s="15" t="str">
        <f t="shared" ca="1" si="806"/>
        <v>RadioCard_TETRA_Devices!B36</v>
      </c>
    </row>
    <row r="3014" spans="1:11" x14ac:dyDescent="0.25">
      <c r="A3014" s="3" t="str">
        <f t="shared" ca="1" si="807"/>
        <v/>
      </c>
      <c r="G3014" s="15">
        <f t="shared" ca="1" si="797"/>
        <v>37</v>
      </c>
      <c r="H3014" s="15">
        <v>1</v>
      </c>
      <c r="I3014" s="15" t="str">
        <f t="shared" ca="1" si="798"/>
        <v>RadioCard_TETRA_Devices</v>
      </c>
      <c r="J3014" s="15" t="str">
        <f t="shared" ca="1" si="805"/>
        <v>RadioCard_TETRA_Devices!A37</v>
      </c>
      <c r="K3014" s="15" t="str">
        <f t="shared" ca="1" si="806"/>
        <v>RadioCard_TETRA_Devices!B37</v>
      </c>
    </row>
    <row r="3015" spans="1:11" x14ac:dyDescent="0.25">
      <c r="A3015" s="3" t="str">
        <f t="shared" ca="1" si="807"/>
        <v/>
      </c>
      <c r="G3015" s="15">
        <f t="shared" ca="1" si="797"/>
        <v>38</v>
      </c>
      <c r="H3015" s="15">
        <v>1</v>
      </c>
      <c r="I3015" s="15" t="str">
        <f t="shared" ca="1" si="798"/>
        <v>RadioCard_TETRA_Devices</v>
      </c>
      <c r="J3015" s="15" t="str">
        <f t="shared" ca="1" si="805"/>
        <v>RadioCard_TETRA_Devices!A38</v>
      </c>
      <c r="K3015" s="15" t="str">
        <f t="shared" ca="1" si="806"/>
        <v>RadioCard_TETRA_Devices!B38</v>
      </c>
    </row>
    <row r="3016" spans="1:11" x14ac:dyDescent="0.25">
      <c r="A3016" s="3" t="str">
        <f t="shared" ca="1" si="807"/>
        <v/>
      </c>
      <c r="G3016" s="15">
        <f t="shared" ca="1" si="797"/>
        <v>39</v>
      </c>
      <c r="H3016" s="15">
        <v>1</v>
      </c>
      <c r="I3016" s="15" t="str">
        <f t="shared" ca="1" si="798"/>
        <v>RadioCard_TETRA_Devices</v>
      </c>
      <c r="J3016" s="15" t="str">
        <f t="shared" ca="1" si="805"/>
        <v>RadioCard_TETRA_Devices!A39</v>
      </c>
      <c r="K3016" s="15" t="str">
        <f t="shared" ca="1" si="806"/>
        <v>RadioCard_TETRA_Devices!B39</v>
      </c>
    </row>
    <row r="3017" spans="1:11" x14ac:dyDescent="0.25">
      <c r="A3017" s="3" t="str">
        <f t="shared" ca="1" si="807"/>
        <v/>
      </c>
      <c r="G3017" s="15">
        <f t="shared" ref="G3017:G3080" ca="1" si="818">G3016+1</f>
        <v>40</v>
      </c>
      <c r="H3017" s="15">
        <v>1</v>
      </c>
      <c r="I3017" s="15" t="str">
        <f t="shared" ref="I3017:I3080" ca="1" si="819">I3016</f>
        <v>RadioCard_TETRA_Devices</v>
      </c>
      <c r="J3017" s="15" t="str">
        <f t="shared" ca="1" si="805"/>
        <v>RadioCard_TETRA_Devices!A40</v>
      </c>
      <c r="K3017" s="15" t="str">
        <f t="shared" ca="1" si="806"/>
        <v>RadioCard_TETRA_Devices!B40</v>
      </c>
    </row>
    <row r="3018" spans="1:11" x14ac:dyDescent="0.25">
      <c r="A3018" s="3" t="str">
        <f t="shared" ca="1" si="807"/>
        <v/>
      </c>
      <c r="G3018" s="15">
        <f t="shared" ca="1" si="818"/>
        <v>41</v>
      </c>
      <c r="H3018" s="15">
        <v>1</v>
      </c>
      <c r="I3018" s="15" t="str">
        <f t="shared" ca="1" si="819"/>
        <v>RadioCard_TETRA_Devices</v>
      </c>
      <c r="J3018" s="15" t="str">
        <f t="shared" ca="1" si="805"/>
        <v>RadioCard_TETRA_Devices!A41</v>
      </c>
      <c r="K3018" s="15" t="str">
        <f t="shared" ca="1" si="806"/>
        <v>RadioCard_TETRA_Devices!B41</v>
      </c>
    </row>
    <row r="3019" spans="1:11" x14ac:dyDescent="0.25">
      <c r="A3019" s="3" t="str">
        <f t="shared" ca="1" si="807"/>
        <v/>
      </c>
      <c r="C3019" s="16"/>
      <c r="G3019" s="15">
        <f t="shared" ca="1" si="818"/>
        <v>42</v>
      </c>
      <c r="H3019" s="15">
        <v>1</v>
      </c>
      <c r="I3019" s="15" t="str">
        <f t="shared" ca="1" si="819"/>
        <v>RadioCard_TETRA_Devices</v>
      </c>
      <c r="J3019" s="15" t="str">
        <f t="shared" ca="1" si="805"/>
        <v>RadioCard_TETRA_Devices!A42</v>
      </c>
      <c r="K3019" s="15" t="str">
        <f t="shared" ca="1" si="806"/>
        <v>RadioCard_TETRA_Devices!B42</v>
      </c>
    </row>
    <row r="3020" spans="1:11" x14ac:dyDescent="0.25">
      <c r="A3020" s="3" t="str">
        <f t="shared" ca="1" si="807"/>
        <v/>
      </c>
      <c r="G3020" s="15">
        <f t="shared" ca="1" si="818"/>
        <v>43</v>
      </c>
      <c r="H3020" s="15">
        <v>1</v>
      </c>
      <c r="I3020" s="15" t="str">
        <f t="shared" ca="1" si="819"/>
        <v>RadioCard_TETRA_Devices</v>
      </c>
      <c r="J3020" s="15" t="str">
        <f t="shared" ca="1" si="805"/>
        <v>RadioCard_TETRA_Devices!A43</v>
      </c>
      <c r="K3020" s="15" t="str">
        <f t="shared" ca="1" si="806"/>
        <v>RadioCard_TETRA_Devices!B43</v>
      </c>
    </row>
    <row r="3021" spans="1:11" x14ac:dyDescent="0.25">
      <c r="A3021" s="3" t="str">
        <f t="shared" ca="1" si="807"/>
        <v/>
      </c>
      <c r="G3021" s="15">
        <f t="shared" ca="1" si="818"/>
        <v>44</v>
      </c>
      <c r="H3021" s="15">
        <v>1</v>
      </c>
      <c r="I3021" s="15" t="str">
        <f t="shared" ca="1" si="819"/>
        <v>RadioCard_TETRA_Devices</v>
      </c>
      <c r="J3021" s="15" t="str">
        <f t="shared" ca="1" si="805"/>
        <v>RadioCard_TETRA_Devices!A44</v>
      </c>
      <c r="K3021" s="15" t="str">
        <f t="shared" ca="1" si="806"/>
        <v>RadioCard_TETRA_Devices!B44</v>
      </c>
    </row>
    <row r="3022" spans="1:11" x14ac:dyDescent="0.25">
      <c r="A3022" s="3" t="str">
        <f t="shared" ca="1" si="807"/>
        <v/>
      </c>
      <c r="G3022" s="15">
        <f t="shared" ca="1" si="818"/>
        <v>45</v>
      </c>
      <c r="H3022" s="15">
        <v>1</v>
      </c>
      <c r="I3022" s="15" t="str">
        <f t="shared" ca="1" si="819"/>
        <v>RadioCard_TETRA_Devices</v>
      </c>
      <c r="J3022" s="15" t="str">
        <f t="shared" ca="1" si="805"/>
        <v>RadioCard_TETRA_Devices!A45</v>
      </c>
      <c r="K3022" s="15" t="str">
        <f t="shared" ca="1" si="806"/>
        <v>RadioCard_TETRA_Devices!B45</v>
      </c>
    </row>
    <row r="3023" spans="1:11" x14ac:dyDescent="0.25">
      <c r="A3023" s="3" t="str">
        <f t="shared" ca="1" si="807"/>
        <v/>
      </c>
      <c r="G3023" s="15">
        <f t="shared" ca="1" si="818"/>
        <v>46</v>
      </c>
      <c r="H3023" s="15">
        <v>1</v>
      </c>
      <c r="I3023" s="15" t="str">
        <f t="shared" ca="1" si="819"/>
        <v>RadioCard_TETRA_Devices</v>
      </c>
      <c r="J3023" s="15" t="str">
        <f t="shared" ca="1" si="805"/>
        <v>RadioCard_TETRA_Devices!A46</v>
      </c>
      <c r="K3023" s="15" t="str">
        <f t="shared" ca="1" si="806"/>
        <v>RadioCard_TETRA_Devices!B46</v>
      </c>
    </row>
    <row r="3024" spans="1:11" x14ac:dyDescent="0.25">
      <c r="A3024" s="3" t="str">
        <f t="shared" ca="1" si="807"/>
        <v/>
      </c>
      <c r="G3024" s="15">
        <f t="shared" ca="1" si="818"/>
        <v>47</v>
      </c>
      <c r="H3024" s="15">
        <v>1</v>
      </c>
      <c r="I3024" s="15" t="str">
        <f t="shared" ca="1" si="819"/>
        <v>RadioCard_TETRA_Devices</v>
      </c>
      <c r="J3024" s="15" t="str">
        <f t="shared" ca="1" si="805"/>
        <v>RadioCard_TETRA_Devices!A47</v>
      </c>
      <c r="K3024" s="15" t="str">
        <f t="shared" ca="1" si="806"/>
        <v>RadioCard_TETRA_Devices!B47</v>
      </c>
    </row>
    <row r="3025" spans="1:16" x14ac:dyDescent="0.25">
      <c r="A3025" s="3" t="str">
        <f t="shared" ca="1" si="807"/>
        <v/>
      </c>
      <c r="G3025" s="15">
        <f t="shared" ca="1" si="818"/>
        <v>48</v>
      </c>
      <c r="H3025" s="15">
        <v>1</v>
      </c>
      <c r="I3025" s="15" t="str">
        <f t="shared" ca="1" si="819"/>
        <v>RadioCard_TETRA_Devices</v>
      </c>
      <c r="J3025" s="15" t="str">
        <f t="shared" ca="1" si="805"/>
        <v>RadioCard_TETRA_Devices!A48</v>
      </c>
      <c r="K3025" s="15" t="str">
        <f t="shared" ca="1" si="806"/>
        <v>RadioCard_TETRA_Devices!B48</v>
      </c>
    </row>
    <row r="3026" spans="1:16" x14ac:dyDescent="0.25">
      <c r="A3026" s="3" t="str">
        <f t="shared" ca="1" si="807"/>
        <v/>
      </c>
      <c r="G3026" s="15">
        <f t="shared" ca="1" si="818"/>
        <v>49</v>
      </c>
      <c r="H3026" s="15">
        <v>1</v>
      </c>
      <c r="I3026" s="15" t="str">
        <f t="shared" ca="1" si="819"/>
        <v>RadioCard_TETRA_Devices</v>
      </c>
      <c r="J3026" s="15" t="str">
        <f t="shared" ca="1" si="805"/>
        <v>RadioCard_TETRA_Devices!A49</v>
      </c>
      <c r="K3026" s="15" t="str">
        <f t="shared" ca="1" si="806"/>
        <v>RadioCard_TETRA_Devices!B49</v>
      </c>
    </row>
    <row r="3027" spans="1:16" x14ac:dyDescent="0.25">
      <c r="A3027" s="3" t="str">
        <f t="shared" ca="1" si="807"/>
        <v/>
      </c>
      <c r="G3027" s="15">
        <f t="shared" ca="1" si="818"/>
        <v>50</v>
      </c>
      <c r="H3027" s="15">
        <v>1</v>
      </c>
      <c r="I3027" s="15" t="str">
        <f t="shared" ca="1" si="819"/>
        <v>RadioCard_TETRA_Devices</v>
      </c>
      <c r="J3027" s="15" t="str">
        <f t="shared" ca="1" si="805"/>
        <v>RadioCard_TETRA_Devices!A50</v>
      </c>
      <c r="K3027" s="15" t="str">
        <f t="shared" ca="1" si="806"/>
        <v>RadioCard_TETRA_Devices!B50</v>
      </c>
    </row>
    <row r="3028" spans="1:16" x14ac:dyDescent="0.25">
      <c r="A3028" s="3" t="str">
        <f t="shared" ca="1" si="807"/>
        <v xml:space="preserve">#RadioCard_TETRA_Exp1:etap 3 =  </v>
      </c>
      <c r="G3028" s="15">
        <f t="shared" ref="G3028" ca="1" si="820">INDIRECT(M3028)</f>
        <v>91</v>
      </c>
      <c r="H3028" s="15">
        <v>1</v>
      </c>
      <c r="I3028" s="15" t="str">
        <f t="shared" ref="I3028" ca="1" si="821">INDIRECT(N3028)</f>
        <v>RadioCard_TETRA_Exp2</v>
      </c>
      <c r="J3028" s="15" t="str">
        <f t="shared" ca="1" si="805"/>
        <v>RadioCard_TETRA_Exp2!A91</v>
      </c>
      <c r="K3028" s="15" t="str">
        <f t="shared" ca="1" si="806"/>
        <v>RadioCard_TETRA_Exp2!B91</v>
      </c>
      <c r="M3028" s="15" t="str">
        <f t="shared" ref="M3028" si="822">ADDRESS(O3028,3,4,1,$R$1)</f>
        <v>konfig!C153</v>
      </c>
      <c r="N3028" s="15" t="str">
        <f t="shared" ref="N3028" si="823">ADDRESS(O3028,1,4,1,$R$1)</f>
        <v>konfig!A153</v>
      </c>
      <c r="O3028" s="15">
        <v>153</v>
      </c>
      <c r="P3028" s="15">
        <v>4</v>
      </c>
    </row>
    <row r="3029" spans="1:16" x14ac:dyDescent="0.25">
      <c r="A3029" s="3" t="str">
        <f t="shared" ca="1" si="807"/>
        <v xml:space="preserve">device = MCP23017 </v>
      </c>
      <c r="G3029" s="15">
        <f t="shared" ca="1" si="812"/>
        <v>92</v>
      </c>
      <c r="H3029" s="15">
        <v>1</v>
      </c>
      <c r="I3029" s="15" t="str">
        <f t="shared" ca="1" si="813"/>
        <v>RadioCard_TETRA_Exp2</v>
      </c>
      <c r="J3029" s="15" t="str">
        <f t="shared" ca="1" si="805"/>
        <v>RadioCard_TETRA_Exp2!A92</v>
      </c>
      <c r="K3029" s="15" t="str">
        <f t="shared" ca="1" si="806"/>
        <v>RadioCard_TETRA_Exp2!B92</v>
      </c>
    </row>
    <row r="3030" spans="1:16" x14ac:dyDescent="0.25">
      <c r="A3030" s="3" t="str">
        <f t="shared" ca="1" si="807"/>
        <v xml:space="preserve">i2c_addr = 0x27 </v>
      </c>
      <c r="G3030" s="15">
        <f t="shared" ca="1" si="818"/>
        <v>93</v>
      </c>
      <c r="H3030" s="15">
        <v>1</v>
      </c>
      <c r="I3030" s="15" t="str">
        <f t="shared" ca="1" si="819"/>
        <v>RadioCard_TETRA_Exp2</v>
      </c>
      <c r="J3030" s="15" t="str">
        <f t="shared" ca="1" si="805"/>
        <v>RadioCard_TETRA_Exp2!A93</v>
      </c>
      <c r="K3030" s="15" t="str">
        <f t="shared" ca="1" si="806"/>
        <v>RadioCard_TETRA_Exp2!B93</v>
      </c>
    </row>
    <row r="3031" spans="1:16" x14ac:dyDescent="0.25">
      <c r="A3031" s="3" t="str">
        <f t="shared" ca="1" si="807"/>
        <v xml:space="preserve">i2c_num = /dev/i2c-1 </v>
      </c>
      <c r="C3031" s="16"/>
      <c r="G3031" s="15">
        <f t="shared" ca="1" si="818"/>
        <v>94</v>
      </c>
      <c r="H3031" s="15">
        <v>1</v>
      </c>
      <c r="I3031" s="15" t="str">
        <f t="shared" ca="1" si="819"/>
        <v>RadioCard_TETRA_Exp2</v>
      </c>
      <c r="J3031" s="15" t="str">
        <f t="shared" ca="1" si="805"/>
        <v>RadioCard_TETRA_Exp2!A94</v>
      </c>
      <c r="K3031" s="15" t="str">
        <f t="shared" ca="1" si="806"/>
        <v>RadioCard_TETRA_Exp2!B94</v>
      </c>
    </row>
    <row r="3032" spans="1:16" x14ac:dyDescent="0.25">
      <c r="A3032" s="3" t="str">
        <f t="shared" ca="1" si="807"/>
        <v xml:space="preserve">pins_mode = 0xCE8C </v>
      </c>
      <c r="G3032" s="15">
        <f t="shared" ca="1" si="818"/>
        <v>95</v>
      </c>
      <c r="H3032" s="15">
        <v>1</v>
      </c>
      <c r="I3032" s="15" t="str">
        <f t="shared" ca="1" si="819"/>
        <v>RadioCard_TETRA_Exp2</v>
      </c>
      <c r="J3032" s="15" t="str">
        <f t="shared" ca="1" si="805"/>
        <v>RadioCard_TETRA_Exp2!A95</v>
      </c>
      <c r="K3032" s="15" t="str">
        <f t="shared" ca="1" si="806"/>
        <v>RadioCard_TETRA_Exp2!B95</v>
      </c>
    </row>
    <row r="3033" spans="1:16" x14ac:dyDescent="0.25">
      <c r="A3033" s="3" t="str">
        <f t="shared" ca="1" si="807"/>
        <v xml:space="preserve">pins_state = 0x3133 </v>
      </c>
      <c r="G3033" s="15">
        <f t="shared" ca="1" si="818"/>
        <v>96</v>
      </c>
      <c r="H3033" s="15">
        <v>1</v>
      </c>
      <c r="I3033" s="15" t="str">
        <f t="shared" ca="1" si="819"/>
        <v>RadioCard_TETRA_Exp2</v>
      </c>
      <c r="J3033" s="15" t="str">
        <f t="shared" ca="1" si="805"/>
        <v>RadioCard_TETRA_Exp2!A96</v>
      </c>
      <c r="K3033" s="15" t="str">
        <f t="shared" ca="1" si="806"/>
        <v>RadioCard_TETRA_Exp2!B96</v>
      </c>
    </row>
    <row r="3034" spans="1:16" x14ac:dyDescent="0.25">
      <c r="A3034" s="3" t="str">
        <f t="shared" ca="1" si="807"/>
        <v xml:space="preserve">pins_pull_up = 0x4808 </v>
      </c>
      <c r="G3034" s="15">
        <f t="shared" ca="1" si="818"/>
        <v>97</v>
      </c>
      <c r="H3034" s="15">
        <v>1</v>
      </c>
      <c r="I3034" s="15" t="str">
        <f t="shared" ca="1" si="819"/>
        <v>RadioCard_TETRA_Exp2</v>
      </c>
      <c r="J3034" s="15" t="str">
        <f t="shared" ca="1" si="805"/>
        <v>RadioCard_TETRA_Exp2!A97</v>
      </c>
      <c r="K3034" s="15" t="str">
        <f t="shared" ca="1" si="806"/>
        <v>RadioCard_TETRA_Exp2!B97</v>
      </c>
    </row>
    <row r="3035" spans="1:16" x14ac:dyDescent="0.25">
      <c r="A3035" s="3" t="str">
        <f t="shared" ca="1" si="807"/>
        <v xml:space="preserve">#pins_int = 0x0000 </v>
      </c>
      <c r="G3035" s="15">
        <f t="shared" ca="1" si="818"/>
        <v>98</v>
      </c>
      <c r="H3035" s="15">
        <v>1</v>
      </c>
      <c r="I3035" s="15" t="str">
        <f t="shared" ca="1" si="819"/>
        <v>RadioCard_TETRA_Exp2</v>
      </c>
      <c r="J3035" s="15" t="str">
        <f t="shared" ca="1" si="805"/>
        <v>RadioCard_TETRA_Exp2!A98</v>
      </c>
      <c r="K3035" s="15" t="str">
        <f t="shared" ca="1" si="806"/>
        <v>RadioCard_TETRA_Exp2!B98</v>
      </c>
    </row>
    <row r="3036" spans="1:16" x14ac:dyDescent="0.25">
      <c r="A3036" s="3" t="str">
        <f t="shared" ca="1" si="807"/>
        <v xml:space="preserve">#pins_def_val = 0x0000 </v>
      </c>
      <c r="G3036" s="15">
        <f t="shared" ca="1" si="818"/>
        <v>99</v>
      </c>
      <c r="H3036" s="15">
        <v>1</v>
      </c>
      <c r="I3036" s="15" t="str">
        <f t="shared" ca="1" si="819"/>
        <v>RadioCard_TETRA_Exp2</v>
      </c>
      <c r="J3036" s="15" t="str">
        <f t="shared" ca="1" si="805"/>
        <v>RadioCard_TETRA_Exp2!A99</v>
      </c>
      <c r="K3036" s="15" t="str">
        <f t="shared" ca="1" si="806"/>
        <v>RadioCard_TETRA_Exp2!B99</v>
      </c>
    </row>
    <row r="3037" spans="1:16" x14ac:dyDescent="0.25">
      <c r="A3037" s="3" t="str">
        <f t="shared" ca="1" si="807"/>
        <v/>
      </c>
      <c r="G3037" s="15">
        <f t="shared" ca="1" si="818"/>
        <v>100</v>
      </c>
      <c r="H3037" s="15">
        <v>1</v>
      </c>
      <c r="I3037" s="15" t="str">
        <f t="shared" ca="1" si="819"/>
        <v>RadioCard_TETRA_Exp2</v>
      </c>
      <c r="J3037" s="15" t="str">
        <f t="shared" ca="1" si="805"/>
        <v>RadioCard_TETRA_Exp2!A100</v>
      </c>
      <c r="K3037" s="15" t="str">
        <f t="shared" ca="1" si="806"/>
        <v>RadioCard_TETRA_Exp2!B100</v>
      </c>
    </row>
    <row r="3038" spans="1:16" x14ac:dyDescent="0.25">
      <c r="A3038" s="3" t="str">
        <f t="shared" ca="1" si="807"/>
        <v xml:space="preserve">#pins_int = 10 </v>
      </c>
      <c r="G3038" s="15">
        <f t="shared" ca="1" si="818"/>
        <v>101</v>
      </c>
      <c r="H3038" s="15">
        <v>1</v>
      </c>
      <c r="I3038" s="15" t="str">
        <f t="shared" ca="1" si="819"/>
        <v>RadioCard_TETRA_Exp2</v>
      </c>
      <c r="J3038" s="15" t="str">
        <f t="shared" ca="1" si="805"/>
        <v>RadioCard_TETRA_Exp2!A101</v>
      </c>
      <c r="K3038" s="15" t="str">
        <f t="shared" ca="1" si="806"/>
        <v>RadioCard_TETRA_Exp2!B101</v>
      </c>
    </row>
    <row r="3039" spans="1:16" x14ac:dyDescent="0.25">
      <c r="A3039" s="3" t="str">
        <f t="shared" ca="1" si="807"/>
        <v/>
      </c>
      <c r="C3039" s="16"/>
      <c r="G3039" s="15">
        <f t="shared" ca="1" si="818"/>
        <v>102</v>
      </c>
      <c r="H3039" s="15">
        <v>1</v>
      </c>
      <c r="I3039" s="15" t="str">
        <f t="shared" ca="1" si="819"/>
        <v>RadioCard_TETRA_Exp2</v>
      </c>
      <c r="J3039" s="15" t="str">
        <f t="shared" ca="1" si="805"/>
        <v>RadioCard_TETRA_Exp2!A102</v>
      </c>
      <c r="K3039" s="15" t="str">
        <f t="shared" ca="1" si="806"/>
        <v>RadioCard_TETRA_Exp2!B102</v>
      </c>
    </row>
    <row r="3040" spans="1:16" x14ac:dyDescent="0.25">
      <c r="A3040" s="3" t="str">
        <f t="shared" ca="1" si="807"/>
        <v/>
      </c>
      <c r="G3040" s="15">
        <f t="shared" ca="1" si="818"/>
        <v>103</v>
      </c>
      <c r="H3040" s="15">
        <v>1</v>
      </c>
      <c r="I3040" s="15" t="str">
        <f t="shared" ca="1" si="819"/>
        <v>RadioCard_TETRA_Exp2</v>
      </c>
      <c r="J3040" s="15" t="str">
        <f t="shared" ca="1" si="805"/>
        <v>RadioCard_TETRA_Exp2!A103</v>
      </c>
      <c r="K3040" s="15" t="str">
        <f t="shared" ca="1" si="806"/>
        <v>RadioCard_TETRA_Exp2!B103</v>
      </c>
    </row>
    <row r="3041" spans="1:16" x14ac:dyDescent="0.25">
      <c r="A3041" s="3" t="str">
        <f t="shared" ca="1" si="807"/>
        <v/>
      </c>
      <c r="G3041" s="15">
        <f t="shared" ca="1" si="818"/>
        <v>104</v>
      </c>
      <c r="H3041" s="15">
        <v>1</v>
      </c>
      <c r="I3041" s="15" t="str">
        <f t="shared" ca="1" si="819"/>
        <v>RadioCard_TETRA_Exp2</v>
      </c>
      <c r="J3041" s="15" t="str">
        <f t="shared" ca="1" si="805"/>
        <v>RadioCard_TETRA_Exp2!A104</v>
      </c>
      <c r="K3041" s="15" t="str">
        <f t="shared" ca="1" si="806"/>
        <v>RadioCard_TETRA_Exp2!B104</v>
      </c>
    </row>
    <row r="3042" spans="1:16" x14ac:dyDescent="0.25">
      <c r="A3042" s="3" t="str">
        <f t="shared" ca="1" si="807"/>
        <v/>
      </c>
      <c r="G3042" s="15">
        <f t="shared" ca="1" si="818"/>
        <v>105</v>
      </c>
      <c r="H3042" s="15">
        <v>1</v>
      </c>
      <c r="I3042" s="15" t="str">
        <f t="shared" ca="1" si="819"/>
        <v>RadioCard_TETRA_Exp2</v>
      </c>
      <c r="J3042" s="15" t="str">
        <f t="shared" ca="1" si="805"/>
        <v>RadioCard_TETRA_Exp2!A105</v>
      </c>
      <c r="K3042" s="15" t="str">
        <f t="shared" ca="1" si="806"/>
        <v>RadioCard_TETRA_Exp2!B105</v>
      </c>
    </row>
    <row r="3043" spans="1:16" x14ac:dyDescent="0.25">
      <c r="A3043" s="3" t="str">
        <f t="shared" ca="1" si="807"/>
        <v/>
      </c>
      <c r="G3043" s="15">
        <f t="shared" ca="1" si="818"/>
        <v>106</v>
      </c>
      <c r="H3043" s="15">
        <v>1</v>
      </c>
      <c r="I3043" s="15" t="str">
        <f t="shared" ca="1" si="819"/>
        <v>RadioCard_TETRA_Exp2</v>
      </c>
      <c r="J3043" s="15" t="str">
        <f t="shared" ca="1" si="805"/>
        <v>RadioCard_TETRA_Exp2!A106</v>
      </c>
      <c r="K3043" s="15" t="str">
        <f t="shared" ca="1" si="806"/>
        <v>RadioCard_TETRA_Exp2!B106</v>
      </c>
    </row>
    <row r="3044" spans="1:16" x14ac:dyDescent="0.25">
      <c r="A3044" s="3" t="str">
        <f t="shared" ca="1" si="807"/>
        <v/>
      </c>
      <c r="G3044" s="15">
        <f t="shared" ca="1" si="818"/>
        <v>107</v>
      </c>
      <c r="H3044" s="15">
        <v>1</v>
      </c>
      <c r="I3044" s="15" t="str">
        <f t="shared" ca="1" si="819"/>
        <v>RadioCard_TETRA_Exp2</v>
      </c>
      <c r="J3044" s="15" t="str">
        <f t="shared" ref="J3044:J3107" ca="1" si="824">ADDRESS(G3044,H3044,4,1,I3044)</f>
        <v>RadioCard_TETRA_Exp2!A107</v>
      </c>
      <c r="K3044" s="15" t="str">
        <f t="shared" ref="K3044:K3107" ca="1" si="825">ADDRESS(G3044,H3044+1,4,1,I3044)</f>
        <v>RadioCard_TETRA_Exp2!B107</v>
      </c>
    </row>
    <row r="3045" spans="1:16" x14ac:dyDescent="0.25">
      <c r="A3045" s="3" t="str">
        <f t="shared" ca="1" si="807"/>
        <v/>
      </c>
      <c r="G3045" s="15">
        <f t="shared" ca="1" si="818"/>
        <v>108</v>
      </c>
      <c r="H3045" s="15">
        <v>1</v>
      </c>
      <c r="I3045" s="15" t="str">
        <f t="shared" ca="1" si="819"/>
        <v>RadioCard_TETRA_Exp2</v>
      </c>
      <c r="J3045" s="15" t="str">
        <f t="shared" ca="1" si="824"/>
        <v>RadioCard_TETRA_Exp2!A108</v>
      </c>
      <c r="K3045" s="15" t="str">
        <f t="shared" ca="1" si="825"/>
        <v>RadioCard_TETRA_Exp2!B108</v>
      </c>
    </row>
    <row r="3046" spans="1:16" x14ac:dyDescent="0.25">
      <c r="A3046" s="3" t="str">
        <f t="shared" ca="1" si="807"/>
        <v/>
      </c>
      <c r="G3046" s="15">
        <f t="shared" ca="1" si="818"/>
        <v>109</v>
      </c>
      <c r="H3046" s="15">
        <v>1</v>
      </c>
      <c r="I3046" s="15" t="str">
        <f t="shared" ca="1" si="819"/>
        <v>RadioCard_TETRA_Exp2</v>
      </c>
      <c r="J3046" s="15" t="str">
        <f t="shared" ca="1" si="824"/>
        <v>RadioCard_TETRA_Exp2!A109</v>
      </c>
      <c r="K3046" s="15" t="str">
        <f t="shared" ca="1" si="825"/>
        <v>RadioCard_TETRA_Exp2!B109</v>
      </c>
    </row>
    <row r="3047" spans="1:16" x14ac:dyDescent="0.25">
      <c r="A3047" s="3" t="str">
        <f t="shared" ca="1" si="807"/>
        <v/>
      </c>
      <c r="G3047" s="15">
        <f t="shared" ca="1" si="818"/>
        <v>110</v>
      </c>
      <c r="H3047" s="15">
        <v>1</v>
      </c>
      <c r="I3047" s="15" t="str">
        <f t="shared" ca="1" si="819"/>
        <v>RadioCard_TETRA_Exp2</v>
      </c>
      <c r="J3047" s="15" t="str">
        <f t="shared" ca="1" si="824"/>
        <v>RadioCard_TETRA_Exp2!A110</v>
      </c>
      <c r="K3047" s="15" t="str">
        <f t="shared" ca="1" si="825"/>
        <v>RadioCard_TETRA_Exp2!B110</v>
      </c>
    </row>
    <row r="3048" spans="1:16" x14ac:dyDescent="0.25">
      <c r="A3048" s="3" t="str">
        <f t="shared" ca="1" si="807"/>
        <v xml:space="preserve">#I2C_Expander_11:etap 5- Karty =  </v>
      </c>
      <c r="G3048" s="15">
        <f t="shared" ref="G3048" ca="1" si="826">INDIRECT(M3048)</f>
        <v>131</v>
      </c>
      <c r="H3048" s="15">
        <v>1</v>
      </c>
      <c r="I3048" s="15" t="str">
        <f t="shared" ref="I3048" ca="1" si="827">INDIRECT(N3048)</f>
        <v>I2C_Expander_11</v>
      </c>
      <c r="J3048" s="15" t="str">
        <f t="shared" ca="1" si="824"/>
        <v>I2C_Expander_11!A131</v>
      </c>
      <c r="K3048" s="15" t="str">
        <f t="shared" ca="1" si="825"/>
        <v>I2C_Expander_11!B131</v>
      </c>
      <c r="M3048" s="15" t="str">
        <f t="shared" ref="M3048" si="828">ADDRESS(O3048,3,4,1,$R$1)</f>
        <v>konfig!C154</v>
      </c>
      <c r="N3048" s="15" t="str">
        <f t="shared" ref="N3048" si="829">ADDRESS(O3048,1,4,1,$R$1)</f>
        <v>konfig!A154</v>
      </c>
      <c r="O3048" s="15">
        <v>154</v>
      </c>
      <c r="P3048" s="15">
        <v>4</v>
      </c>
    </row>
    <row r="3049" spans="1:16" x14ac:dyDescent="0.25">
      <c r="A3049" s="3" t="str">
        <f t="shared" ca="1" si="807"/>
        <v xml:space="preserve">device = MCP23017 </v>
      </c>
      <c r="G3049" s="15">
        <f t="shared" ref="G3049:G3092" ca="1" si="830">G3048+1</f>
        <v>132</v>
      </c>
      <c r="H3049" s="15">
        <v>1</v>
      </c>
      <c r="I3049" s="15" t="str">
        <f t="shared" ref="I3049:I3092" ca="1" si="831">I3048</f>
        <v>I2C_Expander_11</v>
      </c>
      <c r="J3049" s="15" t="str">
        <f t="shared" ca="1" si="824"/>
        <v>I2C_Expander_11!A132</v>
      </c>
      <c r="K3049" s="15" t="str">
        <f t="shared" ca="1" si="825"/>
        <v>I2C_Expander_11!B132</v>
      </c>
    </row>
    <row r="3050" spans="1:16" x14ac:dyDescent="0.25">
      <c r="A3050" s="3" t="str">
        <f t="shared" ca="1" si="807"/>
        <v xml:space="preserve">i2c_addr = 0x21 </v>
      </c>
      <c r="G3050" s="15">
        <f t="shared" ca="1" si="830"/>
        <v>133</v>
      </c>
      <c r="H3050" s="15">
        <v>1</v>
      </c>
      <c r="I3050" s="15" t="str">
        <f t="shared" ca="1" si="831"/>
        <v>I2C_Expander_11</v>
      </c>
      <c r="J3050" s="15" t="str">
        <f t="shared" ca="1" si="824"/>
        <v>I2C_Expander_11!A133</v>
      </c>
      <c r="K3050" s="15" t="str">
        <f t="shared" ca="1" si="825"/>
        <v>I2C_Expander_11!B133</v>
      </c>
    </row>
    <row r="3051" spans="1:16" x14ac:dyDescent="0.25">
      <c r="A3051" s="3" t="str">
        <f t="shared" ca="1" si="807"/>
        <v xml:space="preserve">i2c_num = /dev/i2c-1 </v>
      </c>
      <c r="C3051" s="16"/>
      <c r="G3051" s="15">
        <f t="shared" ca="1" si="830"/>
        <v>134</v>
      </c>
      <c r="H3051" s="15">
        <v>1</v>
      </c>
      <c r="I3051" s="15" t="str">
        <f t="shared" ca="1" si="831"/>
        <v>I2C_Expander_11</v>
      </c>
      <c r="J3051" s="15" t="str">
        <f t="shared" ca="1" si="824"/>
        <v>I2C_Expander_11!A134</v>
      </c>
      <c r="K3051" s="15" t="str">
        <f t="shared" ca="1" si="825"/>
        <v>I2C_Expander_11!B134</v>
      </c>
    </row>
    <row r="3052" spans="1:16" x14ac:dyDescent="0.25">
      <c r="A3052" s="3" t="str">
        <f t="shared" ref="A3052:A3115" ca="1" si="832">IFERROR(IF(INDIRECT(J3052)&lt;&gt;"",CONCATENATE(INDIRECT(J3052)," = ",INDIRECT(K3052)," "),""),"")</f>
        <v xml:space="preserve">pins_mode = 0x7450 </v>
      </c>
      <c r="G3052" s="15">
        <f t="shared" ca="1" si="830"/>
        <v>135</v>
      </c>
      <c r="H3052" s="15">
        <v>1</v>
      </c>
      <c r="I3052" s="15" t="str">
        <f t="shared" ca="1" si="831"/>
        <v>I2C_Expander_11</v>
      </c>
      <c r="J3052" s="15" t="str">
        <f t="shared" ca="1" si="824"/>
        <v>I2C_Expander_11!A135</v>
      </c>
      <c r="K3052" s="15" t="str">
        <f t="shared" ca="1" si="825"/>
        <v>I2C_Expander_11!B135</v>
      </c>
    </row>
    <row r="3053" spans="1:16" x14ac:dyDescent="0.25">
      <c r="A3053" s="3" t="str">
        <f t="shared" ca="1" si="832"/>
        <v xml:space="preserve">pins_state = 0x0BA7 </v>
      </c>
      <c r="G3053" s="15">
        <f t="shared" ca="1" si="818"/>
        <v>136</v>
      </c>
      <c r="H3053" s="15">
        <v>1</v>
      </c>
      <c r="I3053" s="15" t="str">
        <f t="shared" ca="1" si="819"/>
        <v>I2C_Expander_11</v>
      </c>
      <c r="J3053" s="15" t="str">
        <f t="shared" ca="1" si="824"/>
        <v>I2C_Expander_11!A136</v>
      </c>
      <c r="K3053" s="15" t="str">
        <f t="shared" ca="1" si="825"/>
        <v>I2C_Expander_11!B136</v>
      </c>
    </row>
    <row r="3054" spans="1:16" x14ac:dyDescent="0.25">
      <c r="A3054" s="3" t="str">
        <f t="shared" ca="1" si="832"/>
        <v xml:space="preserve">pins_pull_up = 0x0000 </v>
      </c>
      <c r="G3054" s="15">
        <f t="shared" ca="1" si="818"/>
        <v>137</v>
      </c>
      <c r="H3054" s="15">
        <v>1</v>
      </c>
      <c r="I3054" s="15" t="str">
        <f t="shared" ca="1" si="819"/>
        <v>I2C_Expander_11</v>
      </c>
      <c r="J3054" s="15" t="str">
        <f t="shared" ca="1" si="824"/>
        <v>I2C_Expander_11!A137</v>
      </c>
      <c r="K3054" s="15" t="str">
        <f t="shared" ca="1" si="825"/>
        <v>I2C_Expander_11!B137</v>
      </c>
    </row>
    <row r="3055" spans="1:16" x14ac:dyDescent="0.25">
      <c r="A3055" s="3" t="str">
        <f t="shared" ca="1" si="832"/>
        <v xml:space="preserve">#pins_int = 0x0000 </v>
      </c>
      <c r="G3055" s="15">
        <f t="shared" ca="1" si="818"/>
        <v>138</v>
      </c>
      <c r="H3055" s="15">
        <v>1</v>
      </c>
      <c r="I3055" s="15" t="str">
        <f t="shared" ca="1" si="819"/>
        <v>I2C_Expander_11</v>
      </c>
      <c r="J3055" s="15" t="str">
        <f t="shared" ca="1" si="824"/>
        <v>I2C_Expander_11!A138</v>
      </c>
      <c r="K3055" s="15" t="str">
        <f t="shared" ca="1" si="825"/>
        <v>I2C_Expander_11!B138</v>
      </c>
    </row>
    <row r="3056" spans="1:16" x14ac:dyDescent="0.25">
      <c r="A3056" s="3" t="str">
        <f t="shared" ca="1" si="832"/>
        <v xml:space="preserve">#pins_def_val = 0x0000 </v>
      </c>
      <c r="G3056" s="15">
        <f t="shared" ca="1" si="818"/>
        <v>139</v>
      </c>
      <c r="H3056" s="15">
        <v>1</v>
      </c>
      <c r="I3056" s="15" t="str">
        <f t="shared" ca="1" si="819"/>
        <v>I2C_Expander_11</v>
      </c>
      <c r="J3056" s="15" t="str">
        <f t="shared" ca="1" si="824"/>
        <v>I2C_Expander_11!A139</v>
      </c>
      <c r="K3056" s="15" t="str">
        <f t="shared" ca="1" si="825"/>
        <v>I2C_Expander_11!B139</v>
      </c>
    </row>
    <row r="3057" spans="1:16" x14ac:dyDescent="0.25">
      <c r="A3057" s="3" t="str">
        <f t="shared" ca="1" si="832"/>
        <v/>
      </c>
      <c r="G3057" s="15">
        <f t="shared" ca="1" si="818"/>
        <v>140</v>
      </c>
      <c r="H3057" s="15">
        <v>1</v>
      </c>
      <c r="I3057" s="15" t="str">
        <f t="shared" ca="1" si="819"/>
        <v>I2C_Expander_11</v>
      </c>
      <c r="J3057" s="15" t="str">
        <f t="shared" ca="1" si="824"/>
        <v>I2C_Expander_11!A140</v>
      </c>
      <c r="K3057" s="15" t="str">
        <f t="shared" ca="1" si="825"/>
        <v>I2C_Expander_11!B140</v>
      </c>
    </row>
    <row r="3058" spans="1:16" x14ac:dyDescent="0.25">
      <c r="A3058" s="3" t="str">
        <f t="shared" ca="1" si="832"/>
        <v xml:space="preserve">#pins_int = 10 </v>
      </c>
      <c r="G3058" s="15">
        <f t="shared" ca="1" si="818"/>
        <v>141</v>
      </c>
      <c r="H3058" s="15">
        <v>1</v>
      </c>
      <c r="I3058" s="15" t="str">
        <f t="shared" ca="1" si="819"/>
        <v>I2C_Expander_11</v>
      </c>
      <c r="J3058" s="15" t="str">
        <f t="shared" ca="1" si="824"/>
        <v>I2C_Expander_11!A141</v>
      </c>
      <c r="K3058" s="15" t="str">
        <f t="shared" ca="1" si="825"/>
        <v>I2C_Expander_11!B141</v>
      </c>
    </row>
    <row r="3059" spans="1:16" x14ac:dyDescent="0.25">
      <c r="A3059" s="3" t="str">
        <f t="shared" ca="1" si="832"/>
        <v/>
      </c>
      <c r="C3059" s="16"/>
      <c r="G3059" s="15">
        <f t="shared" ca="1" si="818"/>
        <v>142</v>
      </c>
      <c r="H3059" s="15">
        <v>1</v>
      </c>
      <c r="I3059" s="15" t="str">
        <f t="shared" ca="1" si="819"/>
        <v>I2C_Expander_11</v>
      </c>
      <c r="J3059" s="15" t="str">
        <f t="shared" ca="1" si="824"/>
        <v>I2C_Expander_11!A142</v>
      </c>
      <c r="K3059" s="15" t="str">
        <f t="shared" ca="1" si="825"/>
        <v>I2C_Expander_11!B142</v>
      </c>
    </row>
    <row r="3060" spans="1:16" x14ac:dyDescent="0.25">
      <c r="A3060" s="3" t="str">
        <f t="shared" ca="1" si="832"/>
        <v/>
      </c>
      <c r="G3060" s="15">
        <f t="shared" ca="1" si="818"/>
        <v>143</v>
      </c>
      <c r="H3060" s="15">
        <v>1</v>
      </c>
      <c r="I3060" s="15" t="str">
        <f t="shared" ca="1" si="819"/>
        <v>I2C_Expander_11</v>
      </c>
      <c r="J3060" s="15" t="str">
        <f t="shared" ca="1" si="824"/>
        <v>I2C_Expander_11!A143</v>
      </c>
      <c r="K3060" s="15" t="str">
        <f t="shared" ca="1" si="825"/>
        <v>I2C_Expander_11!B143</v>
      </c>
    </row>
    <row r="3061" spans="1:16" x14ac:dyDescent="0.25">
      <c r="A3061" s="3" t="str">
        <f t="shared" ca="1" si="832"/>
        <v/>
      </c>
      <c r="G3061" s="15">
        <f t="shared" ca="1" si="818"/>
        <v>144</v>
      </c>
      <c r="H3061" s="15">
        <v>1</v>
      </c>
      <c r="I3061" s="15" t="str">
        <f t="shared" ca="1" si="819"/>
        <v>I2C_Expander_11</v>
      </c>
      <c r="J3061" s="15" t="str">
        <f t="shared" ca="1" si="824"/>
        <v>I2C_Expander_11!A144</v>
      </c>
      <c r="K3061" s="15" t="str">
        <f t="shared" ca="1" si="825"/>
        <v>I2C_Expander_11!B144</v>
      </c>
    </row>
    <row r="3062" spans="1:16" x14ac:dyDescent="0.25">
      <c r="A3062" s="3" t="str">
        <f t="shared" ca="1" si="832"/>
        <v/>
      </c>
      <c r="G3062" s="15">
        <f t="shared" ca="1" si="818"/>
        <v>145</v>
      </c>
      <c r="H3062" s="15">
        <v>1</v>
      </c>
      <c r="I3062" s="15" t="str">
        <f t="shared" ca="1" si="819"/>
        <v>I2C_Expander_11</v>
      </c>
      <c r="J3062" s="15" t="str">
        <f t="shared" ca="1" si="824"/>
        <v>I2C_Expander_11!A145</v>
      </c>
      <c r="K3062" s="15" t="str">
        <f t="shared" ca="1" si="825"/>
        <v>I2C_Expander_11!B145</v>
      </c>
    </row>
    <row r="3063" spans="1:16" x14ac:dyDescent="0.25">
      <c r="A3063" s="3" t="str">
        <f t="shared" ca="1" si="832"/>
        <v/>
      </c>
      <c r="G3063" s="15">
        <f t="shared" ca="1" si="818"/>
        <v>146</v>
      </c>
      <c r="H3063" s="15">
        <v>1</v>
      </c>
      <c r="I3063" s="15" t="str">
        <f t="shared" ca="1" si="819"/>
        <v>I2C_Expander_11</v>
      </c>
      <c r="J3063" s="15" t="str">
        <f t="shared" ca="1" si="824"/>
        <v>I2C_Expander_11!A146</v>
      </c>
      <c r="K3063" s="15" t="str">
        <f t="shared" ca="1" si="825"/>
        <v>I2C_Expander_11!B146</v>
      </c>
    </row>
    <row r="3064" spans="1:16" x14ac:dyDescent="0.25">
      <c r="A3064" s="3" t="str">
        <f t="shared" ca="1" si="832"/>
        <v/>
      </c>
      <c r="G3064" s="15">
        <f t="shared" ca="1" si="818"/>
        <v>147</v>
      </c>
      <c r="H3064" s="15">
        <v>1</v>
      </c>
      <c r="I3064" s="15" t="str">
        <f t="shared" ca="1" si="819"/>
        <v>I2C_Expander_11</v>
      </c>
      <c r="J3064" s="15" t="str">
        <f t="shared" ca="1" si="824"/>
        <v>I2C_Expander_11!A147</v>
      </c>
      <c r="K3064" s="15" t="str">
        <f t="shared" ca="1" si="825"/>
        <v>I2C_Expander_11!B147</v>
      </c>
    </row>
    <row r="3065" spans="1:16" x14ac:dyDescent="0.25">
      <c r="A3065" s="3" t="str">
        <f t="shared" ca="1" si="832"/>
        <v/>
      </c>
      <c r="G3065" s="15">
        <f t="shared" ca="1" si="818"/>
        <v>148</v>
      </c>
      <c r="H3065" s="15">
        <v>1</v>
      </c>
      <c r="I3065" s="15" t="str">
        <f t="shared" ca="1" si="819"/>
        <v>I2C_Expander_11</v>
      </c>
      <c r="J3065" s="15" t="str">
        <f t="shared" ca="1" si="824"/>
        <v>I2C_Expander_11!A148</v>
      </c>
      <c r="K3065" s="15" t="str">
        <f t="shared" ca="1" si="825"/>
        <v>I2C_Expander_11!B148</v>
      </c>
    </row>
    <row r="3066" spans="1:16" x14ac:dyDescent="0.25">
      <c r="A3066" s="3" t="str">
        <f t="shared" ca="1" si="832"/>
        <v/>
      </c>
      <c r="G3066" s="15">
        <f t="shared" ca="1" si="818"/>
        <v>149</v>
      </c>
      <c r="H3066" s="15">
        <v>1</v>
      </c>
      <c r="I3066" s="15" t="str">
        <f t="shared" ca="1" si="819"/>
        <v>I2C_Expander_11</v>
      </c>
      <c r="J3066" s="15" t="str">
        <f t="shared" ca="1" si="824"/>
        <v>I2C_Expander_11!A149</v>
      </c>
      <c r="K3066" s="15" t="str">
        <f t="shared" ca="1" si="825"/>
        <v>I2C_Expander_11!B149</v>
      </c>
    </row>
    <row r="3067" spans="1:16" x14ac:dyDescent="0.25">
      <c r="A3067" s="3" t="str">
        <f t="shared" ca="1" si="832"/>
        <v/>
      </c>
      <c r="G3067" s="15">
        <f t="shared" ca="1" si="818"/>
        <v>150</v>
      </c>
      <c r="H3067" s="15">
        <v>1</v>
      </c>
      <c r="I3067" s="15" t="str">
        <f t="shared" ca="1" si="819"/>
        <v>I2C_Expander_11</v>
      </c>
      <c r="J3067" s="15" t="str">
        <f t="shared" ca="1" si="824"/>
        <v>I2C_Expander_11!A150</v>
      </c>
      <c r="K3067" s="15" t="str">
        <f t="shared" ca="1" si="825"/>
        <v>I2C_Expander_11!B150</v>
      </c>
    </row>
    <row r="3068" spans="1:16" x14ac:dyDescent="0.25">
      <c r="A3068" s="3" t="str">
        <f t="shared" ca="1" si="832"/>
        <v/>
      </c>
      <c r="G3068" s="15">
        <f t="shared" ref="G3068" ca="1" si="833">INDIRECT(M3068)</f>
        <v>31</v>
      </c>
      <c r="H3068" s="15">
        <v>1</v>
      </c>
      <c r="I3068" s="15">
        <f t="shared" ref="I3068" ca="1" si="834">INDIRECT(N3068)</f>
        <v>0</v>
      </c>
      <c r="J3068" s="15" t="str">
        <f t="shared" ca="1" si="824"/>
        <v>'0'!A31</v>
      </c>
      <c r="K3068" s="15" t="str">
        <f t="shared" ca="1" si="825"/>
        <v>'0'!B31</v>
      </c>
      <c r="M3068" s="15" t="str">
        <f t="shared" ref="M3068" si="835">ADDRESS(O3068,3,4,1,$R$1)</f>
        <v>konfig!C155</v>
      </c>
      <c r="N3068" s="15" t="str">
        <f t="shared" ref="N3068" si="836">ADDRESS(O3068,1,4,1,$R$1)</f>
        <v>konfig!A155</v>
      </c>
      <c r="O3068" s="15">
        <v>155</v>
      </c>
      <c r="P3068" s="15">
        <v>4</v>
      </c>
    </row>
    <row r="3069" spans="1:16" x14ac:dyDescent="0.25">
      <c r="A3069" s="3" t="str">
        <f t="shared" ca="1" si="832"/>
        <v/>
      </c>
      <c r="G3069" s="15">
        <f t="shared" ref="G3069:G3109" ca="1" si="837">G3068+1</f>
        <v>32</v>
      </c>
      <c r="H3069" s="15">
        <v>1</v>
      </c>
      <c r="I3069" s="15">
        <f t="shared" ref="I3069:I3109" ca="1" si="838">I3068</f>
        <v>0</v>
      </c>
      <c r="J3069" s="15" t="str">
        <f t="shared" ca="1" si="824"/>
        <v>'0'!A32</v>
      </c>
      <c r="K3069" s="15" t="str">
        <f t="shared" ca="1" si="825"/>
        <v>'0'!B32</v>
      </c>
    </row>
    <row r="3070" spans="1:16" x14ac:dyDescent="0.25">
      <c r="A3070" s="3" t="str">
        <f t="shared" ca="1" si="832"/>
        <v/>
      </c>
      <c r="G3070" s="15">
        <f t="shared" ca="1" si="818"/>
        <v>33</v>
      </c>
      <c r="H3070" s="15">
        <v>1</v>
      </c>
      <c r="I3070" s="15">
        <f t="shared" ca="1" si="819"/>
        <v>0</v>
      </c>
      <c r="J3070" s="15" t="str">
        <f t="shared" ca="1" si="824"/>
        <v>'0'!A33</v>
      </c>
      <c r="K3070" s="15" t="str">
        <f t="shared" ca="1" si="825"/>
        <v>'0'!B33</v>
      </c>
    </row>
    <row r="3071" spans="1:16" x14ac:dyDescent="0.25">
      <c r="A3071" s="3" t="str">
        <f t="shared" ca="1" si="832"/>
        <v/>
      </c>
      <c r="C3071" s="16"/>
      <c r="G3071" s="15">
        <f t="shared" ca="1" si="818"/>
        <v>34</v>
      </c>
      <c r="H3071" s="15">
        <v>1</v>
      </c>
      <c r="I3071" s="15">
        <f t="shared" ca="1" si="819"/>
        <v>0</v>
      </c>
      <c r="J3071" s="15" t="str">
        <f t="shared" ca="1" si="824"/>
        <v>'0'!A34</v>
      </c>
      <c r="K3071" s="15" t="str">
        <f t="shared" ca="1" si="825"/>
        <v>'0'!B34</v>
      </c>
    </row>
    <row r="3072" spans="1:16" x14ac:dyDescent="0.25">
      <c r="A3072" s="3" t="str">
        <f t="shared" ca="1" si="832"/>
        <v/>
      </c>
      <c r="G3072" s="15">
        <f t="shared" ca="1" si="818"/>
        <v>35</v>
      </c>
      <c r="H3072" s="15">
        <v>1</v>
      </c>
      <c r="I3072" s="15">
        <f t="shared" ca="1" si="819"/>
        <v>0</v>
      </c>
      <c r="J3072" s="15" t="str">
        <f t="shared" ca="1" si="824"/>
        <v>'0'!A35</v>
      </c>
      <c r="K3072" s="15" t="str">
        <f t="shared" ca="1" si="825"/>
        <v>'0'!B35</v>
      </c>
    </row>
    <row r="3073" spans="1:16" x14ac:dyDescent="0.25">
      <c r="A3073" s="3" t="str">
        <f t="shared" ca="1" si="832"/>
        <v/>
      </c>
      <c r="G3073" s="15">
        <f t="shared" ca="1" si="818"/>
        <v>36</v>
      </c>
      <c r="H3073" s="15">
        <v>1</v>
      </c>
      <c r="I3073" s="15">
        <f t="shared" ca="1" si="819"/>
        <v>0</v>
      </c>
      <c r="J3073" s="15" t="str">
        <f t="shared" ca="1" si="824"/>
        <v>'0'!A36</v>
      </c>
      <c r="K3073" s="15" t="str">
        <f t="shared" ca="1" si="825"/>
        <v>'0'!B36</v>
      </c>
    </row>
    <row r="3074" spans="1:16" x14ac:dyDescent="0.25">
      <c r="A3074" s="3" t="str">
        <f t="shared" ca="1" si="832"/>
        <v/>
      </c>
      <c r="G3074" s="15">
        <f t="shared" ca="1" si="818"/>
        <v>37</v>
      </c>
      <c r="H3074" s="15">
        <v>1</v>
      </c>
      <c r="I3074" s="15">
        <f t="shared" ca="1" si="819"/>
        <v>0</v>
      </c>
      <c r="J3074" s="15" t="str">
        <f t="shared" ca="1" si="824"/>
        <v>'0'!A37</v>
      </c>
      <c r="K3074" s="15" t="str">
        <f t="shared" ca="1" si="825"/>
        <v>'0'!B37</v>
      </c>
    </row>
    <row r="3075" spans="1:16" x14ac:dyDescent="0.25">
      <c r="A3075" s="3" t="str">
        <f t="shared" ca="1" si="832"/>
        <v/>
      </c>
      <c r="G3075" s="15">
        <f t="shared" ca="1" si="818"/>
        <v>38</v>
      </c>
      <c r="H3075" s="15">
        <v>1</v>
      </c>
      <c r="I3075" s="15">
        <f t="shared" ca="1" si="819"/>
        <v>0</v>
      </c>
      <c r="J3075" s="15" t="str">
        <f t="shared" ca="1" si="824"/>
        <v>'0'!A38</v>
      </c>
      <c r="K3075" s="15" t="str">
        <f t="shared" ca="1" si="825"/>
        <v>'0'!B38</v>
      </c>
    </row>
    <row r="3076" spans="1:16" x14ac:dyDescent="0.25">
      <c r="A3076" s="3" t="str">
        <f t="shared" ca="1" si="832"/>
        <v/>
      </c>
      <c r="G3076" s="15">
        <f t="shared" ca="1" si="818"/>
        <v>39</v>
      </c>
      <c r="H3076" s="15">
        <v>1</v>
      </c>
      <c r="I3076" s="15">
        <f t="shared" ca="1" si="819"/>
        <v>0</v>
      </c>
      <c r="J3076" s="15" t="str">
        <f t="shared" ca="1" si="824"/>
        <v>'0'!A39</v>
      </c>
      <c r="K3076" s="15" t="str">
        <f t="shared" ca="1" si="825"/>
        <v>'0'!B39</v>
      </c>
    </row>
    <row r="3077" spans="1:16" x14ac:dyDescent="0.25">
      <c r="A3077" s="3" t="str">
        <f t="shared" ca="1" si="832"/>
        <v/>
      </c>
      <c r="G3077" s="15">
        <f t="shared" ca="1" si="818"/>
        <v>40</v>
      </c>
      <c r="H3077" s="15">
        <v>1</v>
      </c>
      <c r="I3077" s="15">
        <f t="shared" ca="1" si="819"/>
        <v>0</v>
      </c>
      <c r="J3077" s="15" t="str">
        <f t="shared" ca="1" si="824"/>
        <v>'0'!A40</v>
      </c>
      <c r="K3077" s="15" t="str">
        <f t="shared" ca="1" si="825"/>
        <v>'0'!B40</v>
      </c>
    </row>
    <row r="3078" spans="1:16" x14ac:dyDescent="0.25">
      <c r="A3078" s="3" t="str">
        <f t="shared" ca="1" si="832"/>
        <v/>
      </c>
      <c r="G3078" s="15">
        <f t="shared" ca="1" si="818"/>
        <v>41</v>
      </c>
      <c r="H3078" s="15">
        <v>1</v>
      </c>
      <c r="I3078" s="15">
        <f t="shared" ca="1" si="819"/>
        <v>0</v>
      </c>
      <c r="J3078" s="15" t="str">
        <f t="shared" ca="1" si="824"/>
        <v>'0'!A41</v>
      </c>
      <c r="K3078" s="15" t="str">
        <f t="shared" ca="1" si="825"/>
        <v>'0'!B41</v>
      </c>
    </row>
    <row r="3079" spans="1:16" x14ac:dyDescent="0.25">
      <c r="A3079" s="3" t="str">
        <f t="shared" ca="1" si="832"/>
        <v/>
      </c>
      <c r="C3079" s="16"/>
      <c r="G3079" s="15">
        <f t="shared" ca="1" si="818"/>
        <v>42</v>
      </c>
      <c r="H3079" s="15">
        <v>1</v>
      </c>
      <c r="I3079" s="15">
        <f t="shared" ca="1" si="819"/>
        <v>0</v>
      </c>
      <c r="J3079" s="15" t="str">
        <f t="shared" ca="1" si="824"/>
        <v>'0'!A42</v>
      </c>
      <c r="K3079" s="15" t="str">
        <f t="shared" ca="1" si="825"/>
        <v>'0'!B42</v>
      </c>
    </row>
    <row r="3080" spans="1:16" x14ac:dyDescent="0.25">
      <c r="A3080" s="3" t="str">
        <f t="shared" ca="1" si="832"/>
        <v/>
      </c>
      <c r="G3080" s="15">
        <f t="shared" ca="1" si="818"/>
        <v>43</v>
      </c>
      <c r="H3080" s="15">
        <v>1</v>
      </c>
      <c r="I3080" s="15">
        <f t="shared" ca="1" si="819"/>
        <v>0</v>
      </c>
      <c r="J3080" s="15" t="str">
        <f t="shared" ca="1" si="824"/>
        <v>'0'!A43</v>
      </c>
      <c r="K3080" s="15" t="str">
        <f t="shared" ca="1" si="825"/>
        <v>'0'!B43</v>
      </c>
    </row>
    <row r="3081" spans="1:16" x14ac:dyDescent="0.25">
      <c r="A3081" s="3" t="str">
        <f t="shared" ca="1" si="832"/>
        <v/>
      </c>
      <c r="G3081" s="15">
        <f t="shared" ref="G3081:G3144" ca="1" si="839">G3080+1</f>
        <v>44</v>
      </c>
      <c r="H3081" s="15">
        <v>1</v>
      </c>
      <c r="I3081" s="15">
        <f t="shared" ref="I3081:I3144" ca="1" si="840">I3080</f>
        <v>0</v>
      </c>
      <c r="J3081" s="15" t="str">
        <f t="shared" ca="1" si="824"/>
        <v>'0'!A44</v>
      </c>
      <c r="K3081" s="15" t="str">
        <f t="shared" ca="1" si="825"/>
        <v>'0'!B44</v>
      </c>
    </row>
    <row r="3082" spans="1:16" x14ac:dyDescent="0.25">
      <c r="A3082" s="3" t="str">
        <f t="shared" ca="1" si="832"/>
        <v/>
      </c>
      <c r="G3082" s="15">
        <f t="shared" ca="1" si="839"/>
        <v>45</v>
      </c>
      <c r="H3082" s="15">
        <v>1</v>
      </c>
      <c r="I3082" s="15">
        <f t="shared" ca="1" si="840"/>
        <v>0</v>
      </c>
      <c r="J3082" s="15" t="str">
        <f t="shared" ca="1" si="824"/>
        <v>'0'!A45</v>
      </c>
      <c r="K3082" s="15" t="str">
        <f t="shared" ca="1" si="825"/>
        <v>'0'!B45</v>
      </c>
    </row>
    <row r="3083" spans="1:16" x14ac:dyDescent="0.25">
      <c r="A3083" s="3" t="str">
        <f t="shared" ca="1" si="832"/>
        <v/>
      </c>
      <c r="G3083" s="15">
        <f t="shared" ca="1" si="839"/>
        <v>46</v>
      </c>
      <c r="H3083" s="15">
        <v>1</v>
      </c>
      <c r="I3083" s="15">
        <f t="shared" ca="1" si="840"/>
        <v>0</v>
      </c>
      <c r="J3083" s="15" t="str">
        <f t="shared" ca="1" si="824"/>
        <v>'0'!A46</v>
      </c>
      <c r="K3083" s="15" t="str">
        <f t="shared" ca="1" si="825"/>
        <v>'0'!B46</v>
      </c>
    </row>
    <row r="3084" spans="1:16" x14ac:dyDescent="0.25">
      <c r="A3084" s="3" t="str">
        <f t="shared" ca="1" si="832"/>
        <v/>
      </c>
      <c r="G3084" s="15">
        <f t="shared" ca="1" si="839"/>
        <v>47</v>
      </c>
      <c r="H3084" s="15">
        <v>1</v>
      </c>
      <c r="I3084" s="15">
        <f t="shared" ca="1" si="840"/>
        <v>0</v>
      </c>
      <c r="J3084" s="15" t="str">
        <f t="shared" ca="1" si="824"/>
        <v>'0'!A47</v>
      </c>
      <c r="K3084" s="15" t="str">
        <f t="shared" ca="1" si="825"/>
        <v>'0'!B47</v>
      </c>
    </row>
    <row r="3085" spans="1:16" x14ac:dyDescent="0.25">
      <c r="A3085" s="3" t="str">
        <f t="shared" ca="1" si="832"/>
        <v/>
      </c>
      <c r="G3085" s="15">
        <f t="shared" ca="1" si="839"/>
        <v>48</v>
      </c>
      <c r="H3085" s="15">
        <v>1</v>
      </c>
      <c r="I3085" s="15">
        <f t="shared" ca="1" si="840"/>
        <v>0</v>
      </c>
      <c r="J3085" s="15" t="str">
        <f t="shared" ca="1" si="824"/>
        <v>'0'!A48</v>
      </c>
      <c r="K3085" s="15" t="str">
        <f t="shared" ca="1" si="825"/>
        <v>'0'!B48</v>
      </c>
    </row>
    <row r="3086" spans="1:16" x14ac:dyDescent="0.25">
      <c r="A3086" s="3" t="str">
        <f t="shared" ca="1" si="832"/>
        <v/>
      </c>
      <c r="G3086" s="15">
        <f t="shared" ca="1" si="839"/>
        <v>49</v>
      </c>
      <c r="H3086" s="15">
        <v>1</v>
      </c>
      <c r="I3086" s="15">
        <f t="shared" ca="1" si="840"/>
        <v>0</v>
      </c>
      <c r="J3086" s="15" t="str">
        <f t="shared" ca="1" si="824"/>
        <v>'0'!A49</v>
      </c>
      <c r="K3086" s="15" t="str">
        <f t="shared" ca="1" si="825"/>
        <v>'0'!B49</v>
      </c>
    </row>
    <row r="3087" spans="1:16" x14ac:dyDescent="0.25">
      <c r="A3087" s="3" t="str">
        <f t="shared" ca="1" si="832"/>
        <v/>
      </c>
      <c r="G3087" s="15">
        <f t="shared" ca="1" si="839"/>
        <v>50</v>
      </c>
      <c r="H3087" s="15">
        <v>1</v>
      </c>
      <c r="I3087" s="15">
        <f t="shared" ca="1" si="840"/>
        <v>0</v>
      </c>
      <c r="J3087" s="15" t="str">
        <f t="shared" ca="1" si="824"/>
        <v>'0'!A50</v>
      </c>
      <c r="K3087" s="15" t="str">
        <f t="shared" ca="1" si="825"/>
        <v>'0'!B50</v>
      </c>
    </row>
    <row r="3088" spans="1:16" x14ac:dyDescent="0.25">
      <c r="A3088" s="3" t="str">
        <f t="shared" ca="1" si="832"/>
        <v xml:space="preserve">#I2C_Bridge_GPIO:wylacz =  </v>
      </c>
      <c r="G3088" s="15">
        <f t="shared" ref="G3088" ca="1" si="841">INDIRECT(M3088)</f>
        <v>31</v>
      </c>
      <c r="H3088" s="15">
        <v>1</v>
      </c>
      <c r="I3088" s="15" t="str">
        <f t="shared" ref="I3088" ca="1" si="842">INDIRECT(N3088)</f>
        <v>I2C_Bridge_GPIO</v>
      </c>
      <c r="J3088" s="15" t="str">
        <f t="shared" ca="1" si="824"/>
        <v>I2C_Bridge_GPIO!A31</v>
      </c>
      <c r="K3088" s="15" t="str">
        <f t="shared" ca="1" si="825"/>
        <v>I2C_Bridge_GPIO!B31</v>
      </c>
      <c r="M3088" s="15" t="str">
        <f t="shared" ref="M3088" si="843">ADDRESS(O3088,3,4,1,$R$1)</f>
        <v>konfig!C156</v>
      </c>
      <c r="N3088" s="15" t="str">
        <f t="shared" ref="N3088" si="844">ADDRESS(O3088,1,4,1,$R$1)</f>
        <v>konfig!A156</v>
      </c>
      <c r="O3088" s="15">
        <v>156</v>
      </c>
      <c r="P3088" s="15">
        <v>4</v>
      </c>
    </row>
    <row r="3089" spans="1:11" x14ac:dyDescent="0.25">
      <c r="A3089" s="3" t="str">
        <f t="shared" ca="1" si="832"/>
        <v xml:space="preserve">device = TCA9548 </v>
      </c>
      <c r="G3089" s="15">
        <f t="shared" ca="1" si="830"/>
        <v>32</v>
      </c>
      <c r="H3089" s="15">
        <v>1</v>
      </c>
      <c r="I3089" s="15" t="str">
        <f t="shared" ca="1" si="831"/>
        <v>I2C_Bridge_GPIO</v>
      </c>
      <c r="J3089" s="15" t="str">
        <f t="shared" ca="1" si="824"/>
        <v>I2C_Bridge_GPIO!A32</v>
      </c>
      <c r="K3089" s="15" t="str">
        <f t="shared" ca="1" si="825"/>
        <v>I2C_Bridge_GPIO!B32</v>
      </c>
    </row>
    <row r="3090" spans="1:11" x14ac:dyDescent="0.25">
      <c r="A3090" s="3" t="str">
        <f t="shared" ca="1" si="832"/>
        <v xml:space="preserve">i2c_addr = 0x73 </v>
      </c>
      <c r="G3090" s="15">
        <f t="shared" ca="1" si="830"/>
        <v>33</v>
      </c>
      <c r="H3090" s="15">
        <v>1</v>
      </c>
      <c r="I3090" s="15" t="str">
        <f t="shared" ca="1" si="831"/>
        <v>I2C_Bridge_GPIO</v>
      </c>
      <c r="J3090" s="15" t="str">
        <f t="shared" ca="1" si="824"/>
        <v>I2C_Bridge_GPIO!A33</v>
      </c>
      <c r="K3090" s="15" t="str">
        <f t="shared" ca="1" si="825"/>
        <v>I2C_Bridge_GPIO!B33</v>
      </c>
    </row>
    <row r="3091" spans="1:11" x14ac:dyDescent="0.25">
      <c r="A3091" s="3" t="str">
        <f t="shared" ca="1" si="832"/>
        <v xml:space="preserve">i2c_num = /dev/i2c-1 </v>
      </c>
      <c r="C3091" s="16"/>
      <c r="G3091" s="15">
        <f t="shared" ca="1" si="830"/>
        <v>34</v>
      </c>
      <c r="H3091" s="15">
        <v>1</v>
      </c>
      <c r="I3091" s="15" t="str">
        <f t="shared" ca="1" si="831"/>
        <v>I2C_Bridge_GPIO</v>
      </c>
      <c r="J3091" s="15" t="str">
        <f t="shared" ca="1" si="824"/>
        <v>I2C_Bridge_GPIO!A34</v>
      </c>
      <c r="K3091" s="15" t="str">
        <f t="shared" ca="1" si="825"/>
        <v>I2C_Bridge_GPIO!B34</v>
      </c>
    </row>
    <row r="3092" spans="1:11" x14ac:dyDescent="0.25">
      <c r="A3092" s="3" t="str">
        <f t="shared" ca="1" si="832"/>
        <v xml:space="preserve">ctrl_reg = 0x00 </v>
      </c>
      <c r="G3092" s="15">
        <f t="shared" ca="1" si="830"/>
        <v>35</v>
      </c>
      <c r="H3092" s="15">
        <v>1</v>
      </c>
      <c r="I3092" s="15" t="str">
        <f t="shared" ca="1" si="831"/>
        <v>I2C_Bridge_GPIO</v>
      </c>
      <c r="J3092" s="15" t="str">
        <f t="shared" ca="1" si="824"/>
        <v>I2C_Bridge_GPIO!A35</v>
      </c>
      <c r="K3092" s="15" t="str">
        <f t="shared" ca="1" si="825"/>
        <v>I2C_Bridge_GPIO!B35</v>
      </c>
    </row>
    <row r="3093" spans="1:11" x14ac:dyDescent="0.25">
      <c r="A3093" s="3" t="str">
        <f t="shared" ca="1" si="832"/>
        <v/>
      </c>
      <c r="G3093" s="15">
        <f t="shared" ca="1" si="839"/>
        <v>36</v>
      </c>
      <c r="H3093" s="15">
        <v>1</v>
      </c>
      <c r="I3093" s="15" t="str">
        <f t="shared" ca="1" si="840"/>
        <v>I2C_Bridge_GPIO</v>
      </c>
      <c r="J3093" s="15" t="str">
        <f t="shared" ca="1" si="824"/>
        <v>I2C_Bridge_GPIO!A36</v>
      </c>
      <c r="K3093" s="15" t="str">
        <f t="shared" ca="1" si="825"/>
        <v>I2C_Bridge_GPIO!B36</v>
      </c>
    </row>
    <row r="3094" spans="1:11" x14ac:dyDescent="0.25">
      <c r="A3094" s="3" t="str">
        <f t="shared" ca="1" si="832"/>
        <v xml:space="preserve">time = 10 </v>
      </c>
      <c r="G3094" s="15">
        <f t="shared" ca="1" si="839"/>
        <v>37</v>
      </c>
      <c r="H3094" s="15">
        <v>1</v>
      </c>
      <c r="I3094" s="15" t="str">
        <f t="shared" ca="1" si="840"/>
        <v>I2C_Bridge_GPIO</v>
      </c>
      <c r="J3094" s="15" t="str">
        <f t="shared" ca="1" si="824"/>
        <v>I2C_Bridge_GPIO!A37</v>
      </c>
      <c r="K3094" s="15" t="str">
        <f t="shared" ca="1" si="825"/>
        <v>I2C_Bridge_GPIO!B37</v>
      </c>
    </row>
    <row r="3095" spans="1:11" x14ac:dyDescent="0.25">
      <c r="A3095" s="3" t="str">
        <f t="shared" ca="1" si="832"/>
        <v/>
      </c>
      <c r="G3095" s="15">
        <f t="shared" ca="1" si="839"/>
        <v>38</v>
      </c>
      <c r="H3095" s="15">
        <v>1</v>
      </c>
      <c r="I3095" s="15" t="str">
        <f t="shared" ca="1" si="840"/>
        <v>I2C_Bridge_GPIO</v>
      </c>
      <c r="J3095" s="15" t="str">
        <f t="shared" ca="1" si="824"/>
        <v>I2C_Bridge_GPIO!A38</v>
      </c>
      <c r="K3095" s="15" t="str">
        <f t="shared" ca="1" si="825"/>
        <v>I2C_Bridge_GPIO!B38</v>
      </c>
    </row>
    <row r="3096" spans="1:11" x14ac:dyDescent="0.25">
      <c r="A3096" s="3" t="str">
        <f t="shared" ca="1" si="832"/>
        <v/>
      </c>
      <c r="G3096" s="15">
        <f t="shared" ca="1" si="839"/>
        <v>39</v>
      </c>
      <c r="H3096" s="15">
        <v>1</v>
      </c>
      <c r="I3096" s="15" t="str">
        <f t="shared" ca="1" si="840"/>
        <v>I2C_Bridge_GPIO</v>
      </c>
      <c r="J3096" s="15" t="str">
        <f t="shared" ca="1" si="824"/>
        <v>I2C_Bridge_GPIO!A39</v>
      </c>
      <c r="K3096" s="15" t="str">
        <f t="shared" ca="1" si="825"/>
        <v>I2C_Bridge_GPIO!B39</v>
      </c>
    </row>
    <row r="3097" spans="1:11" x14ac:dyDescent="0.25">
      <c r="A3097" s="3" t="str">
        <f t="shared" ca="1" si="832"/>
        <v/>
      </c>
      <c r="G3097" s="15">
        <f t="shared" ca="1" si="839"/>
        <v>40</v>
      </c>
      <c r="H3097" s="15">
        <v>1</v>
      </c>
      <c r="I3097" s="15" t="str">
        <f t="shared" ca="1" si="840"/>
        <v>I2C_Bridge_GPIO</v>
      </c>
      <c r="J3097" s="15" t="str">
        <f t="shared" ca="1" si="824"/>
        <v>I2C_Bridge_GPIO!A40</v>
      </c>
      <c r="K3097" s="15" t="str">
        <f t="shared" ca="1" si="825"/>
        <v>I2C_Bridge_GPIO!B40</v>
      </c>
    </row>
    <row r="3098" spans="1:11" x14ac:dyDescent="0.25">
      <c r="A3098" s="3" t="str">
        <f t="shared" ca="1" si="832"/>
        <v/>
      </c>
      <c r="G3098" s="15">
        <f t="shared" ca="1" si="839"/>
        <v>41</v>
      </c>
      <c r="H3098" s="15">
        <v>1</v>
      </c>
      <c r="I3098" s="15" t="str">
        <f t="shared" ca="1" si="840"/>
        <v>I2C_Bridge_GPIO</v>
      </c>
      <c r="J3098" s="15" t="str">
        <f t="shared" ca="1" si="824"/>
        <v>I2C_Bridge_GPIO!A41</v>
      </c>
      <c r="K3098" s="15" t="str">
        <f t="shared" ca="1" si="825"/>
        <v>I2C_Bridge_GPIO!B41</v>
      </c>
    </row>
    <row r="3099" spans="1:11" x14ac:dyDescent="0.25">
      <c r="A3099" s="3" t="str">
        <f t="shared" ca="1" si="832"/>
        <v/>
      </c>
      <c r="C3099" s="16"/>
      <c r="G3099" s="15">
        <f t="shared" ca="1" si="839"/>
        <v>42</v>
      </c>
      <c r="H3099" s="15">
        <v>1</v>
      </c>
      <c r="I3099" s="15" t="str">
        <f t="shared" ca="1" si="840"/>
        <v>I2C_Bridge_GPIO</v>
      </c>
      <c r="J3099" s="15" t="str">
        <f t="shared" ca="1" si="824"/>
        <v>I2C_Bridge_GPIO!A42</v>
      </c>
      <c r="K3099" s="15" t="str">
        <f t="shared" ca="1" si="825"/>
        <v>I2C_Bridge_GPIO!B42</v>
      </c>
    </row>
    <row r="3100" spans="1:11" x14ac:dyDescent="0.25">
      <c r="A3100" s="3" t="str">
        <f t="shared" ca="1" si="832"/>
        <v/>
      </c>
      <c r="G3100" s="15">
        <f t="shared" ca="1" si="839"/>
        <v>43</v>
      </c>
      <c r="H3100" s="15">
        <v>1</v>
      </c>
      <c r="I3100" s="15" t="str">
        <f t="shared" ca="1" si="840"/>
        <v>I2C_Bridge_GPIO</v>
      </c>
      <c r="J3100" s="15" t="str">
        <f t="shared" ca="1" si="824"/>
        <v>I2C_Bridge_GPIO!A43</v>
      </c>
      <c r="K3100" s="15" t="str">
        <f t="shared" ca="1" si="825"/>
        <v>I2C_Bridge_GPIO!B43</v>
      </c>
    </row>
    <row r="3101" spans="1:11" x14ac:dyDescent="0.25">
      <c r="A3101" s="3" t="str">
        <f t="shared" ca="1" si="832"/>
        <v/>
      </c>
      <c r="G3101" s="15">
        <f t="shared" ca="1" si="839"/>
        <v>44</v>
      </c>
      <c r="H3101" s="15">
        <v>1</v>
      </c>
      <c r="I3101" s="15" t="str">
        <f t="shared" ca="1" si="840"/>
        <v>I2C_Bridge_GPIO</v>
      </c>
      <c r="J3101" s="15" t="str">
        <f t="shared" ca="1" si="824"/>
        <v>I2C_Bridge_GPIO!A44</v>
      </c>
      <c r="K3101" s="15" t="str">
        <f t="shared" ca="1" si="825"/>
        <v>I2C_Bridge_GPIO!B44</v>
      </c>
    </row>
    <row r="3102" spans="1:11" x14ac:dyDescent="0.25">
      <c r="A3102" s="3" t="str">
        <f t="shared" ca="1" si="832"/>
        <v/>
      </c>
      <c r="G3102" s="15">
        <f t="shared" ca="1" si="839"/>
        <v>45</v>
      </c>
      <c r="H3102" s="15">
        <v>1</v>
      </c>
      <c r="I3102" s="15" t="str">
        <f t="shared" ca="1" si="840"/>
        <v>I2C_Bridge_GPIO</v>
      </c>
      <c r="J3102" s="15" t="str">
        <f t="shared" ca="1" si="824"/>
        <v>I2C_Bridge_GPIO!A45</v>
      </c>
      <c r="K3102" s="15" t="str">
        <f t="shared" ca="1" si="825"/>
        <v>I2C_Bridge_GPIO!B45</v>
      </c>
    </row>
    <row r="3103" spans="1:11" x14ac:dyDescent="0.25">
      <c r="A3103" s="3" t="str">
        <f t="shared" ca="1" si="832"/>
        <v/>
      </c>
      <c r="G3103" s="15">
        <f t="shared" ca="1" si="839"/>
        <v>46</v>
      </c>
      <c r="H3103" s="15">
        <v>1</v>
      </c>
      <c r="I3103" s="15" t="str">
        <f t="shared" ca="1" si="840"/>
        <v>I2C_Bridge_GPIO</v>
      </c>
      <c r="J3103" s="15" t="str">
        <f t="shared" ca="1" si="824"/>
        <v>I2C_Bridge_GPIO!A46</v>
      </c>
      <c r="K3103" s="15" t="str">
        <f t="shared" ca="1" si="825"/>
        <v>I2C_Bridge_GPIO!B46</v>
      </c>
    </row>
    <row r="3104" spans="1:11" x14ac:dyDescent="0.25">
      <c r="A3104" s="3" t="str">
        <f t="shared" ca="1" si="832"/>
        <v/>
      </c>
      <c r="G3104" s="15">
        <f t="shared" ca="1" si="839"/>
        <v>47</v>
      </c>
      <c r="H3104" s="15">
        <v>1</v>
      </c>
      <c r="I3104" s="15" t="str">
        <f t="shared" ca="1" si="840"/>
        <v>I2C_Bridge_GPIO</v>
      </c>
      <c r="J3104" s="15" t="str">
        <f t="shared" ca="1" si="824"/>
        <v>I2C_Bridge_GPIO!A47</v>
      </c>
      <c r="K3104" s="15" t="str">
        <f t="shared" ca="1" si="825"/>
        <v>I2C_Bridge_GPIO!B47</v>
      </c>
    </row>
    <row r="3105" spans="1:16" x14ac:dyDescent="0.25">
      <c r="A3105" s="3" t="str">
        <f t="shared" ca="1" si="832"/>
        <v/>
      </c>
      <c r="G3105" s="15">
        <f t="shared" ca="1" si="839"/>
        <v>48</v>
      </c>
      <c r="H3105" s="15">
        <v>1</v>
      </c>
      <c r="I3105" s="15" t="str">
        <f t="shared" ca="1" si="840"/>
        <v>I2C_Bridge_GPIO</v>
      </c>
      <c r="J3105" s="15" t="str">
        <f t="shared" ca="1" si="824"/>
        <v>I2C_Bridge_GPIO!A48</v>
      </c>
      <c r="K3105" s="15" t="str">
        <f t="shared" ca="1" si="825"/>
        <v>I2C_Bridge_GPIO!B48</v>
      </c>
    </row>
    <row r="3106" spans="1:16" x14ac:dyDescent="0.25">
      <c r="A3106" s="3" t="str">
        <f t="shared" ca="1" si="832"/>
        <v/>
      </c>
      <c r="G3106" s="15">
        <f t="shared" ca="1" si="839"/>
        <v>49</v>
      </c>
      <c r="H3106" s="15">
        <v>1</v>
      </c>
      <c r="I3106" s="15" t="str">
        <f t="shared" ca="1" si="840"/>
        <v>I2C_Bridge_GPIO</v>
      </c>
      <c r="J3106" s="15" t="str">
        <f t="shared" ca="1" si="824"/>
        <v>I2C_Bridge_GPIO!A49</v>
      </c>
      <c r="K3106" s="15" t="str">
        <f t="shared" ca="1" si="825"/>
        <v>I2C_Bridge_GPIO!B49</v>
      </c>
    </row>
    <row r="3107" spans="1:16" x14ac:dyDescent="0.25">
      <c r="A3107" s="3" t="str">
        <f t="shared" ca="1" si="832"/>
        <v/>
      </c>
      <c r="G3107" s="15">
        <f t="shared" ca="1" si="839"/>
        <v>50</v>
      </c>
      <c r="H3107" s="15">
        <v>1</v>
      </c>
      <c r="I3107" s="15" t="str">
        <f t="shared" ca="1" si="840"/>
        <v>I2C_Bridge_GPIO</v>
      </c>
      <c r="J3107" s="15" t="str">
        <f t="shared" ca="1" si="824"/>
        <v>I2C_Bridge_GPIO!A50</v>
      </c>
      <c r="K3107" s="15" t="str">
        <f t="shared" ca="1" si="825"/>
        <v>I2C_Bridge_GPIO!B50</v>
      </c>
    </row>
    <row r="3108" spans="1:16" x14ac:dyDescent="0.25">
      <c r="A3108" s="3" t="str">
        <f t="shared" ca="1" si="832"/>
        <v/>
      </c>
      <c r="G3108" s="15">
        <f t="shared" ref="G3108" ca="1" si="845">INDIRECT(M3108)</f>
        <v>31</v>
      </c>
      <c r="H3108" s="15">
        <v>1</v>
      </c>
      <c r="I3108" s="15">
        <f t="shared" ref="I3108" ca="1" si="846">INDIRECT(N3108)</f>
        <v>0</v>
      </c>
      <c r="J3108" s="15" t="str">
        <f t="shared" ref="J3108:J3171" ca="1" si="847">ADDRESS(G3108,H3108,4,1,I3108)</f>
        <v>'0'!A31</v>
      </c>
      <c r="K3108" s="15" t="str">
        <f t="shared" ref="K3108:K3171" ca="1" si="848">ADDRESS(G3108,H3108+1,4,1,I3108)</f>
        <v>'0'!B31</v>
      </c>
      <c r="M3108" s="15" t="str">
        <f t="shared" ref="M3108" si="849">ADDRESS(O3108,3,4,1,$R$1)</f>
        <v>konfig!C157</v>
      </c>
      <c r="N3108" s="15" t="str">
        <f t="shared" ref="N3108" si="850">ADDRESS(O3108,1,4,1,$R$1)</f>
        <v>konfig!A157</v>
      </c>
      <c r="O3108" s="15">
        <v>157</v>
      </c>
      <c r="P3108" s="15">
        <v>4</v>
      </c>
    </row>
    <row r="3109" spans="1:16" x14ac:dyDescent="0.25">
      <c r="A3109" s="3" t="str">
        <f t="shared" ca="1" si="832"/>
        <v/>
      </c>
      <c r="G3109" s="15">
        <f t="shared" ca="1" si="837"/>
        <v>32</v>
      </c>
      <c r="H3109" s="15">
        <v>1</v>
      </c>
      <c r="I3109" s="15">
        <f t="shared" ca="1" si="838"/>
        <v>0</v>
      </c>
      <c r="J3109" s="15" t="str">
        <f t="shared" ca="1" si="847"/>
        <v>'0'!A32</v>
      </c>
      <c r="K3109" s="15" t="str">
        <f t="shared" ca="1" si="848"/>
        <v>'0'!B32</v>
      </c>
    </row>
    <row r="3110" spans="1:16" x14ac:dyDescent="0.25">
      <c r="A3110" s="3" t="str">
        <f t="shared" ca="1" si="832"/>
        <v/>
      </c>
      <c r="G3110" s="15">
        <f t="shared" ca="1" si="839"/>
        <v>33</v>
      </c>
      <c r="H3110" s="15">
        <v>1</v>
      </c>
      <c r="I3110" s="15">
        <f t="shared" ca="1" si="840"/>
        <v>0</v>
      </c>
      <c r="J3110" s="15" t="str">
        <f t="shared" ca="1" si="847"/>
        <v>'0'!A33</v>
      </c>
      <c r="K3110" s="15" t="str">
        <f t="shared" ca="1" si="848"/>
        <v>'0'!B33</v>
      </c>
    </row>
    <row r="3111" spans="1:16" x14ac:dyDescent="0.25">
      <c r="A3111" s="3" t="str">
        <f t="shared" ca="1" si="832"/>
        <v/>
      </c>
      <c r="C3111" s="16"/>
      <c r="G3111" s="15">
        <f t="shared" ca="1" si="839"/>
        <v>34</v>
      </c>
      <c r="H3111" s="15">
        <v>1</v>
      </c>
      <c r="I3111" s="15">
        <f t="shared" ca="1" si="840"/>
        <v>0</v>
      </c>
      <c r="J3111" s="15" t="str">
        <f t="shared" ca="1" si="847"/>
        <v>'0'!A34</v>
      </c>
      <c r="K3111" s="15" t="str">
        <f t="shared" ca="1" si="848"/>
        <v>'0'!B34</v>
      </c>
    </row>
    <row r="3112" spans="1:16" x14ac:dyDescent="0.25">
      <c r="A3112" s="3" t="str">
        <f t="shared" ca="1" si="832"/>
        <v/>
      </c>
      <c r="G3112" s="15">
        <f t="shared" ca="1" si="839"/>
        <v>35</v>
      </c>
      <c r="H3112" s="15">
        <v>1</v>
      </c>
      <c r="I3112" s="15">
        <f t="shared" ca="1" si="840"/>
        <v>0</v>
      </c>
      <c r="J3112" s="15" t="str">
        <f t="shared" ca="1" si="847"/>
        <v>'0'!A35</v>
      </c>
      <c r="K3112" s="15" t="str">
        <f t="shared" ca="1" si="848"/>
        <v>'0'!B35</v>
      </c>
    </row>
    <row r="3113" spans="1:16" x14ac:dyDescent="0.25">
      <c r="A3113" s="3" t="str">
        <f t="shared" ca="1" si="832"/>
        <v/>
      </c>
      <c r="G3113" s="15">
        <f t="shared" ca="1" si="839"/>
        <v>36</v>
      </c>
      <c r="H3113" s="15">
        <v>1</v>
      </c>
      <c r="I3113" s="15">
        <f t="shared" ca="1" si="840"/>
        <v>0</v>
      </c>
      <c r="J3113" s="15" t="str">
        <f t="shared" ca="1" si="847"/>
        <v>'0'!A36</v>
      </c>
      <c r="K3113" s="15" t="str">
        <f t="shared" ca="1" si="848"/>
        <v>'0'!B36</v>
      </c>
    </row>
    <row r="3114" spans="1:16" x14ac:dyDescent="0.25">
      <c r="A3114" s="3" t="str">
        <f t="shared" ca="1" si="832"/>
        <v/>
      </c>
      <c r="G3114" s="15">
        <f t="shared" ca="1" si="839"/>
        <v>37</v>
      </c>
      <c r="H3114" s="15">
        <v>1</v>
      </c>
      <c r="I3114" s="15">
        <f t="shared" ca="1" si="840"/>
        <v>0</v>
      </c>
      <c r="J3114" s="15" t="str">
        <f t="shared" ca="1" si="847"/>
        <v>'0'!A37</v>
      </c>
      <c r="K3114" s="15" t="str">
        <f t="shared" ca="1" si="848"/>
        <v>'0'!B37</v>
      </c>
    </row>
    <row r="3115" spans="1:16" x14ac:dyDescent="0.25">
      <c r="A3115" s="3" t="str">
        <f t="shared" ca="1" si="832"/>
        <v/>
      </c>
      <c r="G3115" s="15">
        <f t="shared" ca="1" si="839"/>
        <v>38</v>
      </c>
      <c r="H3115" s="15">
        <v>1</v>
      </c>
      <c r="I3115" s="15">
        <f t="shared" ca="1" si="840"/>
        <v>0</v>
      </c>
      <c r="J3115" s="15" t="str">
        <f t="shared" ca="1" si="847"/>
        <v>'0'!A38</v>
      </c>
      <c r="K3115" s="15" t="str">
        <f t="shared" ca="1" si="848"/>
        <v>'0'!B38</v>
      </c>
    </row>
    <row r="3116" spans="1:16" x14ac:dyDescent="0.25">
      <c r="A3116" s="3" t="str">
        <f t="shared" ref="A3116:A3179" ca="1" si="851">IFERROR(IF(INDIRECT(J3116)&lt;&gt;"",CONCATENATE(INDIRECT(J3116)," = ",INDIRECT(K3116)," "),""),"")</f>
        <v/>
      </c>
      <c r="G3116" s="15">
        <f t="shared" ca="1" si="839"/>
        <v>39</v>
      </c>
      <c r="H3116" s="15">
        <v>1</v>
      </c>
      <c r="I3116" s="15">
        <f t="shared" ca="1" si="840"/>
        <v>0</v>
      </c>
      <c r="J3116" s="15" t="str">
        <f t="shared" ca="1" si="847"/>
        <v>'0'!A39</v>
      </c>
      <c r="K3116" s="15" t="str">
        <f t="shared" ca="1" si="848"/>
        <v>'0'!B39</v>
      </c>
    </row>
    <row r="3117" spans="1:16" x14ac:dyDescent="0.25">
      <c r="A3117" s="3" t="str">
        <f t="shared" ca="1" si="851"/>
        <v/>
      </c>
      <c r="G3117" s="15">
        <f t="shared" ca="1" si="839"/>
        <v>40</v>
      </c>
      <c r="H3117" s="15">
        <v>1</v>
      </c>
      <c r="I3117" s="15">
        <f t="shared" ca="1" si="840"/>
        <v>0</v>
      </c>
      <c r="J3117" s="15" t="str">
        <f t="shared" ca="1" si="847"/>
        <v>'0'!A40</v>
      </c>
      <c r="K3117" s="15" t="str">
        <f t="shared" ca="1" si="848"/>
        <v>'0'!B40</v>
      </c>
    </row>
    <row r="3118" spans="1:16" x14ac:dyDescent="0.25">
      <c r="A3118" s="3" t="str">
        <f t="shared" ca="1" si="851"/>
        <v/>
      </c>
      <c r="G3118" s="15">
        <f t="shared" ca="1" si="839"/>
        <v>41</v>
      </c>
      <c r="H3118" s="15">
        <v>1</v>
      </c>
      <c r="I3118" s="15">
        <f t="shared" ca="1" si="840"/>
        <v>0</v>
      </c>
      <c r="J3118" s="15" t="str">
        <f t="shared" ca="1" si="847"/>
        <v>'0'!A41</v>
      </c>
      <c r="K3118" s="15" t="str">
        <f t="shared" ca="1" si="848"/>
        <v>'0'!B41</v>
      </c>
    </row>
    <row r="3119" spans="1:16" x14ac:dyDescent="0.25">
      <c r="A3119" s="3" t="str">
        <f t="shared" ca="1" si="851"/>
        <v/>
      </c>
      <c r="C3119" s="16"/>
      <c r="G3119" s="15">
        <f t="shared" ca="1" si="839"/>
        <v>42</v>
      </c>
      <c r="H3119" s="15">
        <v>1</v>
      </c>
      <c r="I3119" s="15">
        <f t="shared" ca="1" si="840"/>
        <v>0</v>
      </c>
      <c r="J3119" s="15" t="str">
        <f t="shared" ca="1" si="847"/>
        <v>'0'!A42</v>
      </c>
      <c r="K3119" s="15" t="str">
        <f t="shared" ca="1" si="848"/>
        <v>'0'!B42</v>
      </c>
    </row>
    <row r="3120" spans="1:16" x14ac:dyDescent="0.25">
      <c r="A3120" s="3" t="str">
        <f t="shared" ca="1" si="851"/>
        <v/>
      </c>
      <c r="G3120" s="15">
        <f t="shared" ca="1" si="839"/>
        <v>43</v>
      </c>
      <c r="H3120" s="15">
        <v>1</v>
      </c>
      <c r="I3120" s="15">
        <f t="shared" ca="1" si="840"/>
        <v>0</v>
      </c>
      <c r="J3120" s="15" t="str">
        <f t="shared" ca="1" si="847"/>
        <v>'0'!A43</v>
      </c>
      <c r="K3120" s="15" t="str">
        <f t="shared" ca="1" si="848"/>
        <v>'0'!B43</v>
      </c>
    </row>
    <row r="3121" spans="1:16" x14ac:dyDescent="0.25">
      <c r="A3121" s="3" t="str">
        <f t="shared" ca="1" si="851"/>
        <v/>
      </c>
      <c r="G3121" s="15">
        <f t="shared" ca="1" si="839"/>
        <v>44</v>
      </c>
      <c r="H3121" s="15">
        <v>1</v>
      </c>
      <c r="I3121" s="15">
        <f t="shared" ca="1" si="840"/>
        <v>0</v>
      </c>
      <c r="J3121" s="15" t="str">
        <f t="shared" ca="1" si="847"/>
        <v>'0'!A44</v>
      </c>
      <c r="K3121" s="15" t="str">
        <f t="shared" ca="1" si="848"/>
        <v>'0'!B44</v>
      </c>
    </row>
    <row r="3122" spans="1:16" x14ac:dyDescent="0.25">
      <c r="A3122" s="3" t="str">
        <f t="shared" ca="1" si="851"/>
        <v/>
      </c>
      <c r="G3122" s="15">
        <f t="shared" ca="1" si="839"/>
        <v>45</v>
      </c>
      <c r="H3122" s="15">
        <v>1</v>
      </c>
      <c r="I3122" s="15">
        <f t="shared" ca="1" si="840"/>
        <v>0</v>
      </c>
      <c r="J3122" s="15" t="str">
        <f t="shared" ca="1" si="847"/>
        <v>'0'!A45</v>
      </c>
      <c r="K3122" s="15" t="str">
        <f t="shared" ca="1" si="848"/>
        <v>'0'!B45</v>
      </c>
    </row>
    <row r="3123" spans="1:16" x14ac:dyDescent="0.25">
      <c r="A3123" s="3" t="str">
        <f t="shared" ca="1" si="851"/>
        <v/>
      </c>
      <c r="G3123" s="15">
        <f t="shared" ca="1" si="839"/>
        <v>46</v>
      </c>
      <c r="H3123" s="15">
        <v>1</v>
      </c>
      <c r="I3123" s="15">
        <f t="shared" ca="1" si="840"/>
        <v>0</v>
      </c>
      <c r="J3123" s="15" t="str">
        <f t="shared" ca="1" si="847"/>
        <v>'0'!A46</v>
      </c>
      <c r="K3123" s="15" t="str">
        <f t="shared" ca="1" si="848"/>
        <v>'0'!B46</v>
      </c>
    </row>
    <row r="3124" spans="1:16" x14ac:dyDescent="0.25">
      <c r="A3124" s="3" t="str">
        <f t="shared" ca="1" si="851"/>
        <v/>
      </c>
      <c r="G3124" s="15">
        <f t="shared" ca="1" si="839"/>
        <v>47</v>
      </c>
      <c r="H3124" s="15">
        <v>1</v>
      </c>
      <c r="I3124" s="15">
        <f t="shared" ca="1" si="840"/>
        <v>0</v>
      </c>
      <c r="J3124" s="15" t="str">
        <f t="shared" ca="1" si="847"/>
        <v>'0'!A47</v>
      </c>
      <c r="K3124" s="15" t="str">
        <f t="shared" ca="1" si="848"/>
        <v>'0'!B47</v>
      </c>
    </row>
    <row r="3125" spans="1:16" x14ac:dyDescent="0.25">
      <c r="A3125" s="3" t="str">
        <f t="shared" ca="1" si="851"/>
        <v/>
      </c>
      <c r="G3125" s="15">
        <f t="shared" ca="1" si="839"/>
        <v>48</v>
      </c>
      <c r="H3125" s="15">
        <v>1</v>
      </c>
      <c r="I3125" s="15">
        <f t="shared" ca="1" si="840"/>
        <v>0</v>
      </c>
      <c r="J3125" s="15" t="str">
        <f t="shared" ca="1" si="847"/>
        <v>'0'!A48</v>
      </c>
      <c r="K3125" s="15" t="str">
        <f t="shared" ca="1" si="848"/>
        <v>'0'!B48</v>
      </c>
    </row>
    <row r="3126" spans="1:16" x14ac:dyDescent="0.25">
      <c r="A3126" s="3" t="str">
        <f t="shared" ca="1" si="851"/>
        <v/>
      </c>
      <c r="G3126" s="15">
        <f t="shared" ca="1" si="839"/>
        <v>49</v>
      </c>
      <c r="H3126" s="15">
        <v>1</v>
      </c>
      <c r="I3126" s="15">
        <f t="shared" ca="1" si="840"/>
        <v>0</v>
      </c>
      <c r="J3126" s="15" t="str">
        <f t="shared" ca="1" si="847"/>
        <v>'0'!A49</v>
      </c>
      <c r="K3126" s="15" t="str">
        <f t="shared" ca="1" si="848"/>
        <v>'0'!B49</v>
      </c>
    </row>
    <row r="3127" spans="1:16" x14ac:dyDescent="0.25">
      <c r="A3127" s="3" t="str">
        <f t="shared" ca="1" si="851"/>
        <v/>
      </c>
      <c r="G3127" s="15">
        <f t="shared" ca="1" si="839"/>
        <v>50</v>
      </c>
      <c r="H3127" s="15">
        <v>1</v>
      </c>
      <c r="I3127" s="15">
        <f t="shared" ca="1" si="840"/>
        <v>0</v>
      </c>
      <c r="J3127" s="15" t="str">
        <f t="shared" ca="1" si="847"/>
        <v>'0'!A50</v>
      </c>
      <c r="K3127" s="15" t="str">
        <f t="shared" ca="1" si="848"/>
        <v>'0'!B50</v>
      </c>
    </row>
    <row r="3128" spans="1:16" x14ac:dyDescent="0.25">
      <c r="A3128" s="3" t="str">
        <f t="shared" ca="1" si="851"/>
        <v/>
      </c>
      <c r="G3128" s="15">
        <f t="shared" ref="G3128" ca="1" si="852">INDIRECT(M3128)</f>
        <v>31</v>
      </c>
      <c r="H3128" s="15">
        <v>1</v>
      </c>
      <c r="I3128" s="15">
        <f t="shared" ref="I3128" ca="1" si="853">INDIRECT(N3128)</f>
        <v>0</v>
      </c>
      <c r="J3128" s="15" t="str">
        <f t="shared" ca="1" si="847"/>
        <v>'0'!A31</v>
      </c>
      <c r="K3128" s="15" t="str">
        <f t="shared" ca="1" si="848"/>
        <v>'0'!B31</v>
      </c>
      <c r="M3128" s="15" t="str">
        <f t="shared" ref="M3128" si="854">ADDRESS(O3128,3,4,1,$R$1)</f>
        <v>konfig!C158</v>
      </c>
      <c r="N3128" s="15" t="str">
        <f t="shared" ref="N3128" si="855">ADDRESS(O3128,1,4,1,$R$1)</f>
        <v>konfig!A158</v>
      </c>
      <c r="O3128" s="15">
        <v>158</v>
      </c>
      <c r="P3128" s="15">
        <v>4</v>
      </c>
    </row>
    <row r="3129" spans="1:16" x14ac:dyDescent="0.25">
      <c r="A3129" s="3" t="str">
        <f t="shared" ca="1" si="851"/>
        <v/>
      </c>
      <c r="G3129" s="15">
        <f t="shared" ref="G3129:G3172" ca="1" si="856">G3128+1</f>
        <v>32</v>
      </c>
      <c r="H3129" s="15">
        <v>1</v>
      </c>
      <c r="I3129" s="15">
        <f t="shared" ref="I3129:I3172" ca="1" si="857">I3128</f>
        <v>0</v>
      </c>
      <c r="J3129" s="15" t="str">
        <f t="shared" ca="1" si="847"/>
        <v>'0'!A32</v>
      </c>
      <c r="K3129" s="15" t="str">
        <f t="shared" ca="1" si="848"/>
        <v>'0'!B32</v>
      </c>
    </row>
    <row r="3130" spans="1:16" x14ac:dyDescent="0.25">
      <c r="A3130" s="3" t="str">
        <f t="shared" ca="1" si="851"/>
        <v/>
      </c>
      <c r="G3130" s="15">
        <f t="shared" ca="1" si="856"/>
        <v>33</v>
      </c>
      <c r="H3130" s="15">
        <v>1</v>
      </c>
      <c r="I3130" s="15">
        <f t="shared" ca="1" si="857"/>
        <v>0</v>
      </c>
      <c r="J3130" s="15" t="str">
        <f t="shared" ca="1" si="847"/>
        <v>'0'!A33</v>
      </c>
      <c r="K3130" s="15" t="str">
        <f t="shared" ca="1" si="848"/>
        <v>'0'!B33</v>
      </c>
    </row>
    <row r="3131" spans="1:16" x14ac:dyDescent="0.25">
      <c r="A3131" s="3" t="str">
        <f t="shared" ca="1" si="851"/>
        <v/>
      </c>
      <c r="C3131" s="16"/>
      <c r="G3131" s="15">
        <f t="shared" ca="1" si="856"/>
        <v>34</v>
      </c>
      <c r="H3131" s="15">
        <v>1</v>
      </c>
      <c r="I3131" s="15">
        <f t="shared" ca="1" si="857"/>
        <v>0</v>
      </c>
      <c r="J3131" s="15" t="str">
        <f t="shared" ca="1" si="847"/>
        <v>'0'!A34</v>
      </c>
      <c r="K3131" s="15" t="str">
        <f t="shared" ca="1" si="848"/>
        <v>'0'!B34</v>
      </c>
    </row>
    <row r="3132" spans="1:16" x14ac:dyDescent="0.25">
      <c r="A3132" s="3" t="str">
        <f t="shared" ca="1" si="851"/>
        <v/>
      </c>
      <c r="G3132" s="15">
        <f t="shared" ca="1" si="856"/>
        <v>35</v>
      </c>
      <c r="H3132" s="15">
        <v>1</v>
      </c>
      <c r="I3132" s="15">
        <f t="shared" ca="1" si="857"/>
        <v>0</v>
      </c>
      <c r="J3132" s="15" t="str">
        <f t="shared" ca="1" si="847"/>
        <v>'0'!A35</v>
      </c>
      <c r="K3132" s="15" t="str">
        <f t="shared" ca="1" si="848"/>
        <v>'0'!B35</v>
      </c>
    </row>
    <row r="3133" spans="1:16" x14ac:dyDescent="0.25">
      <c r="A3133" s="3" t="str">
        <f t="shared" ca="1" si="851"/>
        <v/>
      </c>
      <c r="G3133" s="15">
        <f t="shared" ca="1" si="839"/>
        <v>36</v>
      </c>
      <c r="H3133" s="15">
        <v>1</v>
      </c>
      <c r="I3133" s="15">
        <f t="shared" ca="1" si="840"/>
        <v>0</v>
      </c>
      <c r="J3133" s="15" t="str">
        <f t="shared" ca="1" si="847"/>
        <v>'0'!A36</v>
      </c>
      <c r="K3133" s="15" t="str">
        <f t="shared" ca="1" si="848"/>
        <v>'0'!B36</v>
      </c>
    </row>
    <row r="3134" spans="1:16" x14ac:dyDescent="0.25">
      <c r="A3134" s="3" t="str">
        <f t="shared" ca="1" si="851"/>
        <v/>
      </c>
      <c r="G3134" s="15">
        <f t="shared" ca="1" si="839"/>
        <v>37</v>
      </c>
      <c r="H3134" s="15">
        <v>1</v>
      </c>
      <c r="I3134" s="15">
        <f t="shared" ca="1" si="840"/>
        <v>0</v>
      </c>
      <c r="J3134" s="15" t="str">
        <f t="shared" ca="1" si="847"/>
        <v>'0'!A37</v>
      </c>
      <c r="K3134" s="15" t="str">
        <f t="shared" ca="1" si="848"/>
        <v>'0'!B37</v>
      </c>
    </row>
    <row r="3135" spans="1:16" x14ac:dyDescent="0.25">
      <c r="A3135" s="3" t="str">
        <f t="shared" ca="1" si="851"/>
        <v/>
      </c>
      <c r="G3135" s="15">
        <f t="shared" ca="1" si="839"/>
        <v>38</v>
      </c>
      <c r="H3135" s="15">
        <v>1</v>
      </c>
      <c r="I3135" s="15">
        <f t="shared" ca="1" si="840"/>
        <v>0</v>
      </c>
      <c r="J3135" s="15" t="str">
        <f t="shared" ca="1" si="847"/>
        <v>'0'!A38</v>
      </c>
      <c r="K3135" s="15" t="str">
        <f t="shared" ca="1" si="848"/>
        <v>'0'!B38</v>
      </c>
    </row>
    <row r="3136" spans="1:16" x14ac:dyDescent="0.25">
      <c r="A3136" s="3" t="str">
        <f t="shared" ca="1" si="851"/>
        <v/>
      </c>
      <c r="G3136" s="15">
        <f t="shared" ca="1" si="839"/>
        <v>39</v>
      </c>
      <c r="H3136" s="15">
        <v>1</v>
      </c>
      <c r="I3136" s="15">
        <f t="shared" ca="1" si="840"/>
        <v>0</v>
      </c>
      <c r="J3136" s="15" t="str">
        <f t="shared" ca="1" si="847"/>
        <v>'0'!A39</v>
      </c>
      <c r="K3136" s="15" t="str">
        <f t="shared" ca="1" si="848"/>
        <v>'0'!B39</v>
      </c>
    </row>
    <row r="3137" spans="1:16" x14ac:dyDescent="0.25">
      <c r="A3137" s="3" t="str">
        <f t="shared" ca="1" si="851"/>
        <v/>
      </c>
      <c r="G3137" s="15">
        <f t="shared" ca="1" si="839"/>
        <v>40</v>
      </c>
      <c r="H3137" s="15">
        <v>1</v>
      </c>
      <c r="I3137" s="15">
        <f t="shared" ca="1" si="840"/>
        <v>0</v>
      </c>
      <c r="J3137" s="15" t="str">
        <f t="shared" ca="1" si="847"/>
        <v>'0'!A40</v>
      </c>
      <c r="K3137" s="15" t="str">
        <f t="shared" ca="1" si="848"/>
        <v>'0'!B40</v>
      </c>
    </row>
    <row r="3138" spans="1:16" x14ac:dyDescent="0.25">
      <c r="A3138" s="3" t="str">
        <f t="shared" ca="1" si="851"/>
        <v/>
      </c>
      <c r="G3138" s="15">
        <f t="shared" ca="1" si="839"/>
        <v>41</v>
      </c>
      <c r="H3138" s="15">
        <v>1</v>
      </c>
      <c r="I3138" s="15">
        <f t="shared" ca="1" si="840"/>
        <v>0</v>
      </c>
      <c r="J3138" s="15" t="str">
        <f t="shared" ca="1" si="847"/>
        <v>'0'!A41</v>
      </c>
      <c r="K3138" s="15" t="str">
        <f t="shared" ca="1" si="848"/>
        <v>'0'!B41</v>
      </c>
    </row>
    <row r="3139" spans="1:16" x14ac:dyDescent="0.25">
      <c r="A3139" s="3" t="str">
        <f t="shared" ca="1" si="851"/>
        <v/>
      </c>
      <c r="C3139" s="16"/>
      <c r="G3139" s="15">
        <f t="shared" ca="1" si="839"/>
        <v>42</v>
      </c>
      <c r="H3139" s="15">
        <v>1</v>
      </c>
      <c r="I3139" s="15">
        <f t="shared" ca="1" si="840"/>
        <v>0</v>
      </c>
      <c r="J3139" s="15" t="str">
        <f t="shared" ca="1" si="847"/>
        <v>'0'!A42</v>
      </c>
      <c r="K3139" s="15" t="str">
        <f t="shared" ca="1" si="848"/>
        <v>'0'!B42</v>
      </c>
    </row>
    <row r="3140" spans="1:16" x14ac:dyDescent="0.25">
      <c r="A3140" s="3" t="str">
        <f t="shared" ca="1" si="851"/>
        <v/>
      </c>
      <c r="G3140" s="15">
        <f t="shared" ca="1" si="839"/>
        <v>43</v>
      </c>
      <c r="H3140" s="15">
        <v>1</v>
      </c>
      <c r="I3140" s="15">
        <f t="shared" ca="1" si="840"/>
        <v>0</v>
      </c>
      <c r="J3140" s="15" t="str">
        <f t="shared" ca="1" si="847"/>
        <v>'0'!A43</v>
      </c>
      <c r="K3140" s="15" t="str">
        <f t="shared" ca="1" si="848"/>
        <v>'0'!B43</v>
      </c>
    </row>
    <row r="3141" spans="1:16" x14ac:dyDescent="0.25">
      <c r="A3141" s="3" t="str">
        <f t="shared" ca="1" si="851"/>
        <v/>
      </c>
      <c r="G3141" s="15">
        <f t="shared" ca="1" si="839"/>
        <v>44</v>
      </c>
      <c r="H3141" s="15">
        <v>1</v>
      </c>
      <c r="I3141" s="15">
        <f t="shared" ca="1" si="840"/>
        <v>0</v>
      </c>
      <c r="J3141" s="15" t="str">
        <f t="shared" ca="1" si="847"/>
        <v>'0'!A44</v>
      </c>
      <c r="K3141" s="15" t="str">
        <f t="shared" ca="1" si="848"/>
        <v>'0'!B44</v>
      </c>
    </row>
    <row r="3142" spans="1:16" x14ac:dyDescent="0.25">
      <c r="A3142" s="3" t="str">
        <f t="shared" ca="1" si="851"/>
        <v/>
      </c>
      <c r="G3142" s="15">
        <f t="shared" ca="1" si="839"/>
        <v>45</v>
      </c>
      <c r="H3142" s="15">
        <v>1</v>
      </c>
      <c r="I3142" s="15">
        <f t="shared" ca="1" si="840"/>
        <v>0</v>
      </c>
      <c r="J3142" s="15" t="str">
        <f t="shared" ca="1" si="847"/>
        <v>'0'!A45</v>
      </c>
      <c r="K3142" s="15" t="str">
        <f t="shared" ca="1" si="848"/>
        <v>'0'!B45</v>
      </c>
    </row>
    <row r="3143" spans="1:16" x14ac:dyDescent="0.25">
      <c r="A3143" s="3" t="str">
        <f t="shared" ca="1" si="851"/>
        <v/>
      </c>
      <c r="G3143" s="15">
        <f t="shared" ca="1" si="839"/>
        <v>46</v>
      </c>
      <c r="H3143" s="15">
        <v>1</v>
      </c>
      <c r="I3143" s="15">
        <f t="shared" ca="1" si="840"/>
        <v>0</v>
      </c>
      <c r="J3143" s="15" t="str">
        <f t="shared" ca="1" si="847"/>
        <v>'0'!A46</v>
      </c>
      <c r="K3143" s="15" t="str">
        <f t="shared" ca="1" si="848"/>
        <v>'0'!B46</v>
      </c>
    </row>
    <row r="3144" spans="1:16" x14ac:dyDescent="0.25">
      <c r="A3144" s="3" t="str">
        <f t="shared" ca="1" si="851"/>
        <v/>
      </c>
      <c r="G3144" s="15">
        <f t="shared" ca="1" si="839"/>
        <v>47</v>
      </c>
      <c r="H3144" s="15">
        <v>1</v>
      </c>
      <c r="I3144" s="15">
        <f t="shared" ca="1" si="840"/>
        <v>0</v>
      </c>
      <c r="J3144" s="15" t="str">
        <f t="shared" ca="1" si="847"/>
        <v>'0'!A47</v>
      </c>
      <c r="K3144" s="15" t="str">
        <f t="shared" ca="1" si="848"/>
        <v>'0'!B47</v>
      </c>
    </row>
    <row r="3145" spans="1:16" x14ac:dyDescent="0.25">
      <c r="A3145" s="3" t="str">
        <f t="shared" ca="1" si="851"/>
        <v/>
      </c>
      <c r="G3145" s="15">
        <f t="shared" ref="G3145:G3207" ca="1" si="858">G3144+1</f>
        <v>48</v>
      </c>
      <c r="H3145" s="15">
        <v>1</v>
      </c>
      <c r="I3145" s="15">
        <f t="shared" ref="I3145:I3207" ca="1" si="859">I3144</f>
        <v>0</v>
      </c>
      <c r="J3145" s="15" t="str">
        <f t="shared" ca="1" si="847"/>
        <v>'0'!A48</v>
      </c>
      <c r="K3145" s="15" t="str">
        <f t="shared" ca="1" si="848"/>
        <v>'0'!B48</v>
      </c>
    </row>
    <row r="3146" spans="1:16" x14ac:dyDescent="0.25">
      <c r="A3146" s="3" t="str">
        <f t="shared" ca="1" si="851"/>
        <v/>
      </c>
      <c r="G3146" s="15">
        <f t="shared" ca="1" si="858"/>
        <v>49</v>
      </c>
      <c r="H3146" s="15">
        <v>1</v>
      </c>
      <c r="I3146" s="15">
        <f t="shared" ca="1" si="859"/>
        <v>0</v>
      </c>
      <c r="J3146" s="15" t="str">
        <f t="shared" ca="1" si="847"/>
        <v>'0'!A49</v>
      </c>
      <c r="K3146" s="15" t="str">
        <f t="shared" ca="1" si="848"/>
        <v>'0'!B49</v>
      </c>
    </row>
    <row r="3147" spans="1:16" x14ac:dyDescent="0.25">
      <c r="A3147" s="3" t="str">
        <f t="shared" ca="1" si="851"/>
        <v/>
      </c>
      <c r="G3147" s="15">
        <f t="shared" ca="1" si="858"/>
        <v>50</v>
      </c>
      <c r="H3147" s="15">
        <v>1</v>
      </c>
      <c r="I3147" s="15">
        <f t="shared" ca="1" si="859"/>
        <v>0</v>
      </c>
      <c r="J3147" s="15" t="str">
        <f t="shared" ca="1" si="847"/>
        <v>'0'!A50</v>
      </c>
      <c r="K3147" s="15" t="str">
        <f t="shared" ca="1" si="848"/>
        <v>'0'!B50</v>
      </c>
    </row>
    <row r="3148" spans="1:16" x14ac:dyDescent="0.25">
      <c r="A3148" s="3" t="str">
        <f t="shared" ca="1" si="851"/>
        <v/>
      </c>
      <c r="G3148" s="15">
        <f t="shared" ref="G3148" ca="1" si="860">INDIRECT(M3148)</f>
        <v>31</v>
      </c>
      <c r="H3148" s="15">
        <v>1</v>
      </c>
      <c r="I3148" s="15">
        <f t="shared" ref="I3148" ca="1" si="861">INDIRECT(N3148)</f>
        <v>0</v>
      </c>
      <c r="J3148" s="15" t="str">
        <f t="shared" ca="1" si="847"/>
        <v>'0'!A31</v>
      </c>
      <c r="K3148" s="15" t="str">
        <f t="shared" ca="1" si="848"/>
        <v>'0'!B31</v>
      </c>
      <c r="M3148" s="15" t="str">
        <f t="shared" ref="M3148" si="862">ADDRESS(O3148,3,4,1,$R$1)</f>
        <v>konfig!C159</v>
      </c>
      <c r="N3148" s="15" t="str">
        <f t="shared" ref="N3148" si="863">ADDRESS(O3148,1,4,1,$R$1)</f>
        <v>konfig!A159</v>
      </c>
      <c r="O3148" s="15">
        <v>159</v>
      </c>
      <c r="P3148" s="15">
        <v>4</v>
      </c>
    </row>
    <row r="3149" spans="1:16" x14ac:dyDescent="0.25">
      <c r="A3149" s="3" t="str">
        <f t="shared" ca="1" si="851"/>
        <v/>
      </c>
      <c r="G3149" s="15">
        <f t="shared" ref="G3149:G3189" ca="1" si="864">G3148+1</f>
        <v>32</v>
      </c>
      <c r="H3149" s="15">
        <v>1</v>
      </c>
      <c r="I3149" s="15">
        <f t="shared" ref="I3149:I3189" ca="1" si="865">I3148</f>
        <v>0</v>
      </c>
      <c r="J3149" s="15" t="str">
        <f t="shared" ca="1" si="847"/>
        <v>'0'!A32</v>
      </c>
      <c r="K3149" s="15" t="str">
        <f t="shared" ca="1" si="848"/>
        <v>'0'!B32</v>
      </c>
    </row>
    <row r="3150" spans="1:16" x14ac:dyDescent="0.25">
      <c r="A3150" s="3" t="str">
        <f t="shared" ca="1" si="851"/>
        <v/>
      </c>
      <c r="G3150" s="15">
        <f t="shared" ca="1" si="858"/>
        <v>33</v>
      </c>
      <c r="H3150" s="15">
        <v>1</v>
      </c>
      <c r="I3150" s="15">
        <f t="shared" ca="1" si="859"/>
        <v>0</v>
      </c>
      <c r="J3150" s="15" t="str">
        <f t="shared" ca="1" si="847"/>
        <v>'0'!A33</v>
      </c>
      <c r="K3150" s="15" t="str">
        <f t="shared" ca="1" si="848"/>
        <v>'0'!B33</v>
      </c>
    </row>
    <row r="3151" spans="1:16" x14ac:dyDescent="0.25">
      <c r="A3151" s="3" t="str">
        <f t="shared" ca="1" si="851"/>
        <v/>
      </c>
      <c r="C3151" s="16"/>
      <c r="G3151" s="15">
        <f t="shared" ca="1" si="858"/>
        <v>34</v>
      </c>
      <c r="H3151" s="15">
        <v>1</v>
      </c>
      <c r="I3151" s="15">
        <f t="shared" ca="1" si="859"/>
        <v>0</v>
      </c>
      <c r="J3151" s="15" t="str">
        <f t="shared" ca="1" si="847"/>
        <v>'0'!A34</v>
      </c>
      <c r="K3151" s="15" t="str">
        <f t="shared" ca="1" si="848"/>
        <v>'0'!B34</v>
      </c>
    </row>
    <row r="3152" spans="1:16" x14ac:dyDescent="0.25">
      <c r="A3152" s="3" t="str">
        <f t="shared" ca="1" si="851"/>
        <v/>
      </c>
      <c r="G3152" s="15">
        <f t="shared" ca="1" si="858"/>
        <v>35</v>
      </c>
      <c r="H3152" s="15">
        <v>1</v>
      </c>
      <c r="I3152" s="15">
        <f t="shared" ca="1" si="859"/>
        <v>0</v>
      </c>
      <c r="J3152" s="15" t="str">
        <f t="shared" ca="1" si="847"/>
        <v>'0'!A35</v>
      </c>
      <c r="K3152" s="15" t="str">
        <f t="shared" ca="1" si="848"/>
        <v>'0'!B35</v>
      </c>
    </row>
    <row r="3153" spans="1:16" x14ac:dyDescent="0.25">
      <c r="A3153" s="3" t="str">
        <f t="shared" ca="1" si="851"/>
        <v/>
      </c>
      <c r="G3153" s="15">
        <f t="shared" ca="1" si="858"/>
        <v>36</v>
      </c>
      <c r="H3153" s="15">
        <v>1</v>
      </c>
      <c r="I3153" s="15">
        <f t="shared" ca="1" si="859"/>
        <v>0</v>
      </c>
      <c r="J3153" s="15" t="str">
        <f t="shared" ca="1" si="847"/>
        <v>'0'!A36</v>
      </c>
      <c r="K3153" s="15" t="str">
        <f t="shared" ca="1" si="848"/>
        <v>'0'!B36</v>
      </c>
    </row>
    <row r="3154" spans="1:16" x14ac:dyDescent="0.25">
      <c r="A3154" s="3" t="str">
        <f t="shared" ca="1" si="851"/>
        <v/>
      </c>
      <c r="G3154" s="15">
        <f t="shared" ca="1" si="858"/>
        <v>37</v>
      </c>
      <c r="H3154" s="15">
        <v>1</v>
      </c>
      <c r="I3154" s="15">
        <f t="shared" ca="1" si="859"/>
        <v>0</v>
      </c>
      <c r="J3154" s="15" t="str">
        <f t="shared" ca="1" si="847"/>
        <v>'0'!A37</v>
      </c>
      <c r="K3154" s="15" t="str">
        <f t="shared" ca="1" si="848"/>
        <v>'0'!B37</v>
      </c>
    </row>
    <row r="3155" spans="1:16" x14ac:dyDescent="0.25">
      <c r="A3155" s="3" t="str">
        <f t="shared" ca="1" si="851"/>
        <v/>
      </c>
      <c r="G3155" s="15">
        <f t="shared" ca="1" si="858"/>
        <v>38</v>
      </c>
      <c r="H3155" s="15">
        <v>1</v>
      </c>
      <c r="I3155" s="15">
        <f t="shared" ca="1" si="859"/>
        <v>0</v>
      </c>
      <c r="J3155" s="15" t="str">
        <f t="shared" ca="1" si="847"/>
        <v>'0'!A38</v>
      </c>
      <c r="K3155" s="15" t="str">
        <f t="shared" ca="1" si="848"/>
        <v>'0'!B38</v>
      </c>
    </row>
    <row r="3156" spans="1:16" x14ac:dyDescent="0.25">
      <c r="A3156" s="3" t="str">
        <f t="shared" ca="1" si="851"/>
        <v/>
      </c>
      <c r="G3156" s="15">
        <f t="shared" ca="1" si="858"/>
        <v>39</v>
      </c>
      <c r="H3156" s="15">
        <v>1</v>
      </c>
      <c r="I3156" s="15">
        <f t="shared" ca="1" si="859"/>
        <v>0</v>
      </c>
      <c r="J3156" s="15" t="str">
        <f t="shared" ca="1" si="847"/>
        <v>'0'!A39</v>
      </c>
      <c r="K3156" s="15" t="str">
        <f t="shared" ca="1" si="848"/>
        <v>'0'!B39</v>
      </c>
    </row>
    <row r="3157" spans="1:16" x14ac:dyDescent="0.25">
      <c r="A3157" s="3" t="str">
        <f t="shared" ca="1" si="851"/>
        <v/>
      </c>
      <c r="G3157" s="15">
        <f t="shared" ca="1" si="858"/>
        <v>40</v>
      </c>
      <c r="H3157" s="15">
        <v>1</v>
      </c>
      <c r="I3157" s="15">
        <f t="shared" ca="1" si="859"/>
        <v>0</v>
      </c>
      <c r="J3157" s="15" t="str">
        <f t="shared" ca="1" si="847"/>
        <v>'0'!A40</v>
      </c>
      <c r="K3157" s="15" t="str">
        <f t="shared" ca="1" si="848"/>
        <v>'0'!B40</v>
      </c>
    </row>
    <row r="3158" spans="1:16" x14ac:dyDescent="0.25">
      <c r="A3158" s="3" t="str">
        <f t="shared" ca="1" si="851"/>
        <v/>
      </c>
      <c r="G3158" s="15">
        <f t="shared" ca="1" si="858"/>
        <v>41</v>
      </c>
      <c r="H3158" s="15">
        <v>1</v>
      </c>
      <c r="I3158" s="15">
        <f t="shared" ca="1" si="859"/>
        <v>0</v>
      </c>
      <c r="J3158" s="15" t="str">
        <f t="shared" ca="1" si="847"/>
        <v>'0'!A41</v>
      </c>
      <c r="K3158" s="15" t="str">
        <f t="shared" ca="1" si="848"/>
        <v>'0'!B41</v>
      </c>
    </row>
    <row r="3159" spans="1:16" x14ac:dyDescent="0.25">
      <c r="A3159" s="3" t="str">
        <f t="shared" ca="1" si="851"/>
        <v/>
      </c>
      <c r="C3159" s="16"/>
      <c r="G3159" s="15">
        <f t="shared" ca="1" si="858"/>
        <v>42</v>
      </c>
      <c r="H3159" s="15">
        <v>1</v>
      </c>
      <c r="I3159" s="15">
        <f t="shared" ca="1" si="859"/>
        <v>0</v>
      </c>
      <c r="J3159" s="15" t="str">
        <f t="shared" ca="1" si="847"/>
        <v>'0'!A42</v>
      </c>
      <c r="K3159" s="15" t="str">
        <f t="shared" ca="1" si="848"/>
        <v>'0'!B42</v>
      </c>
    </row>
    <row r="3160" spans="1:16" x14ac:dyDescent="0.25">
      <c r="A3160" s="3" t="str">
        <f t="shared" ca="1" si="851"/>
        <v/>
      </c>
      <c r="G3160" s="15">
        <f t="shared" ca="1" si="858"/>
        <v>43</v>
      </c>
      <c r="H3160" s="15">
        <v>1</v>
      </c>
      <c r="I3160" s="15">
        <f t="shared" ca="1" si="859"/>
        <v>0</v>
      </c>
      <c r="J3160" s="15" t="str">
        <f t="shared" ca="1" si="847"/>
        <v>'0'!A43</v>
      </c>
      <c r="K3160" s="15" t="str">
        <f t="shared" ca="1" si="848"/>
        <v>'0'!B43</v>
      </c>
    </row>
    <row r="3161" spans="1:16" x14ac:dyDescent="0.25">
      <c r="A3161" s="3" t="str">
        <f t="shared" ca="1" si="851"/>
        <v/>
      </c>
      <c r="G3161" s="15">
        <f t="shared" ca="1" si="858"/>
        <v>44</v>
      </c>
      <c r="H3161" s="15">
        <v>1</v>
      </c>
      <c r="I3161" s="15">
        <f t="shared" ca="1" si="859"/>
        <v>0</v>
      </c>
      <c r="J3161" s="15" t="str">
        <f t="shared" ca="1" si="847"/>
        <v>'0'!A44</v>
      </c>
      <c r="K3161" s="15" t="str">
        <f t="shared" ca="1" si="848"/>
        <v>'0'!B44</v>
      </c>
    </row>
    <row r="3162" spans="1:16" x14ac:dyDescent="0.25">
      <c r="A3162" s="3" t="str">
        <f t="shared" ca="1" si="851"/>
        <v/>
      </c>
      <c r="G3162" s="15">
        <f t="shared" ca="1" si="858"/>
        <v>45</v>
      </c>
      <c r="H3162" s="15">
        <v>1</v>
      </c>
      <c r="I3162" s="15">
        <f t="shared" ca="1" si="859"/>
        <v>0</v>
      </c>
      <c r="J3162" s="15" t="str">
        <f t="shared" ca="1" si="847"/>
        <v>'0'!A45</v>
      </c>
      <c r="K3162" s="15" t="str">
        <f t="shared" ca="1" si="848"/>
        <v>'0'!B45</v>
      </c>
    </row>
    <row r="3163" spans="1:16" x14ac:dyDescent="0.25">
      <c r="A3163" s="3" t="str">
        <f t="shared" ca="1" si="851"/>
        <v/>
      </c>
      <c r="G3163" s="15">
        <f t="shared" ca="1" si="858"/>
        <v>46</v>
      </c>
      <c r="H3163" s="15">
        <v>1</v>
      </c>
      <c r="I3163" s="15">
        <f t="shared" ca="1" si="859"/>
        <v>0</v>
      </c>
      <c r="J3163" s="15" t="str">
        <f t="shared" ca="1" si="847"/>
        <v>'0'!A46</v>
      </c>
      <c r="K3163" s="15" t="str">
        <f t="shared" ca="1" si="848"/>
        <v>'0'!B46</v>
      </c>
    </row>
    <row r="3164" spans="1:16" x14ac:dyDescent="0.25">
      <c r="A3164" s="3" t="str">
        <f t="shared" ca="1" si="851"/>
        <v/>
      </c>
      <c r="G3164" s="15">
        <f t="shared" ca="1" si="858"/>
        <v>47</v>
      </c>
      <c r="H3164" s="15">
        <v>1</v>
      </c>
      <c r="I3164" s="15">
        <f t="shared" ca="1" si="859"/>
        <v>0</v>
      </c>
      <c r="J3164" s="15" t="str">
        <f t="shared" ca="1" si="847"/>
        <v>'0'!A47</v>
      </c>
      <c r="K3164" s="15" t="str">
        <f t="shared" ca="1" si="848"/>
        <v>'0'!B47</v>
      </c>
    </row>
    <row r="3165" spans="1:16" x14ac:dyDescent="0.25">
      <c r="A3165" s="3" t="str">
        <f t="shared" ca="1" si="851"/>
        <v/>
      </c>
      <c r="G3165" s="15">
        <f t="shared" ca="1" si="858"/>
        <v>48</v>
      </c>
      <c r="H3165" s="15">
        <v>1</v>
      </c>
      <c r="I3165" s="15">
        <f t="shared" ca="1" si="859"/>
        <v>0</v>
      </c>
      <c r="J3165" s="15" t="str">
        <f t="shared" ca="1" si="847"/>
        <v>'0'!A48</v>
      </c>
      <c r="K3165" s="15" t="str">
        <f t="shared" ca="1" si="848"/>
        <v>'0'!B48</v>
      </c>
    </row>
    <row r="3166" spans="1:16" x14ac:dyDescent="0.25">
      <c r="A3166" s="3" t="str">
        <f t="shared" ca="1" si="851"/>
        <v/>
      </c>
      <c r="G3166" s="15">
        <f t="shared" ca="1" si="858"/>
        <v>49</v>
      </c>
      <c r="H3166" s="15">
        <v>1</v>
      </c>
      <c r="I3166" s="15">
        <f t="shared" ca="1" si="859"/>
        <v>0</v>
      </c>
      <c r="J3166" s="15" t="str">
        <f t="shared" ca="1" si="847"/>
        <v>'0'!A49</v>
      </c>
      <c r="K3166" s="15" t="str">
        <f t="shared" ca="1" si="848"/>
        <v>'0'!B49</v>
      </c>
    </row>
    <row r="3167" spans="1:16" x14ac:dyDescent="0.25">
      <c r="A3167" s="3" t="str">
        <f t="shared" ca="1" si="851"/>
        <v/>
      </c>
      <c r="G3167" s="15">
        <f t="shared" ca="1" si="858"/>
        <v>50</v>
      </c>
      <c r="H3167" s="15">
        <v>1</v>
      </c>
      <c r="I3167" s="15">
        <f t="shared" ca="1" si="859"/>
        <v>0</v>
      </c>
      <c r="J3167" s="15" t="str">
        <f t="shared" ca="1" si="847"/>
        <v>'0'!A50</v>
      </c>
      <c r="K3167" s="15" t="str">
        <f t="shared" ca="1" si="848"/>
        <v>'0'!B50</v>
      </c>
    </row>
    <row r="3168" spans="1:16" x14ac:dyDescent="0.25">
      <c r="A3168" s="3" t="str">
        <f t="shared" ca="1" si="851"/>
        <v/>
      </c>
      <c r="G3168" s="15">
        <f t="shared" ref="G3168" ca="1" si="866">INDIRECT(M3168)</f>
        <v>31</v>
      </c>
      <c r="H3168" s="15">
        <v>1</v>
      </c>
      <c r="I3168" s="15">
        <f t="shared" ref="I3168" ca="1" si="867">INDIRECT(N3168)</f>
        <v>0</v>
      </c>
      <c r="J3168" s="15" t="str">
        <f t="shared" ca="1" si="847"/>
        <v>'0'!A31</v>
      </c>
      <c r="K3168" s="15" t="str">
        <f t="shared" ca="1" si="848"/>
        <v>'0'!B31</v>
      </c>
      <c r="M3168" s="15" t="str">
        <f t="shared" ref="M3168" si="868">ADDRESS(O3168,3,4,1,$R$1)</f>
        <v>konfig!C160</v>
      </c>
      <c r="N3168" s="15" t="str">
        <f t="shared" ref="N3168" si="869">ADDRESS(O3168,1,4,1,$R$1)</f>
        <v>konfig!A160</v>
      </c>
      <c r="O3168" s="15">
        <v>160</v>
      </c>
      <c r="P3168" s="15">
        <v>4</v>
      </c>
    </row>
    <row r="3169" spans="1:11" x14ac:dyDescent="0.25">
      <c r="A3169" s="3" t="str">
        <f t="shared" ca="1" si="851"/>
        <v/>
      </c>
      <c r="G3169" s="15">
        <f t="shared" ca="1" si="856"/>
        <v>32</v>
      </c>
      <c r="H3169" s="15">
        <v>1</v>
      </c>
      <c r="I3169" s="15">
        <f t="shared" ca="1" si="857"/>
        <v>0</v>
      </c>
      <c r="J3169" s="15" t="str">
        <f t="shared" ca="1" si="847"/>
        <v>'0'!A32</v>
      </c>
      <c r="K3169" s="15" t="str">
        <f t="shared" ca="1" si="848"/>
        <v>'0'!B32</v>
      </c>
    </row>
    <row r="3170" spans="1:11" x14ac:dyDescent="0.25">
      <c r="A3170" s="3" t="str">
        <f t="shared" ca="1" si="851"/>
        <v/>
      </c>
      <c r="G3170" s="15">
        <f t="shared" ca="1" si="856"/>
        <v>33</v>
      </c>
      <c r="H3170" s="15">
        <v>1</v>
      </c>
      <c r="I3170" s="15">
        <f t="shared" ca="1" si="857"/>
        <v>0</v>
      </c>
      <c r="J3170" s="15" t="str">
        <f t="shared" ca="1" si="847"/>
        <v>'0'!A33</v>
      </c>
      <c r="K3170" s="15" t="str">
        <f t="shared" ca="1" si="848"/>
        <v>'0'!B33</v>
      </c>
    </row>
    <row r="3171" spans="1:11" x14ac:dyDescent="0.25">
      <c r="A3171" s="3" t="str">
        <f t="shared" ca="1" si="851"/>
        <v/>
      </c>
      <c r="C3171" s="16"/>
      <c r="G3171" s="15">
        <f t="shared" ca="1" si="856"/>
        <v>34</v>
      </c>
      <c r="H3171" s="15">
        <v>1</v>
      </c>
      <c r="I3171" s="15">
        <f t="shared" ca="1" si="857"/>
        <v>0</v>
      </c>
      <c r="J3171" s="15" t="str">
        <f t="shared" ca="1" si="847"/>
        <v>'0'!A34</v>
      </c>
      <c r="K3171" s="15" t="str">
        <f t="shared" ca="1" si="848"/>
        <v>'0'!B34</v>
      </c>
    </row>
    <row r="3172" spans="1:11" x14ac:dyDescent="0.25">
      <c r="A3172" s="3" t="str">
        <f t="shared" ca="1" si="851"/>
        <v/>
      </c>
      <c r="G3172" s="15">
        <f t="shared" ca="1" si="856"/>
        <v>35</v>
      </c>
      <c r="H3172" s="15">
        <v>1</v>
      </c>
      <c r="I3172" s="15">
        <f t="shared" ca="1" si="857"/>
        <v>0</v>
      </c>
      <c r="J3172" s="15" t="str">
        <f t="shared" ref="J3172:J3235" ca="1" si="870">ADDRESS(G3172,H3172,4,1,I3172)</f>
        <v>'0'!A35</v>
      </c>
      <c r="K3172" s="15" t="str">
        <f t="shared" ref="K3172:K3235" ca="1" si="871">ADDRESS(G3172,H3172+1,4,1,I3172)</f>
        <v>'0'!B35</v>
      </c>
    </row>
    <row r="3173" spans="1:11" x14ac:dyDescent="0.25">
      <c r="A3173" s="3" t="str">
        <f t="shared" ca="1" si="851"/>
        <v/>
      </c>
      <c r="G3173" s="15">
        <f t="shared" ca="1" si="858"/>
        <v>36</v>
      </c>
      <c r="H3173" s="15">
        <v>1</v>
      </c>
      <c r="I3173" s="15">
        <f t="shared" ca="1" si="859"/>
        <v>0</v>
      </c>
      <c r="J3173" s="15" t="str">
        <f t="shared" ca="1" si="870"/>
        <v>'0'!A36</v>
      </c>
      <c r="K3173" s="15" t="str">
        <f t="shared" ca="1" si="871"/>
        <v>'0'!B36</v>
      </c>
    </row>
    <row r="3174" spans="1:11" x14ac:dyDescent="0.25">
      <c r="A3174" s="3" t="str">
        <f t="shared" ca="1" si="851"/>
        <v/>
      </c>
      <c r="G3174" s="15">
        <f t="shared" ca="1" si="858"/>
        <v>37</v>
      </c>
      <c r="H3174" s="15">
        <v>1</v>
      </c>
      <c r="I3174" s="15">
        <f t="shared" ca="1" si="859"/>
        <v>0</v>
      </c>
      <c r="J3174" s="15" t="str">
        <f t="shared" ca="1" si="870"/>
        <v>'0'!A37</v>
      </c>
      <c r="K3174" s="15" t="str">
        <f t="shared" ca="1" si="871"/>
        <v>'0'!B37</v>
      </c>
    </row>
    <row r="3175" spans="1:11" x14ac:dyDescent="0.25">
      <c r="A3175" s="3" t="str">
        <f t="shared" ca="1" si="851"/>
        <v/>
      </c>
      <c r="G3175" s="15">
        <f t="shared" ca="1" si="858"/>
        <v>38</v>
      </c>
      <c r="H3175" s="15">
        <v>1</v>
      </c>
      <c r="I3175" s="15">
        <f t="shared" ca="1" si="859"/>
        <v>0</v>
      </c>
      <c r="J3175" s="15" t="str">
        <f t="shared" ca="1" si="870"/>
        <v>'0'!A38</v>
      </c>
      <c r="K3175" s="15" t="str">
        <f t="shared" ca="1" si="871"/>
        <v>'0'!B38</v>
      </c>
    </row>
    <row r="3176" spans="1:11" x14ac:dyDescent="0.25">
      <c r="A3176" s="3" t="str">
        <f t="shared" ca="1" si="851"/>
        <v/>
      </c>
      <c r="G3176" s="15">
        <f t="shared" ca="1" si="858"/>
        <v>39</v>
      </c>
      <c r="H3176" s="15">
        <v>1</v>
      </c>
      <c r="I3176" s="15">
        <f t="shared" ca="1" si="859"/>
        <v>0</v>
      </c>
      <c r="J3176" s="15" t="str">
        <f t="shared" ca="1" si="870"/>
        <v>'0'!A39</v>
      </c>
      <c r="K3176" s="15" t="str">
        <f t="shared" ca="1" si="871"/>
        <v>'0'!B39</v>
      </c>
    </row>
    <row r="3177" spans="1:11" x14ac:dyDescent="0.25">
      <c r="A3177" s="3" t="str">
        <f t="shared" ca="1" si="851"/>
        <v/>
      </c>
      <c r="G3177" s="15">
        <f t="shared" ca="1" si="858"/>
        <v>40</v>
      </c>
      <c r="H3177" s="15">
        <v>1</v>
      </c>
      <c r="I3177" s="15">
        <f t="shared" ca="1" si="859"/>
        <v>0</v>
      </c>
      <c r="J3177" s="15" t="str">
        <f t="shared" ca="1" si="870"/>
        <v>'0'!A40</v>
      </c>
      <c r="K3177" s="15" t="str">
        <f t="shared" ca="1" si="871"/>
        <v>'0'!B40</v>
      </c>
    </row>
    <row r="3178" spans="1:11" x14ac:dyDescent="0.25">
      <c r="A3178" s="3" t="str">
        <f t="shared" ca="1" si="851"/>
        <v/>
      </c>
      <c r="G3178" s="15">
        <f t="shared" ca="1" si="858"/>
        <v>41</v>
      </c>
      <c r="H3178" s="15">
        <v>1</v>
      </c>
      <c r="I3178" s="15">
        <f t="shared" ca="1" si="859"/>
        <v>0</v>
      </c>
      <c r="J3178" s="15" t="str">
        <f t="shared" ca="1" si="870"/>
        <v>'0'!A41</v>
      </c>
      <c r="K3178" s="15" t="str">
        <f t="shared" ca="1" si="871"/>
        <v>'0'!B41</v>
      </c>
    </row>
    <row r="3179" spans="1:11" x14ac:dyDescent="0.25">
      <c r="A3179" s="3" t="str">
        <f t="shared" ca="1" si="851"/>
        <v/>
      </c>
      <c r="C3179" s="16"/>
      <c r="G3179" s="15">
        <f t="shared" ca="1" si="858"/>
        <v>42</v>
      </c>
      <c r="H3179" s="15">
        <v>1</v>
      </c>
      <c r="I3179" s="15">
        <f t="shared" ca="1" si="859"/>
        <v>0</v>
      </c>
      <c r="J3179" s="15" t="str">
        <f t="shared" ca="1" si="870"/>
        <v>'0'!A42</v>
      </c>
      <c r="K3179" s="15" t="str">
        <f t="shared" ca="1" si="871"/>
        <v>'0'!B42</v>
      </c>
    </row>
    <row r="3180" spans="1:11" x14ac:dyDescent="0.25">
      <c r="A3180" s="3" t="str">
        <f t="shared" ref="A3180:A3243" ca="1" si="872">IFERROR(IF(INDIRECT(J3180)&lt;&gt;"",CONCATENATE(INDIRECT(J3180)," = ",INDIRECT(K3180)," "),""),"")</f>
        <v/>
      </c>
      <c r="G3180" s="15">
        <f t="shared" ca="1" si="858"/>
        <v>43</v>
      </c>
      <c r="H3180" s="15">
        <v>1</v>
      </c>
      <c r="I3180" s="15">
        <f t="shared" ca="1" si="859"/>
        <v>0</v>
      </c>
      <c r="J3180" s="15" t="str">
        <f t="shared" ca="1" si="870"/>
        <v>'0'!A43</v>
      </c>
      <c r="K3180" s="15" t="str">
        <f t="shared" ca="1" si="871"/>
        <v>'0'!B43</v>
      </c>
    </row>
    <row r="3181" spans="1:11" x14ac:dyDescent="0.25">
      <c r="A3181" s="3" t="str">
        <f t="shared" ca="1" si="872"/>
        <v/>
      </c>
      <c r="G3181" s="15">
        <f t="shared" ca="1" si="858"/>
        <v>44</v>
      </c>
      <c r="H3181" s="15">
        <v>1</v>
      </c>
      <c r="I3181" s="15">
        <f t="shared" ca="1" si="859"/>
        <v>0</v>
      </c>
      <c r="J3181" s="15" t="str">
        <f t="shared" ca="1" si="870"/>
        <v>'0'!A44</v>
      </c>
      <c r="K3181" s="15" t="str">
        <f t="shared" ca="1" si="871"/>
        <v>'0'!B44</v>
      </c>
    </row>
    <row r="3182" spans="1:11" x14ac:dyDescent="0.25">
      <c r="A3182" s="3" t="str">
        <f t="shared" ca="1" si="872"/>
        <v/>
      </c>
      <c r="G3182" s="15">
        <f t="shared" ca="1" si="858"/>
        <v>45</v>
      </c>
      <c r="H3182" s="15">
        <v>1</v>
      </c>
      <c r="I3182" s="15">
        <f t="shared" ca="1" si="859"/>
        <v>0</v>
      </c>
      <c r="J3182" s="15" t="str">
        <f t="shared" ca="1" si="870"/>
        <v>'0'!A45</v>
      </c>
      <c r="K3182" s="15" t="str">
        <f t="shared" ca="1" si="871"/>
        <v>'0'!B45</v>
      </c>
    </row>
    <row r="3183" spans="1:11" x14ac:dyDescent="0.25">
      <c r="A3183" s="3" t="str">
        <f t="shared" ca="1" si="872"/>
        <v/>
      </c>
      <c r="G3183" s="15">
        <f t="shared" ca="1" si="858"/>
        <v>46</v>
      </c>
      <c r="H3183" s="15">
        <v>1</v>
      </c>
      <c r="I3183" s="15">
        <f t="shared" ca="1" si="859"/>
        <v>0</v>
      </c>
      <c r="J3183" s="15" t="str">
        <f t="shared" ca="1" si="870"/>
        <v>'0'!A46</v>
      </c>
      <c r="K3183" s="15" t="str">
        <f t="shared" ca="1" si="871"/>
        <v>'0'!B46</v>
      </c>
    </row>
    <row r="3184" spans="1:11" x14ac:dyDescent="0.25">
      <c r="A3184" s="3" t="str">
        <f t="shared" ca="1" si="872"/>
        <v/>
      </c>
      <c r="G3184" s="15">
        <f t="shared" ca="1" si="858"/>
        <v>47</v>
      </c>
      <c r="H3184" s="15">
        <v>1</v>
      </c>
      <c r="I3184" s="15">
        <f t="shared" ca="1" si="859"/>
        <v>0</v>
      </c>
      <c r="J3184" s="15" t="str">
        <f t="shared" ca="1" si="870"/>
        <v>'0'!A47</v>
      </c>
      <c r="K3184" s="15" t="str">
        <f t="shared" ca="1" si="871"/>
        <v>'0'!B47</v>
      </c>
    </row>
    <row r="3185" spans="1:16" x14ac:dyDescent="0.25">
      <c r="A3185" s="3" t="str">
        <f t="shared" ca="1" si="872"/>
        <v/>
      </c>
      <c r="G3185" s="15">
        <f t="shared" ca="1" si="858"/>
        <v>48</v>
      </c>
      <c r="H3185" s="15">
        <v>1</v>
      </c>
      <c r="I3185" s="15">
        <f t="shared" ca="1" si="859"/>
        <v>0</v>
      </c>
      <c r="J3185" s="15" t="str">
        <f t="shared" ca="1" si="870"/>
        <v>'0'!A48</v>
      </c>
      <c r="K3185" s="15" t="str">
        <f t="shared" ca="1" si="871"/>
        <v>'0'!B48</v>
      </c>
    </row>
    <row r="3186" spans="1:16" x14ac:dyDescent="0.25">
      <c r="A3186" s="3" t="str">
        <f t="shared" ca="1" si="872"/>
        <v/>
      </c>
      <c r="G3186" s="15">
        <f t="shared" ca="1" si="858"/>
        <v>49</v>
      </c>
      <c r="H3186" s="15">
        <v>1</v>
      </c>
      <c r="I3186" s="15">
        <f t="shared" ca="1" si="859"/>
        <v>0</v>
      </c>
      <c r="J3186" s="15" t="str">
        <f t="shared" ca="1" si="870"/>
        <v>'0'!A49</v>
      </c>
      <c r="K3186" s="15" t="str">
        <f t="shared" ca="1" si="871"/>
        <v>'0'!B49</v>
      </c>
    </row>
    <row r="3187" spans="1:16" x14ac:dyDescent="0.25">
      <c r="A3187" s="3" t="str">
        <f t="shared" ca="1" si="872"/>
        <v/>
      </c>
      <c r="G3187" s="15">
        <f t="shared" ca="1" si="858"/>
        <v>50</v>
      </c>
      <c r="H3187" s="15">
        <v>1</v>
      </c>
      <c r="I3187" s="15">
        <f t="shared" ca="1" si="859"/>
        <v>0</v>
      </c>
      <c r="J3187" s="15" t="str">
        <f t="shared" ca="1" si="870"/>
        <v>'0'!A50</v>
      </c>
      <c r="K3187" s="15" t="str">
        <f t="shared" ca="1" si="871"/>
        <v>'0'!B50</v>
      </c>
    </row>
    <row r="3188" spans="1:16" x14ac:dyDescent="0.25">
      <c r="A3188" s="3" t="str">
        <f t="shared" ca="1" si="872"/>
        <v/>
      </c>
      <c r="G3188" s="15">
        <f t="shared" ref="G3188" ca="1" si="873">INDIRECT(M3188)</f>
        <v>31</v>
      </c>
      <c r="H3188" s="15">
        <v>1</v>
      </c>
      <c r="I3188" s="15">
        <f t="shared" ref="I3188" ca="1" si="874">INDIRECT(N3188)</f>
        <v>0</v>
      </c>
      <c r="J3188" s="15" t="str">
        <f t="shared" ca="1" si="870"/>
        <v>'0'!A31</v>
      </c>
      <c r="K3188" s="15" t="str">
        <f t="shared" ca="1" si="871"/>
        <v>'0'!B31</v>
      </c>
      <c r="M3188" s="15" t="str">
        <f t="shared" ref="M3188" si="875">ADDRESS(O3188,3,4,1,$R$1)</f>
        <v>konfig!C161</v>
      </c>
      <c r="N3188" s="15" t="str">
        <f t="shared" ref="N3188" si="876">ADDRESS(O3188,1,4,1,$R$1)</f>
        <v>konfig!A161</v>
      </c>
      <c r="O3188" s="15">
        <v>161</v>
      </c>
      <c r="P3188" s="15">
        <v>4</v>
      </c>
    </row>
    <row r="3189" spans="1:16" x14ac:dyDescent="0.25">
      <c r="A3189" s="3" t="str">
        <f t="shared" ca="1" si="872"/>
        <v/>
      </c>
      <c r="G3189" s="15">
        <f t="shared" ca="1" si="864"/>
        <v>32</v>
      </c>
      <c r="H3189" s="15">
        <v>1</v>
      </c>
      <c r="I3189" s="15">
        <f t="shared" ca="1" si="865"/>
        <v>0</v>
      </c>
      <c r="J3189" s="15" t="str">
        <f t="shared" ca="1" si="870"/>
        <v>'0'!A32</v>
      </c>
      <c r="K3189" s="15" t="str">
        <f t="shared" ca="1" si="871"/>
        <v>'0'!B32</v>
      </c>
    </row>
    <row r="3190" spans="1:16" x14ac:dyDescent="0.25">
      <c r="A3190" s="3" t="str">
        <f t="shared" ca="1" si="872"/>
        <v/>
      </c>
      <c r="G3190" s="15">
        <f t="shared" ca="1" si="858"/>
        <v>33</v>
      </c>
      <c r="H3190" s="15">
        <v>1</v>
      </c>
      <c r="I3190" s="15">
        <f t="shared" ca="1" si="859"/>
        <v>0</v>
      </c>
      <c r="J3190" s="15" t="str">
        <f t="shared" ca="1" si="870"/>
        <v>'0'!A33</v>
      </c>
      <c r="K3190" s="15" t="str">
        <f t="shared" ca="1" si="871"/>
        <v>'0'!B33</v>
      </c>
    </row>
    <row r="3191" spans="1:16" x14ac:dyDescent="0.25">
      <c r="A3191" s="3" t="str">
        <f t="shared" ca="1" si="872"/>
        <v/>
      </c>
      <c r="C3191" s="16"/>
      <c r="G3191" s="15">
        <f t="shared" ca="1" si="858"/>
        <v>34</v>
      </c>
      <c r="H3191" s="15">
        <v>1</v>
      </c>
      <c r="I3191" s="15">
        <f t="shared" ca="1" si="859"/>
        <v>0</v>
      </c>
      <c r="J3191" s="15" t="str">
        <f t="shared" ca="1" si="870"/>
        <v>'0'!A34</v>
      </c>
      <c r="K3191" s="15" t="str">
        <f t="shared" ca="1" si="871"/>
        <v>'0'!B34</v>
      </c>
    </row>
    <row r="3192" spans="1:16" x14ac:dyDescent="0.25">
      <c r="A3192" s="3" t="str">
        <f t="shared" ca="1" si="872"/>
        <v/>
      </c>
      <c r="G3192" s="15">
        <f t="shared" ca="1" si="858"/>
        <v>35</v>
      </c>
      <c r="H3192" s="15">
        <v>1</v>
      </c>
      <c r="I3192" s="15">
        <f t="shared" ca="1" si="859"/>
        <v>0</v>
      </c>
      <c r="J3192" s="15" t="str">
        <f t="shared" ca="1" si="870"/>
        <v>'0'!A35</v>
      </c>
      <c r="K3192" s="15" t="str">
        <f t="shared" ca="1" si="871"/>
        <v>'0'!B35</v>
      </c>
    </row>
    <row r="3193" spans="1:16" x14ac:dyDescent="0.25">
      <c r="A3193" s="3" t="str">
        <f t="shared" ca="1" si="872"/>
        <v/>
      </c>
      <c r="G3193" s="15">
        <f t="shared" ca="1" si="858"/>
        <v>36</v>
      </c>
      <c r="H3193" s="15">
        <v>1</v>
      </c>
      <c r="I3193" s="15">
        <f t="shared" ca="1" si="859"/>
        <v>0</v>
      </c>
      <c r="J3193" s="15" t="str">
        <f t="shared" ca="1" si="870"/>
        <v>'0'!A36</v>
      </c>
      <c r="K3193" s="15" t="str">
        <f t="shared" ca="1" si="871"/>
        <v>'0'!B36</v>
      </c>
    </row>
    <row r="3194" spans="1:16" x14ac:dyDescent="0.25">
      <c r="A3194" s="3" t="str">
        <f t="shared" ca="1" si="872"/>
        <v/>
      </c>
      <c r="G3194" s="15">
        <f t="shared" ca="1" si="858"/>
        <v>37</v>
      </c>
      <c r="H3194" s="15">
        <v>1</v>
      </c>
      <c r="I3194" s="15">
        <f t="shared" ca="1" si="859"/>
        <v>0</v>
      </c>
      <c r="J3194" s="15" t="str">
        <f t="shared" ca="1" si="870"/>
        <v>'0'!A37</v>
      </c>
      <c r="K3194" s="15" t="str">
        <f t="shared" ca="1" si="871"/>
        <v>'0'!B37</v>
      </c>
    </row>
    <row r="3195" spans="1:16" x14ac:dyDescent="0.25">
      <c r="A3195" s="3" t="str">
        <f t="shared" ca="1" si="872"/>
        <v/>
      </c>
      <c r="G3195" s="15">
        <f t="shared" ca="1" si="858"/>
        <v>38</v>
      </c>
      <c r="H3195" s="15">
        <v>1</v>
      </c>
      <c r="I3195" s="15">
        <f t="shared" ca="1" si="859"/>
        <v>0</v>
      </c>
      <c r="J3195" s="15" t="str">
        <f t="shared" ca="1" si="870"/>
        <v>'0'!A38</v>
      </c>
      <c r="K3195" s="15" t="str">
        <f t="shared" ca="1" si="871"/>
        <v>'0'!B38</v>
      </c>
    </row>
    <row r="3196" spans="1:16" x14ac:dyDescent="0.25">
      <c r="A3196" s="3" t="str">
        <f t="shared" ca="1" si="872"/>
        <v/>
      </c>
      <c r="G3196" s="15">
        <f t="shared" ca="1" si="858"/>
        <v>39</v>
      </c>
      <c r="H3196" s="15">
        <v>1</v>
      </c>
      <c r="I3196" s="15">
        <f t="shared" ca="1" si="859"/>
        <v>0</v>
      </c>
      <c r="J3196" s="15" t="str">
        <f t="shared" ca="1" si="870"/>
        <v>'0'!A39</v>
      </c>
      <c r="K3196" s="15" t="str">
        <f t="shared" ca="1" si="871"/>
        <v>'0'!B39</v>
      </c>
    </row>
    <row r="3197" spans="1:16" x14ac:dyDescent="0.25">
      <c r="A3197" s="3" t="str">
        <f t="shared" ca="1" si="872"/>
        <v/>
      </c>
      <c r="G3197" s="15">
        <f t="shared" ca="1" si="858"/>
        <v>40</v>
      </c>
      <c r="H3197" s="15">
        <v>1</v>
      </c>
      <c r="I3197" s="15">
        <f t="shared" ca="1" si="859"/>
        <v>0</v>
      </c>
      <c r="J3197" s="15" t="str">
        <f t="shared" ca="1" si="870"/>
        <v>'0'!A40</v>
      </c>
      <c r="K3197" s="15" t="str">
        <f t="shared" ca="1" si="871"/>
        <v>'0'!B40</v>
      </c>
    </row>
    <row r="3198" spans="1:16" x14ac:dyDescent="0.25">
      <c r="A3198" s="3" t="str">
        <f t="shared" ca="1" si="872"/>
        <v/>
      </c>
      <c r="G3198" s="15">
        <f t="shared" ca="1" si="858"/>
        <v>41</v>
      </c>
      <c r="H3198" s="15">
        <v>1</v>
      </c>
      <c r="I3198" s="15">
        <f t="shared" ca="1" si="859"/>
        <v>0</v>
      </c>
      <c r="J3198" s="15" t="str">
        <f t="shared" ca="1" si="870"/>
        <v>'0'!A41</v>
      </c>
      <c r="K3198" s="15" t="str">
        <f t="shared" ca="1" si="871"/>
        <v>'0'!B41</v>
      </c>
    </row>
    <row r="3199" spans="1:16" x14ac:dyDescent="0.25">
      <c r="A3199" s="3" t="str">
        <f t="shared" ca="1" si="872"/>
        <v/>
      </c>
      <c r="C3199" s="16"/>
      <c r="G3199" s="15">
        <f t="shared" ca="1" si="858"/>
        <v>42</v>
      </c>
      <c r="H3199" s="15">
        <v>1</v>
      </c>
      <c r="I3199" s="15">
        <f t="shared" ca="1" si="859"/>
        <v>0</v>
      </c>
      <c r="J3199" s="15" t="str">
        <f t="shared" ca="1" si="870"/>
        <v>'0'!A42</v>
      </c>
      <c r="K3199" s="15" t="str">
        <f t="shared" ca="1" si="871"/>
        <v>'0'!B42</v>
      </c>
    </row>
    <row r="3200" spans="1:16" x14ac:dyDescent="0.25">
      <c r="A3200" s="3" t="str">
        <f t="shared" ca="1" si="872"/>
        <v/>
      </c>
      <c r="G3200" s="15">
        <f t="shared" ca="1" si="858"/>
        <v>43</v>
      </c>
      <c r="H3200" s="15">
        <v>1</v>
      </c>
      <c r="I3200" s="15">
        <f t="shared" ca="1" si="859"/>
        <v>0</v>
      </c>
      <c r="J3200" s="15" t="str">
        <f t="shared" ca="1" si="870"/>
        <v>'0'!A43</v>
      </c>
      <c r="K3200" s="15" t="str">
        <f t="shared" ca="1" si="871"/>
        <v>'0'!B43</v>
      </c>
    </row>
    <row r="3201" spans="1:16" x14ac:dyDescent="0.25">
      <c r="A3201" s="3" t="str">
        <f t="shared" ca="1" si="872"/>
        <v/>
      </c>
      <c r="G3201" s="15">
        <f t="shared" ca="1" si="858"/>
        <v>44</v>
      </c>
      <c r="H3201" s="15">
        <v>1</v>
      </c>
      <c r="I3201" s="15">
        <f t="shared" ca="1" si="859"/>
        <v>0</v>
      </c>
      <c r="J3201" s="15" t="str">
        <f t="shared" ca="1" si="870"/>
        <v>'0'!A44</v>
      </c>
      <c r="K3201" s="15" t="str">
        <f t="shared" ca="1" si="871"/>
        <v>'0'!B44</v>
      </c>
    </row>
    <row r="3202" spans="1:16" x14ac:dyDescent="0.25">
      <c r="A3202" s="3" t="str">
        <f t="shared" ca="1" si="872"/>
        <v/>
      </c>
      <c r="G3202" s="15">
        <f t="shared" ca="1" si="858"/>
        <v>45</v>
      </c>
      <c r="H3202" s="15">
        <v>1</v>
      </c>
      <c r="I3202" s="15">
        <f t="shared" ca="1" si="859"/>
        <v>0</v>
      </c>
      <c r="J3202" s="15" t="str">
        <f t="shared" ca="1" si="870"/>
        <v>'0'!A45</v>
      </c>
      <c r="K3202" s="15" t="str">
        <f t="shared" ca="1" si="871"/>
        <v>'0'!B45</v>
      </c>
    </row>
    <row r="3203" spans="1:16" x14ac:dyDescent="0.25">
      <c r="A3203" s="3" t="str">
        <f t="shared" ca="1" si="872"/>
        <v/>
      </c>
      <c r="G3203" s="15">
        <f t="shared" ca="1" si="858"/>
        <v>46</v>
      </c>
      <c r="H3203" s="15">
        <v>1</v>
      </c>
      <c r="I3203" s="15">
        <f t="shared" ca="1" si="859"/>
        <v>0</v>
      </c>
      <c r="J3203" s="15" t="str">
        <f t="shared" ca="1" si="870"/>
        <v>'0'!A46</v>
      </c>
      <c r="K3203" s="15" t="str">
        <f t="shared" ca="1" si="871"/>
        <v>'0'!B46</v>
      </c>
    </row>
    <row r="3204" spans="1:16" x14ac:dyDescent="0.25">
      <c r="A3204" s="3" t="str">
        <f t="shared" ca="1" si="872"/>
        <v/>
      </c>
      <c r="G3204" s="15">
        <f t="shared" ca="1" si="858"/>
        <v>47</v>
      </c>
      <c r="H3204" s="15">
        <v>1</v>
      </c>
      <c r="I3204" s="15">
        <f t="shared" ca="1" si="859"/>
        <v>0</v>
      </c>
      <c r="J3204" s="15" t="str">
        <f t="shared" ca="1" si="870"/>
        <v>'0'!A47</v>
      </c>
      <c r="K3204" s="15" t="str">
        <f t="shared" ca="1" si="871"/>
        <v>'0'!B47</v>
      </c>
    </row>
    <row r="3205" spans="1:16" x14ac:dyDescent="0.25">
      <c r="A3205" s="3" t="str">
        <f t="shared" ca="1" si="872"/>
        <v/>
      </c>
      <c r="G3205" s="15">
        <f t="shared" ca="1" si="858"/>
        <v>48</v>
      </c>
      <c r="H3205" s="15">
        <v>1</v>
      </c>
      <c r="I3205" s="15">
        <f t="shared" ca="1" si="859"/>
        <v>0</v>
      </c>
      <c r="J3205" s="15" t="str">
        <f t="shared" ca="1" si="870"/>
        <v>'0'!A48</v>
      </c>
      <c r="K3205" s="15" t="str">
        <f t="shared" ca="1" si="871"/>
        <v>'0'!B48</v>
      </c>
    </row>
    <row r="3206" spans="1:16" x14ac:dyDescent="0.25">
      <c r="A3206" s="3" t="str">
        <f t="shared" ca="1" si="872"/>
        <v/>
      </c>
      <c r="G3206" s="15">
        <f t="shared" ca="1" si="858"/>
        <v>49</v>
      </c>
      <c r="H3206" s="15">
        <v>1</v>
      </c>
      <c r="I3206" s="15">
        <f t="shared" ca="1" si="859"/>
        <v>0</v>
      </c>
      <c r="J3206" s="15" t="str">
        <f t="shared" ca="1" si="870"/>
        <v>'0'!A49</v>
      </c>
      <c r="K3206" s="15" t="str">
        <f t="shared" ca="1" si="871"/>
        <v>'0'!B49</v>
      </c>
    </row>
    <row r="3207" spans="1:16" x14ac:dyDescent="0.25">
      <c r="A3207" s="3" t="str">
        <f t="shared" ca="1" si="872"/>
        <v/>
      </c>
      <c r="G3207" s="15">
        <f t="shared" ca="1" si="858"/>
        <v>50</v>
      </c>
      <c r="H3207" s="15">
        <v>1</v>
      </c>
      <c r="I3207" s="15">
        <f t="shared" ca="1" si="859"/>
        <v>0</v>
      </c>
      <c r="J3207" s="15" t="str">
        <f t="shared" ca="1" si="870"/>
        <v>'0'!A50</v>
      </c>
      <c r="K3207" s="15" t="str">
        <f t="shared" ca="1" si="871"/>
        <v>'0'!B50</v>
      </c>
    </row>
    <row r="3208" spans="1:16" x14ac:dyDescent="0.25">
      <c r="A3208" s="3" t="str">
        <f t="shared" ca="1" si="872"/>
        <v/>
      </c>
      <c r="G3208" s="15">
        <f t="shared" ref="G3208" ca="1" si="877">INDIRECT(M3208)</f>
        <v>31</v>
      </c>
      <c r="H3208" s="15">
        <v>1</v>
      </c>
      <c r="I3208" s="15">
        <f t="shared" ref="I3208" ca="1" si="878">INDIRECT(N3208)</f>
        <v>0</v>
      </c>
      <c r="J3208" s="15" t="str">
        <f t="shared" ca="1" si="870"/>
        <v>'0'!A31</v>
      </c>
      <c r="K3208" s="15" t="str">
        <f t="shared" ca="1" si="871"/>
        <v>'0'!B31</v>
      </c>
      <c r="M3208" s="15" t="str">
        <f t="shared" ref="M3208" si="879">ADDRESS(O3208,3,4,1,$R$1)</f>
        <v>konfig!C162</v>
      </c>
      <c r="N3208" s="15" t="str">
        <f t="shared" ref="N3208" si="880">ADDRESS(O3208,1,4,1,$R$1)</f>
        <v>konfig!A162</v>
      </c>
      <c r="O3208" s="15">
        <v>162</v>
      </c>
      <c r="P3208" s="15">
        <v>4</v>
      </c>
    </row>
    <row r="3209" spans="1:16" x14ac:dyDescent="0.25">
      <c r="A3209" s="3" t="str">
        <f t="shared" ca="1" si="872"/>
        <v/>
      </c>
      <c r="G3209" s="15">
        <f t="shared" ref="G3209:G3272" ca="1" si="881">G3208+1</f>
        <v>32</v>
      </c>
      <c r="H3209" s="15">
        <v>1</v>
      </c>
      <c r="I3209" s="15">
        <f t="shared" ref="I3209:I3272" ca="1" si="882">I3208</f>
        <v>0</v>
      </c>
      <c r="J3209" s="15" t="str">
        <f t="shared" ca="1" si="870"/>
        <v>'0'!A32</v>
      </c>
      <c r="K3209" s="15" t="str">
        <f t="shared" ca="1" si="871"/>
        <v>'0'!B32</v>
      </c>
    </row>
    <row r="3210" spans="1:16" x14ac:dyDescent="0.25">
      <c r="A3210" s="3" t="str">
        <f t="shared" ca="1" si="872"/>
        <v/>
      </c>
      <c r="G3210" s="15">
        <f t="shared" ca="1" si="881"/>
        <v>33</v>
      </c>
      <c r="H3210" s="15">
        <v>1</v>
      </c>
      <c r="I3210" s="15">
        <f t="shared" ca="1" si="882"/>
        <v>0</v>
      </c>
      <c r="J3210" s="15" t="str">
        <f t="shared" ca="1" si="870"/>
        <v>'0'!A33</v>
      </c>
      <c r="K3210" s="15" t="str">
        <f t="shared" ca="1" si="871"/>
        <v>'0'!B33</v>
      </c>
    </row>
    <row r="3211" spans="1:16" x14ac:dyDescent="0.25">
      <c r="A3211" s="3" t="str">
        <f t="shared" ca="1" si="872"/>
        <v/>
      </c>
      <c r="C3211" s="16"/>
      <c r="G3211" s="15">
        <f t="shared" ca="1" si="881"/>
        <v>34</v>
      </c>
      <c r="H3211" s="15">
        <v>1</v>
      </c>
      <c r="I3211" s="15">
        <f t="shared" ca="1" si="882"/>
        <v>0</v>
      </c>
      <c r="J3211" s="15" t="str">
        <f t="shared" ca="1" si="870"/>
        <v>'0'!A34</v>
      </c>
      <c r="K3211" s="15" t="str">
        <f t="shared" ca="1" si="871"/>
        <v>'0'!B34</v>
      </c>
    </row>
    <row r="3212" spans="1:16" x14ac:dyDescent="0.25">
      <c r="A3212" s="3" t="str">
        <f t="shared" ca="1" si="872"/>
        <v/>
      </c>
      <c r="G3212" s="15">
        <f t="shared" ca="1" si="881"/>
        <v>35</v>
      </c>
      <c r="H3212" s="15">
        <v>1</v>
      </c>
      <c r="I3212" s="15">
        <f t="shared" ca="1" si="882"/>
        <v>0</v>
      </c>
      <c r="J3212" s="15" t="str">
        <f t="shared" ca="1" si="870"/>
        <v>'0'!A35</v>
      </c>
      <c r="K3212" s="15" t="str">
        <f t="shared" ca="1" si="871"/>
        <v>'0'!B35</v>
      </c>
    </row>
    <row r="3213" spans="1:16" x14ac:dyDescent="0.25">
      <c r="A3213" s="3" t="str">
        <f t="shared" ca="1" si="872"/>
        <v/>
      </c>
      <c r="G3213" s="15">
        <f t="shared" ca="1" si="881"/>
        <v>36</v>
      </c>
      <c r="H3213" s="15">
        <v>1</v>
      </c>
      <c r="I3213" s="15">
        <f t="shared" ca="1" si="882"/>
        <v>0</v>
      </c>
      <c r="J3213" s="15" t="str">
        <f t="shared" ca="1" si="870"/>
        <v>'0'!A36</v>
      </c>
      <c r="K3213" s="15" t="str">
        <f t="shared" ca="1" si="871"/>
        <v>'0'!B36</v>
      </c>
    </row>
    <row r="3214" spans="1:16" x14ac:dyDescent="0.25">
      <c r="A3214" s="3" t="str">
        <f t="shared" ca="1" si="872"/>
        <v/>
      </c>
      <c r="G3214" s="15">
        <f t="shared" ca="1" si="881"/>
        <v>37</v>
      </c>
      <c r="H3214" s="15">
        <v>1</v>
      </c>
      <c r="I3214" s="15">
        <f t="shared" ca="1" si="882"/>
        <v>0</v>
      </c>
      <c r="J3214" s="15" t="str">
        <f t="shared" ca="1" si="870"/>
        <v>'0'!A37</v>
      </c>
      <c r="K3214" s="15" t="str">
        <f t="shared" ca="1" si="871"/>
        <v>'0'!B37</v>
      </c>
    </row>
    <row r="3215" spans="1:16" x14ac:dyDescent="0.25">
      <c r="A3215" s="3" t="str">
        <f t="shared" ca="1" si="872"/>
        <v/>
      </c>
      <c r="G3215" s="15">
        <f t="shared" ca="1" si="881"/>
        <v>38</v>
      </c>
      <c r="H3215" s="15">
        <v>1</v>
      </c>
      <c r="I3215" s="15">
        <f t="shared" ca="1" si="882"/>
        <v>0</v>
      </c>
      <c r="J3215" s="15" t="str">
        <f t="shared" ca="1" si="870"/>
        <v>'0'!A38</v>
      </c>
      <c r="K3215" s="15" t="str">
        <f t="shared" ca="1" si="871"/>
        <v>'0'!B38</v>
      </c>
    </row>
    <row r="3216" spans="1:16" x14ac:dyDescent="0.25">
      <c r="A3216" s="3" t="str">
        <f t="shared" ca="1" si="872"/>
        <v/>
      </c>
      <c r="G3216" s="15">
        <f t="shared" ca="1" si="881"/>
        <v>39</v>
      </c>
      <c r="H3216" s="15">
        <v>1</v>
      </c>
      <c r="I3216" s="15">
        <f t="shared" ca="1" si="882"/>
        <v>0</v>
      </c>
      <c r="J3216" s="15" t="str">
        <f t="shared" ca="1" si="870"/>
        <v>'0'!A39</v>
      </c>
      <c r="K3216" s="15" t="str">
        <f t="shared" ca="1" si="871"/>
        <v>'0'!B39</v>
      </c>
    </row>
    <row r="3217" spans="1:16" x14ac:dyDescent="0.25">
      <c r="A3217" s="3" t="str">
        <f t="shared" ca="1" si="872"/>
        <v/>
      </c>
      <c r="G3217" s="15">
        <f t="shared" ca="1" si="881"/>
        <v>40</v>
      </c>
      <c r="H3217" s="15">
        <v>1</v>
      </c>
      <c r="I3217" s="15">
        <f t="shared" ca="1" si="882"/>
        <v>0</v>
      </c>
      <c r="J3217" s="15" t="str">
        <f t="shared" ca="1" si="870"/>
        <v>'0'!A40</v>
      </c>
      <c r="K3217" s="15" t="str">
        <f t="shared" ca="1" si="871"/>
        <v>'0'!B40</v>
      </c>
    </row>
    <row r="3218" spans="1:16" x14ac:dyDescent="0.25">
      <c r="A3218" s="3" t="str">
        <f t="shared" ca="1" si="872"/>
        <v/>
      </c>
      <c r="G3218" s="15">
        <f t="shared" ca="1" si="881"/>
        <v>41</v>
      </c>
      <c r="H3218" s="15">
        <v>1</v>
      </c>
      <c r="I3218" s="15">
        <f t="shared" ca="1" si="882"/>
        <v>0</v>
      </c>
      <c r="J3218" s="15" t="str">
        <f t="shared" ca="1" si="870"/>
        <v>'0'!A41</v>
      </c>
      <c r="K3218" s="15" t="str">
        <f t="shared" ca="1" si="871"/>
        <v>'0'!B41</v>
      </c>
    </row>
    <row r="3219" spans="1:16" x14ac:dyDescent="0.25">
      <c r="A3219" s="3" t="str">
        <f t="shared" ca="1" si="872"/>
        <v/>
      </c>
      <c r="C3219" s="16"/>
      <c r="G3219" s="15">
        <f t="shared" ca="1" si="881"/>
        <v>42</v>
      </c>
      <c r="H3219" s="15">
        <v>1</v>
      </c>
      <c r="I3219" s="15">
        <f t="shared" ca="1" si="882"/>
        <v>0</v>
      </c>
      <c r="J3219" s="15" t="str">
        <f t="shared" ca="1" si="870"/>
        <v>'0'!A42</v>
      </c>
      <c r="K3219" s="15" t="str">
        <f t="shared" ca="1" si="871"/>
        <v>'0'!B42</v>
      </c>
    </row>
    <row r="3220" spans="1:16" x14ac:dyDescent="0.25">
      <c r="A3220" s="3" t="str">
        <f t="shared" ca="1" si="872"/>
        <v/>
      </c>
      <c r="G3220" s="15">
        <f t="shared" ca="1" si="881"/>
        <v>43</v>
      </c>
      <c r="H3220" s="15">
        <v>1</v>
      </c>
      <c r="I3220" s="15">
        <f t="shared" ca="1" si="882"/>
        <v>0</v>
      </c>
      <c r="J3220" s="15" t="str">
        <f t="shared" ca="1" si="870"/>
        <v>'0'!A43</v>
      </c>
      <c r="K3220" s="15" t="str">
        <f t="shared" ca="1" si="871"/>
        <v>'0'!B43</v>
      </c>
    </row>
    <row r="3221" spans="1:16" x14ac:dyDescent="0.25">
      <c r="A3221" s="3" t="str">
        <f t="shared" ca="1" si="872"/>
        <v/>
      </c>
      <c r="G3221" s="15">
        <f t="shared" ca="1" si="881"/>
        <v>44</v>
      </c>
      <c r="H3221" s="15">
        <v>1</v>
      </c>
      <c r="I3221" s="15">
        <f t="shared" ca="1" si="882"/>
        <v>0</v>
      </c>
      <c r="J3221" s="15" t="str">
        <f t="shared" ca="1" si="870"/>
        <v>'0'!A44</v>
      </c>
      <c r="K3221" s="15" t="str">
        <f t="shared" ca="1" si="871"/>
        <v>'0'!B44</v>
      </c>
    </row>
    <row r="3222" spans="1:16" x14ac:dyDescent="0.25">
      <c r="A3222" s="3" t="str">
        <f t="shared" ca="1" si="872"/>
        <v/>
      </c>
      <c r="G3222" s="15">
        <f t="shared" ca="1" si="881"/>
        <v>45</v>
      </c>
      <c r="H3222" s="15">
        <v>1</v>
      </c>
      <c r="I3222" s="15">
        <f t="shared" ca="1" si="882"/>
        <v>0</v>
      </c>
      <c r="J3222" s="15" t="str">
        <f t="shared" ca="1" si="870"/>
        <v>'0'!A45</v>
      </c>
      <c r="K3222" s="15" t="str">
        <f t="shared" ca="1" si="871"/>
        <v>'0'!B45</v>
      </c>
    </row>
    <row r="3223" spans="1:16" x14ac:dyDescent="0.25">
      <c r="A3223" s="3" t="str">
        <f t="shared" ca="1" si="872"/>
        <v/>
      </c>
      <c r="G3223" s="15">
        <f t="shared" ca="1" si="881"/>
        <v>46</v>
      </c>
      <c r="H3223" s="15">
        <v>1</v>
      </c>
      <c r="I3223" s="15">
        <f t="shared" ca="1" si="882"/>
        <v>0</v>
      </c>
      <c r="J3223" s="15" t="str">
        <f t="shared" ca="1" si="870"/>
        <v>'0'!A46</v>
      </c>
      <c r="K3223" s="15" t="str">
        <f t="shared" ca="1" si="871"/>
        <v>'0'!B46</v>
      </c>
    </row>
    <row r="3224" spans="1:16" x14ac:dyDescent="0.25">
      <c r="A3224" s="3" t="str">
        <f t="shared" ca="1" si="872"/>
        <v/>
      </c>
      <c r="G3224" s="15">
        <f t="shared" ca="1" si="881"/>
        <v>47</v>
      </c>
      <c r="H3224" s="15">
        <v>1</v>
      </c>
      <c r="I3224" s="15">
        <f t="shared" ca="1" si="882"/>
        <v>0</v>
      </c>
      <c r="J3224" s="15" t="str">
        <f t="shared" ca="1" si="870"/>
        <v>'0'!A47</v>
      </c>
      <c r="K3224" s="15" t="str">
        <f t="shared" ca="1" si="871"/>
        <v>'0'!B47</v>
      </c>
    </row>
    <row r="3225" spans="1:16" x14ac:dyDescent="0.25">
      <c r="A3225" s="3" t="str">
        <f t="shared" ca="1" si="872"/>
        <v/>
      </c>
      <c r="G3225" s="15">
        <f t="shared" ca="1" si="881"/>
        <v>48</v>
      </c>
      <c r="H3225" s="15">
        <v>1</v>
      </c>
      <c r="I3225" s="15">
        <f t="shared" ca="1" si="882"/>
        <v>0</v>
      </c>
      <c r="J3225" s="15" t="str">
        <f t="shared" ca="1" si="870"/>
        <v>'0'!A48</v>
      </c>
      <c r="K3225" s="15" t="str">
        <f t="shared" ca="1" si="871"/>
        <v>'0'!B48</v>
      </c>
    </row>
    <row r="3226" spans="1:16" x14ac:dyDescent="0.25">
      <c r="A3226" s="3" t="str">
        <f t="shared" ca="1" si="872"/>
        <v/>
      </c>
      <c r="G3226" s="15">
        <f t="shared" ca="1" si="881"/>
        <v>49</v>
      </c>
      <c r="H3226" s="15">
        <v>1</v>
      </c>
      <c r="I3226" s="15">
        <f t="shared" ca="1" si="882"/>
        <v>0</v>
      </c>
      <c r="J3226" s="15" t="str">
        <f t="shared" ca="1" si="870"/>
        <v>'0'!A49</v>
      </c>
      <c r="K3226" s="15" t="str">
        <f t="shared" ca="1" si="871"/>
        <v>'0'!B49</v>
      </c>
    </row>
    <row r="3227" spans="1:16" x14ac:dyDescent="0.25">
      <c r="A3227" s="3" t="str">
        <f t="shared" ca="1" si="872"/>
        <v/>
      </c>
      <c r="G3227" s="15">
        <f t="shared" ca="1" si="881"/>
        <v>50</v>
      </c>
      <c r="H3227" s="15">
        <v>1</v>
      </c>
      <c r="I3227" s="15">
        <f t="shared" ca="1" si="882"/>
        <v>0</v>
      </c>
      <c r="J3227" s="15" t="str">
        <f t="shared" ca="1" si="870"/>
        <v>'0'!A50</v>
      </c>
      <c r="K3227" s="15" t="str">
        <f t="shared" ca="1" si="871"/>
        <v>'0'!B50</v>
      </c>
    </row>
    <row r="3228" spans="1:16" x14ac:dyDescent="0.25">
      <c r="A3228" s="3" t="str">
        <f t="shared" ca="1" si="872"/>
        <v/>
      </c>
      <c r="G3228" s="15">
        <f t="shared" ref="G3228" ca="1" si="883">INDIRECT(M3228)</f>
        <v>31</v>
      </c>
      <c r="H3228" s="15">
        <v>1</v>
      </c>
      <c r="I3228" s="15">
        <f t="shared" ref="I3228" ca="1" si="884">INDIRECT(N3228)</f>
        <v>0</v>
      </c>
      <c r="J3228" s="15" t="str">
        <f t="shared" ca="1" si="870"/>
        <v>'0'!A31</v>
      </c>
      <c r="K3228" s="15" t="str">
        <f t="shared" ca="1" si="871"/>
        <v>'0'!B31</v>
      </c>
      <c r="M3228" s="15" t="str">
        <f t="shared" ref="M3228" si="885">ADDRESS(O3228,3,4,1,$R$1)</f>
        <v>konfig!C163</v>
      </c>
      <c r="N3228" s="15" t="str">
        <f t="shared" ref="N3228" si="886">ADDRESS(O3228,1,4,1,$R$1)</f>
        <v>konfig!A163</v>
      </c>
      <c r="O3228" s="15">
        <v>163</v>
      </c>
      <c r="P3228" s="15">
        <v>4</v>
      </c>
    </row>
    <row r="3229" spans="1:16" x14ac:dyDescent="0.25">
      <c r="A3229" s="3" t="str">
        <f t="shared" ca="1" si="872"/>
        <v/>
      </c>
      <c r="G3229" s="15">
        <f t="shared" ref="G3229:G3269" ca="1" si="887">G3228+1</f>
        <v>32</v>
      </c>
      <c r="H3229" s="15">
        <v>1</v>
      </c>
      <c r="I3229" s="15">
        <f t="shared" ref="I3229:I3269" ca="1" si="888">I3228</f>
        <v>0</v>
      </c>
      <c r="J3229" s="15" t="str">
        <f t="shared" ca="1" si="870"/>
        <v>'0'!A32</v>
      </c>
      <c r="K3229" s="15" t="str">
        <f t="shared" ca="1" si="871"/>
        <v>'0'!B32</v>
      </c>
    </row>
    <row r="3230" spans="1:16" x14ac:dyDescent="0.25">
      <c r="A3230" s="3" t="str">
        <f t="shared" ca="1" si="872"/>
        <v/>
      </c>
      <c r="G3230" s="15">
        <f t="shared" ca="1" si="881"/>
        <v>33</v>
      </c>
      <c r="H3230" s="15">
        <v>1</v>
      </c>
      <c r="I3230" s="15">
        <f t="shared" ca="1" si="882"/>
        <v>0</v>
      </c>
      <c r="J3230" s="15" t="str">
        <f t="shared" ca="1" si="870"/>
        <v>'0'!A33</v>
      </c>
      <c r="K3230" s="15" t="str">
        <f t="shared" ca="1" si="871"/>
        <v>'0'!B33</v>
      </c>
    </row>
    <row r="3231" spans="1:16" x14ac:dyDescent="0.25">
      <c r="A3231" s="3" t="str">
        <f t="shared" ca="1" si="872"/>
        <v/>
      </c>
      <c r="C3231" s="16"/>
      <c r="G3231" s="15">
        <f t="shared" ca="1" si="881"/>
        <v>34</v>
      </c>
      <c r="H3231" s="15">
        <v>1</v>
      </c>
      <c r="I3231" s="15">
        <f t="shared" ca="1" si="882"/>
        <v>0</v>
      </c>
      <c r="J3231" s="15" t="str">
        <f t="shared" ca="1" si="870"/>
        <v>'0'!A34</v>
      </c>
      <c r="K3231" s="15" t="str">
        <f t="shared" ca="1" si="871"/>
        <v>'0'!B34</v>
      </c>
    </row>
    <row r="3232" spans="1:16" x14ac:dyDescent="0.25">
      <c r="A3232" s="3" t="str">
        <f t="shared" ca="1" si="872"/>
        <v/>
      </c>
      <c r="G3232" s="15">
        <f t="shared" ca="1" si="881"/>
        <v>35</v>
      </c>
      <c r="H3232" s="15">
        <v>1</v>
      </c>
      <c r="I3232" s="15">
        <f t="shared" ca="1" si="882"/>
        <v>0</v>
      </c>
      <c r="J3232" s="15" t="str">
        <f t="shared" ca="1" si="870"/>
        <v>'0'!A35</v>
      </c>
      <c r="K3232" s="15" t="str">
        <f t="shared" ca="1" si="871"/>
        <v>'0'!B35</v>
      </c>
    </row>
    <row r="3233" spans="1:16" x14ac:dyDescent="0.25">
      <c r="A3233" s="3" t="str">
        <f t="shared" ca="1" si="872"/>
        <v/>
      </c>
      <c r="G3233" s="15">
        <f t="shared" ca="1" si="881"/>
        <v>36</v>
      </c>
      <c r="H3233" s="15">
        <v>1</v>
      </c>
      <c r="I3233" s="15">
        <f t="shared" ca="1" si="882"/>
        <v>0</v>
      </c>
      <c r="J3233" s="15" t="str">
        <f t="shared" ca="1" si="870"/>
        <v>'0'!A36</v>
      </c>
      <c r="K3233" s="15" t="str">
        <f t="shared" ca="1" si="871"/>
        <v>'0'!B36</v>
      </c>
    </row>
    <row r="3234" spans="1:16" x14ac:dyDescent="0.25">
      <c r="A3234" s="3" t="str">
        <f t="shared" ca="1" si="872"/>
        <v/>
      </c>
      <c r="G3234" s="15">
        <f t="shared" ca="1" si="881"/>
        <v>37</v>
      </c>
      <c r="H3234" s="15">
        <v>1</v>
      </c>
      <c r="I3234" s="15">
        <f t="shared" ca="1" si="882"/>
        <v>0</v>
      </c>
      <c r="J3234" s="15" t="str">
        <f t="shared" ca="1" si="870"/>
        <v>'0'!A37</v>
      </c>
      <c r="K3234" s="15" t="str">
        <f t="shared" ca="1" si="871"/>
        <v>'0'!B37</v>
      </c>
    </row>
    <row r="3235" spans="1:16" x14ac:dyDescent="0.25">
      <c r="A3235" s="3" t="str">
        <f t="shared" ca="1" si="872"/>
        <v/>
      </c>
      <c r="G3235" s="15">
        <f t="shared" ca="1" si="881"/>
        <v>38</v>
      </c>
      <c r="H3235" s="15">
        <v>1</v>
      </c>
      <c r="I3235" s="15">
        <f t="shared" ca="1" si="882"/>
        <v>0</v>
      </c>
      <c r="J3235" s="15" t="str">
        <f t="shared" ca="1" si="870"/>
        <v>'0'!A38</v>
      </c>
      <c r="K3235" s="15" t="str">
        <f t="shared" ca="1" si="871"/>
        <v>'0'!B38</v>
      </c>
    </row>
    <row r="3236" spans="1:16" x14ac:dyDescent="0.25">
      <c r="A3236" s="3" t="str">
        <f t="shared" ca="1" si="872"/>
        <v/>
      </c>
      <c r="G3236" s="15">
        <f t="shared" ca="1" si="881"/>
        <v>39</v>
      </c>
      <c r="H3236" s="15">
        <v>1</v>
      </c>
      <c r="I3236" s="15">
        <f t="shared" ca="1" si="882"/>
        <v>0</v>
      </c>
      <c r="J3236" s="15" t="str">
        <f t="shared" ref="J3236:J3299" ca="1" si="889">ADDRESS(G3236,H3236,4,1,I3236)</f>
        <v>'0'!A39</v>
      </c>
      <c r="K3236" s="15" t="str">
        <f t="shared" ref="K3236:K3299" ca="1" si="890">ADDRESS(G3236,H3236+1,4,1,I3236)</f>
        <v>'0'!B39</v>
      </c>
    </row>
    <row r="3237" spans="1:16" x14ac:dyDescent="0.25">
      <c r="A3237" s="3" t="str">
        <f t="shared" ca="1" si="872"/>
        <v/>
      </c>
      <c r="G3237" s="15">
        <f t="shared" ca="1" si="881"/>
        <v>40</v>
      </c>
      <c r="H3237" s="15">
        <v>1</v>
      </c>
      <c r="I3237" s="15">
        <f t="shared" ca="1" si="882"/>
        <v>0</v>
      </c>
      <c r="J3237" s="15" t="str">
        <f t="shared" ca="1" si="889"/>
        <v>'0'!A40</v>
      </c>
      <c r="K3237" s="15" t="str">
        <f t="shared" ca="1" si="890"/>
        <v>'0'!B40</v>
      </c>
    </row>
    <row r="3238" spans="1:16" x14ac:dyDescent="0.25">
      <c r="A3238" s="3" t="str">
        <f t="shared" ca="1" si="872"/>
        <v/>
      </c>
      <c r="G3238" s="15">
        <f t="shared" ca="1" si="881"/>
        <v>41</v>
      </c>
      <c r="H3238" s="15">
        <v>1</v>
      </c>
      <c r="I3238" s="15">
        <f t="shared" ca="1" si="882"/>
        <v>0</v>
      </c>
      <c r="J3238" s="15" t="str">
        <f t="shared" ca="1" si="889"/>
        <v>'0'!A41</v>
      </c>
      <c r="K3238" s="15" t="str">
        <f t="shared" ca="1" si="890"/>
        <v>'0'!B41</v>
      </c>
    </row>
    <row r="3239" spans="1:16" x14ac:dyDescent="0.25">
      <c r="A3239" s="3" t="str">
        <f t="shared" ca="1" si="872"/>
        <v/>
      </c>
      <c r="C3239" s="16"/>
      <c r="G3239" s="15">
        <f t="shared" ca="1" si="881"/>
        <v>42</v>
      </c>
      <c r="H3239" s="15">
        <v>1</v>
      </c>
      <c r="I3239" s="15">
        <f t="shared" ca="1" si="882"/>
        <v>0</v>
      </c>
      <c r="J3239" s="15" t="str">
        <f t="shared" ca="1" si="889"/>
        <v>'0'!A42</v>
      </c>
      <c r="K3239" s="15" t="str">
        <f t="shared" ca="1" si="890"/>
        <v>'0'!B42</v>
      </c>
    </row>
    <row r="3240" spans="1:16" x14ac:dyDescent="0.25">
      <c r="A3240" s="3" t="str">
        <f t="shared" ca="1" si="872"/>
        <v/>
      </c>
      <c r="G3240" s="15">
        <f t="shared" ca="1" si="881"/>
        <v>43</v>
      </c>
      <c r="H3240" s="15">
        <v>1</v>
      </c>
      <c r="I3240" s="15">
        <f t="shared" ca="1" si="882"/>
        <v>0</v>
      </c>
      <c r="J3240" s="15" t="str">
        <f t="shared" ca="1" si="889"/>
        <v>'0'!A43</v>
      </c>
      <c r="K3240" s="15" t="str">
        <f t="shared" ca="1" si="890"/>
        <v>'0'!B43</v>
      </c>
    </row>
    <row r="3241" spans="1:16" x14ac:dyDescent="0.25">
      <c r="A3241" s="3" t="str">
        <f t="shared" ca="1" si="872"/>
        <v/>
      </c>
      <c r="G3241" s="15">
        <f t="shared" ca="1" si="881"/>
        <v>44</v>
      </c>
      <c r="H3241" s="15">
        <v>1</v>
      </c>
      <c r="I3241" s="15">
        <f t="shared" ca="1" si="882"/>
        <v>0</v>
      </c>
      <c r="J3241" s="15" t="str">
        <f t="shared" ca="1" si="889"/>
        <v>'0'!A44</v>
      </c>
      <c r="K3241" s="15" t="str">
        <f t="shared" ca="1" si="890"/>
        <v>'0'!B44</v>
      </c>
    </row>
    <row r="3242" spans="1:16" x14ac:dyDescent="0.25">
      <c r="A3242" s="3" t="str">
        <f t="shared" ca="1" si="872"/>
        <v/>
      </c>
      <c r="G3242" s="15">
        <f t="shared" ca="1" si="881"/>
        <v>45</v>
      </c>
      <c r="H3242" s="15">
        <v>1</v>
      </c>
      <c r="I3242" s="15">
        <f t="shared" ca="1" si="882"/>
        <v>0</v>
      </c>
      <c r="J3242" s="15" t="str">
        <f t="shared" ca="1" si="889"/>
        <v>'0'!A45</v>
      </c>
      <c r="K3242" s="15" t="str">
        <f t="shared" ca="1" si="890"/>
        <v>'0'!B45</v>
      </c>
    </row>
    <row r="3243" spans="1:16" x14ac:dyDescent="0.25">
      <c r="A3243" s="3" t="str">
        <f t="shared" ca="1" si="872"/>
        <v/>
      </c>
      <c r="G3243" s="15">
        <f t="shared" ca="1" si="881"/>
        <v>46</v>
      </c>
      <c r="H3243" s="15">
        <v>1</v>
      </c>
      <c r="I3243" s="15">
        <f t="shared" ca="1" si="882"/>
        <v>0</v>
      </c>
      <c r="J3243" s="15" t="str">
        <f t="shared" ca="1" si="889"/>
        <v>'0'!A46</v>
      </c>
      <c r="K3243" s="15" t="str">
        <f t="shared" ca="1" si="890"/>
        <v>'0'!B46</v>
      </c>
    </row>
    <row r="3244" spans="1:16" x14ac:dyDescent="0.25">
      <c r="A3244" s="3" t="str">
        <f t="shared" ref="A3244:A3307" ca="1" si="891">IFERROR(IF(INDIRECT(J3244)&lt;&gt;"",CONCATENATE(INDIRECT(J3244)," = ",INDIRECT(K3244)," "),""),"")</f>
        <v/>
      </c>
      <c r="G3244" s="15">
        <f t="shared" ca="1" si="881"/>
        <v>47</v>
      </c>
      <c r="H3244" s="15">
        <v>1</v>
      </c>
      <c r="I3244" s="15">
        <f t="shared" ca="1" si="882"/>
        <v>0</v>
      </c>
      <c r="J3244" s="15" t="str">
        <f t="shared" ca="1" si="889"/>
        <v>'0'!A47</v>
      </c>
      <c r="K3244" s="15" t="str">
        <f t="shared" ca="1" si="890"/>
        <v>'0'!B47</v>
      </c>
    </row>
    <row r="3245" spans="1:16" x14ac:dyDescent="0.25">
      <c r="A3245" s="3" t="str">
        <f t="shared" ca="1" si="891"/>
        <v/>
      </c>
      <c r="G3245" s="15">
        <f t="shared" ca="1" si="881"/>
        <v>48</v>
      </c>
      <c r="H3245" s="15">
        <v>1</v>
      </c>
      <c r="I3245" s="15">
        <f t="shared" ca="1" si="882"/>
        <v>0</v>
      </c>
      <c r="J3245" s="15" t="str">
        <f t="shared" ca="1" si="889"/>
        <v>'0'!A48</v>
      </c>
      <c r="K3245" s="15" t="str">
        <f t="shared" ca="1" si="890"/>
        <v>'0'!B48</v>
      </c>
    </row>
    <row r="3246" spans="1:16" x14ac:dyDescent="0.25">
      <c r="A3246" s="3" t="str">
        <f t="shared" ca="1" si="891"/>
        <v/>
      </c>
      <c r="G3246" s="15">
        <f t="shared" ca="1" si="881"/>
        <v>49</v>
      </c>
      <c r="H3246" s="15">
        <v>1</v>
      </c>
      <c r="I3246" s="15">
        <f t="shared" ca="1" si="882"/>
        <v>0</v>
      </c>
      <c r="J3246" s="15" t="str">
        <f t="shared" ca="1" si="889"/>
        <v>'0'!A49</v>
      </c>
      <c r="K3246" s="15" t="str">
        <f t="shared" ca="1" si="890"/>
        <v>'0'!B49</v>
      </c>
    </row>
    <row r="3247" spans="1:16" x14ac:dyDescent="0.25">
      <c r="A3247" s="3" t="str">
        <f t="shared" ca="1" si="891"/>
        <v/>
      </c>
      <c r="G3247" s="15">
        <f t="shared" ca="1" si="881"/>
        <v>50</v>
      </c>
      <c r="H3247" s="15">
        <v>1</v>
      </c>
      <c r="I3247" s="15">
        <f t="shared" ca="1" si="882"/>
        <v>0</v>
      </c>
      <c r="J3247" s="15" t="str">
        <f t="shared" ca="1" si="889"/>
        <v>'0'!A50</v>
      </c>
      <c r="K3247" s="15" t="str">
        <f t="shared" ca="1" si="890"/>
        <v>'0'!B50</v>
      </c>
    </row>
    <row r="3248" spans="1:16" x14ac:dyDescent="0.25">
      <c r="A3248" s="3" t="str">
        <f t="shared" ca="1" si="891"/>
        <v/>
      </c>
      <c r="G3248" s="15">
        <f t="shared" ref="G3248" ca="1" si="892">INDIRECT(M3248)</f>
        <v>31</v>
      </c>
      <c r="H3248" s="15">
        <v>1</v>
      </c>
      <c r="I3248" s="15">
        <f t="shared" ref="I3248" ca="1" si="893">INDIRECT(N3248)</f>
        <v>0</v>
      </c>
      <c r="J3248" s="15" t="str">
        <f t="shared" ca="1" si="889"/>
        <v>'0'!A31</v>
      </c>
      <c r="K3248" s="15" t="str">
        <f t="shared" ca="1" si="890"/>
        <v>'0'!B31</v>
      </c>
      <c r="M3248" s="15" t="str">
        <f t="shared" ref="M3248" si="894">ADDRESS(O3248,3,4,1,$R$1)</f>
        <v>konfig!C164</v>
      </c>
      <c r="N3248" s="15" t="str">
        <f t="shared" ref="N3248" si="895">ADDRESS(O3248,1,4,1,$R$1)</f>
        <v>konfig!A164</v>
      </c>
      <c r="O3248" s="15">
        <v>164</v>
      </c>
      <c r="P3248" s="15">
        <v>4</v>
      </c>
    </row>
    <row r="3249" spans="1:11" x14ac:dyDescent="0.25">
      <c r="A3249" s="3" t="str">
        <f t="shared" ca="1" si="891"/>
        <v/>
      </c>
      <c r="G3249" s="15">
        <f t="shared" ca="1" si="881"/>
        <v>32</v>
      </c>
      <c r="H3249" s="15">
        <v>1</v>
      </c>
      <c r="I3249" s="15">
        <f t="shared" ca="1" si="882"/>
        <v>0</v>
      </c>
      <c r="J3249" s="15" t="str">
        <f t="shared" ca="1" si="889"/>
        <v>'0'!A32</v>
      </c>
      <c r="K3249" s="15" t="str">
        <f t="shared" ca="1" si="890"/>
        <v>'0'!B32</v>
      </c>
    </row>
    <row r="3250" spans="1:11" x14ac:dyDescent="0.25">
      <c r="A3250" s="3" t="str">
        <f t="shared" ca="1" si="891"/>
        <v/>
      </c>
      <c r="G3250" s="15">
        <f t="shared" ca="1" si="881"/>
        <v>33</v>
      </c>
      <c r="H3250" s="15">
        <v>1</v>
      </c>
      <c r="I3250" s="15">
        <f t="shared" ca="1" si="882"/>
        <v>0</v>
      </c>
      <c r="J3250" s="15" t="str">
        <f t="shared" ca="1" si="889"/>
        <v>'0'!A33</v>
      </c>
      <c r="K3250" s="15" t="str">
        <f t="shared" ca="1" si="890"/>
        <v>'0'!B33</v>
      </c>
    </row>
    <row r="3251" spans="1:11" x14ac:dyDescent="0.25">
      <c r="A3251" s="3" t="str">
        <f t="shared" ca="1" si="891"/>
        <v/>
      </c>
      <c r="C3251" s="16"/>
      <c r="G3251" s="15">
        <f t="shared" ca="1" si="881"/>
        <v>34</v>
      </c>
      <c r="H3251" s="15">
        <v>1</v>
      </c>
      <c r="I3251" s="15">
        <f t="shared" ca="1" si="882"/>
        <v>0</v>
      </c>
      <c r="J3251" s="15" t="str">
        <f t="shared" ca="1" si="889"/>
        <v>'0'!A34</v>
      </c>
      <c r="K3251" s="15" t="str">
        <f t="shared" ca="1" si="890"/>
        <v>'0'!B34</v>
      </c>
    </row>
    <row r="3252" spans="1:11" x14ac:dyDescent="0.25">
      <c r="A3252" s="3" t="str">
        <f t="shared" ca="1" si="891"/>
        <v/>
      </c>
      <c r="G3252" s="15">
        <f t="shared" ca="1" si="881"/>
        <v>35</v>
      </c>
      <c r="H3252" s="15">
        <v>1</v>
      </c>
      <c r="I3252" s="15">
        <f t="shared" ca="1" si="882"/>
        <v>0</v>
      </c>
      <c r="J3252" s="15" t="str">
        <f t="shared" ca="1" si="889"/>
        <v>'0'!A35</v>
      </c>
      <c r="K3252" s="15" t="str">
        <f t="shared" ca="1" si="890"/>
        <v>'0'!B35</v>
      </c>
    </row>
    <row r="3253" spans="1:11" x14ac:dyDescent="0.25">
      <c r="A3253" s="3" t="str">
        <f t="shared" ca="1" si="891"/>
        <v/>
      </c>
      <c r="G3253" s="15">
        <f t="shared" ca="1" si="881"/>
        <v>36</v>
      </c>
      <c r="H3253" s="15">
        <v>1</v>
      </c>
      <c r="I3253" s="15">
        <f t="shared" ca="1" si="882"/>
        <v>0</v>
      </c>
      <c r="J3253" s="15" t="str">
        <f t="shared" ca="1" si="889"/>
        <v>'0'!A36</v>
      </c>
      <c r="K3253" s="15" t="str">
        <f t="shared" ca="1" si="890"/>
        <v>'0'!B36</v>
      </c>
    </row>
    <row r="3254" spans="1:11" x14ac:dyDescent="0.25">
      <c r="A3254" s="3" t="str">
        <f t="shared" ca="1" si="891"/>
        <v/>
      </c>
      <c r="G3254" s="15">
        <f t="shared" ca="1" si="881"/>
        <v>37</v>
      </c>
      <c r="H3254" s="15">
        <v>1</v>
      </c>
      <c r="I3254" s="15">
        <f t="shared" ca="1" si="882"/>
        <v>0</v>
      </c>
      <c r="J3254" s="15" t="str">
        <f t="shared" ca="1" si="889"/>
        <v>'0'!A37</v>
      </c>
      <c r="K3254" s="15" t="str">
        <f t="shared" ca="1" si="890"/>
        <v>'0'!B37</v>
      </c>
    </row>
    <row r="3255" spans="1:11" x14ac:dyDescent="0.25">
      <c r="A3255" s="3" t="str">
        <f t="shared" ca="1" si="891"/>
        <v/>
      </c>
      <c r="G3255" s="15">
        <f t="shared" ca="1" si="881"/>
        <v>38</v>
      </c>
      <c r="H3255" s="15">
        <v>1</v>
      </c>
      <c r="I3255" s="15">
        <f t="shared" ca="1" si="882"/>
        <v>0</v>
      </c>
      <c r="J3255" s="15" t="str">
        <f t="shared" ca="1" si="889"/>
        <v>'0'!A38</v>
      </c>
      <c r="K3255" s="15" t="str">
        <f t="shared" ca="1" si="890"/>
        <v>'0'!B38</v>
      </c>
    </row>
    <row r="3256" spans="1:11" x14ac:dyDescent="0.25">
      <c r="A3256" s="3" t="str">
        <f t="shared" ca="1" si="891"/>
        <v/>
      </c>
      <c r="G3256" s="15">
        <f t="shared" ca="1" si="881"/>
        <v>39</v>
      </c>
      <c r="H3256" s="15">
        <v>1</v>
      </c>
      <c r="I3256" s="15">
        <f t="shared" ca="1" si="882"/>
        <v>0</v>
      </c>
      <c r="J3256" s="15" t="str">
        <f t="shared" ca="1" si="889"/>
        <v>'0'!A39</v>
      </c>
      <c r="K3256" s="15" t="str">
        <f t="shared" ca="1" si="890"/>
        <v>'0'!B39</v>
      </c>
    </row>
    <row r="3257" spans="1:11" x14ac:dyDescent="0.25">
      <c r="A3257" s="3" t="str">
        <f t="shared" ca="1" si="891"/>
        <v/>
      </c>
      <c r="G3257" s="15">
        <f t="shared" ca="1" si="881"/>
        <v>40</v>
      </c>
      <c r="H3257" s="15">
        <v>1</v>
      </c>
      <c r="I3257" s="15">
        <f t="shared" ca="1" si="882"/>
        <v>0</v>
      </c>
      <c r="J3257" s="15" t="str">
        <f t="shared" ca="1" si="889"/>
        <v>'0'!A40</v>
      </c>
      <c r="K3257" s="15" t="str">
        <f t="shared" ca="1" si="890"/>
        <v>'0'!B40</v>
      </c>
    </row>
    <row r="3258" spans="1:11" x14ac:dyDescent="0.25">
      <c r="A3258" s="3" t="str">
        <f t="shared" ca="1" si="891"/>
        <v/>
      </c>
      <c r="G3258" s="15">
        <f t="shared" ca="1" si="881"/>
        <v>41</v>
      </c>
      <c r="H3258" s="15">
        <v>1</v>
      </c>
      <c r="I3258" s="15">
        <f t="shared" ca="1" si="882"/>
        <v>0</v>
      </c>
      <c r="J3258" s="15" t="str">
        <f t="shared" ca="1" si="889"/>
        <v>'0'!A41</v>
      </c>
      <c r="K3258" s="15" t="str">
        <f t="shared" ca="1" si="890"/>
        <v>'0'!B41</v>
      </c>
    </row>
    <row r="3259" spans="1:11" x14ac:dyDescent="0.25">
      <c r="A3259" s="3" t="str">
        <f t="shared" ca="1" si="891"/>
        <v/>
      </c>
      <c r="C3259" s="16"/>
      <c r="G3259" s="15">
        <f t="shared" ca="1" si="881"/>
        <v>42</v>
      </c>
      <c r="H3259" s="15">
        <v>1</v>
      </c>
      <c r="I3259" s="15">
        <f t="shared" ca="1" si="882"/>
        <v>0</v>
      </c>
      <c r="J3259" s="15" t="str">
        <f t="shared" ca="1" si="889"/>
        <v>'0'!A42</v>
      </c>
      <c r="K3259" s="15" t="str">
        <f t="shared" ca="1" si="890"/>
        <v>'0'!B42</v>
      </c>
    </row>
    <row r="3260" spans="1:11" x14ac:dyDescent="0.25">
      <c r="A3260" s="3" t="str">
        <f t="shared" ca="1" si="891"/>
        <v/>
      </c>
      <c r="G3260" s="15">
        <f t="shared" ca="1" si="881"/>
        <v>43</v>
      </c>
      <c r="H3260" s="15">
        <v>1</v>
      </c>
      <c r="I3260" s="15">
        <f t="shared" ca="1" si="882"/>
        <v>0</v>
      </c>
      <c r="J3260" s="15" t="str">
        <f t="shared" ca="1" si="889"/>
        <v>'0'!A43</v>
      </c>
      <c r="K3260" s="15" t="str">
        <f t="shared" ca="1" si="890"/>
        <v>'0'!B43</v>
      </c>
    </row>
    <row r="3261" spans="1:11" x14ac:dyDescent="0.25">
      <c r="A3261" s="3" t="str">
        <f t="shared" ca="1" si="891"/>
        <v/>
      </c>
      <c r="G3261" s="15">
        <f t="shared" ca="1" si="881"/>
        <v>44</v>
      </c>
      <c r="H3261" s="15">
        <v>1</v>
      </c>
      <c r="I3261" s="15">
        <f t="shared" ca="1" si="882"/>
        <v>0</v>
      </c>
      <c r="J3261" s="15" t="str">
        <f t="shared" ca="1" si="889"/>
        <v>'0'!A44</v>
      </c>
      <c r="K3261" s="15" t="str">
        <f t="shared" ca="1" si="890"/>
        <v>'0'!B44</v>
      </c>
    </row>
    <row r="3262" spans="1:11" x14ac:dyDescent="0.25">
      <c r="A3262" s="3" t="str">
        <f t="shared" ca="1" si="891"/>
        <v/>
      </c>
      <c r="G3262" s="15">
        <f t="shared" ca="1" si="881"/>
        <v>45</v>
      </c>
      <c r="H3262" s="15">
        <v>1</v>
      </c>
      <c r="I3262" s="15">
        <f t="shared" ca="1" si="882"/>
        <v>0</v>
      </c>
      <c r="J3262" s="15" t="str">
        <f t="shared" ca="1" si="889"/>
        <v>'0'!A45</v>
      </c>
      <c r="K3262" s="15" t="str">
        <f t="shared" ca="1" si="890"/>
        <v>'0'!B45</v>
      </c>
    </row>
    <row r="3263" spans="1:11" x14ac:dyDescent="0.25">
      <c r="A3263" s="3" t="str">
        <f t="shared" ca="1" si="891"/>
        <v/>
      </c>
      <c r="G3263" s="15">
        <f t="shared" ca="1" si="881"/>
        <v>46</v>
      </c>
      <c r="H3263" s="15">
        <v>1</v>
      </c>
      <c r="I3263" s="15">
        <f t="shared" ca="1" si="882"/>
        <v>0</v>
      </c>
      <c r="J3263" s="15" t="str">
        <f t="shared" ca="1" si="889"/>
        <v>'0'!A46</v>
      </c>
      <c r="K3263" s="15" t="str">
        <f t="shared" ca="1" si="890"/>
        <v>'0'!B46</v>
      </c>
    </row>
    <row r="3264" spans="1:11" x14ac:dyDescent="0.25">
      <c r="A3264" s="3" t="str">
        <f t="shared" ca="1" si="891"/>
        <v/>
      </c>
      <c r="G3264" s="15">
        <f t="shared" ca="1" si="881"/>
        <v>47</v>
      </c>
      <c r="H3264" s="15">
        <v>1</v>
      </c>
      <c r="I3264" s="15">
        <f t="shared" ca="1" si="882"/>
        <v>0</v>
      </c>
      <c r="J3264" s="15" t="str">
        <f t="shared" ca="1" si="889"/>
        <v>'0'!A47</v>
      </c>
      <c r="K3264" s="15" t="str">
        <f t="shared" ca="1" si="890"/>
        <v>'0'!B47</v>
      </c>
    </row>
    <row r="3265" spans="1:16" x14ac:dyDescent="0.25">
      <c r="A3265" s="3" t="str">
        <f t="shared" ca="1" si="891"/>
        <v/>
      </c>
      <c r="G3265" s="15">
        <f t="shared" ca="1" si="881"/>
        <v>48</v>
      </c>
      <c r="H3265" s="15">
        <v>1</v>
      </c>
      <c r="I3265" s="15">
        <f t="shared" ca="1" si="882"/>
        <v>0</v>
      </c>
      <c r="J3265" s="15" t="str">
        <f t="shared" ca="1" si="889"/>
        <v>'0'!A48</v>
      </c>
      <c r="K3265" s="15" t="str">
        <f t="shared" ca="1" si="890"/>
        <v>'0'!B48</v>
      </c>
    </row>
    <row r="3266" spans="1:16" x14ac:dyDescent="0.25">
      <c r="A3266" s="3" t="str">
        <f t="shared" ca="1" si="891"/>
        <v/>
      </c>
      <c r="G3266" s="15">
        <f t="shared" ca="1" si="881"/>
        <v>49</v>
      </c>
      <c r="H3266" s="15">
        <v>1</v>
      </c>
      <c r="I3266" s="15">
        <f t="shared" ca="1" si="882"/>
        <v>0</v>
      </c>
      <c r="J3266" s="15" t="str">
        <f t="shared" ca="1" si="889"/>
        <v>'0'!A49</v>
      </c>
      <c r="K3266" s="15" t="str">
        <f t="shared" ca="1" si="890"/>
        <v>'0'!B49</v>
      </c>
    </row>
    <row r="3267" spans="1:16" x14ac:dyDescent="0.25">
      <c r="A3267" s="3" t="str">
        <f t="shared" ca="1" si="891"/>
        <v/>
      </c>
      <c r="G3267" s="15">
        <f t="shared" ca="1" si="881"/>
        <v>50</v>
      </c>
      <c r="H3267" s="15">
        <v>1</v>
      </c>
      <c r="I3267" s="15">
        <f t="shared" ca="1" si="882"/>
        <v>0</v>
      </c>
      <c r="J3267" s="15" t="str">
        <f t="shared" ca="1" si="889"/>
        <v>'0'!A50</v>
      </c>
      <c r="K3267" s="15" t="str">
        <f t="shared" ca="1" si="890"/>
        <v>'0'!B50</v>
      </c>
    </row>
    <row r="3268" spans="1:16" x14ac:dyDescent="0.25">
      <c r="A3268" s="3" t="str">
        <f t="shared" ca="1" si="891"/>
        <v/>
      </c>
      <c r="G3268" s="15">
        <f t="shared" ref="G3268" ca="1" si="896">INDIRECT(M3268)</f>
        <v>31</v>
      </c>
      <c r="H3268" s="15">
        <v>1</v>
      </c>
      <c r="I3268" s="15">
        <f t="shared" ref="I3268" ca="1" si="897">INDIRECT(N3268)</f>
        <v>0</v>
      </c>
      <c r="J3268" s="15" t="str">
        <f t="shared" ca="1" si="889"/>
        <v>'0'!A31</v>
      </c>
      <c r="K3268" s="15" t="str">
        <f t="shared" ca="1" si="890"/>
        <v>'0'!B31</v>
      </c>
      <c r="M3268" s="15" t="str">
        <f t="shared" ref="M3268" si="898">ADDRESS(O3268,3,4,1,$R$1)</f>
        <v>konfig!C165</v>
      </c>
      <c r="N3268" s="15" t="str">
        <f t="shared" ref="N3268" si="899">ADDRESS(O3268,1,4,1,$R$1)</f>
        <v>konfig!A165</v>
      </c>
      <c r="O3268" s="15">
        <v>165</v>
      </c>
      <c r="P3268" s="15">
        <v>4</v>
      </c>
    </row>
    <row r="3269" spans="1:16" x14ac:dyDescent="0.25">
      <c r="A3269" s="3" t="str">
        <f t="shared" ca="1" si="891"/>
        <v/>
      </c>
      <c r="G3269" s="15">
        <f t="shared" ca="1" si="887"/>
        <v>32</v>
      </c>
      <c r="H3269" s="15">
        <v>1</v>
      </c>
      <c r="I3269" s="15">
        <f t="shared" ca="1" si="888"/>
        <v>0</v>
      </c>
      <c r="J3269" s="15" t="str">
        <f t="shared" ca="1" si="889"/>
        <v>'0'!A32</v>
      </c>
      <c r="K3269" s="15" t="str">
        <f t="shared" ca="1" si="890"/>
        <v>'0'!B32</v>
      </c>
    </row>
    <row r="3270" spans="1:16" x14ac:dyDescent="0.25">
      <c r="A3270" s="3" t="str">
        <f t="shared" ca="1" si="891"/>
        <v/>
      </c>
      <c r="G3270" s="15">
        <f t="shared" ca="1" si="881"/>
        <v>33</v>
      </c>
      <c r="H3270" s="15">
        <v>1</v>
      </c>
      <c r="I3270" s="15">
        <f t="shared" ca="1" si="882"/>
        <v>0</v>
      </c>
      <c r="J3270" s="15" t="str">
        <f t="shared" ca="1" si="889"/>
        <v>'0'!A33</v>
      </c>
      <c r="K3270" s="15" t="str">
        <f t="shared" ca="1" si="890"/>
        <v>'0'!B33</v>
      </c>
    </row>
    <row r="3271" spans="1:16" x14ac:dyDescent="0.25">
      <c r="A3271" s="3" t="str">
        <f t="shared" ca="1" si="891"/>
        <v/>
      </c>
      <c r="C3271" s="16"/>
      <c r="G3271" s="15">
        <f t="shared" ca="1" si="881"/>
        <v>34</v>
      </c>
      <c r="H3271" s="15">
        <v>1</v>
      </c>
      <c r="I3271" s="15">
        <f t="shared" ca="1" si="882"/>
        <v>0</v>
      </c>
      <c r="J3271" s="15" t="str">
        <f t="shared" ca="1" si="889"/>
        <v>'0'!A34</v>
      </c>
      <c r="K3271" s="15" t="str">
        <f t="shared" ca="1" si="890"/>
        <v>'0'!B34</v>
      </c>
    </row>
    <row r="3272" spans="1:16" x14ac:dyDescent="0.25">
      <c r="A3272" s="3" t="str">
        <f t="shared" ca="1" si="891"/>
        <v/>
      </c>
      <c r="G3272" s="15">
        <f t="shared" ca="1" si="881"/>
        <v>35</v>
      </c>
      <c r="H3272" s="15">
        <v>1</v>
      </c>
      <c r="I3272" s="15">
        <f t="shared" ca="1" si="882"/>
        <v>0</v>
      </c>
      <c r="J3272" s="15" t="str">
        <f t="shared" ca="1" si="889"/>
        <v>'0'!A35</v>
      </c>
      <c r="K3272" s="15" t="str">
        <f t="shared" ca="1" si="890"/>
        <v>'0'!B35</v>
      </c>
    </row>
    <row r="3273" spans="1:16" x14ac:dyDescent="0.25">
      <c r="A3273" s="3" t="str">
        <f t="shared" ca="1" si="891"/>
        <v/>
      </c>
      <c r="G3273" s="15">
        <f t="shared" ref="G3273:G3336" ca="1" si="900">G3272+1</f>
        <v>36</v>
      </c>
      <c r="H3273" s="15">
        <v>1</v>
      </c>
      <c r="I3273" s="15">
        <f t="shared" ref="I3273:I3336" ca="1" si="901">I3272</f>
        <v>0</v>
      </c>
      <c r="J3273" s="15" t="str">
        <f t="shared" ca="1" si="889"/>
        <v>'0'!A36</v>
      </c>
      <c r="K3273" s="15" t="str">
        <f t="shared" ca="1" si="890"/>
        <v>'0'!B36</v>
      </c>
    </row>
    <row r="3274" spans="1:16" x14ac:dyDescent="0.25">
      <c r="A3274" s="3" t="str">
        <f t="shared" ca="1" si="891"/>
        <v/>
      </c>
      <c r="G3274" s="15">
        <f t="shared" ca="1" si="900"/>
        <v>37</v>
      </c>
      <c r="H3274" s="15">
        <v>1</v>
      </c>
      <c r="I3274" s="15">
        <f t="shared" ca="1" si="901"/>
        <v>0</v>
      </c>
      <c r="J3274" s="15" t="str">
        <f t="shared" ca="1" si="889"/>
        <v>'0'!A37</v>
      </c>
      <c r="K3274" s="15" t="str">
        <f t="shared" ca="1" si="890"/>
        <v>'0'!B37</v>
      </c>
    </row>
    <row r="3275" spans="1:16" x14ac:dyDescent="0.25">
      <c r="A3275" s="3" t="str">
        <f t="shared" ca="1" si="891"/>
        <v/>
      </c>
      <c r="G3275" s="15">
        <f t="shared" ca="1" si="900"/>
        <v>38</v>
      </c>
      <c r="H3275" s="15">
        <v>1</v>
      </c>
      <c r="I3275" s="15">
        <f t="shared" ca="1" si="901"/>
        <v>0</v>
      </c>
      <c r="J3275" s="15" t="str">
        <f t="shared" ca="1" si="889"/>
        <v>'0'!A38</v>
      </c>
      <c r="K3275" s="15" t="str">
        <f t="shared" ca="1" si="890"/>
        <v>'0'!B38</v>
      </c>
    </row>
    <row r="3276" spans="1:16" x14ac:dyDescent="0.25">
      <c r="A3276" s="3" t="str">
        <f t="shared" ca="1" si="891"/>
        <v/>
      </c>
      <c r="G3276" s="15">
        <f t="shared" ca="1" si="900"/>
        <v>39</v>
      </c>
      <c r="H3276" s="15">
        <v>1</v>
      </c>
      <c r="I3276" s="15">
        <f t="shared" ca="1" si="901"/>
        <v>0</v>
      </c>
      <c r="J3276" s="15" t="str">
        <f t="shared" ca="1" si="889"/>
        <v>'0'!A39</v>
      </c>
      <c r="K3276" s="15" t="str">
        <f t="shared" ca="1" si="890"/>
        <v>'0'!B39</v>
      </c>
    </row>
    <row r="3277" spans="1:16" x14ac:dyDescent="0.25">
      <c r="A3277" s="3" t="str">
        <f t="shared" ca="1" si="891"/>
        <v/>
      </c>
      <c r="G3277" s="15">
        <f t="shared" ca="1" si="900"/>
        <v>40</v>
      </c>
      <c r="H3277" s="15">
        <v>1</v>
      </c>
      <c r="I3277" s="15">
        <f t="shared" ca="1" si="901"/>
        <v>0</v>
      </c>
      <c r="J3277" s="15" t="str">
        <f t="shared" ca="1" si="889"/>
        <v>'0'!A40</v>
      </c>
      <c r="K3277" s="15" t="str">
        <f t="shared" ca="1" si="890"/>
        <v>'0'!B40</v>
      </c>
    </row>
    <row r="3278" spans="1:16" x14ac:dyDescent="0.25">
      <c r="A3278" s="3" t="str">
        <f t="shared" ca="1" si="891"/>
        <v/>
      </c>
      <c r="G3278" s="15">
        <f t="shared" ca="1" si="900"/>
        <v>41</v>
      </c>
      <c r="H3278" s="15">
        <v>1</v>
      </c>
      <c r="I3278" s="15">
        <f t="shared" ca="1" si="901"/>
        <v>0</v>
      </c>
      <c r="J3278" s="15" t="str">
        <f t="shared" ca="1" si="889"/>
        <v>'0'!A41</v>
      </c>
      <c r="K3278" s="15" t="str">
        <f t="shared" ca="1" si="890"/>
        <v>'0'!B41</v>
      </c>
    </row>
    <row r="3279" spans="1:16" x14ac:dyDescent="0.25">
      <c r="A3279" s="3" t="str">
        <f t="shared" ca="1" si="891"/>
        <v/>
      </c>
      <c r="C3279" s="16"/>
      <c r="G3279" s="15">
        <f t="shared" ca="1" si="900"/>
        <v>42</v>
      </c>
      <c r="H3279" s="15">
        <v>1</v>
      </c>
      <c r="I3279" s="15">
        <f t="shared" ca="1" si="901"/>
        <v>0</v>
      </c>
      <c r="J3279" s="15" t="str">
        <f t="shared" ca="1" si="889"/>
        <v>'0'!A42</v>
      </c>
      <c r="K3279" s="15" t="str">
        <f t="shared" ca="1" si="890"/>
        <v>'0'!B42</v>
      </c>
    </row>
    <row r="3280" spans="1:16" x14ac:dyDescent="0.25">
      <c r="A3280" s="3" t="str">
        <f t="shared" ca="1" si="891"/>
        <v/>
      </c>
      <c r="G3280" s="15">
        <f t="shared" ca="1" si="900"/>
        <v>43</v>
      </c>
      <c r="H3280" s="15">
        <v>1</v>
      </c>
      <c r="I3280" s="15">
        <f t="shared" ca="1" si="901"/>
        <v>0</v>
      </c>
      <c r="J3280" s="15" t="str">
        <f t="shared" ca="1" si="889"/>
        <v>'0'!A43</v>
      </c>
      <c r="K3280" s="15" t="str">
        <f t="shared" ca="1" si="890"/>
        <v>'0'!B43</v>
      </c>
    </row>
    <row r="3281" spans="1:16" x14ac:dyDescent="0.25">
      <c r="A3281" s="3" t="str">
        <f t="shared" ca="1" si="891"/>
        <v/>
      </c>
      <c r="G3281" s="15">
        <f t="shared" ca="1" si="900"/>
        <v>44</v>
      </c>
      <c r="H3281" s="15">
        <v>1</v>
      </c>
      <c r="I3281" s="15">
        <f t="shared" ca="1" si="901"/>
        <v>0</v>
      </c>
      <c r="J3281" s="15" t="str">
        <f t="shared" ca="1" si="889"/>
        <v>'0'!A44</v>
      </c>
      <c r="K3281" s="15" t="str">
        <f t="shared" ca="1" si="890"/>
        <v>'0'!B44</v>
      </c>
    </row>
    <row r="3282" spans="1:16" x14ac:dyDescent="0.25">
      <c r="A3282" s="3" t="str">
        <f t="shared" ca="1" si="891"/>
        <v/>
      </c>
      <c r="G3282" s="15">
        <f t="shared" ca="1" si="900"/>
        <v>45</v>
      </c>
      <c r="H3282" s="15">
        <v>1</v>
      </c>
      <c r="I3282" s="15">
        <f t="shared" ca="1" si="901"/>
        <v>0</v>
      </c>
      <c r="J3282" s="15" t="str">
        <f t="shared" ca="1" si="889"/>
        <v>'0'!A45</v>
      </c>
      <c r="K3282" s="15" t="str">
        <f t="shared" ca="1" si="890"/>
        <v>'0'!B45</v>
      </c>
    </row>
    <row r="3283" spans="1:16" x14ac:dyDescent="0.25">
      <c r="A3283" s="3" t="str">
        <f t="shared" ca="1" si="891"/>
        <v/>
      </c>
      <c r="G3283" s="15">
        <f t="shared" ca="1" si="900"/>
        <v>46</v>
      </c>
      <c r="H3283" s="15">
        <v>1</v>
      </c>
      <c r="I3283" s="15">
        <f t="shared" ca="1" si="901"/>
        <v>0</v>
      </c>
      <c r="J3283" s="15" t="str">
        <f t="shared" ca="1" si="889"/>
        <v>'0'!A46</v>
      </c>
      <c r="K3283" s="15" t="str">
        <f t="shared" ca="1" si="890"/>
        <v>'0'!B46</v>
      </c>
    </row>
    <row r="3284" spans="1:16" x14ac:dyDescent="0.25">
      <c r="A3284" s="3" t="str">
        <f t="shared" ca="1" si="891"/>
        <v/>
      </c>
      <c r="G3284" s="15">
        <f t="shared" ca="1" si="900"/>
        <v>47</v>
      </c>
      <c r="H3284" s="15">
        <v>1</v>
      </c>
      <c r="I3284" s="15">
        <f t="shared" ca="1" si="901"/>
        <v>0</v>
      </c>
      <c r="J3284" s="15" t="str">
        <f t="shared" ca="1" si="889"/>
        <v>'0'!A47</v>
      </c>
      <c r="K3284" s="15" t="str">
        <f t="shared" ca="1" si="890"/>
        <v>'0'!B47</v>
      </c>
    </row>
    <row r="3285" spans="1:16" x14ac:dyDescent="0.25">
      <c r="A3285" s="3" t="str">
        <f t="shared" ca="1" si="891"/>
        <v/>
      </c>
      <c r="G3285" s="15">
        <f t="shared" ca="1" si="900"/>
        <v>48</v>
      </c>
      <c r="H3285" s="15">
        <v>1</v>
      </c>
      <c r="I3285" s="15">
        <f t="shared" ca="1" si="901"/>
        <v>0</v>
      </c>
      <c r="J3285" s="15" t="str">
        <f t="shared" ca="1" si="889"/>
        <v>'0'!A48</v>
      </c>
      <c r="K3285" s="15" t="str">
        <f t="shared" ca="1" si="890"/>
        <v>'0'!B48</v>
      </c>
    </row>
    <row r="3286" spans="1:16" x14ac:dyDescent="0.25">
      <c r="A3286" s="3" t="str">
        <f t="shared" ca="1" si="891"/>
        <v/>
      </c>
      <c r="G3286" s="15">
        <f t="shared" ca="1" si="900"/>
        <v>49</v>
      </c>
      <c r="H3286" s="15">
        <v>1</v>
      </c>
      <c r="I3286" s="15">
        <f t="shared" ca="1" si="901"/>
        <v>0</v>
      </c>
      <c r="J3286" s="15" t="str">
        <f t="shared" ca="1" si="889"/>
        <v>'0'!A49</v>
      </c>
      <c r="K3286" s="15" t="str">
        <f t="shared" ca="1" si="890"/>
        <v>'0'!B49</v>
      </c>
    </row>
    <row r="3287" spans="1:16" x14ac:dyDescent="0.25">
      <c r="A3287" s="3" t="str">
        <f t="shared" ca="1" si="891"/>
        <v/>
      </c>
      <c r="G3287" s="15">
        <f t="shared" ca="1" si="900"/>
        <v>50</v>
      </c>
      <c r="H3287" s="15">
        <v>1</v>
      </c>
      <c r="I3287" s="15">
        <f t="shared" ca="1" si="901"/>
        <v>0</v>
      </c>
      <c r="J3287" s="15" t="str">
        <f t="shared" ca="1" si="889"/>
        <v>'0'!A50</v>
      </c>
      <c r="K3287" s="15" t="str">
        <f t="shared" ca="1" si="890"/>
        <v>'0'!B50</v>
      </c>
    </row>
    <row r="3288" spans="1:16" x14ac:dyDescent="0.25">
      <c r="A3288" s="3" t="str">
        <f t="shared" ca="1" si="891"/>
        <v/>
      </c>
      <c r="G3288" s="15">
        <f t="shared" ref="G3288" ca="1" si="902">INDIRECT(M3288)</f>
        <v>31</v>
      </c>
      <c r="H3288" s="15">
        <v>1</v>
      </c>
      <c r="I3288" s="15">
        <f t="shared" ref="I3288" ca="1" si="903">INDIRECT(N3288)</f>
        <v>0</v>
      </c>
      <c r="J3288" s="15" t="str">
        <f t="shared" ca="1" si="889"/>
        <v>'0'!A31</v>
      </c>
      <c r="K3288" s="15" t="str">
        <f t="shared" ca="1" si="890"/>
        <v>'0'!B31</v>
      </c>
      <c r="M3288" s="15" t="str">
        <f t="shared" ref="M3288" si="904">ADDRESS(O3288,3,4,1,$R$1)</f>
        <v>konfig!C166</v>
      </c>
      <c r="N3288" s="15" t="str">
        <f t="shared" ref="N3288" si="905">ADDRESS(O3288,1,4,1,$R$1)</f>
        <v>konfig!A166</v>
      </c>
      <c r="O3288" s="15">
        <v>166</v>
      </c>
      <c r="P3288" s="15">
        <v>4</v>
      </c>
    </row>
    <row r="3289" spans="1:16" x14ac:dyDescent="0.25">
      <c r="A3289" s="3" t="str">
        <f t="shared" ca="1" si="891"/>
        <v/>
      </c>
      <c r="G3289" s="15">
        <f t="shared" ref="G3289:G3332" ca="1" si="906">G3288+1</f>
        <v>32</v>
      </c>
      <c r="H3289" s="15">
        <v>1</v>
      </c>
      <c r="I3289" s="15">
        <f t="shared" ref="I3289:I3332" ca="1" si="907">I3288</f>
        <v>0</v>
      </c>
      <c r="J3289" s="15" t="str">
        <f t="shared" ca="1" si="889"/>
        <v>'0'!A32</v>
      </c>
      <c r="K3289" s="15" t="str">
        <f t="shared" ca="1" si="890"/>
        <v>'0'!B32</v>
      </c>
    </row>
    <row r="3290" spans="1:16" x14ac:dyDescent="0.25">
      <c r="A3290" s="3" t="str">
        <f t="shared" ca="1" si="891"/>
        <v/>
      </c>
      <c r="G3290" s="15">
        <f t="shared" ca="1" si="906"/>
        <v>33</v>
      </c>
      <c r="H3290" s="15">
        <v>1</v>
      </c>
      <c r="I3290" s="15">
        <f t="shared" ca="1" si="907"/>
        <v>0</v>
      </c>
      <c r="J3290" s="15" t="str">
        <f t="shared" ca="1" si="889"/>
        <v>'0'!A33</v>
      </c>
      <c r="K3290" s="15" t="str">
        <f t="shared" ca="1" si="890"/>
        <v>'0'!B33</v>
      </c>
    </row>
    <row r="3291" spans="1:16" x14ac:dyDescent="0.25">
      <c r="A3291" s="3" t="str">
        <f t="shared" ca="1" si="891"/>
        <v/>
      </c>
      <c r="C3291" s="16"/>
      <c r="G3291" s="15">
        <f t="shared" ca="1" si="906"/>
        <v>34</v>
      </c>
      <c r="H3291" s="15">
        <v>1</v>
      </c>
      <c r="I3291" s="15">
        <f t="shared" ca="1" si="907"/>
        <v>0</v>
      </c>
      <c r="J3291" s="15" t="str">
        <f t="shared" ca="1" si="889"/>
        <v>'0'!A34</v>
      </c>
      <c r="K3291" s="15" t="str">
        <f t="shared" ca="1" si="890"/>
        <v>'0'!B34</v>
      </c>
    </row>
    <row r="3292" spans="1:16" x14ac:dyDescent="0.25">
      <c r="A3292" s="3" t="str">
        <f t="shared" ca="1" si="891"/>
        <v/>
      </c>
      <c r="G3292" s="15">
        <f t="shared" ca="1" si="906"/>
        <v>35</v>
      </c>
      <c r="H3292" s="15">
        <v>1</v>
      </c>
      <c r="I3292" s="15">
        <f t="shared" ca="1" si="907"/>
        <v>0</v>
      </c>
      <c r="J3292" s="15" t="str">
        <f t="shared" ca="1" si="889"/>
        <v>'0'!A35</v>
      </c>
      <c r="K3292" s="15" t="str">
        <f t="shared" ca="1" si="890"/>
        <v>'0'!B35</v>
      </c>
    </row>
    <row r="3293" spans="1:16" x14ac:dyDescent="0.25">
      <c r="A3293" s="3" t="str">
        <f t="shared" ca="1" si="891"/>
        <v/>
      </c>
      <c r="G3293" s="15">
        <f t="shared" ca="1" si="900"/>
        <v>36</v>
      </c>
      <c r="H3293" s="15">
        <v>1</v>
      </c>
      <c r="I3293" s="15">
        <f t="shared" ca="1" si="901"/>
        <v>0</v>
      </c>
      <c r="J3293" s="15" t="str">
        <f t="shared" ca="1" si="889"/>
        <v>'0'!A36</v>
      </c>
      <c r="K3293" s="15" t="str">
        <f t="shared" ca="1" si="890"/>
        <v>'0'!B36</v>
      </c>
    </row>
    <row r="3294" spans="1:16" x14ac:dyDescent="0.25">
      <c r="A3294" s="3" t="str">
        <f t="shared" ca="1" si="891"/>
        <v/>
      </c>
      <c r="G3294" s="15">
        <f t="shared" ca="1" si="900"/>
        <v>37</v>
      </c>
      <c r="H3294" s="15">
        <v>1</v>
      </c>
      <c r="I3294" s="15">
        <f t="shared" ca="1" si="901"/>
        <v>0</v>
      </c>
      <c r="J3294" s="15" t="str">
        <f t="shared" ca="1" si="889"/>
        <v>'0'!A37</v>
      </c>
      <c r="K3294" s="15" t="str">
        <f t="shared" ca="1" si="890"/>
        <v>'0'!B37</v>
      </c>
    </row>
    <row r="3295" spans="1:16" x14ac:dyDescent="0.25">
      <c r="A3295" s="3" t="str">
        <f t="shared" ca="1" si="891"/>
        <v/>
      </c>
      <c r="G3295" s="15">
        <f t="shared" ca="1" si="900"/>
        <v>38</v>
      </c>
      <c r="H3295" s="15">
        <v>1</v>
      </c>
      <c r="I3295" s="15">
        <f t="shared" ca="1" si="901"/>
        <v>0</v>
      </c>
      <c r="J3295" s="15" t="str">
        <f t="shared" ca="1" si="889"/>
        <v>'0'!A38</v>
      </c>
      <c r="K3295" s="15" t="str">
        <f t="shared" ca="1" si="890"/>
        <v>'0'!B38</v>
      </c>
    </row>
    <row r="3296" spans="1:16" x14ac:dyDescent="0.25">
      <c r="A3296" s="3" t="str">
        <f t="shared" ca="1" si="891"/>
        <v/>
      </c>
      <c r="G3296" s="15">
        <f t="shared" ca="1" si="900"/>
        <v>39</v>
      </c>
      <c r="H3296" s="15">
        <v>1</v>
      </c>
      <c r="I3296" s="15">
        <f t="shared" ca="1" si="901"/>
        <v>0</v>
      </c>
      <c r="J3296" s="15" t="str">
        <f t="shared" ca="1" si="889"/>
        <v>'0'!A39</v>
      </c>
      <c r="K3296" s="15" t="str">
        <f t="shared" ca="1" si="890"/>
        <v>'0'!B39</v>
      </c>
    </row>
    <row r="3297" spans="1:16" x14ac:dyDescent="0.25">
      <c r="A3297" s="3" t="str">
        <f t="shared" ca="1" si="891"/>
        <v/>
      </c>
      <c r="G3297" s="15">
        <f t="shared" ca="1" si="900"/>
        <v>40</v>
      </c>
      <c r="H3297" s="15">
        <v>1</v>
      </c>
      <c r="I3297" s="15">
        <f t="shared" ca="1" si="901"/>
        <v>0</v>
      </c>
      <c r="J3297" s="15" t="str">
        <f t="shared" ca="1" si="889"/>
        <v>'0'!A40</v>
      </c>
      <c r="K3297" s="15" t="str">
        <f t="shared" ca="1" si="890"/>
        <v>'0'!B40</v>
      </c>
    </row>
    <row r="3298" spans="1:16" x14ac:dyDescent="0.25">
      <c r="A3298" s="3" t="str">
        <f t="shared" ca="1" si="891"/>
        <v/>
      </c>
      <c r="G3298" s="15">
        <f t="shared" ca="1" si="900"/>
        <v>41</v>
      </c>
      <c r="H3298" s="15">
        <v>1</v>
      </c>
      <c r="I3298" s="15">
        <f t="shared" ca="1" si="901"/>
        <v>0</v>
      </c>
      <c r="J3298" s="15" t="str">
        <f t="shared" ca="1" si="889"/>
        <v>'0'!A41</v>
      </c>
      <c r="K3298" s="15" t="str">
        <f t="shared" ca="1" si="890"/>
        <v>'0'!B41</v>
      </c>
    </row>
    <row r="3299" spans="1:16" x14ac:dyDescent="0.25">
      <c r="A3299" s="3" t="str">
        <f t="shared" ca="1" si="891"/>
        <v/>
      </c>
      <c r="C3299" s="16"/>
      <c r="G3299" s="15">
        <f t="shared" ca="1" si="900"/>
        <v>42</v>
      </c>
      <c r="H3299" s="15">
        <v>1</v>
      </c>
      <c r="I3299" s="15">
        <f t="shared" ca="1" si="901"/>
        <v>0</v>
      </c>
      <c r="J3299" s="15" t="str">
        <f t="shared" ca="1" si="889"/>
        <v>'0'!A42</v>
      </c>
      <c r="K3299" s="15" t="str">
        <f t="shared" ca="1" si="890"/>
        <v>'0'!B42</v>
      </c>
    </row>
    <row r="3300" spans="1:16" x14ac:dyDescent="0.25">
      <c r="A3300" s="3" t="str">
        <f t="shared" ca="1" si="891"/>
        <v/>
      </c>
      <c r="G3300" s="15">
        <f t="shared" ca="1" si="900"/>
        <v>43</v>
      </c>
      <c r="H3300" s="15">
        <v>1</v>
      </c>
      <c r="I3300" s="15">
        <f t="shared" ca="1" si="901"/>
        <v>0</v>
      </c>
      <c r="J3300" s="15" t="str">
        <f t="shared" ref="J3300:J3363" ca="1" si="908">ADDRESS(G3300,H3300,4,1,I3300)</f>
        <v>'0'!A43</v>
      </c>
      <c r="K3300" s="15" t="str">
        <f t="shared" ref="K3300:K3363" ca="1" si="909">ADDRESS(G3300,H3300+1,4,1,I3300)</f>
        <v>'0'!B43</v>
      </c>
    </row>
    <row r="3301" spans="1:16" x14ac:dyDescent="0.25">
      <c r="A3301" s="3" t="str">
        <f t="shared" ca="1" si="891"/>
        <v/>
      </c>
      <c r="G3301" s="15">
        <f t="shared" ca="1" si="900"/>
        <v>44</v>
      </c>
      <c r="H3301" s="15">
        <v>1</v>
      </c>
      <c r="I3301" s="15">
        <f t="shared" ca="1" si="901"/>
        <v>0</v>
      </c>
      <c r="J3301" s="15" t="str">
        <f t="shared" ca="1" si="908"/>
        <v>'0'!A44</v>
      </c>
      <c r="K3301" s="15" t="str">
        <f t="shared" ca="1" si="909"/>
        <v>'0'!B44</v>
      </c>
    </row>
    <row r="3302" spans="1:16" x14ac:dyDescent="0.25">
      <c r="A3302" s="3" t="str">
        <f t="shared" ca="1" si="891"/>
        <v/>
      </c>
      <c r="G3302" s="15">
        <f t="shared" ca="1" si="900"/>
        <v>45</v>
      </c>
      <c r="H3302" s="15">
        <v>1</v>
      </c>
      <c r="I3302" s="15">
        <f t="shared" ca="1" si="901"/>
        <v>0</v>
      </c>
      <c r="J3302" s="15" t="str">
        <f t="shared" ca="1" si="908"/>
        <v>'0'!A45</v>
      </c>
      <c r="K3302" s="15" t="str">
        <f t="shared" ca="1" si="909"/>
        <v>'0'!B45</v>
      </c>
    </row>
    <row r="3303" spans="1:16" x14ac:dyDescent="0.25">
      <c r="A3303" s="3" t="str">
        <f t="shared" ca="1" si="891"/>
        <v/>
      </c>
      <c r="G3303" s="15">
        <f t="shared" ca="1" si="900"/>
        <v>46</v>
      </c>
      <c r="H3303" s="15">
        <v>1</v>
      </c>
      <c r="I3303" s="15">
        <f t="shared" ca="1" si="901"/>
        <v>0</v>
      </c>
      <c r="J3303" s="15" t="str">
        <f t="shared" ca="1" si="908"/>
        <v>'0'!A46</v>
      </c>
      <c r="K3303" s="15" t="str">
        <f t="shared" ca="1" si="909"/>
        <v>'0'!B46</v>
      </c>
    </row>
    <row r="3304" spans="1:16" x14ac:dyDescent="0.25">
      <c r="A3304" s="3" t="str">
        <f t="shared" ca="1" si="891"/>
        <v/>
      </c>
      <c r="G3304" s="15">
        <f t="shared" ca="1" si="900"/>
        <v>47</v>
      </c>
      <c r="H3304" s="15">
        <v>1</v>
      </c>
      <c r="I3304" s="15">
        <f t="shared" ca="1" si="901"/>
        <v>0</v>
      </c>
      <c r="J3304" s="15" t="str">
        <f t="shared" ca="1" si="908"/>
        <v>'0'!A47</v>
      </c>
      <c r="K3304" s="15" t="str">
        <f t="shared" ca="1" si="909"/>
        <v>'0'!B47</v>
      </c>
    </row>
    <row r="3305" spans="1:16" x14ac:dyDescent="0.25">
      <c r="A3305" s="3" t="str">
        <f t="shared" ca="1" si="891"/>
        <v/>
      </c>
      <c r="G3305" s="15">
        <f t="shared" ca="1" si="900"/>
        <v>48</v>
      </c>
      <c r="H3305" s="15">
        <v>1</v>
      </c>
      <c r="I3305" s="15">
        <f t="shared" ca="1" si="901"/>
        <v>0</v>
      </c>
      <c r="J3305" s="15" t="str">
        <f t="shared" ca="1" si="908"/>
        <v>'0'!A48</v>
      </c>
      <c r="K3305" s="15" t="str">
        <f t="shared" ca="1" si="909"/>
        <v>'0'!B48</v>
      </c>
    </row>
    <row r="3306" spans="1:16" x14ac:dyDescent="0.25">
      <c r="A3306" s="3" t="str">
        <f t="shared" ca="1" si="891"/>
        <v/>
      </c>
      <c r="G3306" s="15">
        <f t="shared" ca="1" si="900"/>
        <v>49</v>
      </c>
      <c r="H3306" s="15">
        <v>1</v>
      </c>
      <c r="I3306" s="15">
        <f t="shared" ca="1" si="901"/>
        <v>0</v>
      </c>
      <c r="J3306" s="15" t="str">
        <f t="shared" ca="1" si="908"/>
        <v>'0'!A49</v>
      </c>
      <c r="K3306" s="15" t="str">
        <f t="shared" ca="1" si="909"/>
        <v>'0'!B49</v>
      </c>
    </row>
    <row r="3307" spans="1:16" x14ac:dyDescent="0.25">
      <c r="A3307" s="3" t="str">
        <f t="shared" ca="1" si="891"/>
        <v/>
      </c>
      <c r="G3307" s="15">
        <f t="shared" ca="1" si="900"/>
        <v>50</v>
      </c>
      <c r="H3307" s="15">
        <v>1</v>
      </c>
      <c r="I3307" s="15">
        <f t="shared" ca="1" si="901"/>
        <v>0</v>
      </c>
      <c r="J3307" s="15" t="str">
        <f t="shared" ca="1" si="908"/>
        <v>'0'!A50</v>
      </c>
      <c r="K3307" s="15" t="str">
        <f t="shared" ca="1" si="909"/>
        <v>'0'!B50</v>
      </c>
    </row>
    <row r="3308" spans="1:16" x14ac:dyDescent="0.25">
      <c r="A3308" s="3" t="str">
        <f t="shared" ref="A3308:A3371" ca="1" si="910">IFERROR(IF(INDIRECT(J3308)&lt;&gt;"",CONCATENATE(INDIRECT(J3308)," = ",INDIRECT(K3308)," "),""),"")</f>
        <v/>
      </c>
      <c r="G3308" s="15">
        <f t="shared" ref="G3308" ca="1" si="911">INDIRECT(M3308)</f>
        <v>31</v>
      </c>
      <c r="H3308" s="15">
        <v>1</v>
      </c>
      <c r="I3308" s="15">
        <f t="shared" ref="I3308" ca="1" si="912">INDIRECT(N3308)</f>
        <v>0</v>
      </c>
      <c r="J3308" s="15" t="str">
        <f t="shared" ca="1" si="908"/>
        <v>'0'!A31</v>
      </c>
      <c r="K3308" s="15" t="str">
        <f t="shared" ca="1" si="909"/>
        <v>'0'!B31</v>
      </c>
      <c r="M3308" s="15" t="str">
        <f t="shared" ref="M3308" si="913">ADDRESS(O3308,3,4,1,$R$1)</f>
        <v>konfig!C167</v>
      </c>
      <c r="N3308" s="15" t="str">
        <f t="shared" ref="N3308" si="914">ADDRESS(O3308,1,4,1,$R$1)</f>
        <v>konfig!A167</v>
      </c>
      <c r="O3308" s="15">
        <v>167</v>
      </c>
      <c r="P3308" s="15">
        <v>4</v>
      </c>
    </row>
    <row r="3309" spans="1:16" x14ac:dyDescent="0.25">
      <c r="A3309" s="3" t="str">
        <f t="shared" ca="1" si="910"/>
        <v/>
      </c>
      <c r="G3309" s="15">
        <f t="shared" ref="G3309:G3349" ca="1" si="915">G3308+1</f>
        <v>32</v>
      </c>
      <c r="H3309" s="15">
        <v>1</v>
      </c>
      <c r="I3309" s="15">
        <f t="shared" ref="I3309:I3349" ca="1" si="916">I3308</f>
        <v>0</v>
      </c>
      <c r="J3309" s="15" t="str">
        <f t="shared" ca="1" si="908"/>
        <v>'0'!A32</v>
      </c>
      <c r="K3309" s="15" t="str">
        <f t="shared" ca="1" si="909"/>
        <v>'0'!B32</v>
      </c>
    </row>
    <row r="3310" spans="1:16" x14ac:dyDescent="0.25">
      <c r="A3310" s="3" t="str">
        <f t="shared" ca="1" si="910"/>
        <v/>
      </c>
      <c r="G3310" s="15">
        <f t="shared" ca="1" si="900"/>
        <v>33</v>
      </c>
      <c r="H3310" s="15">
        <v>1</v>
      </c>
      <c r="I3310" s="15">
        <f t="shared" ca="1" si="901"/>
        <v>0</v>
      </c>
      <c r="J3310" s="15" t="str">
        <f t="shared" ca="1" si="908"/>
        <v>'0'!A33</v>
      </c>
      <c r="K3310" s="15" t="str">
        <f t="shared" ca="1" si="909"/>
        <v>'0'!B33</v>
      </c>
    </row>
    <row r="3311" spans="1:16" x14ac:dyDescent="0.25">
      <c r="A3311" s="3" t="str">
        <f t="shared" ca="1" si="910"/>
        <v/>
      </c>
      <c r="C3311" s="16"/>
      <c r="G3311" s="15">
        <f t="shared" ca="1" si="900"/>
        <v>34</v>
      </c>
      <c r="H3311" s="15">
        <v>1</v>
      </c>
      <c r="I3311" s="15">
        <f t="shared" ca="1" si="901"/>
        <v>0</v>
      </c>
      <c r="J3311" s="15" t="str">
        <f t="shared" ca="1" si="908"/>
        <v>'0'!A34</v>
      </c>
      <c r="K3311" s="15" t="str">
        <f t="shared" ca="1" si="909"/>
        <v>'0'!B34</v>
      </c>
    </row>
    <row r="3312" spans="1:16" x14ac:dyDescent="0.25">
      <c r="A3312" s="3" t="str">
        <f t="shared" ca="1" si="910"/>
        <v/>
      </c>
      <c r="G3312" s="15">
        <f t="shared" ca="1" si="900"/>
        <v>35</v>
      </c>
      <c r="H3312" s="15">
        <v>1</v>
      </c>
      <c r="I3312" s="15">
        <f t="shared" ca="1" si="901"/>
        <v>0</v>
      </c>
      <c r="J3312" s="15" t="str">
        <f t="shared" ca="1" si="908"/>
        <v>'0'!A35</v>
      </c>
      <c r="K3312" s="15" t="str">
        <f t="shared" ca="1" si="909"/>
        <v>'0'!B35</v>
      </c>
    </row>
    <row r="3313" spans="1:16" x14ac:dyDescent="0.25">
      <c r="A3313" s="3" t="str">
        <f t="shared" ca="1" si="910"/>
        <v/>
      </c>
      <c r="G3313" s="15">
        <f t="shared" ca="1" si="900"/>
        <v>36</v>
      </c>
      <c r="H3313" s="15">
        <v>1</v>
      </c>
      <c r="I3313" s="15">
        <f t="shared" ca="1" si="901"/>
        <v>0</v>
      </c>
      <c r="J3313" s="15" t="str">
        <f t="shared" ca="1" si="908"/>
        <v>'0'!A36</v>
      </c>
      <c r="K3313" s="15" t="str">
        <f t="shared" ca="1" si="909"/>
        <v>'0'!B36</v>
      </c>
    </row>
    <row r="3314" spans="1:16" x14ac:dyDescent="0.25">
      <c r="A3314" s="3" t="str">
        <f t="shared" ca="1" si="910"/>
        <v/>
      </c>
      <c r="G3314" s="15">
        <f t="shared" ca="1" si="900"/>
        <v>37</v>
      </c>
      <c r="H3314" s="15">
        <v>1</v>
      </c>
      <c r="I3314" s="15">
        <f t="shared" ca="1" si="901"/>
        <v>0</v>
      </c>
      <c r="J3314" s="15" t="str">
        <f t="shared" ca="1" si="908"/>
        <v>'0'!A37</v>
      </c>
      <c r="K3314" s="15" t="str">
        <f t="shared" ca="1" si="909"/>
        <v>'0'!B37</v>
      </c>
    </row>
    <row r="3315" spans="1:16" x14ac:dyDescent="0.25">
      <c r="A3315" s="3" t="str">
        <f t="shared" ca="1" si="910"/>
        <v/>
      </c>
      <c r="G3315" s="15">
        <f t="shared" ca="1" si="900"/>
        <v>38</v>
      </c>
      <c r="H3315" s="15">
        <v>1</v>
      </c>
      <c r="I3315" s="15">
        <f t="shared" ca="1" si="901"/>
        <v>0</v>
      </c>
      <c r="J3315" s="15" t="str">
        <f t="shared" ca="1" si="908"/>
        <v>'0'!A38</v>
      </c>
      <c r="K3315" s="15" t="str">
        <f t="shared" ca="1" si="909"/>
        <v>'0'!B38</v>
      </c>
    </row>
    <row r="3316" spans="1:16" x14ac:dyDescent="0.25">
      <c r="A3316" s="3" t="str">
        <f t="shared" ca="1" si="910"/>
        <v/>
      </c>
      <c r="G3316" s="15">
        <f t="shared" ca="1" si="900"/>
        <v>39</v>
      </c>
      <c r="H3316" s="15">
        <v>1</v>
      </c>
      <c r="I3316" s="15">
        <f t="shared" ca="1" si="901"/>
        <v>0</v>
      </c>
      <c r="J3316" s="15" t="str">
        <f t="shared" ca="1" si="908"/>
        <v>'0'!A39</v>
      </c>
      <c r="K3316" s="15" t="str">
        <f t="shared" ca="1" si="909"/>
        <v>'0'!B39</v>
      </c>
    </row>
    <row r="3317" spans="1:16" x14ac:dyDescent="0.25">
      <c r="A3317" s="3" t="str">
        <f t="shared" ca="1" si="910"/>
        <v/>
      </c>
      <c r="G3317" s="15">
        <f t="shared" ca="1" si="900"/>
        <v>40</v>
      </c>
      <c r="H3317" s="15">
        <v>1</v>
      </c>
      <c r="I3317" s="15">
        <f t="shared" ca="1" si="901"/>
        <v>0</v>
      </c>
      <c r="J3317" s="15" t="str">
        <f t="shared" ca="1" si="908"/>
        <v>'0'!A40</v>
      </c>
      <c r="K3317" s="15" t="str">
        <f t="shared" ca="1" si="909"/>
        <v>'0'!B40</v>
      </c>
    </row>
    <row r="3318" spans="1:16" x14ac:dyDescent="0.25">
      <c r="A3318" s="3" t="str">
        <f t="shared" ca="1" si="910"/>
        <v/>
      </c>
      <c r="G3318" s="15">
        <f t="shared" ca="1" si="900"/>
        <v>41</v>
      </c>
      <c r="H3318" s="15">
        <v>1</v>
      </c>
      <c r="I3318" s="15">
        <f t="shared" ca="1" si="901"/>
        <v>0</v>
      </c>
      <c r="J3318" s="15" t="str">
        <f t="shared" ca="1" si="908"/>
        <v>'0'!A41</v>
      </c>
      <c r="K3318" s="15" t="str">
        <f t="shared" ca="1" si="909"/>
        <v>'0'!B41</v>
      </c>
    </row>
    <row r="3319" spans="1:16" x14ac:dyDescent="0.25">
      <c r="A3319" s="3" t="str">
        <f t="shared" ca="1" si="910"/>
        <v/>
      </c>
      <c r="C3319" s="16"/>
      <c r="G3319" s="15">
        <f t="shared" ca="1" si="900"/>
        <v>42</v>
      </c>
      <c r="H3319" s="15">
        <v>1</v>
      </c>
      <c r="I3319" s="15">
        <f t="shared" ca="1" si="901"/>
        <v>0</v>
      </c>
      <c r="J3319" s="15" t="str">
        <f t="shared" ca="1" si="908"/>
        <v>'0'!A42</v>
      </c>
      <c r="K3319" s="15" t="str">
        <f t="shared" ca="1" si="909"/>
        <v>'0'!B42</v>
      </c>
    </row>
    <row r="3320" spans="1:16" x14ac:dyDescent="0.25">
      <c r="A3320" s="3" t="str">
        <f t="shared" ca="1" si="910"/>
        <v/>
      </c>
      <c r="G3320" s="15">
        <f t="shared" ca="1" si="900"/>
        <v>43</v>
      </c>
      <c r="H3320" s="15">
        <v>1</v>
      </c>
      <c r="I3320" s="15">
        <f t="shared" ca="1" si="901"/>
        <v>0</v>
      </c>
      <c r="J3320" s="15" t="str">
        <f t="shared" ca="1" si="908"/>
        <v>'0'!A43</v>
      </c>
      <c r="K3320" s="15" t="str">
        <f t="shared" ca="1" si="909"/>
        <v>'0'!B43</v>
      </c>
    </row>
    <row r="3321" spans="1:16" x14ac:dyDescent="0.25">
      <c r="A3321" s="3" t="str">
        <f t="shared" ca="1" si="910"/>
        <v/>
      </c>
      <c r="G3321" s="15">
        <f t="shared" ca="1" si="900"/>
        <v>44</v>
      </c>
      <c r="H3321" s="15">
        <v>1</v>
      </c>
      <c r="I3321" s="15">
        <f t="shared" ca="1" si="901"/>
        <v>0</v>
      </c>
      <c r="J3321" s="15" t="str">
        <f t="shared" ca="1" si="908"/>
        <v>'0'!A44</v>
      </c>
      <c r="K3321" s="15" t="str">
        <f t="shared" ca="1" si="909"/>
        <v>'0'!B44</v>
      </c>
    </row>
    <row r="3322" spans="1:16" x14ac:dyDescent="0.25">
      <c r="A3322" s="3" t="str">
        <f t="shared" ca="1" si="910"/>
        <v/>
      </c>
      <c r="G3322" s="15">
        <f t="shared" ca="1" si="900"/>
        <v>45</v>
      </c>
      <c r="H3322" s="15">
        <v>1</v>
      </c>
      <c r="I3322" s="15">
        <f t="shared" ca="1" si="901"/>
        <v>0</v>
      </c>
      <c r="J3322" s="15" t="str">
        <f t="shared" ca="1" si="908"/>
        <v>'0'!A45</v>
      </c>
      <c r="K3322" s="15" t="str">
        <f t="shared" ca="1" si="909"/>
        <v>'0'!B45</v>
      </c>
    </row>
    <row r="3323" spans="1:16" x14ac:dyDescent="0.25">
      <c r="A3323" s="3" t="str">
        <f t="shared" ca="1" si="910"/>
        <v/>
      </c>
      <c r="G3323" s="15">
        <f t="shared" ca="1" si="900"/>
        <v>46</v>
      </c>
      <c r="H3323" s="15">
        <v>1</v>
      </c>
      <c r="I3323" s="15">
        <f t="shared" ca="1" si="901"/>
        <v>0</v>
      </c>
      <c r="J3323" s="15" t="str">
        <f t="shared" ca="1" si="908"/>
        <v>'0'!A46</v>
      </c>
      <c r="K3323" s="15" t="str">
        <f t="shared" ca="1" si="909"/>
        <v>'0'!B46</v>
      </c>
    </row>
    <row r="3324" spans="1:16" x14ac:dyDescent="0.25">
      <c r="A3324" s="3" t="str">
        <f t="shared" ca="1" si="910"/>
        <v/>
      </c>
      <c r="G3324" s="15">
        <f t="shared" ca="1" si="900"/>
        <v>47</v>
      </c>
      <c r="H3324" s="15">
        <v>1</v>
      </c>
      <c r="I3324" s="15">
        <f t="shared" ca="1" si="901"/>
        <v>0</v>
      </c>
      <c r="J3324" s="15" t="str">
        <f t="shared" ca="1" si="908"/>
        <v>'0'!A47</v>
      </c>
      <c r="K3324" s="15" t="str">
        <f t="shared" ca="1" si="909"/>
        <v>'0'!B47</v>
      </c>
    </row>
    <row r="3325" spans="1:16" x14ac:dyDescent="0.25">
      <c r="A3325" s="3" t="str">
        <f t="shared" ca="1" si="910"/>
        <v/>
      </c>
      <c r="G3325" s="15">
        <f t="shared" ca="1" si="900"/>
        <v>48</v>
      </c>
      <c r="H3325" s="15">
        <v>1</v>
      </c>
      <c r="I3325" s="15">
        <f t="shared" ca="1" si="901"/>
        <v>0</v>
      </c>
      <c r="J3325" s="15" t="str">
        <f t="shared" ca="1" si="908"/>
        <v>'0'!A48</v>
      </c>
      <c r="K3325" s="15" t="str">
        <f t="shared" ca="1" si="909"/>
        <v>'0'!B48</v>
      </c>
    </row>
    <row r="3326" spans="1:16" x14ac:dyDescent="0.25">
      <c r="A3326" s="3" t="str">
        <f t="shared" ca="1" si="910"/>
        <v/>
      </c>
      <c r="G3326" s="15">
        <f t="shared" ca="1" si="900"/>
        <v>49</v>
      </c>
      <c r="H3326" s="15">
        <v>1</v>
      </c>
      <c r="I3326" s="15">
        <f t="shared" ca="1" si="901"/>
        <v>0</v>
      </c>
      <c r="J3326" s="15" t="str">
        <f t="shared" ca="1" si="908"/>
        <v>'0'!A49</v>
      </c>
      <c r="K3326" s="15" t="str">
        <f t="shared" ca="1" si="909"/>
        <v>'0'!B49</v>
      </c>
    </row>
    <row r="3327" spans="1:16" x14ac:dyDescent="0.25">
      <c r="A3327" s="3" t="str">
        <f t="shared" ca="1" si="910"/>
        <v/>
      </c>
      <c r="G3327" s="15">
        <f t="shared" ca="1" si="900"/>
        <v>50</v>
      </c>
      <c r="H3327" s="15">
        <v>1</v>
      </c>
      <c r="I3327" s="15">
        <f t="shared" ca="1" si="901"/>
        <v>0</v>
      </c>
      <c r="J3327" s="15" t="str">
        <f t="shared" ca="1" si="908"/>
        <v>'0'!A50</v>
      </c>
      <c r="K3327" s="15" t="str">
        <f t="shared" ca="1" si="909"/>
        <v>'0'!B50</v>
      </c>
    </row>
    <row r="3328" spans="1:16" x14ac:dyDescent="0.25">
      <c r="A3328" s="3" t="str">
        <f t="shared" ca="1" si="910"/>
        <v/>
      </c>
      <c r="G3328" s="15">
        <f t="shared" ref="G3328" ca="1" si="917">INDIRECT(M3328)</f>
        <v>31</v>
      </c>
      <c r="H3328" s="15">
        <v>1</v>
      </c>
      <c r="I3328" s="15">
        <f t="shared" ref="I3328" ca="1" si="918">INDIRECT(N3328)</f>
        <v>0</v>
      </c>
      <c r="J3328" s="15" t="str">
        <f t="shared" ca="1" si="908"/>
        <v>'0'!A31</v>
      </c>
      <c r="K3328" s="15" t="str">
        <f t="shared" ca="1" si="909"/>
        <v>'0'!B31</v>
      </c>
      <c r="M3328" s="15" t="str">
        <f t="shared" ref="M3328" si="919">ADDRESS(O3328,3,4,1,$R$1)</f>
        <v>konfig!C168</v>
      </c>
      <c r="N3328" s="15" t="str">
        <f t="shared" ref="N3328" si="920">ADDRESS(O3328,1,4,1,$R$1)</f>
        <v>konfig!A168</v>
      </c>
      <c r="O3328" s="15">
        <v>168</v>
      </c>
      <c r="P3328" s="15">
        <v>4</v>
      </c>
    </row>
    <row r="3329" spans="1:11" x14ac:dyDescent="0.25">
      <c r="A3329" s="3" t="str">
        <f t="shared" ca="1" si="910"/>
        <v/>
      </c>
      <c r="G3329" s="15">
        <f t="shared" ca="1" si="906"/>
        <v>32</v>
      </c>
      <c r="H3329" s="15">
        <v>1</v>
      </c>
      <c r="I3329" s="15">
        <f t="shared" ca="1" si="907"/>
        <v>0</v>
      </c>
      <c r="J3329" s="15" t="str">
        <f t="shared" ca="1" si="908"/>
        <v>'0'!A32</v>
      </c>
      <c r="K3329" s="15" t="str">
        <f t="shared" ca="1" si="909"/>
        <v>'0'!B32</v>
      </c>
    </row>
    <row r="3330" spans="1:11" x14ac:dyDescent="0.25">
      <c r="A3330" s="3" t="str">
        <f t="shared" ca="1" si="910"/>
        <v/>
      </c>
      <c r="G3330" s="15">
        <f t="shared" ca="1" si="906"/>
        <v>33</v>
      </c>
      <c r="H3330" s="15">
        <v>1</v>
      </c>
      <c r="I3330" s="15">
        <f t="shared" ca="1" si="907"/>
        <v>0</v>
      </c>
      <c r="J3330" s="15" t="str">
        <f t="shared" ca="1" si="908"/>
        <v>'0'!A33</v>
      </c>
      <c r="K3330" s="15" t="str">
        <f t="shared" ca="1" si="909"/>
        <v>'0'!B33</v>
      </c>
    </row>
    <row r="3331" spans="1:11" x14ac:dyDescent="0.25">
      <c r="A3331" s="3" t="str">
        <f t="shared" ca="1" si="910"/>
        <v/>
      </c>
      <c r="C3331" s="16"/>
      <c r="G3331" s="15">
        <f t="shared" ca="1" si="906"/>
        <v>34</v>
      </c>
      <c r="H3331" s="15">
        <v>1</v>
      </c>
      <c r="I3331" s="15">
        <f t="shared" ca="1" si="907"/>
        <v>0</v>
      </c>
      <c r="J3331" s="15" t="str">
        <f t="shared" ca="1" si="908"/>
        <v>'0'!A34</v>
      </c>
      <c r="K3331" s="15" t="str">
        <f t="shared" ca="1" si="909"/>
        <v>'0'!B34</v>
      </c>
    </row>
    <row r="3332" spans="1:11" x14ac:dyDescent="0.25">
      <c r="A3332" s="3" t="str">
        <f t="shared" ca="1" si="910"/>
        <v/>
      </c>
      <c r="G3332" s="15">
        <f t="shared" ca="1" si="906"/>
        <v>35</v>
      </c>
      <c r="H3332" s="15">
        <v>1</v>
      </c>
      <c r="I3332" s="15">
        <f t="shared" ca="1" si="907"/>
        <v>0</v>
      </c>
      <c r="J3332" s="15" t="str">
        <f t="shared" ca="1" si="908"/>
        <v>'0'!A35</v>
      </c>
      <c r="K3332" s="15" t="str">
        <f t="shared" ca="1" si="909"/>
        <v>'0'!B35</v>
      </c>
    </row>
    <row r="3333" spans="1:11" x14ac:dyDescent="0.25">
      <c r="A3333" s="3" t="str">
        <f t="shared" ca="1" si="910"/>
        <v/>
      </c>
      <c r="G3333" s="15">
        <f t="shared" ca="1" si="900"/>
        <v>36</v>
      </c>
      <c r="H3333" s="15">
        <v>1</v>
      </c>
      <c r="I3333" s="15">
        <f t="shared" ca="1" si="901"/>
        <v>0</v>
      </c>
      <c r="J3333" s="15" t="str">
        <f t="shared" ca="1" si="908"/>
        <v>'0'!A36</v>
      </c>
      <c r="K3333" s="15" t="str">
        <f t="shared" ca="1" si="909"/>
        <v>'0'!B36</v>
      </c>
    </row>
    <row r="3334" spans="1:11" x14ac:dyDescent="0.25">
      <c r="A3334" s="3" t="str">
        <f t="shared" ca="1" si="910"/>
        <v/>
      </c>
      <c r="G3334" s="15">
        <f t="shared" ca="1" si="900"/>
        <v>37</v>
      </c>
      <c r="H3334" s="15">
        <v>1</v>
      </c>
      <c r="I3334" s="15">
        <f t="shared" ca="1" si="901"/>
        <v>0</v>
      </c>
      <c r="J3334" s="15" t="str">
        <f t="shared" ca="1" si="908"/>
        <v>'0'!A37</v>
      </c>
      <c r="K3334" s="15" t="str">
        <f t="shared" ca="1" si="909"/>
        <v>'0'!B37</v>
      </c>
    </row>
    <row r="3335" spans="1:11" x14ac:dyDescent="0.25">
      <c r="A3335" s="3" t="str">
        <f t="shared" ca="1" si="910"/>
        <v/>
      </c>
      <c r="G3335" s="15">
        <f t="shared" ca="1" si="900"/>
        <v>38</v>
      </c>
      <c r="H3335" s="15">
        <v>1</v>
      </c>
      <c r="I3335" s="15">
        <f t="shared" ca="1" si="901"/>
        <v>0</v>
      </c>
      <c r="J3335" s="15" t="str">
        <f t="shared" ca="1" si="908"/>
        <v>'0'!A38</v>
      </c>
      <c r="K3335" s="15" t="str">
        <f t="shared" ca="1" si="909"/>
        <v>'0'!B38</v>
      </c>
    </row>
    <row r="3336" spans="1:11" x14ac:dyDescent="0.25">
      <c r="A3336" s="3" t="str">
        <f t="shared" ca="1" si="910"/>
        <v/>
      </c>
      <c r="G3336" s="15">
        <f t="shared" ca="1" si="900"/>
        <v>39</v>
      </c>
      <c r="H3336" s="15">
        <v>1</v>
      </c>
      <c r="I3336" s="15">
        <f t="shared" ca="1" si="901"/>
        <v>0</v>
      </c>
      <c r="J3336" s="15" t="str">
        <f t="shared" ca="1" si="908"/>
        <v>'0'!A39</v>
      </c>
      <c r="K3336" s="15" t="str">
        <f t="shared" ca="1" si="909"/>
        <v>'0'!B39</v>
      </c>
    </row>
    <row r="3337" spans="1:11" x14ac:dyDescent="0.25">
      <c r="A3337" s="3" t="str">
        <f t="shared" ca="1" si="910"/>
        <v/>
      </c>
      <c r="G3337" s="15">
        <f t="shared" ref="G3337:G3400" ca="1" si="921">G3336+1</f>
        <v>40</v>
      </c>
      <c r="H3337" s="15">
        <v>1</v>
      </c>
      <c r="I3337" s="15">
        <f t="shared" ref="I3337:I3400" ca="1" si="922">I3336</f>
        <v>0</v>
      </c>
      <c r="J3337" s="15" t="str">
        <f t="shared" ca="1" si="908"/>
        <v>'0'!A40</v>
      </c>
      <c r="K3337" s="15" t="str">
        <f t="shared" ca="1" si="909"/>
        <v>'0'!B40</v>
      </c>
    </row>
    <row r="3338" spans="1:11" x14ac:dyDescent="0.25">
      <c r="A3338" s="3" t="str">
        <f t="shared" ca="1" si="910"/>
        <v/>
      </c>
      <c r="G3338" s="15">
        <f t="shared" ca="1" si="921"/>
        <v>41</v>
      </c>
      <c r="H3338" s="15">
        <v>1</v>
      </c>
      <c r="I3338" s="15">
        <f t="shared" ca="1" si="922"/>
        <v>0</v>
      </c>
      <c r="J3338" s="15" t="str">
        <f t="shared" ca="1" si="908"/>
        <v>'0'!A41</v>
      </c>
      <c r="K3338" s="15" t="str">
        <f t="shared" ca="1" si="909"/>
        <v>'0'!B41</v>
      </c>
    </row>
    <row r="3339" spans="1:11" x14ac:dyDescent="0.25">
      <c r="A3339" s="3" t="str">
        <f t="shared" ca="1" si="910"/>
        <v/>
      </c>
      <c r="C3339" s="16"/>
      <c r="G3339" s="15">
        <f t="shared" ca="1" si="921"/>
        <v>42</v>
      </c>
      <c r="H3339" s="15">
        <v>1</v>
      </c>
      <c r="I3339" s="15">
        <f t="shared" ca="1" si="922"/>
        <v>0</v>
      </c>
      <c r="J3339" s="15" t="str">
        <f t="shared" ca="1" si="908"/>
        <v>'0'!A42</v>
      </c>
      <c r="K3339" s="15" t="str">
        <f t="shared" ca="1" si="909"/>
        <v>'0'!B42</v>
      </c>
    </row>
    <row r="3340" spans="1:11" x14ac:dyDescent="0.25">
      <c r="A3340" s="3" t="str">
        <f t="shared" ca="1" si="910"/>
        <v/>
      </c>
      <c r="G3340" s="15">
        <f t="shared" ca="1" si="921"/>
        <v>43</v>
      </c>
      <c r="H3340" s="15">
        <v>1</v>
      </c>
      <c r="I3340" s="15">
        <f t="shared" ca="1" si="922"/>
        <v>0</v>
      </c>
      <c r="J3340" s="15" t="str">
        <f t="shared" ca="1" si="908"/>
        <v>'0'!A43</v>
      </c>
      <c r="K3340" s="15" t="str">
        <f t="shared" ca="1" si="909"/>
        <v>'0'!B43</v>
      </c>
    </row>
    <row r="3341" spans="1:11" x14ac:dyDescent="0.25">
      <c r="A3341" s="3" t="str">
        <f t="shared" ca="1" si="910"/>
        <v/>
      </c>
      <c r="G3341" s="15">
        <f t="shared" ca="1" si="921"/>
        <v>44</v>
      </c>
      <c r="H3341" s="15">
        <v>1</v>
      </c>
      <c r="I3341" s="15">
        <f t="shared" ca="1" si="922"/>
        <v>0</v>
      </c>
      <c r="J3341" s="15" t="str">
        <f t="shared" ca="1" si="908"/>
        <v>'0'!A44</v>
      </c>
      <c r="K3341" s="15" t="str">
        <f t="shared" ca="1" si="909"/>
        <v>'0'!B44</v>
      </c>
    </row>
    <row r="3342" spans="1:11" x14ac:dyDescent="0.25">
      <c r="A3342" s="3" t="str">
        <f t="shared" ca="1" si="910"/>
        <v/>
      </c>
      <c r="G3342" s="15">
        <f t="shared" ca="1" si="921"/>
        <v>45</v>
      </c>
      <c r="H3342" s="15">
        <v>1</v>
      </c>
      <c r="I3342" s="15">
        <f t="shared" ca="1" si="922"/>
        <v>0</v>
      </c>
      <c r="J3342" s="15" t="str">
        <f t="shared" ca="1" si="908"/>
        <v>'0'!A45</v>
      </c>
      <c r="K3342" s="15" t="str">
        <f t="shared" ca="1" si="909"/>
        <v>'0'!B45</v>
      </c>
    </row>
    <row r="3343" spans="1:11" x14ac:dyDescent="0.25">
      <c r="A3343" s="3" t="str">
        <f t="shared" ca="1" si="910"/>
        <v/>
      </c>
      <c r="G3343" s="15">
        <f t="shared" ca="1" si="921"/>
        <v>46</v>
      </c>
      <c r="H3343" s="15">
        <v>1</v>
      </c>
      <c r="I3343" s="15">
        <f t="shared" ca="1" si="922"/>
        <v>0</v>
      </c>
      <c r="J3343" s="15" t="str">
        <f t="shared" ca="1" si="908"/>
        <v>'0'!A46</v>
      </c>
      <c r="K3343" s="15" t="str">
        <f t="shared" ca="1" si="909"/>
        <v>'0'!B46</v>
      </c>
    </row>
    <row r="3344" spans="1:11" x14ac:dyDescent="0.25">
      <c r="A3344" s="3" t="str">
        <f t="shared" ca="1" si="910"/>
        <v/>
      </c>
      <c r="G3344" s="15">
        <f t="shared" ca="1" si="921"/>
        <v>47</v>
      </c>
      <c r="H3344" s="15">
        <v>1</v>
      </c>
      <c r="I3344" s="15">
        <f t="shared" ca="1" si="922"/>
        <v>0</v>
      </c>
      <c r="J3344" s="15" t="str">
        <f t="shared" ca="1" si="908"/>
        <v>'0'!A47</v>
      </c>
      <c r="K3344" s="15" t="str">
        <f t="shared" ca="1" si="909"/>
        <v>'0'!B47</v>
      </c>
    </row>
    <row r="3345" spans="1:16" x14ac:dyDescent="0.25">
      <c r="A3345" s="3" t="str">
        <f t="shared" ca="1" si="910"/>
        <v/>
      </c>
      <c r="G3345" s="15">
        <f t="shared" ca="1" si="921"/>
        <v>48</v>
      </c>
      <c r="H3345" s="15">
        <v>1</v>
      </c>
      <c r="I3345" s="15">
        <f t="shared" ca="1" si="922"/>
        <v>0</v>
      </c>
      <c r="J3345" s="15" t="str">
        <f t="shared" ca="1" si="908"/>
        <v>'0'!A48</v>
      </c>
      <c r="K3345" s="15" t="str">
        <f t="shared" ca="1" si="909"/>
        <v>'0'!B48</v>
      </c>
    </row>
    <row r="3346" spans="1:16" x14ac:dyDescent="0.25">
      <c r="A3346" s="3" t="str">
        <f t="shared" ca="1" si="910"/>
        <v/>
      </c>
      <c r="G3346" s="15">
        <f t="shared" ca="1" si="921"/>
        <v>49</v>
      </c>
      <c r="H3346" s="15">
        <v>1</v>
      </c>
      <c r="I3346" s="15">
        <f t="shared" ca="1" si="922"/>
        <v>0</v>
      </c>
      <c r="J3346" s="15" t="str">
        <f t="shared" ca="1" si="908"/>
        <v>'0'!A49</v>
      </c>
      <c r="K3346" s="15" t="str">
        <f t="shared" ca="1" si="909"/>
        <v>'0'!B49</v>
      </c>
    </row>
    <row r="3347" spans="1:16" x14ac:dyDescent="0.25">
      <c r="A3347" s="3" t="str">
        <f t="shared" ca="1" si="910"/>
        <v/>
      </c>
      <c r="G3347" s="15">
        <f t="shared" ca="1" si="921"/>
        <v>50</v>
      </c>
      <c r="H3347" s="15">
        <v>1</v>
      </c>
      <c r="I3347" s="15">
        <f t="shared" ca="1" si="922"/>
        <v>0</v>
      </c>
      <c r="J3347" s="15" t="str">
        <f t="shared" ca="1" si="908"/>
        <v>'0'!A50</v>
      </c>
      <c r="K3347" s="15" t="str">
        <f t="shared" ca="1" si="909"/>
        <v>'0'!B50</v>
      </c>
    </row>
    <row r="3348" spans="1:16" x14ac:dyDescent="0.25">
      <c r="A3348" s="3" t="str">
        <f t="shared" ca="1" si="910"/>
        <v/>
      </c>
      <c r="G3348" s="15">
        <f t="shared" ref="G3348" ca="1" si="923">INDIRECT(M3348)</f>
        <v>31</v>
      </c>
      <c r="H3348" s="15">
        <v>1</v>
      </c>
      <c r="I3348" s="15">
        <f t="shared" ref="I3348" ca="1" si="924">INDIRECT(N3348)</f>
        <v>0</v>
      </c>
      <c r="J3348" s="15" t="str">
        <f t="shared" ca="1" si="908"/>
        <v>'0'!A31</v>
      </c>
      <c r="K3348" s="15" t="str">
        <f t="shared" ca="1" si="909"/>
        <v>'0'!B31</v>
      </c>
      <c r="M3348" s="15" t="str">
        <f t="shared" ref="M3348" si="925">ADDRESS(O3348,3,4,1,$R$1)</f>
        <v>konfig!C169</v>
      </c>
      <c r="N3348" s="15" t="str">
        <f t="shared" ref="N3348" si="926">ADDRESS(O3348,1,4,1,$R$1)</f>
        <v>konfig!A169</v>
      </c>
      <c r="O3348" s="15">
        <v>169</v>
      </c>
      <c r="P3348" s="15">
        <v>4</v>
      </c>
    </row>
    <row r="3349" spans="1:16" x14ac:dyDescent="0.25">
      <c r="A3349" s="3" t="str">
        <f t="shared" ca="1" si="910"/>
        <v/>
      </c>
      <c r="G3349" s="15">
        <f t="shared" ca="1" si="915"/>
        <v>32</v>
      </c>
      <c r="H3349" s="15">
        <v>1</v>
      </c>
      <c r="I3349" s="15">
        <f t="shared" ca="1" si="916"/>
        <v>0</v>
      </c>
      <c r="J3349" s="15" t="str">
        <f t="shared" ca="1" si="908"/>
        <v>'0'!A32</v>
      </c>
      <c r="K3349" s="15" t="str">
        <f t="shared" ca="1" si="909"/>
        <v>'0'!B32</v>
      </c>
    </row>
    <row r="3350" spans="1:16" x14ac:dyDescent="0.25">
      <c r="A3350" s="3" t="str">
        <f t="shared" ca="1" si="910"/>
        <v/>
      </c>
      <c r="G3350" s="15">
        <f t="shared" ca="1" si="921"/>
        <v>33</v>
      </c>
      <c r="H3350" s="15">
        <v>1</v>
      </c>
      <c r="I3350" s="15">
        <f t="shared" ca="1" si="922"/>
        <v>0</v>
      </c>
      <c r="J3350" s="15" t="str">
        <f t="shared" ca="1" si="908"/>
        <v>'0'!A33</v>
      </c>
      <c r="K3350" s="15" t="str">
        <f t="shared" ca="1" si="909"/>
        <v>'0'!B33</v>
      </c>
    </row>
    <row r="3351" spans="1:16" x14ac:dyDescent="0.25">
      <c r="A3351" s="3" t="str">
        <f t="shared" ca="1" si="910"/>
        <v/>
      </c>
      <c r="C3351" s="16"/>
      <c r="G3351" s="15">
        <f t="shared" ca="1" si="921"/>
        <v>34</v>
      </c>
      <c r="H3351" s="15">
        <v>1</v>
      </c>
      <c r="I3351" s="15">
        <f t="shared" ca="1" si="922"/>
        <v>0</v>
      </c>
      <c r="J3351" s="15" t="str">
        <f t="shared" ca="1" si="908"/>
        <v>'0'!A34</v>
      </c>
      <c r="K3351" s="15" t="str">
        <f t="shared" ca="1" si="909"/>
        <v>'0'!B34</v>
      </c>
    </row>
    <row r="3352" spans="1:16" x14ac:dyDescent="0.25">
      <c r="A3352" s="3" t="str">
        <f t="shared" ca="1" si="910"/>
        <v/>
      </c>
      <c r="G3352" s="15">
        <f t="shared" ca="1" si="921"/>
        <v>35</v>
      </c>
      <c r="H3352" s="15">
        <v>1</v>
      </c>
      <c r="I3352" s="15">
        <f t="shared" ca="1" si="922"/>
        <v>0</v>
      </c>
      <c r="J3352" s="15" t="str">
        <f t="shared" ca="1" si="908"/>
        <v>'0'!A35</v>
      </c>
      <c r="K3352" s="15" t="str">
        <f t="shared" ca="1" si="909"/>
        <v>'0'!B35</v>
      </c>
    </row>
    <row r="3353" spans="1:16" x14ac:dyDescent="0.25">
      <c r="A3353" s="3" t="str">
        <f t="shared" ca="1" si="910"/>
        <v/>
      </c>
      <c r="G3353" s="15">
        <f t="shared" ca="1" si="921"/>
        <v>36</v>
      </c>
      <c r="H3353" s="15">
        <v>1</v>
      </c>
      <c r="I3353" s="15">
        <f t="shared" ca="1" si="922"/>
        <v>0</v>
      </c>
      <c r="J3353" s="15" t="str">
        <f t="shared" ca="1" si="908"/>
        <v>'0'!A36</v>
      </c>
      <c r="K3353" s="15" t="str">
        <f t="shared" ca="1" si="909"/>
        <v>'0'!B36</v>
      </c>
    </row>
    <row r="3354" spans="1:16" x14ac:dyDescent="0.25">
      <c r="A3354" s="3" t="str">
        <f t="shared" ca="1" si="910"/>
        <v/>
      </c>
      <c r="G3354" s="15">
        <f t="shared" ca="1" si="921"/>
        <v>37</v>
      </c>
      <c r="H3354" s="15">
        <v>1</v>
      </c>
      <c r="I3354" s="15">
        <f t="shared" ca="1" si="922"/>
        <v>0</v>
      </c>
      <c r="J3354" s="15" t="str">
        <f t="shared" ca="1" si="908"/>
        <v>'0'!A37</v>
      </c>
      <c r="K3354" s="15" t="str">
        <f t="shared" ca="1" si="909"/>
        <v>'0'!B37</v>
      </c>
    </row>
    <row r="3355" spans="1:16" x14ac:dyDescent="0.25">
      <c r="A3355" s="3" t="str">
        <f t="shared" ca="1" si="910"/>
        <v/>
      </c>
      <c r="G3355" s="15">
        <f t="shared" ca="1" si="921"/>
        <v>38</v>
      </c>
      <c r="H3355" s="15">
        <v>1</v>
      </c>
      <c r="I3355" s="15">
        <f t="shared" ca="1" si="922"/>
        <v>0</v>
      </c>
      <c r="J3355" s="15" t="str">
        <f t="shared" ca="1" si="908"/>
        <v>'0'!A38</v>
      </c>
      <c r="K3355" s="15" t="str">
        <f t="shared" ca="1" si="909"/>
        <v>'0'!B38</v>
      </c>
    </row>
    <row r="3356" spans="1:16" x14ac:dyDescent="0.25">
      <c r="A3356" s="3" t="str">
        <f t="shared" ca="1" si="910"/>
        <v/>
      </c>
      <c r="G3356" s="15">
        <f t="shared" ca="1" si="921"/>
        <v>39</v>
      </c>
      <c r="H3356" s="15">
        <v>1</v>
      </c>
      <c r="I3356" s="15">
        <f t="shared" ca="1" si="922"/>
        <v>0</v>
      </c>
      <c r="J3356" s="15" t="str">
        <f t="shared" ca="1" si="908"/>
        <v>'0'!A39</v>
      </c>
      <c r="K3356" s="15" t="str">
        <f t="shared" ca="1" si="909"/>
        <v>'0'!B39</v>
      </c>
    </row>
    <row r="3357" spans="1:16" x14ac:dyDescent="0.25">
      <c r="A3357" s="3" t="str">
        <f t="shared" ca="1" si="910"/>
        <v/>
      </c>
      <c r="G3357" s="15">
        <f t="shared" ca="1" si="921"/>
        <v>40</v>
      </c>
      <c r="H3357" s="15">
        <v>1</v>
      </c>
      <c r="I3357" s="15">
        <f t="shared" ca="1" si="922"/>
        <v>0</v>
      </c>
      <c r="J3357" s="15" t="str">
        <f t="shared" ca="1" si="908"/>
        <v>'0'!A40</v>
      </c>
      <c r="K3357" s="15" t="str">
        <f t="shared" ca="1" si="909"/>
        <v>'0'!B40</v>
      </c>
    </row>
    <row r="3358" spans="1:16" x14ac:dyDescent="0.25">
      <c r="A3358" s="3" t="str">
        <f t="shared" ca="1" si="910"/>
        <v/>
      </c>
      <c r="G3358" s="15">
        <f t="shared" ca="1" si="921"/>
        <v>41</v>
      </c>
      <c r="H3358" s="15">
        <v>1</v>
      </c>
      <c r="I3358" s="15">
        <f t="shared" ca="1" si="922"/>
        <v>0</v>
      </c>
      <c r="J3358" s="15" t="str">
        <f t="shared" ca="1" si="908"/>
        <v>'0'!A41</v>
      </c>
      <c r="K3358" s="15" t="str">
        <f t="shared" ca="1" si="909"/>
        <v>'0'!B41</v>
      </c>
    </row>
    <row r="3359" spans="1:16" x14ac:dyDescent="0.25">
      <c r="A3359" s="3" t="str">
        <f t="shared" ca="1" si="910"/>
        <v/>
      </c>
      <c r="C3359" s="16"/>
      <c r="G3359" s="15">
        <f t="shared" ca="1" si="921"/>
        <v>42</v>
      </c>
      <c r="H3359" s="15">
        <v>1</v>
      </c>
      <c r="I3359" s="15">
        <f t="shared" ca="1" si="922"/>
        <v>0</v>
      </c>
      <c r="J3359" s="15" t="str">
        <f t="shared" ca="1" si="908"/>
        <v>'0'!A42</v>
      </c>
      <c r="K3359" s="15" t="str">
        <f t="shared" ca="1" si="909"/>
        <v>'0'!B42</v>
      </c>
    </row>
    <row r="3360" spans="1:16" x14ac:dyDescent="0.25">
      <c r="A3360" s="3" t="str">
        <f t="shared" ca="1" si="910"/>
        <v/>
      </c>
      <c r="G3360" s="15">
        <f t="shared" ca="1" si="921"/>
        <v>43</v>
      </c>
      <c r="H3360" s="15">
        <v>1</v>
      </c>
      <c r="I3360" s="15">
        <f t="shared" ca="1" si="922"/>
        <v>0</v>
      </c>
      <c r="J3360" s="15" t="str">
        <f t="shared" ca="1" si="908"/>
        <v>'0'!A43</v>
      </c>
      <c r="K3360" s="15" t="str">
        <f t="shared" ca="1" si="909"/>
        <v>'0'!B43</v>
      </c>
    </row>
    <row r="3361" spans="1:16" x14ac:dyDescent="0.25">
      <c r="A3361" s="3" t="str">
        <f t="shared" ca="1" si="910"/>
        <v/>
      </c>
      <c r="G3361" s="15">
        <f t="shared" ca="1" si="921"/>
        <v>44</v>
      </c>
      <c r="H3361" s="15">
        <v>1</v>
      </c>
      <c r="I3361" s="15">
        <f t="shared" ca="1" si="922"/>
        <v>0</v>
      </c>
      <c r="J3361" s="15" t="str">
        <f t="shared" ca="1" si="908"/>
        <v>'0'!A44</v>
      </c>
      <c r="K3361" s="15" t="str">
        <f t="shared" ca="1" si="909"/>
        <v>'0'!B44</v>
      </c>
    </row>
    <row r="3362" spans="1:16" x14ac:dyDescent="0.25">
      <c r="A3362" s="3" t="str">
        <f t="shared" ca="1" si="910"/>
        <v/>
      </c>
      <c r="G3362" s="15">
        <f t="shared" ca="1" si="921"/>
        <v>45</v>
      </c>
      <c r="H3362" s="15">
        <v>1</v>
      </c>
      <c r="I3362" s="15">
        <f t="shared" ca="1" si="922"/>
        <v>0</v>
      </c>
      <c r="J3362" s="15" t="str">
        <f t="shared" ca="1" si="908"/>
        <v>'0'!A45</v>
      </c>
      <c r="K3362" s="15" t="str">
        <f t="shared" ca="1" si="909"/>
        <v>'0'!B45</v>
      </c>
    </row>
    <row r="3363" spans="1:16" x14ac:dyDescent="0.25">
      <c r="A3363" s="3" t="str">
        <f t="shared" ca="1" si="910"/>
        <v/>
      </c>
      <c r="G3363" s="15">
        <f t="shared" ca="1" si="921"/>
        <v>46</v>
      </c>
      <c r="H3363" s="15">
        <v>1</v>
      </c>
      <c r="I3363" s="15">
        <f t="shared" ca="1" si="922"/>
        <v>0</v>
      </c>
      <c r="J3363" s="15" t="str">
        <f t="shared" ca="1" si="908"/>
        <v>'0'!A46</v>
      </c>
      <c r="K3363" s="15" t="str">
        <f t="shared" ca="1" si="909"/>
        <v>'0'!B46</v>
      </c>
    </row>
    <row r="3364" spans="1:16" x14ac:dyDescent="0.25">
      <c r="A3364" s="3" t="str">
        <f t="shared" ca="1" si="910"/>
        <v/>
      </c>
      <c r="G3364" s="15">
        <f t="shared" ca="1" si="921"/>
        <v>47</v>
      </c>
      <c r="H3364" s="15">
        <v>1</v>
      </c>
      <c r="I3364" s="15">
        <f t="shared" ca="1" si="922"/>
        <v>0</v>
      </c>
      <c r="J3364" s="15" t="str">
        <f t="shared" ref="J3364:J3427" ca="1" si="927">ADDRESS(G3364,H3364,4,1,I3364)</f>
        <v>'0'!A47</v>
      </c>
      <c r="K3364" s="15" t="str">
        <f t="shared" ref="K3364:K3427" ca="1" si="928">ADDRESS(G3364,H3364+1,4,1,I3364)</f>
        <v>'0'!B47</v>
      </c>
    </row>
    <row r="3365" spans="1:16" x14ac:dyDescent="0.25">
      <c r="A3365" s="3" t="str">
        <f t="shared" ca="1" si="910"/>
        <v/>
      </c>
      <c r="G3365" s="15">
        <f t="shared" ca="1" si="921"/>
        <v>48</v>
      </c>
      <c r="H3365" s="15">
        <v>1</v>
      </c>
      <c r="I3365" s="15">
        <f t="shared" ca="1" si="922"/>
        <v>0</v>
      </c>
      <c r="J3365" s="15" t="str">
        <f t="shared" ca="1" si="927"/>
        <v>'0'!A48</v>
      </c>
      <c r="K3365" s="15" t="str">
        <f t="shared" ca="1" si="928"/>
        <v>'0'!B48</v>
      </c>
    </row>
    <row r="3366" spans="1:16" x14ac:dyDescent="0.25">
      <c r="A3366" s="3" t="str">
        <f t="shared" ca="1" si="910"/>
        <v/>
      </c>
      <c r="G3366" s="15">
        <f t="shared" ca="1" si="921"/>
        <v>49</v>
      </c>
      <c r="H3366" s="15">
        <v>1</v>
      </c>
      <c r="I3366" s="15">
        <f t="shared" ca="1" si="922"/>
        <v>0</v>
      </c>
      <c r="J3366" s="15" t="str">
        <f t="shared" ca="1" si="927"/>
        <v>'0'!A49</v>
      </c>
      <c r="K3366" s="15" t="str">
        <f t="shared" ca="1" si="928"/>
        <v>'0'!B49</v>
      </c>
    </row>
    <row r="3367" spans="1:16" x14ac:dyDescent="0.25">
      <c r="A3367" s="3" t="str">
        <f t="shared" ca="1" si="910"/>
        <v/>
      </c>
      <c r="G3367" s="15">
        <f t="shared" ca="1" si="921"/>
        <v>50</v>
      </c>
      <c r="H3367" s="15">
        <v>1</v>
      </c>
      <c r="I3367" s="15">
        <f t="shared" ca="1" si="922"/>
        <v>0</v>
      </c>
      <c r="J3367" s="15" t="str">
        <f t="shared" ca="1" si="927"/>
        <v>'0'!A50</v>
      </c>
      <c r="K3367" s="15" t="str">
        <f t="shared" ca="1" si="928"/>
        <v>'0'!B50</v>
      </c>
    </row>
    <row r="3368" spans="1:16" x14ac:dyDescent="0.25">
      <c r="A3368" s="3" t="str">
        <f t="shared" ca="1" si="910"/>
        <v/>
      </c>
      <c r="G3368" s="15">
        <f t="shared" ref="G3368" ca="1" si="929">INDIRECT(M3368)</f>
        <v>31</v>
      </c>
      <c r="H3368" s="15">
        <v>1</v>
      </c>
      <c r="I3368" s="15">
        <f t="shared" ref="I3368" ca="1" si="930">INDIRECT(N3368)</f>
        <v>0</v>
      </c>
      <c r="J3368" s="15" t="str">
        <f t="shared" ca="1" si="927"/>
        <v>'0'!A31</v>
      </c>
      <c r="K3368" s="15" t="str">
        <f t="shared" ca="1" si="928"/>
        <v>'0'!B31</v>
      </c>
      <c r="M3368" s="15" t="str">
        <f t="shared" ref="M3368" si="931">ADDRESS(O3368,3,4,1,$R$1)</f>
        <v>konfig!C170</v>
      </c>
      <c r="N3368" s="15" t="str">
        <f t="shared" ref="N3368" si="932">ADDRESS(O3368,1,4,1,$R$1)</f>
        <v>konfig!A170</v>
      </c>
      <c r="O3368" s="15">
        <v>170</v>
      </c>
      <c r="P3368" s="15">
        <v>4</v>
      </c>
    </row>
    <row r="3369" spans="1:16" x14ac:dyDescent="0.25">
      <c r="A3369" s="3" t="str">
        <f t="shared" ca="1" si="910"/>
        <v/>
      </c>
      <c r="G3369" s="15">
        <f t="shared" ref="G3369:G3412" ca="1" si="933">G3368+1</f>
        <v>32</v>
      </c>
      <c r="H3369" s="15">
        <v>1</v>
      </c>
      <c r="I3369" s="15">
        <f t="shared" ref="I3369:I3412" ca="1" si="934">I3368</f>
        <v>0</v>
      </c>
      <c r="J3369" s="15" t="str">
        <f t="shared" ca="1" si="927"/>
        <v>'0'!A32</v>
      </c>
      <c r="K3369" s="15" t="str">
        <f t="shared" ca="1" si="928"/>
        <v>'0'!B32</v>
      </c>
    </row>
    <row r="3370" spans="1:16" x14ac:dyDescent="0.25">
      <c r="A3370" s="3" t="str">
        <f t="shared" ca="1" si="910"/>
        <v/>
      </c>
      <c r="G3370" s="15">
        <f t="shared" ca="1" si="933"/>
        <v>33</v>
      </c>
      <c r="H3370" s="15">
        <v>1</v>
      </c>
      <c r="I3370" s="15">
        <f t="shared" ca="1" si="934"/>
        <v>0</v>
      </c>
      <c r="J3370" s="15" t="str">
        <f t="shared" ca="1" si="927"/>
        <v>'0'!A33</v>
      </c>
      <c r="K3370" s="15" t="str">
        <f t="shared" ca="1" si="928"/>
        <v>'0'!B33</v>
      </c>
    </row>
    <row r="3371" spans="1:16" x14ac:dyDescent="0.25">
      <c r="A3371" s="3" t="str">
        <f t="shared" ca="1" si="910"/>
        <v/>
      </c>
      <c r="C3371" s="16"/>
      <c r="G3371" s="15">
        <f t="shared" ca="1" si="933"/>
        <v>34</v>
      </c>
      <c r="H3371" s="15">
        <v>1</v>
      </c>
      <c r="I3371" s="15">
        <f t="shared" ca="1" si="934"/>
        <v>0</v>
      </c>
      <c r="J3371" s="15" t="str">
        <f t="shared" ca="1" si="927"/>
        <v>'0'!A34</v>
      </c>
      <c r="K3371" s="15" t="str">
        <f t="shared" ca="1" si="928"/>
        <v>'0'!B34</v>
      </c>
    </row>
    <row r="3372" spans="1:16" x14ac:dyDescent="0.25">
      <c r="A3372" s="3" t="str">
        <f t="shared" ref="A3372:A3435" ca="1" si="935">IFERROR(IF(INDIRECT(J3372)&lt;&gt;"",CONCATENATE(INDIRECT(J3372)," = ",INDIRECT(K3372)," "),""),"")</f>
        <v/>
      </c>
      <c r="G3372" s="15">
        <f t="shared" ca="1" si="933"/>
        <v>35</v>
      </c>
      <c r="H3372" s="15">
        <v>1</v>
      </c>
      <c r="I3372" s="15">
        <f t="shared" ca="1" si="934"/>
        <v>0</v>
      </c>
      <c r="J3372" s="15" t="str">
        <f t="shared" ca="1" si="927"/>
        <v>'0'!A35</v>
      </c>
      <c r="K3372" s="15" t="str">
        <f t="shared" ca="1" si="928"/>
        <v>'0'!B35</v>
      </c>
    </row>
    <row r="3373" spans="1:16" x14ac:dyDescent="0.25">
      <c r="A3373" s="3" t="str">
        <f t="shared" ca="1" si="935"/>
        <v/>
      </c>
      <c r="G3373" s="15">
        <f t="shared" ca="1" si="921"/>
        <v>36</v>
      </c>
      <c r="H3373" s="15">
        <v>1</v>
      </c>
      <c r="I3373" s="15">
        <f t="shared" ca="1" si="922"/>
        <v>0</v>
      </c>
      <c r="J3373" s="15" t="str">
        <f t="shared" ca="1" si="927"/>
        <v>'0'!A36</v>
      </c>
      <c r="K3373" s="15" t="str">
        <f t="shared" ca="1" si="928"/>
        <v>'0'!B36</v>
      </c>
    </row>
    <row r="3374" spans="1:16" x14ac:dyDescent="0.25">
      <c r="A3374" s="3" t="str">
        <f t="shared" ca="1" si="935"/>
        <v/>
      </c>
      <c r="G3374" s="15">
        <f t="shared" ca="1" si="921"/>
        <v>37</v>
      </c>
      <c r="H3374" s="15">
        <v>1</v>
      </c>
      <c r="I3374" s="15">
        <f t="shared" ca="1" si="922"/>
        <v>0</v>
      </c>
      <c r="J3374" s="15" t="str">
        <f t="shared" ca="1" si="927"/>
        <v>'0'!A37</v>
      </c>
      <c r="K3374" s="15" t="str">
        <f t="shared" ca="1" si="928"/>
        <v>'0'!B37</v>
      </c>
    </row>
    <row r="3375" spans="1:16" x14ac:dyDescent="0.25">
      <c r="A3375" s="3" t="str">
        <f t="shared" ca="1" si="935"/>
        <v/>
      </c>
      <c r="G3375" s="15">
        <f t="shared" ca="1" si="921"/>
        <v>38</v>
      </c>
      <c r="H3375" s="15">
        <v>1</v>
      </c>
      <c r="I3375" s="15">
        <f t="shared" ca="1" si="922"/>
        <v>0</v>
      </c>
      <c r="J3375" s="15" t="str">
        <f t="shared" ca="1" si="927"/>
        <v>'0'!A38</v>
      </c>
      <c r="K3375" s="15" t="str">
        <f t="shared" ca="1" si="928"/>
        <v>'0'!B38</v>
      </c>
    </row>
    <row r="3376" spans="1:16" x14ac:dyDescent="0.25">
      <c r="A3376" s="3" t="str">
        <f t="shared" ca="1" si="935"/>
        <v/>
      </c>
      <c r="G3376" s="15">
        <f t="shared" ca="1" si="921"/>
        <v>39</v>
      </c>
      <c r="H3376" s="15">
        <v>1</v>
      </c>
      <c r="I3376" s="15">
        <f t="shared" ca="1" si="922"/>
        <v>0</v>
      </c>
      <c r="J3376" s="15" t="str">
        <f t="shared" ca="1" si="927"/>
        <v>'0'!A39</v>
      </c>
      <c r="K3376" s="15" t="str">
        <f t="shared" ca="1" si="928"/>
        <v>'0'!B39</v>
      </c>
    </row>
    <row r="3377" spans="1:16" x14ac:dyDescent="0.25">
      <c r="A3377" s="3" t="str">
        <f t="shared" ca="1" si="935"/>
        <v/>
      </c>
      <c r="G3377" s="15">
        <f t="shared" ca="1" si="921"/>
        <v>40</v>
      </c>
      <c r="H3377" s="15">
        <v>1</v>
      </c>
      <c r="I3377" s="15">
        <f t="shared" ca="1" si="922"/>
        <v>0</v>
      </c>
      <c r="J3377" s="15" t="str">
        <f t="shared" ca="1" si="927"/>
        <v>'0'!A40</v>
      </c>
      <c r="K3377" s="15" t="str">
        <f t="shared" ca="1" si="928"/>
        <v>'0'!B40</v>
      </c>
    </row>
    <row r="3378" spans="1:16" x14ac:dyDescent="0.25">
      <c r="A3378" s="3" t="str">
        <f t="shared" ca="1" si="935"/>
        <v/>
      </c>
      <c r="G3378" s="15">
        <f t="shared" ca="1" si="921"/>
        <v>41</v>
      </c>
      <c r="H3378" s="15">
        <v>1</v>
      </c>
      <c r="I3378" s="15">
        <f t="shared" ca="1" si="922"/>
        <v>0</v>
      </c>
      <c r="J3378" s="15" t="str">
        <f t="shared" ca="1" si="927"/>
        <v>'0'!A41</v>
      </c>
      <c r="K3378" s="15" t="str">
        <f t="shared" ca="1" si="928"/>
        <v>'0'!B41</v>
      </c>
    </row>
    <row r="3379" spans="1:16" x14ac:dyDescent="0.25">
      <c r="A3379" s="3" t="str">
        <f t="shared" ca="1" si="935"/>
        <v/>
      </c>
      <c r="C3379" s="16"/>
      <c r="G3379" s="15">
        <f t="shared" ca="1" si="921"/>
        <v>42</v>
      </c>
      <c r="H3379" s="15">
        <v>1</v>
      </c>
      <c r="I3379" s="15">
        <f t="shared" ca="1" si="922"/>
        <v>0</v>
      </c>
      <c r="J3379" s="15" t="str">
        <f t="shared" ca="1" si="927"/>
        <v>'0'!A42</v>
      </c>
      <c r="K3379" s="15" t="str">
        <f t="shared" ca="1" si="928"/>
        <v>'0'!B42</v>
      </c>
    </row>
    <row r="3380" spans="1:16" x14ac:dyDescent="0.25">
      <c r="A3380" s="3" t="str">
        <f t="shared" ca="1" si="935"/>
        <v/>
      </c>
      <c r="G3380" s="15">
        <f t="shared" ca="1" si="921"/>
        <v>43</v>
      </c>
      <c r="H3380" s="15">
        <v>1</v>
      </c>
      <c r="I3380" s="15">
        <f t="shared" ca="1" si="922"/>
        <v>0</v>
      </c>
      <c r="J3380" s="15" t="str">
        <f t="shared" ca="1" si="927"/>
        <v>'0'!A43</v>
      </c>
      <c r="K3380" s="15" t="str">
        <f t="shared" ca="1" si="928"/>
        <v>'0'!B43</v>
      </c>
    </row>
    <row r="3381" spans="1:16" x14ac:dyDescent="0.25">
      <c r="A3381" s="3" t="str">
        <f t="shared" ca="1" si="935"/>
        <v/>
      </c>
      <c r="G3381" s="15">
        <f t="shared" ca="1" si="921"/>
        <v>44</v>
      </c>
      <c r="H3381" s="15">
        <v>1</v>
      </c>
      <c r="I3381" s="15">
        <f t="shared" ca="1" si="922"/>
        <v>0</v>
      </c>
      <c r="J3381" s="15" t="str">
        <f t="shared" ca="1" si="927"/>
        <v>'0'!A44</v>
      </c>
      <c r="K3381" s="15" t="str">
        <f t="shared" ca="1" si="928"/>
        <v>'0'!B44</v>
      </c>
    </row>
    <row r="3382" spans="1:16" x14ac:dyDescent="0.25">
      <c r="A3382" s="3" t="str">
        <f t="shared" ca="1" si="935"/>
        <v/>
      </c>
      <c r="G3382" s="15">
        <f t="shared" ca="1" si="921"/>
        <v>45</v>
      </c>
      <c r="H3382" s="15">
        <v>1</v>
      </c>
      <c r="I3382" s="15">
        <f t="shared" ca="1" si="922"/>
        <v>0</v>
      </c>
      <c r="J3382" s="15" t="str">
        <f t="shared" ca="1" si="927"/>
        <v>'0'!A45</v>
      </c>
      <c r="K3382" s="15" t="str">
        <f t="shared" ca="1" si="928"/>
        <v>'0'!B45</v>
      </c>
    </row>
    <row r="3383" spans="1:16" x14ac:dyDescent="0.25">
      <c r="A3383" s="3" t="str">
        <f t="shared" ca="1" si="935"/>
        <v/>
      </c>
      <c r="G3383" s="15">
        <f t="shared" ca="1" si="921"/>
        <v>46</v>
      </c>
      <c r="H3383" s="15">
        <v>1</v>
      </c>
      <c r="I3383" s="15">
        <f t="shared" ca="1" si="922"/>
        <v>0</v>
      </c>
      <c r="J3383" s="15" t="str">
        <f t="shared" ca="1" si="927"/>
        <v>'0'!A46</v>
      </c>
      <c r="K3383" s="15" t="str">
        <f t="shared" ca="1" si="928"/>
        <v>'0'!B46</v>
      </c>
    </row>
    <row r="3384" spans="1:16" x14ac:dyDescent="0.25">
      <c r="A3384" s="3" t="str">
        <f t="shared" ca="1" si="935"/>
        <v/>
      </c>
      <c r="G3384" s="15">
        <f t="shared" ca="1" si="921"/>
        <v>47</v>
      </c>
      <c r="H3384" s="15">
        <v>1</v>
      </c>
      <c r="I3384" s="15">
        <f t="shared" ca="1" si="922"/>
        <v>0</v>
      </c>
      <c r="J3384" s="15" t="str">
        <f t="shared" ca="1" si="927"/>
        <v>'0'!A47</v>
      </c>
      <c r="K3384" s="15" t="str">
        <f t="shared" ca="1" si="928"/>
        <v>'0'!B47</v>
      </c>
    </row>
    <row r="3385" spans="1:16" x14ac:dyDescent="0.25">
      <c r="A3385" s="3" t="str">
        <f t="shared" ca="1" si="935"/>
        <v/>
      </c>
      <c r="G3385" s="15">
        <f t="shared" ca="1" si="921"/>
        <v>48</v>
      </c>
      <c r="H3385" s="15">
        <v>1</v>
      </c>
      <c r="I3385" s="15">
        <f t="shared" ca="1" si="922"/>
        <v>0</v>
      </c>
      <c r="J3385" s="15" t="str">
        <f t="shared" ca="1" si="927"/>
        <v>'0'!A48</v>
      </c>
      <c r="K3385" s="15" t="str">
        <f t="shared" ca="1" si="928"/>
        <v>'0'!B48</v>
      </c>
    </row>
    <row r="3386" spans="1:16" x14ac:dyDescent="0.25">
      <c r="A3386" s="3" t="str">
        <f t="shared" ca="1" si="935"/>
        <v/>
      </c>
      <c r="G3386" s="15">
        <f t="shared" ca="1" si="921"/>
        <v>49</v>
      </c>
      <c r="H3386" s="15">
        <v>1</v>
      </c>
      <c r="I3386" s="15">
        <f t="shared" ca="1" si="922"/>
        <v>0</v>
      </c>
      <c r="J3386" s="15" t="str">
        <f t="shared" ca="1" si="927"/>
        <v>'0'!A49</v>
      </c>
      <c r="K3386" s="15" t="str">
        <f t="shared" ca="1" si="928"/>
        <v>'0'!B49</v>
      </c>
    </row>
    <row r="3387" spans="1:16" x14ac:dyDescent="0.25">
      <c r="A3387" s="3" t="str">
        <f t="shared" ca="1" si="935"/>
        <v/>
      </c>
      <c r="G3387" s="15">
        <f t="shared" ca="1" si="921"/>
        <v>50</v>
      </c>
      <c r="H3387" s="15">
        <v>1</v>
      </c>
      <c r="I3387" s="15">
        <f t="shared" ca="1" si="922"/>
        <v>0</v>
      </c>
      <c r="J3387" s="15" t="str">
        <f t="shared" ca="1" si="927"/>
        <v>'0'!A50</v>
      </c>
      <c r="K3387" s="15" t="str">
        <f t="shared" ca="1" si="928"/>
        <v>'0'!B50</v>
      </c>
    </row>
    <row r="3388" spans="1:16" x14ac:dyDescent="0.25">
      <c r="A3388" s="3" t="str">
        <f t="shared" ca="1" si="935"/>
        <v/>
      </c>
      <c r="G3388" s="15">
        <f t="shared" ref="G3388" ca="1" si="936">INDIRECT(M3388)</f>
        <v>31</v>
      </c>
      <c r="H3388" s="15">
        <v>1</v>
      </c>
      <c r="I3388" s="15">
        <f t="shared" ref="I3388" ca="1" si="937">INDIRECT(N3388)</f>
        <v>0</v>
      </c>
      <c r="J3388" s="15" t="str">
        <f t="shared" ca="1" si="927"/>
        <v>'0'!A31</v>
      </c>
      <c r="K3388" s="15" t="str">
        <f t="shared" ca="1" si="928"/>
        <v>'0'!B31</v>
      </c>
      <c r="M3388" s="15" t="str">
        <f t="shared" ref="M3388" si="938">ADDRESS(O3388,3,4,1,$R$1)</f>
        <v>konfig!C171</v>
      </c>
      <c r="N3388" s="15" t="str">
        <f t="shared" ref="N3388" si="939">ADDRESS(O3388,1,4,1,$R$1)</f>
        <v>konfig!A171</v>
      </c>
      <c r="O3388" s="15">
        <v>171</v>
      </c>
      <c r="P3388" s="15">
        <v>4</v>
      </c>
    </row>
    <row r="3389" spans="1:16" x14ac:dyDescent="0.25">
      <c r="A3389" s="3" t="str">
        <f t="shared" ca="1" si="935"/>
        <v/>
      </c>
      <c r="G3389" s="15">
        <f t="shared" ref="G3389:G3429" ca="1" si="940">G3388+1</f>
        <v>32</v>
      </c>
      <c r="H3389" s="15">
        <v>1</v>
      </c>
      <c r="I3389" s="15">
        <f t="shared" ref="I3389:I3429" ca="1" si="941">I3388</f>
        <v>0</v>
      </c>
      <c r="J3389" s="15" t="str">
        <f t="shared" ca="1" si="927"/>
        <v>'0'!A32</v>
      </c>
      <c r="K3389" s="15" t="str">
        <f t="shared" ca="1" si="928"/>
        <v>'0'!B32</v>
      </c>
    </row>
    <row r="3390" spans="1:16" x14ac:dyDescent="0.25">
      <c r="A3390" s="3" t="str">
        <f t="shared" ca="1" si="935"/>
        <v/>
      </c>
      <c r="G3390" s="15">
        <f t="shared" ca="1" si="921"/>
        <v>33</v>
      </c>
      <c r="H3390" s="15">
        <v>1</v>
      </c>
      <c r="I3390" s="15">
        <f t="shared" ca="1" si="922"/>
        <v>0</v>
      </c>
      <c r="J3390" s="15" t="str">
        <f t="shared" ca="1" si="927"/>
        <v>'0'!A33</v>
      </c>
      <c r="K3390" s="15" t="str">
        <f t="shared" ca="1" si="928"/>
        <v>'0'!B33</v>
      </c>
    </row>
    <row r="3391" spans="1:16" x14ac:dyDescent="0.25">
      <c r="A3391" s="3" t="str">
        <f t="shared" ca="1" si="935"/>
        <v/>
      </c>
      <c r="C3391" s="16"/>
      <c r="G3391" s="15">
        <f t="shared" ca="1" si="921"/>
        <v>34</v>
      </c>
      <c r="H3391" s="15">
        <v>1</v>
      </c>
      <c r="I3391" s="15">
        <f t="shared" ca="1" si="922"/>
        <v>0</v>
      </c>
      <c r="J3391" s="15" t="str">
        <f t="shared" ca="1" si="927"/>
        <v>'0'!A34</v>
      </c>
      <c r="K3391" s="15" t="str">
        <f t="shared" ca="1" si="928"/>
        <v>'0'!B34</v>
      </c>
    </row>
    <row r="3392" spans="1:16" x14ac:dyDescent="0.25">
      <c r="A3392" s="3" t="str">
        <f t="shared" ca="1" si="935"/>
        <v/>
      </c>
      <c r="G3392" s="15">
        <f t="shared" ca="1" si="921"/>
        <v>35</v>
      </c>
      <c r="H3392" s="15">
        <v>1</v>
      </c>
      <c r="I3392" s="15">
        <f t="shared" ca="1" si="922"/>
        <v>0</v>
      </c>
      <c r="J3392" s="15" t="str">
        <f t="shared" ca="1" si="927"/>
        <v>'0'!A35</v>
      </c>
      <c r="K3392" s="15" t="str">
        <f t="shared" ca="1" si="928"/>
        <v>'0'!B35</v>
      </c>
    </row>
    <row r="3393" spans="1:16" x14ac:dyDescent="0.25">
      <c r="A3393" s="3" t="str">
        <f t="shared" ca="1" si="935"/>
        <v/>
      </c>
      <c r="G3393" s="15">
        <f t="shared" ca="1" si="921"/>
        <v>36</v>
      </c>
      <c r="H3393" s="15">
        <v>1</v>
      </c>
      <c r="I3393" s="15">
        <f t="shared" ca="1" si="922"/>
        <v>0</v>
      </c>
      <c r="J3393" s="15" t="str">
        <f t="shared" ca="1" si="927"/>
        <v>'0'!A36</v>
      </c>
      <c r="K3393" s="15" t="str">
        <f t="shared" ca="1" si="928"/>
        <v>'0'!B36</v>
      </c>
    </row>
    <row r="3394" spans="1:16" x14ac:dyDescent="0.25">
      <c r="A3394" s="3" t="str">
        <f t="shared" ca="1" si="935"/>
        <v/>
      </c>
      <c r="G3394" s="15">
        <f t="shared" ca="1" si="921"/>
        <v>37</v>
      </c>
      <c r="H3394" s="15">
        <v>1</v>
      </c>
      <c r="I3394" s="15">
        <f t="shared" ca="1" si="922"/>
        <v>0</v>
      </c>
      <c r="J3394" s="15" t="str">
        <f t="shared" ca="1" si="927"/>
        <v>'0'!A37</v>
      </c>
      <c r="K3394" s="15" t="str">
        <f t="shared" ca="1" si="928"/>
        <v>'0'!B37</v>
      </c>
    </row>
    <row r="3395" spans="1:16" x14ac:dyDescent="0.25">
      <c r="A3395" s="3" t="str">
        <f t="shared" ca="1" si="935"/>
        <v/>
      </c>
      <c r="G3395" s="15">
        <f t="shared" ca="1" si="921"/>
        <v>38</v>
      </c>
      <c r="H3395" s="15">
        <v>1</v>
      </c>
      <c r="I3395" s="15">
        <f t="shared" ca="1" si="922"/>
        <v>0</v>
      </c>
      <c r="J3395" s="15" t="str">
        <f t="shared" ca="1" si="927"/>
        <v>'0'!A38</v>
      </c>
      <c r="K3395" s="15" t="str">
        <f t="shared" ca="1" si="928"/>
        <v>'0'!B38</v>
      </c>
    </row>
    <row r="3396" spans="1:16" x14ac:dyDescent="0.25">
      <c r="A3396" s="3" t="str">
        <f t="shared" ca="1" si="935"/>
        <v/>
      </c>
      <c r="G3396" s="15">
        <f t="shared" ca="1" si="921"/>
        <v>39</v>
      </c>
      <c r="H3396" s="15">
        <v>1</v>
      </c>
      <c r="I3396" s="15">
        <f t="shared" ca="1" si="922"/>
        <v>0</v>
      </c>
      <c r="J3396" s="15" t="str">
        <f t="shared" ca="1" si="927"/>
        <v>'0'!A39</v>
      </c>
      <c r="K3396" s="15" t="str">
        <f t="shared" ca="1" si="928"/>
        <v>'0'!B39</v>
      </c>
    </row>
    <row r="3397" spans="1:16" x14ac:dyDescent="0.25">
      <c r="A3397" s="3" t="str">
        <f t="shared" ca="1" si="935"/>
        <v/>
      </c>
      <c r="G3397" s="15">
        <f t="shared" ca="1" si="921"/>
        <v>40</v>
      </c>
      <c r="H3397" s="15">
        <v>1</v>
      </c>
      <c r="I3397" s="15">
        <f t="shared" ca="1" si="922"/>
        <v>0</v>
      </c>
      <c r="J3397" s="15" t="str">
        <f t="shared" ca="1" si="927"/>
        <v>'0'!A40</v>
      </c>
      <c r="K3397" s="15" t="str">
        <f t="shared" ca="1" si="928"/>
        <v>'0'!B40</v>
      </c>
    </row>
    <row r="3398" spans="1:16" x14ac:dyDescent="0.25">
      <c r="A3398" s="3" t="str">
        <f t="shared" ca="1" si="935"/>
        <v/>
      </c>
      <c r="G3398" s="15">
        <f t="shared" ca="1" si="921"/>
        <v>41</v>
      </c>
      <c r="H3398" s="15">
        <v>1</v>
      </c>
      <c r="I3398" s="15">
        <f t="shared" ca="1" si="922"/>
        <v>0</v>
      </c>
      <c r="J3398" s="15" t="str">
        <f t="shared" ca="1" si="927"/>
        <v>'0'!A41</v>
      </c>
      <c r="K3398" s="15" t="str">
        <f t="shared" ca="1" si="928"/>
        <v>'0'!B41</v>
      </c>
    </row>
    <row r="3399" spans="1:16" x14ac:dyDescent="0.25">
      <c r="A3399" s="3" t="str">
        <f t="shared" ca="1" si="935"/>
        <v/>
      </c>
      <c r="C3399" s="16"/>
      <c r="G3399" s="15">
        <f t="shared" ca="1" si="921"/>
        <v>42</v>
      </c>
      <c r="H3399" s="15">
        <v>1</v>
      </c>
      <c r="I3399" s="15">
        <f t="shared" ca="1" si="922"/>
        <v>0</v>
      </c>
      <c r="J3399" s="15" t="str">
        <f t="shared" ca="1" si="927"/>
        <v>'0'!A42</v>
      </c>
      <c r="K3399" s="15" t="str">
        <f t="shared" ca="1" si="928"/>
        <v>'0'!B42</v>
      </c>
    </row>
    <row r="3400" spans="1:16" x14ac:dyDescent="0.25">
      <c r="A3400" s="3" t="str">
        <f t="shared" ca="1" si="935"/>
        <v/>
      </c>
      <c r="G3400" s="15">
        <f t="shared" ca="1" si="921"/>
        <v>43</v>
      </c>
      <c r="H3400" s="15">
        <v>1</v>
      </c>
      <c r="I3400" s="15">
        <f t="shared" ca="1" si="922"/>
        <v>0</v>
      </c>
      <c r="J3400" s="15" t="str">
        <f t="shared" ca="1" si="927"/>
        <v>'0'!A43</v>
      </c>
      <c r="K3400" s="15" t="str">
        <f t="shared" ca="1" si="928"/>
        <v>'0'!B43</v>
      </c>
    </row>
    <row r="3401" spans="1:16" x14ac:dyDescent="0.25">
      <c r="A3401" s="3" t="str">
        <f t="shared" ca="1" si="935"/>
        <v/>
      </c>
      <c r="G3401" s="15">
        <f t="shared" ref="G3401:G3464" ca="1" si="942">G3400+1</f>
        <v>44</v>
      </c>
      <c r="H3401" s="15">
        <v>1</v>
      </c>
      <c r="I3401" s="15">
        <f t="shared" ref="I3401:I3464" ca="1" si="943">I3400</f>
        <v>0</v>
      </c>
      <c r="J3401" s="15" t="str">
        <f t="shared" ca="1" si="927"/>
        <v>'0'!A44</v>
      </c>
      <c r="K3401" s="15" t="str">
        <f t="shared" ca="1" si="928"/>
        <v>'0'!B44</v>
      </c>
    </row>
    <row r="3402" spans="1:16" x14ac:dyDescent="0.25">
      <c r="A3402" s="3" t="str">
        <f t="shared" ca="1" si="935"/>
        <v/>
      </c>
      <c r="G3402" s="15">
        <f t="shared" ca="1" si="942"/>
        <v>45</v>
      </c>
      <c r="H3402" s="15">
        <v>1</v>
      </c>
      <c r="I3402" s="15">
        <f t="shared" ca="1" si="943"/>
        <v>0</v>
      </c>
      <c r="J3402" s="15" t="str">
        <f t="shared" ca="1" si="927"/>
        <v>'0'!A45</v>
      </c>
      <c r="K3402" s="15" t="str">
        <f t="shared" ca="1" si="928"/>
        <v>'0'!B45</v>
      </c>
    </row>
    <row r="3403" spans="1:16" x14ac:dyDescent="0.25">
      <c r="A3403" s="3" t="str">
        <f t="shared" ca="1" si="935"/>
        <v/>
      </c>
      <c r="G3403" s="15">
        <f t="shared" ca="1" si="942"/>
        <v>46</v>
      </c>
      <c r="H3403" s="15">
        <v>1</v>
      </c>
      <c r="I3403" s="15">
        <f t="shared" ca="1" si="943"/>
        <v>0</v>
      </c>
      <c r="J3403" s="15" t="str">
        <f t="shared" ca="1" si="927"/>
        <v>'0'!A46</v>
      </c>
      <c r="K3403" s="15" t="str">
        <f t="shared" ca="1" si="928"/>
        <v>'0'!B46</v>
      </c>
    </row>
    <row r="3404" spans="1:16" x14ac:dyDescent="0.25">
      <c r="A3404" s="3" t="str">
        <f t="shared" ca="1" si="935"/>
        <v/>
      </c>
      <c r="G3404" s="15">
        <f t="shared" ca="1" si="942"/>
        <v>47</v>
      </c>
      <c r="H3404" s="15">
        <v>1</v>
      </c>
      <c r="I3404" s="15">
        <f t="shared" ca="1" si="943"/>
        <v>0</v>
      </c>
      <c r="J3404" s="15" t="str">
        <f t="shared" ca="1" si="927"/>
        <v>'0'!A47</v>
      </c>
      <c r="K3404" s="15" t="str">
        <f t="shared" ca="1" si="928"/>
        <v>'0'!B47</v>
      </c>
    </row>
    <row r="3405" spans="1:16" x14ac:dyDescent="0.25">
      <c r="A3405" s="3" t="str">
        <f t="shared" ca="1" si="935"/>
        <v/>
      </c>
      <c r="G3405" s="15">
        <f t="shared" ca="1" si="942"/>
        <v>48</v>
      </c>
      <c r="H3405" s="15">
        <v>1</v>
      </c>
      <c r="I3405" s="15">
        <f t="shared" ca="1" si="943"/>
        <v>0</v>
      </c>
      <c r="J3405" s="15" t="str">
        <f t="shared" ca="1" si="927"/>
        <v>'0'!A48</v>
      </c>
      <c r="K3405" s="15" t="str">
        <f t="shared" ca="1" si="928"/>
        <v>'0'!B48</v>
      </c>
    </row>
    <row r="3406" spans="1:16" x14ac:dyDescent="0.25">
      <c r="A3406" s="3" t="str">
        <f t="shared" ca="1" si="935"/>
        <v/>
      </c>
      <c r="G3406" s="15">
        <f t="shared" ca="1" si="942"/>
        <v>49</v>
      </c>
      <c r="H3406" s="15">
        <v>1</v>
      </c>
      <c r="I3406" s="15">
        <f t="shared" ca="1" si="943"/>
        <v>0</v>
      </c>
      <c r="J3406" s="15" t="str">
        <f t="shared" ca="1" si="927"/>
        <v>'0'!A49</v>
      </c>
      <c r="K3406" s="15" t="str">
        <f t="shared" ca="1" si="928"/>
        <v>'0'!B49</v>
      </c>
    </row>
    <row r="3407" spans="1:16" x14ac:dyDescent="0.25">
      <c r="A3407" s="3" t="str">
        <f t="shared" ca="1" si="935"/>
        <v/>
      </c>
      <c r="G3407" s="15">
        <f t="shared" ca="1" si="942"/>
        <v>50</v>
      </c>
      <c r="H3407" s="15">
        <v>1</v>
      </c>
      <c r="I3407" s="15">
        <f t="shared" ca="1" si="943"/>
        <v>0</v>
      </c>
      <c r="J3407" s="15" t="str">
        <f t="shared" ca="1" si="927"/>
        <v>'0'!A50</v>
      </c>
      <c r="K3407" s="15" t="str">
        <f t="shared" ca="1" si="928"/>
        <v>'0'!B50</v>
      </c>
    </row>
    <row r="3408" spans="1:16" x14ac:dyDescent="0.25">
      <c r="A3408" s="3" t="str">
        <f t="shared" ca="1" si="935"/>
        <v/>
      </c>
      <c r="G3408" s="15">
        <f t="shared" ref="G3408" ca="1" si="944">INDIRECT(M3408)</f>
        <v>31</v>
      </c>
      <c r="H3408" s="15">
        <v>1</v>
      </c>
      <c r="I3408" s="15">
        <f t="shared" ref="I3408" ca="1" si="945">INDIRECT(N3408)</f>
        <v>0</v>
      </c>
      <c r="J3408" s="15" t="str">
        <f t="shared" ca="1" si="927"/>
        <v>'0'!A31</v>
      </c>
      <c r="K3408" s="15" t="str">
        <f t="shared" ca="1" si="928"/>
        <v>'0'!B31</v>
      </c>
      <c r="M3408" s="15" t="str">
        <f t="shared" ref="M3408" si="946">ADDRESS(O3408,3,4,1,$R$1)</f>
        <v>konfig!C172</v>
      </c>
      <c r="N3408" s="15" t="str">
        <f t="shared" ref="N3408" si="947">ADDRESS(O3408,1,4,1,$R$1)</f>
        <v>konfig!A172</v>
      </c>
      <c r="O3408" s="15">
        <v>172</v>
      </c>
      <c r="P3408" s="15">
        <v>4</v>
      </c>
    </row>
    <row r="3409" spans="1:11" x14ac:dyDescent="0.25">
      <c r="A3409" s="3" t="str">
        <f t="shared" ca="1" si="935"/>
        <v/>
      </c>
      <c r="G3409" s="15">
        <f t="shared" ca="1" si="933"/>
        <v>32</v>
      </c>
      <c r="H3409" s="15">
        <v>1</v>
      </c>
      <c r="I3409" s="15">
        <f t="shared" ca="1" si="934"/>
        <v>0</v>
      </c>
      <c r="J3409" s="15" t="str">
        <f t="shared" ca="1" si="927"/>
        <v>'0'!A32</v>
      </c>
      <c r="K3409" s="15" t="str">
        <f t="shared" ca="1" si="928"/>
        <v>'0'!B32</v>
      </c>
    </row>
    <row r="3410" spans="1:11" x14ac:dyDescent="0.25">
      <c r="A3410" s="3" t="str">
        <f t="shared" ca="1" si="935"/>
        <v/>
      </c>
      <c r="G3410" s="15">
        <f t="shared" ca="1" si="933"/>
        <v>33</v>
      </c>
      <c r="H3410" s="15">
        <v>1</v>
      </c>
      <c r="I3410" s="15">
        <f t="shared" ca="1" si="934"/>
        <v>0</v>
      </c>
      <c r="J3410" s="15" t="str">
        <f t="shared" ca="1" si="927"/>
        <v>'0'!A33</v>
      </c>
      <c r="K3410" s="15" t="str">
        <f t="shared" ca="1" si="928"/>
        <v>'0'!B33</v>
      </c>
    </row>
    <row r="3411" spans="1:11" x14ac:dyDescent="0.25">
      <c r="A3411" s="3" t="str">
        <f t="shared" ca="1" si="935"/>
        <v/>
      </c>
      <c r="C3411" s="16"/>
      <c r="G3411" s="15">
        <f t="shared" ca="1" si="933"/>
        <v>34</v>
      </c>
      <c r="H3411" s="15">
        <v>1</v>
      </c>
      <c r="I3411" s="15">
        <f t="shared" ca="1" si="934"/>
        <v>0</v>
      </c>
      <c r="J3411" s="15" t="str">
        <f t="shared" ca="1" si="927"/>
        <v>'0'!A34</v>
      </c>
      <c r="K3411" s="15" t="str">
        <f t="shared" ca="1" si="928"/>
        <v>'0'!B34</v>
      </c>
    </row>
    <row r="3412" spans="1:11" x14ac:dyDescent="0.25">
      <c r="A3412" s="3" t="str">
        <f t="shared" ca="1" si="935"/>
        <v/>
      </c>
      <c r="G3412" s="15">
        <f t="shared" ca="1" si="933"/>
        <v>35</v>
      </c>
      <c r="H3412" s="15">
        <v>1</v>
      </c>
      <c r="I3412" s="15">
        <f t="shared" ca="1" si="934"/>
        <v>0</v>
      </c>
      <c r="J3412" s="15" t="str">
        <f t="shared" ca="1" si="927"/>
        <v>'0'!A35</v>
      </c>
      <c r="K3412" s="15" t="str">
        <f t="shared" ca="1" si="928"/>
        <v>'0'!B35</v>
      </c>
    </row>
    <row r="3413" spans="1:11" x14ac:dyDescent="0.25">
      <c r="A3413" s="3" t="str">
        <f t="shared" ca="1" si="935"/>
        <v/>
      </c>
      <c r="G3413" s="15">
        <f t="shared" ca="1" si="942"/>
        <v>36</v>
      </c>
      <c r="H3413" s="15">
        <v>1</v>
      </c>
      <c r="I3413" s="15">
        <f t="shared" ca="1" si="943"/>
        <v>0</v>
      </c>
      <c r="J3413" s="15" t="str">
        <f t="shared" ca="1" si="927"/>
        <v>'0'!A36</v>
      </c>
      <c r="K3413" s="15" t="str">
        <f t="shared" ca="1" si="928"/>
        <v>'0'!B36</v>
      </c>
    </row>
    <row r="3414" spans="1:11" x14ac:dyDescent="0.25">
      <c r="A3414" s="3" t="str">
        <f t="shared" ca="1" si="935"/>
        <v/>
      </c>
      <c r="G3414" s="15">
        <f t="shared" ca="1" si="942"/>
        <v>37</v>
      </c>
      <c r="H3414" s="15">
        <v>1</v>
      </c>
      <c r="I3414" s="15">
        <f t="shared" ca="1" si="943"/>
        <v>0</v>
      </c>
      <c r="J3414" s="15" t="str">
        <f t="shared" ca="1" si="927"/>
        <v>'0'!A37</v>
      </c>
      <c r="K3414" s="15" t="str">
        <f t="shared" ca="1" si="928"/>
        <v>'0'!B37</v>
      </c>
    </row>
    <row r="3415" spans="1:11" x14ac:dyDescent="0.25">
      <c r="A3415" s="3" t="str">
        <f t="shared" ca="1" si="935"/>
        <v/>
      </c>
      <c r="G3415" s="15">
        <f t="shared" ca="1" si="942"/>
        <v>38</v>
      </c>
      <c r="H3415" s="15">
        <v>1</v>
      </c>
      <c r="I3415" s="15">
        <f t="shared" ca="1" si="943"/>
        <v>0</v>
      </c>
      <c r="J3415" s="15" t="str">
        <f t="shared" ca="1" si="927"/>
        <v>'0'!A38</v>
      </c>
      <c r="K3415" s="15" t="str">
        <f t="shared" ca="1" si="928"/>
        <v>'0'!B38</v>
      </c>
    </row>
    <row r="3416" spans="1:11" x14ac:dyDescent="0.25">
      <c r="A3416" s="3" t="str">
        <f t="shared" ca="1" si="935"/>
        <v/>
      </c>
      <c r="G3416" s="15">
        <f t="shared" ca="1" si="942"/>
        <v>39</v>
      </c>
      <c r="H3416" s="15">
        <v>1</v>
      </c>
      <c r="I3416" s="15">
        <f t="shared" ca="1" si="943"/>
        <v>0</v>
      </c>
      <c r="J3416" s="15" t="str">
        <f t="shared" ca="1" si="927"/>
        <v>'0'!A39</v>
      </c>
      <c r="K3416" s="15" t="str">
        <f t="shared" ca="1" si="928"/>
        <v>'0'!B39</v>
      </c>
    </row>
    <row r="3417" spans="1:11" x14ac:dyDescent="0.25">
      <c r="A3417" s="3" t="str">
        <f t="shared" ca="1" si="935"/>
        <v/>
      </c>
      <c r="G3417" s="15">
        <f t="shared" ca="1" si="942"/>
        <v>40</v>
      </c>
      <c r="H3417" s="15">
        <v>1</v>
      </c>
      <c r="I3417" s="15">
        <f t="shared" ca="1" si="943"/>
        <v>0</v>
      </c>
      <c r="J3417" s="15" t="str">
        <f t="shared" ca="1" si="927"/>
        <v>'0'!A40</v>
      </c>
      <c r="K3417" s="15" t="str">
        <f t="shared" ca="1" si="928"/>
        <v>'0'!B40</v>
      </c>
    </row>
    <row r="3418" spans="1:11" x14ac:dyDescent="0.25">
      <c r="A3418" s="3" t="str">
        <f t="shared" ca="1" si="935"/>
        <v/>
      </c>
      <c r="G3418" s="15">
        <f t="shared" ca="1" si="942"/>
        <v>41</v>
      </c>
      <c r="H3418" s="15">
        <v>1</v>
      </c>
      <c r="I3418" s="15">
        <f t="shared" ca="1" si="943"/>
        <v>0</v>
      </c>
      <c r="J3418" s="15" t="str">
        <f t="shared" ca="1" si="927"/>
        <v>'0'!A41</v>
      </c>
      <c r="K3418" s="15" t="str">
        <f t="shared" ca="1" si="928"/>
        <v>'0'!B41</v>
      </c>
    </row>
    <row r="3419" spans="1:11" x14ac:dyDescent="0.25">
      <c r="A3419" s="3" t="str">
        <f t="shared" ca="1" si="935"/>
        <v/>
      </c>
      <c r="C3419" s="16"/>
      <c r="G3419" s="15">
        <f t="shared" ca="1" si="942"/>
        <v>42</v>
      </c>
      <c r="H3419" s="15">
        <v>1</v>
      </c>
      <c r="I3419" s="15">
        <f t="shared" ca="1" si="943"/>
        <v>0</v>
      </c>
      <c r="J3419" s="15" t="str">
        <f t="shared" ca="1" si="927"/>
        <v>'0'!A42</v>
      </c>
      <c r="K3419" s="15" t="str">
        <f t="shared" ca="1" si="928"/>
        <v>'0'!B42</v>
      </c>
    </row>
    <row r="3420" spans="1:11" x14ac:dyDescent="0.25">
      <c r="A3420" s="3" t="str">
        <f t="shared" ca="1" si="935"/>
        <v/>
      </c>
      <c r="G3420" s="15">
        <f t="shared" ca="1" si="942"/>
        <v>43</v>
      </c>
      <c r="H3420" s="15">
        <v>1</v>
      </c>
      <c r="I3420" s="15">
        <f t="shared" ca="1" si="943"/>
        <v>0</v>
      </c>
      <c r="J3420" s="15" t="str">
        <f t="shared" ca="1" si="927"/>
        <v>'0'!A43</v>
      </c>
      <c r="K3420" s="15" t="str">
        <f t="shared" ca="1" si="928"/>
        <v>'0'!B43</v>
      </c>
    </row>
    <row r="3421" spans="1:11" x14ac:dyDescent="0.25">
      <c r="A3421" s="3" t="str">
        <f t="shared" ca="1" si="935"/>
        <v/>
      </c>
      <c r="G3421" s="15">
        <f t="shared" ca="1" si="942"/>
        <v>44</v>
      </c>
      <c r="H3421" s="15">
        <v>1</v>
      </c>
      <c r="I3421" s="15">
        <f t="shared" ca="1" si="943"/>
        <v>0</v>
      </c>
      <c r="J3421" s="15" t="str">
        <f t="shared" ca="1" si="927"/>
        <v>'0'!A44</v>
      </c>
      <c r="K3421" s="15" t="str">
        <f t="shared" ca="1" si="928"/>
        <v>'0'!B44</v>
      </c>
    </row>
    <row r="3422" spans="1:11" x14ac:dyDescent="0.25">
      <c r="A3422" s="3" t="str">
        <f t="shared" ca="1" si="935"/>
        <v/>
      </c>
      <c r="G3422" s="15">
        <f t="shared" ca="1" si="942"/>
        <v>45</v>
      </c>
      <c r="H3422" s="15">
        <v>1</v>
      </c>
      <c r="I3422" s="15">
        <f t="shared" ca="1" si="943"/>
        <v>0</v>
      </c>
      <c r="J3422" s="15" t="str">
        <f t="shared" ca="1" si="927"/>
        <v>'0'!A45</v>
      </c>
      <c r="K3422" s="15" t="str">
        <f t="shared" ca="1" si="928"/>
        <v>'0'!B45</v>
      </c>
    </row>
    <row r="3423" spans="1:11" x14ac:dyDescent="0.25">
      <c r="A3423" s="3" t="str">
        <f t="shared" ca="1" si="935"/>
        <v/>
      </c>
      <c r="G3423" s="15">
        <f t="shared" ca="1" si="942"/>
        <v>46</v>
      </c>
      <c r="H3423" s="15">
        <v>1</v>
      </c>
      <c r="I3423" s="15">
        <f t="shared" ca="1" si="943"/>
        <v>0</v>
      </c>
      <c r="J3423" s="15" t="str">
        <f t="shared" ca="1" si="927"/>
        <v>'0'!A46</v>
      </c>
      <c r="K3423" s="15" t="str">
        <f t="shared" ca="1" si="928"/>
        <v>'0'!B46</v>
      </c>
    </row>
    <row r="3424" spans="1:11" x14ac:dyDescent="0.25">
      <c r="A3424" s="3" t="str">
        <f t="shared" ca="1" si="935"/>
        <v/>
      </c>
      <c r="G3424" s="15">
        <f t="shared" ca="1" si="942"/>
        <v>47</v>
      </c>
      <c r="H3424" s="15">
        <v>1</v>
      </c>
      <c r="I3424" s="15">
        <f t="shared" ca="1" si="943"/>
        <v>0</v>
      </c>
      <c r="J3424" s="15" t="str">
        <f t="shared" ca="1" si="927"/>
        <v>'0'!A47</v>
      </c>
      <c r="K3424" s="15" t="str">
        <f t="shared" ca="1" si="928"/>
        <v>'0'!B47</v>
      </c>
    </row>
    <row r="3425" spans="1:16" x14ac:dyDescent="0.25">
      <c r="A3425" s="3" t="str">
        <f t="shared" ca="1" si="935"/>
        <v/>
      </c>
      <c r="G3425" s="15">
        <f t="shared" ca="1" si="942"/>
        <v>48</v>
      </c>
      <c r="H3425" s="15">
        <v>1</v>
      </c>
      <c r="I3425" s="15">
        <f t="shared" ca="1" si="943"/>
        <v>0</v>
      </c>
      <c r="J3425" s="15" t="str">
        <f t="shared" ca="1" si="927"/>
        <v>'0'!A48</v>
      </c>
      <c r="K3425" s="15" t="str">
        <f t="shared" ca="1" si="928"/>
        <v>'0'!B48</v>
      </c>
    </row>
    <row r="3426" spans="1:16" x14ac:dyDescent="0.25">
      <c r="A3426" s="3" t="str">
        <f t="shared" ca="1" si="935"/>
        <v/>
      </c>
      <c r="G3426" s="15">
        <f t="shared" ca="1" si="942"/>
        <v>49</v>
      </c>
      <c r="H3426" s="15">
        <v>1</v>
      </c>
      <c r="I3426" s="15">
        <f t="shared" ca="1" si="943"/>
        <v>0</v>
      </c>
      <c r="J3426" s="15" t="str">
        <f t="shared" ca="1" si="927"/>
        <v>'0'!A49</v>
      </c>
      <c r="K3426" s="15" t="str">
        <f t="shared" ca="1" si="928"/>
        <v>'0'!B49</v>
      </c>
    </row>
    <row r="3427" spans="1:16" x14ac:dyDescent="0.25">
      <c r="A3427" s="3" t="str">
        <f t="shared" ca="1" si="935"/>
        <v/>
      </c>
      <c r="G3427" s="15">
        <f t="shared" ca="1" si="942"/>
        <v>50</v>
      </c>
      <c r="H3427" s="15">
        <v>1</v>
      </c>
      <c r="I3427" s="15">
        <f t="shared" ca="1" si="943"/>
        <v>0</v>
      </c>
      <c r="J3427" s="15" t="str">
        <f t="shared" ca="1" si="927"/>
        <v>'0'!A50</v>
      </c>
      <c r="K3427" s="15" t="str">
        <f t="shared" ca="1" si="928"/>
        <v>'0'!B50</v>
      </c>
    </row>
    <row r="3428" spans="1:16" x14ac:dyDescent="0.25">
      <c r="A3428" s="3" t="str">
        <f t="shared" ca="1" si="935"/>
        <v/>
      </c>
      <c r="G3428" s="15">
        <f t="shared" ref="G3428" ca="1" si="948">INDIRECT(M3428)</f>
        <v>31</v>
      </c>
      <c r="H3428" s="15">
        <v>1</v>
      </c>
      <c r="I3428" s="15">
        <f t="shared" ref="I3428" ca="1" si="949">INDIRECT(N3428)</f>
        <v>0</v>
      </c>
      <c r="J3428" s="15" t="str">
        <f t="shared" ref="J3428:J3491" ca="1" si="950">ADDRESS(G3428,H3428,4,1,I3428)</f>
        <v>'0'!A31</v>
      </c>
      <c r="K3428" s="15" t="str">
        <f t="shared" ref="K3428:K3491" ca="1" si="951">ADDRESS(G3428,H3428+1,4,1,I3428)</f>
        <v>'0'!B31</v>
      </c>
      <c r="M3428" s="15" t="str">
        <f t="shared" ref="M3428" si="952">ADDRESS(O3428,3,4,1,$R$1)</f>
        <v>konfig!C173</v>
      </c>
      <c r="N3428" s="15" t="str">
        <f t="shared" ref="N3428" si="953">ADDRESS(O3428,1,4,1,$R$1)</f>
        <v>konfig!A173</v>
      </c>
      <c r="O3428" s="15">
        <v>173</v>
      </c>
      <c r="P3428" s="15">
        <v>4</v>
      </c>
    </row>
    <row r="3429" spans="1:16" x14ac:dyDescent="0.25">
      <c r="A3429" s="3" t="str">
        <f t="shared" ca="1" si="935"/>
        <v/>
      </c>
      <c r="G3429" s="15">
        <f t="shared" ca="1" si="940"/>
        <v>32</v>
      </c>
      <c r="H3429" s="15">
        <v>1</v>
      </c>
      <c r="I3429" s="15">
        <f t="shared" ca="1" si="941"/>
        <v>0</v>
      </c>
      <c r="J3429" s="15" t="str">
        <f t="shared" ca="1" si="950"/>
        <v>'0'!A32</v>
      </c>
      <c r="K3429" s="15" t="str">
        <f t="shared" ca="1" si="951"/>
        <v>'0'!B32</v>
      </c>
    </row>
    <row r="3430" spans="1:16" x14ac:dyDescent="0.25">
      <c r="A3430" s="3" t="str">
        <f t="shared" ca="1" si="935"/>
        <v/>
      </c>
      <c r="G3430" s="15">
        <f t="shared" ca="1" si="942"/>
        <v>33</v>
      </c>
      <c r="H3430" s="15">
        <v>1</v>
      </c>
      <c r="I3430" s="15">
        <f t="shared" ca="1" si="943"/>
        <v>0</v>
      </c>
      <c r="J3430" s="15" t="str">
        <f t="shared" ca="1" si="950"/>
        <v>'0'!A33</v>
      </c>
      <c r="K3430" s="15" t="str">
        <f t="shared" ca="1" si="951"/>
        <v>'0'!B33</v>
      </c>
    </row>
    <row r="3431" spans="1:16" x14ac:dyDescent="0.25">
      <c r="A3431" s="3" t="str">
        <f t="shared" ca="1" si="935"/>
        <v/>
      </c>
      <c r="C3431" s="16"/>
      <c r="G3431" s="15">
        <f t="shared" ca="1" si="942"/>
        <v>34</v>
      </c>
      <c r="H3431" s="15">
        <v>1</v>
      </c>
      <c r="I3431" s="15">
        <f t="shared" ca="1" si="943"/>
        <v>0</v>
      </c>
      <c r="J3431" s="15" t="str">
        <f t="shared" ca="1" si="950"/>
        <v>'0'!A34</v>
      </c>
      <c r="K3431" s="15" t="str">
        <f t="shared" ca="1" si="951"/>
        <v>'0'!B34</v>
      </c>
    </row>
    <row r="3432" spans="1:16" x14ac:dyDescent="0.25">
      <c r="A3432" s="3" t="str">
        <f t="shared" ca="1" si="935"/>
        <v/>
      </c>
      <c r="G3432" s="15">
        <f t="shared" ca="1" si="942"/>
        <v>35</v>
      </c>
      <c r="H3432" s="15">
        <v>1</v>
      </c>
      <c r="I3432" s="15">
        <f t="shared" ca="1" si="943"/>
        <v>0</v>
      </c>
      <c r="J3432" s="15" t="str">
        <f t="shared" ca="1" si="950"/>
        <v>'0'!A35</v>
      </c>
      <c r="K3432" s="15" t="str">
        <f t="shared" ca="1" si="951"/>
        <v>'0'!B35</v>
      </c>
    </row>
    <row r="3433" spans="1:16" x14ac:dyDescent="0.25">
      <c r="A3433" s="3" t="str">
        <f t="shared" ca="1" si="935"/>
        <v/>
      </c>
      <c r="G3433" s="15">
        <f t="shared" ca="1" si="942"/>
        <v>36</v>
      </c>
      <c r="H3433" s="15">
        <v>1</v>
      </c>
      <c r="I3433" s="15">
        <f t="shared" ca="1" si="943"/>
        <v>0</v>
      </c>
      <c r="J3433" s="15" t="str">
        <f t="shared" ca="1" si="950"/>
        <v>'0'!A36</v>
      </c>
      <c r="K3433" s="15" t="str">
        <f t="shared" ca="1" si="951"/>
        <v>'0'!B36</v>
      </c>
    </row>
    <row r="3434" spans="1:16" x14ac:dyDescent="0.25">
      <c r="A3434" s="3" t="str">
        <f t="shared" ca="1" si="935"/>
        <v/>
      </c>
      <c r="G3434" s="15">
        <f t="shared" ca="1" si="942"/>
        <v>37</v>
      </c>
      <c r="H3434" s="15">
        <v>1</v>
      </c>
      <c r="I3434" s="15">
        <f t="shared" ca="1" si="943"/>
        <v>0</v>
      </c>
      <c r="J3434" s="15" t="str">
        <f t="shared" ca="1" si="950"/>
        <v>'0'!A37</v>
      </c>
      <c r="K3434" s="15" t="str">
        <f t="shared" ca="1" si="951"/>
        <v>'0'!B37</v>
      </c>
    </row>
    <row r="3435" spans="1:16" x14ac:dyDescent="0.25">
      <c r="A3435" s="3" t="str">
        <f t="shared" ca="1" si="935"/>
        <v/>
      </c>
      <c r="G3435" s="15">
        <f t="shared" ca="1" si="942"/>
        <v>38</v>
      </c>
      <c r="H3435" s="15">
        <v>1</v>
      </c>
      <c r="I3435" s="15">
        <f t="shared" ca="1" si="943"/>
        <v>0</v>
      </c>
      <c r="J3435" s="15" t="str">
        <f t="shared" ca="1" si="950"/>
        <v>'0'!A38</v>
      </c>
      <c r="K3435" s="15" t="str">
        <f t="shared" ca="1" si="951"/>
        <v>'0'!B38</v>
      </c>
    </row>
    <row r="3436" spans="1:16" x14ac:dyDescent="0.25">
      <c r="A3436" s="3" t="str">
        <f t="shared" ref="A3436:A3499" ca="1" si="954">IFERROR(IF(INDIRECT(J3436)&lt;&gt;"",CONCATENATE(INDIRECT(J3436)," = ",INDIRECT(K3436)," "),""),"")</f>
        <v/>
      </c>
      <c r="G3436" s="15">
        <f t="shared" ca="1" si="942"/>
        <v>39</v>
      </c>
      <c r="H3436" s="15">
        <v>1</v>
      </c>
      <c r="I3436" s="15">
        <f t="shared" ca="1" si="943"/>
        <v>0</v>
      </c>
      <c r="J3436" s="15" t="str">
        <f t="shared" ca="1" si="950"/>
        <v>'0'!A39</v>
      </c>
      <c r="K3436" s="15" t="str">
        <f t="shared" ca="1" si="951"/>
        <v>'0'!B39</v>
      </c>
    </row>
    <row r="3437" spans="1:16" x14ac:dyDescent="0.25">
      <c r="A3437" s="3" t="str">
        <f t="shared" ca="1" si="954"/>
        <v/>
      </c>
      <c r="G3437" s="15">
        <f t="shared" ca="1" si="942"/>
        <v>40</v>
      </c>
      <c r="H3437" s="15">
        <v>1</v>
      </c>
      <c r="I3437" s="15">
        <f t="shared" ca="1" si="943"/>
        <v>0</v>
      </c>
      <c r="J3437" s="15" t="str">
        <f t="shared" ca="1" si="950"/>
        <v>'0'!A40</v>
      </c>
      <c r="K3437" s="15" t="str">
        <f t="shared" ca="1" si="951"/>
        <v>'0'!B40</v>
      </c>
    </row>
    <row r="3438" spans="1:16" x14ac:dyDescent="0.25">
      <c r="A3438" s="3" t="str">
        <f t="shared" ca="1" si="954"/>
        <v/>
      </c>
      <c r="G3438" s="15">
        <f t="shared" ca="1" si="942"/>
        <v>41</v>
      </c>
      <c r="H3438" s="15">
        <v>1</v>
      </c>
      <c r="I3438" s="15">
        <f t="shared" ca="1" si="943"/>
        <v>0</v>
      </c>
      <c r="J3438" s="15" t="str">
        <f t="shared" ca="1" si="950"/>
        <v>'0'!A41</v>
      </c>
      <c r="K3438" s="15" t="str">
        <f t="shared" ca="1" si="951"/>
        <v>'0'!B41</v>
      </c>
    </row>
    <row r="3439" spans="1:16" x14ac:dyDescent="0.25">
      <c r="A3439" s="3" t="str">
        <f t="shared" ca="1" si="954"/>
        <v/>
      </c>
      <c r="C3439" s="16"/>
      <c r="G3439" s="15">
        <f t="shared" ca="1" si="942"/>
        <v>42</v>
      </c>
      <c r="H3439" s="15">
        <v>1</v>
      </c>
      <c r="I3439" s="15">
        <f t="shared" ca="1" si="943"/>
        <v>0</v>
      </c>
      <c r="J3439" s="15" t="str">
        <f t="shared" ca="1" si="950"/>
        <v>'0'!A42</v>
      </c>
      <c r="K3439" s="15" t="str">
        <f t="shared" ca="1" si="951"/>
        <v>'0'!B42</v>
      </c>
    </row>
    <row r="3440" spans="1:16" x14ac:dyDescent="0.25">
      <c r="A3440" s="3" t="str">
        <f t="shared" ca="1" si="954"/>
        <v/>
      </c>
      <c r="G3440" s="15">
        <f t="shared" ca="1" si="942"/>
        <v>43</v>
      </c>
      <c r="H3440" s="15">
        <v>1</v>
      </c>
      <c r="I3440" s="15">
        <f t="shared" ca="1" si="943"/>
        <v>0</v>
      </c>
      <c r="J3440" s="15" t="str">
        <f t="shared" ca="1" si="950"/>
        <v>'0'!A43</v>
      </c>
      <c r="K3440" s="15" t="str">
        <f t="shared" ca="1" si="951"/>
        <v>'0'!B43</v>
      </c>
    </row>
    <row r="3441" spans="1:16" x14ac:dyDescent="0.25">
      <c r="A3441" s="3" t="str">
        <f t="shared" ca="1" si="954"/>
        <v/>
      </c>
      <c r="G3441" s="15">
        <f t="shared" ca="1" si="942"/>
        <v>44</v>
      </c>
      <c r="H3441" s="15">
        <v>1</v>
      </c>
      <c r="I3441" s="15">
        <f t="shared" ca="1" si="943"/>
        <v>0</v>
      </c>
      <c r="J3441" s="15" t="str">
        <f t="shared" ca="1" si="950"/>
        <v>'0'!A44</v>
      </c>
      <c r="K3441" s="15" t="str">
        <f t="shared" ca="1" si="951"/>
        <v>'0'!B44</v>
      </c>
    </row>
    <row r="3442" spans="1:16" x14ac:dyDescent="0.25">
      <c r="A3442" s="3" t="str">
        <f t="shared" ca="1" si="954"/>
        <v/>
      </c>
      <c r="G3442" s="15">
        <f t="shared" ca="1" si="942"/>
        <v>45</v>
      </c>
      <c r="H3442" s="15">
        <v>1</v>
      </c>
      <c r="I3442" s="15">
        <f t="shared" ca="1" si="943"/>
        <v>0</v>
      </c>
      <c r="J3442" s="15" t="str">
        <f t="shared" ca="1" si="950"/>
        <v>'0'!A45</v>
      </c>
      <c r="K3442" s="15" t="str">
        <f t="shared" ca="1" si="951"/>
        <v>'0'!B45</v>
      </c>
    </row>
    <row r="3443" spans="1:16" x14ac:dyDescent="0.25">
      <c r="A3443" s="3" t="str">
        <f t="shared" ca="1" si="954"/>
        <v/>
      </c>
      <c r="G3443" s="15">
        <f t="shared" ca="1" si="942"/>
        <v>46</v>
      </c>
      <c r="H3443" s="15">
        <v>1</v>
      </c>
      <c r="I3443" s="15">
        <f t="shared" ca="1" si="943"/>
        <v>0</v>
      </c>
      <c r="J3443" s="15" t="str">
        <f t="shared" ca="1" si="950"/>
        <v>'0'!A46</v>
      </c>
      <c r="K3443" s="15" t="str">
        <f t="shared" ca="1" si="951"/>
        <v>'0'!B46</v>
      </c>
    </row>
    <row r="3444" spans="1:16" x14ac:dyDescent="0.25">
      <c r="A3444" s="3" t="str">
        <f t="shared" ca="1" si="954"/>
        <v/>
      </c>
      <c r="G3444" s="15">
        <f t="shared" ca="1" si="942"/>
        <v>47</v>
      </c>
      <c r="H3444" s="15">
        <v>1</v>
      </c>
      <c r="I3444" s="15">
        <f t="shared" ca="1" si="943"/>
        <v>0</v>
      </c>
      <c r="J3444" s="15" t="str">
        <f t="shared" ca="1" si="950"/>
        <v>'0'!A47</v>
      </c>
      <c r="K3444" s="15" t="str">
        <f t="shared" ca="1" si="951"/>
        <v>'0'!B47</v>
      </c>
    </row>
    <row r="3445" spans="1:16" x14ac:dyDescent="0.25">
      <c r="A3445" s="3" t="str">
        <f t="shared" ca="1" si="954"/>
        <v/>
      </c>
      <c r="G3445" s="15">
        <f t="shared" ca="1" si="942"/>
        <v>48</v>
      </c>
      <c r="H3445" s="15">
        <v>1</v>
      </c>
      <c r="I3445" s="15">
        <f t="shared" ca="1" si="943"/>
        <v>0</v>
      </c>
      <c r="J3445" s="15" t="str">
        <f t="shared" ca="1" si="950"/>
        <v>'0'!A48</v>
      </c>
      <c r="K3445" s="15" t="str">
        <f t="shared" ca="1" si="951"/>
        <v>'0'!B48</v>
      </c>
    </row>
    <row r="3446" spans="1:16" x14ac:dyDescent="0.25">
      <c r="A3446" s="3" t="str">
        <f t="shared" ca="1" si="954"/>
        <v/>
      </c>
      <c r="G3446" s="15">
        <f t="shared" ca="1" si="942"/>
        <v>49</v>
      </c>
      <c r="H3446" s="15">
        <v>1</v>
      </c>
      <c r="I3446" s="15">
        <f t="shared" ca="1" si="943"/>
        <v>0</v>
      </c>
      <c r="J3446" s="15" t="str">
        <f t="shared" ca="1" si="950"/>
        <v>'0'!A49</v>
      </c>
      <c r="K3446" s="15" t="str">
        <f t="shared" ca="1" si="951"/>
        <v>'0'!B49</v>
      </c>
    </row>
    <row r="3447" spans="1:16" x14ac:dyDescent="0.25">
      <c r="A3447" s="3" t="str">
        <f t="shared" ca="1" si="954"/>
        <v/>
      </c>
      <c r="G3447" s="15">
        <f t="shared" ca="1" si="942"/>
        <v>50</v>
      </c>
      <c r="H3447" s="15">
        <v>1</v>
      </c>
      <c r="I3447" s="15">
        <f t="shared" ca="1" si="943"/>
        <v>0</v>
      </c>
      <c r="J3447" s="15" t="str">
        <f t="shared" ca="1" si="950"/>
        <v>'0'!A50</v>
      </c>
      <c r="K3447" s="15" t="str">
        <f t="shared" ca="1" si="951"/>
        <v>'0'!B50</v>
      </c>
    </row>
    <row r="3448" spans="1:16" x14ac:dyDescent="0.25">
      <c r="A3448" s="3" t="str">
        <f t="shared" ca="1" si="954"/>
        <v/>
      </c>
      <c r="G3448" s="15">
        <f t="shared" ref="G3448" ca="1" si="955">INDIRECT(M3448)</f>
        <v>31</v>
      </c>
      <c r="H3448" s="15">
        <v>1</v>
      </c>
      <c r="I3448" s="15">
        <f t="shared" ref="I3448" ca="1" si="956">INDIRECT(N3448)</f>
        <v>0</v>
      </c>
      <c r="J3448" s="15" t="str">
        <f t="shared" ca="1" si="950"/>
        <v>'0'!A31</v>
      </c>
      <c r="K3448" s="15" t="str">
        <f t="shared" ca="1" si="951"/>
        <v>'0'!B31</v>
      </c>
      <c r="M3448" s="15" t="str">
        <f t="shared" ref="M3448" si="957">ADDRESS(O3448,3,4,1,$R$1)</f>
        <v>konfig!C174</v>
      </c>
      <c r="N3448" s="15" t="str">
        <f t="shared" ref="N3448" si="958">ADDRESS(O3448,1,4,1,$R$1)</f>
        <v>konfig!A174</v>
      </c>
      <c r="O3448" s="15">
        <v>174</v>
      </c>
      <c r="P3448" s="15">
        <v>4</v>
      </c>
    </row>
    <row r="3449" spans="1:16" x14ac:dyDescent="0.25">
      <c r="A3449" s="3" t="str">
        <f t="shared" ca="1" si="954"/>
        <v/>
      </c>
      <c r="G3449" s="15">
        <f t="shared" ref="G3449:G3492" ca="1" si="959">G3448+1</f>
        <v>32</v>
      </c>
      <c r="H3449" s="15">
        <v>1</v>
      </c>
      <c r="I3449" s="15">
        <f t="shared" ref="I3449:I3492" ca="1" si="960">I3448</f>
        <v>0</v>
      </c>
      <c r="J3449" s="15" t="str">
        <f t="shared" ca="1" si="950"/>
        <v>'0'!A32</v>
      </c>
      <c r="K3449" s="15" t="str">
        <f t="shared" ca="1" si="951"/>
        <v>'0'!B32</v>
      </c>
    </row>
    <row r="3450" spans="1:16" x14ac:dyDescent="0.25">
      <c r="A3450" s="3" t="str">
        <f t="shared" ca="1" si="954"/>
        <v/>
      </c>
      <c r="G3450" s="15">
        <f t="shared" ca="1" si="959"/>
        <v>33</v>
      </c>
      <c r="H3450" s="15">
        <v>1</v>
      </c>
      <c r="I3450" s="15">
        <f t="shared" ca="1" si="960"/>
        <v>0</v>
      </c>
      <c r="J3450" s="15" t="str">
        <f t="shared" ca="1" si="950"/>
        <v>'0'!A33</v>
      </c>
      <c r="K3450" s="15" t="str">
        <f t="shared" ca="1" si="951"/>
        <v>'0'!B33</v>
      </c>
    </row>
    <row r="3451" spans="1:16" x14ac:dyDescent="0.25">
      <c r="A3451" s="3" t="str">
        <f t="shared" ca="1" si="954"/>
        <v/>
      </c>
      <c r="C3451" s="16"/>
      <c r="G3451" s="15">
        <f t="shared" ca="1" si="959"/>
        <v>34</v>
      </c>
      <c r="H3451" s="15">
        <v>1</v>
      </c>
      <c r="I3451" s="15">
        <f t="shared" ca="1" si="960"/>
        <v>0</v>
      </c>
      <c r="J3451" s="15" t="str">
        <f t="shared" ca="1" si="950"/>
        <v>'0'!A34</v>
      </c>
      <c r="K3451" s="15" t="str">
        <f t="shared" ca="1" si="951"/>
        <v>'0'!B34</v>
      </c>
    </row>
    <row r="3452" spans="1:16" x14ac:dyDescent="0.25">
      <c r="A3452" s="3" t="str">
        <f t="shared" ca="1" si="954"/>
        <v/>
      </c>
      <c r="G3452" s="15">
        <f t="shared" ca="1" si="959"/>
        <v>35</v>
      </c>
      <c r="H3452" s="15">
        <v>1</v>
      </c>
      <c r="I3452" s="15">
        <f t="shared" ca="1" si="960"/>
        <v>0</v>
      </c>
      <c r="J3452" s="15" t="str">
        <f t="shared" ca="1" si="950"/>
        <v>'0'!A35</v>
      </c>
      <c r="K3452" s="15" t="str">
        <f t="shared" ca="1" si="951"/>
        <v>'0'!B35</v>
      </c>
    </row>
    <row r="3453" spans="1:16" x14ac:dyDescent="0.25">
      <c r="A3453" s="3" t="str">
        <f t="shared" ca="1" si="954"/>
        <v/>
      </c>
      <c r="G3453" s="15">
        <f t="shared" ca="1" si="942"/>
        <v>36</v>
      </c>
      <c r="H3453" s="15">
        <v>1</v>
      </c>
      <c r="I3453" s="15">
        <f t="shared" ca="1" si="943"/>
        <v>0</v>
      </c>
      <c r="J3453" s="15" t="str">
        <f t="shared" ca="1" si="950"/>
        <v>'0'!A36</v>
      </c>
      <c r="K3453" s="15" t="str">
        <f t="shared" ca="1" si="951"/>
        <v>'0'!B36</v>
      </c>
    </row>
    <row r="3454" spans="1:16" x14ac:dyDescent="0.25">
      <c r="A3454" s="3" t="str">
        <f t="shared" ca="1" si="954"/>
        <v/>
      </c>
      <c r="G3454" s="15">
        <f t="shared" ca="1" si="942"/>
        <v>37</v>
      </c>
      <c r="H3454" s="15">
        <v>1</v>
      </c>
      <c r="I3454" s="15">
        <f t="shared" ca="1" si="943"/>
        <v>0</v>
      </c>
      <c r="J3454" s="15" t="str">
        <f t="shared" ca="1" si="950"/>
        <v>'0'!A37</v>
      </c>
      <c r="K3454" s="15" t="str">
        <f t="shared" ca="1" si="951"/>
        <v>'0'!B37</v>
      </c>
    </row>
    <row r="3455" spans="1:16" x14ac:dyDescent="0.25">
      <c r="A3455" s="3" t="str">
        <f t="shared" ca="1" si="954"/>
        <v/>
      </c>
      <c r="G3455" s="15">
        <f t="shared" ca="1" si="942"/>
        <v>38</v>
      </c>
      <c r="H3455" s="15">
        <v>1</v>
      </c>
      <c r="I3455" s="15">
        <f t="shared" ca="1" si="943"/>
        <v>0</v>
      </c>
      <c r="J3455" s="15" t="str">
        <f t="shared" ca="1" si="950"/>
        <v>'0'!A38</v>
      </c>
      <c r="K3455" s="15" t="str">
        <f t="shared" ca="1" si="951"/>
        <v>'0'!B38</v>
      </c>
    </row>
    <row r="3456" spans="1:16" x14ac:dyDescent="0.25">
      <c r="A3456" s="3" t="str">
        <f t="shared" ca="1" si="954"/>
        <v/>
      </c>
      <c r="G3456" s="15">
        <f t="shared" ca="1" si="942"/>
        <v>39</v>
      </c>
      <c r="H3456" s="15">
        <v>1</v>
      </c>
      <c r="I3456" s="15">
        <f t="shared" ca="1" si="943"/>
        <v>0</v>
      </c>
      <c r="J3456" s="15" t="str">
        <f t="shared" ca="1" si="950"/>
        <v>'0'!A39</v>
      </c>
      <c r="K3456" s="15" t="str">
        <f t="shared" ca="1" si="951"/>
        <v>'0'!B39</v>
      </c>
    </row>
    <row r="3457" spans="1:16" x14ac:dyDescent="0.25">
      <c r="A3457" s="3" t="str">
        <f t="shared" ca="1" si="954"/>
        <v/>
      </c>
      <c r="G3457" s="15">
        <f t="shared" ca="1" si="942"/>
        <v>40</v>
      </c>
      <c r="H3457" s="15">
        <v>1</v>
      </c>
      <c r="I3457" s="15">
        <f t="shared" ca="1" si="943"/>
        <v>0</v>
      </c>
      <c r="J3457" s="15" t="str">
        <f t="shared" ca="1" si="950"/>
        <v>'0'!A40</v>
      </c>
      <c r="K3457" s="15" t="str">
        <f t="shared" ca="1" si="951"/>
        <v>'0'!B40</v>
      </c>
    </row>
    <row r="3458" spans="1:16" x14ac:dyDescent="0.25">
      <c r="A3458" s="3" t="str">
        <f t="shared" ca="1" si="954"/>
        <v/>
      </c>
      <c r="G3458" s="15">
        <f t="shared" ca="1" si="942"/>
        <v>41</v>
      </c>
      <c r="H3458" s="15">
        <v>1</v>
      </c>
      <c r="I3458" s="15">
        <f t="shared" ca="1" si="943"/>
        <v>0</v>
      </c>
      <c r="J3458" s="15" t="str">
        <f t="shared" ca="1" si="950"/>
        <v>'0'!A41</v>
      </c>
      <c r="K3458" s="15" t="str">
        <f t="shared" ca="1" si="951"/>
        <v>'0'!B41</v>
      </c>
    </row>
    <row r="3459" spans="1:16" x14ac:dyDescent="0.25">
      <c r="A3459" s="3" t="str">
        <f t="shared" ca="1" si="954"/>
        <v/>
      </c>
      <c r="C3459" s="16"/>
      <c r="G3459" s="15">
        <f t="shared" ca="1" si="942"/>
        <v>42</v>
      </c>
      <c r="H3459" s="15">
        <v>1</v>
      </c>
      <c r="I3459" s="15">
        <f t="shared" ca="1" si="943"/>
        <v>0</v>
      </c>
      <c r="J3459" s="15" t="str">
        <f t="shared" ca="1" si="950"/>
        <v>'0'!A42</v>
      </c>
      <c r="K3459" s="15" t="str">
        <f t="shared" ca="1" si="951"/>
        <v>'0'!B42</v>
      </c>
    </row>
    <row r="3460" spans="1:16" x14ac:dyDescent="0.25">
      <c r="A3460" s="3" t="str">
        <f t="shared" ca="1" si="954"/>
        <v/>
      </c>
      <c r="G3460" s="15">
        <f t="shared" ca="1" si="942"/>
        <v>43</v>
      </c>
      <c r="H3460" s="15">
        <v>1</v>
      </c>
      <c r="I3460" s="15">
        <f t="shared" ca="1" si="943"/>
        <v>0</v>
      </c>
      <c r="J3460" s="15" t="str">
        <f t="shared" ca="1" si="950"/>
        <v>'0'!A43</v>
      </c>
      <c r="K3460" s="15" t="str">
        <f t="shared" ca="1" si="951"/>
        <v>'0'!B43</v>
      </c>
    </row>
    <row r="3461" spans="1:16" x14ac:dyDescent="0.25">
      <c r="A3461" s="3" t="str">
        <f t="shared" ca="1" si="954"/>
        <v/>
      </c>
      <c r="G3461" s="15">
        <f t="shared" ca="1" si="942"/>
        <v>44</v>
      </c>
      <c r="H3461" s="15">
        <v>1</v>
      </c>
      <c r="I3461" s="15">
        <f t="shared" ca="1" si="943"/>
        <v>0</v>
      </c>
      <c r="J3461" s="15" t="str">
        <f t="shared" ca="1" si="950"/>
        <v>'0'!A44</v>
      </c>
      <c r="K3461" s="15" t="str">
        <f t="shared" ca="1" si="951"/>
        <v>'0'!B44</v>
      </c>
    </row>
    <row r="3462" spans="1:16" x14ac:dyDescent="0.25">
      <c r="A3462" s="3" t="str">
        <f t="shared" ca="1" si="954"/>
        <v/>
      </c>
      <c r="G3462" s="15">
        <f t="shared" ca="1" si="942"/>
        <v>45</v>
      </c>
      <c r="H3462" s="15">
        <v>1</v>
      </c>
      <c r="I3462" s="15">
        <f t="shared" ca="1" si="943"/>
        <v>0</v>
      </c>
      <c r="J3462" s="15" t="str">
        <f t="shared" ca="1" si="950"/>
        <v>'0'!A45</v>
      </c>
      <c r="K3462" s="15" t="str">
        <f t="shared" ca="1" si="951"/>
        <v>'0'!B45</v>
      </c>
    </row>
    <row r="3463" spans="1:16" x14ac:dyDescent="0.25">
      <c r="A3463" s="3" t="str">
        <f t="shared" ca="1" si="954"/>
        <v/>
      </c>
      <c r="G3463" s="15">
        <f t="shared" ca="1" si="942"/>
        <v>46</v>
      </c>
      <c r="H3463" s="15">
        <v>1</v>
      </c>
      <c r="I3463" s="15">
        <f t="shared" ca="1" si="943"/>
        <v>0</v>
      </c>
      <c r="J3463" s="15" t="str">
        <f t="shared" ca="1" si="950"/>
        <v>'0'!A46</v>
      </c>
      <c r="K3463" s="15" t="str">
        <f t="shared" ca="1" si="951"/>
        <v>'0'!B46</v>
      </c>
    </row>
    <row r="3464" spans="1:16" x14ac:dyDescent="0.25">
      <c r="A3464" s="3" t="str">
        <f t="shared" ca="1" si="954"/>
        <v/>
      </c>
      <c r="G3464" s="15">
        <f t="shared" ca="1" si="942"/>
        <v>47</v>
      </c>
      <c r="H3464" s="15">
        <v>1</v>
      </c>
      <c r="I3464" s="15">
        <f t="shared" ca="1" si="943"/>
        <v>0</v>
      </c>
      <c r="J3464" s="15" t="str">
        <f t="shared" ca="1" si="950"/>
        <v>'0'!A47</v>
      </c>
      <c r="K3464" s="15" t="str">
        <f t="shared" ca="1" si="951"/>
        <v>'0'!B47</v>
      </c>
    </row>
    <row r="3465" spans="1:16" x14ac:dyDescent="0.25">
      <c r="A3465" s="3" t="str">
        <f t="shared" ca="1" si="954"/>
        <v/>
      </c>
      <c r="G3465" s="15">
        <f t="shared" ref="G3465:G3527" ca="1" si="961">G3464+1</f>
        <v>48</v>
      </c>
      <c r="H3465" s="15">
        <v>1</v>
      </c>
      <c r="I3465" s="15">
        <f t="shared" ref="I3465:I3527" ca="1" si="962">I3464</f>
        <v>0</v>
      </c>
      <c r="J3465" s="15" t="str">
        <f t="shared" ca="1" si="950"/>
        <v>'0'!A48</v>
      </c>
      <c r="K3465" s="15" t="str">
        <f t="shared" ca="1" si="951"/>
        <v>'0'!B48</v>
      </c>
    </row>
    <row r="3466" spans="1:16" x14ac:dyDescent="0.25">
      <c r="A3466" s="3" t="str">
        <f t="shared" ca="1" si="954"/>
        <v/>
      </c>
      <c r="G3466" s="15">
        <f t="shared" ca="1" si="961"/>
        <v>49</v>
      </c>
      <c r="H3466" s="15">
        <v>1</v>
      </c>
      <c r="I3466" s="15">
        <f t="shared" ca="1" si="962"/>
        <v>0</v>
      </c>
      <c r="J3466" s="15" t="str">
        <f t="shared" ca="1" si="950"/>
        <v>'0'!A49</v>
      </c>
      <c r="K3466" s="15" t="str">
        <f t="shared" ca="1" si="951"/>
        <v>'0'!B49</v>
      </c>
    </row>
    <row r="3467" spans="1:16" x14ac:dyDescent="0.25">
      <c r="A3467" s="3" t="str">
        <f t="shared" ca="1" si="954"/>
        <v/>
      </c>
      <c r="G3467" s="15">
        <f t="shared" ca="1" si="961"/>
        <v>50</v>
      </c>
      <c r="H3467" s="15">
        <v>1</v>
      </c>
      <c r="I3467" s="15">
        <f t="shared" ca="1" si="962"/>
        <v>0</v>
      </c>
      <c r="J3467" s="15" t="str">
        <f t="shared" ca="1" si="950"/>
        <v>'0'!A50</v>
      </c>
      <c r="K3467" s="15" t="str">
        <f t="shared" ca="1" si="951"/>
        <v>'0'!B50</v>
      </c>
    </row>
    <row r="3468" spans="1:16" x14ac:dyDescent="0.25">
      <c r="A3468" s="3" t="str">
        <f t="shared" ca="1" si="954"/>
        <v/>
      </c>
      <c r="G3468" s="15">
        <f t="shared" ref="G3468" ca="1" si="963">INDIRECT(M3468)</f>
        <v>31</v>
      </c>
      <c r="H3468" s="15">
        <v>1</v>
      </c>
      <c r="I3468" s="15">
        <f t="shared" ref="I3468" ca="1" si="964">INDIRECT(N3468)</f>
        <v>0</v>
      </c>
      <c r="J3468" s="15" t="str">
        <f t="shared" ca="1" si="950"/>
        <v>'0'!A31</v>
      </c>
      <c r="K3468" s="15" t="str">
        <f t="shared" ca="1" si="951"/>
        <v>'0'!B31</v>
      </c>
      <c r="M3468" s="15" t="str">
        <f t="shared" ref="M3468" si="965">ADDRESS(O3468,3,4,1,$R$1)</f>
        <v>konfig!C175</v>
      </c>
      <c r="N3468" s="15" t="str">
        <f t="shared" ref="N3468" si="966">ADDRESS(O3468,1,4,1,$R$1)</f>
        <v>konfig!A175</v>
      </c>
      <c r="O3468" s="15">
        <v>175</v>
      </c>
      <c r="P3468" s="15">
        <v>4</v>
      </c>
    </row>
    <row r="3469" spans="1:16" x14ac:dyDescent="0.25">
      <c r="A3469" s="3" t="str">
        <f t="shared" ca="1" si="954"/>
        <v/>
      </c>
      <c r="G3469" s="15">
        <f t="shared" ref="G3469:G3509" ca="1" si="967">G3468+1</f>
        <v>32</v>
      </c>
      <c r="H3469" s="15">
        <v>1</v>
      </c>
      <c r="I3469" s="15">
        <f t="shared" ref="I3469:I3509" ca="1" si="968">I3468</f>
        <v>0</v>
      </c>
      <c r="J3469" s="15" t="str">
        <f t="shared" ca="1" si="950"/>
        <v>'0'!A32</v>
      </c>
      <c r="K3469" s="15" t="str">
        <f t="shared" ca="1" si="951"/>
        <v>'0'!B32</v>
      </c>
    </row>
    <row r="3470" spans="1:16" x14ac:dyDescent="0.25">
      <c r="A3470" s="3" t="str">
        <f t="shared" ca="1" si="954"/>
        <v/>
      </c>
      <c r="G3470" s="15">
        <f t="shared" ca="1" si="961"/>
        <v>33</v>
      </c>
      <c r="H3470" s="15">
        <v>1</v>
      </c>
      <c r="I3470" s="15">
        <f t="shared" ca="1" si="962"/>
        <v>0</v>
      </c>
      <c r="J3470" s="15" t="str">
        <f t="shared" ca="1" si="950"/>
        <v>'0'!A33</v>
      </c>
      <c r="K3470" s="15" t="str">
        <f t="shared" ca="1" si="951"/>
        <v>'0'!B33</v>
      </c>
    </row>
    <row r="3471" spans="1:16" x14ac:dyDescent="0.25">
      <c r="A3471" s="3" t="str">
        <f t="shared" ca="1" si="954"/>
        <v/>
      </c>
      <c r="C3471" s="16"/>
      <c r="G3471" s="15">
        <f t="shared" ca="1" si="961"/>
        <v>34</v>
      </c>
      <c r="H3471" s="15">
        <v>1</v>
      </c>
      <c r="I3471" s="15">
        <f t="shared" ca="1" si="962"/>
        <v>0</v>
      </c>
      <c r="J3471" s="15" t="str">
        <f t="shared" ca="1" si="950"/>
        <v>'0'!A34</v>
      </c>
      <c r="K3471" s="15" t="str">
        <f t="shared" ca="1" si="951"/>
        <v>'0'!B34</v>
      </c>
    </row>
    <row r="3472" spans="1:16" x14ac:dyDescent="0.25">
      <c r="A3472" s="3" t="str">
        <f t="shared" ca="1" si="954"/>
        <v/>
      </c>
      <c r="G3472" s="15">
        <f t="shared" ca="1" si="961"/>
        <v>35</v>
      </c>
      <c r="H3472" s="15">
        <v>1</v>
      </c>
      <c r="I3472" s="15">
        <f t="shared" ca="1" si="962"/>
        <v>0</v>
      </c>
      <c r="J3472" s="15" t="str">
        <f t="shared" ca="1" si="950"/>
        <v>'0'!A35</v>
      </c>
      <c r="K3472" s="15" t="str">
        <f t="shared" ca="1" si="951"/>
        <v>'0'!B35</v>
      </c>
    </row>
    <row r="3473" spans="1:16" x14ac:dyDescent="0.25">
      <c r="A3473" s="3" t="str">
        <f t="shared" ca="1" si="954"/>
        <v/>
      </c>
      <c r="G3473" s="15">
        <f t="shared" ca="1" si="961"/>
        <v>36</v>
      </c>
      <c r="H3473" s="15">
        <v>1</v>
      </c>
      <c r="I3473" s="15">
        <f t="shared" ca="1" si="962"/>
        <v>0</v>
      </c>
      <c r="J3473" s="15" t="str">
        <f t="shared" ca="1" si="950"/>
        <v>'0'!A36</v>
      </c>
      <c r="K3473" s="15" t="str">
        <f t="shared" ca="1" si="951"/>
        <v>'0'!B36</v>
      </c>
    </row>
    <row r="3474" spans="1:16" x14ac:dyDescent="0.25">
      <c r="A3474" s="3" t="str">
        <f t="shared" ca="1" si="954"/>
        <v/>
      </c>
      <c r="G3474" s="15">
        <f t="shared" ca="1" si="961"/>
        <v>37</v>
      </c>
      <c r="H3474" s="15">
        <v>1</v>
      </c>
      <c r="I3474" s="15">
        <f t="shared" ca="1" si="962"/>
        <v>0</v>
      </c>
      <c r="J3474" s="15" t="str">
        <f t="shared" ca="1" si="950"/>
        <v>'0'!A37</v>
      </c>
      <c r="K3474" s="15" t="str">
        <f t="shared" ca="1" si="951"/>
        <v>'0'!B37</v>
      </c>
    </row>
    <row r="3475" spans="1:16" x14ac:dyDescent="0.25">
      <c r="A3475" s="3" t="str">
        <f t="shared" ca="1" si="954"/>
        <v/>
      </c>
      <c r="G3475" s="15">
        <f t="shared" ca="1" si="961"/>
        <v>38</v>
      </c>
      <c r="H3475" s="15">
        <v>1</v>
      </c>
      <c r="I3475" s="15">
        <f t="shared" ca="1" si="962"/>
        <v>0</v>
      </c>
      <c r="J3475" s="15" t="str">
        <f t="shared" ca="1" si="950"/>
        <v>'0'!A38</v>
      </c>
      <c r="K3475" s="15" t="str">
        <f t="shared" ca="1" si="951"/>
        <v>'0'!B38</v>
      </c>
    </row>
    <row r="3476" spans="1:16" x14ac:dyDescent="0.25">
      <c r="A3476" s="3" t="str">
        <f t="shared" ca="1" si="954"/>
        <v/>
      </c>
      <c r="G3476" s="15">
        <f t="shared" ca="1" si="961"/>
        <v>39</v>
      </c>
      <c r="H3476" s="15">
        <v>1</v>
      </c>
      <c r="I3476" s="15">
        <f t="shared" ca="1" si="962"/>
        <v>0</v>
      </c>
      <c r="J3476" s="15" t="str">
        <f t="shared" ca="1" si="950"/>
        <v>'0'!A39</v>
      </c>
      <c r="K3476" s="15" t="str">
        <f t="shared" ca="1" si="951"/>
        <v>'0'!B39</v>
      </c>
    </row>
    <row r="3477" spans="1:16" x14ac:dyDescent="0.25">
      <c r="A3477" s="3" t="str">
        <f t="shared" ca="1" si="954"/>
        <v/>
      </c>
      <c r="G3477" s="15">
        <f t="shared" ca="1" si="961"/>
        <v>40</v>
      </c>
      <c r="H3477" s="15">
        <v>1</v>
      </c>
      <c r="I3477" s="15">
        <f t="shared" ca="1" si="962"/>
        <v>0</v>
      </c>
      <c r="J3477" s="15" t="str">
        <f t="shared" ca="1" si="950"/>
        <v>'0'!A40</v>
      </c>
      <c r="K3477" s="15" t="str">
        <f t="shared" ca="1" si="951"/>
        <v>'0'!B40</v>
      </c>
    </row>
    <row r="3478" spans="1:16" x14ac:dyDescent="0.25">
      <c r="A3478" s="3" t="str">
        <f t="shared" ca="1" si="954"/>
        <v/>
      </c>
      <c r="G3478" s="15">
        <f t="shared" ca="1" si="961"/>
        <v>41</v>
      </c>
      <c r="H3478" s="15">
        <v>1</v>
      </c>
      <c r="I3478" s="15">
        <f t="shared" ca="1" si="962"/>
        <v>0</v>
      </c>
      <c r="J3478" s="15" t="str">
        <f t="shared" ca="1" si="950"/>
        <v>'0'!A41</v>
      </c>
      <c r="K3478" s="15" t="str">
        <f t="shared" ca="1" si="951"/>
        <v>'0'!B41</v>
      </c>
    </row>
    <row r="3479" spans="1:16" x14ac:dyDescent="0.25">
      <c r="A3479" s="3" t="str">
        <f t="shared" ca="1" si="954"/>
        <v/>
      </c>
      <c r="C3479" s="16"/>
      <c r="G3479" s="15">
        <f t="shared" ca="1" si="961"/>
        <v>42</v>
      </c>
      <c r="H3479" s="15">
        <v>1</v>
      </c>
      <c r="I3479" s="15">
        <f t="shared" ca="1" si="962"/>
        <v>0</v>
      </c>
      <c r="J3479" s="15" t="str">
        <f t="shared" ca="1" si="950"/>
        <v>'0'!A42</v>
      </c>
      <c r="K3479" s="15" t="str">
        <f t="shared" ca="1" si="951"/>
        <v>'0'!B42</v>
      </c>
    </row>
    <row r="3480" spans="1:16" x14ac:dyDescent="0.25">
      <c r="A3480" s="3" t="str">
        <f t="shared" ca="1" si="954"/>
        <v/>
      </c>
      <c r="G3480" s="15">
        <f t="shared" ca="1" si="961"/>
        <v>43</v>
      </c>
      <c r="H3480" s="15">
        <v>1</v>
      </c>
      <c r="I3480" s="15">
        <f t="shared" ca="1" si="962"/>
        <v>0</v>
      </c>
      <c r="J3480" s="15" t="str">
        <f t="shared" ca="1" si="950"/>
        <v>'0'!A43</v>
      </c>
      <c r="K3480" s="15" t="str">
        <f t="shared" ca="1" si="951"/>
        <v>'0'!B43</v>
      </c>
    </row>
    <row r="3481" spans="1:16" x14ac:dyDescent="0.25">
      <c r="A3481" s="3" t="str">
        <f t="shared" ca="1" si="954"/>
        <v/>
      </c>
      <c r="G3481" s="15">
        <f t="shared" ca="1" si="961"/>
        <v>44</v>
      </c>
      <c r="H3481" s="15">
        <v>1</v>
      </c>
      <c r="I3481" s="15">
        <f t="shared" ca="1" si="962"/>
        <v>0</v>
      </c>
      <c r="J3481" s="15" t="str">
        <f t="shared" ca="1" si="950"/>
        <v>'0'!A44</v>
      </c>
      <c r="K3481" s="15" t="str">
        <f t="shared" ca="1" si="951"/>
        <v>'0'!B44</v>
      </c>
    </row>
    <row r="3482" spans="1:16" x14ac:dyDescent="0.25">
      <c r="A3482" s="3" t="str">
        <f t="shared" ca="1" si="954"/>
        <v/>
      </c>
      <c r="G3482" s="15">
        <f t="shared" ca="1" si="961"/>
        <v>45</v>
      </c>
      <c r="H3482" s="15">
        <v>1</v>
      </c>
      <c r="I3482" s="15">
        <f t="shared" ca="1" si="962"/>
        <v>0</v>
      </c>
      <c r="J3482" s="15" t="str">
        <f t="shared" ca="1" si="950"/>
        <v>'0'!A45</v>
      </c>
      <c r="K3482" s="15" t="str">
        <f t="shared" ca="1" si="951"/>
        <v>'0'!B45</v>
      </c>
    </row>
    <row r="3483" spans="1:16" x14ac:dyDescent="0.25">
      <c r="A3483" s="3" t="str">
        <f t="shared" ca="1" si="954"/>
        <v/>
      </c>
      <c r="G3483" s="15">
        <f t="shared" ca="1" si="961"/>
        <v>46</v>
      </c>
      <c r="H3483" s="15">
        <v>1</v>
      </c>
      <c r="I3483" s="15">
        <f t="shared" ca="1" si="962"/>
        <v>0</v>
      </c>
      <c r="J3483" s="15" t="str">
        <f t="shared" ca="1" si="950"/>
        <v>'0'!A46</v>
      </c>
      <c r="K3483" s="15" t="str">
        <f t="shared" ca="1" si="951"/>
        <v>'0'!B46</v>
      </c>
    </row>
    <row r="3484" spans="1:16" x14ac:dyDescent="0.25">
      <c r="A3484" s="3" t="str">
        <f t="shared" ca="1" si="954"/>
        <v/>
      </c>
      <c r="G3484" s="15">
        <f t="shared" ca="1" si="961"/>
        <v>47</v>
      </c>
      <c r="H3484" s="15">
        <v>1</v>
      </c>
      <c r="I3484" s="15">
        <f t="shared" ca="1" si="962"/>
        <v>0</v>
      </c>
      <c r="J3484" s="15" t="str">
        <f t="shared" ca="1" si="950"/>
        <v>'0'!A47</v>
      </c>
      <c r="K3484" s="15" t="str">
        <f t="shared" ca="1" si="951"/>
        <v>'0'!B47</v>
      </c>
    </row>
    <row r="3485" spans="1:16" x14ac:dyDescent="0.25">
      <c r="A3485" s="3" t="str">
        <f t="shared" ca="1" si="954"/>
        <v/>
      </c>
      <c r="G3485" s="15">
        <f t="shared" ca="1" si="961"/>
        <v>48</v>
      </c>
      <c r="H3485" s="15">
        <v>1</v>
      </c>
      <c r="I3485" s="15">
        <f t="shared" ca="1" si="962"/>
        <v>0</v>
      </c>
      <c r="J3485" s="15" t="str">
        <f t="shared" ca="1" si="950"/>
        <v>'0'!A48</v>
      </c>
      <c r="K3485" s="15" t="str">
        <f t="shared" ca="1" si="951"/>
        <v>'0'!B48</v>
      </c>
    </row>
    <row r="3486" spans="1:16" x14ac:dyDescent="0.25">
      <c r="A3486" s="3" t="str">
        <f t="shared" ca="1" si="954"/>
        <v/>
      </c>
      <c r="G3486" s="15">
        <f t="shared" ca="1" si="961"/>
        <v>49</v>
      </c>
      <c r="H3486" s="15">
        <v>1</v>
      </c>
      <c r="I3486" s="15">
        <f t="shared" ca="1" si="962"/>
        <v>0</v>
      </c>
      <c r="J3486" s="15" t="str">
        <f t="shared" ca="1" si="950"/>
        <v>'0'!A49</v>
      </c>
      <c r="K3486" s="15" t="str">
        <f t="shared" ca="1" si="951"/>
        <v>'0'!B49</v>
      </c>
    </row>
    <row r="3487" spans="1:16" x14ac:dyDescent="0.25">
      <c r="A3487" s="3" t="str">
        <f t="shared" ca="1" si="954"/>
        <v/>
      </c>
      <c r="G3487" s="15">
        <f t="shared" ca="1" si="961"/>
        <v>50</v>
      </c>
      <c r="H3487" s="15">
        <v>1</v>
      </c>
      <c r="I3487" s="15">
        <f t="shared" ca="1" si="962"/>
        <v>0</v>
      </c>
      <c r="J3487" s="15" t="str">
        <f t="shared" ca="1" si="950"/>
        <v>'0'!A50</v>
      </c>
      <c r="K3487" s="15" t="str">
        <f t="shared" ca="1" si="951"/>
        <v>'0'!B50</v>
      </c>
    </row>
    <row r="3488" spans="1:16" x14ac:dyDescent="0.25">
      <c r="A3488" s="3" t="str">
        <f t="shared" ca="1" si="954"/>
        <v/>
      </c>
      <c r="G3488" s="15">
        <f t="shared" ref="G3488" ca="1" si="969">INDIRECT(M3488)</f>
        <v>31</v>
      </c>
      <c r="H3488" s="15">
        <v>1</v>
      </c>
      <c r="I3488" s="15">
        <f t="shared" ref="I3488" ca="1" si="970">INDIRECT(N3488)</f>
        <v>0</v>
      </c>
      <c r="J3488" s="15" t="str">
        <f t="shared" ca="1" si="950"/>
        <v>'0'!A31</v>
      </c>
      <c r="K3488" s="15" t="str">
        <f t="shared" ca="1" si="951"/>
        <v>'0'!B31</v>
      </c>
      <c r="M3488" s="15" t="str">
        <f t="shared" ref="M3488" si="971">ADDRESS(O3488,3,4,1,$R$1)</f>
        <v>konfig!C176</v>
      </c>
      <c r="N3488" s="15" t="str">
        <f t="shared" ref="N3488" si="972">ADDRESS(O3488,1,4,1,$R$1)</f>
        <v>konfig!A176</v>
      </c>
      <c r="O3488" s="15">
        <v>176</v>
      </c>
      <c r="P3488" s="15">
        <v>4</v>
      </c>
    </row>
    <row r="3489" spans="1:11" x14ac:dyDescent="0.25">
      <c r="A3489" s="3" t="str">
        <f t="shared" ca="1" si="954"/>
        <v/>
      </c>
      <c r="G3489" s="15">
        <f t="shared" ca="1" si="959"/>
        <v>32</v>
      </c>
      <c r="H3489" s="15">
        <v>1</v>
      </c>
      <c r="I3489" s="15">
        <f t="shared" ca="1" si="960"/>
        <v>0</v>
      </c>
      <c r="J3489" s="15" t="str">
        <f t="shared" ca="1" si="950"/>
        <v>'0'!A32</v>
      </c>
      <c r="K3489" s="15" t="str">
        <f t="shared" ca="1" si="951"/>
        <v>'0'!B32</v>
      </c>
    </row>
    <row r="3490" spans="1:11" x14ac:dyDescent="0.25">
      <c r="A3490" s="3" t="str">
        <f t="shared" ca="1" si="954"/>
        <v/>
      </c>
      <c r="G3490" s="15">
        <f t="shared" ca="1" si="959"/>
        <v>33</v>
      </c>
      <c r="H3490" s="15">
        <v>1</v>
      </c>
      <c r="I3490" s="15">
        <f t="shared" ca="1" si="960"/>
        <v>0</v>
      </c>
      <c r="J3490" s="15" t="str">
        <f t="shared" ca="1" si="950"/>
        <v>'0'!A33</v>
      </c>
      <c r="K3490" s="15" t="str">
        <f t="shared" ca="1" si="951"/>
        <v>'0'!B33</v>
      </c>
    </row>
    <row r="3491" spans="1:11" x14ac:dyDescent="0.25">
      <c r="A3491" s="3" t="str">
        <f t="shared" ca="1" si="954"/>
        <v/>
      </c>
      <c r="C3491" s="16"/>
      <c r="G3491" s="15">
        <f t="shared" ca="1" si="959"/>
        <v>34</v>
      </c>
      <c r="H3491" s="15">
        <v>1</v>
      </c>
      <c r="I3491" s="15">
        <f t="shared" ca="1" si="960"/>
        <v>0</v>
      </c>
      <c r="J3491" s="15" t="str">
        <f t="shared" ca="1" si="950"/>
        <v>'0'!A34</v>
      </c>
      <c r="K3491" s="15" t="str">
        <f t="shared" ca="1" si="951"/>
        <v>'0'!B34</v>
      </c>
    </row>
    <row r="3492" spans="1:11" x14ac:dyDescent="0.25">
      <c r="A3492" s="3" t="str">
        <f t="shared" ca="1" si="954"/>
        <v/>
      </c>
      <c r="G3492" s="15">
        <f t="shared" ca="1" si="959"/>
        <v>35</v>
      </c>
      <c r="H3492" s="15">
        <v>1</v>
      </c>
      <c r="I3492" s="15">
        <f t="shared" ca="1" si="960"/>
        <v>0</v>
      </c>
      <c r="J3492" s="15" t="str">
        <f t="shared" ref="J3492:J3555" ca="1" si="973">ADDRESS(G3492,H3492,4,1,I3492)</f>
        <v>'0'!A35</v>
      </c>
      <c r="K3492" s="15" t="str">
        <f t="shared" ref="K3492:K3555" ca="1" si="974">ADDRESS(G3492,H3492+1,4,1,I3492)</f>
        <v>'0'!B35</v>
      </c>
    </row>
    <row r="3493" spans="1:11" x14ac:dyDescent="0.25">
      <c r="A3493" s="3" t="str">
        <f t="shared" ca="1" si="954"/>
        <v/>
      </c>
      <c r="G3493" s="15">
        <f t="shared" ca="1" si="961"/>
        <v>36</v>
      </c>
      <c r="H3493" s="15">
        <v>1</v>
      </c>
      <c r="I3493" s="15">
        <f t="shared" ca="1" si="962"/>
        <v>0</v>
      </c>
      <c r="J3493" s="15" t="str">
        <f t="shared" ca="1" si="973"/>
        <v>'0'!A36</v>
      </c>
      <c r="K3493" s="15" t="str">
        <f t="shared" ca="1" si="974"/>
        <v>'0'!B36</v>
      </c>
    </row>
    <row r="3494" spans="1:11" x14ac:dyDescent="0.25">
      <c r="A3494" s="3" t="str">
        <f t="shared" ca="1" si="954"/>
        <v/>
      </c>
      <c r="G3494" s="15">
        <f t="shared" ca="1" si="961"/>
        <v>37</v>
      </c>
      <c r="H3494" s="15">
        <v>1</v>
      </c>
      <c r="I3494" s="15">
        <f t="shared" ca="1" si="962"/>
        <v>0</v>
      </c>
      <c r="J3494" s="15" t="str">
        <f t="shared" ca="1" si="973"/>
        <v>'0'!A37</v>
      </c>
      <c r="K3494" s="15" t="str">
        <f t="shared" ca="1" si="974"/>
        <v>'0'!B37</v>
      </c>
    </row>
    <row r="3495" spans="1:11" x14ac:dyDescent="0.25">
      <c r="A3495" s="3" t="str">
        <f t="shared" ca="1" si="954"/>
        <v/>
      </c>
      <c r="G3495" s="15">
        <f t="shared" ca="1" si="961"/>
        <v>38</v>
      </c>
      <c r="H3495" s="15">
        <v>1</v>
      </c>
      <c r="I3495" s="15">
        <f t="shared" ca="1" si="962"/>
        <v>0</v>
      </c>
      <c r="J3495" s="15" t="str">
        <f t="shared" ca="1" si="973"/>
        <v>'0'!A38</v>
      </c>
      <c r="K3495" s="15" t="str">
        <f t="shared" ca="1" si="974"/>
        <v>'0'!B38</v>
      </c>
    </row>
    <row r="3496" spans="1:11" x14ac:dyDescent="0.25">
      <c r="A3496" s="3" t="str">
        <f t="shared" ca="1" si="954"/>
        <v/>
      </c>
      <c r="G3496" s="15">
        <f t="shared" ca="1" si="961"/>
        <v>39</v>
      </c>
      <c r="H3496" s="15">
        <v>1</v>
      </c>
      <c r="I3496" s="15">
        <f t="shared" ca="1" si="962"/>
        <v>0</v>
      </c>
      <c r="J3496" s="15" t="str">
        <f t="shared" ca="1" si="973"/>
        <v>'0'!A39</v>
      </c>
      <c r="K3496" s="15" t="str">
        <f t="shared" ca="1" si="974"/>
        <v>'0'!B39</v>
      </c>
    </row>
    <row r="3497" spans="1:11" x14ac:dyDescent="0.25">
      <c r="A3497" s="3" t="str">
        <f t="shared" ca="1" si="954"/>
        <v/>
      </c>
      <c r="G3497" s="15">
        <f t="shared" ca="1" si="961"/>
        <v>40</v>
      </c>
      <c r="H3497" s="15">
        <v>1</v>
      </c>
      <c r="I3497" s="15">
        <f t="shared" ca="1" si="962"/>
        <v>0</v>
      </c>
      <c r="J3497" s="15" t="str">
        <f t="shared" ca="1" si="973"/>
        <v>'0'!A40</v>
      </c>
      <c r="K3497" s="15" t="str">
        <f t="shared" ca="1" si="974"/>
        <v>'0'!B40</v>
      </c>
    </row>
    <row r="3498" spans="1:11" x14ac:dyDescent="0.25">
      <c r="A3498" s="3" t="str">
        <f t="shared" ca="1" si="954"/>
        <v/>
      </c>
      <c r="G3498" s="15">
        <f t="shared" ca="1" si="961"/>
        <v>41</v>
      </c>
      <c r="H3498" s="15">
        <v>1</v>
      </c>
      <c r="I3498" s="15">
        <f t="shared" ca="1" si="962"/>
        <v>0</v>
      </c>
      <c r="J3498" s="15" t="str">
        <f t="shared" ca="1" si="973"/>
        <v>'0'!A41</v>
      </c>
      <c r="K3498" s="15" t="str">
        <f t="shared" ca="1" si="974"/>
        <v>'0'!B41</v>
      </c>
    </row>
    <row r="3499" spans="1:11" x14ac:dyDescent="0.25">
      <c r="A3499" s="3" t="str">
        <f t="shared" ca="1" si="954"/>
        <v/>
      </c>
      <c r="C3499" s="16"/>
      <c r="G3499" s="15">
        <f t="shared" ca="1" si="961"/>
        <v>42</v>
      </c>
      <c r="H3499" s="15">
        <v>1</v>
      </c>
      <c r="I3499" s="15">
        <f t="shared" ca="1" si="962"/>
        <v>0</v>
      </c>
      <c r="J3499" s="15" t="str">
        <f t="shared" ca="1" si="973"/>
        <v>'0'!A42</v>
      </c>
      <c r="K3499" s="15" t="str">
        <f t="shared" ca="1" si="974"/>
        <v>'0'!B42</v>
      </c>
    </row>
    <row r="3500" spans="1:11" x14ac:dyDescent="0.25">
      <c r="A3500" s="3" t="str">
        <f t="shared" ref="A3500:A3563" ca="1" si="975">IFERROR(IF(INDIRECT(J3500)&lt;&gt;"",CONCATENATE(INDIRECT(J3500)," = ",INDIRECT(K3500)," "),""),"")</f>
        <v/>
      </c>
      <c r="G3500" s="15">
        <f t="shared" ca="1" si="961"/>
        <v>43</v>
      </c>
      <c r="H3500" s="15">
        <v>1</v>
      </c>
      <c r="I3500" s="15">
        <f t="shared" ca="1" si="962"/>
        <v>0</v>
      </c>
      <c r="J3500" s="15" t="str">
        <f t="shared" ca="1" si="973"/>
        <v>'0'!A43</v>
      </c>
      <c r="K3500" s="15" t="str">
        <f t="shared" ca="1" si="974"/>
        <v>'0'!B43</v>
      </c>
    </row>
    <row r="3501" spans="1:11" x14ac:dyDescent="0.25">
      <c r="A3501" s="3" t="str">
        <f t="shared" ca="1" si="975"/>
        <v/>
      </c>
      <c r="G3501" s="15">
        <f t="shared" ca="1" si="961"/>
        <v>44</v>
      </c>
      <c r="H3501" s="15">
        <v>1</v>
      </c>
      <c r="I3501" s="15">
        <f t="shared" ca="1" si="962"/>
        <v>0</v>
      </c>
      <c r="J3501" s="15" t="str">
        <f t="shared" ca="1" si="973"/>
        <v>'0'!A44</v>
      </c>
      <c r="K3501" s="15" t="str">
        <f t="shared" ca="1" si="974"/>
        <v>'0'!B44</v>
      </c>
    </row>
    <row r="3502" spans="1:11" x14ac:dyDescent="0.25">
      <c r="A3502" s="3" t="str">
        <f t="shared" ca="1" si="975"/>
        <v/>
      </c>
      <c r="G3502" s="15">
        <f t="shared" ca="1" si="961"/>
        <v>45</v>
      </c>
      <c r="H3502" s="15">
        <v>1</v>
      </c>
      <c r="I3502" s="15">
        <f t="shared" ca="1" si="962"/>
        <v>0</v>
      </c>
      <c r="J3502" s="15" t="str">
        <f t="shared" ca="1" si="973"/>
        <v>'0'!A45</v>
      </c>
      <c r="K3502" s="15" t="str">
        <f t="shared" ca="1" si="974"/>
        <v>'0'!B45</v>
      </c>
    </row>
    <row r="3503" spans="1:11" x14ac:dyDescent="0.25">
      <c r="A3503" s="3" t="str">
        <f t="shared" ca="1" si="975"/>
        <v/>
      </c>
      <c r="G3503" s="15">
        <f t="shared" ca="1" si="961"/>
        <v>46</v>
      </c>
      <c r="H3503" s="15">
        <v>1</v>
      </c>
      <c r="I3503" s="15">
        <f t="shared" ca="1" si="962"/>
        <v>0</v>
      </c>
      <c r="J3503" s="15" t="str">
        <f t="shared" ca="1" si="973"/>
        <v>'0'!A46</v>
      </c>
      <c r="K3503" s="15" t="str">
        <f t="shared" ca="1" si="974"/>
        <v>'0'!B46</v>
      </c>
    </row>
    <row r="3504" spans="1:11" x14ac:dyDescent="0.25">
      <c r="A3504" s="3" t="str">
        <f t="shared" ca="1" si="975"/>
        <v/>
      </c>
      <c r="G3504" s="15">
        <f t="shared" ca="1" si="961"/>
        <v>47</v>
      </c>
      <c r="H3504" s="15">
        <v>1</v>
      </c>
      <c r="I3504" s="15">
        <f t="shared" ca="1" si="962"/>
        <v>0</v>
      </c>
      <c r="J3504" s="15" t="str">
        <f t="shared" ca="1" si="973"/>
        <v>'0'!A47</v>
      </c>
      <c r="K3504" s="15" t="str">
        <f t="shared" ca="1" si="974"/>
        <v>'0'!B47</v>
      </c>
    </row>
    <row r="3505" spans="1:16" x14ac:dyDescent="0.25">
      <c r="A3505" s="3" t="str">
        <f t="shared" ca="1" si="975"/>
        <v/>
      </c>
      <c r="G3505" s="15">
        <f t="shared" ca="1" si="961"/>
        <v>48</v>
      </c>
      <c r="H3505" s="15">
        <v>1</v>
      </c>
      <c r="I3505" s="15">
        <f t="shared" ca="1" si="962"/>
        <v>0</v>
      </c>
      <c r="J3505" s="15" t="str">
        <f t="shared" ca="1" si="973"/>
        <v>'0'!A48</v>
      </c>
      <c r="K3505" s="15" t="str">
        <f t="shared" ca="1" si="974"/>
        <v>'0'!B48</v>
      </c>
    </row>
    <row r="3506" spans="1:16" x14ac:dyDescent="0.25">
      <c r="A3506" s="3" t="str">
        <f t="shared" ca="1" si="975"/>
        <v/>
      </c>
      <c r="G3506" s="15">
        <f t="shared" ca="1" si="961"/>
        <v>49</v>
      </c>
      <c r="H3506" s="15">
        <v>1</v>
      </c>
      <c r="I3506" s="15">
        <f t="shared" ca="1" si="962"/>
        <v>0</v>
      </c>
      <c r="J3506" s="15" t="str">
        <f t="shared" ca="1" si="973"/>
        <v>'0'!A49</v>
      </c>
      <c r="K3506" s="15" t="str">
        <f t="shared" ca="1" si="974"/>
        <v>'0'!B49</v>
      </c>
    </row>
    <row r="3507" spans="1:16" x14ac:dyDescent="0.25">
      <c r="A3507" s="3" t="str">
        <f t="shared" ca="1" si="975"/>
        <v/>
      </c>
      <c r="G3507" s="15">
        <f t="shared" ca="1" si="961"/>
        <v>50</v>
      </c>
      <c r="H3507" s="15">
        <v>1</v>
      </c>
      <c r="I3507" s="15">
        <f t="shared" ca="1" si="962"/>
        <v>0</v>
      </c>
      <c r="J3507" s="15" t="str">
        <f t="shared" ca="1" si="973"/>
        <v>'0'!A50</v>
      </c>
      <c r="K3507" s="15" t="str">
        <f t="shared" ca="1" si="974"/>
        <v>'0'!B50</v>
      </c>
    </row>
    <row r="3508" spans="1:16" x14ac:dyDescent="0.25">
      <c r="A3508" s="3" t="str">
        <f t="shared" ca="1" si="975"/>
        <v/>
      </c>
      <c r="G3508" s="15">
        <f t="shared" ref="G3508" ca="1" si="976">INDIRECT(M3508)</f>
        <v>31</v>
      </c>
      <c r="H3508" s="15">
        <v>1</v>
      </c>
      <c r="I3508" s="15">
        <f t="shared" ref="I3508" ca="1" si="977">INDIRECT(N3508)</f>
        <v>0</v>
      </c>
      <c r="J3508" s="15" t="str">
        <f t="shared" ca="1" si="973"/>
        <v>'0'!A31</v>
      </c>
      <c r="K3508" s="15" t="str">
        <f t="shared" ca="1" si="974"/>
        <v>'0'!B31</v>
      </c>
      <c r="M3508" s="15" t="str">
        <f t="shared" ref="M3508" si="978">ADDRESS(O3508,3,4,1,$R$1)</f>
        <v>konfig!C177</v>
      </c>
      <c r="N3508" s="15" t="str">
        <f t="shared" ref="N3508" si="979">ADDRESS(O3508,1,4,1,$R$1)</f>
        <v>konfig!A177</v>
      </c>
      <c r="O3508" s="15">
        <v>177</v>
      </c>
      <c r="P3508" s="15">
        <v>4</v>
      </c>
    </row>
    <row r="3509" spans="1:16" x14ac:dyDescent="0.25">
      <c r="A3509" s="3" t="str">
        <f t="shared" ca="1" si="975"/>
        <v/>
      </c>
      <c r="G3509" s="15">
        <f t="shared" ca="1" si="967"/>
        <v>32</v>
      </c>
      <c r="H3509" s="15">
        <v>1</v>
      </c>
      <c r="I3509" s="15">
        <f t="shared" ca="1" si="968"/>
        <v>0</v>
      </c>
      <c r="J3509" s="15" t="str">
        <f t="shared" ca="1" si="973"/>
        <v>'0'!A32</v>
      </c>
      <c r="K3509" s="15" t="str">
        <f t="shared" ca="1" si="974"/>
        <v>'0'!B32</v>
      </c>
    </row>
    <row r="3510" spans="1:16" x14ac:dyDescent="0.25">
      <c r="A3510" s="3" t="str">
        <f t="shared" ca="1" si="975"/>
        <v/>
      </c>
      <c r="G3510" s="15">
        <f t="shared" ca="1" si="961"/>
        <v>33</v>
      </c>
      <c r="H3510" s="15">
        <v>1</v>
      </c>
      <c r="I3510" s="15">
        <f t="shared" ca="1" si="962"/>
        <v>0</v>
      </c>
      <c r="J3510" s="15" t="str">
        <f t="shared" ca="1" si="973"/>
        <v>'0'!A33</v>
      </c>
      <c r="K3510" s="15" t="str">
        <f t="shared" ca="1" si="974"/>
        <v>'0'!B33</v>
      </c>
    </row>
    <row r="3511" spans="1:16" x14ac:dyDescent="0.25">
      <c r="A3511" s="3" t="str">
        <f t="shared" ca="1" si="975"/>
        <v/>
      </c>
      <c r="C3511" s="16"/>
      <c r="G3511" s="15">
        <f t="shared" ca="1" si="961"/>
        <v>34</v>
      </c>
      <c r="H3511" s="15">
        <v>1</v>
      </c>
      <c r="I3511" s="15">
        <f t="shared" ca="1" si="962"/>
        <v>0</v>
      </c>
      <c r="J3511" s="15" t="str">
        <f t="shared" ca="1" si="973"/>
        <v>'0'!A34</v>
      </c>
      <c r="K3511" s="15" t="str">
        <f t="shared" ca="1" si="974"/>
        <v>'0'!B34</v>
      </c>
    </row>
    <row r="3512" spans="1:16" x14ac:dyDescent="0.25">
      <c r="A3512" s="3" t="str">
        <f t="shared" ca="1" si="975"/>
        <v/>
      </c>
      <c r="G3512" s="15">
        <f t="shared" ca="1" si="961"/>
        <v>35</v>
      </c>
      <c r="H3512" s="15">
        <v>1</v>
      </c>
      <c r="I3512" s="15">
        <f t="shared" ca="1" si="962"/>
        <v>0</v>
      </c>
      <c r="J3512" s="15" t="str">
        <f t="shared" ca="1" si="973"/>
        <v>'0'!A35</v>
      </c>
      <c r="K3512" s="15" t="str">
        <f t="shared" ca="1" si="974"/>
        <v>'0'!B35</v>
      </c>
    </row>
    <row r="3513" spans="1:16" x14ac:dyDescent="0.25">
      <c r="A3513" s="3" t="str">
        <f t="shared" ca="1" si="975"/>
        <v/>
      </c>
      <c r="G3513" s="15">
        <f t="shared" ca="1" si="961"/>
        <v>36</v>
      </c>
      <c r="H3513" s="15">
        <v>1</v>
      </c>
      <c r="I3513" s="15">
        <f t="shared" ca="1" si="962"/>
        <v>0</v>
      </c>
      <c r="J3513" s="15" t="str">
        <f t="shared" ca="1" si="973"/>
        <v>'0'!A36</v>
      </c>
      <c r="K3513" s="15" t="str">
        <f t="shared" ca="1" si="974"/>
        <v>'0'!B36</v>
      </c>
    </row>
    <row r="3514" spans="1:16" x14ac:dyDescent="0.25">
      <c r="A3514" s="3" t="str">
        <f t="shared" ca="1" si="975"/>
        <v/>
      </c>
      <c r="G3514" s="15">
        <f t="shared" ca="1" si="961"/>
        <v>37</v>
      </c>
      <c r="H3514" s="15">
        <v>1</v>
      </c>
      <c r="I3514" s="15">
        <f t="shared" ca="1" si="962"/>
        <v>0</v>
      </c>
      <c r="J3514" s="15" t="str">
        <f t="shared" ca="1" si="973"/>
        <v>'0'!A37</v>
      </c>
      <c r="K3514" s="15" t="str">
        <f t="shared" ca="1" si="974"/>
        <v>'0'!B37</v>
      </c>
    </row>
    <row r="3515" spans="1:16" x14ac:dyDescent="0.25">
      <c r="A3515" s="3" t="str">
        <f t="shared" ca="1" si="975"/>
        <v/>
      </c>
      <c r="G3515" s="15">
        <f t="shared" ca="1" si="961"/>
        <v>38</v>
      </c>
      <c r="H3515" s="15">
        <v>1</v>
      </c>
      <c r="I3515" s="15">
        <f t="shared" ca="1" si="962"/>
        <v>0</v>
      </c>
      <c r="J3515" s="15" t="str">
        <f t="shared" ca="1" si="973"/>
        <v>'0'!A38</v>
      </c>
      <c r="K3515" s="15" t="str">
        <f t="shared" ca="1" si="974"/>
        <v>'0'!B38</v>
      </c>
    </row>
    <row r="3516" spans="1:16" x14ac:dyDescent="0.25">
      <c r="A3516" s="3" t="str">
        <f t="shared" ca="1" si="975"/>
        <v/>
      </c>
      <c r="G3516" s="15">
        <f t="shared" ca="1" si="961"/>
        <v>39</v>
      </c>
      <c r="H3516" s="15">
        <v>1</v>
      </c>
      <c r="I3516" s="15">
        <f t="shared" ca="1" si="962"/>
        <v>0</v>
      </c>
      <c r="J3516" s="15" t="str">
        <f t="shared" ca="1" si="973"/>
        <v>'0'!A39</v>
      </c>
      <c r="K3516" s="15" t="str">
        <f t="shared" ca="1" si="974"/>
        <v>'0'!B39</v>
      </c>
    </row>
    <row r="3517" spans="1:16" x14ac:dyDescent="0.25">
      <c r="A3517" s="3" t="str">
        <f t="shared" ca="1" si="975"/>
        <v/>
      </c>
      <c r="G3517" s="15">
        <f t="shared" ca="1" si="961"/>
        <v>40</v>
      </c>
      <c r="H3517" s="15">
        <v>1</v>
      </c>
      <c r="I3517" s="15">
        <f t="shared" ca="1" si="962"/>
        <v>0</v>
      </c>
      <c r="J3517" s="15" t="str">
        <f t="shared" ca="1" si="973"/>
        <v>'0'!A40</v>
      </c>
      <c r="K3517" s="15" t="str">
        <f t="shared" ca="1" si="974"/>
        <v>'0'!B40</v>
      </c>
    </row>
    <row r="3518" spans="1:16" x14ac:dyDescent="0.25">
      <c r="A3518" s="3" t="str">
        <f t="shared" ca="1" si="975"/>
        <v/>
      </c>
      <c r="G3518" s="15">
        <f t="shared" ca="1" si="961"/>
        <v>41</v>
      </c>
      <c r="H3518" s="15">
        <v>1</v>
      </c>
      <c r="I3518" s="15">
        <f t="shared" ca="1" si="962"/>
        <v>0</v>
      </c>
      <c r="J3518" s="15" t="str">
        <f t="shared" ca="1" si="973"/>
        <v>'0'!A41</v>
      </c>
      <c r="K3518" s="15" t="str">
        <f t="shared" ca="1" si="974"/>
        <v>'0'!B41</v>
      </c>
    </row>
    <row r="3519" spans="1:16" x14ac:dyDescent="0.25">
      <c r="A3519" s="3" t="str">
        <f t="shared" ca="1" si="975"/>
        <v/>
      </c>
      <c r="C3519" s="16"/>
      <c r="G3519" s="15">
        <f t="shared" ca="1" si="961"/>
        <v>42</v>
      </c>
      <c r="H3519" s="15">
        <v>1</v>
      </c>
      <c r="I3519" s="15">
        <f t="shared" ca="1" si="962"/>
        <v>0</v>
      </c>
      <c r="J3519" s="15" t="str">
        <f t="shared" ca="1" si="973"/>
        <v>'0'!A42</v>
      </c>
      <c r="K3519" s="15" t="str">
        <f t="shared" ca="1" si="974"/>
        <v>'0'!B42</v>
      </c>
    </row>
    <row r="3520" spans="1:16" x14ac:dyDescent="0.25">
      <c r="A3520" s="3" t="str">
        <f t="shared" ca="1" si="975"/>
        <v/>
      </c>
      <c r="G3520" s="15">
        <f t="shared" ca="1" si="961"/>
        <v>43</v>
      </c>
      <c r="H3520" s="15">
        <v>1</v>
      </c>
      <c r="I3520" s="15">
        <f t="shared" ca="1" si="962"/>
        <v>0</v>
      </c>
      <c r="J3520" s="15" t="str">
        <f t="shared" ca="1" si="973"/>
        <v>'0'!A43</v>
      </c>
      <c r="K3520" s="15" t="str">
        <f t="shared" ca="1" si="974"/>
        <v>'0'!B43</v>
      </c>
    </row>
    <row r="3521" spans="1:16" x14ac:dyDescent="0.25">
      <c r="A3521" s="3" t="str">
        <f t="shared" ca="1" si="975"/>
        <v/>
      </c>
      <c r="G3521" s="15">
        <f t="shared" ca="1" si="961"/>
        <v>44</v>
      </c>
      <c r="H3521" s="15">
        <v>1</v>
      </c>
      <c r="I3521" s="15">
        <f t="shared" ca="1" si="962"/>
        <v>0</v>
      </c>
      <c r="J3521" s="15" t="str">
        <f t="shared" ca="1" si="973"/>
        <v>'0'!A44</v>
      </c>
      <c r="K3521" s="15" t="str">
        <f t="shared" ca="1" si="974"/>
        <v>'0'!B44</v>
      </c>
    </row>
    <row r="3522" spans="1:16" x14ac:dyDescent="0.25">
      <c r="A3522" s="3" t="str">
        <f t="shared" ca="1" si="975"/>
        <v/>
      </c>
      <c r="G3522" s="15">
        <f t="shared" ca="1" si="961"/>
        <v>45</v>
      </c>
      <c r="H3522" s="15">
        <v>1</v>
      </c>
      <c r="I3522" s="15">
        <f t="shared" ca="1" si="962"/>
        <v>0</v>
      </c>
      <c r="J3522" s="15" t="str">
        <f t="shared" ca="1" si="973"/>
        <v>'0'!A45</v>
      </c>
      <c r="K3522" s="15" t="str">
        <f t="shared" ca="1" si="974"/>
        <v>'0'!B45</v>
      </c>
    </row>
    <row r="3523" spans="1:16" x14ac:dyDescent="0.25">
      <c r="A3523" s="3" t="str">
        <f t="shared" ca="1" si="975"/>
        <v/>
      </c>
      <c r="G3523" s="15">
        <f t="shared" ca="1" si="961"/>
        <v>46</v>
      </c>
      <c r="H3523" s="15">
        <v>1</v>
      </c>
      <c r="I3523" s="15">
        <f t="shared" ca="1" si="962"/>
        <v>0</v>
      </c>
      <c r="J3523" s="15" t="str">
        <f t="shared" ca="1" si="973"/>
        <v>'0'!A46</v>
      </c>
      <c r="K3523" s="15" t="str">
        <f t="shared" ca="1" si="974"/>
        <v>'0'!B46</v>
      </c>
    </row>
    <row r="3524" spans="1:16" x14ac:dyDescent="0.25">
      <c r="A3524" s="3" t="str">
        <f t="shared" ca="1" si="975"/>
        <v/>
      </c>
      <c r="G3524" s="15">
        <f t="shared" ca="1" si="961"/>
        <v>47</v>
      </c>
      <c r="H3524" s="15">
        <v>1</v>
      </c>
      <c r="I3524" s="15">
        <f t="shared" ca="1" si="962"/>
        <v>0</v>
      </c>
      <c r="J3524" s="15" t="str">
        <f t="shared" ca="1" si="973"/>
        <v>'0'!A47</v>
      </c>
      <c r="K3524" s="15" t="str">
        <f t="shared" ca="1" si="974"/>
        <v>'0'!B47</v>
      </c>
    </row>
    <row r="3525" spans="1:16" x14ac:dyDescent="0.25">
      <c r="A3525" s="3" t="str">
        <f t="shared" ca="1" si="975"/>
        <v/>
      </c>
      <c r="G3525" s="15">
        <f t="shared" ca="1" si="961"/>
        <v>48</v>
      </c>
      <c r="H3525" s="15">
        <v>1</v>
      </c>
      <c r="I3525" s="15">
        <f t="shared" ca="1" si="962"/>
        <v>0</v>
      </c>
      <c r="J3525" s="15" t="str">
        <f t="shared" ca="1" si="973"/>
        <v>'0'!A48</v>
      </c>
      <c r="K3525" s="15" t="str">
        <f t="shared" ca="1" si="974"/>
        <v>'0'!B48</v>
      </c>
    </row>
    <row r="3526" spans="1:16" x14ac:dyDescent="0.25">
      <c r="A3526" s="3" t="str">
        <f t="shared" ca="1" si="975"/>
        <v/>
      </c>
      <c r="G3526" s="15">
        <f t="shared" ca="1" si="961"/>
        <v>49</v>
      </c>
      <c r="H3526" s="15">
        <v>1</v>
      </c>
      <c r="I3526" s="15">
        <f t="shared" ca="1" si="962"/>
        <v>0</v>
      </c>
      <c r="J3526" s="15" t="str">
        <f t="shared" ca="1" si="973"/>
        <v>'0'!A49</v>
      </c>
      <c r="K3526" s="15" t="str">
        <f t="shared" ca="1" si="974"/>
        <v>'0'!B49</v>
      </c>
    </row>
    <row r="3527" spans="1:16" x14ac:dyDescent="0.25">
      <c r="A3527" s="3" t="str">
        <f t="shared" ca="1" si="975"/>
        <v/>
      </c>
      <c r="G3527" s="15">
        <f t="shared" ca="1" si="961"/>
        <v>50</v>
      </c>
      <c r="H3527" s="15">
        <v>1</v>
      </c>
      <c r="I3527" s="15">
        <f t="shared" ca="1" si="962"/>
        <v>0</v>
      </c>
      <c r="J3527" s="15" t="str">
        <f t="shared" ca="1" si="973"/>
        <v>'0'!A50</v>
      </c>
      <c r="K3527" s="15" t="str">
        <f t="shared" ca="1" si="974"/>
        <v>'0'!B50</v>
      </c>
    </row>
    <row r="3528" spans="1:16" x14ac:dyDescent="0.25">
      <c r="A3528" s="3" t="str">
        <f t="shared" ca="1" si="975"/>
        <v/>
      </c>
      <c r="G3528" s="15">
        <f t="shared" ref="G3528" ca="1" si="980">INDIRECT(M3528)</f>
        <v>31</v>
      </c>
      <c r="H3528" s="15">
        <v>1</v>
      </c>
      <c r="I3528" s="15">
        <f t="shared" ref="I3528" ca="1" si="981">INDIRECT(N3528)</f>
        <v>0</v>
      </c>
      <c r="J3528" s="15" t="str">
        <f t="shared" ca="1" si="973"/>
        <v>'0'!A31</v>
      </c>
      <c r="K3528" s="15" t="str">
        <f t="shared" ca="1" si="974"/>
        <v>'0'!B31</v>
      </c>
      <c r="M3528" s="15" t="str">
        <f t="shared" ref="M3528" si="982">ADDRESS(O3528,3,4,1,$R$1)</f>
        <v>konfig!C178</v>
      </c>
      <c r="N3528" s="15" t="str">
        <f t="shared" ref="N3528" si="983">ADDRESS(O3528,1,4,1,$R$1)</f>
        <v>konfig!A178</v>
      </c>
      <c r="O3528" s="15">
        <v>178</v>
      </c>
      <c r="P3528" s="15">
        <v>4</v>
      </c>
    </row>
    <row r="3529" spans="1:16" x14ac:dyDescent="0.25">
      <c r="A3529" s="3" t="str">
        <f t="shared" ca="1" si="975"/>
        <v/>
      </c>
      <c r="G3529" s="15">
        <f t="shared" ref="G3529:G3592" ca="1" si="984">G3528+1</f>
        <v>32</v>
      </c>
      <c r="H3529" s="15">
        <v>1</v>
      </c>
      <c r="I3529" s="15">
        <f t="shared" ref="I3529:I3592" ca="1" si="985">I3528</f>
        <v>0</v>
      </c>
      <c r="J3529" s="15" t="str">
        <f t="shared" ca="1" si="973"/>
        <v>'0'!A32</v>
      </c>
      <c r="K3529" s="15" t="str">
        <f t="shared" ca="1" si="974"/>
        <v>'0'!B32</v>
      </c>
    </row>
    <row r="3530" spans="1:16" x14ac:dyDescent="0.25">
      <c r="A3530" s="3" t="str">
        <f t="shared" ca="1" si="975"/>
        <v/>
      </c>
      <c r="G3530" s="15">
        <f t="shared" ca="1" si="984"/>
        <v>33</v>
      </c>
      <c r="H3530" s="15">
        <v>1</v>
      </c>
      <c r="I3530" s="15">
        <f t="shared" ca="1" si="985"/>
        <v>0</v>
      </c>
      <c r="J3530" s="15" t="str">
        <f t="shared" ca="1" si="973"/>
        <v>'0'!A33</v>
      </c>
      <c r="K3530" s="15" t="str">
        <f t="shared" ca="1" si="974"/>
        <v>'0'!B33</v>
      </c>
    </row>
    <row r="3531" spans="1:16" x14ac:dyDescent="0.25">
      <c r="A3531" s="3" t="str">
        <f t="shared" ca="1" si="975"/>
        <v/>
      </c>
      <c r="C3531" s="16"/>
      <c r="G3531" s="15">
        <f t="shared" ca="1" si="984"/>
        <v>34</v>
      </c>
      <c r="H3531" s="15">
        <v>1</v>
      </c>
      <c r="I3531" s="15">
        <f t="shared" ca="1" si="985"/>
        <v>0</v>
      </c>
      <c r="J3531" s="15" t="str">
        <f t="shared" ca="1" si="973"/>
        <v>'0'!A34</v>
      </c>
      <c r="K3531" s="15" t="str">
        <f t="shared" ca="1" si="974"/>
        <v>'0'!B34</v>
      </c>
    </row>
    <row r="3532" spans="1:16" x14ac:dyDescent="0.25">
      <c r="A3532" s="3" t="str">
        <f t="shared" ca="1" si="975"/>
        <v/>
      </c>
      <c r="G3532" s="15">
        <f t="shared" ca="1" si="984"/>
        <v>35</v>
      </c>
      <c r="H3532" s="15">
        <v>1</v>
      </c>
      <c r="I3532" s="15">
        <f t="shared" ca="1" si="985"/>
        <v>0</v>
      </c>
      <c r="J3532" s="15" t="str">
        <f t="shared" ca="1" si="973"/>
        <v>'0'!A35</v>
      </c>
      <c r="K3532" s="15" t="str">
        <f t="shared" ca="1" si="974"/>
        <v>'0'!B35</v>
      </c>
    </row>
    <row r="3533" spans="1:16" x14ac:dyDescent="0.25">
      <c r="A3533" s="3" t="str">
        <f t="shared" ca="1" si="975"/>
        <v/>
      </c>
      <c r="G3533" s="15">
        <f t="shared" ca="1" si="984"/>
        <v>36</v>
      </c>
      <c r="H3533" s="15">
        <v>1</v>
      </c>
      <c r="I3533" s="15">
        <f t="shared" ca="1" si="985"/>
        <v>0</v>
      </c>
      <c r="J3533" s="15" t="str">
        <f t="shared" ca="1" si="973"/>
        <v>'0'!A36</v>
      </c>
      <c r="K3533" s="15" t="str">
        <f t="shared" ca="1" si="974"/>
        <v>'0'!B36</v>
      </c>
    </row>
    <row r="3534" spans="1:16" x14ac:dyDescent="0.25">
      <c r="A3534" s="3" t="str">
        <f t="shared" ca="1" si="975"/>
        <v/>
      </c>
      <c r="G3534" s="15">
        <f t="shared" ca="1" si="984"/>
        <v>37</v>
      </c>
      <c r="H3534" s="15">
        <v>1</v>
      </c>
      <c r="I3534" s="15">
        <f t="shared" ca="1" si="985"/>
        <v>0</v>
      </c>
      <c r="J3534" s="15" t="str">
        <f t="shared" ca="1" si="973"/>
        <v>'0'!A37</v>
      </c>
      <c r="K3534" s="15" t="str">
        <f t="shared" ca="1" si="974"/>
        <v>'0'!B37</v>
      </c>
    </row>
    <row r="3535" spans="1:16" x14ac:dyDescent="0.25">
      <c r="A3535" s="3" t="str">
        <f t="shared" ca="1" si="975"/>
        <v/>
      </c>
      <c r="G3535" s="15">
        <f t="shared" ca="1" si="984"/>
        <v>38</v>
      </c>
      <c r="H3535" s="15">
        <v>1</v>
      </c>
      <c r="I3535" s="15">
        <f t="shared" ca="1" si="985"/>
        <v>0</v>
      </c>
      <c r="J3535" s="15" t="str">
        <f t="shared" ca="1" si="973"/>
        <v>'0'!A38</v>
      </c>
      <c r="K3535" s="15" t="str">
        <f t="shared" ca="1" si="974"/>
        <v>'0'!B38</v>
      </c>
    </row>
    <row r="3536" spans="1:16" x14ac:dyDescent="0.25">
      <c r="A3536" s="3" t="str">
        <f t="shared" ca="1" si="975"/>
        <v/>
      </c>
      <c r="G3536" s="15">
        <f t="shared" ca="1" si="984"/>
        <v>39</v>
      </c>
      <c r="H3536" s="15">
        <v>1</v>
      </c>
      <c r="I3536" s="15">
        <f t="shared" ca="1" si="985"/>
        <v>0</v>
      </c>
      <c r="J3536" s="15" t="str">
        <f t="shared" ca="1" si="973"/>
        <v>'0'!A39</v>
      </c>
      <c r="K3536" s="15" t="str">
        <f t="shared" ca="1" si="974"/>
        <v>'0'!B39</v>
      </c>
    </row>
    <row r="3537" spans="1:16" x14ac:dyDescent="0.25">
      <c r="A3537" s="3" t="str">
        <f t="shared" ca="1" si="975"/>
        <v/>
      </c>
      <c r="G3537" s="15">
        <f t="shared" ca="1" si="984"/>
        <v>40</v>
      </c>
      <c r="H3537" s="15">
        <v>1</v>
      </c>
      <c r="I3537" s="15">
        <f t="shared" ca="1" si="985"/>
        <v>0</v>
      </c>
      <c r="J3537" s="15" t="str">
        <f t="shared" ca="1" si="973"/>
        <v>'0'!A40</v>
      </c>
      <c r="K3537" s="15" t="str">
        <f t="shared" ca="1" si="974"/>
        <v>'0'!B40</v>
      </c>
    </row>
    <row r="3538" spans="1:16" x14ac:dyDescent="0.25">
      <c r="A3538" s="3" t="str">
        <f t="shared" ca="1" si="975"/>
        <v/>
      </c>
      <c r="G3538" s="15">
        <f t="shared" ca="1" si="984"/>
        <v>41</v>
      </c>
      <c r="H3538" s="15">
        <v>1</v>
      </c>
      <c r="I3538" s="15">
        <f t="shared" ca="1" si="985"/>
        <v>0</v>
      </c>
      <c r="J3538" s="15" t="str">
        <f t="shared" ca="1" si="973"/>
        <v>'0'!A41</v>
      </c>
      <c r="K3538" s="15" t="str">
        <f t="shared" ca="1" si="974"/>
        <v>'0'!B41</v>
      </c>
    </row>
    <row r="3539" spans="1:16" x14ac:dyDescent="0.25">
      <c r="A3539" s="3" t="str">
        <f t="shared" ca="1" si="975"/>
        <v/>
      </c>
      <c r="C3539" s="16"/>
      <c r="G3539" s="15">
        <f t="shared" ca="1" si="984"/>
        <v>42</v>
      </c>
      <c r="H3539" s="15">
        <v>1</v>
      </c>
      <c r="I3539" s="15">
        <f t="shared" ca="1" si="985"/>
        <v>0</v>
      </c>
      <c r="J3539" s="15" t="str">
        <f t="shared" ca="1" si="973"/>
        <v>'0'!A42</v>
      </c>
      <c r="K3539" s="15" t="str">
        <f t="shared" ca="1" si="974"/>
        <v>'0'!B42</v>
      </c>
    </row>
    <row r="3540" spans="1:16" x14ac:dyDescent="0.25">
      <c r="A3540" s="3" t="str">
        <f t="shared" ca="1" si="975"/>
        <v/>
      </c>
      <c r="G3540" s="15">
        <f t="shared" ca="1" si="984"/>
        <v>43</v>
      </c>
      <c r="H3540" s="15">
        <v>1</v>
      </c>
      <c r="I3540" s="15">
        <f t="shared" ca="1" si="985"/>
        <v>0</v>
      </c>
      <c r="J3540" s="15" t="str">
        <f t="shared" ca="1" si="973"/>
        <v>'0'!A43</v>
      </c>
      <c r="K3540" s="15" t="str">
        <f t="shared" ca="1" si="974"/>
        <v>'0'!B43</v>
      </c>
    </row>
    <row r="3541" spans="1:16" x14ac:dyDescent="0.25">
      <c r="A3541" s="3" t="str">
        <f t="shared" ca="1" si="975"/>
        <v/>
      </c>
      <c r="G3541" s="15">
        <f t="shared" ca="1" si="984"/>
        <v>44</v>
      </c>
      <c r="H3541" s="15">
        <v>1</v>
      </c>
      <c r="I3541" s="15">
        <f t="shared" ca="1" si="985"/>
        <v>0</v>
      </c>
      <c r="J3541" s="15" t="str">
        <f t="shared" ca="1" si="973"/>
        <v>'0'!A44</v>
      </c>
      <c r="K3541" s="15" t="str">
        <f t="shared" ca="1" si="974"/>
        <v>'0'!B44</v>
      </c>
    </row>
    <row r="3542" spans="1:16" x14ac:dyDescent="0.25">
      <c r="A3542" s="3" t="str">
        <f t="shared" ca="1" si="975"/>
        <v/>
      </c>
      <c r="G3542" s="15">
        <f t="shared" ca="1" si="984"/>
        <v>45</v>
      </c>
      <c r="H3542" s="15">
        <v>1</v>
      </c>
      <c r="I3542" s="15">
        <f t="shared" ca="1" si="985"/>
        <v>0</v>
      </c>
      <c r="J3542" s="15" t="str">
        <f t="shared" ca="1" si="973"/>
        <v>'0'!A45</v>
      </c>
      <c r="K3542" s="15" t="str">
        <f t="shared" ca="1" si="974"/>
        <v>'0'!B45</v>
      </c>
    </row>
    <row r="3543" spans="1:16" x14ac:dyDescent="0.25">
      <c r="A3543" s="3" t="str">
        <f t="shared" ca="1" si="975"/>
        <v/>
      </c>
      <c r="G3543" s="15">
        <f t="shared" ca="1" si="984"/>
        <v>46</v>
      </c>
      <c r="H3543" s="15">
        <v>1</v>
      </c>
      <c r="I3543" s="15">
        <f t="shared" ca="1" si="985"/>
        <v>0</v>
      </c>
      <c r="J3543" s="15" t="str">
        <f t="shared" ca="1" si="973"/>
        <v>'0'!A46</v>
      </c>
      <c r="K3543" s="15" t="str">
        <f t="shared" ca="1" si="974"/>
        <v>'0'!B46</v>
      </c>
    </row>
    <row r="3544" spans="1:16" x14ac:dyDescent="0.25">
      <c r="A3544" s="3" t="str">
        <f t="shared" ca="1" si="975"/>
        <v/>
      </c>
      <c r="G3544" s="15">
        <f t="shared" ca="1" si="984"/>
        <v>47</v>
      </c>
      <c r="H3544" s="15">
        <v>1</v>
      </c>
      <c r="I3544" s="15">
        <f t="shared" ca="1" si="985"/>
        <v>0</v>
      </c>
      <c r="J3544" s="15" t="str">
        <f t="shared" ca="1" si="973"/>
        <v>'0'!A47</v>
      </c>
      <c r="K3544" s="15" t="str">
        <f t="shared" ca="1" si="974"/>
        <v>'0'!B47</v>
      </c>
    </row>
    <row r="3545" spans="1:16" x14ac:dyDescent="0.25">
      <c r="A3545" s="3" t="str">
        <f t="shared" ca="1" si="975"/>
        <v/>
      </c>
      <c r="G3545" s="15">
        <f t="shared" ca="1" si="984"/>
        <v>48</v>
      </c>
      <c r="H3545" s="15">
        <v>1</v>
      </c>
      <c r="I3545" s="15">
        <f t="shared" ca="1" si="985"/>
        <v>0</v>
      </c>
      <c r="J3545" s="15" t="str">
        <f t="shared" ca="1" si="973"/>
        <v>'0'!A48</v>
      </c>
      <c r="K3545" s="15" t="str">
        <f t="shared" ca="1" si="974"/>
        <v>'0'!B48</v>
      </c>
    </row>
    <row r="3546" spans="1:16" x14ac:dyDescent="0.25">
      <c r="A3546" s="3" t="str">
        <f t="shared" ca="1" si="975"/>
        <v/>
      </c>
      <c r="G3546" s="15">
        <f t="shared" ca="1" si="984"/>
        <v>49</v>
      </c>
      <c r="H3546" s="15">
        <v>1</v>
      </c>
      <c r="I3546" s="15">
        <f t="shared" ca="1" si="985"/>
        <v>0</v>
      </c>
      <c r="J3546" s="15" t="str">
        <f t="shared" ca="1" si="973"/>
        <v>'0'!A49</v>
      </c>
      <c r="K3546" s="15" t="str">
        <f t="shared" ca="1" si="974"/>
        <v>'0'!B49</v>
      </c>
    </row>
    <row r="3547" spans="1:16" x14ac:dyDescent="0.25">
      <c r="A3547" s="3" t="str">
        <f t="shared" ca="1" si="975"/>
        <v/>
      </c>
      <c r="G3547" s="15">
        <f t="shared" ca="1" si="984"/>
        <v>50</v>
      </c>
      <c r="H3547" s="15">
        <v>1</v>
      </c>
      <c r="I3547" s="15">
        <f t="shared" ca="1" si="985"/>
        <v>0</v>
      </c>
      <c r="J3547" s="15" t="str">
        <f t="shared" ca="1" si="973"/>
        <v>'0'!A50</v>
      </c>
      <c r="K3547" s="15" t="str">
        <f t="shared" ca="1" si="974"/>
        <v>'0'!B50</v>
      </c>
    </row>
    <row r="3548" spans="1:16" x14ac:dyDescent="0.25">
      <c r="A3548" s="3" t="str">
        <f t="shared" ca="1" si="975"/>
        <v/>
      </c>
      <c r="G3548" s="15">
        <f t="shared" ref="G3548" ca="1" si="986">INDIRECT(M3548)</f>
        <v>31</v>
      </c>
      <c r="H3548" s="15">
        <v>1</v>
      </c>
      <c r="I3548" s="15">
        <f t="shared" ref="I3548" ca="1" si="987">INDIRECT(N3548)</f>
        <v>0</v>
      </c>
      <c r="J3548" s="15" t="str">
        <f t="shared" ca="1" si="973"/>
        <v>'0'!A31</v>
      </c>
      <c r="K3548" s="15" t="str">
        <f t="shared" ca="1" si="974"/>
        <v>'0'!B31</v>
      </c>
      <c r="M3548" s="15" t="str">
        <f t="shared" ref="M3548" si="988">ADDRESS(O3548,3,4,1,$R$1)</f>
        <v>konfig!C179</v>
      </c>
      <c r="N3548" s="15" t="str">
        <f t="shared" ref="N3548" si="989">ADDRESS(O3548,1,4,1,$R$1)</f>
        <v>konfig!A179</v>
      </c>
      <c r="O3548" s="15">
        <v>179</v>
      </c>
      <c r="P3548" s="15">
        <v>4</v>
      </c>
    </row>
    <row r="3549" spans="1:16" x14ac:dyDescent="0.25">
      <c r="A3549" s="3" t="str">
        <f t="shared" ca="1" si="975"/>
        <v/>
      </c>
      <c r="G3549" s="15">
        <f t="shared" ref="G3549:G3589" ca="1" si="990">G3548+1</f>
        <v>32</v>
      </c>
      <c r="H3549" s="15">
        <v>1</v>
      </c>
      <c r="I3549" s="15">
        <f t="shared" ref="I3549:I3589" ca="1" si="991">I3548</f>
        <v>0</v>
      </c>
      <c r="J3549" s="15" t="str">
        <f t="shared" ca="1" si="973"/>
        <v>'0'!A32</v>
      </c>
      <c r="K3549" s="15" t="str">
        <f t="shared" ca="1" si="974"/>
        <v>'0'!B32</v>
      </c>
    </row>
    <row r="3550" spans="1:16" x14ac:dyDescent="0.25">
      <c r="A3550" s="3" t="str">
        <f t="shared" ca="1" si="975"/>
        <v/>
      </c>
      <c r="G3550" s="15">
        <f t="shared" ca="1" si="984"/>
        <v>33</v>
      </c>
      <c r="H3550" s="15">
        <v>1</v>
      </c>
      <c r="I3550" s="15">
        <f t="shared" ca="1" si="985"/>
        <v>0</v>
      </c>
      <c r="J3550" s="15" t="str">
        <f t="shared" ca="1" si="973"/>
        <v>'0'!A33</v>
      </c>
      <c r="K3550" s="15" t="str">
        <f t="shared" ca="1" si="974"/>
        <v>'0'!B33</v>
      </c>
    </row>
    <row r="3551" spans="1:16" x14ac:dyDescent="0.25">
      <c r="A3551" s="3" t="str">
        <f t="shared" ca="1" si="975"/>
        <v/>
      </c>
      <c r="C3551" s="16"/>
      <c r="G3551" s="15">
        <f t="shared" ca="1" si="984"/>
        <v>34</v>
      </c>
      <c r="H3551" s="15">
        <v>1</v>
      </c>
      <c r="I3551" s="15">
        <f t="shared" ca="1" si="985"/>
        <v>0</v>
      </c>
      <c r="J3551" s="15" t="str">
        <f t="shared" ca="1" si="973"/>
        <v>'0'!A34</v>
      </c>
      <c r="K3551" s="15" t="str">
        <f t="shared" ca="1" si="974"/>
        <v>'0'!B34</v>
      </c>
    </row>
    <row r="3552" spans="1:16" x14ac:dyDescent="0.25">
      <c r="A3552" s="3" t="str">
        <f t="shared" ca="1" si="975"/>
        <v/>
      </c>
      <c r="G3552" s="15">
        <f t="shared" ca="1" si="984"/>
        <v>35</v>
      </c>
      <c r="H3552" s="15">
        <v>1</v>
      </c>
      <c r="I3552" s="15">
        <f t="shared" ca="1" si="985"/>
        <v>0</v>
      </c>
      <c r="J3552" s="15" t="str">
        <f t="shared" ca="1" si="973"/>
        <v>'0'!A35</v>
      </c>
      <c r="K3552" s="15" t="str">
        <f t="shared" ca="1" si="974"/>
        <v>'0'!B35</v>
      </c>
    </row>
    <row r="3553" spans="1:16" x14ac:dyDescent="0.25">
      <c r="A3553" s="3" t="str">
        <f t="shared" ca="1" si="975"/>
        <v/>
      </c>
      <c r="G3553" s="15">
        <f t="shared" ca="1" si="984"/>
        <v>36</v>
      </c>
      <c r="H3553" s="15">
        <v>1</v>
      </c>
      <c r="I3553" s="15">
        <f t="shared" ca="1" si="985"/>
        <v>0</v>
      </c>
      <c r="J3553" s="15" t="str">
        <f t="shared" ca="1" si="973"/>
        <v>'0'!A36</v>
      </c>
      <c r="K3553" s="15" t="str">
        <f t="shared" ca="1" si="974"/>
        <v>'0'!B36</v>
      </c>
    </row>
    <row r="3554" spans="1:16" x14ac:dyDescent="0.25">
      <c r="A3554" s="3" t="str">
        <f t="shared" ca="1" si="975"/>
        <v/>
      </c>
      <c r="G3554" s="15">
        <f t="shared" ca="1" si="984"/>
        <v>37</v>
      </c>
      <c r="H3554" s="15">
        <v>1</v>
      </c>
      <c r="I3554" s="15">
        <f t="shared" ca="1" si="985"/>
        <v>0</v>
      </c>
      <c r="J3554" s="15" t="str">
        <f t="shared" ca="1" si="973"/>
        <v>'0'!A37</v>
      </c>
      <c r="K3554" s="15" t="str">
        <f t="shared" ca="1" si="974"/>
        <v>'0'!B37</v>
      </c>
    </row>
    <row r="3555" spans="1:16" x14ac:dyDescent="0.25">
      <c r="A3555" s="3" t="str">
        <f t="shared" ca="1" si="975"/>
        <v/>
      </c>
      <c r="G3555" s="15">
        <f t="shared" ca="1" si="984"/>
        <v>38</v>
      </c>
      <c r="H3555" s="15">
        <v>1</v>
      </c>
      <c r="I3555" s="15">
        <f t="shared" ca="1" si="985"/>
        <v>0</v>
      </c>
      <c r="J3555" s="15" t="str">
        <f t="shared" ca="1" si="973"/>
        <v>'0'!A38</v>
      </c>
      <c r="K3555" s="15" t="str">
        <f t="shared" ca="1" si="974"/>
        <v>'0'!B38</v>
      </c>
    </row>
    <row r="3556" spans="1:16" x14ac:dyDescent="0.25">
      <c r="A3556" s="3" t="str">
        <f t="shared" ca="1" si="975"/>
        <v/>
      </c>
      <c r="G3556" s="15">
        <f t="shared" ca="1" si="984"/>
        <v>39</v>
      </c>
      <c r="H3556" s="15">
        <v>1</v>
      </c>
      <c r="I3556" s="15">
        <f t="shared" ca="1" si="985"/>
        <v>0</v>
      </c>
      <c r="J3556" s="15" t="str">
        <f t="shared" ref="J3556:J3619" ca="1" si="992">ADDRESS(G3556,H3556,4,1,I3556)</f>
        <v>'0'!A39</v>
      </c>
      <c r="K3556" s="15" t="str">
        <f t="shared" ref="K3556:K3619" ca="1" si="993">ADDRESS(G3556,H3556+1,4,1,I3556)</f>
        <v>'0'!B39</v>
      </c>
    </row>
    <row r="3557" spans="1:16" x14ac:dyDescent="0.25">
      <c r="A3557" s="3" t="str">
        <f t="shared" ca="1" si="975"/>
        <v/>
      </c>
      <c r="G3557" s="15">
        <f t="shared" ca="1" si="984"/>
        <v>40</v>
      </c>
      <c r="H3557" s="15">
        <v>1</v>
      </c>
      <c r="I3557" s="15">
        <f t="shared" ca="1" si="985"/>
        <v>0</v>
      </c>
      <c r="J3557" s="15" t="str">
        <f t="shared" ca="1" si="992"/>
        <v>'0'!A40</v>
      </c>
      <c r="K3557" s="15" t="str">
        <f t="shared" ca="1" si="993"/>
        <v>'0'!B40</v>
      </c>
    </row>
    <row r="3558" spans="1:16" x14ac:dyDescent="0.25">
      <c r="A3558" s="3" t="str">
        <f t="shared" ca="1" si="975"/>
        <v/>
      </c>
      <c r="G3558" s="15">
        <f t="shared" ca="1" si="984"/>
        <v>41</v>
      </c>
      <c r="H3558" s="15">
        <v>1</v>
      </c>
      <c r="I3558" s="15">
        <f t="shared" ca="1" si="985"/>
        <v>0</v>
      </c>
      <c r="J3558" s="15" t="str">
        <f t="shared" ca="1" si="992"/>
        <v>'0'!A41</v>
      </c>
      <c r="K3558" s="15" t="str">
        <f t="shared" ca="1" si="993"/>
        <v>'0'!B41</v>
      </c>
    </row>
    <row r="3559" spans="1:16" x14ac:dyDescent="0.25">
      <c r="A3559" s="3" t="str">
        <f t="shared" ca="1" si="975"/>
        <v/>
      </c>
      <c r="C3559" s="16"/>
      <c r="G3559" s="15">
        <f t="shared" ca="1" si="984"/>
        <v>42</v>
      </c>
      <c r="H3559" s="15">
        <v>1</v>
      </c>
      <c r="I3559" s="15">
        <f t="shared" ca="1" si="985"/>
        <v>0</v>
      </c>
      <c r="J3559" s="15" t="str">
        <f t="shared" ca="1" si="992"/>
        <v>'0'!A42</v>
      </c>
      <c r="K3559" s="15" t="str">
        <f t="shared" ca="1" si="993"/>
        <v>'0'!B42</v>
      </c>
    </row>
    <row r="3560" spans="1:16" x14ac:dyDescent="0.25">
      <c r="A3560" s="3" t="str">
        <f t="shared" ca="1" si="975"/>
        <v/>
      </c>
      <c r="G3560" s="15">
        <f t="shared" ca="1" si="984"/>
        <v>43</v>
      </c>
      <c r="H3560" s="15">
        <v>1</v>
      </c>
      <c r="I3560" s="15">
        <f t="shared" ca="1" si="985"/>
        <v>0</v>
      </c>
      <c r="J3560" s="15" t="str">
        <f t="shared" ca="1" si="992"/>
        <v>'0'!A43</v>
      </c>
      <c r="K3560" s="15" t="str">
        <f t="shared" ca="1" si="993"/>
        <v>'0'!B43</v>
      </c>
    </row>
    <row r="3561" spans="1:16" x14ac:dyDescent="0.25">
      <c r="A3561" s="3" t="str">
        <f t="shared" ca="1" si="975"/>
        <v/>
      </c>
      <c r="G3561" s="15">
        <f t="shared" ca="1" si="984"/>
        <v>44</v>
      </c>
      <c r="H3561" s="15">
        <v>1</v>
      </c>
      <c r="I3561" s="15">
        <f t="shared" ca="1" si="985"/>
        <v>0</v>
      </c>
      <c r="J3561" s="15" t="str">
        <f t="shared" ca="1" si="992"/>
        <v>'0'!A44</v>
      </c>
      <c r="K3561" s="15" t="str">
        <f t="shared" ca="1" si="993"/>
        <v>'0'!B44</v>
      </c>
    </row>
    <row r="3562" spans="1:16" x14ac:dyDescent="0.25">
      <c r="A3562" s="3" t="str">
        <f t="shared" ca="1" si="975"/>
        <v/>
      </c>
      <c r="G3562" s="15">
        <f t="shared" ca="1" si="984"/>
        <v>45</v>
      </c>
      <c r="H3562" s="15">
        <v>1</v>
      </c>
      <c r="I3562" s="15">
        <f t="shared" ca="1" si="985"/>
        <v>0</v>
      </c>
      <c r="J3562" s="15" t="str">
        <f t="shared" ca="1" si="992"/>
        <v>'0'!A45</v>
      </c>
      <c r="K3562" s="15" t="str">
        <f t="shared" ca="1" si="993"/>
        <v>'0'!B45</v>
      </c>
    </row>
    <row r="3563" spans="1:16" x14ac:dyDescent="0.25">
      <c r="A3563" s="3" t="str">
        <f t="shared" ca="1" si="975"/>
        <v/>
      </c>
      <c r="G3563" s="15">
        <f t="shared" ca="1" si="984"/>
        <v>46</v>
      </c>
      <c r="H3563" s="15">
        <v>1</v>
      </c>
      <c r="I3563" s="15">
        <f t="shared" ca="1" si="985"/>
        <v>0</v>
      </c>
      <c r="J3563" s="15" t="str">
        <f t="shared" ca="1" si="992"/>
        <v>'0'!A46</v>
      </c>
      <c r="K3563" s="15" t="str">
        <f t="shared" ca="1" si="993"/>
        <v>'0'!B46</v>
      </c>
    </row>
    <row r="3564" spans="1:16" x14ac:dyDescent="0.25">
      <c r="A3564" s="3" t="str">
        <f t="shared" ref="A3564:A3627" ca="1" si="994">IFERROR(IF(INDIRECT(J3564)&lt;&gt;"",CONCATENATE(INDIRECT(J3564)," = ",INDIRECT(K3564)," "),""),"")</f>
        <v/>
      </c>
      <c r="G3564" s="15">
        <f t="shared" ca="1" si="984"/>
        <v>47</v>
      </c>
      <c r="H3564" s="15">
        <v>1</v>
      </c>
      <c r="I3564" s="15">
        <f t="shared" ca="1" si="985"/>
        <v>0</v>
      </c>
      <c r="J3564" s="15" t="str">
        <f t="shared" ca="1" si="992"/>
        <v>'0'!A47</v>
      </c>
      <c r="K3564" s="15" t="str">
        <f t="shared" ca="1" si="993"/>
        <v>'0'!B47</v>
      </c>
    </row>
    <row r="3565" spans="1:16" x14ac:dyDescent="0.25">
      <c r="A3565" s="3" t="str">
        <f t="shared" ca="1" si="994"/>
        <v/>
      </c>
      <c r="G3565" s="15">
        <f t="shared" ca="1" si="984"/>
        <v>48</v>
      </c>
      <c r="H3565" s="15">
        <v>1</v>
      </c>
      <c r="I3565" s="15">
        <f t="shared" ca="1" si="985"/>
        <v>0</v>
      </c>
      <c r="J3565" s="15" t="str">
        <f t="shared" ca="1" si="992"/>
        <v>'0'!A48</v>
      </c>
      <c r="K3565" s="15" t="str">
        <f t="shared" ca="1" si="993"/>
        <v>'0'!B48</v>
      </c>
    </row>
    <row r="3566" spans="1:16" x14ac:dyDescent="0.25">
      <c r="A3566" s="3" t="str">
        <f t="shared" ca="1" si="994"/>
        <v/>
      </c>
      <c r="G3566" s="15">
        <f t="shared" ca="1" si="984"/>
        <v>49</v>
      </c>
      <c r="H3566" s="15">
        <v>1</v>
      </c>
      <c r="I3566" s="15">
        <f t="shared" ca="1" si="985"/>
        <v>0</v>
      </c>
      <c r="J3566" s="15" t="str">
        <f t="shared" ca="1" si="992"/>
        <v>'0'!A49</v>
      </c>
      <c r="K3566" s="15" t="str">
        <f t="shared" ca="1" si="993"/>
        <v>'0'!B49</v>
      </c>
    </row>
    <row r="3567" spans="1:16" x14ac:dyDescent="0.25">
      <c r="A3567" s="3" t="str">
        <f t="shared" ca="1" si="994"/>
        <v/>
      </c>
      <c r="G3567" s="15">
        <f t="shared" ca="1" si="984"/>
        <v>50</v>
      </c>
      <c r="H3567" s="15">
        <v>1</v>
      </c>
      <c r="I3567" s="15">
        <f t="shared" ca="1" si="985"/>
        <v>0</v>
      </c>
      <c r="J3567" s="15" t="str">
        <f t="shared" ca="1" si="992"/>
        <v>'0'!A50</v>
      </c>
      <c r="K3567" s="15" t="str">
        <f t="shared" ca="1" si="993"/>
        <v>'0'!B50</v>
      </c>
    </row>
    <row r="3568" spans="1:16" x14ac:dyDescent="0.25">
      <c r="A3568" s="3" t="str">
        <f t="shared" ca="1" si="994"/>
        <v/>
      </c>
      <c r="G3568" s="15">
        <f t="shared" ref="G3568" ca="1" si="995">INDIRECT(M3568)</f>
        <v>31</v>
      </c>
      <c r="H3568" s="15">
        <v>1</v>
      </c>
      <c r="I3568" s="15">
        <f t="shared" ref="I3568" ca="1" si="996">INDIRECT(N3568)</f>
        <v>0</v>
      </c>
      <c r="J3568" s="15" t="str">
        <f t="shared" ca="1" si="992"/>
        <v>'0'!A31</v>
      </c>
      <c r="K3568" s="15" t="str">
        <f t="shared" ca="1" si="993"/>
        <v>'0'!B31</v>
      </c>
      <c r="M3568" s="15" t="str">
        <f t="shared" ref="M3568" si="997">ADDRESS(O3568,3,4,1,$R$1)</f>
        <v>konfig!C180</v>
      </c>
      <c r="N3568" s="15" t="str">
        <f t="shared" ref="N3568" si="998">ADDRESS(O3568,1,4,1,$R$1)</f>
        <v>konfig!A180</v>
      </c>
      <c r="O3568" s="15">
        <v>180</v>
      </c>
      <c r="P3568" s="15">
        <v>4</v>
      </c>
    </row>
    <row r="3569" spans="1:11" x14ac:dyDescent="0.25">
      <c r="A3569" s="3" t="str">
        <f t="shared" ca="1" si="994"/>
        <v/>
      </c>
      <c r="G3569" s="15">
        <f t="shared" ca="1" si="984"/>
        <v>32</v>
      </c>
      <c r="H3569" s="15">
        <v>1</v>
      </c>
      <c r="I3569" s="15">
        <f t="shared" ca="1" si="985"/>
        <v>0</v>
      </c>
      <c r="J3569" s="15" t="str">
        <f t="shared" ca="1" si="992"/>
        <v>'0'!A32</v>
      </c>
      <c r="K3569" s="15" t="str">
        <f t="shared" ca="1" si="993"/>
        <v>'0'!B32</v>
      </c>
    </row>
    <row r="3570" spans="1:11" x14ac:dyDescent="0.25">
      <c r="A3570" s="3" t="str">
        <f t="shared" ca="1" si="994"/>
        <v/>
      </c>
      <c r="G3570" s="15">
        <f t="shared" ca="1" si="984"/>
        <v>33</v>
      </c>
      <c r="H3570" s="15">
        <v>1</v>
      </c>
      <c r="I3570" s="15">
        <f t="shared" ca="1" si="985"/>
        <v>0</v>
      </c>
      <c r="J3570" s="15" t="str">
        <f t="shared" ca="1" si="992"/>
        <v>'0'!A33</v>
      </c>
      <c r="K3570" s="15" t="str">
        <f t="shared" ca="1" si="993"/>
        <v>'0'!B33</v>
      </c>
    </row>
    <row r="3571" spans="1:11" x14ac:dyDescent="0.25">
      <c r="A3571" s="3" t="str">
        <f t="shared" ca="1" si="994"/>
        <v/>
      </c>
      <c r="C3571" s="16"/>
      <c r="G3571" s="15">
        <f t="shared" ca="1" si="984"/>
        <v>34</v>
      </c>
      <c r="H3571" s="15">
        <v>1</v>
      </c>
      <c r="I3571" s="15">
        <f t="shared" ca="1" si="985"/>
        <v>0</v>
      </c>
      <c r="J3571" s="15" t="str">
        <f t="shared" ca="1" si="992"/>
        <v>'0'!A34</v>
      </c>
      <c r="K3571" s="15" t="str">
        <f t="shared" ca="1" si="993"/>
        <v>'0'!B34</v>
      </c>
    </row>
    <row r="3572" spans="1:11" x14ac:dyDescent="0.25">
      <c r="A3572" s="3" t="str">
        <f t="shared" ca="1" si="994"/>
        <v/>
      </c>
      <c r="G3572" s="15">
        <f t="shared" ca="1" si="984"/>
        <v>35</v>
      </c>
      <c r="H3572" s="15">
        <v>1</v>
      </c>
      <c r="I3572" s="15">
        <f t="shared" ca="1" si="985"/>
        <v>0</v>
      </c>
      <c r="J3572" s="15" t="str">
        <f t="shared" ca="1" si="992"/>
        <v>'0'!A35</v>
      </c>
      <c r="K3572" s="15" t="str">
        <f t="shared" ca="1" si="993"/>
        <v>'0'!B35</v>
      </c>
    </row>
    <row r="3573" spans="1:11" x14ac:dyDescent="0.25">
      <c r="A3573" s="3" t="str">
        <f t="shared" ca="1" si="994"/>
        <v/>
      </c>
      <c r="G3573" s="15">
        <f t="shared" ca="1" si="984"/>
        <v>36</v>
      </c>
      <c r="H3573" s="15">
        <v>1</v>
      </c>
      <c r="I3573" s="15">
        <f t="shared" ca="1" si="985"/>
        <v>0</v>
      </c>
      <c r="J3573" s="15" t="str">
        <f t="shared" ca="1" si="992"/>
        <v>'0'!A36</v>
      </c>
      <c r="K3573" s="15" t="str">
        <f t="shared" ca="1" si="993"/>
        <v>'0'!B36</v>
      </c>
    </row>
    <row r="3574" spans="1:11" x14ac:dyDescent="0.25">
      <c r="A3574" s="3" t="str">
        <f t="shared" ca="1" si="994"/>
        <v/>
      </c>
      <c r="G3574" s="15">
        <f t="shared" ca="1" si="984"/>
        <v>37</v>
      </c>
      <c r="H3574" s="15">
        <v>1</v>
      </c>
      <c r="I3574" s="15">
        <f t="shared" ca="1" si="985"/>
        <v>0</v>
      </c>
      <c r="J3574" s="15" t="str">
        <f t="shared" ca="1" si="992"/>
        <v>'0'!A37</v>
      </c>
      <c r="K3574" s="15" t="str">
        <f t="shared" ca="1" si="993"/>
        <v>'0'!B37</v>
      </c>
    </row>
    <row r="3575" spans="1:11" x14ac:dyDescent="0.25">
      <c r="A3575" s="3" t="str">
        <f t="shared" ca="1" si="994"/>
        <v/>
      </c>
      <c r="G3575" s="15">
        <f t="shared" ca="1" si="984"/>
        <v>38</v>
      </c>
      <c r="H3575" s="15">
        <v>1</v>
      </c>
      <c r="I3575" s="15">
        <f t="shared" ca="1" si="985"/>
        <v>0</v>
      </c>
      <c r="J3575" s="15" t="str">
        <f t="shared" ca="1" si="992"/>
        <v>'0'!A38</v>
      </c>
      <c r="K3575" s="15" t="str">
        <f t="shared" ca="1" si="993"/>
        <v>'0'!B38</v>
      </c>
    </row>
    <row r="3576" spans="1:11" x14ac:dyDescent="0.25">
      <c r="A3576" s="3" t="str">
        <f t="shared" ca="1" si="994"/>
        <v/>
      </c>
      <c r="G3576" s="15">
        <f t="shared" ca="1" si="984"/>
        <v>39</v>
      </c>
      <c r="H3576" s="15">
        <v>1</v>
      </c>
      <c r="I3576" s="15">
        <f t="shared" ca="1" si="985"/>
        <v>0</v>
      </c>
      <c r="J3576" s="15" t="str">
        <f t="shared" ca="1" si="992"/>
        <v>'0'!A39</v>
      </c>
      <c r="K3576" s="15" t="str">
        <f t="shared" ca="1" si="993"/>
        <v>'0'!B39</v>
      </c>
    </row>
    <row r="3577" spans="1:11" x14ac:dyDescent="0.25">
      <c r="A3577" s="3" t="str">
        <f t="shared" ca="1" si="994"/>
        <v/>
      </c>
      <c r="G3577" s="15">
        <f t="shared" ca="1" si="984"/>
        <v>40</v>
      </c>
      <c r="H3577" s="15">
        <v>1</v>
      </c>
      <c r="I3577" s="15">
        <f t="shared" ca="1" si="985"/>
        <v>0</v>
      </c>
      <c r="J3577" s="15" t="str">
        <f t="shared" ca="1" si="992"/>
        <v>'0'!A40</v>
      </c>
      <c r="K3577" s="15" t="str">
        <f t="shared" ca="1" si="993"/>
        <v>'0'!B40</v>
      </c>
    </row>
    <row r="3578" spans="1:11" x14ac:dyDescent="0.25">
      <c r="A3578" s="3" t="str">
        <f t="shared" ca="1" si="994"/>
        <v/>
      </c>
      <c r="G3578" s="15">
        <f t="shared" ca="1" si="984"/>
        <v>41</v>
      </c>
      <c r="H3578" s="15">
        <v>1</v>
      </c>
      <c r="I3578" s="15">
        <f t="shared" ca="1" si="985"/>
        <v>0</v>
      </c>
      <c r="J3578" s="15" t="str">
        <f t="shared" ca="1" si="992"/>
        <v>'0'!A41</v>
      </c>
      <c r="K3578" s="15" t="str">
        <f t="shared" ca="1" si="993"/>
        <v>'0'!B41</v>
      </c>
    </row>
    <row r="3579" spans="1:11" x14ac:dyDescent="0.25">
      <c r="A3579" s="3" t="str">
        <f t="shared" ca="1" si="994"/>
        <v/>
      </c>
      <c r="C3579" s="16"/>
      <c r="G3579" s="15">
        <f t="shared" ca="1" si="984"/>
        <v>42</v>
      </c>
      <c r="H3579" s="15">
        <v>1</v>
      </c>
      <c r="I3579" s="15">
        <f t="shared" ca="1" si="985"/>
        <v>0</v>
      </c>
      <c r="J3579" s="15" t="str">
        <f t="shared" ca="1" si="992"/>
        <v>'0'!A42</v>
      </c>
      <c r="K3579" s="15" t="str">
        <f t="shared" ca="1" si="993"/>
        <v>'0'!B42</v>
      </c>
    </row>
    <row r="3580" spans="1:11" x14ac:dyDescent="0.25">
      <c r="A3580" s="3" t="str">
        <f t="shared" ca="1" si="994"/>
        <v/>
      </c>
      <c r="G3580" s="15">
        <f t="shared" ca="1" si="984"/>
        <v>43</v>
      </c>
      <c r="H3580" s="15">
        <v>1</v>
      </c>
      <c r="I3580" s="15">
        <f t="shared" ca="1" si="985"/>
        <v>0</v>
      </c>
      <c r="J3580" s="15" t="str">
        <f t="shared" ca="1" si="992"/>
        <v>'0'!A43</v>
      </c>
      <c r="K3580" s="15" t="str">
        <f t="shared" ca="1" si="993"/>
        <v>'0'!B43</v>
      </c>
    </row>
    <row r="3581" spans="1:11" x14ac:dyDescent="0.25">
      <c r="A3581" s="3" t="str">
        <f t="shared" ca="1" si="994"/>
        <v/>
      </c>
      <c r="G3581" s="15">
        <f t="shared" ca="1" si="984"/>
        <v>44</v>
      </c>
      <c r="H3581" s="15">
        <v>1</v>
      </c>
      <c r="I3581" s="15">
        <f t="shared" ca="1" si="985"/>
        <v>0</v>
      </c>
      <c r="J3581" s="15" t="str">
        <f t="shared" ca="1" si="992"/>
        <v>'0'!A44</v>
      </c>
      <c r="K3581" s="15" t="str">
        <f t="shared" ca="1" si="993"/>
        <v>'0'!B44</v>
      </c>
    </row>
    <row r="3582" spans="1:11" x14ac:dyDescent="0.25">
      <c r="A3582" s="3" t="str">
        <f t="shared" ca="1" si="994"/>
        <v/>
      </c>
      <c r="G3582" s="15">
        <f t="shared" ca="1" si="984"/>
        <v>45</v>
      </c>
      <c r="H3582" s="15">
        <v>1</v>
      </c>
      <c r="I3582" s="15">
        <f t="shared" ca="1" si="985"/>
        <v>0</v>
      </c>
      <c r="J3582" s="15" t="str">
        <f t="shared" ca="1" si="992"/>
        <v>'0'!A45</v>
      </c>
      <c r="K3582" s="15" t="str">
        <f t="shared" ca="1" si="993"/>
        <v>'0'!B45</v>
      </c>
    </row>
    <row r="3583" spans="1:11" x14ac:dyDescent="0.25">
      <c r="A3583" s="3" t="str">
        <f t="shared" ca="1" si="994"/>
        <v/>
      </c>
      <c r="G3583" s="15">
        <f t="shared" ca="1" si="984"/>
        <v>46</v>
      </c>
      <c r="H3583" s="15">
        <v>1</v>
      </c>
      <c r="I3583" s="15">
        <f t="shared" ca="1" si="985"/>
        <v>0</v>
      </c>
      <c r="J3583" s="15" t="str">
        <f t="shared" ca="1" si="992"/>
        <v>'0'!A46</v>
      </c>
      <c r="K3583" s="15" t="str">
        <f t="shared" ca="1" si="993"/>
        <v>'0'!B46</v>
      </c>
    </row>
    <row r="3584" spans="1:11" x14ac:dyDescent="0.25">
      <c r="A3584" s="3" t="str">
        <f t="shared" ca="1" si="994"/>
        <v/>
      </c>
      <c r="G3584" s="15">
        <f t="shared" ca="1" si="984"/>
        <v>47</v>
      </c>
      <c r="H3584" s="15">
        <v>1</v>
      </c>
      <c r="I3584" s="15">
        <f t="shared" ca="1" si="985"/>
        <v>0</v>
      </c>
      <c r="J3584" s="15" t="str">
        <f t="shared" ca="1" si="992"/>
        <v>'0'!A47</v>
      </c>
      <c r="K3584" s="15" t="str">
        <f t="shared" ca="1" si="993"/>
        <v>'0'!B47</v>
      </c>
    </row>
    <row r="3585" spans="1:16" x14ac:dyDescent="0.25">
      <c r="A3585" s="3" t="str">
        <f t="shared" ca="1" si="994"/>
        <v/>
      </c>
      <c r="G3585" s="15">
        <f t="shared" ca="1" si="984"/>
        <v>48</v>
      </c>
      <c r="H3585" s="15">
        <v>1</v>
      </c>
      <c r="I3585" s="15">
        <f t="shared" ca="1" si="985"/>
        <v>0</v>
      </c>
      <c r="J3585" s="15" t="str">
        <f t="shared" ca="1" si="992"/>
        <v>'0'!A48</v>
      </c>
      <c r="K3585" s="15" t="str">
        <f t="shared" ca="1" si="993"/>
        <v>'0'!B48</v>
      </c>
    </row>
    <row r="3586" spans="1:16" x14ac:dyDescent="0.25">
      <c r="A3586" s="3" t="str">
        <f t="shared" ca="1" si="994"/>
        <v/>
      </c>
      <c r="G3586" s="15">
        <f t="shared" ca="1" si="984"/>
        <v>49</v>
      </c>
      <c r="H3586" s="15">
        <v>1</v>
      </c>
      <c r="I3586" s="15">
        <f t="shared" ca="1" si="985"/>
        <v>0</v>
      </c>
      <c r="J3586" s="15" t="str">
        <f t="shared" ca="1" si="992"/>
        <v>'0'!A49</v>
      </c>
      <c r="K3586" s="15" t="str">
        <f t="shared" ca="1" si="993"/>
        <v>'0'!B49</v>
      </c>
    </row>
    <row r="3587" spans="1:16" x14ac:dyDescent="0.25">
      <c r="A3587" s="3" t="str">
        <f t="shared" ca="1" si="994"/>
        <v/>
      </c>
      <c r="G3587" s="15">
        <f t="shared" ca="1" si="984"/>
        <v>50</v>
      </c>
      <c r="H3587" s="15">
        <v>1</v>
      </c>
      <c r="I3587" s="15">
        <f t="shared" ca="1" si="985"/>
        <v>0</v>
      </c>
      <c r="J3587" s="15" t="str">
        <f t="shared" ca="1" si="992"/>
        <v>'0'!A50</v>
      </c>
      <c r="K3587" s="15" t="str">
        <f t="shared" ca="1" si="993"/>
        <v>'0'!B50</v>
      </c>
    </row>
    <row r="3588" spans="1:16" x14ac:dyDescent="0.25">
      <c r="A3588" s="3" t="str">
        <f t="shared" ca="1" si="994"/>
        <v/>
      </c>
      <c r="G3588" s="15">
        <f t="shared" ref="G3588" ca="1" si="999">INDIRECT(M3588)</f>
        <v>31</v>
      </c>
      <c r="H3588" s="15">
        <v>1</v>
      </c>
      <c r="I3588" s="15">
        <f t="shared" ref="I3588" ca="1" si="1000">INDIRECT(N3588)</f>
        <v>0</v>
      </c>
      <c r="J3588" s="15" t="str">
        <f t="shared" ca="1" si="992"/>
        <v>'0'!A31</v>
      </c>
      <c r="K3588" s="15" t="str">
        <f t="shared" ca="1" si="993"/>
        <v>'0'!B31</v>
      </c>
      <c r="M3588" s="15" t="str">
        <f t="shared" ref="M3588" si="1001">ADDRESS(O3588,3,4,1,$R$1)</f>
        <v>konfig!C181</v>
      </c>
      <c r="N3588" s="15" t="str">
        <f t="shared" ref="N3588" si="1002">ADDRESS(O3588,1,4,1,$R$1)</f>
        <v>konfig!A181</v>
      </c>
      <c r="O3588" s="15">
        <v>181</v>
      </c>
      <c r="P3588" s="15">
        <v>4</v>
      </c>
    </row>
    <row r="3589" spans="1:16" x14ac:dyDescent="0.25">
      <c r="A3589" s="3" t="str">
        <f t="shared" ca="1" si="994"/>
        <v/>
      </c>
      <c r="G3589" s="15">
        <f t="shared" ca="1" si="990"/>
        <v>32</v>
      </c>
      <c r="H3589" s="15">
        <v>1</v>
      </c>
      <c r="I3589" s="15">
        <f t="shared" ca="1" si="991"/>
        <v>0</v>
      </c>
      <c r="J3589" s="15" t="str">
        <f t="shared" ca="1" si="992"/>
        <v>'0'!A32</v>
      </c>
      <c r="K3589" s="15" t="str">
        <f t="shared" ca="1" si="993"/>
        <v>'0'!B32</v>
      </c>
    </row>
    <row r="3590" spans="1:16" x14ac:dyDescent="0.25">
      <c r="A3590" s="3" t="str">
        <f t="shared" ca="1" si="994"/>
        <v/>
      </c>
      <c r="G3590" s="15">
        <f t="shared" ca="1" si="984"/>
        <v>33</v>
      </c>
      <c r="H3590" s="15">
        <v>1</v>
      </c>
      <c r="I3590" s="15">
        <f t="shared" ca="1" si="985"/>
        <v>0</v>
      </c>
      <c r="J3590" s="15" t="str">
        <f t="shared" ca="1" si="992"/>
        <v>'0'!A33</v>
      </c>
      <c r="K3590" s="15" t="str">
        <f t="shared" ca="1" si="993"/>
        <v>'0'!B33</v>
      </c>
    </row>
    <row r="3591" spans="1:16" x14ac:dyDescent="0.25">
      <c r="A3591" s="3" t="str">
        <f t="shared" ca="1" si="994"/>
        <v/>
      </c>
      <c r="C3591" s="16"/>
      <c r="G3591" s="15">
        <f t="shared" ca="1" si="984"/>
        <v>34</v>
      </c>
      <c r="H3591" s="15">
        <v>1</v>
      </c>
      <c r="I3591" s="15">
        <f t="shared" ca="1" si="985"/>
        <v>0</v>
      </c>
      <c r="J3591" s="15" t="str">
        <f t="shared" ca="1" si="992"/>
        <v>'0'!A34</v>
      </c>
      <c r="K3591" s="15" t="str">
        <f t="shared" ca="1" si="993"/>
        <v>'0'!B34</v>
      </c>
    </row>
    <row r="3592" spans="1:16" x14ac:dyDescent="0.25">
      <c r="A3592" s="3" t="str">
        <f t="shared" ca="1" si="994"/>
        <v/>
      </c>
      <c r="G3592" s="15">
        <f t="shared" ca="1" si="984"/>
        <v>35</v>
      </c>
      <c r="H3592" s="15">
        <v>1</v>
      </c>
      <c r="I3592" s="15">
        <f t="shared" ca="1" si="985"/>
        <v>0</v>
      </c>
      <c r="J3592" s="15" t="str">
        <f t="shared" ca="1" si="992"/>
        <v>'0'!A35</v>
      </c>
      <c r="K3592" s="15" t="str">
        <f t="shared" ca="1" si="993"/>
        <v>'0'!B35</v>
      </c>
    </row>
    <row r="3593" spans="1:16" x14ac:dyDescent="0.25">
      <c r="A3593" s="3" t="str">
        <f t="shared" ca="1" si="994"/>
        <v/>
      </c>
      <c r="G3593" s="15">
        <f t="shared" ref="G3593:G3656" ca="1" si="1003">G3592+1</f>
        <v>36</v>
      </c>
      <c r="H3593" s="15">
        <v>1</v>
      </c>
      <c r="I3593" s="15">
        <f t="shared" ref="I3593:I3656" ca="1" si="1004">I3592</f>
        <v>0</v>
      </c>
      <c r="J3593" s="15" t="str">
        <f t="shared" ca="1" si="992"/>
        <v>'0'!A36</v>
      </c>
      <c r="K3593" s="15" t="str">
        <f t="shared" ca="1" si="993"/>
        <v>'0'!B36</v>
      </c>
    </row>
    <row r="3594" spans="1:16" x14ac:dyDescent="0.25">
      <c r="A3594" s="3" t="str">
        <f t="shared" ca="1" si="994"/>
        <v/>
      </c>
      <c r="G3594" s="15">
        <f t="shared" ca="1" si="1003"/>
        <v>37</v>
      </c>
      <c r="H3594" s="15">
        <v>1</v>
      </c>
      <c r="I3594" s="15">
        <f t="shared" ca="1" si="1004"/>
        <v>0</v>
      </c>
      <c r="J3594" s="15" t="str">
        <f t="shared" ca="1" si="992"/>
        <v>'0'!A37</v>
      </c>
      <c r="K3594" s="15" t="str">
        <f t="shared" ca="1" si="993"/>
        <v>'0'!B37</v>
      </c>
    </row>
    <row r="3595" spans="1:16" x14ac:dyDescent="0.25">
      <c r="A3595" s="3" t="str">
        <f t="shared" ca="1" si="994"/>
        <v/>
      </c>
      <c r="G3595" s="15">
        <f t="shared" ca="1" si="1003"/>
        <v>38</v>
      </c>
      <c r="H3595" s="15">
        <v>1</v>
      </c>
      <c r="I3595" s="15">
        <f t="shared" ca="1" si="1004"/>
        <v>0</v>
      </c>
      <c r="J3595" s="15" t="str">
        <f t="shared" ca="1" si="992"/>
        <v>'0'!A38</v>
      </c>
      <c r="K3595" s="15" t="str">
        <f t="shared" ca="1" si="993"/>
        <v>'0'!B38</v>
      </c>
    </row>
    <row r="3596" spans="1:16" x14ac:dyDescent="0.25">
      <c r="A3596" s="3" t="str">
        <f t="shared" ca="1" si="994"/>
        <v/>
      </c>
      <c r="G3596" s="15">
        <f t="shared" ca="1" si="1003"/>
        <v>39</v>
      </c>
      <c r="H3596" s="15">
        <v>1</v>
      </c>
      <c r="I3596" s="15">
        <f t="shared" ca="1" si="1004"/>
        <v>0</v>
      </c>
      <c r="J3596" s="15" t="str">
        <f t="shared" ca="1" si="992"/>
        <v>'0'!A39</v>
      </c>
      <c r="K3596" s="15" t="str">
        <f t="shared" ca="1" si="993"/>
        <v>'0'!B39</v>
      </c>
    </row>
    <row r="3597" spans="1:16" x14ac:dyDescent="0.25">
      <c r="A3597" s="3" t="str">
        <f t="shared" ca="1" si="994"/>
        <v/>
      </c>
      <c r="G3597" s="15">
        <f t="shared" ca="1" si="1003"/>
        <v>40</v>
      </c>
      <c r="H3597" s="15">
        <v>1</v>
      </c>
      <c r="I3597" s="15">
        <f t="shared" ca="1" si="1004"/>
        <v>0</v>
      </c>
      <c r="J3597" s="15" t="str">
        <f t="shared" ca="1" si="992"/>
        <v>'0'!A40</v>
      </c>
      <c r="K3597" s="15" t="str">
        <f t="shared" ca="1" si="993"/>
        <v>'0'!B40</v>
      </c>
    </row>
    <row r="3598" spans="1:16" x14ac:dyDescent="0.25">
      <c r="A3598" s="3" t="str">
        <f t="shared" ca="1" si="994"/>
        <v/>
      </c>
      <c r="G3598" s="15">
        <f t="shared" ca="1" si="1003"/>
        <v>41</v>
      </c>
      <c r="H3598" s="15">
        <v>1</v>
      </c>
      <c r="I3598" s="15">
        <f t="shared" ca="1" si="1004"/>
        <v>0</v>
      </c>
      <c r="J3598" s="15" t="str">
        <f t="shared" ca="1" si="992"/>
        <v>'0'!A41</v>
      </c>
      <c r="K3598" s="15" t="str">
        <f t="shared" ca="1" si="993"/>
        <v>'0'!B41</v>
      </c>
    </row>
    <row r="3599" spans="1:16" x14ac:dyDescent="0.25">
      <c r="A3599" s="3" t="str">
        <f t="shared" ca="1" si="994"/>
        <v/>
      </c>
      <c r="C3599" s="16"/>
      <c r="G3599" s="15">
        <f t="shared" ca="1" si="1003"/>
        <v>42</v>
      </c>
      <c r="H3599" s="15">
        <v>1</v>
      </c>
      <c r="I3599" s="15">
        <f t="shared" ca="1" si="1004"/>
        <v>0</v>
      </c>
      <c r="J3599" s="15" t="str">
        <f t="shared" ca="1" si="992"/>
        <v>'0'!A42</v>
      </c>
      <c r="K3599" s="15" t="str">
        <f t="shared" ca="1" si="993"/>
        <v>'0'!B42</v>
      </c>
    </row>
    <row r="3600" spans="1:16" x14ac:dyDescent="0.25">
      <c r="A3600" s="3" t="str">
        <f t="shared" ca="1" si="994"/>
        <v/>
      </c>
      <c r="G3600" s="15">
        <f t="shared" ca="1" si="1003"/>
        <v>43</v>
      </c>
      <c r="H3600" s="15">
        <v>1</v>
      </c>
      <c r="I3600" s="15">
        <f t="shared" ca="1" si="1004"/>
        <v>0</v>
      </c>
      <c r="J3600" s="15" t="str">
        <f t="shared" ca="1" si="992"/>
        <v>'0'!A43</v>
      </c>
      <c r="K3600" s="15" t="str">
        <f t="shared" ca="1" si="993"/>
        <v>'0'!B43</v>
      </c>
    </row>
    <row r="3601" spans="1:16" x14ac:dyDescent="0.25">
      <c r="A3601" s="3" t="str">
        <f t="shared" ca="1" si="994"/>
        <v/>
      </c>
      <c r="G3601" s="15">
        <f t="shared" ca="1" si="1003"/>
        <v>44</v>
      </c>
      <c r="H3601" s="15">
        <v>1</v>
      </c>
      <c r="I3601" s="15">
        <f t="shared" ca="1" si="1004"/>
        <v>0</v>
      </c>
      <c r="J3601" s="15" t="str">
        <f t="shared" ca="1" si="992"/>
        <v>'0'!A44</v>
      </c>
      <c r="K3601" s="15" t="str">
        <f t="shared" ca="1" si="993"/>
        <v>'0'!B44</v>
      </c>
    </row>
    <row r="3602" spans="1:16" x14ac:dyDescent="0.25">
      <c r="A3602" s="3" t="str">
        <f t="shared" ca="1" si="994"/>
        <v/>
      </c>
      <c r="G3602" s="15">
        <f t="shared" ca="1" si="1003"/>
        <v>45</v>
      </c>
      <c r="H3602" s="15">
        <v>1</v>
      </c>
      <c r="I3602" s="15">
        <f t="shared" ca="1" si="1004"/>
        <v>0</v>
      </c>
      <c r="J3602" s="15" t="str">
        <f t="shared" ca="1" si="992"/>
        <v>'0'!A45</v>
      </c>
      <c r="K3602" s="15" t="str">
        <f t="shared" ca="1" si="993"/>
        <v>'0'!B45</v>
      </c>
    </row>
    <row r="3603" spans="1:16" x14ac:dyDescent="0.25">
      <c r="A3603" s="3" t="str">
        <f t="shared" ca="1" si="994"/>
        <v/>
      </c>
      <c r="G3603" s="15">
        <f t="shared" ca="1" si="1003"/>
        <v>46</v>
      </c>
      <c r="H3603" s="15">
        <v>1</v>
      </c>
      <c r="I3603" s="15">
        <f t="shared" ca="1" si="1004"/>
        <v>0</v>
      </c>
      <c r="J3603" s="15" t="str">
        <f t="shared" ca="1" si="992"/>
        <v>'0'!A46</v>
      </c>
      <c r="K3603" s="15" t="str">
        <f t="shared" ca="1" si="993"/>
        <v>'0'!B46</v>
      </c>
    </row>
    <row r="3604" spans="1:16" x14ac:dyDescent="0.25">
      <c r="A3604" s="3" t="str">
        <f t="shared" ca="1" si="994"/>
        <v/>
      </c>
      <c r="G3604" s="15">
        <f t="shared" ca="1" si="1003"/>
        <v>47</v>
      </c>
      <c r="H3604" s="15">
        <v>1</v>
      </c>
      <c r="I3604" s="15">
        <f t="shared" ca="1" si="1004"/>
        <v>0</v>
      </c>
      <c r="J3604" s="15" t="str">
        <f t="shared" ca="1" si="992"/>
        <v>'0'!A47</v>
      </c>
      <c r="K3604" s="15" t="str">
        <f t="shared" ca="1" si="993"/>
        <v>'0'!B47</v>
      </c>
    </row>
    <row r="3605" spans="1:16" x14ac:dyDescent="0.25">
      <c r="A3605" s="3" t="str">
        <f t="shared" ca="1" si="994"/>
        <v/>
      </c>
      <c r="G3605" s="15">
        <f t="shared" ca="1" si="1003"/>
        <v>48</v>
      </c>
      <c r="H3605" s="15">
        <v>1</v>
      </c>
      <c r="I3605" s="15">
        <f t="shared" ca="1" si="1004"/>
        <v>0</v>
      </c>
      <c r="J3605" s="15" t="str">
        <f t="shared" ca="1" si="992"/>
        <v>'0'!A48</v>
      </c>
      <c r="K3605" s="15" t="str">
        <f t="shared" ca="1" si="993"/>
        <v>'0'!B48</v>
      </c>
    </row>
    <row r="3606" spans="1:16" x14ac:dyDescent="0.25">
      <c r="A3606" s="3" t="str">
        <f t="shared" ca="1" si="994"/>
        <v/>
      </c>
      <c r="G3606" s="15">
        <f t="shared" ca="1" si="1003"/>
        <v>49</v>
      </c>
      <c r="H3606" s="15">
        <v>1</v>
      </c>
      <c r="I3606" s="15">
        <f t="shared" ca="1" si="1004"/>
        <v>0</v>
      </c>
      <c r="J3606" s="15" t="str">
        <f t="shared" ca="1" si="992"/>
        <v>'0'!A49</v>
      </c>
      <c r="K3606" s="15" t="str">
        <f t="shared" ca="1" si="993"/>
        <v>'0'!B49</v>
      </c>
    </row>
    <row r="3607" spans="1:16" x14ac:dyDescent="0.25">
      <c r="A3607" s="3" t="str">
        <f t="shared" ca="1" si="994"/>
        <v/>
      </c>
      <c r="G3607" s="15">
        <f t="shared" ca="1" si="1003"/>
        <v>50</v>
      </c>
      <c r="H3607" s="15">
        <v>1</v>
      </c>
      <c r="I3607" s="15">
        <f t="shared" ca="1" si="1004"/>
        <v>0</v>
      </c>
      <c r="J3607" s="15" t="str">
        <f t="shared" ca="1" si="992"/>
        <v>'0'!A50</v>
      </c>
      <c r="K3607" s="15" t="str">
        <f t="shared" ca="1" si="993"/>
        <v>'0'!B50</v>
      </c>
    </row>
    <row r="3608" spans="1:16" x14ac:dyDescent="0.25">
      <c r="A3608" s="3" t="str">
        <f t="shared" ca="1" si="994"/>
        <v/>
      </c>
      <c r="G3608" s="15">
        <f t="shared" ref="G3608" ca="1" si="1005">INDIRECT(M3608)</f>
        <v>31</v>
      </c>
      <c r="H3608" s="15">
        <v>1</v>
      </c>
      <c r="I3608" s="15">
        <f t="shared" ref="I3608" ca="1" si="1006">INDIRECT(N3608)</f>
        <v>0</v>
      </c>
      <c r="J3608" s="15" t="str">
        <f t="shared" ca="1" si="992"/>
        <v>'0'!A31</v>
      </c>
      <c r="K3608" s="15" t="str">
        <f t="shared" ca="1" si="993"/>
        <v>'0'!B31</v>
      </c>
      <c r="M3608" s="15" t="str">
        <f t="shared" ref="M3608" si="1007">ADDRESS(O3608,3,4,1,$R$1)</f>
        <v>konfig!C182</v>
      </c>
      <c r="N3608" s="15" t="str">
        <f t="shared" ref="N3608" si="1008">ADDRESS(O3608,1,4,1,$R$1)</f>
        <v>konfig!A182</v>
      </c>
      <c r="O3608" s="15">
        <v>182</v>
      </c>
      <c r="P3608" s="15">
        <v>4</v>
      </c>
    </row>
    <row r="3609" spans="1:16" x14ac:dyDescent="0.25">
      <c r="A3609" s="3" t="str">
        <f t="shared" ca="1" si="994"/>
        <v/>
      </c>
      <c r="G3609" s="15">
        <f t="shared" ref="G3609:G3652" ca="1" si="1009">G3608+1</f>
        <v>32</v>
      </c>
      <c r="H3609" s="15">
        <v>1</v>
      </c>
      <c r="I3609" s="15">
        <f t="shared" ref="I3609:I3652" ca="1" si="1010">I3608</f>
        <v>0</v>
      </c>
      <c r="J3609" s="15" t="str">
        <f t="shared" ca="1" si="992"/>
        <v>'0'!A32</v>
      </c>
      <c r="K3609" s="15" t="str">
        <f t="shared" ca="1" si="993"/>
        <v>'0'!B32</v>
      </c>
    </row>
    <row r="3610" spans="1:16" x14ac:dyDescent="0.25">
      <c r="A3610" s="3" t="str">
        <f t="shared" ca="1" si="994"/>
        <v/>
      </c>
      <c r="G3610" s="15">
        <f t="shared" ca="1" si="1009"/>
        <v>33</v>
      </c>
      <c r="H3610" s="15">
        <v>1</v>
      </c>
      <c r="I3610" s="15">
        <f t="shared" ca="1" si="1010"/>
        <v>0</v>
      </c>
      <c r="J3610" s="15" t="str">
        <f t="shared" ca="1" si="992"/>
        <v>'0'!A33</v>
      </c>
      <c r="K3610" s="15" t="str">
        <f t="shared" ca="1" si="993"/>
        <v>'0'!B33</v>
      </c>
    </row>
    <row r="3611" spans="1:16" x14ac:dyDescent="0.25">
      <c r="A3611" s="3" t="str">
        <f t="shared" ca="1" si="994"/>
        <v/>
      </c>
      <c r="C3611" s="16"/>
      <c r="G3611" s="15">
        <f t="shared" ca="1" si="1009"/>
        <v>34</v>
      </c>
      <c r="H3611" s="15">
        <v>1</v>
      </c>
      <c r="I3611" s="15">
        <f t="shared" ca="1" si="1010"/>
        <v>0</v>
      </c>
      <c r="J3611" s="15" t="str">
        <f t="shared" ca="1" si="992"/>
        <v>'0'!A34</v>
      </c>
      <c r="K3611" s="15" t="str">
        <f t="shared" ca="1" si="993"/>
        <v>'0'!B34</v>
      </c>
    </row>
    <row r="3612" spans="1:16" x14ac:dyDescent="0.25">
      <c r="A3612" s="3" t="str">
        <f t="shared" ca="1" si="994"/>
        <v/>
      </c>
      <c r="G3612" s="15">
        <f t="shared" ca="1" si="1009"/>
        <v>35</v>
      </c>
      <c r="H3612" s="15">
        <v>1</v>
      </c>
      <c r="I3612" s="15">
        <f t="shared" ca="1" si="1010"/>
        <v>0</v>
      </c>
      <c r="J3612" s="15" t="str">
        <f t="shared" ca="1" si="992"/>
        <v>'0'!A35</v>
      </c>
      <c r="K3612" s="15" t="str">
        <f t="shared" ca="1" si="993"/>
        <v>'0'!B35</v>
      </c>
    </row>
    <row r="3613" spans="1:16" x14ac:dyDescent="0.25">
      <c r="A3613" s="3" t="str">
        <f t="shared" ca="1" si="994"/>
        <v/>
      </c>
      <c r="G3613" s="15">
        <f t="shared" ca="1" si="1003"/>
        <v>36</v>
      </c>
      <c r="H3613" s="15">
        <v>1</v>
      </c>
      <c r="I3613" s="15">
        <f t="shared" ca="1" si="1004"/>
        <v>0</v>
      </c>
      <c r="J3613" s="15" t="str">
        <f t="shared" ca="1" si="992"/>
        <v>'0'!A36</v>
      </c>
      <c r="K3613" s="15" t="str">
        <f t="shared" ca="1" si="993"/>
        <v>'0'!B36</v>
      </c>
    </row>
    <row r="3614" spans="1:16" x14ac:dyDescent="0.25">
      <c r="A3614" s="3" t="str">
        <f t="shared" ca="1" si="994"/>
        <v/>
      </c>
      <c r="G3614" s="15">
        <f t="shared" ca="1" si="1003"/>
        <v>37</v>
      </c>
      <c r="H3614" s="15">
        <v>1</v>
      </c>
      <c r="I3614" s="15">
        <f t="shared" ca="1" si="1004"/>
        <v>0</v>
      </c>
      <c r="J3614" s="15" t="str">
        <f t="shared" ca="1" si="992"/>
        <v>'0'!A37</v>
      </c>
      <c r="K3614" s="15" t="str">
        <f t="shared" ca="1" si="993"/>
        <v>'0'!B37</v>
      </c>
    </row>
    <row r="3615" spans="1:16" x14ac:dyDescent="0.25">
      <c r="A3615" s="3" t="str">
        <f t="shared" ca="1" si="994"/>
        <v/>
      </c>
      <c r="G3615" s="15">
        <f t="shared" ca="1" si="1003"/>
        <v>38</v>
      </c>
      <c r="H3615" s="15">
        <v>1</v>
      </c>
      <c r="I3615" s="15">
        <f t="shared" ca="1" si="1004"/>
        <v>0</v>
      </c>
      <c r="J3615" s="15" t="str">
        <f t="shared" ca="1" si="992"/>
        <v>'0'!A38</v>
      </c>
      <c r="K3615" s="15" t="str">
        <f t="shared" ca="1" si="993"/>
        <v>'0'!B38</v>
      </c>
    </row>
    <row r="3616" spans="1:16" x14ac:dyDescent="0.25">
      <c r="A3616" s="3" t="str">
        <f t="shared" ca="1" si="994"/>
        <v/>
      </c>
      <c r="G3616" s="15">
        <f t="shared" ca="1" si="1003"/>
        <v>39</v>
      </c>
      <c r="H3616" s="15">
        <v>1</v>
      </c>
      <c r="I3616" s="15">
        <f t="shared" ca="1" si="1004"/>
        <v>0</v>
      </c>
      <c r="J3616" s="15" t="str">
        <f t="shared" ca="1" si="992"/>
        <v>'0'!A39</v>
      </c>
      <c r="K3616" s="15" t="str">
        <f t="shared" ca="1" si="993"/>
        <v>'0'!B39</v>
      </c>
    </row>
    <row r="3617" spans="1:16" x14ac:dyDescent="0.25">
      <c r="A3617" s="3" t="str">
        <f t="shared" ca="1" si="994"/>
        <v/>
      </c>
      <c r="G3617" s="15">
        <f t="shared" ca="1" si="1003"/>
        <v>40</v>
      </c>
      <c r="H3617" s="15">
        <v>1</v>
      </c>
      <c r="I3617" s="15">
        <f t="shared" ca="1" si="1004"/>
        <v>0</v>
      </c>
      <c r="J3617" s="15" t="str">
        <f t="shared" ca="1" si="992"/>
        <v>'0'!A40</v>
      </c>
      <c r="K3617" s="15" t="str">
        <f t="shared" ca="1" si="993"/>
        <v>'0'!B40</v>
      </c>
    </row>
    <row r="3618" spans="1:16" x14ac:dyDescent="0.25">
      <c r="A3618" s="3" t="str">
        <f t="shared" ca="1" si="994"/>
        <v/>
      </c>
      <c r="G3618" s="15">
        <f t="shared" ca="1" si="1003"/>
        <v>41</v>
      </c>
      <c r="H3618" s="15">
        <v>1</v>
      </c>
      <c r="I3618" s="15">
        <f t="shared" ca="1" si="1004"/>
        <v>0</v>
      </c>
      <c r="J3618" s="15" t="str">
        <f t="shared" ca="1" si="992"/>
        <v>'0'!A41</v>
      </c>
      <c r="K3618" s="15" t="str">
        <f t="shared" ca="1" si="993"/>
        <v>'0'!B41</v>
      </c>
    </row>
    <row r="3619" spans="1:16" x14ac:dyDescent="0.25">
      <c r="A3619" s="3" t="str">
        <f t="shared" ca="1" si="994"/>
        <v/>
      </c>
      <c r="C3619" s="16"/>
      <c r="G3619" s="15">
        <f t="shared" ca="1" si="1003"/>
        <v>42</v>
      </c>
      <c r="H3619" s="15">
        <v>1</v>
      </c>
      <c r="I3619" s="15">
        <f t="shared" ca="1" si="1004"/>
        <v>0</v>
      </c>
      <c r="J3619" s="15" t="str">
        <f t="shared" ca="1" si="992"/>
        <v>'0'!A42</v>
      </c>
      <c r="K3619" s="15" t="str">
        <f t="shared" ca="1" si="993"/>
        <v>'0'!B42</v>
      </c>
    </row>
    <row r="3620" spans="1:16" x14ac:dyDescent="0.25">
      <c r="A3620" s="3" t="str">
        <f t="shared" ca="1" si="994"/>
        <v/>
      </c>
      <c r="G3620" s="15">
        <f t="shared" ca="1" si="1003"/>
        <v>43</v>
      </c>
      <c r="H3620" s="15">
        <v>1</v>
      </c>
      <c r="I3620" s="15">
        <f t="shared" ca="1" si="1004"/>
        <v>0</v>
      </c>
      <c r="J3620" s="15" t="str">
        <f t="shared" ref="J3620:J3683" ca="1" si="1011">ADDRESS(G3620,H3620,4,1,I3620)</f>
        <v>'0'!A43</v>
      </c>
      <c r="K3620" s="15" t="str">
        <f t="shared" ref="K3620:K3683" ca="1" si="1012">ADDRESS(G3620,H3620+1,4,1,I3620)</f>
        <v>'0'!B43</v>
      </c>
    </row>
    <row r="3621" spans="1:16" x14ac:dyDescent="0.25">
      <c r="A3621" s="3" t="str">
        <f t="shared" ca="1" si="994"/>
        <v/>
      </c>
      <c r="G3621" s="15">
        <f t="shared" ca="1" si="1003"/>
        <v>44</v>
      </c>
      <c r="H3621" s="15">
        <v>1</v>
      </c>
      <c r="I3621" s="15">
        <f t="shared" ca="1" si="1004"/>
        <v>0</v>
      </c>
      <c r="J3621" s="15" t="str">
        <f t="shared" ca="1" si="1011"/>
        <v>'0'!A44</v>
      </c>
      <c r="K3621" s="15" t="str">
        <f t="shared" ca="1" si="1012"/>
        <v>'0'!B44</v>
      </c>
    </row>
    <row r="3622" spans="1:16" x14ac:dyDescent="0.25">
      <c r="A3622" s="3" t="str">
        <f t="shared" ca="1" si="994"/>
        <v/>
      </c>
      <c r="G3622" s="15">
        <f t="shared" ca="1" si="1003"/>
        <v>45</v>
      </c>
      <c r="H3622" s="15">
        <v>1</v>
      </c>
      <c r="I3622" s="15">
        <f t="shared" ca="1" si="1004"/>
        <v>0</v>
      </c>
      <c r="J3622" s="15" t="str">
        <f t="shared" ca="1" si="1011"/>
        <v>'0'!A45</v>
      </c>
      <c r="K3622" s="15" t="str">
        <f t="shared" ca="1" si="1012"/>
        <v>'0'!B45</v>
      </c>
    </row>
    <row r="3623" spans="1:16" x14ac:dyDescent="0.25">
      <c r="A3623" s="3" t="str">
        <f t="shared" ca="1" si="994"/>
        <v/>
      </c>
      <c r="G3623" s="15">
        <f t="shared" ca="1" si="1003"/>
        <v>46</v>
      </c>
      <c r="H3623" s="15">
        <v>1</v>
      </c>
      <c r="I3623" s="15">
        <f t="shared" ca="1" si="1004"/>
        <v>0</v>
      </c>
      <c r="J3623" s="15" t="str">
        <f t="shared" ca="1" si="1011"/>
        <v>'0'!A46</v>
      </c>
      <c r="K3623" s="15" t="str">
        <f t="shared" ca="1" si="1012"/>
        <v>'0'!B46</v>
      </c>
    </row>
    <row r="3624" spans="1:16" x14ac:dyDescent="0.25">
      <c r="A3624" s="3" t="str">
        <f t="shared" ca="1" si="994"/>
        <v/>
      </c>
      <c r="G3624" s="15">
        <f t="shared" ca="1" si="1003"/>
        <v>47</v>
      </c>
      <c r="H3624" s="15">
        <v>1</v>
      </c>
      <c r="I3624" s="15">
        <f t="shared" ca="1" si="1004"/>
        <v>0</v>
      </c>
      <c r="J3624" s="15" t="str">
        <f t="shared" ca="1" si="1011"/>
        <v>'0'!A47</v>
      </c>
      <c r="K3624" s="15" t="str">
        <f t="shared" ca="1" si="1012"/>
        <v>'0'!B47</v>
      </c>
    </row>
    <row r="3625" spans="1:16" x14ac:dyDescent="0.25">
      <c r="A3625" s="3" t="str">
        <f t="shared" ca="1" si="994"/>
        <v/>
      </c>
      <c r="G3625" s="15">
        <f t="shared" ca="1" si="1003"/>
        <v>48</v>
      </c>
      <c r="H3625" s="15">
        <v>1</v>
      </c>
      <c r="I3625" s="15">
        <f t="shared" ca="1" si="1004"/>
        <v>0</v>
      </c>
      <c r="J3625" s="15" t="str">
        <f t="shared" ca="1" si="1011"/>
        <v>'0'!A48</v>
      </c>
      <c r="K3625" s="15" t="str">
        <f t="shared" ca="1" si="1012"/>
        <v>'0'!B48</v>
      </c>
    </row>
    <row r="3626" spans="1:16" x14ac:dyDescent="0.25">
      <c r="A3626" s="3" t="str">
        <f t="shared" ca="1" si="994"/>
        <v/>
      </c>
      <c r="G3626" s="15">
        <f t="shared" ca="1" si="1003"/>
        <v>49</v>
      </c>
      <c r="H3626" s="15">
        <v>1</v>
      </c>
      <c r="I3626" s="15">
        <f t="shared" ca="1" si="1004"/>
        <v>0</v>
      </c>
      <c r="J3626" s="15" t="str">
        <f t="shared" ca="1" si="1011"/>
        <v>'0'!A49</v>
      </c>
      <c r="K3626" s="15" t="str">
        <f t="shared" ca="1" si="1012"/>
        <v>'0'!B49</v>
      </c>
    </row>
    <row r="3627" spans="1:16" x14ac:dyDescent="0.25">
      <c r="A3627" s="3" t="str">
        <f t="shared" ca="1" si="994"/>
        <v/>
      </c>
      <c r="G3627" s="15">
        <f t="shared" ca="1" si="1003"/>
        <v>50</v>
      </c>
      <c r="H3627" s="15">
        <v>1</v>
      </c>
      <c r="I3627" s="15">
        <f t="shared" ca="1" si="1004"/>
        <v>0</v>
      </c>
      <c r="J3627" s="15" t="str">
        <f t="shared" ca="1" si="1011"/>
        <v>'0'!A50</v>
      </c>
      <c r="K3627" s="15" t="str">
        <f t="shared" ca="1" si="1012"/>
        <v>'0'!B50</v>
      </c>
    </row>
    <row r="3628" spans="1:16" x14ac:dyDescent="0.25">
      <c r="A3628" s="3" t="str">
        <f t="shared" ref="A3628:A3691" ca="1" si="1013">IFERROR(IF(INDIRECT(J3628)&lt;&gt;"",CONCATENATE(INDIRECT(J3628)," = ",INDIRECT(K3628)," "),""),"")</f>
        <v/>
      </c>
      <c r="G3628" s="15">
        <f t="shared" ref="G3628" ca="1" si="1014">INDIRECT(M3628)</f>
        <v>31</v>
      </c>
      <c r="H3628" s="15">
        <v>1</v>
      </c>
      <c r="I3628" s="15">
        <f t="shared" ref="I3628" ca="1" si="1015">INDIRECT(N3628)</f>
        <v>0</v>
      </c>
      <c r="J3628" s="15" t="str">
        <f t="shared" ca="1" si="1011"/>
        <v>'0'!A31</v>
      </c>
      <c r="K3628" s="15" t="str">
        <f t="shared" ca="1" si="1012"/>
        <v>'0'!B31</v>
      </c>
      <c r="M3628" s="15" t="str">
        <f t="shared" ref="M3628" si="1016">ADDRESS(O3628,3,4,1,$R$1)</f>
        <v>konfig!C183</v>
      </c>
      <c r="N3628" s="15" t="str">
        <f t="shared" ref="N3628" si="1017">ADDRESS(O3628,1,4,1,$R$1)</f>
        <v>konfig!A183</v>
      </c>
      <c r="O3628" s="15">
        <v>183</v>
      </c>
      <c r="P3628" s="15">
        <v>4</v>
      </c>
    </row>
    <row r="3629" spans="1:16" x14ac:dyDescent="0.25">
      <c r="A3629" s="3" t="str">
        <f t="shared" ca="1" si="1013"/>
        <v/>
      </c>
      <c r="G3629" s="15">
        <f t="shared" ref="G3629:G3669" ca="1" si="1018">G3628+1</f>
        <v>32</v>
      </c>
      <c r="H3629" s="15">
        <v>1</v>
      </c>
      <c r="I3629" s="15">
        <f t="shared" ref="I3629:I3669" ca="1" si="1019">I3628</f>
        <v>0</v>
      </c>
      <c r="J3629" s="15" t="str">
        <f t="shared" ca="1" si="1011"/>
        <v>'0'!A32</v>
      </c>
      <c r="K3629" s="15" t="str">
        <f t="shared" ca="1" si="1012"/>
        <v>'0'!B32</v>
      </c>
    </row>
    <row r="3630" spans="1:16" x14ac:dyDescent="0.25">
      <c r="A3630" s="3" t="str">
        <f t="shared" ca="1" si="1013"/>
        <v/>
      </c>
      <c r="G3630" s="15">
        <f t="shared" ca="1" si="1003"/>
        <v>33</v>
      </c>
      <c r="H3630" s="15">
        <v>1</v>
      </c>
      <c r="I3630" s="15">
        <f t="shared" ca="1" si="1004"/>
        <v>0</v>
      </c>
      <c r="J3630" s="15" t="str">
        <f t="shared" ca="1" si="1011"/>
        <v>'0'!A33</v>
      </c>
      <c r="K3630" s="15" t="str">
        <f t="shared" ca="1" si="1012"/>
        <v>'0'!B33</v>
      </c>
    </row>
    <row r="3631" spans="1:16" x14ac:dyDescent="0.25">
      <c r="A3631" s="3" t="str">
        <f t="shared" ca="1" si="1013"/>
        <v/>
      </c>
      <c r="C3631" s="16"/>
      <c r="G3631" s="15">
        <f t="shared" ca="1" si="1003"/>
        <v>34</v>
      </c>
      <c r="H3631" s="15">
        <v>1</v>
      </c>
      <c r="I3631" s="15">
        <f t="shared" ca="1" si="1004"/>
        <v>0</v>
      </c>
      <c r="J3631" s="15" t="str">
        <f t="shared" ca="1" si="1011"/>
        <v>'0'!A34</v>
      </c>
      <c r="K3631" s="15" t="str">
        <f t="shared" ca="1" si="1012"/>
        <v>'0'!B34</v>
      </c>
    </row>
    <row r="3632" spans="1:16" x14ac:dyDescent="0.25">
      <c r="A3632" s="3" t="str">
        <f t="shared" ca="1" si="1013"/>
        <v/>
      </c>
      <c r="G3632" s="15">
        <f t="shared" ca="1" si="1003"/>
        <v>35</v>
      </c>
      <c r="H3632" s="15">
        <v>1</v>
      </c>
      <c r="I3632" s="15">
        <f t="shared" ca="1" si="1004"/>
        <v>0</v>
      </c>
      <c r="J3632" s="15" t="str">
        <f t="shared" ca="1" si="1011"/>
        <v>'0'!A35</v>
      </c>
      <c r="K3632" s="15" t="str">
        <f t="shared" ca="1" si="1012"/>
        <v>'0'!B35</v>
      </c>
    </row>
    <row r="3633" spans="1:16" x14ac:dyDescent="0.25">
      <c r="A3633" s="3" t="str">
        <f t="shared" ca="1" si="1013"/>
        <v/>
      </c>
      <c r="G3633" s="15">
        <f t="shared" ca="1" si="1003"/>
        <v>36</v>
      </c>
      <c r="H3633" s="15">
        <v>1</v>
      </c>
      <c r="I3633" s="15">
        <f t="shared" ca="1" si="1004"/>
        <v>0</v>
      </c>
      <c r="J3633" s="15" t="str">
        <f t="shared" ca="1" si="1011"/>
        <v>'0'!A36</v>
      </c>
      <c r="K3633" s="15" t="str">
        <f t="shared" ca="1" si="1012"/>
        <v>'0'!B36</v>
      </c>
    </row>
    <row r="3634" spans="1:16" x14ac:dyDescent="0.25">
      <c r="A3634" s="3" t="str">
        <f t="shared" ca="1" si="1013"/>
        <v/>
      </c>
      <c r="G3634" s="15">
        <f t="shared" ca="1" si="1003"/>
        <v>37</v>
      </c>
      <c r="H3634" s="15">
        <v>1</v>
      </c>
      <c r="I3634" s="15">
        <f t="shared" ca="1" si="1004"/>
        <v>0</v>
      </c>
      <c r="J3634" s="15" t="str">
        <f t="shared" ca="1" si="1011"/>
        <v>'0'!A37</v>
      </c>
      <c r="K3634" s="15" t="str">
        <f t="shared" ca="1" si="1012"/>
        <v>'0'!B37</v>
      </c>
    </row>
    <row r="3635" spans="1:16" x14ac:dyDescent="0.25">
      <c r="A3635" s="3" t="str">
        <f t="shared" ca="1" si="1013"/>
        <v/>
      </c>
      <c r="G3635" s="15">
        <f t="shared" ca="1" si="1003"/>
        <v>38</v>
      </c>
      <c r="H3635" s="15">
        <v>1</v>
      </c>
      <c r="I3635" s="15">
        <f t="shared" ca="1" si="1004"/>
        <v>0</v>
      </c>
      <c r="J3635" s="15" t="str">
        <f t="shared" ca="1" si="1011"/>
        <v>'0'!A38</v>
      </c>
      <c r="K3635" s="15" t="str">
        <f t="shared" ca="1" si="1012"/>
        <v>'0'!B38</v>
      </c>
    </row>
    <row r="3636" spans="1:16" x14ac:dyDescent="0.25">
      <c r="A3636" s="3" t="str">
        <f t="shared" ca="1" si="1013"/>
        <v/>
      </c>
      <c r="G3636" s="15">
        <f t="shared" ca="1" si="1003"/>
        <v>39</v>
      </c>
      <c r="H3636" s="15">
        <v>1</v>
      </c>
      <c r="I3636" s="15">
        <f t="shared" ca="1" si="1004"/>
        <v>0</v>
      </c>
      <c r="J3636" s="15" t="str">
        <f t="shared" ca="1" si="1011"/>
        <v>'0'!A39</v>
      </c>
      <c r="K3636" s="15" t="str">
        <f t="shared" ca="1" si="1012"/>
        <v>'0'!B39</v>
      </c>
    </row>
    <row r="3637" spans="1:16" x14ac:dyDescent="0.25">
      <c r="A3637" s="3" t="str">
        <f t="shared" ca="1" si="1013"/>
        <v/>
      </c>
      <c r="G3637" s="15">
        <f t="shared" ca="1" si="1003"/>
        <v>40</v>
      </c>
      <c r="H3637" s="15">
        <v>1</v>
      </c>
      <c r="I3637" s="15">
        <f t="shared" ca="1" si="1004"/>
        <v>0</v>
      </c>
      <c r="J3637" s="15" t="str">
        <f t="shared" ca="1" si="1011"/>
        <v>'0'!A40</v>
      </c>
      <c r="K3637" s="15" t="str">
        <f t="shared" ca="1" si="1012"/>
        <v>'0'!B40</v>
      </c>
    </row>
    <row r="3638" spans="1:16" x14ac:dyDescent="0.25">
      <c r="A3638" s="3" t="str">
        <f t="shared" ca="1" si="1013"/>
        <v/>
      </c>
      <c r="G3638" s="15">
        <f t="shared" ca="1" si="1003"/>
        <v>41</v>
      </c>
      <c r="H3638" s="15">
        <v>1</v>
      </c>
      <c r="I3638" s="15">
        <f t="shared" ca="1" si="1004"/>
        <v>0</v>
      </c>
      <c r="J3638" s="15" t="str">
        <f t="shared" ca="1" si="1011"/>
        <v>'0'!A41</v>
      </c>
      <c r="K3638" s="15" t="str">
        <f t="shared" ca="1" si="1012"/>
        <v>'0'!B41</v>
      </c>
    </row>
    <row r="3639" spans="1:16" x14ac:dyDescent="0.25">
      <c r="A3639" s="3" t="str">
        <f t="shared" ca="1" si="1013"/>
        <v/>
      </c>
      <c r="C3639" s="16"/>
      <c r="G3639" s="15">
        <f t="shared" ca="1" si="1003"/>
        <v>42</v>
      </c>
      <c r="H3639" s="15">
        <v>1</v>
      </c>
      <c r="I3639" s="15">
        <f t="shared" ca="1" si="1004"/>
        <v>0</v>
      </c>
      <c r="J3639" s="15" t="str">
        <f t="shared" ca="1" si="1011"/>
        <v>'0'!A42</v>
      </c>
      <c r="K3639" s="15" t="str">
        <f t="shared" ca="1" si="1012"/>
        <v>'0'!B42</v>
      </c>
    </row>
    <row r="3640" spans="1:16" x14ac:dyDescent="0.25">
      <c r="A3640" s="3" t="str">
        <f t="shared" ca="1" si="1013"/>
        <v/>
      </c>
      <c r="G3640" s="15">
        <f t="shared" ca="1" si="1003"/>
        <v>43</v>
      </c>
      <c r="H3640" s="15">
        <v>1</v>
      </c>
      <c r="I3640" s="15">
        <f t="shared" ca="1" si="1004"/>
        <v>0</v>
      </c>
      <c r="J3640" s="15" t="str">
        <f t="shared" ca="1" si="1011"/>
        <v>'0'!A43</v>
      </c>
      <c r="K3640" s="15" t="str">
        <f t="shared" ca="1" si="1012"/>
        <v>'0'!B43</v>
      </c>
    </row>
    <row r="3641" spans="1:16" x14ac:dyDescent="0.25">
      <c r="A3641" s="3" t="str">
        <f t="shared" ca="1" si="1013"/>
        <v/>
      </c>
      <c r="G3641" s="15">
        <f t="shared" ca="1" si="1003"/>
        <v>44</v>
      </c>
      <c r="H3641" s="15">
        <v>1</v>
      </c>
      <c r="I3641" s="15">
        <f t="shared" ca="1" si="1004"/>
        <v>0</v>
      </c>
      <c r="J3641" s="15" t="str">
        <f t="shared" ca="1" si="1011"/>
        <v>'0'!A44</v>
      </c>
      <c r="K3641" s="15" t="str">
        <f t="shared" ca="1" si="1012"/>
        <v>'0'!B44</v>
      </c>
    </row>
    <row r="3642" spans="1:16" x14ac:dyDescent="0.25">
      <c r="A3642" s="3" t="str">
        <f t="shared" ca="1" si="1013"/>
        <v/>
      </c>
      <c r="G3642" s="15">
        <f t="shared" ca="1" si="1003"/>
        <v>45</v>
      </c>
      <c r="H3642" s="15">
        <v>1</v>
      </c>
      <c r="I3642" s="15">
        <f t="shared" ca="1" si="1004"/>
        <v>0</v>
      </c>
      <c r="J3642" s="15" t="str">
        <f t="shared" ca="1" si="1011"/>
        <v>'0'!A45</v>
      </c>
      <c r="K3642" s="15" t="str">
        <f t="shared" ca="1" si="1012"/>
        <v>'0'!B45</v>
      </c>
    </row>
    <row r="3643" spans="1:16" x14ac:dyDescent="0.25">
      <c r="A3643" s="3" t="str">
        <f t="shared" ca="1" si="1013"/>
        <v/>
      </c>
      <c r="G3643" s="15">
        <f t="shared" ca="1" si="1003"/>
        <v>46</v>
      </c>
      <c r="H3643" s="15">
        <v>1</v>
      </c>
      <c r="I3643" s="15">
        <f t="shared" ca="1" si="1004"/>
        <v>0</v>
      </c>
      <c r="J3643" s="15" t="str">
        <f t="shared" ca="1" si="1011"/>
        <v>'0'!A46</v>
      </c>
      <c r="K3643" s="15" t="str">
        <f t="shared" ca="1" si="1012"/>
        <v>'0'!B46</v>
      </c>
    </row>
    <row r="3644" spans="1:16" x14ac:dyDescent="0.25">
      <c r="A3644" s="3" t="str">
        <f t="shared" ca="1" si="1013"/>
        <v/>
      </c>
      <c r="G3644" s="15">
        <f t="shared" ca="1" si="1003"/>
        <v>47</v>
      </c>
      <c r="H3644" s="15">
        <v>1</v>
      </c>
      <c r="I3644" s="15">
        <f t="shared" ca="1" si="1004"/>
        <v>0</v>
      </c>
      <c r="J3644" s="15" t="str">
        <f t="shared" ca="1" si="1011"/>
        <v>'0'!A47</v>
      </c>
      <c r="K3644" s="15" t="str">
        <f t="shared" ca="1" si="1012"/>
        <v>'0'!B47</v>
      </c>
    </row>
    <row r="3645" spans="1:16" x14ac:dyDescent="0.25">
      <c r="A3645" s="3" t="str">
        <f t="shared" ca="1" si="1013"/>
        <v/>
      </c>
      <c r="G3645" s="15">
        <f t="shared" ca="1" si="1003"/>
        <v>48</v>
      </c>
      <c r="H3645" s="15">
        <v>1</v>
      </c>
      <c r="I3645" s="15">
        <f t="shared" ca="1" si="1004"/>
        <v>0</v>
      </c>
      <c r="J3645" s="15" t="str">
        <f t="shared" ca="1" si="1011"/>
        <v>'0'!A48</v>
      </c>
      <c r="K3645" s="15" t="str">
        <f t="shared" ca="1" si="1012"/>
        <v>'0'!B48</v>
      </c>
    </row>
    <row r="3646" spans="1:16" x14ac:dyDescent="0.25">
      <c r="A3646" s="3" t="str">
        <f t="shared" ca="1" si="1013"/>
        <v/>
      </c>
      <c r="G3646" s="15">
        <f t="shared" ca="1" si="1003"/>
        <v>49</v>
      </c>
      <c r="H3646" s="15">
        <v>1</v>
      </c>
      <c r="I3646" s="15">
        <f t="shared" ca="1" si="1004"/>
        <v>0</v>
      </c>
      <c r="J3646" s="15" t="str">
        <f t="shared" ca="1" si="1011"/>
        <v>'0'!A49</v>
      </c>
      <c r="K3646" s="15" t="str">
        <f t="shared" ca="1" si="1012"/>
        <v>'0'!B49</v>
      </c>
    </row>
    <row r="3647" spans="1:16" x14ac:dyDescent="0.25">
      <c r="A3647" s="3" t="str">
        <f t="shared" ca="1" si="1013"/>
        <v/>
      </c>
      <c r="G3647" s="15">
        <f t="shared" ca="1" si="1003"/>
        <v>50</v>
      </c>
      <c r="H3647" s="15">
        <v>1</v>
      </c>
      <c r="I3647" s="15">
        <f t="shared" ca="1" si="1004"/>
        <v>0</v>
      </c>
      <c r="J3647" s="15" t="str">
        <f t="shared" ca="1" si="1011"/>
        <v>'0'!A50</v>
      </c>
      <c r="K3647" s="15" t="str">
        <f t="shared" ca="1" si="1012"/>
        <v>'0'!B50</v>
      </c>
    </row>
    <row r="3648" spans="1:16" x14ac:dyDescent="0.25">
      <c r="A3648" s="3" t="str">
        <f t="shared" ca="1" si="1013"/>
        <v/>
      </c>
      <c r="G3648" s="15">
        <f t="shared" ref="G3648" ca="1" si="1020">INDIRECT(M3648)</f>
        <v>31</v>
      </c>
      <c r="H3648" s="15">
        <v>1</v>
      </c>
      <c r="I3648" s="15">
        <f t="shared" ref="I3648" ca="1" si="1021">INDIRECT(N3648)</f>
        <v>0</v>
      </c>
      <c r="J3648" s="15" t="str">
        <f t="shared" ca="1" si="1011"/>
        <v>'0'!A31</v>
      </c>
      <c r="K3648" s="15" t="str">
        <f t="shared" ca="1" si="1012"/>
        <v>'0'!B31</v>
      </c>
      <c r="M3648" s="15" t="str">
        <f t="shared" ref="M3648" si="1022">ADDRESS(O3648,3,4,1,$R$1)</f>
        <v>konfig!C184</v>
      </c>
      <c r="N3648" s="15" t="str">
        <f t="shared" ref="N3648" si="1023">ADDRESS(O3648,1,4,1,$R$1)</f>
        <v>konfig!A184</v>
      </c>
      <c r="O3648" s="15">
        <v>184</v>
      </c>
      <c r="P3648" s="15">
        <v>4</v>
      </c>
    </row>
    <row r="3649" spans="1:11" x14ac:dyDescent="0.25">
      <c r="A3649" s="3" t="str">
        <f t="shared" ca="1" si="1013"/>
        <v/>
      </c>
      <c r="G3649" s="15">
        <f t="shared" ca="1" si="1009"/>
        <v>32</v>
      </c>
      <c r="H3649" s="15">
        <v>1</v>
      </c>
      <c r="I3649" s="15">
        <f t="shared" ca="1" si="1010"/>
        <v>0</v>
      </c>
      <c r="J3649" s="15" t="str">
        <f t="shared" ca="1" si="1011"/>
        <v>'0'!A32</v>
      </c>
      <c r="K3649" s="15" t="str">
        <f t="shared" ca="1" si="1012"/>
        <v>'0'!B32</v>
      </c>
    </row>
    <row r="3650" spans="1:11" x14ac:dyDescent="0.25">
      <c r="A3650" s="3" t="str">
        <f t="shared" ca="1" si="1013"/>
        <v/>
      </c>
      <c r="G3650" s="15">
        <f t="shared" ca="1" si="1009"/>
        <v>33</v>
      </c>
      <c r="H3650" s="15">
        <v>1</v>
      </c>
      <c r="I3650" s="15">
        <f t="shared" ca="1" si="1010"/>
        <v>0</v>
      </c>
      <c r="J3650" s="15" t="str">
        <f t="shared" ca="1" si="1011"/>
        <v>'0'!A33</v>
      </c>
      <c r="K3650" s="15" t="str">
        <f t="shared" ca="1" si="1012"/>
        <v>'0'!B33</v>
      </c>
    </row>
    <row r="3651" spans="1:11" x14ac:dyDescent="0.25">
      <c r="A3651" s="3" t="str">
        <f t="shared" ca="1" si="1013"/>
        <v/>
      </c>
      <c r="C3651" s="16"/>
      <c r="G3651" s="15">
        <f t="shared" ca="1" si="1009"/>
        <v>34</v>
      </c>
      <c r="H3651" s="15">
        <v>1</v>
      </c>
      <c r="I3651" s="15">
        <f t="shared" ca="1" si="1010"/>
        <v>0</v>
      </c>
      <c r="J3651" s="15" t="str">
        <f t="shared" ca="1" si="1011"/>
        <v>'0'!A34</v>
      </c>
      <c r="K3651" s="15" t="str">
        <f t="shared" ca="1" si="1012"/>
        <v>'0'!B34</v>
      </c>
    </row>
    <row r="3652" spans="1:11" x14ac:dyDescent="0.25">
      <c r="A3652" s="3" t="str">
        <f t="shared" ca="1" si="1013"/>
        <v/>
      </c>
      <c r="G3652" s="15">
        <f t="shared" ca="1" si="1009"/>
        <v>35</v>
      </c>
      <c r="H3652" s="15">
        <v>1</v>
      </c>
      <c r="I3652" s="15">
        <f t="shared" ca="1" si="1010"/>
        <v>0</v>
      </c>
      <c r="J3652" s="15" t="str">
        <f t="shared" ca="1" si="1011"/>
        <v>'0'!A35</v>
      </c>
      <c r="K3652" s="15" t="str">
        <f t="shared" ca="1" si="1012"/>
        <v>'0'!B35</v>
      </c>
    </row>
    <row r="3653" spans="1:11" x14ac:dyDescent="0.25">
      <c r="A3653" s="3" t="str">
        <f t="shared" ca="1" si="1013"/>
        <v/>
      </c>
      <c r="G3653" s="15">
        <f t="shared" ca="1" si="1003"/>
        <v>36</v>
      </c>
      <c r="H3653" s="15">
        <v>1</v>
      </c>
      <c r="I3653" s="15">
        <f t="shared" ca="1" si="1004"/>
        <v>0</v>
      </c>
      <c r="J3653" s="15" t="str">
        <f t="shared" ca="1" si="1011"/>
        <v>'0'!A36</v>
      </c>
      <c r="K3653" s="15" t="str">
        <f t="shared" ca="1" si="1012"/>
        <v>'0'!B36</v>
      </c>
    </row>
    <row r="3654" spans="1:11" x14ac:dyDescent="0.25">
      <c r="A3654" s="3" t="str">
        <f t="shared" ca="1" si="1013"/>
        <v/>
      </c>
      <c r="G3654" s="15">
        <f t="shared" ca="1" si="1003"/>
        <v>37</v>
      </c>
      <c r="H3654" s="15">
        <v>1</v>
      </c>
      <c r="I3654" s="15">
        <f t="shared" ca="1" si="1004"/>
        <v>0</v>
      </c>
      <c r="J3654" s="15" t="str">
        <f t="shared" ca="1" si="1011"/>
        <v>'0'!A37</v>
      </c>
      <c r="K3654" s="15" t="str">
        <f t="shared" ca="1" si="1012"/>
        <v>'0'!B37</v>
      </c>
    </row>
    <row r="3655" spans="1:11" x14ac:dyDescent="0.25">
      <c r="A3655" s="3" t="str">
        <f t="shared" ca="1" si="1013"/>
        <v/>
      </c>
      <c r="G3655" s="15">
        <f t="shared" ca="1" si="1003"/>
        <v>38</v>
      </c>
      <c r="H3655" s="15">
        <v>1</v>
      </c>
      <c r="I3655" s="15">
        <f t="shared" ca="1" si="1004"/>
        <v>0</v>
      </c>
      <c r="J3655" s="15" t="str">
        <f t="shared" ca="1" si="1011"/>
        <v>'0'!A38</v>
      </c>
      <c r="K3655" s="15" t="str">
        <f t="shared" ca="1" si="1012"/>
        <v>'0'!B38</v>
      </c>
    </row>
    <row r="3656" spans="1:11" x14ac:dyDescent="0.25">
      <c r="A3656" s="3" t="str">
        <f t="shared" ca="1" si="1013"/>
        <v/>
      </c>
      <c r="G3656" s="15">
        <f t="shared" ca="1" si="1003"/>
        <v>39</v>
      </c>
      <c r="H3656" s="15">
        <v>1</v>
      </c>
      <c r="I3656" s="15">
        <f t="shared" ca="1" si="1004"/>
        <v>0</v>
      </c>
      <c r="J3656" s="15" t="str">
        <f t="shared" ca="1" si="1011"/>
        <v>'0'!A39</v>
      </c>
      <c r="K3656" s="15" t="str">
        <f t="shared" ca="1" si="1012"/>
        <v>'0'!B39</v>
      </c>
    </row>
    <row r="3657" spans="1:11" x14ac:dyDescent="0.25">
      <c r="A3657" s="3" t="str">
        <f t="shared" ca="1" si="1013"/>
        <v/>
      </c>
      <c r="G3657" s="15">
        <f t="shared" ref="G3657:G3720" ca="1" si="1024">G3656+1</f>
        <v>40</v>
      </c>
      <c r="H3657" s="15">
        <v>1</v>
      </c>
      <c r="I3657" s="15">
        <f t="shared" ref="I3657:I3720" ca="1" si="1025">I3656</f>
        <v>0</v>
      </c>
      <c r="J3657" s="15" t="str">
        <f t="shared" ca="1" si="1011"/>
        <v>'0'!A40</v>
      </c>
      <c r="K3657" s="15" t="str">
        <f t="shared" ca="1" si="1012"/>
        <v>'0'!B40</v>
      </c>
    </row>
    <row r="3658" spans="1:11" x14ac:dyDescent="0.25">
      <c r="A3658" s="3" t="str">
        <f t="shared" ca="1" si="1013"/>
        <v/>
      </c>
      <c r="G3658" s="15">
        <f t="shared" ca="1" si="1024"/>
        <v>41</v>
      </c>
      <c r="H3658" s="15">
        <v>1</v>
      </c>
      <c r="I3658" s="15">
        <f t="shared" ca="1" si="1025"/>
        <v>0</v>
      </c>
      <c r="J3658" s="15" t="str">
        <f t="shared" ca="1" si="1011"/>
        <v>'0'!A41</v>
      </c>
      <c r="K3658" s="15" t="str">
        <f t="shared" ca="1" si="1012"/>
        <v>'0'!B41</v>
      </c>
    </row>
    <row r="3659" spans="1:11" x14ac:dyDescent="0.25">
      <c r="A3659" s="3" t="str">
        <f t="shared" ca="1" si="1013"/>
        <v/>
      </c>
      <c r="C3659" s="16"/>
      <c r="G3659" s="15">
        <f t="shared" ca="1" si="1024"/>
        <v>42</v>
      </c>
      <c r="H3659" s="15">
        <v>1</v>
      </c>
      <c r="I3659" s="15">
        <f t="shared" ca="1" si="1025"/>
        <v>0</v>
      </c>
      <c r="J3659" s="15" t="str">
        <f t="shared" ca="1" si="1011"/>
        <v>'0'!A42</v>
      </c>
      <c r="K3659" s="15" t="str">
        <f t="shared" ca="1" si="1012"/>
        <v>'0'!B42</v>
      </c>
    </row>
    <row r="3660" spans="1:11" x14ac:dyDescent="0.25">
      <c r="A3660" s="3" t="str">
        <f t="shared" ca="1" si="1013"/>
        <v/>
      </c>
      <c r="G3660" s="15">
        <f t="shared" ca="1" si="1024"/>
        <v>43</v>
      </c>
      <c r="H3660" s="15">
        <v>1</v>
      </c>
      <c r="I3660" s="15">
        <f t="shared" ca="1" si="1025"/>
        <v>0</v>
      </c>
      <c r="J3660" s="15" t="str">
        <f t="shared" ca="1" si="1011"/>
        <v>'0'!A43</v>
      </c>
      <c r="K3660" s="15" t="str">
        <f t="shared" ca="1" si="1012"/>
        <v>'0'!B43</v>
      </c>
    </row>
    <row r="3661" spans="1:11" x14ac:dyDescent="0.25">
      <c r="A3661" s="3" t="str">
        <f t="shared" ca="1" si="1013"/>
        <v/>
      </c>
      <c r="G3661" s="15">
        <f t="shared" ca="1" si="1024"/>
        <v>44</v>
      </c>
      <c r="H3661" s="15">
        <v>1</v>
      </c>
      <c r="I3661" s="15">
        <f t="shared" ca="1" si="1025"/>
        <v>0</v>
      </c>
      <c r="J3661" s="15" t="str">
        <f t="shared" ca="1" si="1011"/>
        <v>'0'!A44</v>
      </c>
      <c r="K3661" s="15" t="str">
        <f t="shared" ca="1" si="1012"/>
        <v>'0'!B44</v>
      </c>
    </row>
    <row r="3662" spans="1:11" x14ac:dyDescent="0.25">
      <c r="A3662" s="3" t="str">
        <f t="shared" ca="1" si="1013"/>
        <v/>
      </c>
      <c r="G3662" s="15">
        <f t="shared" ca="1" si="1024"/>
        <v>45</v>
      </c>
      <c r="H3662" s="15">
        <v>1</v>
      </c>
      <c r="I3662" s="15">
        <f t="shared" ca="1" si="1025"/>
        <v>0</v>
      </c>
      <c r="J3662" s="15" t="str">
        <f t="shared" ca="1" si="1011"/>
        <v>'0'!A45</v>
      </c>
      <c r="K3662" s="15" t="str">
        <f t="shared" ca="1" si="1012"/>
        <v>'0'!B45</v>
      </c>
    </row>
    <row r="3663" spans="1:11" x14ac:dyDescent="0.25">
      <c r="A3663" s="3" t="str">
        <f t="shared" ca="1" si="1013"/>
        <v/>
      </c>
      <c r="G3663" s="15">
        <f t="shared" ca="1" si="1024"/>
        <v>46</v>
      </c>
      <c r="H3663" s="15">
        <v>1</v>
      </c>
      <c r="I3663" s="15">
        <f t="shared" ca="1" si="1025"/>
        <v>0</v>
      </c>
      <c r="J3663" s="15" t="str">
        <f t="shared" ca="1" si="1011"/>
        <v>'0'!A46</v>
      </c>
      <c r="K3663" s="15" t="str">
        <f t="shared" ca="1" si="1012"/>
        <v>'0'!B46</v>
      </c>
    </row>
    <row r="3664" spans="1:11" x14ac:dyDescent="0.25">
      <c r="A3664" s="3" t="str">
        <f t="shared" ca="1" si="1013"/>
        <v/>
      </c>
      <c r="G3664" s="15">
        <f t="shared" ca="1" si="1024"/>
        <v>47</v>
      </c>
      <c r="H3664" s="15">
        <v>1</v>
      </c>
      <c r="I3664" s="15">
        <f t="shared" ca="1" si="1025"/>
        <v>0</v>
      </c>
      <c r="J3664" s="15" t="str">
        <f t="shared" ca="1" si="1011"/>
        <v>'0'!A47</v>
      </c>
      <c r="K3664" s="15" t="str">
        <f t="shared" ca="1" si="1012"/>
        <v>'0'!B47</v>
      </c>
    </row>
    <row r="3665" spans="1:16" x14ac:dyDescent="0.25">
      <c r="A3665" s="3" t="str">
        <f t="shared" ca="1" si="1013"/>
        <v/>
      </c>
      <c r="G3665" s="15">
        <f t="shared" ca="1" si="1024"/>
        <v>48</v>
      </c>
      <c r="H3665" s="15">
        <v>1</v>
      </c>
      <c r="I3665" s="15">
        <f t="shared" ca="1" si="1025"/>
        <v>0</v>
      </c>
      <c r="J3665" s="15" t="str">
        <f t="shared" ca="1" si="1011"/>
        <v>'0'!A48</v>
      </c>
      <c r="K3665" s="15" t="str">
        <f t="shared" ca="1" si="1012"/>
        <v>'0'!B48</v>
      </c>
    </row>
    <row r="3666" spans="1:16" x14ac:dyDescent="0.25">
      <c r="A3666" s="3" t="str">
        <f t="shared" ca="1" si="1013"/>
        <v/>
      </c>
      <c r="G3666" s="15">
        <f t="shared" ca="1" si="1024"/>
        <v>49</v>
      </c>
      <c r="H3666" s="15">
        <v>1</v>
      </c>
      <c r="I3666" s="15">
        <f t="shared" ca="1" si="1025"/>
        <v>0</v>
      </c>
      <c r="J3666" s="15" t="str">
        <f t="shared" ca="1" si="1011"/>
        <v>'0'!A49</v>
      </c>
      <c r="K3666" s="15" t="str">
        <f t="shared" ca="1" si="1012"/>
        <v>'0'!B49</v>
      </c>
    </row>
    <row r="3667" spans="1:16" x14ac:dyDescent="0.25">
      <c r="A3667" s="3" t="str">
        <f t="shared" ca="1" si="1013"/>
        <v/>
      </c>
      <c r="G3667" s="15">
        <f t="shared" ca="1" si="1024"/>
        <v>50</v>
      </c>
      <c r="H3667" s="15">
        <v>1</v>
      </c>
      <c r="I3667" s="15">
        <f t="shared" ca="1" si="1025"/>
        <v>0</v>
      </c>
      <c r="J3667" s="15" t="str">
        <f t="shared" ca="1" si="1011"/>
        <v>'0'!A50</v>
      </c>
      <c r="K3667" s="15" t="str">
        <f t="shared" ca="1" si="1012"/>
        <v>'0'!B50</v>
      </c>
    </row>
    <row r="3668" spans="1:16" x14ac:dyDescent="0.25">
      <c r="A3668" s="3" t="str">
        <f t="shared" ca="1" si="1013"/>
        <v/>
      </c>
      <c r="G3668" s="15">
        <f t="shared" ref="G3668" ca="1" si="1026">INDIRECT(M3668)</f>
        <v>31</v>
      </c>
      <c r="H3668" s="15">
        <v>1</v>
      </c>
      <c r="I3668" s="15">
        <f t="shared" ref="I3668" ca="1" si="1027">INDIRECT(N3668)</f>
        <v>0</v>
      </c>
      <c r="J3668" s="15" t="str">
        <f t="shared" ca="1" si="1011"/>
        <v>'0'!A31</v>
      </c>
      <c r="K3668" s="15" t="str">
        <f t="shared" ca="1" si="1012"/>
        <v>'0'!B31</v>
      </c>
      <c r="M3668" s="15" t="str">
        <f t="shared" ref="M3668" si="1028">ADDRESS(O3668,3,4,1,$R$1)</f>
        <v>konfig!C185</v>
      </c>
      <c r="N3668" s="15" t="str">
        <f t="shared" ref="N3668" si="1029">ADDRESS(O3668,1,4,1,$R$1)</f>
        <v>konfig!A185</v>
      </c>
      <c r="O3668" s="15">
        <v>185</v>
      </c>
      <c r="P3668" s="15">
        <v>4</v>
      </c>
    </row>
    <row r="3669" spans="1:16" x14ac:dyDescent="0.25">
      <c r="A3669" s="3" t="str">
        <f t="shared" ca="1" si="1013"/>
        <v/>
      </c>
      <c r="G3669" s="15">
        <f t="shared" ca="1" si="1018"/>
        <v>32</v>
      </c>
      <c r="H3669" s="15">
        <v>1</v>
      </c>
      <c r="I3669" s="15">
        <f t="shared" ca="1" si="1019"/>
        <v>0</v>
      </c>
      <c r="J3669" s="15" t="str">
        <f t="shared" ca="1" si="1011"/>
        <v>'0'!A32</v>
      </c>
      <c r="K3669" s="15" t="str">
        <f t="shared" ca="1" si="1012"/>
        <v>'0'!B32</v>
      </c>
    </row>
    <row r="3670" spans="1:16" x14ac:dyDescent="0.25">
      <c r="A3670" s="3" t="str">
        <f t="shared" ca="1" si="1013"/>
        <v/>
      </c>
      <c r="G3670" s="15">
        <f t="shared" ca="1" si="1024"/>
        <v>33</v>
      </c>
      <c r="H3670" s="15">
        <v>1</v>
      </c>
      <c r="I3670" s="15">
        <f t="shared" ca="1" si="1025"/>
        <v>0</v>
      </c>
      <c r="J3670" s="15" t="str">
        <f t="shared" ca="1" si="1011"/>
        <v>'0'!A33</v>
      </c>
      <c r="K3670" s="15" t="str">
        <f t="shared" ca="1" si="1012"/>
        <v>'0'!B33</v>
      </c>
    </row>
    <row r="3671" spans="1:16" x14ac:dyDescent="0.25">
      <c r="A3671" s="3" t="str">
        <f t="shared" ca="1" si="1013"/>
        <v/>
      </c>
      <c r="C3671" s="16"/>
      <c r="G3671" s="15">
        <f t="shared" ca="1" si="1024"/>
        <v>34</v>
      </c>
      <c r="H3671" s="15">
        <v>1</v>
      </c>
      <c r="I3671" s="15">
        <f t="shared" ca="1" si="1025"/>
        <v>0</v>
      </c>
      <c r="J3671" s="15" t="str">
        <f t="shared" ca="1" si="1011"/>
        <v>'0'!A34</v>
      </c>
      <c r="K3671" s="15" t="str">
        <f t="shared" ca="1" si="1012"/>
        <v>'0'!B34</v>
      </c>
    </row>
    <row r="3672" spans="1:16" x14ac:dyDescent="0.25">
      <c r="A3672" s="3" t="str">
        <f t="shared" ca="1" si="1013"/>
        <v/>
      </c>
      <c r="G3672" s="15">
        <f t="shared" ca="1" si="1024"/>
        <v>35</v>
      </c>
      <c r="H3672" s="15">
        <v>1</v>
      </c>
      <c r="I3672" s="15">
        <f t="shared" ca="1" si="1025"/>
        <v>0</v>
      </c>
      <c r="J3672" s="15" t="str">
        <f t="shared" ca="1" si="1011"/>
        <v>'0'!A35</v>
      </c>
      <c r="K3672" s="15" t="str">
        <f t="shared" ca="1" si="1012"/>
        <v>'0'!B35</v>
      </c>
    </row>
    <row r="3673" spans="1:16" x14ac:dyDescent="0.25">
      <c r="A3673" s="3" t="str">
        <f t="shared" ca="1" si="1013"/>
        <v/>
      </c>
      <c r="G3673" s="15">
        <f t="shared" ca="1" si="1024"/>
        <v>36</v>
      </c>
      <c r="H3673" s="15">
        <v>1</v>
      </c>
      <c r="I3673" s="15">
        <f t="shared" ca="1" si="1025"/>
        <v>0</v>
      </c>
      <c r="J3673" s="15" t="str">
        <f t="shared" ca="1" si="1011"/>
        <v>'0'!A36</v>
      </c>
      <c r="K3673" s="15" t="str">
        <f t="shared" ca="1" si="1012"/>
        <v>'0'!B36</v>
      </c>
    </row>
    <row r="3674" spans="1:16" x14ac:dyDescent="0.25">
      <c r="A3674" s="3" t="str">
        <f t="shared" ca="1" si="1013"/>
        <v/>
      </c>
      <c r="G3674" s="15">
        <f t="shared" ca="1" si="1024"/>
        <v>37</v>
      </c>
      <c r="H3674" s="15">
        <v>1</v>
      </c>
      <c r="I3674" s="15">
        <f t="shared" ca="1" si="1025"/>
        <v>0</v>
      </c>
      <c r="J3674" s="15" t="str">
        <f t="shared" ca="1" si="1011"/>
        <v>'0'!A37</v>
      </c>
      <c r="K3674" s="15" t="str">
        <f t="shared" ca="1" si="1012"/>
        <v>'0'!B37</v>
      </c>
    </row>
    <row r="3675" spans="1:16" x14ac:dyDescent="0.25">
      <c r="A3675" s="3" t="str">
        <f t="shared" ca="1" si="1013"/>
        <v/>
      </c>
      <c r="G3675" s="15">
        <f t="shared" ca="1" si="1024"/>
        <v>38</v>
      </c>
      <c r="H3675" s="15">
        <v>1</v>
      </c>
      <c r="I3675" s="15">
        <f t="shared" ca="1" si="1025"/>
        <v>0</v>
      </c>
      <c r="J3675" s="15" t="str">
        <f t="shared" ca="1" si="1011"/>
        <v>'0'!A38</v>
      </c>
      <c r="K3675" s="15" t="str">
        <f t="shared" ca="1" si="1012"/>
        <v>'0'!B38</v>
      </c>
    </row>
    <row r="3676" spans="1:16" x14ac:dyDescent="0.25">
      <c r="A3676" s="3" t="str">
        <f t="shared" ca="1" si="1013"/>
        <v/>
      </c>
      <c r="G3676" s="15">
        <f t="shared" ca="1" si="1024"/>
        <v>39</v>
      </c>
      <c r="H3676" s="15">
        <v>1</v>
      </c>
      <c r="I3676" s="15">
        <f t="shared" ca="1" si="1025"/>
        <v>0</v>
      </c>
      <c r="J3676" s="15" t="str">
        <f t="shared" ca="1" si="1011"/>
        <v>'0'!A39</v>
      </c>
      <c r="K3676" s="15" t="str">
        <f t="shared" ca="1" si="1012"/>
        <v>'0'!B39</v>
      </c>
    </row>
    <row r="3677" spans="1:16" x14ac:dyDescent="0.25">
      <c r="A3677" s="3" t="str">
        <f t="shared" ca="1" si="1013"/>
        <v/>
      </c>
      <c r="G3677" s="15">
        <f t="shared" ca="1" si="1024"/>
        <v>40</v>
      </c>
      <c r="H3677" s="15">
        <v>1</v>
      </c>
      <c r="I3677" s="15">
        <f t="shared" ca="1" si="1025"/>
        <v>0</v>
      </c>
      <c r="J3677" s="15" t="str">
        <f t="shared" ca="1" si="1011"/>
        <v>'0'!A40</v>
      </c>
      <c r="K3677" s="15" t="str">
        <f t="shared" ca="1" si="1012"/>
        <v>'0'!B40</v>
      </c>
    </row>
    <row r="3678" spans="1:16" x14ac:dyDescent="0.25">
      <c r="A3678" s="3" t="str">
        <f t="shared" ca="1" si="1013"/>
        <v/>
      </c>
      <c r="G3678" s="15">
        <f t="shared" ca="1" si="1024"/>
        <v>41</v>
      </c>
      <c r="H3678" s="15">
        <v>1</v>
      </c>
      <c r="I3678" s="15">
        <f t="shared" ca="1" si="1025"/>
        <v>0</v>
      </c>
      <c r="J3678" s="15" t="str">
        <f t="shared" ca="1" si="1011"/>
        <v>'0'!A41</v>
      </c>
      <c r="K3678" s="15" t="str">
        <f t="shared" ca="1" si="1012"/>
        <v>'0'!B41</v>
      </c>
    </row>
    <row r="3679" spans="1:16" x14ac:dyDescent="0.25">
      <c r="A3679" s="3" t="str">
        <f t="shared" ca="1" si="1013"/>
        <v/>
      </c>
      <c r="C3679" s="16"/>
      <c r="G3679" s="15">
        <f t="shared" ca="1" si="1024"/>
        <v>42</v>
      </c>
      <c r="H3679" s="15">
        <v>1</v>
      </c>
      <c r="I3679" s="15">
        <f t="shared" ca="1" si="1025"/>
        <v>0</v>
      </c>
      <c r="J3679" s="15" t="str">
        <f t="shared" ca="1" si="1011"/>
        <v>'0'!A42</v>
      </c>
      <c r="K3679" s="15" t="str">
        <f t="shared" ca="1" si="1012"/>
        <v>'0'!B42</v>
      </c>
    </row>
    <row r="3680" spans="1:16" x14ac:dyDescent="0.25">
      <c r="A3680" s="3" t="str">
        <f t="shared" ca="1" si="1013"/>
        <v/>
      </c>
      <c r="G3680" s="15">
        <f t="shared" ca="1" si="1024"/>
        <v>43</v>
      </c>
      <c r="H3680" s="15">
        <v>1</v>
      </c>
      <c r="I3680" s="15">
        <f t="shared" ca="1" si="1025"/>
        <v>0</v>
      </c>
      <c r="J3680" s="15" t="str">
        <f t="shared" ca="1" si="1011"/>
        <v>'0'!A43</v>
      </c>
      <c r="K3680" s="15" t="str">
        <f t="shared" ca="1" si="1012"/>
        <v>'0'!B43</v>
      </c>
    </row>
    <row r="3681" spans="1:16" x14ac:dyDescent="0.25">
      <c r="A3681" s="3" t="str">
        <f t="shared" ca="1" si="1013"/>
        <v/>
      </c>
      <c r="G3681" s="15">
        <f t="shared" ca="1" si="1024"/>
        <v>44</v>
      </c>
      <c r="H3681" s="15">
        <v>1</v>
      </c>
      <c r="I3681" s="15">
        <f t="shared" ca="1" si="1025"/>
        <v>0</v>
      </c>
      <c r="J3681" s="15" t="str">
        <f t="shared" ca="1" si="1011"/>
        <v>'0'!A44</v>
      </c>
      <c r="K3681" s="15" t="str">
        <f t="shared" ca="1" si="1012"/>
        <v>'0'!B44</v>
      </c>
    </row>
    <row r="3682" spans="1:16" x14ac:dyDescent="0.25">
      <c r="A3682" s="3" t="str">
        <f t="shared" ca="1" si="1013"/>
        <v/>
      </c>
      <c r="G3682" s="15">
        <f t="shared" ca="1" si="1024"/>
        <v>45</v>
      </c>
      <c r="H3682" s="15">
        <v>1</v>
      </c>
      <c r="I3682" s="15">
        <f t="shared" ca="1" si="1025"/>
        <v>0</v>
      </c>
      <c r="J3682" s="15" t="str">
        <f t="shared" ca="1" si="1011"/>
        <v>'0'!A45</v>
      </c>
      <c r="K3682" s="15" t="str">
        <f t="shared" ca="1" si="1012"/>
        <v>'0'!B45</v>
      </c>
    </row>
    <row r="3683" spans="1:16" x14ac:dyDescent="0.25">
      <c r="A3683" s="3" t="str">
        <f t="shared" ca="1" si="1013"/>
        <v/>
      </c>
      <c r="G3683" s="15">
        <f t="shared" ca="1" si="1024"/>
        <v>46</v>
      </c>
      <c r="H3683" s="15">
        <v>1</v>
      </c>
      <c r="I3683" s="15">
        <f t="shared" ca="1" si="1025"/>
        <v>0</v>
      </c>
      <c r="J3683" s="15" t="str">
        <f t="shared" ca="1" si="1011"/>
        <v>'0'!A46</v>
      </c>
      <c r="K3683" s="15" t="str">
        <f t="shared" ca="1" si="1012"/>
        <v>'0'!B46</v>
      </c>
    </row>
    <row r="3684" spans="1:16" x14ac:dyDescent="0.25">
      <c r="A3684" s="3" t="str">
        <f t="shared" ca="1" si="1013"/>
        <v/>
      </c>
      <c r="G3684" s="15">
        <f t="shared" ca="1" si="1024"/>
        <v>47</v>
      </c>
      <c r="H3684" s="15">
        <v>1</v>
      </c>
      <c r="I3684" s="15">
        <f t="shared" ca="1" si="1025"/>
        <v>0</v>
      </c>
      <c r="J3684" s="15" t="str">
        <f t="shared" ref="J3684:J3747" ca="1" si="1030">ADDRESS(G3684,H3684,4,1,I3684)</f>
        <v>'0'!A47</v>
      </c>
      <c r="K3684" s="15" t="str">
        <f t="shared" ref="K3684:K3747" ca="1" si="1031">ADDRESS(G3684,H3684+1,4,1,I3684)</f>
        <v>'0'!B47</v>
      </c>
    </row>
    <row r="3685" spans="1:16" x14ac:dyDescent="0.25">
      <c r="A3685" s="3" t="str">
        <f t="shared" ca="1" si="1013"/>
        <v/>
      </c>
      <c r="G3685" s="15">
        <f t="shared" ca="1" si="1024"/>
        <v>48</v>
      </c>
      <c r="H3685" s="15">
        <v>1</v>
      </c>
      <c r="I3685" s="15">
        <f t="shared" ca="1" si="1025"/>
        <v>0</v>
      </c>
      <c r="J3685" s="15" t="str">
        <f t="shared" ca="1" si="1030"/>
        <v>'0'!A48</v>
      </c>
      <c r="K3685" s="15" t="str">
        <f t="shared" ca="1" si="1031"/>
        <v>'0'!B48</v>
      </c>
    </row>
    <row r="3686" spans="1:16" x14ac:dyDescent="0.25">
      <c r="A3686" s="3" t="str">
        <f t="shared" ca="1" si="1013"/>
        <v/>
      </c>
      <c r="G3686" s="15">
        <f t="shared" ca="1" si="1024"/>
        <v>49</v>
      </c>
      <c r="H3686" s="15">
        <v>1</v>
      </c>
      <c r="I3686" s="15">
        <f t="shared" ca="1" si="1025"/>
        <v>0</v>
      </c>
      <c r="J3686" s="15" t="str">
        <f t="shared" ca="1" si="1030"/>
        <v>'0'!A49</v>
      </c>
      <c r="K3686" s="15" t="str">
        <f t="shared" ca="1" si="1031"/>
        <v>'0'!B49</v>
      </c>
    </row>
    <row r="3687" spans="1:16" x14ac:dyDescent="0.25">
      <c r="A3687" s="3" t="str">
        <f t="shared" ca="1" si="1013"/>
        <v/>
      </c>
      <c r="G3687" s="15">
        <f t="shared" ca="1" si="1024"/>
        <v>50</v>
      </c>
      <c r="H3687" s="15">
        <v>1</v>
      </c>
      <c r="I3687" s="15">
        <f t="shared" ca="1" si="1025"/>
        <v>0</v>
      </c>
      <c r="J3687" s="15" t="str">
        <f t="shared" ca="1" si="1030"/>
        <v>'0'!A50</v>
      </c>
      <c r="K3687" s="15" t="str">
        <f t="shared" ca="1" si="1031"/>
        <v>'0'!B50</v>
      </c>
    </row>
    <row r="3688" spans="1:16" x14ac:dyDescent="0.25">
      <c r="A3688" s="3" t="str">
        <f t="shared" ca="1" si="1013"/>
        <v/>
      </c>
      <c r="G3688" s="15">
        <f t="shared" ref="G3688" ca="1" si="1032">INDIRECT(M3688)</f>
        <v>31</v>
      </c>
      <c r="H3688" s="15">
        <v>1</v>
      </c>
      <c r="I3688" s="15">
        <f t="shared" ref="I3688" ca="1" si="1033">INDIRECT(N3688)</f>
        <v>0</v>
      </c>
      <c r="J3688" s="15" t="str">
        <f t="shared" ca="1" si="1030"/>
        <v>'0'!A31</v>
      </c>
      <c r="K3688" s="15" t="str">
        <f t="shared" ca="1" si="1031"/>
        <v>'0'!B31</v>
      </c>
      <c r="M3688" s="15" t="str">
        <f t="shared" ref="M3688" si="1034">ADDRESS(O3688,3,4,1,$R$1)</f>
        <v>konfig!C186</v>
      </c>
      <c r="N3688" s="15" t="str">
        <f t="shared" ref="N3688" si="1035">ADDRESS(O3688,1,4,1,$R$1)</f>
        <v>konfig!A186</v>
      </c>
      <c r="O3688" s="15">
        <v>186</v>
      </c>
      <c r="P3688" s="15">
        <v>4</v>
      </c>
    </row>
    <row r="3689" spans="1:16" x14ac:dyDescent="0.25">
      <c r="A3689" s="3" t="str">
        <f t="shared" ca="1" si="1013"/>
        <v/>
      </c>
      <c r="G3689" s="15">
        <f t="shared" ref="G3689:G3732" ca="1" si="1036">G3688+1</f>
        <v>32</v>
      </c>
      <c r="H3689" s="15">
        <v>1</v>
      </c>
      <c r="I3689" s="15">
        <f t="shared" ref="I3689:I3732" ca="1" si="1037">I3688</f>
        <v>0</v>
      </c>
      <c r="J3689" s="15" t="str">
        <f t="shared" ca="1" si="1030"/>
        <v>'0'!A32</v>
      </c>
      <c r="K3689" s="15" t="str">
        <f t="shared" ca="1" si="1031"/>
        <v>'0'!B32</v>
      </c>
    </row>
    <row r="3690" spans="1:16" x14ac:dyDescent="0.25">
      <c r="A3690" s="3" t="str">
        <f t="shared" ca="1" si="1013"/>
        <v/>
      </c>
      <c r="G3690" s="15">
        <f t="shared" ca="1" si="1036"/>
        <v>33</v>
      </c>
      <c r="H3690" s="15">
        <v>1</v>
      </c>
      <c r="I3690" s="15">
        <f t="shared" ca="1" si="1037"/>
        <v>0</v>
      </c>
      <c r="J3690" s="15" t="str">
        <f t="shared" ca="1" si="1030"/>
        <v>'0'!A33</v>
      </c>
      <c r="K3690" s="15" t="str">
        <f t="shared" ca="1" si="1031"/>
        <v>'0'!B33</v>
      </c>
    </row>
    <row r="3691" spans="1:16" x14ac:dyDescent="0.25">
      <c r="A3691" s="3" t="str">
        <f t="shared" ca="1" si="1013"/>
        <v/>
      </c>
      <c r="C3691" s="16"/>
      <c r="G3691" s="15">
        <f t="shared" ca="1" si="1036"/>
        <v>34</v>
      </c>
      <c r="H3691" s="15">
        <v>1</v>
      </c>
      <c r="I3691" s="15">
        <f t="shared" ca="1" si="1037"/>
        <v>0</v>
      </c>
      <c r="J3691" s="15" t="str">
        <f t="shared" ca="1" si="1030"/>
        <v>'0'!A34</v>
      </c>
      <c r="K3691" s="15" t="str">
        <f t="shared" ca="1" si="1031"/>
        <v>'0'!B34</v>
      </c>
    </row>
    <row r="3692" spans="1:16" x14ac:dyDescent="0.25">
      <c r="A3692" s="3" t="str">
        <f t="shared" ref="A3692:A3755" ca="1" si="1038">IFERROR(IF(INDIRECT(J3692)&lt;&gt;"",CONCATENATE(INDIRECT(J3692)," = ",INDIRECT(K3692)," "),""),"")</f>
        <v/>
      </c>
      <c r="G3692" s="15">
        <f t="shared" ca="1" si="1036"/>
        <v>35</v>
      </c>
      <c r="H3692" s="15">
        <v>1</v>
      </c>
      <c r="I3692" s="15">
        <f t="shared" ca="1" si="1037"/>
        <v>0</v>
      </c>
      <c r="J3692" s="15" t="str">
        <f t="shared" ca="1" si="1030"/>
        <v>'0'!A35</v>
      </c>
      <c r="K3692" s="15" t="str">
        <f t="shared" ca="1" si="1031"/>
        <v>'0'!B35</v>
      </c>
    </row>
    <row r="3693" spans="1:16" x14ac:dyDescent="0.25">
      <c r="A3693" s="3" t="str">
        <f t="shared" ca="1" si="1038"/>
        <v/>
      </c>
      <c r="G3693" s="15">
        <f t="shared" ca="1" si="1024"/>
        <v>36</v>
      </c>
      <c r="H3693" s="15">
        <v>1</v>
      </c>
      <c r="I3693" s="15">
        <f t="shared" ca="1" si="1025"/>
        <v>0</v>
      </c>
      <c r="J3693" s="15" t="str">
        <f t="shared" ca="1" si="1030"/>
        <v>'0'!A36</v>
      </c>
      <c r="K3693" s="15" t="str">
        <f t="shared" ca="1" si="1031"/>
        <v>'0'!B36</v>
      </c>
    </row>
    <row r="3694" spans="1:16" x14ac:dyDescent="0.25">
      <c r="A3694" s="3" t="str">
        <f t="shared" ca="1" si="1038"/>
        <v/>
      </c>
      <c r="G3694" s="15">
        <f t="shared" ca="1" si="1024"/>
        <v>37</v>
      </c>
      <c r="H3694" s="15">
        <v>1</v>
      </c>
      <c r="I3694" s="15">
        <f t="shared" ca="1" si="1025"/>
        <v>0</v>
      </c>
      <c r="J3694" s="15" t="str">
        <f t="shared" ca="1" si="1030"/>
        <v>'0'!A37</v>
      </c>
      <c r="K3694" s="15" t="str">
        <f t="shared" ca="1" si="1031"/>
        <v>'0'!B37</v>
      </c>
    </row>
    <row r="3695" spans="1:16" x14ac:dyDescent="0.25">
      <c r="A3695" s="3" t="str">
        <f t="shared" ca="1" si="1038"/>
        <v/>
      </c>
      <c r="G3695" s="15">
        <f t="shared" ca="1" si="1024"/>
        <v>38</v>
      </c>
      <c r="H3695" s="15">
        <v>1</v>
      </c>
      <c r="I3695" s="15">
        <f t="shared" ca="1" si="1025"/>
        <v>0</v>
      </c>
      <c r="J3695" s="15" t="str">
        <f t="shared" ca="1" si="1030"/>
        <v>'0'!A38</v>
      </c>
      <c r="K3695" s="15" t="str">
        <f t="shared" ca="1" si="1031"/>
        <v>'0'!B38</v>
      </c>
    </row>
    <row r="3696" spans="1:16" x14ac:dyDescent="0.25">
      <c r="A3696" s="3" t="str">
        <f t="shared" ca="1" si="1038"/>
        <v/>
      </c>
      <c r="G3696" s="15">
        <f t="shared" ca="1" si="1024"/>
        <v>39</v>
      </c>
      <c r="H3696" s="15">
        <v>1</v>
      </c>
      <c r="I3696" s="15">
        <f t="shared" ca="1" si="1025"/>
        <v>0</v>
      </c>
      <c r="J3696" s="15" t="str">
        <f t="shared" ca="1" si="1030"/>
        <v>'0'!A39</v>
      </c>
      <c r="K3696" s="15" t="str">
        <f t="shared" ca="1" si="1031"/>
        <v>'0'!B39</v>
      </c>
    </row>
    <row r="3697" spans="1:16" x14ac:dyDescent="0.25">
      <c r="A3697" s="3" t="str">
        <f t="shared" ca="1" si="1038"/>
        <v/>
      </c>
      <c r="G3697" s="15">
        <f t="shared" ca="1" si="1024"/>
        <v>40</v>
      </c>
      <c r="H3697" s="15">
        <v>1</v>
      </c>
      <c r="I3697" s="15">
        <f t="shared" ca="1" si="1025"/>
        <v>0</v>
      </c>
      <c r="J3697" s="15" t="str">
        <f t="shared" ca="1" si="1030"/>
        <v>'0'!A40</v>
      </c>
      <c r="K3697" s="15" t="str">
        <f t="shared" ca="1" si="1031"/>
        <v>'0'!B40</v>
      </c>
    </row>
    <row r="3698" spans="1:16" x14ac:dyDescent="0.25">
      <c r="A3698" s="3" t="str">
        <f t="shared" ca="1" si="1038"/>
        <v/>
      </c>
      <c r="G3698" s="15">
        <f t="shared" ca="1" si="1024"/>
        <v>41</v>
      </c>
      <c r="H3698" s="15">
        <v>1</v>
      </c>
      <c r="I3698" s="15">
        <f t="shared" ca="1" si="1025"/>
        <v>0</v>
      </c>
      <c r="J3698" s="15" t="str">
        <f t="shared" ca="1" si="1030"/>
        <v>'0'!A41</v>
      </c>
      <c r="K3698" s="15" t="str">
        <f t="shared" ca="1" si="1031"/>
        <v>'0'!B41</v>
      </c>
    </row>
    <row r="3699" spans="1:16" x14ac:dyDescent="0.25">
      <c r="A3699" s="3" t="str">
        <f t="shared" ca="1" si="1038"/>
        <v/>
      </c>
      <c r="C3699" s="16"/>
      <c r="G3699" s="15">
        <f t="shared" ca="1" si="1024"/>
        <v>42</v>
      </c>
      <c r="H3699" s="15">
        <v>1</v>
      </c>
      <c r="I3699" s="15">
        <f t="shared" ca="1" si="1025"/>
        <v>0</v>
      </c>
      <c r="J3699" s="15" t="str">
        <f t="shared" ca="1" si="1030"/>
        <v>'0'!A42</v>
      </c>
      <c r="K3699" s="15" t="str">
        <f t="shared" ca="1" si="1031"/>
        <v>'0'!B42</v>
      </c>
    </row>
    <row r="3700" spans="1:16" x14ac:dyDescent="0.25">
      <c r="A3700" s="3" t="str">
        <f t="shared" ca="1" si="1038"/>
        <v/>
      </c>
      <c r="G3700" s="15">
        <f t="shared" ca="1" si="1024"/>
        <v>43</v>
      </c>
      <c r="H3700" s="15">
        <v>1</v>
      </c>
      <c r="I3700" s="15">
        <f t="shared" ca="1" si="1025"/>
        <v>0</v>
      </c>
      <c r="J3700" s="15" t="str">
        <f t="shared" ca="1" si="1030"/>
        <v>'0'!A43</v>
      </c>
      <c r="K3700" s="15" t="str">
        <f t="shared" ca="1" si="1031"/>
        <v>'0'!B43</v>
      </c>
    </row>
    <row r="3701" spans="1:16" x14ac:dyDescent="0.25">
      <c r="A3701" s="3" t="str">
        <f t="shared" ca="1" si="1038"/>
        <v/>
      </c>
      <c r="G3701" s="15">
        <f t="shared" ca="1" si="1024"/>
        <v>44</v>
      </c>
      <c r="H3701" s="15">
        <v>1</v>
      </c>
      <c r="I3701" s="15">
        <f t="shared" ca="1" si="1025"/>
        <v>0</v>
      </c>
      <c r="J3701" s="15" t="str">
        <f t="shared" ca="1" si="1030"/>
        <v>'0'!A44</v>
      </c>
      <c r="K3701" s="15" t="str">
        <f t="shared" ca="1" si="1031"/>
        <v>'0'!B44</v>
      </c>
    </row>
    <row r="3702" spans="1:16" x14ac:dyDescent="0.25">
      <c r="A3702" s="3" t="str">
        <f t="shared" ca="1" si="1038"/>
        <v/>
      </c>
      <c r="G3702" s="15">
        <f t="shared" ca="1" si="1024"/>
        <v>45</v>
      </c>
      <c r="H3702" s="15">
        <v>1</v>
      </c>
      <c r="I3702" s="15">
        <f t="shared" ca="1" si="1025"/>
        <v>0</v>
      </c>
      <c r="J3702" s="15" t="str">
        <f t="shared" ca="1" si="1030"/>
        <v>'0'!A45</v>
      </c>
      <c r="K3702" s="15" t="str">
        <f t="shared" ca="1" si="1031"/>
        <v>'0'!B45</v>
      </c>
    </row>
    <row r="3703" spans="1:16" x14ac:dyDescent="0.25">
      <c r="A3703" s="3" t="str">
        <f t="shared" ca="1" si="1038"/>
        <v/>
      </c>
      <c r="G3703" s="15">
        <f t="shared" ca="1" si="1024"/>
        <v>46</v>
      </c>
      <c r="H3703" s="15">
        <v>1</v>
      </c>
      <c r="I3703" s="15">
        <f t="shared" ca="1" si="1025"/>
        <v>0</v>
      </c>
      <c r="J3703" s="15" t="str">
        <f t="shared" ca="1" si="1030"/>
        <v>'0'!A46</v>
      </c>
      <c r="K3703" s="15" t="str">
        <f t="shared" ca="1" si="1031"/>
        <v>'0'!B46</v>
      </c>
    </row>
    <row r="3704" spans="1:16" x14ac:dyDescent="0.25">
      <c r="A3704" s="3" t="str">
        <f t="shared" ca="1" si="1038"/>
        <v/>
      </c>
      <c r="G3704" s="15">
        <f t="shared" ca="1" si="1024"/>
        <v>47</v>
      </c>
      <c r="H3704" s="15">
        <v>1</v>
      </c>
      <c r="I3704" s="15">
        <f t="shared" ca="1" si="1025"/>
        <v>0</v>
      </c>
      <c r="J3704" s="15" t="str">
        <f t="shared" ca="1" si="1030"/>
        <v>'0'!A47</v>
      </c>
      <c r="K3704" s="15" t="str">
        <f t="shared" ca="1" si="1031"/>
        <v>'0'!B47</v>
      </c>
    </row>
    <row r="3705" spans="1:16" x14ac:dyDescent="0.25">
      <c r="A3705" s="3" t="str">
        <f t="shared" ca="1" si="1038"/>
        <v/>
      </c>
      <c r="G3705" s="15">
        <f t="shared" ca="1" si="1024"/>
        <v>48</v>
      </c>
      <c r="H3705" s="15">
        <v>1</v>
      </c>
      <c r="I3705" s="15">
        <f t="shared" ca="1" si="1025"/>
        <v>0</v>
      </c>
      <c r="J3705" s="15" t="str">
        <f t="shared" ca="1" si="1030"/>
        <v>'0'!A48</v>
      </c>
      <c r="K3705" s="15" t="str">
        <f t="shared" ca="1" si="1031"/>
        <v>'0'!B48</v>
      </c>
    </row>
    <row r="3706" spans="1:16" x14ac:dyDescent="0.25">
      <c r="A3706" s="3" t="str">
        <f t="shared" ca="1" si="1038"/>
        <v/>
      </c>
      <c r="G3706" s="15">
        <f t="shared" ca="1" si="1024"/>
        <v>49</v>
      </c>
      <c r="H3706" s="15">
        <v>1</v>
      </c>
      <c r="I3706" s="15">
        <f t="shared" ca="1" si="1025"/>
        <v>0</v>
      </c>
      <c r="J3706" s="15" t="str">
        <f t="shared" ca="1" si="1030"/>
        <v>'0'!A49</v>
      </c>
      <c r="K3706" s="15" t="str">
        <f t="shared" ca="1" si="1031"/>
        <v>'0'!B49</v>
      </c>
    </row>
    <row r="3707" spans="1:16" x14ac:dyDescent="0.25">
      <c r="A3707" s="3" t="str">
        <f t="shared" ca="1" si="1038"/>
        <v/>
      </c>
      <c r="G3707" s="15">
        <f t="shared" ca="1" si="1024"/>
        <v>50</v>
      </c>
      <c r="H3707" s="15">
        <v>1</v>
      </c>
      <c r="I3707" s="15">
        <f t="shared" ca="1" si="1025"/>
        <v>0</v>
      </c>
      <c r="J3707" s="15" t="str">
        <f t="shared" ca="1" si="1030"/>
        <v>'0'!A50</v>
      </c>
      <c r="K3707" s="15" t="str">
        <f t="shared" ca="1" si="1031"/>
        <v>'0'!B50</v>
      </c>
    </row>
    <row r="3708" spans="1:16" x14ac:dyDescent="0.25">
      <c r="A3708" s="3" t="str">
        <f t="shared" ca="1" si="1038"/>
        <v/>
      </c>
      <c r="G3708" s="15">
        <f t="shared" ref="G3708" ca="1" si="1039">INDIRECT(M3708)</f>
        <v>31</v>
      </c>
      <c r="H3708" s="15">
        <v>1</v>
      </c>
      <c r="I3708" s="15">
        <f t="shared" ref="I3708" ca="1" si="1040">INDIRECT(N3708)</f>
        <v>0</v>
      </c>
      <c r="J3708" s="15" t="str">
        <f t="shared" ca="1" si="1030"/>
        <v>'0'!A31</v>
      </c>
      <c r="K3708" s="15" t="str">
        <f t="shared" ca="1" si="1031"/>
        <v>'0'!B31</v>
      </c>
      <c r="M3708" s="15" t="str">
        <f t="shared" ref="M3708" si="1041">ADDRESS(O3708,3,4,1,$R$1)</f>
        <v>konfig!C187</v>
      </c>
      <c r="N3708" s="15" t="str">
        <f t="shared" ref="N3708" si="1042">ADDRESS(O3708,1,4,1,$R$1)</f>
        <v>konfig!A187</v>
      </c>
      <c r="O3708" s="15">
        <v>187</v>
      </c>
      <c r="P3708" s="15">
        <v>4</v>
      </c>
    </row>
    <row r="3709" spans="1:16" x14ac:dyDescent="0.25">
      <c r="A3709" s="3" t="str">
        <f t="shared" ca="1" si="1038"/>
        <v/>
      </c>
      <c r="G3709" s="15">
        <f t="shared" ref="G3709:G3749" ca="1" si="1043">G3708+1</f>
        <v>32</v>
      </c>
      <c r="H3709" s="15">
        <v>1</v>
      </c>
      <c r="I3709" s="15">
        <f t="shared" ref="I3709:I3749" ca="1" si="1044">I3708</f>
        <v>0</v>
      </c>
      <c r="J3709" s="15" t="str">
        <f t="shared" ca="1" si="1030"/>
        <v>'0'!A32</v>
      </c>
      <c r="K3709" s="15" t="str">
        <f t="shared" ca="1" si="1031"/>
        <v>'0'!B32</v>
      </c>
    </row>
    <row r="3710" spans="1:16" x14ac:dyDescent="0.25">
      <c r="A3710" s="3" t="str">
        <f t="shared" ca="1" si="1038"/>
        <v/>
      </c>
      <c r="G3710" s="15">
        <f t="shared" ca="1" si="1024"/>
        <v>33</v>
      </c>
      <c r="H3710" s="15">
        <v>1</v>
      </c>
      <c r="I3710" s="15">
        <f t="shared" ca="1" si="1025"/>
        <v>0</v>
      </c>
      <c r="J3710" s="15" t="str">
        <f t="shared" ca="1" si="1030"/>
        <v>'0'!A33</v>
      </c>
      <c r="K3710" s="15" t="str">
        <f t="shared" ca="1" si="1031"/>
        <v>'0'!B33</v>
      </c>
    </row>
    <row r="3711" spans="1:16" x14ac:dyDescent="0.25">
      <c r="A3711" s="3" t="str">
        <f t="shared" ca="1" si="1038"/>
        <v/>
      </c>
      <c r="C3711" s="16"/>
      <c r="G3711" s="15">
        <f t="shared" ca="1" si="1024"/>
        <v>34</v>
      </c>
      <c r="H3711" s="15">
        <v>1</v>
      </c>
      <c r="I3711" s="15">
        <f t="shared" ca="1" si="1025"/>
        <v>0</v>
      </c>
      <c r="J3711" s="15" t="str">
        <f t="shared" ca="1" si="1030"/>
        <v>'0'!A34</v>
      </c>
      <c r="K3711" s="15" t="str">
        <f t="shared" ca="1" si="1031"/>
        <v>'0'!B34</v>
      </c>
    </row>
    <row r="3712" spans="1:16" x14ac:dyDescent="0.25">
      <c r="A3712" s="3" t="str">
        <f t="shared" ca="1" si="1038"/>
        <v/>
      </c>
      <c r="G3712" s="15">
        <f t="shared" ca="1" si="1024"/>
        <v>35</v>
      </c>
      <c r="H3712" s="15">
        <v>1</v>
      </c>
      <c r="I3712" s="15">
        <f t="shared" ca="1" si="1025"/>
        <v>0</v>
      </c>
      <c r="J3712" s="15" t="str">
        <f t="shared" ca="1" si="1030"/>
        <v>'0'!A35</v>
      </c>
      <c r="K3712" s="15" t="str">
        <f t="shared" ca="1" si="1031"/>
        <v>'0'!B35</v>
      </c>
    </row>
    <row r="3713" spans="1:16" x14ac:dyDescent="0.25">
      <c r="A3713" s="3" t="str">
        <f t="shared" ca="1" si="1038"/>
        <v/>
      </c>
      <c r="G3713" s="15">
        <f t="shared" ca="1" si="1024"/>
        <v>36</v>
      </c>
      <c r="H3713" s="15">
        <v>1</v>
      </c>
      <c r="I3713" s="15">
        <f t="shared" ca="1" si="1025"/>
        <v>0</v>
      </c>
      <c r="J3713" s="15" t="str">
        <f t="shared" ca="1" si="1030"/>
        <v>'0'!A36</v>
      </c>
      <c r="K3713" s="15" t="str">
        <f t="shared" ca="1" si="1031"/>
        <v>'0'!B36</v>
      </c>
    </row>
    <row r="3714" spans="1:16" x14ac:dyDescent="0.25">
      <c r="A3714" s="3" t="str">
        <f t="shared" ca="1" si="1038"/>
        <v/>
      </c>
      <c r="G3714" s="15">
        <f t="shared" ca="1" si="1024"/>
        <v>37</v>
      </c>
      <c r="H3714" s="15">
        <v>1</v>
      </c>
      <c r="I3714" s="15">
        <f t="shared" ca="1" si="1025"/>
        <v>0</v>
      </c>
      <c r="J3714" s="15" t="str">
        <f t="shared" ca="1" si="1030"/>
        <v>'0'!A37</v>
      </c>
      <c r="K3714" s="15" t="str">
        <f t="shared" ca="1" si="1031"/>
        <v>'0'!B37</v>
      </c>
    </row>
    <row r="3715" spans="1:16" x14ac:dyDescent="0.25">
      <c r="A3715" s="3" t="str">
        <f t="shared" ca="1" si="1038"/>
        <v/>
      </c>
      <c r="G3715" s="15">
        <f t="shared" ca="1" si="1024"/>
        <v>38</v>
      </c>
      <c r="H3715" s="15">
        <v>1</v>
      </c>
      <c r="I3715" s="15">
        <f t="shared" ca="1" si="1025"/>
        <v>0</v>
      </c>
      <c r="J3715" s="15" t="str">
        <f t="shared" ca="1" si="1030"/>
        <v>'0'!A38</v>
      </c>
      <c r="K3715" s="15" t="str">
        <f t="shared" ca="1" si="1031"/>
        <v>'0'!B38</v>
      </c>
    </row>
    <row r="3716" spans="1:16" x14ac:dyDescent="0.25">
      <c r="A3716" s="3" t="str">
        <f t="shared" ca="1" si="1038"/>
        <v/>
      </c>
      <c r="G3716" s="15">
        <f t="shared" ca="1" si="1024"/>
        <v>39</v>
      </c>
      <c r="H3716" s="15">
        <v>1</v>
      </c>
      <c r="I3716" s="15">
        <f t="shared" ca="1" si="1025"/>
        <v>0</v>
      </c>
      <c r="J3716" s="15" t="str">
        <f t="shared" ca="1" si="1030"/>
        <v>'0'!A39</v>
      </c>
      <c r="K3716" s="15" t="str">
        <f t="shared" ca="1" si="1031"/>
        <v>'0'!B39</v>
      </c>
    </row>
    <row r="3717" spans="1:16" x14ac:dyDescent="0.25">
      <c r="A3717" s="3" t="str">
        <f t="shared" ca="1" si="1038"/>
        <v/>
      </c>
      <c r="G3717" s="15">
        <f t="shared" ca="1" si="1024"/>
        <v>40</v>
      </c>
      <c r="H3717" s="15">
        <v>1</v>
      </c>
      <c r="I3717" s="15">
        <f t="shared" ca="1" si="1025"/>
        <v>0</v>
      </c>
      <c r="J3717" s="15" t="str">
        <f t="shared" ca="1" si="1030"/>
        <v>'0'!A40</v>
      </c>
      <c r="K3717" s="15" t="str">
        <f t="shared" ca="1" si="1031"/>
        <v>'0'!B40</v>
      </c>
    </row>
    <row r="3718" spans="1:16" x14ac:dyDescent="0.25">
      <c r="A3718" s="3" t="str">
        <f t="shared" ca="1" si="1038"/>
        <v/>
      </c>
      <c r="G3718" s="15">
        <f t="shared" ca="1" si="1024"/>
        <v>41</v>
      </c>
      <c r="H3718" s="15">
        <v>1</v>
      </c>
      <c r="I3718" s="15">
        <f t="shared" ca="1" si="1025"/>
        <v>0</v>
      </c>
      <c r="J3718" s="15" t="str">
        <f t="shared" ca="1" si="1030"/>
        <v>'0'!A41</v>
      </c>
      <c r="K3718" s="15" t="str">
        <f t="shared" ca="1" si="1031"/>
        <v>'0'!B41</v>
      </c>
    </row>
    <row r="3719" spans="1:16" x14ac:dyDescent="0.25">
      <c r="A3719" s="3" t="str">
        <f t="shared" ca="1" si="1038"/>
        <v/>
      </c>
      <c r="C3719" s="16"/>
      <c r="G3719" s="15">
        <f t="shared" ca="1" si="1024"/>
        <v>42</v>
      </c>
      <c r="H3719" s="15">
        <v>1</v>
      </c>
      <c r="I3719" s="15">
        <f t="shared" ca="1" si="1025"/>
        <v>0</v>
      </c>
      <c r="J3719" s="15" t="str">
        <f t="shared" ca="1" si="1030"/>
        <v>'0'!A42</v>
      </c>
      <c r="K3719" s="15" t="str">
        <f t="shared" ca="1" si="1031"/>
        <v>'0'!B42</v>
      </c>
    </row>
    <row r="3720" spans="1:16" x14ac:dyDescent="0.25">
      <c r="A3720" s="3" t="str">
        <f t="shared" ca="1" si="1038"/>
        <v/>
      </c>
      <c r="G3720" s="15">
        <f t="shared" ca="1" si="1024"/>
        <v>43</v>
      </c>
      <c r="H3720" s="15">
        <v>1</v>
      </c>
      <c r="I3720" s="15">
        <f t="shared" ca="1" si="1025"/>
        <v>0</v>
      </c>
      <c r="J3720" s="15" t="str">
        <f t="shared" ca="1" si="1030"/>
        <v>'0'!A43</v>
      </c>
      <c r="K3720" s="15" t="str">
        <f t="shared" ca="1" si="1031"/>
        <v>'0'!B43</v>
      </c>
    </row>
    <row r="3721" spans="1:16" x14ac:dyDescent="0.25">
      <c r="A3721" s="3" t="str">
        <f t="shared" ca="1" si="1038"/>
        <v/>
      </c>
      <c r="G3721" s="15">
        <f t="shared" ref="G3721:G3784" ca="1" si="1045">G3720+1</f>
        <v>44</v>
      </c>
      <c r="H3721" s="15">
        <v>1</v>
      </c>
      <c r="I3721" s="15">
        <f t="shared" ref="I3721:I3784" ca="1" si="1046">I3720</f>
        <v>0</v>
      </c>
      <c r="J3721" s="15" t="str">
        <f t="shared" ca="1" si="1030"/>
        <v>'0'!A44</v>
      </c>
      <c r="K3721" s="15" t="str">
        <f t="shared" ca="1" si="1031"/>
        <v>'0'!B44</v>
      </c>
    </row>
    <row r="3722" spans="1:16" x14ac:dyDescent="0.25">
      <c r="A3722" s="3" t="str">
        <f t="shared" ca="1" si="1038"/>
        <v/>
      </c>
      <c r="G3722" s="15">
        <f t="shared" ca="1" si="1045"/>
        <v>45</v>
      </c>
      <c r="H3722" s="15">
        <v>1</v>
      </c>
      <c r="I3722" s="15">
        <f t="shared" ca="1" si="1046"/>
        <v>0</v>
      </c>
      <c r="J3722" s="15" t="str">
        <f t="shared" ca="1" si="1030"/>
        <v>'0'!A45</v>
      </c>
      <c r="K3722" s="15" t="str">
        <f t="shared" ca="1" si="1031"/>
        <v>'0'!B45</v>
      </c>
    </row>
    <row r="3723" spans="1:16" x14ac:dyDescent="0.25">
      <c r="A3723" s="3" t="str">
        <f t="shared" ca="1" si="1038"/>
        <v/>
      </c>
      <c r="G3723" s="15">
        <f t="shared" ca="1" si="1045"/>
        <v>46</v>
      </c>
      <c r="H3723" s="15">
        <v>1</v>
      </c>
      <c r="I3723" s="15">
        <f t="shared" ca="1" si="1046"/>
        <v>0</v>
      </c>
      <c r="J3723" s="15" t="str">
        <f t="shared" ca="1" si="1030"/>
        <v>'0'!A46</v>
      </c>
      <c r="K3723" s="15" t="str">
        <f t="shared" ca="1" si="1031"/>
        <v>'0'!B46</v>
      </c>
    </row>
    <row r="3724" spans="1:16" x14ac:dyDescent="0.25">
      <c r="A3724" s="3" t="str">
        <f t="shared" ca="1" si="1038"/>
        <v/>
      </c>
      <c r="G3724" s="15">
        <f t="shared" ca="1" si="1045"/>
        <v>47</v>
      </c>
      <c r="H3724" s="15">
        <v>1</v>
      </c>
      <c r="I3724" s="15">
        <f t="shared" ca="1" si="1046"/>
        <v>0</v>
      </c>
      <c r="J3724" s="15" t="str">
        <f t="shared" ca="1" si="1030"/>
        <v>'0'!A47</v>
      </c>
      <c r="K3724" s="15" t="str">
        <f t="shared" ca="1" si="1031"/>
        <v>'0'!B47</v>
      </c>
    </row>
    <row r="3725" spans="1:16" x14ac:dyDescent="0.25">
      <c r="A3725" s="3" t="str">
        <f t="shared" ca="1" si="1038"/>
        <v/>
      </c>
      <c r="G3725" s="15">
        <f t="shared" ca="1" si="1045"/>
        <v>48</v>
      </c>
      <c r="H3725" s="15">
        <v>1</v>
      </c>
      <c r="I3725" s="15">
        <f t="shared" ca="1" si="1046"/>
        <v>0</v>
      </c>
      <c r="J3725" s="15" t="str">
        <f t="shared" ca="1" si="1030"/>
        <v>'0'!A48</v>
      </c>
      <c r="K3725" s="15" t="str">
        <f t="shared" ca="1" si="1031"/>
        <v>'0'!B48</v>
      </c>
    </row>
    <row r="3726" spans="1:16" x14ac:dyDescent="0.25">
      <c r="A3726" s="3" t="str">
        <f t="shared" ca="1" si="1038"/>
        <v/>
      </c>
      <c r="G3726" s="15">
        <f t="shared" ca="1" si="1045"/>
        <v>49</v>
      </c>
      <c r="H3726" s="15">
        <v>1</v>
      </c>
      <c r="I3726" s="15">
        <f t="shared" ca="1" si="1046"/>
        <v>0</v>
      </c>
      <c r="J3726" s="15" t="str">
        <f t="shared" ca="1" si="1030"/>
        <v>'0'!A49</v>
      </c>
      <c r="K3726" s="15" t="str">
        <f t="shared" ca="1" si="1031"/>
        <v>'0'!B49</v>
      </c>
    </row>
    <row r="3727" spans="1:16" x14ac:dyDescent="0.25">
      <c r="A3727" s="3" t="str">
        <f t="shared" ca="1" si="1038"/>
        <v/>
      </c>
      <c r="G3727" s="15">
        <f t="shared" ca="1" si="1045"/>
        <v>50</v>
      </c>
      <c r="H3727" s="15">
        <v>1</v>
      </c>
      <c r="I3727" s="15">
        <f t="shared" ca="1" si="1046"/>
        <v>0</v>
      </c>
      <c r="J3727" s="15" t="str">
        <f t="shared" ca="1" si="1030"/>
        <v>'0'!A50</v>
      </c>
      <c r="K3727" s="15" t="str">
        <f t="shared" ca="1" si="1031"/>
        <v>'0'!B50</v>
      </c>
    </row>
    <row r="3728" spans="1:16" x14ac:dyDescent="0.25">
      <c r="A3728" s="3" t="str">
        <f t="shared" ca="1" si="1038"/>
        <v/>
      </c>
      <c r="G3728" s="15">
        <f t="shared" ref="G3728" ca="1" si="1047">INDIRECT(M3728)</f>
        <v>31</v>
      </c>
      <c r="H3728" s="15">
        <v>1</v>
      </c>
      <c r="I3728" s="15">
        <f t="shared" ref="I3728" ca="1" si="1048">INDIRECT(N3728)</f>
        <v>0</v>
      </c>
      <c r="J3728" s="15" t="str">
        <f t="shared" ca="1" si="1030"/>
        <v>'0'!A31</v>
      </c>
      <c r="K3728" s="15" t="str">
        <f t="shared" ca="1" si="1031"/>
        <v>'0'!B31</v>
      </c>
      <c r="M3728" s="15" t="str">
        <f t="shared" ref="M3728" si="1049">ADDRESS(O3728,3,4,1,$R$1)</f>
        <v>konfig!C188</v>
      </c>
      <c r="N3728" s="15" t="str">
        <f t="shared" ref="N3728" si="1050">ADDRESS(O3728,1,4,1,$R$1)</f>
        <v>konfig!A188</v>
      </c>
      <c r="O3728" s="15">
        <v>188</v>
      </c>
      <c r="P3728" s="15">
        <v>4</v>
      </c>
    </row>
    <row r="3729" spans="1:11" x14ac:dyDescent="0.25">
      <c r="A3729" s="3" t="str">
        <f t="shared" ca="1" si="1038"/>
        <v/>
      </c>
      <c r="G3729" s="15">
        <f t="shared" ca="1" si="1036"/>
        <v>32</v>
      </c>
      <c r="H3729" s="15">
        <v>1</v>
      </c>
      <c r="I3729" s="15">
        <f t="shared" ca="1" si="1037"/>
        <v>0</v>
      </c>
      <c r="J3729" s="15" t="str">
        <f t="shared" ca="1" si="1030"/>
        <v>'0'!A32</v>
      </c>
      <c r="K3729" s="15" t="str">
        <f t="shared" ca="1" si="1031"/>
        <v>'0'!B32</v>
      </c>
    </row>
    <row r="3730" spans="1:11" x14ac:dyDescent="0.25">
      <c r="A3730" s="3" t="str">
        <f t="shared" ca="1" si="1038"/>
        <v/>
      </c>
      <c r="G3730" s="15">
        <f t="shared" ca="1" si="1036"/>
        <v>33</v>
      </c>
      <c r="H3730" s="15">
        <v>1</v>
      </c>
      <c r="I3730" s="15">
        <f t="shared" ca="1" si="1037"/>
        <v>0</v>
      </c>
      <c r="J3730" s="15" t="str">
        <f t="shared" ca="1" si="1030"/>
        <v>'0'!A33</v>
      </c>
      <c r="K3730" s="15" t="str">
        <f t="shared" ca="1" si="1031"/>
        <v>'0'!B33</v>
      </c>
    </row>
    <row r="3731" spans="1:11" x14ac:dyDescent="0.25">
      <c r="A3731" s="3" t="str">
        <f t="shared" ca="1" si="1038"/>
        <v/>
      </c>
      <c r="C3731" s="16"/>
      <c r="G3731" s="15">
        <f t="shared" ca="1" si="1036"/>
        <v>34</v>
      </c>
      <c r="H3731" s="15">
        <v>1</v>
      </c>
      <c r="I3731" s="15">
        <f t="shared" ca="1" si="1037"/>
        <v>0</v>
      </c>
      <c r="J3731" s="15" t="str">
        <f t="shared" ca="1" si="1030"/>
        <v>'0'!A34</v>
      </c>
      <c r="K3731" s="15" t="str">
        <f t="shared" ca="1" si="1031"/>
        <v>'0'!B34</v>
      </c>
    </row>
    <row r="3732" spans="1:11" x14ac:dyDescent="0.25">
      <c r="A3732" s="3" t="str">
        <f t="shared" ca="1" si="1038"/>
        <v/>
      </c>
      <c r="G3732" s="15">
        <f t="shared" ca="1" si="1036"/>
        <v>35</v>
      </c>
      <c r="H3732" s="15">
        <v>1</v>
      </c>
      <c r="I3732" s="15">
        <f t="shared" ca="1" si="1037"/>
        <v>0</v>
      </c>
      <c r="J3732" s="15" t="str">
        <f t="shared" ca="1" si="1030"/>
        <v>'0'!A35</v>
      </c>
      <c r="K3732" s="15" t="str">
        <f t="shared" ca="1" si="1031"/>
        <v>'0'!B35</v>
      </c>
    </row>
    <row r="3733" spans="1:11" x14ac:dyDescent="0.25">
      <c r="A3733" s="3" t="str">
        <f t="shared" ca="1" si="1038"/>
        <v/>
      </c>
      <c r="G3733" s="15">
        <f t="shared" ca="1" si="1045"/>
        <v>36</v>
      </c>
      <c r="H3733" s="15">
        <v>1</v>
      </c>
      <c r="I3733" s="15">
        <f t="shared" ca="1" si="1046"/>
        <v>0</v>
      </c>
      <c r="J3733" s="15" t="str">
        <f t="shared" ca="1" si="1030"/>
        <v>'0'!A36</v>
      </c>
      <c r="K3733" s="15" t="str">
        <f t="shared" ca="1" si="1031"/>
        <v>'0'!B36</v>
      </c>
    </row>
    <row r="3734" spans="1:11" x14ac:dyDescent="0.25">
      <c r="A3734" s="3" t="str">
        <f t="shared" ca="1" si="1038"/>
        <v/>
      </c>
      <c r="G3734" s="15">
        <f t="shared" ca="1" si="1045"/>
        <v>37</v>
      </c>
      <c r="H3734" s="15">
        <v>1</v>
      </c>
      <c r="I3734" s="15">
        <f t="shared" ca="1" si="1046"/>
        <v>0</v>
      </c>
      <c r="J3734" s="15" t="str">
        <f t="shared" ca="1" si="1030"/>
        <v>'0'!A37</v>
      </c>
      <c r="K3734" s="15" t="str">
        <f t="shared" ca="1" si="1031"/>
        <v>'0'!B37</v>
      </c>
    </row>
    <row r="3735" spans="1:11" x14ac:dyDescent="0.25">
      <c r="A3735" s="3" t="str">
        <f t="shared" ca="1" si="1038"/>
        <v/>
      </c>
      <c r="G3735" s="15">
        <f t="shared" ca="1" si="1045"/>
        <v>38</v>
      </c>
      <c r="H3735" s="15">
        <v>1</v>
      </c>
      <c r="I3735" s="15">
        <f t="shared" ca="1" si="1046"/>
        <v>0</v>
      </c>
      <c r="J3735" s="15" t="str">
        <f t="shared" ca="1" si="1030"/>
        <v>'0'!A38</v>
      </c>
      <c r="K3735" s="15" t="str">
        <f t="shared" ca="1" si="1031"/>
        <v>'0'!B38</v>
      </c>
    </row>
    <row r="3736" spans="1:11" x14ac:dyDescent="0.25">
      <c r="A3736" s="3" t="str">
        <f t="shared" ca="1" si="1038"/>
        <v/>
      </c>
      <c r="G3736" s="15">
        <f t="shared" ca="1" si="1045"/>
        <v>39</v>
      </c>
      <c r="H3736" s="15">
        <v>1</v>
      </c>
      <c r="I3736" s="15">
        <f t="shared" ca="1" si="1046"/>
        <v>0</v>
      </c>
      <c r="J3736" s="15" t="str">
        <f t="shared" ca="1" si="1030"/>
        <v>'0'!A39</v>
      </c>
      <c r="K3736" s="15" t="str">
        <f t="shared" ca="1" si="1031"/>
        <v>'0'!B39</v>
      </c>
    </row>
    <row r="3737" spans="1:11" x14ac:dyDescent="0.25">
      <c r="A3737" s="3" t="str">
        <f t="shared" ca="1" si="1038"/>
        <v/>
      </c>
      <c r="G3737" s="15">
        <f t="shared" ca="1" si="1045"/>
        <v>40</v>
      </c>
      <c r="H3737" s="15">
        <v>1</v>
      </c>
      <c r="I3737" s="15">
        <f t="shared" ca="1" si="1046"/>
        <v>0</v>
      </c>
      <c r="J3737" s="15" t="str">
        <f t="shared" ca="1" si="1030"/>
        <v>'0'!A40</v>
      </c>
      <c r="K3737" s="15" t="str">
        <f t="shared" ca="1" si="1031"/>
        <v>'0'!B40</v>
      </c>
    </row>
    <row r="3738" spans="1:11" x14ac:dyDescent="0.25">
      <c r="A3738" s="3" t="str">
        <f t="shared" ca="1" si="1038"/>
        <v/>
      </c>
      <c r="G3738" s="15">
        <f t="shared" ca="1" si="1045"/>
        <v>41</v>
      </c>
      <c r="H3738" s="15">
        <v>1</v>
      </c>
      <c r="I3738" s="15">
        <f t="shared" ca="1" si="1046"/>
        <v>0</v>
      </c>
      <c r="J3738" s="15" t="str">
        <f t="shared" ca="1" si="1030"/>
        <v>'0'!A41</v>
      </c>
      <c r="K3738" s="15" t="str">
        <f t="shared" ca="1" si="1031"/>
        <v>'0'!B41</v>
      </c>
    </row>
    <row r="3739" spans="1:11" x14ac:dyDescent="0.25">
      <c r="A3739" s="3" t="str">
        <f t="shared" ca="1" si="1038"/>
        <v/>
      </c>
      <c r="C3739" s="16"/>
      <c r="G3739" s="15">
        <f t="shared" ca="1" si="1045"/>
        <v>42</v>
      </c>
      <c r="H3739" s="15">
        <v>1</v>
      </c>
      <c r="I3739" s="15">
        <f t="shared" ca="1" si="1046"/>
        <v>0</v>
      </c>
      <c r="J3739" s="15" t="str">
        <f t="shared" ca="1" si="1030"/>
        <v>'0'!A42</v>
      </c>
      <c r="K3739" s="15" t="str">
        <f t="shared" ca="1" si="1031"/>
        <v>'0'!B42</v>
      </c>
    </row>
    <row r="3740" spans="1:11" x14ac:dyDescent="0.25">
      <c r="A3740" s="3" t="str">
        <f t="shared" ca="1" si="1038"/>
        <v/>
      </c>
      <c r="G3740" s="15">
        <f t="shared" ca="1" si="1045"/>
        <v>43</v>
      </c>
      <c r="H3740" s="15">
        <v>1</v>
      </c>
      <c r="I3740" s="15">
        <f t="shared" ca="1" si="1046"/>
        <v>0</v>
      </c>
      <c r="J3740" s="15" t="str">
        <f t="shared" ca="1" si="1030"/>
        <v>'0'!A43</v>
      </c>
      <c r="K3740" s="15" t="str">
        <f t="shared" ca="1" si="1031"/>
        <v>'0'!B43</v>
      </c>
    </row>
    <row r="3741" spans="1:11" x14ac:dyDescent="0.25">
      <c r="A3741" s="3" t="str">
        <f t="shared" ca="1" si="1038"/>
        <v/>
      </c>
      <c r="G3741" s="15">
        <f t="shared" ca="1" si="1045"/>
        <v>44</v>
      </c>
      <c r="H3741" s="15">
        <v>1</v>
      </c>
      <c r="I3741" s="15">
        <f t="shared" ca="1" si="1046"/>
        <v>0</v>
      </c>
      <c r="J3741" s="15" t="str">
        <f t="shared" ca="1" si="1030"/>
        <v>'0'!A44</v>
      </c>
      <c r="K3741" s="15" t="str">
        <f t="shared" ca="1" si="1031"/>
        <v>'0'!B44</v>
      </c>
    </row>
    <row r="3742" spans="1:11" x14ac:dyDescent="0.25">
      <c r="A3742" s="3" t="str">
        <f t="shared" ca="1" si="1038"/>
        <v/>
      </c>
      <c r="G3742" s="15">
        <f t="shared" ca="1" si="1045"/>
        <v>45</v>
      </c>
      <c r="H3742" s="15">
        <v>1</v>
      </c>
      <c r="I3742" s="15">
        <f t="shared" ca="1" si="1046"/>
        <v>0</v>
      </c>
      <c r="J3742" s="15" t="str">
        <f t="shared" ca="1" si="1030"/>
        <v>'0'!A45</v>
      </c>
      <c r="K3742" s="15" t="str">
        <f t="shared" ca="1" si="1031"/>
        <v>'0'!B45</v>
      </c>
    </row>
    <row r="3743" spans="1:11" x14ac:dyDescent="0.25">
      <c r="A3743" s="3" t="str">
        <f t="shared" ca="1" si="1038"/>
        <v/>
      </c>
      <c r="G3743" s="15">
        <f t="shared" ca="1" si="1045"/>
        <v>46</v>
      </c>
      <c r="H3743" s="15">
        <v>1</v>
      </c>
      <c r="I3743" s="15">
        <f t="shared" ca="1" si="1046"/>
        <v>0</v>
      </c>
      <c r="J3743" s="15" t="str">
        <f t="shared" ca="1" si="1030"/>
        <v>'0'!A46</v>
      </c>
      <c r="K3743" s="15" t="str">
        <f t="shared" ca="1" si="1031"/>
        <v>'0'!B46</v>
      </c>
    </row>
    <row r="3744" spans="1:11" x14ac:dyDescent="0.25">
      <c r="A3744" s="3" t="str">
        <f t="shared" ca="1" si="1038"/>
        <v/>
      </c>
      <c r="G3744" s="15">
        <f t="shared" ca="1" si="1045"/>
        <v>47</v>
      </c>
      <c r="H3744" s="15">
        <v>1</v>
      </c>
      <c r="I3744" s="15">
        <f t="shared" ca="1" si="1046"/>
        <v>0</v>
      </c>
      <c r="J3744" s="15" t="str">
        <f t="shared" ca="1" si="1030"/>
        <v>'0'!A47</v>
      </c>
      <c r="K3744" s="15" t="str">
        <f t="shared" ca="1" si="1031"/>
        <v>'0'!B47</v>
      </c>
    </row>
    <row r="3745" spans="1:16" x14ac:dyDescent="0.25">
      <c r="A3745" s="3" t="str">
        <f t="shared" ca="1" si="1038"/>
        <v/>
      </c>
      <c r="G3745" s="15">
        <f t="shared" ca="1" si="1045"/>
        <v>48</v>
      </c>
      <c r="H3745" s="15">
        <v>1</v>
      </c>
      <c r="I3745" s="15">
        <f t="shared" ca="1" si="1046"/>
        <v>0</v>
      </c>
      <c r="J3745" s="15" t="str">
        <f t="shared" ca="1" si="1030"/>
        <v>'0'!A48</v>
      </c>
      <c r="K3745" s="15" t="str">
        <f t="shared" ca="1" si="1031"/>
        <v>'0'!B48</v>
      </c>
    </row>
    <row r="3746" spans="1:16" x14ac:dyDescent="0.25">
      <c r="A3746" s="3" t="str">
        <f t="shared" ca="1" si="1038"/>
        <v/>
      </c>
      <c r="G3746" s="15">
        <f t="shared" ca="1" si="1045"/>
        <v>49</v>
      </c>
      <c r="H3746" s="15">
        <v>1</v>
      </c>
      <c r="I3746" s="15">
        <f t="shared" ca="1" si="1046"/>
        <v>0</v>
      </c>
      <c r="J3746" s="15" t="str">
        <f t="shared" ca="1" si="1030"/>
        <v>'0'!A49</v>
      </c>
      <c r="K3746" s="15" t="str">
        <f t="shared" ca="1" si="1031"/>
        <v>'0'!B49</v>
      </c>
    </row>
    <row r="3747" spans="1:16" x14ac:dyDescent="0.25">
      <c r="A3747" s="3" t="str">
        <f t="shared" ca="1" si="1038"/>
        <v/>
      </c>
      <c r="G3747" s="15">
        <f t="shared" ca="1" si="1045"/>
        <v>50</v>
      </c>
      <c r="H3747" s="15">
        <v>1</v>
      </c>
      <c r="I3747" s="15">
        <f t="shared" ca="1" si="1046"/>
        <v>0</v>
      </c>
      <c r="J3747" s="15" t="str">
        <f t="shared" ca="1" si="1030"/>
        <v>'0'!A50</v>
      </c>
      <c r="K3747" s="15" t="str">
        <f t="shared" ca="1" si="1031"/>
        <v>'0'!B50</v>
      </c>
    </row>
    <row r="3748" spans="1:16" x14ac:dyDescent="0.25">
      <c r="A3748" s="3" t="str">
        <f t="shared" ca="1" si="1038"/>
        <v/>
      </c>
      <c r="G3748" s="15">
        <f t="shared" ref="G3748" ca="1" si="1051">INDIRECT(M3748)</f>
        <v>31</v>
      </c>
      <c r="H3748" s="15">
        <v>1</v>
      </c>
      <c r="I3748" s="15">
        <f t="shared" ref="I3748" ca="1" si="1052">INDIRECT(N3748)</f>
        <v>0</v>
      </c>
      <c r="J3748" s="15" t="str">
        <f t="shared" ref="J3748:J3811" ca="1" si="1053">ADDRESS(G3748,H3748,4,1,I3748)</f>
        <v>'0'!A31</v>
      </c>
      <c r="K3748" s="15" t="str">
        <f t="shared" ref="K3748:K3811" ca="1" si="1054">ADDRESS(G3748,H3748+1,4,1,I3748)</f>
        <v>'0'!B31</v>
      </c>
      <c r="M3748" s="15" t="str">
        <f t="shared" ref="M3748" si="1055">ADDRESS(O3748,3,4,1,$R$1)</f>
        <v>konfig!C189</v>
      </c>
      <c r="N3748" s="15" t="str">
        <f t="shared" ref="N3748" si="1056">ADDRESS(O3748,1,4,1,$R$1)</f>
        <v>konfig!A189</v>
      </c>
      <c r="O3748" s="15">
        <v>189</v>
      </c>
      <c r="P3748" s="15">
        <v>4</v>
      </c>
    </row>
    <row r="3749" spans="1:16" x14ac:dyDescent="0.25">
      <c r="A3749" s="3" t="str">
        <f t="shared" ca="1" si="1038"/>
        <v/>
      </c>
      <c r="G3749" s="15">
        <f t="shared" ca="1" si="1043"/>
        <v>32</v>
      </c>
      <c r="H3749" s="15">
        <v>1</v>
      </c>
      <c r="I3749" s="15">
        <f t="shared" ca="1" si="1044"/>
        <v>0</v>
      </c>
      <c r="J3749" s="15" t="str">
        <f t="shared" ca="1" si="1053"/>
        <v>'0'!A32</v>
      </c>
      <c r="K3749" s="15" t="str">
        <f t="shared" ca="1" si="1054"/>
        <v>'0'!B32</v>
      </c>
    </row>
    <row r="3750" spans="1:16" x14ac:dyDescent="0.25">
      <c r="A3750" s="3" t="str">
        <f t="shared" ca="1" si="1038"/>
        <v/>
      </c>
      <c r="G3750" s="15">
        <f t="shared" ca="1" si="1045"/>
        <v>33</v>
      </c>
      <c r="H3750" s="15">
        <v>1</v>
      </c>
      <c r="I3750" s="15">
        <f t="shared" ca="1" si="1046"/>
        <v>0</v>
      </c>
      <c r="J3750" s="15" t="str">
        <f t="shared" ca="1" si="1053"/>
        <v>'0'!A33</v>
      </c>
      <c r="K3750" s="15" t="str">
        <f t="shared" ca="1" si="1054"/>
        <v>'0'!B33</v>
      </c>
    </row>
    <row r="3751" spans="1:16" x14ac:dyDescent="0.25">
      <c r="A3751" s="3" t="str">
        <f t="shared" ca="1" si="1038"/>
        <v/>
      </c>
      <c r="C3751" s="16"/>
      <c r="G3751" s="15">
        <f t="shared" ca="1" si="1045"/>
        <v>34</v>
      </c>
      <c r="H3751" s="15">
        <v>1</v>
      </c>
      <c r="I3751" s="15">
        <f t="shared" ca="1" si="1046"/>
        <v>0</v>
      </c>
      <c r="J3751" s="15" t="str">
        <f t="shared" ca="1" si="1053"/>
        <v>'0'!A34</v>
      </c>
      <c r="K3751" s="15" t="str">
        <f t="shared" ca="1" si="1054"/>
        <v>'0'!B34</v>
      </c>
    </row>
    <row r="3752" spans="1:16" x14ac:dyDescent="0.25">
      <c r="A3752" s="3" t="str">
        <f t="shared" ca="1" si="1038"/>
        <v/>
      </c>
      <c r="G3752" s="15">
        <f t="shared" ca="1" si="1045"/>
        <v>35</v>
      </c>
      <c r="H3752" s="15">
        <v>1</v>
      </c>
      <c r="I3752" s="15">
        <f t="shared" ca="1" si="1046"/>
        <v>0</v>
      </c>
      <c r="J3752" s="15" t="str">
        <f t="shared" ca="1" si="1053"/>
        <v>'0'!A35</v>
      </c>
      <c r="K3752" s="15" t="str">
        <f t="shared" ca="1" si="1054"/>
        <v>'0'!B35</v>
      </c>
    </row>
    <row r="3753" spans="1:16" x14ac:dyDescent="0.25">
      <c r="A3753" s="3" t="str">
        <f t="shared" ca="1" si="1038"/>
        <v/>
      </c>
      <c r="G3753" s="15">
        <f t="shared" ca="1" si="1045"/>
        <v>36</v>
      </c>
      <c r="H3753" s="15">
        <v>1</v>
      </c>
      <c r="I3753" s="15">
        <f t="shared" ca="1" si="1046"/>
        <v>0</v>
      </c>
      <c r="J3753" s="15" t="str">
        <f t="shared" ca="1" si="1053"/>
        <v>'0'!A36</v>
      </c>
      <c r="K3753" s="15" t="str">
        <f t="shared" ca="1" si="1054"/>
        <v>'0'!B36</v>
      </c>
    </row>
    <row r="3754" spans="1:16" x14ac:dyDescent="0.25">
      <c r="A3754" s="3" t="str">
        <f t="shared" ca="1" si="1038"/>
        <v/>
      </c>
      <c r="G3754" s="15">
        <f t="shared" ca="1" si="1045"/>
        <v>37</v>
      </c>
      <c r="H3754" s="15">
        <v>1</v>
      </c>
      <c r="I3754" s="15">
        <f t="shared" ca="1" si="1046"/>
        <v>0</v>
      </c>
      <c r="J3754" s="15" t="str">
        <f t="shared" ca="1" si="1053"/>
        <v>'0'!A37</v>
      </c>
      <c r="K3754" s="15" t="str">
        <f t="shared" ca="1" si="1054"/>
        <v>'0'!B37</v>
      </c>
    </row>
    <row r="3755" spans="1:16" x14ac:dyDescent="0.25">
      <c r="A3755" s="3" t="str">
        <f t="shared" ca="1" si="1038"/>
        <v/>
      </c>
      <c r="G3755" s="15">
        <f t="shared" ca="1" si="1045"/>
        <v>38</v>
      </c>
      <c r="H3755" s="15">
        <v>1</v>
      </c>
      <c r="I3755" s="15">
        <f t="shared" ca="1" si="1046"/>
        <v>0</v>
      </c>
      <c r="J3755" s="15" t="str">
        <f t="shared" ca="1" si="1053"/>
        <v>'0'!A38</v>
      </c>
      <c r="K3755" s="15" t="str">
        <f t="shared" ca="1" si="1054"/>
        <v>'0'!B38</v>
      </c>
    </row>
    <row r="3756" spans="1:16" x14ac:dyDescent="0.25">
      <c r="A3756" s="3" t="str">
        <f t="shared" ref="A3756:A3819" ca="1" si="1057">IFERROR(IF(INDIRECT(J3756)&lt;&gt;"",CONCATENATE(INDIRECT(J3756)," = ",INDIRECT(K3756)," "),""),"")</f>
        <v/>
      </c>
      <c r="G3756" s="15">
        <f t="shared" ca="1" si="1045"/>
        <v>39</v>
      </c>
      <c r="H3756" s="15">
        <v>1</v>
      </c>
      <c r="I3756" s="15">
        <f t="shared" ca="1" si="1046"/>
        <v>0</v>
      </c>
      <c r="J3756" s="15" t="str">
        <f t="shared" ca="1" si="1053"/>
        <v>'0'!A39</v>
      </c>
      <c r="K3756" s="15" t="str">
        <f t="shared" ca="1" si="1054"/>
        <v>'0'!B39</v>
      </c>
    </row>
    <row r="3757" spans="1:16" x14ac:dyDescent="0.25">
      <c r="A3757" s="3" t="str">
        <f t="shared" ca="1" si="1057"/>
        <v/>
      </c>
      <c r="G3757" s="15">
        <f t="shared" ca="1" si="1045"/>
        <v>40</v>
      </c>
      <c r="H3757" s="15">
        <v>1</v>
      </c>
      <c r="I3757" s="15">
        <f t="shared" ca="1" si="1046"/>
        <v>0</v>
      </c>
      <c r="J3757" s="15" t="str">
        <f t="shared" ca="1" si="1053"/>
        <v>'0'!A40</v>
      </c>
      <c r="K3757" s="15" t="str">
        <f t="shared" ca="1" si="1054"/>
        <v>'0'!B40</v>
      </c>
    </row>
    <row r="3758" spans="1:16" x14ac:dyDescent="0.25">
      <c r="A3758" s="3" t="str">
        <f t="shared" ca="1" si="1057"/>
        <v/>
      </c>
      <c r="G3758" s="15">
        <f t="shared" ca="1" si="1045"/>
        <v>41</v>
      </c>
      <c r="H3758" s="15">
        <v>1</v>
      </c>
      <c r="I3758" s="15">
        <f t="shared" ca="1" si="1046"/>
        <v>0</v>
      </c>
      <c r="J3758" s="15" t="str">
        <f t="shared" ca="1" si="1053"/>
        <v>'0'!A41</v>
      </c>
      <c r="K3758" s="15" t="str">
        <f t="shared" ca="1" si="1054"/>
        <v>'0'!B41</v>
      </c>
    </row>
    <row r="3759" spans="1:16" x14ac:dyDescent="0.25">
      <c r="A3759" s="3" t="str">
        <f t="shared" ca="1" si="1057"/>
        <v/>
      </c>
      <c r="C3759" s="16"/>
      <c r="G3759" s="15">
        <f t="shared" ca="1" si="1045"/>
        <v>42</v>
      </c>
      <c r="H3759" s="15">
        <v>1</v>
      </c>
      <c r="I3759" s="15">
        <f t="shared" ca="1" si="1046"/>
        <v>0</v>
      </c>
      <c r="J3759" s="15" t="str">
        <f t="shared" ca="1" si="1053"/>
        <v>'0'!A42</v>
      </c>
      <c r="K3759" s="15" t="str">
        <f t="shared" ca="1" si="1054"/>
        <v>'0'!B42</v>
      </c>
    </row>
    <row r="3760" spans="1:16" x14ac:dyDescent="0.25">
      <c r="A3760" s="3" t="str">
        <f t="shared" ca="1" si="1057"/>
        <v/>
      </c>
      <c r="G3760" s="15">
        <f t="shared" ca="1" si="1045"/>
        <v>43</v>
      </c>
      <c r="H3760" s="15">
        <v>1</v>
      </c>
      <c r="I3760" s="15">
        <f t="shared" ca="1" si="1046"/>
        <v>0</v>
      </c>
      <c r="J3760" s="15" t="str">
        <f t="shared" ca="1" si="1053"/>
        <v>'0'!A43</v>
      </c>
      <c r="K3760" s="15" t="str">
        <f t="shared" ca="1" si="1054"/>
        <v>'0'!B43</v>
      </c>
    </row>
    <row r="3761" spans="1:16" x14ac:dyDescent="0.25">
      <c r="A3761" s="3" t="str">
        <f t="shared" ca="1" si="1057"/>
        <v/>
      </c>
      <c r="G3761" s="15">
        <f t="shared" ca="1" si="1045"/>
        <v>44</v>
      </c>
      <c r="H3761" s="15">
        <v>1</v>
      </c>
      <c r="I3761" s="15">
        <f t="shared" ca="1" si="1046"/>
        <v>0</v>
      </c>
      <c r="J3761" s="15" t="str">
        <f t="shared" ca="1" si="1053"/>
        <v>'0'!A44</v>
      </c>
      <c r="K3761" s="15" t="str">
        <f t="shared" ca="1" si="1054"/>
        <v>'0'!B44</v>
      </c>
    </row>
    <row r="3762" spans="1:16" x14ac:dyDescent="0.25">
      <c r="A3762" s="3" t="str">
        <f t="shared" ca="1" si="1057"/>
        <v/>
      </c>
      <c r="G3762" s="15">
        <f t="shared" ca="1" si="1045"/>
        <v>45</v>
      </c>
      <c r="H3762" s="15">
        <v>1</v>
      </c>
      <c r="I3762" s="15">
        <f t="shared" ca="1" si="1046"/>
        <v>0</v>
      </c>
      <c r="J3762" s="15" t="str">
        <f t="shared" ca="1" si="1053"/>
        <v>'0'!A45</v>
      </c>
      <c r="K3762" s="15" t="str">
        <f t="shared" ca="1" si="1054"/>
        <v>'0'!B45</v>
      </c>
    </row>
    <row r="3763" spans="1:16" x14ac:dyDescent="0.25">
      <c r="A3763" s="3" t="str">
        <f t="shared" ca="1" si="1057"/>
        <v/>
      </c>
      <c r="G3763" s="15">
        <f t="shared" ca="1" si="1045"/>
        <v>46</v>
      </c>
      <c r="H3763" s="15">
        <v>1</v>
      </c>
      <c r="I3763" s="15">
        <f t="shared" ca="1" si="1046"/>
        <v>0</v>
      </c>
      <c r="J3763" s="15" t="str">
        <f t="shared" ca="1" si="1053"/>
        <v>'0'!A46</v>
      </c>
      <c r="K3763" s="15" t="str">
        <f t="shared" ca="1" si="1054"/>
        <v>'0'!B46</v>
      </c>
    </row>
    <row r="3764" spans="1:16" x14ac:dyDescent="0.25">
      <c r="A3764" s="3" t="str">
        <f t="shared" ca="1" si="1057"/>
        <v/>
      </c>
      <c r="G3764" s="15">
        <f t="shared" ca="1" si="1045"/>
        <v>47</v>
      </c>
      <c r="H3764" s="15">
        <v>1</v>
      </c>
      <c r="I3764" s="15">
        <f t="shared" ca="1" si="1046"/>
        <v>0</v>
      </c>
      <c r="J3764" s="15" t="str">
        <f t="shared" ca="1" si="1053"/>
        <v>'0'!A47</v>
      </c>
      <c r="K3764" s="15" t="str">
        <f t="shared" ca="1" si="1054"/>
        <v>'0'!B47</v>
      </c>
    </row>
    <row r="3765" spans="1:16" x14ac:dyDescent="0.25">
      <c r="A3765" s="3" t="str">
        <f t="shared" ca="1" si="1057"/>
        <v/>
      </c>
      <c r="G3765" s="15">
        <f t="shared" ca="1" si="1045"/>
        <v>48</v>
      </c>
      <c r="H3765" s="15">
        <v>1</v>
      </c>
      <c r="I3765" s="15">
        <f t="shared" ca="1" si="1046"/>
        <v>0</v>
      </c>
      <c r="J3765" s="15" t="str">
        <f t="shared" ca="1" si="1053"/>
        <v>'0'!A48</v>
      </c>
      <c r="K3765" s="15" t="str">
        <f t="shared" ca="1" si="1054"/>
        <v>'0'!B48</v>
      </c>
    </row>
    <row r="3766" spans="1:16" x14ac:dyDescent="0.25">
      <c r="A3766" s="3" t="str">
        <f t="shared" ca="1" si="1057"/>
        <v/>
      </c>
      <c r="G3766" s="15">
        <f t="shared" ca="1" si="1045"/>
        <v>49</v>
      </c>
      <c r="H3766" s="15">
        <v>1</v>
      </c>
      <c r="I3766" s="15">
        <f t="shared" ca="1" si="1046"/>
        <v>0</v>
      </c>
      <c r="J3766" s="15" t="str">
        <f t="shared" ca="1" si="1053"/>
        <v>'0'!A49</v>
      </c>
      <c r="K3766" s="15" t="str">
        <f t="shared" ca="1" si="1054"/>
        <v>'0'!B49</v>
      </c>
    </row>
    <row r="3767" spans="1:16" x14ac:dyDescent="0.25">
      <c r="A3767" s="3" t="str">
        <f t="shared" ca="1" si="1057"/>
        <v/>
      </c>
      <c r="G3767" s="15">
        <f t="shared" ca="1" si="1045"/>
        <v>50</v>
      </c>
      <c r="H3767" s="15">
        <v>1</v>
      </c>
      <c r="I3767" s="15">
        <f t="shared" ca="1" si="1046"/>
        <v>0</v>
      </c>
      <c r="J3767" s="15" t="str">
        <f t="shared" ca="1" si="1053"/>
        <v>'0'!A50</v>
      </c>
      <c r="K3767" s="15" t="str">
        <f t="shared" ca="1" si="1054"/>
        <v>'0'!B50</v>
      </c>
    </row>
    <row r="3768" spans="1:16" x14ac:dyDescent="0.25">
      <c r="A3768" s="3" t="str">
        <f t="shared" ca="1" si="1057"/>
        <v/>
      </c>
      <c r="G3768" s="15">
        <f t="shared" ref="G3768" ca="1" si="1058">INDIRECT(M3768)</f>
        <v>31</v>
      </c>
      <c r="H3768" s="15">
        <v>1</v>
      </c>
      <c r="I3768" s="15">
        <f t="shared" ref="I3768" ca="1" si="1059">INDIRECT(N3768)</f>
        <v>0</v>
      </c>
      <c r="J3768" s="15" t="str">
        <f t="shared" ca="1" si="1053"/>
        <v>'0'!A31</v>
      </c>
      <c r="K3768" s="15" t="str">
        <f t="shared" ca="1" si="1054"/>
        <v>'0'!B31</v>
      </c>
      <c r="M3768" s="15" t="str">
        <f t="shared" ref="M3768" si="1060">ADDRESS(O3768,3,4,1,$R$1)</f>
        <v>konfig!C190</v>
      </c>
      <c r="N3768" s="15" t="str">
        <f t="shared" ref="N3768" si="1061">ADDRESS(O3768,1,4,1,$R$1)</f>
        <v>konfig!A190</v>
      </c>
      <c r="O3768" s="15">
        <v>190</v>
      </c>
      <c r="P3768" s="15">
        <v>4</v>
      </c>
    </row>
    <row r="3769" spans="1:16" x14ac:dyDescent="0.25">
      <c r="A3769" s="3" t="str">
        <f t="shared" ca="1" si="1057"/>
        <v/>
      </c>
      <c r="G3769" s="15">
        <f t="shared" ref="G3769:G3812" ca="1" si="1062">G3768+1</f>
        <v>32</v>
      </c>
      <c r="H3769" s="15">
        <v>1</v>
      </c>
      <c r="I3769" s="15">
        <f t="shared" ref="I3769:I3812" ca="1" si="1063">I3768</f>
        <v>0</v>
      </c>
      <c r="J3769" s="15" t="str">
        <f t="shared" ca="1" si="1053"/>
        <v>'0'!A32</v>
      </c>
      <c r="K3769" s="15" t="str">
        <f t="shared" ca="1" si="1054"/>
        <v>'0'!B32</v>
      </c>
    </row>
    <row r="3770" spans="1:16" x14ac:dyDescent="0.25">
      <c r="A3770" s="3" t="str">
        <f t="shared" ca="1" si="1057"/>
        <v/>
      </c>
      <c r="G3770" s="15">
        <f t="shared" ca="1" si="1062"/>
        <v>33</v>
      </c>
      <c r="H3770" s="15">
        <v>1</v>
      </c>
      <c r="I3770" s="15">
        <f t="shared" ca="1" si="1063"/>
        <v>0</v>
      </c>
      <c r="J3770" s="15" t="str">
        <f t="shared" ca="1" si="1053"/>
        <v>'0'!A33</v>
      </c>
      <c r="K3770" s="15" t="str">
        <f t="shared" ca="1" si="1054"/>
        <v>'0'!B33</v>
      </c>
    </row>
    <row r="3771" spans="1:16" x14ac:dyDescent="0.25">
      <c r="A3771" s="3" t="str">
        <f t="shared" ca="1" si="1057"/>
        <v/>
      </c>
      <c r="C3771" s="16"/>
      <c r="G3771" s="15">
        <f t="shared" ca="1" si="1062"/>
        <v>34</v>
      </c>
      <c r="H3771" s="15">
        <v>1</v>
      </c>
      <c r="I3771" s="15">
        <f t="shared" ca="1" si="1063"/>
        <v>0</v>
      </c>
      <c r="J3771" s="15" t="str">
        <f t="shared" ca="1" si="1053"/>
        <v>'0'!A34</v>
      </c>
      <c r="K3771" s="15" t="str">
        <f t="shared" ca="1" si="1054"/>
        <v>'0'!B34</v>
      </c>
    </row>
    <row r="3772" spans="1:16" x14ac:dyDescent="0.25">
      <c r="A3772" s="3" t="str">
        <f t="shared" ca="1" si="1057"/>
        <v/>
      </c>
      <c r="G3772" s="15">
        <f t="shared" ca="1" si="1062"/>
        <v>35</v>
      </c>
      <c r="H3772" s="15">
        <v>1</v>
      </c>
      <c r="I3772" s="15">
        <f t="shared" ca="1" si="1063"/>
        <v>0</v>
      </c>
      <c r="J3772" s="15" t="str">
        <f t="shared" ca="1" si="1053"/>
        <v>'0'!A35</v>
      </c>
      <c r="K3772" s="15" t="str">
        <f t="shared" ca="1" si="1054"/>
        <v>'0'!B35</v>
      </c>
    </row>
    <row r="3773" spans="1:16" x14ac:dyDescent="0.25">
      <c r="A3773" s="3" t="str">
        <f t="shared" ca="1" si="1057"/>
        <v/>
      </c>
      <c r="G3773" s="15">
        <f t="shared" ca="1" si="1045"/>
        <v>36</v>
      </c>
      <c r="H3773" s="15">
        <v>1</v>
      </c>
      <c r="I3773" s="15">
        <f t="shared" ca="1" si="1046"/>
        <v>0</v>
      </c>
      <c r="J3773" s="15" t="str">
        <f t="shared" ca="1" si="1053"/>
        <v>'0'!A36</v>
      </c>
      <c r="K3773" s="15" t="str">
        <f t="shared" ca="1" si="1054"/>
        <v>'0'!B36</v>
      </c>
    </row>
    <row r="3774" spans="1:16" x14ac:dyDescent="0.25">
      <c r="A3774" s="3" t="str">
        <f t="shared" ca="1" si="1057"/>
        <v/>
      </c>
      <c r="G3774" s="15">
        <f t="shared" ca="1" si="1045"/>
        <v>37</v>
      </c>
      <c r="H3774" s="15">
        <v>1</v>
      </c>
      <c r="I3774" s="15">
        <f t="shared" ca="1" si="1046"/>
        <v>0</v>
      </c>
      <c r="J3774" s="15" t="str">
        <f t="shared" ca="1" si="1053"/>
        <v>'0'!A37</v>
      </c>
      <c r="K3774" s="15" t="str">
        <f t="shared" ca="1" si="1054"/>
        <v>'0'!B37</v>
      </c>
    </row>
    <row r="3775" spans="1:16" x14ac:dyDescent="0.25">
      <c r="A3775" s="3" t="str">
        <f t="shared" ca="1" si="1057"/>
        <v/>
      </c>
      <c r="G3775" s="15">
        <f t="shared" ca="1" si="1045"/>
        <v>38</v>
      </c>
      <c r="H3775" s="15">
        <v>1</v>
      </c>
      <c r="I3775" s="15">
        <f t="shared" ca="1" si="1046"/>
        <v>0</v>
      </c>
      <c r="J3775" s="15" t="str">
        <f t="shared" ca="1" si="1053"/>
        <v>'0'!A38</v>
      </c>
      <c r="K3775" s="15" t="str">
        <f t="shared" ca="1" si="1054"/>
        <v>'0'!B38</v>
      </c>
    </row>
    <row r="3776" spans="1:16" x14ac:dyDescent="0.25">
      <c r="A3776" s="3" t="str">
        <f t="shared" ca="1" si="1057"/>
        <v/>
      </c>
      <c r="G3776" s="15">
        <f t="shared" ca="1" si="1045"/>
        <v>39</v>
      </c>
      <c r="H3776" s="15">
        <v>1</v>
      </c>
      <c r="I3776" s="15">
        <f t="shared" ca="1" si="1046"/>
        <v>0</v>
      </c>
      <c r="J3776" s="15" t="str">
        <f t="shared" ca="1" si="1053"/>
        <v>'0'!A39</v>
      </c>
      <c r="K3776" s="15" t="str">
        <f t="shared" ca="1" si="1054"/>
        <v>'0'!B39</v>
      </c>
    </row>
    <row r="3777" spans="1:16" x14ac:dyDescent="0.25">
      <c r="A3777" s="3" t="str">
        <f t="shared" ca="1" si="1057"/>
        <v/>
      </c>
      <c r="G3777" s="15">
        <f t="shared" ca="1" si="1045"/>
        <v>40</v>
      </c>
      <c r="H3777" s="15">
        <v>1</v>
      </c>
      <c r="I3777" s="15">
        <f t="shared" ca="1" si="1046"/>
        <v>0</v>
      </c>
      <c r="J3777" s="15" t="str">
        <f t="shared" ca="1" si="1053"/>
        <v>'0'!A40</v>
      </c>
      <c r="K3777" s="15" t="str">
        <f t="shared" ca="1" si="1054"/>
        <v>'0'!B40</v>
      </c>
    </row>
    <row r="3778" spans="1:16" x14ac:dyDescent="0.25">
      <c r="A3778" s="3" t="str">
        <f t="shared" ca="1" si="1057"/>
        <v/>
      </c>
      <c r="G3778" s="15">
        <f t="shared" ca="1" si="1045"/>
        <v>41</v>
      </c>
      <c r="H3778" s="15">
        <v>1</v>
      </c>
      <c r="I3778" s="15">
        <f t="shared" ca="1" si="1046"/>
        <v>0</v>
      </c>
      <c r="J3778" s="15" t="str">
        <f t="shared" ca="1" si="1053"/>
        <v>'0'!A41</v>
      </c>
      <c r="K3778" s="15" t="str">
        <f t="shared" ca="1" si="1054"/>
        <v>'0'!B41</v>
      </c>
    </row>
    <row r="3779" spans="1:16" x14ac:dyDescent="0.25">
      <c r="A3779" s="3" t="str">
        <f t="shared" ca="1" si="1057"/>
        <v/>
      </c>
      <c r="C3779" s="16"/>
      <c r="G3779" s="15">
        <f t="shared" ca="1" si="1045"/>
        <v>42</v>
      </c>
      <c r="H3779" s="15">
        <v>1</v>
      </c>
      <c r="I3779" s="15">
        <f t="shared" ca="1" si="1046"/>
        <v>0</v>
      </c>
      <c r="J3779" s="15" t="str">
        <f t="shared" ca="1" si="1053"/>
        <v>'0'!A42</v>
      </c>
      <c r="K3779" s="15" t="str">
        <f t="shared" ca="1" si="1054"/>
        <v>'0'!B42</v>
      </c>
    </row>
    <row r="3780" spans="1:16" x14ac:dyDescent="0.25">
      <c r="A3780" s="3" t="str">
        <f t="shared" ca="1" si="1057"/>
        <v/>
      </c>
      <c r="G3780" s="15">
        <f t="shared" ca="1" si="1045"/>
        <v>43</v>
      </c>
      <c r="H3780" s="15">
        <v>1</v>
      </c>
      <c r="I3780" s="15">
        <f t="shared" ca="1" si="1046"/>
        <v>0</v>
      </c>
      <c r="J3780" s="15" t="str">
        <f t="shared" ca="1" si="1053"/>
        <v>'0'!A43</v>
      </c>
      <c r="K3780" s="15" t="str">
        <f t="shared" ca="1" si="1054"/>
        <v>'0'!B43</v>
      </c>
    </row>
    <row r="3781" spans="1:16" x14ac:dyDescent="0.25">
      <c r="A3781" s="3" t="str">
        <f t="shared" ca="1" si="1057"/>
        <v/>
      </c>
      <c r="G3781" s="15">
        <f t="shared" ca="1" si="1045"/>
        <v>44</v>
      </c>
      <c r="H3781" s="15">
        <v>1</v>
      </c>
      <c r="I3781" s="15">
        <f t="shared" ca="1" si="1046"/>
        <v>0</v>
      </c>
      <c r="J3781" s="15" t="str">
        <f t="shared" ca="1" si="1053"/>
        <v>'0'!A44</v>
      </c>
      <c r="K3781" s="15" t="str">
        <f t="shared" ca="1" si="1054"/>
        <v>'0'!B44</v>
      </c>
    </row>
    <row r="3782" spans="1:16" x14ac:dyDescent="0.25">
      <c r="A3782" s="3" t="str">
        <f t="shared" ca="1" si="1057"/>
        <v/>
      </c>
      <c r="G3782" s="15">
        <f t="shared" ca="1" si="1045"/>
        <v>45</v>
      </c>
      <c r="H3782" s="15">
        <v>1</v>
      </c>
      <c r="I3782" s="15">
        <f t="shared" ca="1" si="1046"/>
        <v>0</v>
      </c>
      <c r="J3782" s="15" t="str">
        <f t="shared" ca="1" si="1053"/>
        <v>'0'!A45</v>
      </c>
      <c r="K3782" s="15" t="str">
        <f t="shared" ca="1" si="1054"/>
        <v>'0'!B45</v>
      </c>
    </row>
    <row r="3783" spans="1:16" x14ac:dyDescent="0.25">
      <c r="A3783" s="3" t="str">
        <f t="shared" ca="1" si="1057"/>
        <v/>
      </c>
      <c r="G3783" s="15">
        <f t="shared" ca="1" si="1045"/>
        <v>46</v>
      </c>
      <c r="H3783" s="15">
        <v>1</v>
      </c>
      <c r="I3783" s="15">
        <f t="shared" ca="1" si="1046"/>
        <v>0</v>
      </c>
      <c r="J3783" s="15" t="str">
        <f t="shared" ca="1" si="1053"/>
        <v>'0'!A46</v>
      </c>
      <c r="K3783" s="15" t="str">
        <f t="shared" ca="1" si="1054"/>
        <v>'0'!B46</v>
      </c>
    </row>
    <row r="3784" spans="1:16" x14ac:dyDescent="0.25">
      <c r="A3784" s="3" t="str">
        <f t="shared" ca="1" si="1057"/>
        <v/>
      </c>
      <c r="G3784" s="15">
        <f t="shared" ca="1" si="1045"/>
        <v>47</v>
      </c>
      <c r="H3784" s="15">
        <v>1</v>
      </c>
      <c r="I3784" s="15">
        <f t="shared" ca="1" si="1046"/>
        <v>0</v>
      </c>
      <c r="J3784" s="15" t="str">
        <f t="shared" ca="1" si="1053"/>
        <v>'0'!A47</v>
      </c>
      <c r="K3784" s="15" t="str">
        <f t="shared" ca="1" si="1054"/>
        <v>'0'!B47</v>
      </c>
    </row>
    <row r="3785" spans="1:16" x14ac:dyDescent="0.25">
      <c r="A3785" s="3" t="str">
        <f t="shared" ca="1" si="1057"/>
        <v/>
      </c>
      <c r="G3785" s="15">
        <f t="shared" ref="G3785:G3847" ca="1" si="1064">G3784+1</f>
        <v>48</v>
      </c>
      <c r="H3785" s="15">
        <v>1</v>
      </c>
      <c r="I3785" s="15">
        <f t="shared" ref="I3785:I3847" ca="1" si="1065">I3784</f>
        <v>0</v>
      </c>
      <c r="J3785" s="15" t="str">
        <f t="shared" ca="1" si="1053"/>
        <v>'0'!A48</v>
      </c>
      <c r="K3785" s="15" t="str">
        <f t="shared" ca="1" si="1054"/>
        <v>'0'!B48</v>
      </c>
    </row>
    <row r="3786" spans="1:16" x14ac:dyDescent="0.25">
      <c r="A3786" s="3" t="str">
        <f t="shared" ca="1" si="1057"/>
        <v/>
      </c>
      <c r="G3786" s="15">
        <f t="shared" ca="1" si="1064"/>
        <v>49</v>
      </c>
      <c r="H3786" s="15">
        <v>1</v>
      </c>
      <c r="I3786" s="15">
        <f t="shared" ca="1" si="1065"/>
        <v>0</v>
      </c>
      <c r="J3786" s="15" t="str">
        <f t="shared" ca="1" si="1053"/>
        <v>'0'!A49</v>
      </c>
      <c r="K3786" s="15" t="str">
        <f t="shared" ca="1" si="1054"/>
        <v>'0'!B49</v>
      </c>
    </row>
    <row r="3787" spans="1:16" x14ac:dyDescent="0.25">
      <c r="A3787" s="3" t="str">
        <f t="shared" ca="1" si="1057"/>
        <v/>
      </c>
      <c r="G3787" s="15">
        <f t="shared" ca="1" si="1064"/>
        <v>50</v>
      </c>
      <c r="H3787" s="15">
        <v>1</v>
      </c>
      <c r="I3787" s="15">
        <f t="shared" ca="1" si="1065"/>
        <v>0</v>
      </c>
      <c r="J3787" s="15" t="str">
        <f t="shared" ca="1" si="1053"/>
        <v>'0'!A50</v>
      </c>
      <c r="K3787" s="15" t="str">
        <f t="shared" ca="1" si="1054"/>
        <v>'0'!B50</v>
      </c>
    </row>
    <row r="3788" spans="1:16" x14ac:dyDescent="0.25">
      <c r="A3788" s="3" t="str">
        <f t="shared" ca="1" si="1057"/>
        <v/>
      </c>
      <c r="G3788" s="15">
        <f t="shared" ref="G3788" ca="1" si="1066">INDIRECT(M3788)</f>
        <v>31</v>
      </c>
      <c r="H3788" s="15">
        <v>1</v>
      </c>
      <c r="I3788" s="15">
        <f t="shared" ref="I3788" ca="1" si="1067">INDIRECT(N3788)</f>
        <v>0</v>
      </c>
      <c r="J3788" s="15" t="str">
        <f t="shared" ca="1" si="1053"/>
        <v>'0'!A31</v>
      </c>
      <c r="K3788" s="15" t="str">
        <f t="shared" ca="1" si="1054"/>
        <v>'0'!B31</v>
      </c>
      <c r="M3788" s="15" t="str">
        <f t="shared" ref="M3788" si="1068">ADDRESS(O3788,3,4,1,$R$1)</f>
        <v>konfig!C191</v>
      </c>
      <c r="N3788" s="15" t="str">
        <f t="shared" ref="N3788" si="1069">ADDRESS(O3788,1,4,1,$R$1)</f>
        <v>konfig!A191</v>
      </c>
      <c r="O3788" s="15">
        <v>191</v>
      </c>
      <c r="P3788" s="15">
        <v>4</v>
      </c>
    </row>
    <row r="3789" spans="1:16" x14ac:dyDescent="0.25">
      <c r="A3789" s="3" t="str">
        <f t="shared" ca="1" si="1057"/>
        <v/>
      </c>
      <c r="G3789" s="15">
        <f t="shared" ref="G3789:G3829" ca="1" si="1070">G3788+1</f>
        <v>32</v>
      </c>
      <c r="H3789" s="15">
        <v>1</v>
      </c>
      <c r="I3789" s="15">
        <f t="shared" ref="I3789:I3829" ca="1" si="1071">I3788</f>
        <v>0</v>
      </c>
      <c r="J3789" s="15" t="str">
        <f t="shared" ca="1" si="1053"/>
        <v>'0'!A32</v>
      </c>
      <c r="K3789" s="15" t="str">
        <f t="shared" ca="1" si="1054"/>
        <v>'0'!B32</v>
      </c>
    </row>
    <row r="3790" spans="1:16" x14ac:dyDescent="0.25">
      <c r="A3790" s="3" t="str">
        <f t="shared" ca="1" si="1057"/>
        <v/>
      </c>
      <c r="G3790" s="15">
        <f t="shared" ca="1" si="1064"/>
        <v>33</v>
      </c>
      <c r="H3790" s="15">
        <v>1</v>
      </c>
      <c r="I3790" s="15">
        <f t="shared" ca="1" si="1065"/>
        <v>0</v>
      </c>
      <c r="J3790" s="15" t="str">
        <f t="shared" ca="1" si="1053"/>
        <v>'0'!A33</v>
      </c>
      <c r="K3790" s="15" t="str">
        <f t="shared" ca="1" si="1054"/>
        <v>'0'!B33</v>
      </c>
    </row>
    <row r="3791" spans="1:16" x14ac:dyDescent="0.25">
      <c r="A3791" s="3" t="str">
        <f t="shared" ca="1" si="1057"/>
        <v/>
      </c>
      <c r="C3791" s="16"/>
      <c r="G3791" s="15">
        <f t="shared" ca="1" si="1064"/>
        <v>34</v>
      </c>
      <c r="H3791" s="15">
        <v>1</v>
      </c>
      <c r="I3791" s="15">
        <f t="shared" ca="1" si="1065"/>
        <v>0</v>
      </c>
      <c r="J3791" s="15" t="str">
        <f t="shared" ca="1" si="1053"/>
        <v>'0'!A34</v>
      </c>
      <c r="K3791" s="15" t="str">
        <f t="shared" ca="1" si="1054"/>
        <v>'0'!B34</v>
      </c>
    </row>
    <row r="3792" spans="1:16" x14ac:dyDescent="0.25">
      <c r="A3792" s="3" t="str">
        <f t="shared" ca="1" si="1057"/>
        <v/>
      </c>
      <c r="G3792" s="15">
        <f t="shared" ca="1" si="1064"/>
        <v>35</v>
      </c>
      <c r="H3792" s="15">
        <v>1</v>
      </c>
      <c r="I3792" s="15">
        <f t="shared" ca="1" si="1065"/>
        <v>0</v>
      </c>
      <c r="J3792" s="15" t="str">
        <f t="shared" ca="1" si="1053"/>
        <v>'0'!A35</v>
      </c>
      <c r="K3792" s="15" t="str">
        <f t="shared" ca="1" si="1054"/>
        <v>'0'!B35</v>
      </c>
    </row>
    <row r="3793" spans="1:16" x14ac:dyDescent="0.25">
      <c r="A3793" s="3" t="str">
        <f t="shared" ca="1" si="1057"/>
        <v/>
      </c>
      <c r="G3793" s="15">
        <f t="shared" ca="1" si="1064"/>
        <v>36</v>
      </c>
      <c r="H3793" s="15">
        <v>1</v>
      </c>
      <c r="I3793" s="15">
        <f t="shared" ca="1" si="1065"/>
        <v>0</v>
      </c>
      <c r="J3793" s="15" t="str">
        <f t="shared" ca="1" si="1053"/>
        <v>'0'!A36</v>
      </c>
      <c r="K3793" s="15" t="str">
        <f t="shared" ca="1" si="1054"/>
        <v>'0'!B36</v>
      </c>
    </row>
    <row r="3794" spans="1:16" x14ac:dyDescent="0.25">
      <c r="A3794" s="3" t="str">
        <f t="shared" ca="1" si="1057"/>
        <v/>
      </c>
      <c r="G3794" s="15">
        <f t="shared" ca="1" si="1064"/>
        <v>37</v>
      </c>
      <c r="H3794" s="15">
        <v>1</v>
      </c>
      <c r="I3794" s="15">
        <f t="shared" ca="1" si="1065"/>
        <v>0</v>
      </c>
      <c r="J3794" s="15" t="str">
        <f t="shared" ca="1" si="1053"/>
        <v>'0'!A37</v>
      </c>
      <c r="K3794" s="15" t="str">
        <f t="shared" ca="1" si="1054"/>
        <v>'0'!B37</v>
      </c>
    </row>
    <row r="3795" spans="1:16" x14ac:dyDescent="0.25">
      <c r="A3795" s="3" t="str">
        <f t="shared" ca="1" si="1057"/>
        <v/>
      </c>
      <c r="G3795" s="15">
        <f t="shared" ca="1" si="1064"/>
        <v>38</v>
      </c>
      <c r="H3795" s="15">
        <v>1</v>
      </c>
      <c r="I3795" s="15">
        <f t="shared" ca="1" si="1065"/>
        <v>0</v>
      </c>
      <c r="J3795" s="15" t="str">
        <f t="shared" ca="1" si="1053"/>
        <v>'0'!A38</v>
      </c>
      <c r="K3795" s="15" t="str">
        <f t="shared" ca="1" si="1054"/>
        <v>'0'!B38</v>
      </c>
    </row>
    <row r="3796" spans="1:16" x14ac:dyDescent="0.25">
      <c r="A3796" s="3" t="str">
        <f t="shared" ca="1" si="1057"/>
        <v/>
      </c>
      <c r="G3796" s="15">
        <f t="shared" ca="1" si="1064"/>
        <v>39</v>
      </c>
      <c r="H3796" s="15">
        <v>1</v>
      </c>
      <c r="I3796" s="15">
        <f t="shared" ca="1" si="1065"/>
        <v>0</v>
      </c>
      <c r="J3796" s="15" t="str">
        <f t="shared" ca="1" si="1053"/>
        <v>'0'!A39</v>
      </c>
      <c r="K3796" s="15" t="str">
        <f t="shared" ca="1" si="1054"/>
        <v>'0'!B39</v>
      </c>
    </row>
    <row r="3797" spans="1:16" x14ac:dyDescent="0.25">
      <c r="A3797" s="3" t="str">
        <f t="shared" ca="1" si="1057"/>
        <v/>
      </c>
      <c r="G3797" s="15">
        <f t="shared" ca="1" si="1064"/>
        <v>40</v>
      </c>
      <c r="H3797" s="15">
        <v>1</v>
      </c>
      <c r="I3797" s="15">
        <f t="shared" ca="1" si="1065"/>
        <v>0</v>
      </c>
      <c r="J3797" s="15" t="str">
        <f t="shared" ca="1" si="1053"/>
        <v>'0'!A40</v>
      </c>
      <c r="K3797" s="15" t="str">
        <f t="shared" ca="1" si="1054"/>
        <v>'0'!B40</v>
      </c>
    </row>
    <row r="3798" spans="1:16" x14ac:dyDescent="0.25">
      <c r="A3798" s="3" t="str">
        <f t="shared" ca="1" si="1057"/>
        <v/>
      </c>
      <c r="G3798" s="15">
        <f t="shared" ca="1" si="1064"/>
        <v>41</v>
      </c>
      <c r="H3798" s="15">
        <v>1</v>
      </c>
      <c r="I3798" s="15">
        <f t="shared" ca="1" si="1065"/>
        <v>0</v>
      </c>
      <c r="J3798" s="15" t="str">
        <f t="shared" ca="1" si="1053"/>
        <v>'0'!A41</v>
      </c>
      <c r="K3798" s="15" t="str">
        <f t="shared" ca="1" si="1054"/>
        <v>'0'!B41</v>
      </c>
    </row>
    <row r="3799" spans="1:16" x14ac:dyDescent="0.25">
      <c r="A3799" s="3" t="str">
        <f t="shared" ca="1" si="1057"/>
        <v/>
      </c>
      <c r="C3799" s="16"/>
      <c r="G3799" s="15">
        <f t="shared" ca="1" si="1064"/>
        <v>42</v>
      </c>
      <c r="H3799" s="15">
        <v>1</v>
      </c>
      <c r="I3799" s="15">
        <f t="shared" ca="1" si="1065"/>
        <v>0</v>
      </c>
      <c r="J3799" s="15" t="str">
        <f t="shared" ca="1" si="1053"/>
        <v>'0'!A42</v>
      </c>
      <c r="K3799" s="15" t="str">
        <f t="shared" ca="1" si="1054"/>
        <v>'0'!B42</v>
      </c>
    </row>
    <row r="3800" spans="1:16" x14ac:dyDescent="0.25">
      <c r="A3800" s="3" t="str">
        <f t="shared" ca="1" si="1057"/>
        <v/>
      </c>
      <c r="G3800" s="15">
        <f t="shared" ca="1" si="1064"/>
        <v>43</v>
      </c>
      <c r="H3800" s="15">
        <v>1</v>
      </c>
      <c r="I3800" s="15">
        <f t="shared" ca="1" si="1065"/>
        <v>0</v>
      </c>
      <c r="J3800" s="15" t="str">
        <f t="shared" ca="1" si="1053"/>
        <v>'0'!A43</v>
      </c>
      <c r="K3800" s="15" t="str">
        <f t="shared" ca="1" si="1054"/>
        <v>'0'!B43</v>
      </c>
    </row>
    <row r="3801" spans="1:16" x14ac:dyDescent="0.25">
      <c r="A3801" s="3" t="str">
        <f t="shared" ca="1" si="1057"/>
        <v/>
      </c>
      <c r="G3801" s="15">
        <f t="shared" ca="1" si="1064"/>
        <v>44</v>
      </c>
      <c r="H3801" s="15">
        <v>1</v>
      </c>
      <c r="I3801" s="15">
        <f t="shared" ca="1" si="1065"/>
        <v>0</v>
      </c>
      <c r="J3801" s="15" t="str">
        <f t="shared" ca="1" si="1053"/>
        <v>'0'!A44</v>
      </c>
      <c r="K3801" s="15" t="str">
        <f t="shared" ca="1" si="1054"/>
        <v>'0'!B44</v>
      </c>
    </row>
    <row r="3802" spans="1:16" x14ac:dyDescent="0.25">
      <c r="A3802" s="3" t="str">
        <f t="shared" ca="1" si="1057"/>
        <v/>
      </c>
      <c r="G3802" s="15">
        <f t="shared" ca="1" si="1064"/>
        <v>45</v>
      </c>
      <c r="H3802" s="15">
        <v>1</v>
      </c>
      <c r="I3802" s="15">
        <f t="shared" ca="1" si="1065"/>
        <v>0</v>
      </c>
      <c r="J3802" s="15" t="str">
        <f t="shared" ca="1" si="1053"/>
        <v>'0'!A45</v>
      </c>
      <c r="K3802" s="15" t="str">
        <f t="shared" ca="1" si="1054"/>
        <v>'0'!B45</v>
      </c>
    </row>
    <row r="3803" spans="1:16" x14ac:dyDescent="0.25">
      <c r="A3803" s="3" t="str">
        <f t="shared" ca="1" si="1057"/>
        <v/>
      </c>
      <c r="G3803" s="15">
        <f t="shared" ca="1" si="1064"/>
        <v>46</v>
      </c>
      <c r="H3803" s="15">
        <v>1</v>
      </c>
      <c r="I3803" s="15">
        <f t="shared" ca="1" si="1065"/>
        <v>0</v>
      </c>
      <c r="J3803" s="15" t="str">
        <f t="shared" ca="1" si="1053"/>
        <v>'0'!A46</v>
      </c>
      <c r="K3803" s="15" t="str">
        <f t="shared" ca="1" si="1054"/>
        <v>'0'!B46</v>
      </c>
    </row>
    <row r="3804" spans="1:16" x14ac:dyDescent="0.25">
      <c r="A3804" s="3" t="str">
        <f t="shared" ca="1" si="1057"/>
        <v/>
      </c>
      <c r="G3804" s="15">
        <f t="shared" ca="1" si="1064"/>
        <v>47</v>
      </c>
      <c r="H3804" s="15">
        <v>1</v>
      </c>
      <c r="I3804" s="15">
        <f t="shared" ca="1" si="1065"/>
        <v>0</v>
      </c>
      <c r="J3804" s="15" t="str">
        <f t="shared" ca="1" si="1053"/>
        <v>'0'!A47</v>
      </c>
      <c r="K3804" s="15" t="str">
        <f t="shared" ca="1" si="1054"/>
        <v>'0'!B47</v>
      </c>
    </row>
    <row r="3805" spans="1:16" x14ac:dyDescent="0.25">
      <c r="A3805" s="3" t="str">
        <f t="shared" ca="1" si="1057"/>
        <v/>
      </c>
      <c r="G3805" s="15">
        <f t="shared" ca="1" si="1064"/>
        <v>48</v>
      </c>
      <c r="H3805" s="15">
        <v>1</v>
      </c>
      <c r="I3805" s="15">
        <f t="shared" ca="1" si="1065"/>
        <v>0</v>
      </c>
      <c r="J3805" s="15" t="str">
        <f t="shared" ca="1" si="1053"/>
        <v>'0'!A48</v>
      </c>
      <c r="K3805" s="15" t="str">
        <f t="shared" ca="1" si="1054"/>
        <v>'0'!B48</v>
      </c>
    </row>
    <row r="3806" spans="1:16" x14ac:dyDescent="0.25">
      <c r="A3806" s="3" t="str">
        <f t="shared" ca="1" si="1057"/>
        <v/>
      </c>
      <c r="G3806" s="15">
        <f t="shared" ca="1" si="1064"/>
        <v>49</v>
      </c>
      <c r="H3806" s="15">
        <v>1</v>
      </c>
      <c r="I3806" s="15">
        <f t="shared" ca="1" si="1065"/>
        <v>0</v>
      </c>
      <c r="J3806" s="15" t="str">
        <f t="shared" ca="1" si="1053"/>
        <v>'0'!A49</v>
      </c>
      <c r="K3806" s="15" t="str">
        <f t="shared" ca="1" si="1054"/>
        <v>'0'!B49</v>
      </c>
    </row>
    <row r="3807" spans="1:16" x14ac:dyDescent="0.25">
      <c r="A3807" s="3" t="str">
        <f t="shared" ca="1" si="1057"/>
        <v/>
      </c>
      <c r="G3807" s="15">
        <f t="shared" ca="1" si="1064"/>
        <v>50</v>
      </c>
      <c r="H3807" s="15">
        <v>1</v>
      </c>
      <c r="I3807" s="15">
        <f t="shared" ca="1" si="1065"/>
        <v>0</v>
      </c>
      <c r="J3807" s="15" t="str">
        <f t="shared" ca="1" si="1053"/>
        <v>'0'!A50</v>
      </c>
      <c r="K3807" s="15" t="str">
        <f t="shared" ca="1" si="1054"/>
        <v>'0'!B50</v>
      </c>
    </row>
    <row r="3808" spans="1:16" x14ac:dyDescent="0.25">
      <c r="A3808" s="3" t="str">
        <f t="shared" ca="1" si="1057"/>
        <v/>
      </c>
      <c r="G3808" s="15">
        <f t="shared" ref="G3808" ca="1" si="1072">INDIRECT(M3808)</f>
        <v>31</v>
      </c>
      <c r="H3808" s="15">
        <v>1</v>
      </c>
      <c r="I3808" s="15">
        <f t="shared" ref="I3808" ca="1" si="1073">INDIRECT(N3808)</f>
        <v>0</v>
      </c>
      <c r="J3808" s="15" t="str">
        <f t="shared" ca="1" si="1053"/>
        <v>'0'!A31</v>
      </c>
      <c r="K3808" s="15" t="str">
        <f t="shared" ca="1" si="1054"/>
        <v>'0'!B31</v>
      </c>
      <c r="M3808" s="15" t="str">
        <f t="shared" ref="M3808" si="1074">ADDRESS(O3808,3,4,1,$R$1)</f>
        <v>konfig!C192</v>
      </c>
      <c r="N3808" s="15" t="str">
        <f t="shared" ref="N3808" si="1075">ADDRESS(O3808,1,4,1,$R$1)</f>
        <v>konfig!A192</v>
      </c>
      <c r="O3808" s="15">
        <v>192</v>
      </c>
      <c r="P3808" s="15">
        <v>4</v>
      </c>
    </row>
    <row r="3809" spans="1:11" x14ac:dyDescent="0.25">
      <c r="A3809" s="3" t="str">
        <f t="shared" ca="1" si="1057"/>
        <v/>
      </c>
      <c r="G3809" s="15">
        <f t="shared" ca="1" si="1062"/>
        <v>32</v>
      </c>
      <c r="H3809" s="15">
        <v>1</v>
      </c>
      <c r="I3809" s="15">
        <f t="shared" ca="1" si="1063"/>
        <v>0</v>
      </c>
      <c r="J3809" s="15" t="str">
        <f t="shared" ca="1" si="1053"/>
        <v>'0'!A32</v>
      </c>
      <c r="K3809" s="15" t="str">
        <f t="shared" ca="1" si="1054"/>
        <v>'0'!B32</v>
      </c>
    </row>
    <row r="3810" spans="1:11" x14ac:dyDescent="0.25">
      <c r="A3810" s="3" t="str">
        <f t="shared" ca="1" si="1057"/>
        <v/>
      </c>
      <c r="G3810" s="15">
        <f t="shared" ca="1" si="1062"/>
        <v>33</v>
      </c>
      <c r="H3810" s="15">
        <v>1</v>
      </c>
      <c r="I3810" s="15">
        <f t="shared" ca="1" si="1063"/>
        <v>0</v>
      </c>
      <c r="J3810" s="15" t="str">
        <f t="shared" ca="1" si="1053"/>
        <v>'0'!A33</v>
      </c>
      <c r="K3810" s="15" t="str">
        <f t="shared" ca="1" si="1054"/>
        <v>'0'!B33</v>
      </c>
    </row>
    <row r="3811" spans="1:11" x14ac:dyDescent="0.25">
      <c r="A3811" s="3" t="str">
        <f t="shared" ca="1" si="1057"/>
        <v/>
      </c>
      <c r="C3811" s="16"/>
      <c r="G3811" s="15">
        <f t="shared" ca="1" si="1062"/>
        <v>34</v>
      </c>
      <c r="H3811" s="15">
        <v>1</v>
      </c>
      <c r="I3811" s="15">
        <f t="shared" ca="1" si="1063"/>
        <v>0</v>
      </c>
      <c r="J3811" s="15" t="str">
        <f t="shared" ca="1" si="1053"/>
        <v>'0'!A34</v>
      </c>
      <c r="K3811" s="15" t="str">
        <f t="shared" ca="1" si="1054"/>
        <v>'0'!B34</v>
      </c>
    </row>
    <row r="3812" spans="1:11" x14ac:dyDescent="0.25">
      <c r="A3812" s="3" t="str">
        <f t="shared" ca="1" si="1057"/>
        <v/>
      </c>
      <c r="G3812" s="15">
        <f t="shared" ca="1" si="1062"/>
        <v>35</v>
      </c>
      <c r="H3812" s="15">
        <v>1</v>
      </c>
      <c r="I3812" s="15">
        <f t="shared" ca="1" si="1063"/>
        <v>0</v>
      </c>
      <c r="J3812" s="15" t="str">
        <f t="shared" ref="J3812:J3875" ca="1" si="1076">ADDRESS(G3812,H3812,4,1,I3812)</f>
        <v>'0'!A35</v>
      </c>
      <c r="K3812" s="15" t="str">
        <f t="shared" ref="K3812:K3875" ca="1" si="1077">ADDRESS(G3812,H3812+1,4,1,I3812)</f>
        <v>'0'!B35</v>
      </c>
    </row>
    <row r="3813" spans="1:11" x14ac:dyDescent="0.25">
      <c r="A3813" s="3" t="str">
        <f t="shared" ca="1" si="1057"/>
        <v/>
      </c>
      <c r="G3813" s="15">
        <f t="shared" ca="1" si="1064"/>
        <v>36</v>
      </c>
      <c r="H3813" s="15">
        <v>1</v>
      </c>
      <c r="I3813" s="15">
        <f t="shared" ca="1" si="1065"/>
        <v>0</v>
      </c>
      <c r="J3813" s="15" t="str">
        <f t="shared" ca="1" si="1076"/>
        <v>'0'!A36</v>
      </c>
      <c r="K3813" s="15" t="str">
        <f t="shared" ca="1" si="1077"/>
        <v>'0'!B36</v>
      </c>
    </row>
    <row r="3814" spans="1:11" x14ac:dyDescent="0.25">
      <c r="A3814" s="3" t="str">
        <f t="shared" ca="1" si="1057"/>
        <v/>
      </c>
      <c r="G3814" s="15">
        <f t="shared" ca="1" si="1064"/>
        <v>37</v>
      </c>
      <c r="H3814" s="15">
        <v>1</v>
      </c>
      <c r="I3814" s="15">
        <f t="shared" ca="1" si="1065"/>
        <v>0</v>
      </c>
      <c r="J3814" s="15" t="str">
        <f t="shared" ca="1" si="1076"/>
        <v>'0'!A37</v>
      </c>
      <c r="K3814" s="15" t="str">
        <f t="shared" ca="1" si="1077"/>
        <v>'0'!B37</v>
      </c>
    </row>
    <row r="3815" spans="1:11" x14ac:dyDescent="0.25">
      <c r="A3815" s="3" t="str">
        <f t="shared" ca="1" si="1057"/>
        <v/>
      </c>
      <c r="G3815" s="15">
        <f t="shared" ca="1" si="1064"/>
        <v>38</v>
      </c>
      <c r="H3815" s="15">
        <v>1</v>
      </c>
      <c r="I3815" s="15">
        <f t="shared" ca="1" si="1065"/>
        <v>0</v>
      </c>
      <c r="J3815" s="15" t="str">
        <f t="shared" ca="1" si="1076"/>
        <v>'0'!A38</v>
      </c>
      <c r="K3815" s="15" t="str">
        <f t="shared" ca="1" si="1077"/>
        <v>'0'!B38</v>
      </c>
    </row>
    <row r="3816" spans="1:11" x14ac:dyDescent="0.25">
      <c r="A3816" s="3" t="str">
        <f t="shared" ca="1" si="1057"/>
        <v/>
      </c>
      <c r="G3816" s="15">
        <f t="shared" ca="1" si="1064"/>
        <v>39</v>
      </c>
      <c r="H3816" s="15">
        <v>1</v>
      </c>
      <c r="I3816" s="15">
        <f t="shared" ca="1" si="1065"/>
        <v>0</v>
      </c>
      <c r="J3816" s="15" t="str">
        <f t="shared" ca="1" si="1076"/>
        <v>'0'!A39</v>
      </c>
      <c r="K3816" s="15" t="str">
        <f t="shared" ca="1" si="1077"/>
        <v>'0'!B39</v>
      </c>
    </row>
    <row r="3817" spans="1:11" x14ac:dyDescent="0.25">
      <c r="A3817" s="3" t="str">
        <f t="shared" ca="1" si="1057"/>
        <v/>
      </c>
      <c r="G3817" s="15">
        <f t="shared" ca="1" si="1064"/>
        <v>40</v>
      </c>
      <c r="H3817" s="15">
        <v>1</v>
      </c>
      <c r="I3817" s="15">
        <f t="shared" ca="1" si="1065"/>
        <v>0</v>
      </c>
      <c r="J3817" s="15" t="str">
        <f t="shared" ca="1" si="1076"/>
        <v>'0'!A40</v>
      </c>
      <c r="K3817" s="15" t="str">
        <f t="shared" ca="1" si="1077"/>
        <v>'0'!B40</v>
      </c>
    </row>
    <row r="3818" spans="1:11" x14ac:dyDescent="0.25">
      <c r="A3818" s="3" t="str">
        <f t="shared" ca="1" si="1057"/>
        <v/>
      </c>
      <c r="G3818" s="15">
        <f t="shared" ca="1" si="1064"/>
        <v>41</v>
      </c>
      <c r="H3818" s="15">
        <v>1</v>
      </c>
      <c r="I3818" s="15">
        <f t="shared" ca="1" si="1065"/>
        <v>0</v>
      </c>
      <c r="J3818" s="15" t="str">
        <f t="shared" ca="1" si="1076"/>
        <v>'0'!A41</v>
      </c>
      <c r="K3818" s="15" t="str">
        <f t="shared" ca="1" si="1077"/>
        <v>'0'!B41</v>
      </c>
    </row>
    <row r="3819" spans="1:11" x14ac:dyDescent="0.25">
      <c r="A3819" s="3" t="str">
        <f t="shared" ca="1" si="1057"/>
        <v/>
      </c>
      <c r="C3819" s="16"/>
      <c r="G3819" s="15">
        <f t="shared" ca="1" si="1064"/>
        <v>42</v>
      </c>
      <c r="H3819" s="15">
        <v>1</v>
      </c>
      <c r="I3819" s="15">
        <f t="shared" ca="1" si="1065"/>
        <v>0</v>
      </c>
      <c r="J3819" s="15" t="str">
        <f t="shared" ca="1" si="1076"/>
        <v>'0'!A42</v>
      </c>
      <c r="K3819" s="15" t="str">
        <f t="shared" ca="1" si="1077"/>
        <v>'0'!B42</v>
      </c>
    </row>
    <row r="3820" spans="1:11" x14ac:dyDescent="0.25">
      <c r="A3820" s="3" t="str">
        <f t="shared" ref="A3820:A3883" ca="1" si="1078">IFERROR(IF(INDIRECT(J3820)&lt;&gt;"",CONCATENATE(INDIRECT(J3820)," = ",INDIRECT(K3820)," "),""),"")</f>
        <v/>
      </c>
      <c r="G3820" s="15">
        <f t="shared" ca="1" si="1064"/>
        <v>43</v>
      </c>
      <c r="H3820" s="15">
        <v>1</v>
      </c>
      <c r="I3820" s="15">
        <f t="shared" ca="1" si="1065"/>
        <v>0</v>
      </c>
      <c r="J3820" s="15" t="str">
        <f t="shared" ca="1" si="1076"/>
        <v>'0'!A43</v>
      </c>
      <c r="K3820" s="15" t="str">
        <f t="shared" ca="1" si="1077"/>
        <v>'0'!B43</v>
      </c>
    </row>
    <row r="3821" spans="1:11" x14ac:dyDescent="0.25">
      <c r="A3821" s="3" t="str">
        <f t="shared" ca="1" si="1078"/>
        <v/>
      </c>
      <c r="G3821" s="15">
        <f t="shared" ca="1" si="1064"/>
        <v>44</v>
      </c>
      <c r="H3821" s="15">
        <v>1</v>
      </c>
      <c r="I3821" s="15">
        <f t="shared" ca="1" si="1065"/>
        <v>0</v>
      </c>
      <c r="J3821" s="15" t="str">
        <f t="shared" ca="1" si="1076"/>
        <v>'0'!A44</v>
      </c>
      <c r="K3821" s="15" t="str">
        <f t="shared" ca="1" si="1077"/>
        <v>'0'!B44</v>
      </c>
    </row>
    <row r="3822" spans="1:11" x14ac:dyDescent="0.25">
      <c r="A3822" s="3" t="str">
        <f t="shared" ca="1" si="1078"/>
        <v/>
      </c>
      <c r="G3822" s="15">
        <f t="shared" ca="1" si="1064"/>
        <v>45</v>
      </c>
      <c r="H3822" s="15">
        <v>1</v>
      </c>
      <c r="I3822" s="15">
        <f t="shared" ca="1" si="1065"/>
        <v>0</v>
      </c>
      <c r="J3822" s="15" t="str">
        <f t="shared" ca="1" si="1076"/>
        <v>'0'!A45</v>
      </c>
      <c r="K3822" s="15" t="str">
        <f t="shared" ca="1" si="1077"/>
        <v>'0'!B45</v>
      </c>
    </row>
    <row r="3823" spans="1:11" x14ac:dyDescent="0.25">
      <c r="A3823" s="3" t="str">
        <f t="shared" ca="1" si="1078"/>
        <v/>
      </c>
      <c r="G3823" s="15">
        <f t="shared" ca="1" si="1064"/>
        <v>46</v>
      </c>
      <c r="H3823" s="15">
        <v>1</v>
      </c>
      <c r="I3823" s="15">
        <f t="shared" ca="1" si="1065"/>
        <v>0</v>
      </c>
      <c r="J3823" s="15" t="str">
        <f t="shared" ca="1" si="1076"/>
        <v>'0'!A46</v>
      </c>
      <c r="K3823" s="15" t="str">
        <f t="shared" ca="1" si="1077"/>
        <v>'0'!B46</v>
      </c>
    </row>
    <row r="3824" spans="1:11" x14ac:dyDescent="0.25">
      <c r="A3824" s="3" t="str">
        <f t="shared" ca="1" si="1078"/>
        <v/>
      </c>
      <c r="G3824" s="15">
        <f t="shared" ca="1" si="1064"/>
        <v>47</v>
      </c>
      <c r="H3824" s="15">
        <v>1</v>
      </c>
      <c r="I3824" s="15">
        <f t="shared" ca="1" si="1065"/>
        <v>0</v>
      </c>
      <c r="J3824" s="15" t="str">
        <f t="shared" ca="1" si="1076"/>
        <v>'0'!A47</v>
      </c>
      <c r="K3824" s="15" t="str">
        <f t="shared" ca="1" si="1077"/>
        <v>'0'!B47</v>
      </c>
    </row>
    <row r="3825" spans="1:16" x14ac:dyDescent="0.25">
      <c r="A3825" s="3" t="str">
        <f t="shared" ca="1" si="1078"/>
        <v/>
      </c>
      <c r="G3825" s="15">
        <f t="shared" ca="1" si="1064"/>
        <v>48</v>
      </c>
      <c r="H3825" s="15">
        <v>1</v>
      </c>
      <c r="I3825" s="15">
        <f t="shared" ca="1" si="1065"/>
        <v>0</v>
      </c>
      <c r="J3825" s="15" t="str">
        <f t="shared" ca="1" si="1076"/>
        <v>'0'!A48</v>
      </c>
      <c r="K3825" s="15" t="str">
        <f t="shared" ca="1" si="1077"/>
        <v>'0'!B48</v>
      </c>
    </row>
    <row r="3826" spans="1:16" x14ac:dyDescent="0.25">
      <c r="A3826" s="3" t="str">
        <f t="shared" ca="1" si="1078"/>
        <v/>
      </c>
      <c r="G3826" s="15">
        <f t="shared" ca="1" si="1064"/>
        <v>49</v>
      </c>
      <c r="H3826" s="15">
        <v>1</v>
      </c>
      <c r="I3826" s="15">
        <f t="shared" ca="1" si="1065"/>
        <v>0</v>
      </c>
      <c r="J3826" s="15" t="str">
        <f t="shared" ca="1" si="1076"/>
        <v>'0'!A49</v>
      </c>
      <c r="K3826" s="15" t="str">
        <f t="shared" ca="1" si="1077"/>
        <v>'0'!B49</v>
      </c>
    </row>
    <row r="3827" spans="1:16" x14ac:dyDescent="0.25">
      <c r="A3827" s="3" t="str">
        <f t="shared" ca="1" si="1078"/>
        <v/>
      </c>
      <c r="G3827" s="15">
        <f t="shared" ca="1" si="1064"/>
        <v>50</v>
      </c>
      <c r="H3827" s="15">
        <v>1</v>
      </c>
      <c r="I3827" s="15">
        <f t="shared" ca="1" si="1065"/>
        <v>0</v>
      </c>
      <c r="J3827" s="15" t="str">
        <f t="shared" ca="1" si="1076"/>
        <v>'0'!A50</v>
      </c>
      <c r="K3827" s="15" t="str">
        <f t="shared" ca="1" si="1077"/>
        <v>'0'!B50</v>
      </c>
    </row>
    <row r="3828" spans="1:16" x14ac:dyDescent="0.25">
      <c r="A3828" s="3" t="str">
        <f t="shared" ca="1" si="1078"/>
        <v/>
      </c>
      <c r="G3828" s="15">
        <f t="shared" ref="G3828" ca="1" si="1079">INDIRECT(M3828)</f>
        <v>31</v>
      </c>
      <c r="H3828" s="15">
        <v>1</v>
      </c>
      <c r="I3828" s="15">
        <f t="shared" ref="I3828" ca="1" si="1080">INDIRECT(N3828)</f>
        <v>0</v>
      </c>
      <c r="J3828" s="15" t="str">
        <f t="shared" ca="1" si="1076"/>
        <v>'0'!A31</v>
      </c>
      <c r="K3828" s="15" t="str">
        <f t="shared" ca="1" si="1077"/>
        <v>'0'!B31</v>
      </c>
      <c r="M3828" s="15" t="str">
        <f t="shared" ref="M3828" si="1081">ADDRESS(O3828,3,4,1,$R$1)</f>
        <v>konfig!C193</v>
      </c>
      <c r="N3828" s="15" t="str">
        <f t="shared" ref="N3828" si="1082">ADDRESS(O3828,1,4,1,$R$1)</f>
        <v>konfig!A193</v>
      </c>
      <c r="O3828" s="15">
        <v>193</v>
      </c>
      <c r="P3828" s="15">
        <v>4</v>
      </c>
    </row>
    <row r="3829" spans="1:16" x14ac:dyDescent="0.25">
      <c r="A3829" s="3" t="str">
        <f t="shared" ca="1" si="1078"/>
        <v/>
      </c>
      <c r="G3829" s="15">
        <f t="shared" ca="1" si="1070"/>
        <v>32</v>
      </c>
      <c r="H3829" s="15">
        <v>1</v>
      </c>
      <c r="I3829" s="15">
        <f t="shared" ca="1" si="1071"/>
        <v>0</v>
      </c>
      <c r="J3829" s="15" t="str">
        <f t="shared" ca="1" si="1076"/>
        <v>'0'!A32</v>
      </c>
      <c r="K3829" s="15" t="str">
        <f t="shared" ca="1" si="1077"/>
        <v>'0'!B32</v>
      </c>
    </row>
    <row r="3830" spans="1:16" x14ac:dyDescent="0.25">
      <c r="A3830" s="3" t="str">
        <f t="shared" ca="1" si="1078"/>
        <v/>
      </c>
      <c r="G3830" s="15">
        <f t="shared" ca="1" si="1064"/>
        <v>33</v>
      </c>
      <c r="H3830" s="15">
        <v>1</v>
      </c>
      <c r="I3830" s="15">
        <f t="shared" ca="1" si="1065"/>
        <v>0</v>
      </c>
      <c r="J3830" s="15" t="str">
        <f t="shared" ca="1" si="1076"/>
        <v>'0'!A33</v>
      </c>
      <c r="K3830" s="15" t="str">
        <f t="shared" ca="1" si="1077"/>
        <v>'0'!B33</v>
      </c>
    </row>
    <row r="3831" spans="1:16" x14ac:dyDescent="0.25">
      <c r="A3831" s="3" t="str">
        <f t="shared" ca="1" si="1078"/>
        <v/>
      </c>
      <c r="C3831" s="16"/>
      <c r="G3831" s="15">
        <f t="shared" ca="1" si="1064"/>
        <v>34</v>
      </c>
      <c r="H3831" s="15">
        <v>1</v>
      </c>
      <c r="I3831" s="15">
        <f t="shared" ca="1" si="1065"/>
        <v>0</v>
      </c>
      <c r="J3831" s="15" t="str">
        <f t="shared" ca="1" si="1076"/>
        <v>'0'!A34</v>
      </c>
      <c r="K3831" s="15" t="str">
        <f t="shared" ca="1" si="1077"/>
        <v>'0'!B34</v>
      </c>
    </row>
    <row r="3832" spans="1:16" x14ac:dyDescent="0.25">
      <c r="A3832" s="3" t="str">
        <f t="shared" ca="1" si="1078"/>
        <v/>
      </c>
      <c r="G3832" s="15">
        <f t="shared" ca="1" si="1064"/>
        <v>35</v>
      </c>
      <c r="H3832" s="15">
        <v>1</v>
      </c>
      <c r="I3832" s="15">
        <f t="shared" ca="1" si="1065"/>
        <v>0</v>
      </c>
      <c r="J3832" s="15" t="str">
        <f t="shared" ca="1" si="1076"/>
        <v>'0'!A35</v>
      </c>
      <c r="K3832" s="15" t="str">
        <f t="shared" ca="1" si="1077"/>
        <v>'0'!B35</v>
      </c>
    </row>
    <row r="3833" spans="1:16" x14ac:dyDescent="0.25">
      <c r="A3833" s="3" t="str">
        <f t="shared" ca="1" si="1078"/>
        <v/>
      </c>
      <c r="G3833" s="15">
        <f t="shared" ca="1" si="1064"/>
        <v>36</v>
      </c>
      <c r="H3833" s="15">
        <v>1</v>
      </c>
      <c r="I3833" s="15">
        <f t="shared" ca="1" si="1065"/>
        <v>0</v>
      </c>
      <c r="J3833" s="15" t="str">
        <f t="shared" ca="1" si="1076"/>
        <v>'0'!A36</v>
      </c>
      <c r="K3833" s="15" t="str">
        <f t="shared" ca="1" si="1077"/>
        <v>'0'!B36</v>
      </c>
    </row>
    <row r="3834" spans="1:16" x14ac:dyDescent="0.25">
      <c r="A3834" s="3" t="str">
        <f t="shared" ca="1" si="1078"/>
        <v/>
      </c>
      <c r="G3834" s="15">
        <f t="shared" ca="1" si="1064"/>
        <v>37</v>
      </c>
      <c r="H3834" s="15">
        <v>1</v>
      </c>
      <c r="I3834" s="15">
        <f t="shared" ca="1" si="1065"/>
        <v>0</v>
      </c>
      <c r="J3834" s="15" t="str">
        <f t="shared" ca="1" si="1076"/>
        <v>'0'!A37</v>
      </c>
      <c r="K3834" s="15" t="str">
        <f t="shared" ca="1" si="1077"/>
        <v>'0'!B37</v>
      </c>
    </row>
    <row r="3835" spans="1:16" x14ac:dyDescent="0.25">
      <c r="A3835" s="3" t="str">
        <f t="shared" ca="1" si="1078"/>
        <v/>
      </c>
      <c r="G3835" s="15">
        <f t="shared" ca="1" si="1064"/>
        <v>38</v>
      </c>
      <c r="H3835" s="15">
        <v>1</v>
      </c>
      <c r="I3835" s="15">
        <f t="shared" ca="1" si="1065"/>
        <v>0</v>
      </c>
      <c r="J3835" s="15" t="str">
        <f t="shared" ca="1" si="1076"/>
        <v>'0'!A38</v>
      </c>
      <c r="K3835" s="15" t="str">
        <f t="shared" ca="1" si="1077"/>
        <v>'0'!B38</v>
      </c>
    </row>
    <row r="3836" spans="1:16" x14ac:dyDescent="0.25">
      <c r="A3836" s="3" t="str">
        <f t="shared" ca="1" si="1078"/>
        <v/>
      </c>
      <c r="G3836" s="15">
        <f t="shared" ca="1" si="1064"/>
        <v>39</v>
      </c>
      <c r="H3836" s="15">
        <v>1</v>
      </c>
      <c r="I3836" s="15">
        <f t="shared" ca="1" si="1065"/>
        <v>0</v>
      </c>
      <c r="J3836" s="15" t="str">
        <f t="shared" ca="1" si="1076"/>
        <v>'0'!A39</v>
      </c>
      <c r="K3836" s="15" t="str">
        <f t="shared" ca="1" si="1077"/>
        <v>'0'!B39</v>
      </c>
    </row>
    <row r="3837" spans="1:16" x14ac:dyDescent="0.25">
      <c r="A3837" s="3" t="str">
        <f t="shared" ca="1" si="1078"/>
        <v/>
      </c>
      <c r="G3837" s="15">
        <f t="shared" ca="1" si="1064"/>
        <v>40</v>
      </c>
      <c r="H3837" s="15">
        <v>1</v>
      </c>
      <c r="I3837" s="15">
        <f t="shared" ca="1" si="1065"/>
        <v>0</v>
      </c>
      <c r="J3837" s="15" t="str">
        <f t="shared" ca="1" si="1076"/>
        <v>'0'!A40</v>
      </c>
      <c r="K3837" s="15" t="str">
        <f t="shared" ca="1" si="1077"/>
        <v>'0'!B40</v>
      </c>
    </row>
    <row r="3838" spans="1:16" x14ac:dyDescent="0.25">
      <c r="A3838" s="3" t="str">
        <f t="shared" ca="1" si="1078"/>
        <v/>
      </c>
      <c r="G3838" s="15">
        <f t="shared" ca="1" si="1064"/>
        <v>41</v>
      </c>
      <c r="H3838" s="15">
        <v>1</v>
      </c>
      <c r="I3838" s="15">
        <f t="shared" ca="1" si="1065"/>
        <v>0</v>
      </c>
      <c r="J3838" s="15" t="str">
        <f t="shared" ca="1" si="1076"/>
        <v>'0'!A41</v>
      </c>
      <c r="K3838" s="15" t="str">
        <f t="shared" ca="1" si="1077"/>
        <v>'0'!B41</v>
      </c>
    </row>
    <row r="3839" spans="1:16" x14ac:dyDescent="0.25">
      <c r="A3839" s="3" t="str">
        <f t="shared" ca="1" si="1078"/>
        <v/>
      </c>
      <c r="C3839" s="16"/>
      <c r="G3839" s="15">
        <f t="shared" ca="1" si="1064"/>
        <v>42</v>
      </c>
      <c r="H3839" s="15">
        <v>1</v>
      </c>
      <c r="I3839" s="15">
        <f t="shared" ca="1" si="1065"/>
        <v>0</v>
      </c>
      <c r="J3839" s="15" t="str">
        <f t="shared" ca="1" si="1076"/>
        <v>'0'!A42</v>
      </c>
      <c r="K3839" s="15" t="str">
        <f t="shared" ca="1" si="1077"/>
        <v>'0'!B42</v>
      </c>
    </row>
    <row r="3840" spans="1:16" x14ac:dyDescent="0.25">
      <c r="A3840" s="3" t="str">
        <f t="shared" ca="1" si="1078"/>
        <v/>
      </c>
      <c r="G3840" s="15">
        <f t="shared" ca="1" si="1064"/>
        <v>43</v>
      </c>
      <c r="H3840" s="15">
        <v>1</v>
      </c>
      <c r="I3840" s="15">
        <f t="shared" ca="1" si="1065"/>
        <v>0</v>
      </c>
      <c r="J3840" s="15" t="str">
        <f t="shared" ca="1" si="1076"/>
        <v>'0'!A43</v>
      </c>
      <c r="K3840" s="15" t="str">
        <f t="shared" ca="1" si="1077"/>
        <v>'0'!B43</v>
      </c>
    </row>
    <row r="3841" spans="1:16" x14ac:dyDescent="0.25">
      <c r="A3841" s="3" t="str">
        <f t="shared" ca="1" si="1078"/>
        <v/>
      </c>
      <c r="G3841" s="15">
        <f t="shared" ca="1" si="1064"/>
        <v>44</v>
      </c>
      <c r="H3841" s="15">
        <v>1</v>
      </c>
      <c r="I3841" s="15">
        <f t="shared" ca="1" si="1065"/>
        <v>0</v>
      </c>
      <c r="J3841" s="15" t="str">
        <f t="shared" ca="1" si="1076"/>
        <v>'0'!A44</v>
      </c>
      <c r="K3841" s="15" t="str">
        <f t="shared" ca="1" si="1077"/>
        <v>'0'!B44</v>
      </c>
    </row>
    <row r="3842" spans="1:16" x14ac:dyDescent="0.25">
      <c r="A3842" s="3" t="str">
        <f t="shared" ca="1" si="1078"/>
        <v/>
      </c>
      <c r="G3842" s="15">
        <f t="shared" ca="1" si="1064"/>
        <v>45</v>
      </c>
      <c r="H3842" s="15">
        <v>1</v>
      </c>
      <c r="I3842" s="15">
        <f t="shared" ca="1" si="1065"/>
        <v>0</v>
      </c>
      <c r="J3842" s="15" t="str">
        <f t="shared" ca="1" si="1076"/>
        <v>'0'!A45</v>
      </c>
      <c r="K3842" s="15" t="str">
        <f t="shared" ca="1" si="1077"/>
        <v>'0'!B45</v>
      </c>
    </row>
    <row r="3843" spans="1:16" x14ac:dyDescent="0.25">
      <c r="A3843" s="3" t="str">
        <f t="shared" ca="1" si="1078"/>
        <v/>
      </c>
      <c r="G3843" s="15">
        <f t="shared" ca="1" si="1064"/>
        <v>46</v>
      </c>
      <c r="H3843" s="15">
        <v>1</v>
      </c>
      <c r="I3843" s="15">
        <f t="shared" ca="1" si="1065"/>
        <v>0</v>
      </c>
      <c r="J3843" s="15" t="str">
        <f t="shared" ca="1" si="1076"/>
        <v>'0'!A46</v>
      </c>
      <c r="K3843" s="15" t="str">
        <f t="shared" ca="1" si="1077"/>
        <v>'0'!B46</v>
      </c>
    </row>
    <row r="3844" spans="1:16" x14ac:dyDescent="0.25">
      <c r="A3844" s="3" t="str">
        <f t="shared" ca="1" si="1078"/>
        <v/>
      </c>
      <c r="G3844" s="15">
        <f t="shared" ca="1" si="1064"/>
        <v>47</v>
      </c>
      <c r="H3844" s="15">
        <v>1</v>
      </c>
      <c r="I3844" s="15">
        <f t="shared" ca="1" si="1065"/>
        <v>0</v>
      </c>
      <c r="J3844" s="15" t="str">
        <f t="shared" ca="1" si="1076"/>
        <v>'0'!A47</v>
      </c>
      <c r="K3844" s="15" t="str">
        <f t="shared" ca="1" si="1077"/>
        <v>'0'!B47</v>
      </c>
    </row>
    <row r="3845" spans="1:16" x14ac:dyDescent="0.25">
      <c r="A3845" s="3" t="str">
        <f t="shared" ca="1" si="1078"/>
        <v/>
      </c>
      <c r="G3845" s="15">
        <f t="shared" ca="1" si="1064"/>
        <v>48</v>
      </c>
      <c r="H3845" s="15">
        <v>1</v>
      </c>
      <c r="I3845" s="15">
        <f t="shared" ca="1" si="1065"/>
        <v>0</v>
      </c>
      <c r="J3845" s="15" t="str">
        <f t="shared" ca="1" si="1076"/>
        <v>'0'!A48</v>
      </c>
      <c r="K3845" s="15" t="str">
        <f t="shared" ca="1" si="1077"/>
        <v>'0'!B48</v>
      </c>
    </row>
    <row r="3846" spans="1:16" x14ac:dyDescent="0.25">
      <c r="A3846" s="3" t="str">
        <f t="shared" ca="1" si="1078"/>
        <v/>
      </c>
      <c r="G3846" s="15">
        <f t="shared" ca="1" si="1064"/>
        <v>49</v>
      </c>
      <c r="H3846" s="15">
        <v>1</v>
      </c>
      <c r="I3846" s="15">
        <f t="shared" ca="1" si="1065"/>
        <v>0</v>
      </c>
      <c r="J3846" s="15" t="str">
        <f t="shared" ca="1" si="1076"/>
        <v>'0'!A49</v>
      </c>
      <c r="K3846" s="15" t="str">
        <f t="shared" ca="1" si="1077"/>
        <v>'0'!B49</v>
      </c>
    </row>
    <row r="3847" spans="1:16" x14ac:dyDescent="0.25">
      <c r="A3847" s="3" t="str">
        <f t="shared" ca="1" si="1078"/>
        <v/>
      </c>
      <c r="G3847" s="15">
        <f t="shared" ca="1" si="1064"/>
        <v>50</v>
      </c>
      <c r="H3847" s="15">
        <v>1</v>
      </c>
      <c r="I3847" s="15">
        <f t="shared" ca="1" si="1065"/>
        <v>0</v>
      </c>
      <c r="J3847" s="15" t="str">
        <f t="shared" ca="1" si="1076"/>
        <v>'0'!A50</v>
      </c>
      <c r="K3847" s="15" t="str">
        <f t="shared" ca="1" si="1077"/>
        <v>'0'!B50</v>
      </c>
    </row>
    <row r="3848" spans="1:16" x14ac:dyDescent="0.25">
      <c r="A3848" s="3" t="str">
        <f t="shared" ca="1" si="1078"/>
        <v/>
      </c>
      <c r="G3848" s="15">
        <f t="shared" ref="G3848" ca="1" si="1083">INDIRECT(M3848)</f>
        <v>31</v>
      </c>
      <c r="H3848" s="15">
        <v>1</v>
      </c>
      <c r="I3848" s="15">
        <f t="shared" ref="I3848" ca="1" si="1084">INDIRECT(N3848)</f>
        <v>0</v>
      </c>
      <c r="J3848" s="15" t="str">
        <f t="shared" ca="1" si="1076"/>
        <v>'0'!A31</v>
      </c>
      <c r="K3848" s="15" t="str">
        <f t="shared" ca="1" si="1077"/>
        <v>'0'!B31</v>
      </c>
      <c r="M3848" s="15" t="str">
        <f t="shared" ref="M3848" si="1085">ADDRESS(O3848,3,4,1,$R$1)</f>
        <v>konfig!C194</v>
      </c>
      <c r="N3848" s="15" t="str">
        <f t="shared" ref="N3848" si="1086">ADDRESS(O3848,1,4,1,$R$1)</f>
        <v>konfig!A194</v>
      </c>
      <c r="O3848" s="15">
        <v>194</v>
      </c>
      <c r="P3848" s="15">
        <v>4</v>
      </c>
    </row>
    <row r="3849" spans="1:16" x14ac:dyDescent="0.25">
      <c r="A3849" s="3" t="str">
        <f t="shared" ca="1" si="1078"/>
        <v/>
      </c>
      <c r="G3849" s="15">
        <f t="shared" ref="G3849:G3912" ca="1" si="1087">G3848+1</f>
        <v>32</v>
      </c>
      <c r="H3849" s="15">
        <v>1</v>
      </c>
      <c r="I3849" s="15">
        <f t="shared" ref="I3849:I3912" ca="1" si="1088">I3848</f>
        <v>0</v>
      </c>
      <c r="J3849" s="15" t="str">
        <f t="shared" ca="1" si="1076"/>
        <v>'0'!A32</v>
      </c>
      <c r="K3849" s="15" t="str">
        <f t="shared" ca="1" si="1077"/>
        <v>'0'!B32</v>
      </c>
    </row>
    <row r="3850" spans="1:16" x14ac:dyDescent="0.25">
      <c r="A3850" s="3" t="str">
        <f t="shared" ca="1" si="1078"/>
        <v/>
      </c>
      <c r="G3850" s="15">
        <f t="shared" ca="1" si="1087"/>
        <v>33</v>
      </c>
      <c r="H3850" s="15">
        <v>1</v>
      </c>
      <c r="I3850" s="15">
        <f t="shared" ca="1" si="1088"/>
        <v>0</v>
      </c>
      <c r="J3850" s="15" t="str">
        <f t="shared" ca="1" si="1076"/>
        <v>'0'!A33</v>
      </c>
      <c r="K3850" s="15" t="str">
        <f t="shared" ca="1" si="1077"/>
        <v>'0'!B33</v>
      </c>
    </row>
    <row r="3851" spans="1:16" x14ac:dyDescent="0.25">
      <c r="A3851" s="3" t="str">
        <f t="shared" ca="1" si="1078"/>
        <v/>
      </c>
      <c r="C3851" s="16"/>
      <c r="G3851" s="15">
        <f t="shared" ca="1" si="1087"/>
        <v>34</v>
      </c>
      <c r="H3851" s="15">
        <v>1</v>
      </c>
      <c r="I3851" s="15">
        <f t="shared" ca="1" si="1088"/>
        <v>0</v>
      </c>
      <c r="J3851" s="15" t="str">
        <f t="shared" ca="1" si="1076"/>
        <v>'0'!A34</v>
      </c>
      <c r="K3851" s="15" t="str">
        <f t="shared" ca="1" si="1077"/>
        <v>'0'!B34</v>
      </c>
    </row>
    <row r="3852" spans="1:16" x14ac:dyDescent="0.25">
      <c r="A3852" s="3" t="str">
        <f t="shared" ca="1" si="1078"/>
        <v/>
      </c>
      <c r="G3852" s="15">
        <f t="shared" ca="1" si="1087"/>
        <v>35</v>
      </c>
      <c r="H3852" s="15">
        <v>1</v>
      </c>
      <c r="I3852" s="15">
        <f t="shared" ca="1" si="1088"/>
        <v>0</v>
      </c>
      <c r="J3852" s="15" t="str">
        <f t="shared" ca="1" si="1076"/>
        <v>'0'!A35</v>
      </c>
      <c r="K3852" s="15" t="str">
        <f t="shared" ca="1" si="1077"/>
        <v>'0'!B35</v>
      </c>
    </row>
    <row r="3853" spans="1:16" x14ac:dyDescent="0.25">
      <c r="A3853" s="3" t="str">
        <f t="shared" ca="1" si="1078"/>
        <v/>
      </c>
      <c r="G3853" s="15">
        <f t="shared" ca="1" si="1087"/>
        <v>36</v>
      </c>
      <c r="H3853" s="15">
        <v>1</v>
      </c>
      <c r="I3853" s="15">
        <f t="shared" ca="1" si="1088"/>
        <v>0</v>
      </c>
      <c r="J3853" s="15" t="str">
        <f t="shared" ca="1" si="1076"/>
        <v>'0'!A36</v>
      </c>
      <c r="K3853" s="15" t="str">
        <f t="shared" ca="1" si="1077"/>
        <v>'0'!B36</v>
      </c>
    </row>
    <row r="3854" spans="1:16" x14ac:dyDescent="0.25">
      <c r="A3854" s="3" t="str">
        <f t="shared" ca="1" si="1078"/>
        <v/>
      </c>
      <c r="G3854" s="15">
        <f t="shared" ca="1" si="1087"/>
        <v>37</v>
      </c>
      <c r="H3854" s="15">
        <v>1</v>
      </c>
      <c r="I3854" s="15">
        <f t="shared" ca="1" si="1088"/>
        <v>0</v>
      </c>
      <c r="J3854" s="15" t="str">
        <f t="shared" ca="1" si="1076"/>
        <v>'0'!A37</v>
      </c>
      <c r="K3854" s="15" t="str">
        <f t="shared" ca="1" si="1077"/>
        <v>'0'!B37</v>
      </c>
    </row>
    <row r="3855" spans="1:16" x14ac:dyDescent="0.25">
      <c r="A3855" s="3" t="str">
        <f t="shared" ca="1" si="1078"/>
        <v/>
      </c>
      <c r="G3855" s="15">
        <f t="shared" ca="1" si="1087"/>
        <v>38</v>
      </c>
      <c r="H3855" s="15">
        <v>1</v>
      </c>
      <c r="I3855" s="15">
        <f t="shared" ca="1" si="1088"/>
        <v>0</v>
      </c>
      <c r="J3855" s="15" t="str">
        <f t="shared" ca="1" si="1076"/>
        <v>'0'!A38</v>
      </c>
      <c r="K3855" s="15" t="str">
        <f t="shared" ca="1" si="1077"/>
        <v>'0'!B38</v>
      </c>
    </row>
    <row r="3856" spans="1:16" x14ac:dyDescent="0.25">
      <c r="A3856" s="3" t="str">
        <f t="shared" ca="1" si="1078"/>
        <v/>
      </c>
      <c r="G3856" s="15">
        <f t="shared" ca="1" si="1087"/>
        <v>39</v>
      </c>
      <c r="H3856" s="15">
        <v>1</v>
      </c>
      <c r="I3856" s="15">
        <f t="shared" ca="1" si="1088"/>
        <v>0</v>
      </c>
      <c r="J3856" s="15" t="str">
        <f t="shared" ca="1" si="1076"/>
        <v>'0'!A39</v>
      </c>
      <c r="K3856" s="15" t="str">
        <f t="shared" ca="1" si="1077"/>
        <v>'0'!B39</v>
      </c>
    </row>
    <row r="3857" spans="1:16" x14ac:dyDescent="0.25">
      <c r="A3857" s="3" t="str">
        <f t="shared" ca="1" si="1078"/>
        <v/>
      </c>
      <c r="G3857" s="15">
        <f t="shared" ca="1" si="1087"/>
        <v>40</v>
      </c>
      <c r="H3857" s="15">
        <v>1</v>
      </c>
      <c r="I3857" s="15">
        <f t="shared" ca="1" si="1088"/>
        <v>0</v>
      </c>
      <c r="J3857" s="15" t="str">
        <f t="shared" ca="1" si="1076"/>
        <v>'0'!A40</v>
      </c>
      <c r="K3857" s="15" t="str">
        <f t="shared" ca="1" si="1077"/>
        <v>'0'!B40</v>
      </c>
    </row>
    <row r="3858" spans="1:16" x14ac:dyDescent="0.25">
      <c r="A3858" s="3" t="str">
        <f t="shared" ca="1" si="1078"/>
        <v/>
      </c>
      <c r="G3858" s="15">
        <f t="shared" ca="1" si="1087"/>
        <v>41</v>
      </c>
      <c r="H3858" s="15">
        <v>1</v>
      </c>
      <c r="I3858" s="15">
        <f t="shared" ca="1" si="1088"/>
        <v>0</v>
      </c>
      <c r="J3858" s="15" t="str">
        <f t="shared" ca="1" si="1076"/>
        <v>'0'!A41</v>
      </c>
      <c r="K3858" s="15" t="str">
        <f t="shared" ca="1" si="1077"/>
        <v>'0'!B41</v>
      </c>
    </row>
    <row r="3859" spans="1:16" x14ac:dyDescent="0.25">
      <c r="A3859" s="3" t="str">
        <f t="shared" ca="1" si="1078"/>
        <v/>
      </c>
      <c r="C3859" s="16"/>
      <c r="G3859" s="15">
        <f t="shared" ca="1" si="1087"/>
        <v>42</v>
      </c>
      <c r="H3859" s="15">
        <v>1</v>
      </c>
      <c r="I3859" s="15">
        <f t="shared" ca="1" si="1088"/>
        <v>0</v>
      </c>
      <c r="J3859" s="15" t="str">
        <f t="shared" ca="1" si="1076"/>
        <v>'0'!A42</v>
      </c>
      <c r="K3859" s="15" t="str">
        <f t="shared" ca="1" si="1077"/>
        <v>'0'!B42</v>
      </c>
    </row>
    <row r="3860" spans="1:16" x14ac:dyDescent="0.25">
      <c r="A3860" s="3" t="str">
        <f t="shared" ca="1" si="1078"/>
        <v/>
      </c>
      <c r="G3860" s="15">
        <f t="shared" ca="1" si="1087"/>
        <v>43</v>
      </c>
      <c r="H3860" s="15">
        <v>1</v>
      </c>
      <c r="I3860" s="15">
        <f t="shared" ca="1" si="1088"/>
        <v>0</v>
      </c>
      <c r="J3860" s="15" t="str">
        <f t="shared" ca="1" si="1076"/>
        <v>'0'!A43</v>
      </c>
      <c r="K3860" s="15" t="str">
        <f t="shared" ca="1" si="1077"/>
        <v>'0'!B43</v>
      </c>
    </row>
    <row r="3861" spans="1:16" x14ac:dyDescent="0.25">
      <c r="A3861" s="3" t="str">
        <f t="shared" ca="1" si="1078"/>
        <v/>
      </c>
      <c r="G3861" s="15">
        <f t="shared" ca="1" si="1087"/>
        <v>44</v>
      </c>
      <c r="H3861" s="15">
        <v>1</v>
      </c>
      <c r="I3861" s="15">
        <f t="shared" ca="1" si="1088"/>
        <v>0</v>
      </c>
      <c r="J3861" s="15" t="str">
        <f t="shared" ca="1" si="1076"/>
        <v>'0'!A44</v>
      </c>
      <c r="K3861" s="15" t="str">
        <f t="shared" ca="1" si="1077"/>
        <v>'0'!B44</v>
      </c>
    </row>
    <row r="3862" spans="1:16" x14ac:dyDescent="0.25">
      <c r="A3862" s="3" t="str">
        <f t="shared" ca="1" si="1078"/>
        <v/>
      </c>
      <c r="G3862" s="15">
        <f t="shared" ca="1" si="1087"/>
        <v>45</v>
      </c>
      <c r="H3862" s="15">
        <v>1</v>
      </c>
      <c r="I3862" s="15">
        <f t="shared" ca="1" si="1088"/>
        <v>0</v>
      </c>
      <c r="J3862" s="15" t="str">
        <f t="shared" ca="1" si="1076"/>
        <v>'0'!A45</v>
      </c>
      <c r="K3862" s="15" t="str">
        <f t="shared" ca="1" si="1077"/>
        <v>'0'!B45</v>
      </c>
    </row>
    <row r="3863" spans="1:16" x14ac:dyDescent="0.25">
      <c r="A3863" s="3" t="str">
        <f t="shared" ca="1" si="1078"/>
        <v/>
      </c>
      <c r="G3863" s="15">
        <f t="shared" ca="1" si="1087"/>
        <v>46</v>
      </c>
      <c r="H3863" s="15">
        <v>1</v>
      </c>
      <c r="I3863" s="15">
        <f t="shared" ca="1" si="1088"/>
        <v>0</v>
      </c>
      <c r="J3863" s="15" t="str">
        <f t="shared" ca="1" si="1076"/>
        <v>'0'!A46</v>
      </c>
      <c r="K3863" s="15" t="str">
        <f t="shared" ca="1" si="1077"/>
        <v>'0'!B46</v>
      </c>
    </row>
    <row r="3864" spans="1:16" x14ac:dyDescent="0.25">
      <c r="A3864" s="3" t="str">
        <f t="shared" ca="1" si="1078"/>
        <v/>
      </c>
      <c r="G3864" s="15">
        <f t="shared" ca="1" si="1087"/>
        <v>47</v>
      </c>
      <c r="H3864" s="15">
        <v>1</v>
      </c>
      <c r="I3864" s="15">
        <f t="shared" ca="1" si="1088"/>
        <v>0</v>
      </c>
      <c r="J3864" s="15" t="str">
        <f t="shared" ca="1" si="1076"/>
        <v>'0'!A47</v>
      </c>
      <c r="K3864" s="15" t="str">
        <f t="shared" ca="1" si="1077"/>
        <v>'0'!B47</v>
      </c>
    </row>
    <row r="3865" spans="1:16" x14ac:dyDescent="0.25">
      <c r="A3865" s="3" t="str">
        <f t="shared" ca="1" si="1078"/>
        <v/>
      </c>
      <c r="G3865" s="15">
        <f t="shared" ca="1" si="1087"/>
        <v>48</v>
      </c>
      <c r="H3865" s="15">
        <v>1</v>
      </c>
      <c r="I3865" s="15">
        <f t="shared" ca="1" si="1088"/>
        <v>0</v>
      </c>
      <c r="J3865" s="15" t="str">
        <f t="shared" ca="1" si="1076"/>
        <v>'0'!A48</v>
      </c>
      <c r="K3865" s="15" t="str">
        <f t="shared" ca="1" si="1077"/>
        <v>'0'!B48</v>
      </c>
    </row>
    <row r="3866" spans="1:16" x14ac:dyDescent="0.25">
      <c r="A3866" s="3" t="str">
        <f t="shared" ca="1" si="1078"/>
        <v/>
      </c>
      <c r="G3866" s="15">
        <f t="shared" ca="1" si="1087"/>
        <v>49</v>
      </c>
      <c r="H3866" s="15">
        <v>1</v>
      </c>
      <c r="I3866" s="15">
        <f t="shared" ca="1" si="1088"/>
        <v>0</v>
      </c>
      <c r="J3866" s="15" t="str">
        <f t="shared" ca="1" si="1076"/>
        <v>'0'!A49</v>
      </c>
      <c r="K3866" s="15" t="str">
        <f t="shared" ca="1" si="1077"/>
        <v>'0'!B49</v>
      </c>
    </row>
    <row r="3867" spans="1:16" x14ac:dyDescent="0.25">
      <c r="A3867" s="3" t="str">
        <f t="shared" ca="1" si="1078"/>
        <v/>
      </c>
      <c r="G3867" s="15">
        <f t="shared" ca="1" si="1087"/>
        <v>50</v>
      </c>
      <c r="H3867" s="15">
        <v>1</v>
      </c>
      <c r="I3867" s="15">
        <f t="shared" ca="1" si="1088"/>
        <v>0</v>
      </c>
      <c r="J3867" s="15" t="str">
        <f t="shared" ca="1" si="1076"/>
        <v>'0'!A50</v>
      </c>
      <c r="K3867" s="15" t="str">
        <f t="shared" ca="1" si="1077"/>
        <v>'0'!B50</v>
      </c>
    </row>
    <row r="3868" spans="1:16" x14ac:dyDescent="0.25">
      <c r="A3868" s="3" t="str">
        <f t="shared" ca="1" si="1078"/>
        <v/>
      </c>
      <c r="G3868" s="15">
        <f t="shared" ref="G3868" ca="1" si="1089">INDIRECT(M3868)</f>
        <v>31</v>
      </c>
      <c r="H3868" s="15">
        <v>1</v>
      </c>
      <c r="I3868" s="15">
        <f t="shared" ref="I3868" ca="1" si="1090">INDIRECT(N3868)</f>
        <v>0</v>
      </c>
      <c r="J3868" s="15" t="str">
        <f t="shared" ca="1" si="1076"/>
        <v>'0'!A31</v>
      </c>
      <c r="K3868" s="15" t="str">
        <f t="shared" ca="1" si="1077"/>
        <v>'0'!B31</v>
      </c>
      <c r="M3868" s="15" t="str">
        <f t="shared" ref="M3868" si="1091">ADDRESS(O3868,3,4,1,$R$1)</f>
        <v>konfig!C195</v>
      </c>
      <c r="N3868" s="15" t="str">
        <f t="shared" ref="N3868" si="1092">ADDRESS(O3868,1,4,1,$R$1)</f>
        <v>konfig!A195</v>
      </c>
      <c r="O3868" s="15">
        <v>195</v>
      </c>
      <c r="P3868" s="15">
        <v>4</v>
      </c>
    </row>
    <row r="3869" spans="1:16" x14ac:dyDescent="0.25">
      <c r="A3869" s="3" t="str">
        <f t="shared" ca="1" si="1078"/>
        <v/>
      </c>
      <c r="G3869" s="15">
        <f t="shared" ref="G3869:G3909" ca="1" si="1093">G3868+1</f>
        <v>32</v>
      </c>
      <c r="H3869" s="15">
        <v>1</v>
      </c>
      <c r="I3869" s="15">
        <f t="shared" ref="I3869:I3909" ca="1" si="1094">I3868</f>
        <v>0</v>
      </c>
      <c r="J3869" s="15" t="str">
        <f t="shared" ca="1" si="1076"/>
        <v>'0'!A32</v>
      </c>
      <c r="K3869" s="15" t="str">
        <f t="shared" ca="1" si="1077"/>
        <v>'0'!B32</v>
      </c>
    </row>
    <row r="3870" spans="1:16" x14ac:dyDescent="0.25">
      <c r="A3870" s="3" t="str">
        <f t="shared" ca="1" si="1078"/>
        <v/>
      </c>
      <c r="G3870" s="15">
        <f t="shared" ca="1" si="1087"/>
        <v>33</v>
      </c>
      <c r="H3870" s="15">
        <v>1</v>
      </c>
      <c r="I3870" s="15">
        <f t="shared" ca="1" si="1088"/>
        <v>0</v>
      </c>
      <c r="J3870" s="15" t="str">
        <f t="shared" ca="1" si="1076"/>
        <v>'0'!A33</v>
      </c>
      <c r="K3870" s="15" t="str">
        <f t="shared" ca="1" si="1077"/>
        <v>'0'!B33</v>
      </c>
    </row>
    <row r="3871" spans="1:16" x14ac:dyDescent="0.25">
      <c r="A3871" s="3" t="str">
        <f t="shared" ca="1" si="1078"/>
        <v/>
      </c>
      <c r="C3871" s="16"/>
      <c r="G3871" s="15">
        <f t="shared" ca="1" si="1087"/>
        <v>34</v>
      </c>
      <c r="H3871" s="15">
        <v>1</v>
      </c>
      <c r="I3871" s="15">
        <f t="shared" ca="1" si="1088"/>
        <v>0</v>
      </c>
      <c r="J3871" s="15" t="str">
        <f t="shared" ca="1" si="1076"/>
        <v>'0'!A34</v>
      </c>
      <c r="K3871" s="15" t="str">
        <f t="shared" ca="1" si="1077"/>
        <v>'0'!B34</v>
      </c>
    </row>
    <row r="3872" spans="1:16" x14ac:dyDescent="0.25">
      <c r="A3872" s="3" t="str">
        <f t="shared" ca="1" si="1078"/>
        <v/>
      </c>
      <c r="G3872" s="15">
        <f t="shared" ca="1" si="1087"/>
        <v>35</v>
      </c>
      <c r="H3872" s="15">
        <v>1</v>
      </c>
      <c r="I3872" s="15">
        <f t="shared" ca="1" si="1088"/>
        <v>0</v>
      </c>
      <c r="J3872" s="15" t="str">
        <f t="shared" ca="1" si="1076"/>
        <v>'0'!A35</v>
      </c>
      <c r="K3872" s="15" t="str">
        <f t="shared" ca="1" si="1077"/>
        <v>'0'!B35</v>
      </c>
    </row>
    <row r="3873" spans="1:16" x14ac:dyDescent="0.25">
      <c r="A3873" s="3" t="str">
        <f t="shared" ca="1" si="1078"/>
        <v/>
      </c>
      <c r="G3873" s="15">
        <f t="shared" ca="1" si="1087"/>
        <v>36</v>
      </c>
      <c r="H3873" s="15">
        <v>1</v>
      </c>
      <c r="I3873" s="15">
        <f t="shared" ca="1" si="1088"/>
        <v>0</v>
      </c>
      <c r="J3873" s="15" t="str">
        <f t="shared" ca="1" si="1076"/>
        <v>'0'!A36</v>
      </c>
      <c r="K3873" s="15" t="str">
        <f t="shared" ca="1" si="1077"/>
        <v>'0'!B36</v>
      </c>
    </row>
    <row r="3874" spans="1:16" x14ac:dyDescent="0.25">
      <c r="A3874" s="3" t="str">
        <f t="shared" ca="1" si="1078"/>
        <v/>
      </c>
      <c r="G3874" s="15">
        <f t="shared" ca="1" si="1087"/>
        <v>37</v>
      </c>
      <c r="H3874" s="15">
        <v>1</v>
      </c>
      <c r="I3874" s="15">
        <f t="shared" ca="1" si="1088"/>
        <v>0</v>
      </c>
      <c r="J3874" s="15" t="str">
        <f t="shared" ca="1" si="1076"/>
        <v>'0'!A37</v>
      </c>
      <c r="K3874" s="15" t="str">
        <f t="shared" ca="1" si="1077"/>
        <v>'0'!B37</v>
      </c>
    </row>
    <row r="3875" spans="1:16" x14ac:dyDescent="0.25">
      <c r="A3875" s="3" t="str">
        <f t="shared" ca="1" si="1078"/>
        <v/>
      </c>
      <c r="G3875" s="15">
        <f t="shared" ca="1" si="1087"/>
        <v>38</v>
      </c>
      <c r="H3875" s="15">
        <v>1</v>
      </c>
      <c r="I3875" s="15">
        <f t="shared" ca="1" si="1088"/>
        <v>0</v>
      </c>
      <c r="J3875" s="15" t="str">
        <f t="shared" ca="1" si="1076"/>
        <v>'0'!A38</v>
      </c>
      <c r="K3875" s="15" t="str">
        <f t="shared" ca="1" si="1077"/>
        <v>'0'!B38</v>
      </c>
    </row>
    <row r="3876" spans="1:16" x14ac:dyDescent="0.25">
      <c r="A3876" s="3" t="str">
        <f t="shared" ca="1" si="1078"/>
        <v/>
      </c>
      <c r="G3876" s="15">
        <f t="shared" ca="1" si="1087"/>
        <v>39</v>
      </c>
      <c r="H3876" s="15">
        <v>1</v>
      </c>
      <c r="I3876" s="15">
        <f t="shared" ca="1" si="1088"/>
        <v>0</v>
      </c>
      <c r="J3876" s="15" t="str">
        <f t="shared" ref="J3876:J3939" ca="1" si="1095">ADDRESS(G3876,H3876,4,1,I3876)</f>
        <v>'0'!A39</v>
      </c>
      <c r="K3876" s="15" t="str">
        <f t="shared" ref="K3876:K3939" ca="1" si="1096">ADDRESS(G3876,H3876+1,4,1,I3876)</f>
        <v>'0'!B39</v>
      </c>
    </row>
    <row r="3877" spans="1:16" x14ac:dyDescent="0.25">
      <c r="A3877" s="3" t="str">
        <f t="shared" ca="1" si="1078"/>
        <v/>
      </c>
      <c r="G3877" s="15">
        <f t="shared" ca="1" si="1087"/>
        <v>40</v>
      </c>
      <c r="H3877" s="15">
        <v>1</v>
      </c>
      <c r="I3877" s="15">
        <f t="shared" ca="1" si="1088"/>
        <v>0</v>
      </c>
      <c r="J3877" s="15" t="str">
        <f t="shared" ca="1" si="1095"/>
        <v>'0'!A40</v>
      </c>
      <c r="K3877" s="15" t="str">
        <f t="shared" ca="1" si="1096"/>
        <v>'0'!B40</v>
      </c>
    </row>
    <row r="3878" spans="1:16" x14ac:dyDescent="0.25">
      <c r="A3878" s="3" t="str">
        <f t="shared" ca="1" si="1078"/>
        <v/>
      </c>
      <c r="G3878" s="15">
        <f t="shared" ca="1" si="1087"/>
        <v>41</v>
      </c>
      <c r="H3878" s="15">
        <v>1</v>
      </c>
      <c r="I3878" s="15">
        <f t="shared" ca="1" si="1088"/>
        <v>0</v>
      </c>
      <c r="J3878" s="15" t="str">
        <f t="shared" ca="1" si="1095"/>
        <v>'0'!A41</v>
      </c>
      <c r="K3878" s="15" t="str">
        <f t="shared" ca="1" si="1096"/>
        <v>'0'!B41</v>
      </c>
    </row>
    <row r="3879" spans="1:16" x14ac:dyDescent="0.25">
      <c r="A3879" s="3" t="str">
        <f t="shared" ca="1" si="1078"/>
        <v/>
      </c>
      <c r="C3879" s="16"/>
      <c r="G3879" s="15">
        <f t="shared" ca="1" si="1087"/>
        <v>42</v>
      </c>
      <c r="H3879" s="15">
        <v>1</v>
      </c>
      <c r="I3879" s="15">
        <f t="shared" ca="1" si="1088"/>
        <v>0</v>
      </c>
      <c r="J3879" s="15" t="str">
        <f t="shared" ca="1" si="1095"/>
        <v>'0'!A42</v>
      </c>
      <c r="K3879" s="15" t="str">
        <f t="shared" ca="1" si="1096"/>
        <v>'0'!B42</v>
      </c>
    </row>
    <row r="3880" spans="1:16" x14ac:dyDescent="0.25">
      <c r="A3880" s="3" t="str">
        <f t="shared" ca="1" si="1078"/>
        <v/>
      </c>
      <c r="G3880" s="15">
        <f t="shared" ca="1" si="1087"/>
        <v>43</v>
      </c>
      <c r="H3880" s="15">
        <v>1</v>
      </c>
      <c r="I3880" s="15">
        <f t="shared" ca="1" si="1088"/>
        <v>0</v>
      </c>
      <c r="J3880" s="15" t="str">
        <f t="shared" ca="1" si="1095"/>
        <v>'0'!A43</v>
      </c>
      <c r="K3880" s="15" t="str">
        <f t="shared" ca="1" si="1096"/>
        <v>'0'!B43</v>
      </c>
    </row>
    <row r="3881" spans="1:16" x14ac:dyDescent="0.25">
      <c r="A3881" s="3" t="str">
        <f t="shared" ca="1" si="1078"/>
        <v/>
      </c>
      <c r="G3881" s="15">
        <f t="shared" ca="1" si="1087"/>
        <v>44</v>
      </c>
      <c r="H3881" s="15">
        <v>1</v>
      </c>
      <c r="I3881" s="15">
        <f t="shared" ca="1" si="1088"/>
        <v>0</v>
      </c>
      <c r="J3881" s="15" t="str">
        <f t="shared" ca="1" si="1095"/>
        <v>'0'!A44</v>
      </c>
      <c r="K3881" s="15" t="str">
        <f t="shared" ca="1" si="1096"/>
        <v>'0'!B44</v>
      </c>
    </row>
    <row r="3882" spans="1:16" x14ac:dyDescent="0.25">
      <c r="A3882" s="3" t="str">
        <f t="shared" ca="1" si="1078"/>
        <v/>
      </c>
      <c r="G3882" s="15">
        <f t="shared" ca="1" si="1087"/>
        <v>45</v>
      </c>
      <c r="H3882" s="15">
        <v>1</v>
      </c>
      <c r="I3882" s="15">
        <f t="shared" ca="1" si="1088"/>
        <v>0</v>
      </c>
      <c r="J3882" s="15" t="str">
        <f t="shared" ca="1" si="1095"/>
        <v>'0'!A45</v>
      </c>
      <c r="K3882" s="15" t="str">
        <f t="shared" ca="1" si="1096"/>
        <v>'0'!B45</v>
      </c>
    </row>
    <row r="3883" spans="1:16" x14ac:dyDescent="0.25">
      <c r="A3883" s="3" t="str">
        <f t="shared" ca="1" si="1078"/>
        <v/>
      </c>
      <c r="G3883" s="15">
        <f t="shared" ca="1" si="1087"/>
        <v>46</v>
      </c>
      <c r="H3883" s="15">
        <v>1</v>
      </c>
      <c r="I3883" s="15">
        <f t="shared" ca="1" si="1088"/>
        <v>0</v>
      </c>
      <c r="J3883" s="15" t="str">
        <f t="shared" ca="1" si="1095"/>
        <v>'0'!A46</v>
      </c>
      <c r="K3883" s="15" t="str">
        <f t="shared" ca="1" si="1096"/>
        <v>'0'!B46</v>
      </c>
    </row>
    <row r="3884" spans="1:16" x14ac:dyDescent="0.25">
      <c r="A3884" s="3" t="str">
        <f t="shared" ref="A3884:A3947" ca="1" si="1097">IFERROR(IF(INDIRECT(J3884)&lt;&gt;"",CONCATENATE(INDIRECT(J3884)," = ",INDIRECT(K3884)," "),""),"")</f>
        <v/>
      </c>
      <c r="G3884" s="15">
        <f t="shared" ca="1" si="1087"/>
        <v>47</v>
      </c>
      <c r="H3884" s="15">
        <v>1</v>
      </c>
      <c r="I3884" s="15">
        <f t="shared" ca="1" si="1088"/>
        <v>0</v>
      </c>
      <c r="J3884" s="15" t="str">
        <f t="shared" ca="1" si="1095"/>
        <v>'0'!A47</v>
      </c>
      <c r="K3884" s="15" t="str">
        <f t="shared" ca="1" si="1096"/>
        <v>'0'!B47</v>
      </c>
    </row>
    <row r="3885" spans="1:16" x14ac:dyDescent="0.25">
      <c r="A3885" s="3" t="str">
        <f t="shared" ca="1" si="1097"/>
        <v/>
      </c>
      <c r="G3885" s="15">
        <f t="shared" ca="1" si="1087"/>
        <v>48</v>
      </c>
      <c r="H3885" s="15">
        <v>1</v>
      </c>
      <c r="I3885" s="15">
        <f t="shared" ca="1" si="1088"/>
        <v>0</v>
      </c>
      <c r="J3885" s="15" t="str">
        <f t="shared" ca="1" si="1095"/>
        <v>'0'!A48</v>
      </c>
      <c r="K3885" s="15" t="str">
        <f t="shared" ca="1" si="1096"/>
        <v>'0'!B48</v>
      </c>
    </row>
    <row r="3886" spans="1:16" x14ac:dyDescent="0.25">
      <c r="A3886" s="3" t="str">
        <f t="shared" ca="1" si="1097"/>
        <v/>
      </c>
      <c r="G3886" s="15">
        <f t="shared" ca="1" si="1087"/>
        <v>49</v>
      </c>
      <c r="H3886" s="15">
        <v>1</v>
      </c>
      <c r="I3886" s="15">
        <f t="shared" ca="1" si="1088"/>
        <v>0</v>
      </c>
      <c r="J3886" s="15" t="str">
        <f t="shared" ca="1" si="1095"/>
        <v>'0'!A49</v>
      </c>
      <c r="K3886" s="15" t="str">
        <f t="shared" ca="1" si="1096"/>
        <v>'0'!B49</v>
      </c>
    </row>
    <row r="3887" spans="1:16" x14ac:dyDescent="0.25">
      <c r="A3887" s="3" t="str">
        <f t="shared" ca="1" si="1097"/>
        <v/>
      </c>
      <c r="G3887" s="15">
        <f t="shared" ca="1" si="1087"/>
        <v>50</v>
      </c>
      <c r="H3887" s="15">
        <v>1</v>
      </c>
      <c r="I3887" s="15">
        <f t="shared" ca="1" si="1088"/>
        <v>0</v>
      </c>
      <c r="J3887" s="15" t="str">
        <f t="shared" ca="1" si="1095"/>
        <v>'0'!A50</v>
      </c>
      <c r="K3887" s="15" t="str">
        <f t="shared" ca="1" si="1096"/>
        <v>'0'!B50</v>
      </c>
    </row>
    <row r="3888" spans="1:16" x14ac:dyDescent="0.25">
      <c r="A3888" s="3" t="str">
        <f t="shared" ca="1" si="1097"/>
        <v/>
      </c>
      <c r="G3888" s="15">
        <f t="shared" ref="G3888" ca="1" si="1098">INDIRECT(M3888)</f>
        <v>31</v>
      </c>
      <c r="H3888" s="15">
        <v>1</v>
      </c>
      <c r="I3888" s="15">
        <f t="shared" ref="I3888" ca="1" si="1099">INDIRECT(N3888)</f>
        <v>0</v>
      </c>
      <c r="J3888" s="15" t="str">
        <f t="shared" ca="1" si="1095"/>
        <v>'0'!A31</v>
      </c>
      <c r="K3888" s="15" t="str">
        <f t="shared" ca="1" si="1096"/>
        <v>'0'!B31</v>
      </c>
      <c r="M3888" s="15" t="str">
        <f t="shared" ref="M3888" si="1100">ADDRESS(O3888,3,4,1,$R$1)</f>
        <v>konfig!C196</v>
      </c>
      <c r="N3888" s="15" t="str">
        <f t="shared" ref="N3888" si="1101">ADDRESS(O3888,1,4,1,$R$1)</f>
        <v>konfig!A196</v>
      </c>
      <c r="O3888" s="15">
        <v>196</v>
      </c>
      <c r="P3888" s="15">
        <v>4</v>
      </c>
    </row>
    <row r="3889" spans="1:11" x14ac:dyDescent="0.25">
      <c r="A3889" s="3" t="str">
        <f t="shared" ca="1" si="1097"/>
        <v/>
      </c>
      <c r="G3889" s="15">
        <f t="shared" ca="1" si="1087"/>
        <v>32</v>
      </c>
      <c r="H3889" s="15">
        <v>1</v>
      </c>
      <c r="I3889" s="15">
        <f t="shared" ca="1" si="1088"/>
        <v>0</v>
      </c>
      <c r="J3889" s="15" t="str">
        <f t="shared" ca="1" si="1095"/>
        <v>'0'!A32</v>
      </c>
      <c r="K3889" s="15" t="str">
        <f t="shared" ca="1" si="1096"/>
        <v>'0'!B32</v>
      </c>
    </row>
    <row r="3890" spans="1:11" x14ac:dyDescent="0.25">
      <c r="A3890" s="3" t="str">
        <f t="shared" ca="1" si="1097"/>
        <v/>
      </c>
      <c r="G3890" s="15">
        <f t="shared" ca="1" si="1087"/>
        <v>33</v>
      </c>
      <c r="H3890" s="15">
        <v>1</v>
      </c>
      <c r="I3890" s="15">
        <f t="shared" ca="1" si="1088"/>
        <v>0</v>
      </c>
      <c r="J3890" s="15" t="str">
        <f t="shared" ca="1" si="1095"/>
        <v>'0'!A33</v>
      </c>
      <c r="K3890" s="15" t="str">
        <f t="shared" ca="1" si="1096"/>
        <v>'0'!B33</v>
      </c>
    </row>
    <row r="3891" spans="1:11" x14ac:dyDescent="0.25">
      <c r="A3891" s="3" t="str">
        <f t="shared" ca="1" si="1097"/>
        <v/>
      </c>
      <c r="C3891" s="16"/>
      <c r="G3891" s="15">
        <f t="shared" ca="1" si="1087"/>
        <v>34</v>
      </c>
      <c r="H3891" s="15">
        <v>1</v>
      </c>
      <c r="I3891" s="15">
        <f t="shared" ca="1" si="1088"/>
        <v>0</v>
      </c>
      <c r="J3891" s="15" t="str">
        <f t="shared" ca="1" si="1095"/>
        <v>'0'!A34</v>
      </c>
      <c r="K3891" s="15" t="str">
        <f t="shared" ca="1" si="1096"/>
        <v>'0'!B34</v>
      </c>
    </row>
    <row r="3892" spans="1:11" x14ac:dyDescent="0.25">
      <c r="A3892" s="3" t="str">
        <f t="shared" ca="1" si="1097"/>
        <v/>
      </c>
      <c r="G3892" s="15">
        <f t="shared" ca="1" si="1087"/>
        <v>35</v>
      </c>
      <c r="H3892" s="15">
        <v>1</v>
      </c>
      <c r="I3892" s="15">
        <f t="shared" ca="1" si="1088"/>
        <v>0</v>
      </c>
      <c r="J3892" s="15" t="str">
        <f t="shared" ca="1" si="1095"/>
        <v>'0'!A35</v>
      </c>
      <c r="K3892" s="15" t="str">
        <f t="shared" ca="1" si="1096"/>
        <v>'0'!B35</v>
      </c>
    </row>
    <row r="3893" spans="1:11" x14ac:dyDescent="0.25">
      <c r="A3893" s="3" t="str">
        <f t="shared" ca="1" si="1097"/>
        <v/>
      </c>
      <c r="G3893" s="15">
        <f t="shared" ca="1" si="1087"/>
        <v>36</v>
      </c>
      <c r="H3893" s="15">
        <v>1</v>
      </c>
      <c r="I3893" s="15">
        <f t="shared" ca="1" si="1088"/>
        <v>0</v>
      </c>
      <c r="J3893" s="15" t="str">
        <f t="shared" ca="1" si="1095"/>
        <v>'0'!A36</v>
      </c>
      <c r="K3893" s="15" t="str">
        <f t="shared" ca="1" si="1096"/>
        <v>'0'!B36</v>
      </c>
    </row>
    <row r="3894" spans="1:11" x14ac:dyDescent="0.25">
      <c r="A3894" s="3" t="str">
        <f t="shared" ca="1" si="1097"/>
        <v/>
      </c>
      <c r="G3894" s="15">
        <f t="shared" ca="1" si="1087"/>
        <v>37</v>
      </c>
      <c r="H3894" s="15">
        <v>1</v>
      </c>
      <c r="I3894" s="15">
        <f t="shared" ca="1" si="1088"/>
        <v>0</v>
      </c>
      <c r="J3894" s="15" t="str">
        <f t="shared" ca="1" si="1095"/>
        <v>'0'!A37</v>
      </c>
      <c r="K3894" s="15" t="str">
        <f t="shared" ca="1" si="1096"/>
        <v>'0'!B37</v>
      </c>
    </row>
    <row r="3895" spans="1:11" x14ac:dyDescent="0.25">
      <c r="A3895" s="3" t="str">
        <f t="shared" ca="1" si="1097"/>
        <v/>
      </c>
      <c r="G3895" s="15">
        <f t="shared" ca="1" si="1087"/>
        <v>38</v>
      </c>
      <c r="H3895" s="15">
        <v>1</v>
      </c>
      <c r="I3895" s="15">
        <f t="shared" ca="1" si="1088"/>
        <v>0</v>
      </c>
      <c r="J3895" s="15" t="str">
        <f t="shared" ca="1" si="1095"/>
        <v>'0'!A38</v>
      </c>
      <c r="K3895" s="15" t="str">
        <f t="shared" ca="1" si="1096"/>
        <v>'0'!B38</v>
      </c>
    </row>
    <row r="3896" spans="1:11" x14ac:dyDescent="0.25">
      <c r="A3896" s="3" t="str">
        <f t="shared" ca="1" si="1097"/>
        <v/>
      </c>
      <c r="G3896" s="15">
        <f t="shared" ca="1" si="1087"/>
        <v>39</v>
      </c>
      <c r="H3896" s="15">
        <v>1</v>
      </c>
      <c r="I3896" s="15">
        <f t="shared" ca="1" si="1088"/>
        <v>0</v>
      </c>
      <c r="J3896" s="15" t="str">
        <f t="shared" ca="1" si="1095"/>
        <v>'0'!A39</v>
      </c>
      <c r="K3896" s="15" t="str">
        <f t="shared" ca="1" si="1096"/>
        <v>'0'!B39</v>
      </c>
    </row>
    <row r="3897" spans="1:11" x14ac:dyDescent="0.25">
      <c r="A3897" s="3" t="str">
        <f t="shared" ca="1" si="1097"/>
        <v/>
      </c>
      <c r="G3897" s="15">
        <f t="shared" ca="1" si="1087"/>
        <v>40</v>
      </c>
      <c r="H3897" s="15">
        <v>1</v>
      </c>
      <c r="I3897" s="15">
        <f t="shared" ca="1" si="1088"/>
        <v>0</v>
      </c>
      <c r="J3897" s="15" t="str">
        <f t="shared" ca="1" si="1095"/>
        <v>'0'!A40</v>
      </c>
      <c r="K3897" s="15" t="str">
        <f t="shared" ca="1" si="1096"/>
        <v>'0'!B40</v>
      </c>
    </row>
    <row r="3898" spans="1:11" x14ac:dyDescent="0.25">
      <c r="A3898" s="3" t="str">
        <f t="shared" ca="1" si="1097"/>
        <v/>
      </c>
      <c r="G3898" s="15">
        <f t="shared" ca="1" si="1087"/>
        <v>41</v>
      </c>
      <c r="H3898" s="15">
        <v>1</v>
      </c>
      <c r="I3898" s="15">
        <f t="shared" ca="1" si="1088"/>
        <v>0</v>
      </c>
      <c r="J3898" s="15" t="str">
        <f t="shared" ca="1" si="1095"/>
        <v>'0'!A41</v>
      </c>
      <c r="K3898" s="15" t="str">
        <f t="shared" ca="1" si="1096"/>
        <v>'0'!B41</v>
      </c>
    </row>
    <row r="3899" spans="1:11" x14ac:dyDescent="0.25">
      <c r="A3899" s="3" t="str">
        <f t="shared" ca="1" si="1097"/>
        <v/>
      </c>
      <c r="C3899" s="16"/>
      <c r="G3899" s="15">
        <f t="shared" ca="1" si="1087"/>
        <v>42</v>
      </c>
      <c r="H3899" s="15">
        <v>1</v>
      </c>
      <c r="I3899" s="15">
        <f t="shared" ca="1" si="1088"/>
        <v>0</v>
      </c>
      <c r="J3899" s="15" t="str">
        <f t="shared" ca="1" si="1095"/>
        <v>'0'!A42</v>
      </c>
      <c r="K3899" s="15" t="str">
        <f t="shared" ca="1" si="1096"/>
        <v>'0'!B42</v>
      </c>
    </row>
    <row r="3900" spans="1:11" x14ac:dyDescent="0.25">
      <c r="A3900" s="3" t="str">
        <f t="shared" ca="1" si="1097"/>
        <v/>
      </c>
      <c r="G3900" s="15">
        <f t="shared" ca="1" si="1087"/>
        <v>43</v>
      </c>
      <c r="H3900" s="15">
        <v>1</v>
      </c>
      <c r="I3900" s="15">
        <f t="shared" ca="1" si="1088"/>
        <v>0</v>
      </c>
      <c r="J3900" s="15" t="str">
        <f t="shared" ca="1" si="1095"/>
        <v>'0'!A43</v>
      </c>
      <c r="K3900" s="15" t="str">
        <f t="shared" ca="1" si="1096"/>
        <v>'0'!B43</v>
      </c>
    </row>
    <row r="3901" spans="1:11" x14ac:dyDescent="0.25">
      <c r="A3901" s="3" t="str">
        <f t="shared" ca="1" si="1097"/>
        <v/>
      </c>
      <c r="G3901" s="15">
        <f t="shared" ca="1" si="1087"/>
        <v>44</v>
      </c>
      <c r="H3901" s="15">
        <v>1</v>
      </c>
      <c r="I3901" s="15">
        <f t="shared" ca="1" si="1088"/>
        <v>0</v>
      </c>
      <c r="J3901" s="15" t="str">
        <f t="shared" ca="1" si="1095"/>
        <v>'0'!A44</v>
      </c>
      <c r="K3901" s="15" t="str">
        <f t="shared" ca="1" si="1096"/>
        <v>'0'!B44</v>
      </c>
    </row>
    <row r="3902" spans="1:11" x14ac:dyDescent="0.25">
      <c r="A3902" s="3" t="str">
        <f t="shared" ca="1" si="1097"/>
        <v/>
      </c>
      <c r="G3902" s="15">
        <f t="shared" ca="1" si="1087"/>
        <v>45</v>
      </c>
      <c r="H3902" s="15">
        <v>1</v>
      </c>
      <c r="I3902" s="15">
        <f t="shared" ca="1" si="1088"/>
        <v>0</v>
      </c>
      <c r="J3902" s="15" t="str">
        <f t="shared" ca="1" si="1095"/>
        <v>'0'!A45</v>
      </c>
      <c r="K3902" s="15" t="str">
        <f t="shared" ca="1" si="1096"/>
        <v>'0'!B45</v>
      </c>
    </row>
    <row r="3903" spans="1:11" x14ac:dyDescent="0.25">
      <c r="A3903" s="3" t="str">
        <f t="shared" ca="1" si="1097"/>
        <v/>
      </c>
      <c r="G3903" s="15">
        <f t="shared" ca="1" si="1087"/>
        <v>46</v>
      </c>
      <c r="H3903" s="15">
        <v>1</v>
      </c>
      <c r="I3903" s="15">
        <f t="shared" ca="1" si="1088"/>
        <v>0</v>
      </c>
      <c r="J3903" s="15" t="str">
        <f t="shared" ca="1" si="1095"/>
        <v>'0'!A46</v>
      </c>
      <c r="K3903" s="15" t="str">
        <f t="shared" ca="1" si="1096"/>
        <v>'0'!B46</v>
      </c>
    </row>
    <row r="3904" spans="1:11" x14ac:dyDescent="0.25">
      <c r="A3904" s="3" t="str">
        <f t="shared" ca="1" si="1097"/>
        <v/>
      </c>
      <c r="G3904" s="15">
        <f t="shared" ca="1" si="1087"/>
        <v>47</v>
      </c>
      <c r="H3904" s="15">
        <v>1</v>
      </c>
      <c r="I3904" s="15">
        <f t="shared" ca="1" si="1088"/>
        <v>0</v>
      </c>
      <c r="J3904" s="15" t="str">
        <f t="shared" ca="1" si="1095"/>
        <v>'0'!A47</v>
      </c>
      <c r="K3904" s="15" t="str">
        <f t="shared" ca="1" si="1096"/>
        <v>'0'!B47</v>
      </c>
    </row>
    <row r="3905" spans="1:16" x14ac:dyDescent="0.25">
      <c r="A3905" s="3" t="str">
        <f t="shared" ca="1" si="1097"/>
        <v/>
      </c>
      <c r="G3905" s="15">
        <f t="shared" ca="1" si="1087"/>
        <v>48</v>
      </c>
      <c r="H3905" s="15">
        <v>1</v>
      </c>
      <c r="I3905" s="15">
        <f t="shared" ca="1" si="1088"/>
        <v>0</v>
      </c>
      <c r="J3905" s="15" t="str">
        <f t="shared" ca="1" si="1095"/>
        <v>'0'!A48</v>
      </c>
      <c r="K3905" s="15" t="str">
        <f t="shared" ca="1" si="1096"/>
        <v>'0'!B48</v>
      </c>
    </row>
    <row r="3906" spans="1:16" x14ac:dyDescent="0.25">
      <c r="A3906" s="3" t="str">
        <f t="shared" ca="1" si="1097"/>
        <v/>
      </c>
      <c r="G3906" s="15">
        <f t="shared" ca="1" si="1087"/>
        <v>49</v>
      </c>
      <c r="H3906" s="15">
        <v>1</v>
      </c>
      <c r="I3906" s="15">
        <f t="shared" ca="1" si="1088"/>
        <v>0</v>
      </c>
      <c r="J3906" s="15" t="str">
        <f t="shared" ca="1" si="1095"/>
        <v>'0'!A49</v>
      </c>
      <c r="K3906" s="15" t="str">
        <f t="shared" ca="1" si="1096"/>
        <v>'0'!B49</v>
      </c>
    </row>
    <row r="3907" spans="1:16" x14ac:dyDescent="0.25">
      <c r="A3907" s="3" t="str">
        <f t="shared" ca="1" si="1097"/>
        <v/>
      </c>
      <c r="G3907" s="15">
        <f t="shared" ca="1" si="1087"/>
        <v>50</v>
      </c>
      <c r="H3907" s="15">
        <v>1</v>
      </c>
      <c r="I3907" s="15">
        <f t="shared" ca="1" si="1088"/>
        <v>0</v>
      </c>
      <c r="J3907" s="15" t="str">
        <f t="shared" ca="1" si="1095"/>
        <v>'0'!A50</v>
      </c>
      <c r="K3907" s="15" t="str">
        <f t="shared" ca="1" si="1096"/>
        <v>'0'!B50</v>
      </c>
    </row>
    <row r="3908" spans="1:16" x14ac:dyDescent="0.25">
      <c r="A3908" s="3" t="str">
        <f t="shared" ca="1" si="1097"/>
        <v/>
      </c>
      <c r="G3908" s="15">
        <f t="shared" ref="G3908" ca="1" si="1102">INDIRECT(M3908)</f>
        <v>31</v>
      </c>
      <c r="H3908" s="15">
        <v>1</v>
      </c>
      <c r="I3908" s="15">
        <f t="shared" ref="I3908" ca="1" si="1103">INDIRECT(N3908)</f>
        <v>0</v>
      </c>
      <c r="J3908" s="15" t="str">
        <f t="shared" ca="1" si="1095"/>
        <v>'0'!A31</v>
      </c>
      <c r="K3908" s="15" t="str">
        <f t="shared" ca="1" si="1096"/>
        <v>'0'!B31</v>
      </c>
      <c r="M3908" s="15" t="str">
        <f t="shared" ref="M3908" si="1104">ADDRESS(O3908,3,4,1,$R$1)</f>
        <v>konfig!C197</v>
      </c>
      <c r="N3908" s="15" t="str">
        <f t="shared" ref="N3908" si="1105">ADDRESS(O3908,1,4,1,$R$1)</f>
        <v>konfig!A197</v>
      </c>
      <c r="O3908" s="15">
        <v>197</v>
      </c>
      <c r="P3908" s="15">
        <v>4</v>
      </c>
    </row>
    <row r="3909" spans="1:16" x14ac:dyDescent="0.25">
      <c r="A3909" s="3" t="str">
        <f t="shared" ca="1" si="1097"/>
        <v/>
      </c>
      <c r="G3909" s="15">
        <f t="shared" ca="1" si="1093"/>
        <v>32</v>
      </c>
      <c r="H3909" s="15">
        <v>1</v>
      </c>
      <c r="I3909" s="15">
        <f t="shared" ca="1" si="1094"/>
        <v>0</v>
      </c>
      <c r="J3909" s="15" t="str">
        <f t="shared" ca="1" si="1095"/>
        <v>'0'!A32</v>
      </c>
      <c r="K3909" s="15" t="str">
        <f t="shared" ca="1" si="1096"/>
        <v>'0'!B32</v>
      </c>
    </row>
    <row r="3910" spans="1:16" x14ac:dyDescent="0.25">
      <c r="A3910" s="3" t="str">
        <f t="shared" ca="1" si="1097"/>
        <v/>
      </c>
      <c r="G3910" s="15">
        <f t="shared" ca="1" si="1087"/>
        <v>33</v>
      </c>
      <c r="H3910" s="15">
        <v>1</v>
      </c>
      <c r="I3910" s="15">
        <f t="shared" ca="1" si="1088"/>
        <v>0</v>
      </c>
      <c r="J3910" s="15" t="str">
        <f t="shared" ca="1" si="1095"/>
        <v>'0'!A33</v>
      </c>
      <c r="K3910" s="15" t="str">
        <f t="shared" ca="1" si="1096"/>
        <v>'0'!B33</v>
      </c>
    </row>
    <row r="3911" spans="1:16" x14ac:dyDescent="0.25">
      <c r="A3911" s="3" t="str">
        <f t="shared" ca="1" si="1097"/>
        <v/>
      </c>
      <c r="C3911" s="16"/>
      <c r="G3911" s="15">
        <f t="shared" ca="1" si="1087"/>
        <v>34</v>
      </c>
      <c r="H3911" s="15">
        <v>1</v>
      </c>
      <c r="I3911" s="15">
        <f t="shared" ca="1" si="1088"/>
        <v>0</v>
      </c>
      <c r="J3911" s="15" t="str">
        <f t="shared" ca="1" si="1095"/>
        <v>'0'!A34</v>
      </c>
      <c r="K3911" s="15" t="str">
        <f t="shared" ca="1" si="1096"/>
        <v>'0'!B34</v>
      </c>
    </row>
    <row r="3912" spans="1:16" x14ac:dyDescent="0.25">
      <c r="A3912" s="3" t="str">
        <f t="shared" ca="1" si="1097"/>
        <v/>
      </c>
      <c r="G3912" s="15">
        <f t="shared" ca="1" si="1087"/>
        <v>35</v>
      </c>
      <c r="H3912" s="15">
        <v>1</v>
      </c>
      <c r="I3912" s="15">
        <f t="shared" ca="1" si="1088"/>
        <v>0</v>
      </c>
      <c r="J3912" s="15" t="str">
        <f t="shared" ca="1" si="1095"/>
        <v>'0'!A35</v>
      </c>
      <c r="K3912" s="15" t="str">
        <f t="shared" ca="1" si="1096"/>
        <v>'0'!B35</v>
      </c>
    </row>
    <row r="3913" spans="1:16" x14ac:dyDescent="0.25">
      <c r="A3913" s="3" t="str">
        <f t="shared" ca="1" si="1097"/>
        <v/>
      </c>
      <c r="G3913" s="15">
        <f t="shared" ref="G3913:G3976" ca="1" si="1106">G3912+1</f>
        <v>36</v>
      </c>
      <c r="H3913" s="15">
        <v>1</v>
      </c>
      <c r="I3913" s="15">
        <f t="shared" ref="I3913:I3976" ca="1" si="1107">I3912</f>
        <v>0</v>
      </c>
      <c r="J3913" s="15" t="str">
        <f t="shared" ca="1" si="1095"/>
        <v>'0'!A36</v>
      </c>
      <c r="K3913" s="15" t="str">
        <f t="shared" ca="1" si="1096"/>
        <v>'0'!B36</v>
      </c>
    </row>
    <row r="3914" spans="1:16" x14ac:dyDescent="0.25">
      <c r="A3914" s="3" t="str">
        <f t="shared" ca="1" si="1097"/>
        <v/>
      </c>
      <c r="G3914" s="15">
        <f t="shared" ca="1" si="1106"/>
        <v>37</v>
      </c>
      <c r="H3914" s="15">
        <v>1</v>
      </c>
      <c r="I3914" s="15">
        <f t="shared" ca="1" si="1107"/>
        <v>0</v>
      </c>
      <c r="J3914" s="15" t="str">
        <f t="shared" ca="1" si="1095"/>
        <v>'0'!A37</v>
      </c>
      <c r="K3914" s="15" t="str">
        <f t="shared" ca="1" si="1096"/>
        <v>'0'!B37</v>
      </c>
    </row>
    <row r="3915" spans="1:16" x14ac:dyDescent="0.25">
      <c r="A3915" s="3" t="str">
        <f t="shared" ca="1" si="1097"/>
        <v/>
      </c>
      <c r="G3915" s="15">
        <f t="shared" ca="1" si="1106"/>
        <v>38</v>
      </c>
      <c r="H3915" s="15">
        <v>1</v>
      </c>
      <c r="I3915" s="15">
        <f t="shared" ca="1" si="1107"/>
        <v>0</v>
      </c>
      <c r="J3915" s="15" t="str">
        <f t="shared" ca="1" si="1095"/>
        <v>'0'!A38</v>
      </c>
      <c r="K3915" s="15" t="str">
        <f t="shared" ca="1" si="1096"/>
        <v>'0'!B38</v>
      </c>
    </row>
    <row r="3916" spans="1:16" x14ac:dyDescent="0.25">
      <c r="A3916" s="3" t="str">
        <f t="shared" ca="1" si="1097"/>
        <v/>
      </c>
      <c r="G3916" s="15">
        <f t="shared" ca="1" si="1106"/>
        <v>39</v>
      </c>
      <c r="H3916" s="15">
        <v>1</v>
      </c>
      <c r="I3916" s="15">
        <f t="shared" ca="1" si="1107"/>
        <v>0</v>
      </c>
      <c r="J3916" s="15" t="str">
        <f t="shared" ca="1" si="1095"/>
        <v>'0'!A39</v>
      </c>
      <c r="K3916" s="15" t="str">
        <f t="shared" ca="1" si="1096"/>
        <v>'0'!B39</v>
      </c>
    </row>
    <row r="3917" spans="1:16" x14ac:dyDescent="0.25">
      <c r="A3917" s="3" t="str">
        <f t="shared" ca="1" si="1097"/>
        <v/>
      </c>
      <c r="G3917" s="15">
        <f t="shared" ca="1" si="1106"/>
        <v>40</v>
      </c>
      <c r="H3917" s="15">
        <v>1</v>
      </c>
      <c r="I3917" s="15">
        <f t="shared" ca="1" si="1107"/>
        <v>0</v>
      </c>
      <c r="J3917" s="15" t="str">
        <f t="shared" ca="1" si="1095"/>
        <v>'0'!A40</v>
      </c>
      <c r="K3917" s="15" t="str">
        <f t="shared" ca="1" si="1096"/>
        <v>'0'!B40</v>
      </c>
    </row>
    <row r="3918" spans="1:16" x14ac:dyDescent="0.25">
      <c r="A3918" s="3" t="str">
        <f t="shared" ca="1" si="1097"/>
        <v/>
      </c>
      <c r="G3918" s="15">
        <f t="shared" ca="1" si="1106"/>
        <v>41</v>
      </c>
      <c r="H3918" s="15">
        <v>1</v>
      </c>
      <c r="I3918" s="15">
        <f t="shared" ca="1" si="1107"/>
        <v>0</v>
      </c>
      <c r="J3918" s="15" t="str">
        <f t="shared" ca="1" si="1095"/>
        <v>'0'!A41</v>
      </c>
      <c r="K3918" s="15" t="str">
        <f t="shared" ca="1" si="1096"/>
        <v>'0'!B41</v>
      </c>
    </row>
    <row r="3919" spans="1:16" x14ac:dyDescent="0.25">
      <c r="A3919" s="3" t="str">
        <f t="shared" ca="1" si="1097"/>
        <v/>
      </c>
      <c r="C3919" s="16"/>
      <c r="G3919" s="15">
        <f t="shared" ca="1" si="1106"/>
        <v>42</v>
      </c>
      <c r="H3919" s="15">
        <v>1</v>
      </c>
      <c r="I3919" s="15">
        <f t="shared" ca="1" si="1107"/>
        <v>0</v>
      </c>
      <c r="J3919" s="15" t="str">
        <f t="shared" ca="1" si="1095"/>
        <v>'0'!A42</v>
      </c>
      <c r="K3919" s="15" t="str">
        <f t="shared" ca="1" si="1096"/>
        <v>'0'!B42</v>
      </c>
    </row>
    <row r="3920" spans="1:16" x14ac:dyDescent="0.25">
      <c r="A3920" s="3" t="str">
        <f t="shared" ca="1" si="1097"/>
        <v/>
      </c>
      <c r="G3920" s="15">
        <f t="shared" ca="1" si="1106"/>
        <v>43</v>
      </c>
      <c r="H3920" s="15">
        <v>1</v>
      </c>
      <c r="I3920" s="15">
        <f t="shared" ca="1" si="1107"/>
        <v>0</v>
      </c>
      <c r="J3920" s="15" t="str">
        <f t="shared" ca="1" si="1095"/>
        <v>'0'!A43</v>
      </c>
      <c r="K3920" s="15" t="str">
        <f t="shared" ca="1" si="1096"/>
        <v>'0'!B43</v>
      </c>
    </row>
    <row r="3921" spans="1:16" x14ac:dyDescent="0.25">
      <c r="A3921" s="3" t="str">
        <f t="shared" ca="1" si="1097"/>
        <v/>
      </c>
      <c r="G3921" s="15">
        <f t="shared" ca="1" si="1106"/>
        <v>44</v>
      </c>
      <c r="H3921" s="15">
        <v>1</v>
      </c>
      <c r="I3921" s="15">
        <f t="shared" ca="1" si="1107"/>
        <v>0</v>
      </c>
      <c r="J3921" s="15" t="str">
        <f t="shared" ca="1" si="1095"/>
        <v>'0'!A44</v>
      </c>
      <c r="K3921" s="15" t="str">
        <f t="shared" ca="1" si="1096"/>
        <v>'0'!B44</v>
      </c>
    </row>
    <row r="3922" spans="1:16" x14ac:dyDescent="0.25">
      <c r="A3922" s="3" t="str">
        <f t="shared" ca="1" si="1097"/>
        <v/>
      </c>
      <c r="G3922" s="15">
        <f t="shared" ca="1" si="1106"/>
        <v>45</v>
      </c>
      <c r="H3922" s="15">
        <v>1</v>
      </c>
      <c r="I3922" s="15">
        <f t="shared" ca="1" si="1107"/>
        <v>0</v>
      </c>
      <c r="J3922" s="15" t="str">
        <f t="shared" ca="1" si="1095"/>
        <v>'0'!A45</v>
      </c>
      <c r="K3922" s="15" t="str">
        <f t="shared" ca="1" si="1096"/>
        <v>'0'!B45</v>
      </c>
    </row>
    <row r="3923" spans="1:16" x14ac:dyDescent="0.25">
      <c r="A3923" s="3" t="str">
        <f t="shared" ca="1" si="1097"/>
        <v/>
      </c>
      <c r="G3923" s="15">
        <f t="shared" ca="1" si="1106"/>
        <v>46</v>
      </c>
      <c r="H3923" s="15">
        <v>1</v>
      </c>
      <c r="I3923" s="15">
        <f t="shared" ca="1" si="1107"/>
        <v>0</v>
      </c>
      <c r="J3923" s="15" t="str">
        <f t="shared" ca="1" si="1095"/>
        <v>'0'!A46</v>
      </c>
      <c r="K3923" s="15" t="str">
        <f t="shared" ca="1" si="1096"/>
        <v>'0'!B46</v>
      </c>
    </row>
    <row r="3924" spans="1:16" x14ac:dyDescent="0.25">
      <c r="A3924" s="3" t="str">
        <f t="shared" ca="1" si="1097"/>
        <v/>
      </c>
      <c r="G3924" s="15">
        <f t="shared" ca="1" si="1106"/>
        <v>47</v>
      </c>
      <c r="H3924" s="15">
        <v>1</v>
      </c>
      <c r="I3924" s="15">
        <f t="shared" ca="1" si="1107"/>
        <v>0</v>
      </c>
      <c r="J3924" s="15" t="str">
        <f t="shared" ca="1" si="1095"/>
        <v>'0'!A47</v>
      </c>
      <c r="K3924" s="15" t="str">
        <f t="shared" ca="1" si="1096"/>
        <v>'0'!B47</v>
      </c>
    </row>
    <row r="3925" spans="1:16" x14ac:dyDescent="0.25">
      <c r="A3925" s="3" t="str">
        <f t="shared" ca="1" si="1097"/>
        <v/>
      </c>
      <c r="G3925" s="15">
        <f t="shared" ca="1" si="1106"/>
        <v>48</v>
      </c>
      <c r="H3925" s="15">
        <v>1</v>
      </c>
      <c r="I3925" s="15">
        <f t="shared" ca="1" si="1107"/>
        <v>0</v>
      </c>
      <c r="J3925" s="15" t="str">
        <f t="shared" ca="1" si="1095"/>
        <v>'0'!A48</v>
      </c>
      <c r="K3925" s="15" t="str">
        <f t="shared" ca="1" si="1096"/>
        <v>'0'!B48</v>
      </c>
    </row>
    <row r="3926" spans="1:16" x14ac:dyDescent="0.25">
      <c r="A3926" s="3" t="str">
        <f t="shared" ca="1" si="1097"/>
        <v/>
      </c>
      <c r="G3926" s="15">
        <f t="shared" ca="1" si="1106"/>
        <v>49</v>
      </c>
      <c r="H3926" s="15">
        <v>1</v>
      </c>
      <c r="I3926" s="15">
        <f t="shared" ca="1" si="1107"/>
        <v>0</v>
      </c>
      <c r="J3926" s="15" t="str">
        <f t="shared" ca="1" si="1095"/>
        <v>'0'!A49</v>
      </c>
      <c r="K3926" s="15" t="str">
        <f t="shared" ca="1" si="1096"/>
        <v>'0'!B49</v>
      </c>
    </row>
    <row r="3927" spans="1:16" x14ac:dyDescent="0.25">
      <c r="A3927" s="3" t="str">
        <f t="shared" ca="1" si="1097"/>
        <v/>
      </c>
      <c r="G3927" s="15">
        <f t="shared" ca="1" si="1106"/>
        <v>50</v>
      </c>
      <c r="H3927" s="15">
        <v>1</v>
      </c>
      <c r="I3927" s="15">
        <f t="shared" ca="1" si="1107"/>
        <v>0</v>
      </c>
      <c r="J3927" s="15" t="str">
        <f t="shared" ca="1" si="1095"/>
        <v>'0'!A50</v>
      </c>
      <c r="K3927" s="15" t="str">
        <f t="shared" ca="1" si="1096"/>
        <v>'0'!B50</v>
      </c>
    </row>
    <row r="3928" spans="1:16" x14ac:dyDescent="0.25">
      <c r="A3928" s="3" t="str">
        <f t="shared" ca="1" si="1097"/>
        <v/>
      </c>
      <c r="G3928" s="15">
        <f t="shared" ref="G3928" ca="1" si="1108">INDIRECT(M3928)</f>
        <v>31</v>
      </c>
      <c r="H3928" s="15">
        <v>1</v>
      </c>
      <c r="I3928" s="15">
        <f t="shared" ref="I3928" ca="1" si="1109">INDIRECT(N3928)</f>
        <v>0</v>
      </c>
      <c r="J3928" s="15" t="str">
        <f t="shared" ca="1" si="1095"/>
        <v>'0'!A31</v>
      </c>
      <c r="K3928" s="15" t="str">
        <f t="shared" ca="1" si="1096"/>
        <v>'0'!B31</v>
      </c>
      <c r="M3928" s="15" t="str">
        <f t="shared" ref="M3928" si="1110">ADDRESS(O3928,3,4,1,$R$1)</f>
        <v>konfig!C198</v>
      </c>
      <c r="N3928" s="15" t="str">
        <f t="shared" ref="N3928" si="1111">ADDRESS(O3928,1,4,1,$R$1)</f>
        <v>konfig!A198</v>
      </c>
      <c r="O3928" s="15">
        <v>198</v>
      </c>
      <c r="P3928" s="15">
        <v>4</v>
      </c>
    </row>
    <row r="3929" spans="1:16" x14ac:dyDescent="0.25">
      <c r="A3929" s="3" t="str">
        <f t="shared" ca="1" si="1097"/>
        <v/>
      </c>
      <c r="G3929" s="15">
        <f t="shared" ref="G3929:G3972" ca="1" si="1112">G3928+1</f>
        <v>32</v>
      </c>
      <c r="H3929" s="15">
        <v>1</v>
      </c>
      <c r="I3929" s="15">
        <f t="shared" ref="I3929:I3972" ca="1" si="1113">I3928</f>
        <v>0</v>
      </c>
      <c r="J3929" s="15" t="str">
        <f t="shared" ca="1" si="1095"/>
        <v>'0'!A32</v>
      </c>
      <c r="K3929" s="15" t="str">
        <f t="shared" ca="1" si="1096"/>
        <v>'0'!B32</v>
      </c>
    </row>
    <row r="3930" spans="1:16" x14ac:dyDescent="0.25">
      <c r="A3930" s="3" t="str">
        <f t="shared" ca="1" si="1097"/>
        <v/>
      </c>
      <c r="G3930" s="15">
        <f t="shared" ca="1" si="1112"/>
        <v>33</v>
      </c>
      <c r="H3930" s="15">
        <v>1</v>
      </c>
      <c r="I3930" s="15">
        <f t="shared" ca="1" si="1113"/>
        <v>0</v>
      </c>
      <c r="J3930" s="15" t="str">
        <f t="shared" ca="1" si="1095"/>
        <v>'0'!A33</v>
      </c>
      <c r="K3930" s="15" t="str">
        <f t="shared" ca="1" si="1096"/>
        <v>'0'!B33</v>
      </c>
    </row>
    <row r="3931" spans="1:16" x14ac:dyDescent="0.25">
      <c r="A3931" s="3" t="str">
        <f t="shared" ca="1" si="1097"/>
        <v/>
      </c>
      <c r="C3931" s="16"/>
      <c r="G3931" s="15">
        <f t="shared" ca="1" si="1112"/>
        <v>34</v>
      </c>
      <c r="H3931" s="15">
        <v>1</v>
      </c>
      <c r="I3931" s="15">
        <f t="shared" ca="1" si="1113"/>
        <v>0</v>
      </c>
      <c r="J3931" s="15" t="str">
        <f t="shared" ca="1" si="1095"/>
        <v>'0'!A34</v>
      </c>
      <c r="K3931" s="15" t="str">
        <f t="shared" ca="1" si="1096"/>
        <v>'0'!B34</v>
      </c>
    </row>
    <row r="3932" spans="1:16" x14ac:dyDescent="0.25">
      <c r="A3932" s="3" t="str">
        <f t="shared" ca="1" si="1097"/>
        <v/>
      </c>
      <c r="G3932" s="15">
        <f t="shared" ca="1" si="1112"/>
        <v>35</v>
      </c>
      <c r="H3932" s="15">
        <v>1</v>
      </c>
      <c r="I3932" s="15">
        <f t="shared" ca="1" si="1113"/>
        <v>0</v>
      </c>
      <c r="J3932" s="15" t="str">
        <f t="shared" ca="1" si="1095"/>
        <v>'0'!A35</v>
      </c>
      <c r="K3932" s="15" t="str">
        <f t="shared" ca="1" si="1096"/>
        <v>'0'!B35</v>
      </c>
    </row>
    <row r="3933" spans="1:16" x14ac:dyDescent="0.25">
      <c r="A3933" s="3" t="str">
        <f t="shared" ca="1" si="1097"/>
        <v/>
      </c>
      <c r="G3933" s="15">
        <f t="shared" ca="1" si="1106"/>
        <v>36</v>
      </c>
      <c r="H3933" s="15">
        <v>1</v>
      </c>
      <c r="I3933" s="15">
        <f t="shared" ca="1" si="1107"/>
        <v>0</v>
      </c>
      <c r="J3933" s="15" t="str">
        <f t="shared" ca="1" si="1095"/>
        <v>'0'!A36</v>
      </c>
      <c r="K3933" s="15" t="str">
        <f t="shared" ca="1" si="1096"/>
        <v>'0'!B36</v>
      </c>
    </row>
    <row r="3934" spans="1:16" x14ac:dyDescent="0.25">
      <c r="A3934" s="3" t="str">
        <f t="shared" ca="1" si="1097"/>
        <v/>
      </c>
      <c r="G3934" s="15">
        <f t="shared" ca="1" si="1106"/>
        <v>37</v>
      </c>
      <c r="H3934" s="15">
        <v>1</v>
      </c>
      <c r="I3934" s="15">
        <f t="shared" ca="1" si="1107"/>
        <v>0</v>
      </c>
      <c r="J3934" s="15" t="str">
        <f t="shared" ca="1" si="1095"/>
        <v>'0'!A37</v>
      </c>
      <c r="K3934" s="15" t="str">
        <f t="shared" ca="1" si="1096"/>
        <v>'0'!B37</v>
      </c>
    </row>
    <row r="3935" spans="1:16" x14ac:dyDescent="0.25">
      <c r="A3935" s="3" t="str">
        <f t="shared" ca="1" si="1097"/>
        <v/>
      </c>
      <c r="G3935" s="15">
        <f t="shared" ca="1" si="1106"/>
        <v>38</v>
      </c>
      <c r="H3935" s="15">
        <v>1</v>
      </c>
      <c r="I3935" s="15">
        <f t="shared" ca="1" si="1107"/>
        <v>0</v>
      </c>
      <c r="J3935" s="15" t="str">
        <f t="shared" ca="1" si="1095"/>
        <v>'0'!A38</v>
      </c>
      <c r="K3935" s="15" t="str">
        <f t="shared" ca="1" si="1096"/>
        <v>'0'!B38</v>
      </c>
    </row>
    <row r="3936" spans="1:16" x14ac:dyDescent="0.25">
      <c r="A3936" s="3" t="str">
        <f t="shared" ca="1" si="1097"/>
        <v/>
      </c>
      <c r="G3936" s="15">
        <f t="shared" ca="1" si="1106"/>
        <v>39</v>
      </c>
      <c r="H3936" s="15">
        <v>1</v>
      </c>
      <c r="I3936" s="15">
        <f t="shared" ca="1" si="1107"/>
        <v>0</v>
      </c>
      <c r="J3936" s="15" t="str">
        <f t="shared" ca="1" si="1095"/>
        <v>'0'!A39</v>
      </c>
      <c r="K3936" s="15" t="str">
        <f t="shared" ca="1" si="1096"/>
        <v>'0'!B39</v>
      </c>
    </row>
    <row r="3937" spans="1:16" x14ac:dyDescent="0.25">
      <c r="A3937" s="3" t="str">
        <f t="shared" ca="1" si="1097"/>
        <v/>
      </c>
      <c r="G3937" s="15">
        <f t="shared" ca="1" si="1106"/>
        <v>40</v>
      </c>
      <c r="H3937" s="15">
        <v>1</v>
      </c>
      <c r="I3937" s="15">
        <f t="shared" ca="1" si="1107"/>
        <v>0</v>
      </c>
      <c r="J3937" s="15" t="str">
        <f t="shared" ca="1" si="1095"/>
        <v>'0'!A40</v>
      </c>
      <c r="K3937" s="15" t="str">
        <f t="shared" ca="1" si="1096"/>
        <v>'0'!B40</v>
      </c>
    </row>
    <row r="3938" spans="1:16" x14ac:dyDescent="0.25">
      <c r="A3938" s="3" t="str">
        <f t="shared" ca="1" si="1097"/>
        <v/>
      </c>
      <c r="G3938" s="15">
        <f t="shared" ca="1" si="1106"/>
        <v>41</v>
      </c>
      <c r="H3938" s="15">
        <v>1</v>
      </c>
      <c r="I3938" s="15">
        <f t="shared" ca="1" si="1107"/>
        <v>0</v>
      </c>
      <c r="J3938" s="15" t="str">
        <f t="shared" ca="1" si="1095"/>
        <v>'0'!A41</v>
      </c>
      <c r="K3938" s="15" t="str">
        <f t="shared" ca="1" si="1096"/>
        <v>'0'!B41</v>
      </c>
    </row>
    <row r="3939" spans="1:16" x14ac:dyDescent="0.25">
      <c r="A3939" s="3" t="str">
        <f t="shared" ca="1" si="1097"/>
        <v/>
      </c>
      <c r="C3939" s="16"/>
      <c r="G3939" s="15">
        <f t="shared" ca="1" si="1106"/>
        <v>42</v>
      </c>
      <c r="H3939" s="15">
        <v>1</v>
      </c>
      <c r="I3939" s="15">
        <f t="shared" ca="1" si="1107"/>
        <v>0</v>
      </c>
      <c r="J3939" s="15" t="str">
        <f t="shared" ca="1" si="1095"/>
        <v>'0'!A42</v>
      </c>
      <c r="K3939" s="15" t="str">
        <f t="shared" ca="1" si="1096"/>
        <v>'0'!B42</v>
      </c>
    </row>
    <row r="3940" spans="1:16" x14ac:dyDescent="0.25">
      <c r="A3940" s="3" t="str">
        <f t="shared" ca="1" si="1097"/>
        <v/>
      </c>
      <c r="G3940" s="15">
        <f t="shared" ca="1" si="1106"/>
        <v>43</v>
      </c>
      <c r="H3940" s="15">
        <v>1</v>
      </c>
      <c r="I3940" s="15">
        <f t="shared" ca="1" si="1107"/>
        <v>0</v>
      </c>
      <c r="J3940" s="15" t="str">
        <f t="shared" ref="J3940:J4003" ca="1" si="1114">ADDRESS(G3940,H3940,4,1,I3940)</f>
        <v>'0'!A43</v>
      </c>
      <c r="K3940" s="15" t="str">
        <f t="shared" ref="K3940:K4003" ca="1" si="1115">ADDRESS(G3940,H3940+1,4,1,I3940)</f>
        <v>'0'!B43</v>
      </c>
    </row>
    <row r="3941" spans="1:16" x14ac:dyDescent="0.25">
      <c r="A3941" s="3" t="str">
        <f t="shared" ca="1" si="1097"/>
        <v/>
      </c>
      <c r="G3941" s="15">
        <f t="shared" ca="1" si="1106"/>
        <v>44</v>
      </c>
      <c r="H3941" s="15">
        <v>1</v>
      </c>
      <c r="I3941" s="15">
        <f t="shared" ca="1" si="1107"/>
        <v>0</v>
      </c>
      <c r="J3941" s="15" t="str">
        <f t="shared" ca="1" si="1114"/>
        <v>'0'!A44</v>
      </c>
      <c r="K3941" s="15" t="str">
        <f t="shared" ca="1" si="1115"/>
        <v>'0'!B44</v>
      </c>
    </row>
    <row r="3942" spans="1:16" x14ac:dyDescent="0.25">
      <c r="A3942" s="3" t="str">
        <f t="shared" ca="1" si="1097"/>
        <v/>
      </c>
      <c r="G3942" s="15">
        <f t="shared" ca="1" si="1106"/>
        <v>45</v>
      </c>
      <c r="H3942" s="15">
        <v>1</v>
      </c>
      <c r="I3942" s="15">
        <f t="shared" ca="1" si="1107"/>
        <v>0</v>
      </c>
      <c r="J3942" s="15" t="str">
        <f t="shared" ca="1" si="1114"/>
        <v>'0'!A45</v>
      </c>
      <c r="K3942" s="15" t="str">
        <f t="shared" ca="1" si="1115"/>
        <v>'0'!B45</v>
      </c>
    </row>
    <row r="3943" spans="1:16" x14ac:dyDescent="0.25">
      <c r="A3943" s="3" t="str">
        <f t="shared" ca="1" si="1097"/>
        <v/>
      </c>
      <c r="G3943" s="15">
        <f t="shared" ca="1" si="1106"/>
        <v>46</v>
      </c>
      <c r="H3943" s="15">
        <v>1</v>
      </c>
      <c r="I3943" s="15">
        <f t="shared" ca="1" si="1107"/>
        <v>0</v>
      </c>
      <c r="J3943" s="15" t="str">
        <f t="shared" ca="1" si="1114"/>
        <v>'0'!A46</v>
      </c>
      <c r="K3943" s="15" t="str">
        <f t="shared" ca="1" si="1115"/>
        <v>'0'!B46</v>
      </c>
    </row>
    <row r="3944" spans="1:16" x14ac:dyDescent="0.25">
      <c r="A3944" s="3" t="str">
        <f t="shared" ca="1" si="1097"/>
        <v/>
      </c>
      <c r="G3944" s="15">
        <f t="shared" ca="1" si="1106"/>
        <v>47</v>
      </c>
      <c r="H3944" s="15">
        <v>1</v>
      </c>
      <c r="I3944" s="15">
        <f t="shared" ca="1" si="1107"/>
        <v>0</v>
      </c>
      <c r="J3944" s="15" t="str">
        <f t="shared" ca="1" si="1114"/>
        <v>'0'!A47</v>
      </c>
      <c r="K3944" s="15" t="str">
        <f t="shared" ca="1" si="1115"/>
        <v>'0'!B47</v>
      </c>
    </row>
    <row r="3945" spans="1:16" x14ac:dyDescent="0.25">
      <c r="A3945" s="3" t="str">
        <f t="shared" ca="1" si="1097"/>
        <v/>
      </c>
      <c r="G3945" s="15">
        <f t="shared" ca="1" si="1106"/>
        <v>48</v>
      </c>
      <c r="H3945" s="15">
        <v>1</v>
      </c>
      <c r="I3945" s="15">
        <f t="shared" ca="1" si="1107"/>
        <v>0</v>
      </c>
      <c r="J3945" s="15" t="str">
        <f t="shared" ca="1" si="1114"/>
        <v>'0'!A48</v>
      </c>
      <c r="K3945" s="15" t="str">
        <f t="shared" ca="1" si="1115"/>
        <v>'0'!B48</v>
      </c>
    </row>
    <row r="3946" spans="1:16" x14ac:dyDescent="0.25">
      <c r="A3946" s="3" t="str">
        <f t="shared" ca="1" si="1097"/>
        <v/>
      </c>
      <c r="G3946" s="15">
        <f t="shared" ca="1" si="1106"/>
        <v>49</v>
      </c>
      <c r="H3946" s="15">
        <v>1</v>
      </c>
      <c r="I3946" s="15">
        <f t="shared" ca="1" si="1107"/>
        <v>0</v>
      </c>
      <c r="J3946" s="15" t="str">
        <f t="shared" ca="1" si="1114"/>
        <v>'0'!A49</v>
      </c>
      <c r="K3946" s="15" t="str">
        <f t="shared" ca="1" si="1115"/>
        <v>'0'!B49</v>
      </c>
    </row>
    <row r="3947" spans="1:16" x14ac:dyDescent="0.25">
      <c r="A3947" s="3" t="str">
        <f t="shared" ca="1" si="1097"/>
        <v/>
      </c>
      <c r="G3947" s="15">
        <f t="shared" ca="1" si="1106"/>
        <v>50</v>
      </c>
      <c r="H3947" s="15">
        <v>1</v>
      </c>
      <c r="I3947" s="15">
        <f t="shared" ca="1" si="1107"/>
        <v>0</v>
      </c>
      <c r="J3947" s="15" t="str">
        <f t="shared" ca="1" si="1114"/>
        <v>'0'!A50</v>
      </c>
      <c r="K3947" s="15" t="str">
        <f t="shared" ca="1" si="1115"/>
        <v>'0'!B50</v>
      </c>
    </row>
    <row r="3948" spans="1:16" x14ac:dyDescent="0.25">
      <c r="A3948" s="3" t="str">
        <f t="shared" ref="A3948:A4011" ca="1" si="1116">IFERROR(IF(INDIRECT(J3948)&lt;&gt;"",CONCATENATE(INDIRECT(J3948)," = ",INDIRECT(K3948)," "),""),"")</f>
        <v/>
      </c>
      <c r="G3948" s="15">
        <f t="shared" ref="G3948" ca="1" si="1117">INDIRECT(M3948)</f>
        <v>31</v>
      </c>
      <c r="H3948" s="15">
        <v>1</v>
      </c>
      <c r="I3948" s="15">
        <f t="shared" ref="I3948" ca="1" si="1118">INDIRECT(N3948)</f>
        <v>0</v>
      </c>
      <c r="J3948" s="15" t="str">
        <f t="shared" ca="1" si="1114"/>
        <v>'0'!A31</v>
      </c>
      <c r="K3948" s="15" t="str">
        <f t="shared" ca="1" si="1115"/>
        <v>'0'!B31</v>
      </c>
      <c r="M3948" s="15" t="str">
        <f t="shared" ref="M3948" si="1119">ADDRESS(O3948,3,4,1,$R$1)</f>
        <v>konfig!C199</v>
      </c>
      <c r="N3948" s="15" t="str">
        <f t="shared" ref="N3948" si="1120">ADDRESS(O3948,1,4,1,$R$1)</f>
        <v>konfig!A199</v>
      </c>
      <c r="O3948" s="15">
        <v>199</v>
      </c>
      <c r="P3948" s="15">
        <v>4</v>
      </c>
    </row>
    <row r="3949" spans="1:16" x14ac:dyDescent="0.25">
      <c r="A3949" s="3" t="str">
        <f t="shared" ca="1" si="1116"/>
        <v/>
      </c>
      <c r="G3949" s="15">
        <f t="shared" ref="G3949:G3989" ca="1" si="1121">G3948+1</f>
        <v>32</v>
      </c>
      <c r="H3949" s="15">
        <v>1</v>
      </c>
      <c r="I3949" s="15">
        <f t="shared" ref="I3949:I3989" ca="1" si="1122">I3948</f>
        <v>0</v>
      </c>
      <c r="J3949" s="15" t="str">
        <f t="shared" ca="1" si="1114"/>
        <v>'0'!A32</v>
      </c>
      <c r="K3949" s="15" t="str">
        <f t="shared" ca="1" si="1115"/>
        <v>'0'!B32</v>
      </c>
    </row>
    <row r="3950" spans="1:16" x14ac:dyDescent="0.25">
      <c r="A3950" s="3" t="str">
        <f t="shared" ca="1" si="1116"/>
        <v/>
      </c>
      <c r="G3950" s="15">
        <f t="shared" ca="1" si="1106"/>
        <v>33</v>
      </c>
      <c r="H3950" s="15">
        <v>1</v>
      </c>
      <c r="I3950" s="15">
        <f t="shared" ca="1" si="1107"/>
        <v>0</v>
      </c>
      <c r="J3950" s="15" t="str">
        <f t="shared" ca="1" si="1114"/>
        <v>'0'!A33</v>
      </c>
      <c r="K3950" s="15" t="str">
        <f t="shared" ca="1" si="1115"/>
        <v>'0'!B33</v>
      </c>
    </row>
    <row r="3951" spans="1:16" x14ac:dyDescent="0.25">
      <c r="A3951" s="3" t="str">
        <f t="shared" ca="1" si="1116"/>
        <v/>
      </c>
      <c r="C3951" s="16"/>
      <c r="G3951" s="15">
        <f t="shared" ca="1" si="1106"/>
        <v>34</v>
      </c>
      <c r="H3951" s="15">
        <v>1</v>
      </c>
      <c r="I3951" s="15">
        <f t="shared" ca="1" si="1107"/>
        <v>0</v>
      </c>
      <c r="J3951" s="15" t="str">
        <f t="shared" ca="1" si="1114"/>
        <v>'0'!A34</v>
      </c>
      <c r="K3951" s="15" t="str">
        <f t="shared" ca="1" si="1115"/>
        <v>'0'!B34</v>
      </c>
    </row>
    <row r="3952" spans="1:16" x14ac:dyDescent="0.25">
      <c r="A3952" s="3" t="str">
        <f t="shared" ca="1" si="1116"/>
        <v/>
      </c>
      <c r="G3952" s="15">
        <f t="shared" ca="1" si="1106"/>
        <v>35</v>
      </c>
      <c r="H3952" s="15">
        <v>1</v>
      </c>
      <c r="I3952" s="15">
        <f t="shared" ca="1" si="1107"/>
        <v>0</v>
      </c>
      <c r="J3952" s="15" t="str">
        <f t="shared" ca="1" si="1114"/>
        <v>'0'!A35</v>
      </c>
      <c r="K3952" s="15" t="str">
        <f t="shared" ca="1" si="1115"/>
        <v>'0'!B35</v>
      </c>
    </row>
    <row r="3953" spans="1:16" x14ac:dyDescent="0.25">
      <c r="A3953" s="3" t="str">
        <f t="shared" ca="1" si="1116"/>
        <v/>
      </c>
      <c r="G3953" s="15">
        <f t="shared" ca="1" si="1106"/>
        <v>36</v>
      </c>
      <c r="H3953" s="15">
        <v>1</v>
      </c>
      <c r="I3953" s="15">
        <f t="shared" ca="1" si="1107"/>
        <v>0</v>
      </c>
      <c r="J3953" s="15" t="str">
        <f t="shared" ca="1" si="1114"/>
        <v>'0'!A36</v>
      </c>
      <c r="K3953" s="15" t="str">
        <f t="shared" ca="1" si="1115"/>
        <v>'0'!B36</v>
      </c>
    </row>
    <row r="3954" spans="1:16" x14ac:dyDescent="0.25">
      <c r="A3954" s="3" t="str">
        <f t="shared" ca="1" si="1116"/>
        <v/>
      </c>
      <c r="G3954" s="15">
        <f t="shared" ca="1" si="1106"/>
        <v>37</v>
      </c>
      <c r="H3954" s="15">
        <v>1</v>
      </c>
      <c r="I3954" s="15">
        <f t="shared" ca="1" si="1107"/>
        <v>0</v>
      </c>
      <c r="J3954" s="15" t="str">
        <f t="shared" ca="1" si="1114"/>
        <v>'0'!A37</v>
      </c>
      <c r="K3954" s="15" t="str">
        <f t="shared" ca="1" si="1115"/>
        <v>'0'!B37</v>
      </c>
    </row>
    <row r="3955" spans="1:16" x14ac:dyDescent="0.25">
      <c r="A3955" s="3" t="str">
        <f t="shared" ca="1" si="1116"/>
        <v/>
      </c>
      <c r="G3955" s="15">
        <f t="shared" ca="1" si="1106"/>
        <v>38</v>
      </c>
      <c r="H3955" s="15">
        <v>1</v>
      </c>
      <c r="I3955" s="15">
        <f t="shared" ca="1" si="1107"/>
        <v>0</v>
      </c>
      <c r="J3955" s="15" t="str">
        <f t="shared" ca="1" si="1114"/>
        <v>'0'!A38</v>
      </c>
      <c r="K3955" s="15" t="str">
        <f t="shared" ca="1" si="1115"/>
        <v>'0'!B38</v>
      </c>
    </row>
    <row r="3956" spans="1:16" x14ac:dyDescent="0.25">
      <c r="A3956" s="3" t="str">
        <f t="shared" ca="1" si="1116"/>
        <v/>
      </c>
      <c r="G3956" s="15">
        <f t="shared" ca="1" si="1106"/>
        <v>39</v>
      </c>
      <c r="H3956" s="15">
        <v>1</v>
      </c>
      <c r="I3956" s="15">
        <f t="shared" ca="1" si="1107"/>
        <v>0</v>
      </c>
      <c r="J3956" s="15" t="str">
        <f t="shared" ca="1" si="1114"/>
        <v>'0'!A39</v>
      </c>
      <c r="K3956" s="15" t="str">
        <f t="shared" ca="1" si="1115"/>
        <v>'0'!B39</v>
      </c>
    </row>
    <row r="3957" spans="1:16" x14ac:dyDescent="0.25">
      <c r="A3957" s="3" t="str">
        <f t="shared" ca="1" si="1116"/>
        <v/>
      </c>
      <c r="G3957" s="15">
        <f t="shared" ca="1" si="1106"/>
        <v>40</v>
      </c>
      <c r="H3957" s="15">
        <v>1</v>
      </c>
      <c r="I3957" s="15">
        <f t="shared" ca="1" si="1107"/>
        <v>0</v>
      </c>
      <c r="J3957" s="15" t="str">
        <f t="shared" ca="1" si="1114"/>
        <v>'0'!A40</v>
      </c>
      <c r="K3957" s="15" t="str">
        <f t="shared" ca="1" si="1115"/>
        <v>'0'!B40</v>
      </c>
    </row>
    <row r="3958" spans="1:16" x14ac:dyDescent="0.25">
      <c r="A3958" s="3" t="str">
        <f t="shared" ca="1" si="1116"/>
        <v/>
      </c>
      <c r="G3958" s="15">
        <f t="shared" ca="1" si="1106"/>
        <v>41</v>
      </c>
      <c r="H3958" s="15">
        <v>1</v>
      </c>
      <c r="I3958" s="15">
        <f t="shared" ca="1" si="1107"/>
        <v>0</v>
      </c>
      <c r="J3958" s="15" t="str">
        <f t="shared" ca="1" si="1114"/>
        <v>'0'!A41</v>
      </c>
      <c r="K3958" s="15" t="str">
        <f t="shared" ca="1" si="1115"/>
        <v>'0'!B41</v>
      </c>
    </row>
    <row r="3959" spans="1:16" x14ac:dyDescent="0.25">
      <c r="A3959" s="3" t="str">
        <f t="shared" ca="1" si="1116"/>
        <v/>
      </c>
      <c r="C3959" s="16"/>
      <c r="G3959" s="15">
        <f t="shared" ca="1" si="1106"/>
        <v>42</v>
      </c>
      <c r="H3959" s="15">
        <v>1</v>
      </c>
      <c r="I3959" s="15">
        <f t="shared" ca="1" si="1107"/>
        <v>0</v>
      </c>
      <c r="J3959" s="15" t="str">
        <f t="shared" ca="1" si="1114"/>
        <v>'0'!A42</v>
      </c>
      <c r="K3959" s="15" t="str">
        <f t="shared" ca="1" si="1115"/>
        <v>'0'!B42</v>
      </c>
    </row>
    <row r="3960" spans="1:16" x14ac:dyDescent="0.25">
      <c r="A3960" s="3" t="str">
        <f t="shared" ca="1" si="1116"/>
        <v/>
      </c>
      <c r="G3960" s="15">
        <f t="shared" ca="1" si="1106"/>
        <v>43</v>
      </c>
      <c r="H3960" s="15">
        <v>1</v>
      </c>
      <c r="I3960" s="15">
        <f t="shared" ca="1" si="1107"/>
        <v>0</v>
      </c>
      <c r="J3960" s="15" t="str">
        <f t="shared" ca="1" si="1114"/>
        <v>'0'!A43</v>
      </c>
      <c r="K3960" s="15" t="str">
        <f t="shared" ca="1" si="1115"/>
        <v>'0'!B43</v>
      </c>
    </row>
    <row r="3961" spans="1:16" x14ac:dyDescent="0.25">
      <c r="A3961" s="3" t="str">
        <f t="shared" ca="1" si="1116"/>
        <v/>
      </c>
      <c r="G3961" s="15">
        <f t="shared" ca="1" si="1106"/>
        <v>44</v>
      </c>
      <c r="H3961" s="15">
        <v>1</v>
      </c>
      <c r="I3961" s="15">
        <f t="shared" ca="1" si="1107"/>
        <v>0</v>
      </c>
      <c r="J3961" s="15" t="str">
        <f t="shared" ca="1" si="1114"/>
        <v>'0'!A44</v>
      </c>
      <c r="K3961" s="15" t="str">
        <f t="shared" ca="1" si="1115"/>
        <v>'0'!B44</v>
      </c>
    </row>
    <row r="3962" spans="1:16" x14ac:dyDescent="0.25">
      <c r="A3962" s="3" t="str">
        <f t="shared" ca="1" si="1116"/>
        <v/>
      </c>
      <c r="G3962" s="15">
        <f t="shared" ca="1" si="1106"/>
        <v>45</v>
      </c>
      <c r="H3962" s="15">
        <v>1</v>
      </c>
      <c r="I3962" s="15">
        <f t="shared" ca="1" si="1107"/>
        <v>0</v>
      </c>
      <c r="J3962" s="15" t="str">
        <f t="shared" ca="1" si="1114"/>
        <v>'0'!A45</v>
      </c>
      <c r="K3962" s="15" t="str">
        <f t="shared" ca="1" si="1115"/>
        <v>'0'!B45</v>
      </c>
    </row>
    <row r="3963" spans="1:16" x14ac:dyDescent="0.25">
      <c r="A3963" s="3" t="str">
        <f t="shared" ca="1" si="1116"/>
        <v/>
      </c>
      <c r="G3963" s="15">
        <f t="shared" ca="1" si="1106"/>
        <v>46</v>
      </c>
      <c r="H3963" s="15">
        <v>1</v>
      </c>
      <c r="I3963" s="15">
        <f t="shared" ca="1" si="1107"/>
        <v>0</v>
      </c>
      <c r="J3963" s="15" t="str">
        <f t="shared" ca="1" si="1114"/>
        <v>'0'!A46</v>
      </c>
      <c r="K3963" s="15" t="str">
        <f t="shared" ca="1" si="1115"/>
        <v>'0'!B46</v>
      </c>
    </row>
    <row r="3964" spans="1:16" x14ac:dyDescent="0.25">
      <c r="A3964" s="3" t="str">
        <f t="shared" ca="1" si="1116"/>
        <v/>
      </c>
      <c r="G3964" s="15">
        <f t="shared" ca="1" si="1106"/>
        <v>47</v>
      </c>
      <c r="H3964" s="15">
        <v>1</v>
      </c>
      <c r="I3964" s="15">
        <f t="shared" ca="1" si="1107"/>
        <v>0</v>
      </c>
      <c r="J3964" s="15" t="str">
        <f t="shared" ca="1" si="1114"/>
        <v>'0'!A47</v>
      </c>
      <c r="K3964" s="15" t="str">
        <f t="shared" ca="1" si="1115"/>
        <v>'0'!B47</v>
      </c>
    </row>
    <row r="3965" spans="1:16" x14ac:dyDescent="0.25">
      <c r="A3965" s="3" t="str">
        <f t="shared" ca="1" si="1116"/>
        <v/>
      </c>
      <c r="G3965" s="15">
        <f t="shared" ca="1" si="1106"/>
        <v>48</v>
      </c>
      <c r="H3965" s="15">
        <v>1</v>
      </c>
      <c r="I3965" s="15">
        <f t="shared" ca="1" si="1107"/>
        <v>0</v>
      </c>
      <c r="J3965" s="15" t="str">
        <f t="shared" ca="1" si="1114"/>
        <v>'0'!A48</v>
      </c>
      <c r="K3965" s="15" t="str">
        <f t="shared" ca="1" si="1115"/>
        <v>'0'!B48</v>
      </c>
    </row>
    <row r="3966" spans="1:16" x14ac:dyDescent="0.25">
      <c r="A3966" s="3" t="str">
        <f t="shared" ca="1" si="1116"/>
        <v/>
      </c>
      <c r="G3966" s="15">
        <f t="shared" ca="1" si="1106"/>
        <v>49</v>
      </c>
      <c r="H3966" s="15">
        <v>1</v>
      </c>
      <c r="I3966" s="15">
        <f t="shared" ca="1" si="1107"/>
        <v>0</v>
      </c>
      <c r="J3966" s="15" t="str">
        <f t="shared" ca="1" si="1114"/>
        <v>'0'!A49</v>
      </c>
      <c r="K3966" s="15" t="str">
        <f t="shared" ca="1" si="1115"/>
        <v>'0'!B49</v>
      </c>
    </row>
    <row r="3967" spans="1:16" x14ac:dyDescent="0.25">
      <c r="A3967" s="3" t="str">
        <f t="shared" ca="1" si="1116"/>
        <v/>
      </c>
      <c r="G3967" s="15">
        <f t="shared" ca="1" si="1106"/>
        <v>50</v>
      </c>
      <c r="H3967" s="15">
        <v>1</v>
      </c>
      <c r="I3967" s="15">
        <f t="shared" ca="1" si="1107"/>
        <v>0</v>
      </c>
      <c r="J3967" s="15" t="str">
        <f t="shared" ca="1" si="1114"/>
        <v>'0'!A50</v>
      </c>
      <c r="K3967" s="15" t="str">
        <f t="shared" ca="1" si="1115"/>
        <v>'0'!B50</v>
      </c>
    </row>
    <row r="3968" spans="1:16" x14ac:dyDescent="0.25">
      <c r="A3968" s="3" t="str">
        <f t="shared" ca="1" si="1116"/>
        <v/>
      </c>
      <c r="G3968" s="15">
        <f t="shared" ref="G3968" ca="1" si="1123">INDIRECT(M3968)</f>
        <v>31</v>
      </c>
      <c r="H3968" s="15">
        <v>1</v>
      </c>
      <c r="I3968" s="15">
        <f t="shared" ref="I3968" ca="1" si="1124">INDIRECT(N3968)</f>
        <v>0</v>
      </c>
      <c r="J3968" s="15" t="str">
        <f t="shared" ca="1" si="1114"/>
        <v>'0'!A31</v>
      </c>
      <c r="K3968" s="15" t="str">
        <f t="shared" ca="1" si="1115"/>
        <v>'0'!B31</v>
      </c>
      <c r="M3968" s="15" t="str">
        <f t="shared" ref="M3968" si="1125">ADDRESS(O3968,3,4,1,$R$1)</f>
        <v>konfig!C200</v>
      </c>
      <c r="N3968" s="15" t="str">
        <f t="shared" ref="N3968" si="1126">ADDRESS(O3968,1,4,1,$R$1)</f>
        <v>konfig!A200</v>
      </c>
      <c r="O3968" s="15">
        <v>200</v>
      </c>
      <c r="P3968" s="15">
        <v>4</v>
      </c>
    </row>
    <row r="3969" spans="1:11" x14ac:dyDescent="0.25">
      <c r="A3969" s="3" t="str">
        <f t="shared" ca="1" si="1116"/>
        <v/>
      </c>
      <c r="G3969" s="15">
        <f t="shared" ca="1" si="1112"/>
        <v>32</v>
      </c>
      <c r="H3969" s="15">
        <v>1</v>
      </c>
      <c r="I3969" s="15">
        <f t="shared" ca="1" si="1113"/>
        <v>0</v>
      </c>
      <c r="J3969" s="15" t="str">
        <f t="shared" ca="1" si="1114"/>
        <v>'0'!A32</v>
      </c>
      <c r="K3969" s="15" t="str">
        <f t="shared" ca="1" si="1115"/>
        <v>'0'!B32</v>
      </c>
    </row>
    <row r="3970" spans="1:11" x14ac:dyDescent="0.25">
      <c r="A3970" s="3" t="str">
        <f t="shared" ca="1" si="1116"/>
        <v/>
      </c>
      <c r="G3970" s="15">
        <f t="shared" ca="1" si="1112"/>
        <v>33</v>
      </c>
      <c r="H3970" s="15">
        <v>1</v>
      </c>
      <c r="I3970" s="15">
        <f t="shared" ca="1" si="1113"/>
        <v>0</v>
      </c>
      <c r="J3970" s="15" t="str">
        <f t="shared" ca="1" si="1114"/>
        <v>'0'!A33</v>
      </c>
      <c r="K3970" s="15" t="str">
        <f t="shared" ca="1" si="1115"/>
        <v>'0'!B33</v>
      </c>
    </row>
    <row r="3971" spans="1:11" x14ac:dyDescent="0.25">
      <c r="A3971" s="3" t="str">
        <f t="shared" ca="1" si="1116"/>
        <v/>
      </c>
      <c r="C3971" s="16"/>
      <c r="G3971" s="15">
        <f t="shared" ca="1" si="1112"/>
        <v>34</v>
      </c>
      <c r="H3971" s="15">
        <v>1</v>
      </c>
      <c r="I3971" s="15">
        <f t="shared" ca="1" si="1113"/>
        <v>0</v>
      </c>
      <c r="J3971" s="15" t="str">
        <f t="shared" ca="1" si="1114"/>
        <v>'0'!A34</v>
      </c>
      <c r="K3971" s="15" t="str">
        <f t="shared" ca="1" si="1115"/>
        <v>'0'!B34</v>
      </c>
    </row>
    <row r="3972" spans="1:11" x14ac:dyDescent="0.25">
      <c r="A3972" s="3" t="str">
        <f t="shared" ca="1" si="1116"/>
        <v/>
      </c>
      <c r="G3972" s="15">
        <f t="shared" ca="1" si="1112"/>
        <v>35</v>
      </c>
      <c r="H3972" s="15">
        <v>1</v>
      </c>
      <c r="I3972" s="15">
        <f t="shared" ca="1" si="1113"/>
        <v>0</v>
      </c>
      <c r="J3972" s="15" t="str">
        <f t="shared" ca="1" si="1114"/>
        <v>'0'!A35</v>
      </c>
      <c r="K3972" s="15" t="str">
        <f t="shared" ca="1" si="1115"/>
        <v>'0'!B35</v>
      </c>
    </row>
    <row r="3973" spans="1:11" x14ac:dyDescent="0.25">
      <c r="A3973" s="3" t="str">
        <f t="shared" ca="1" si="1116"/>
        <v/>
      </c>
      <c r="G3973" s="15">
        <f t="shared" ca="1" si="1106"/>
        <v>36</v>
      </c>
      <c r="H3973" s="15">
        <v>1</v>
      </c>
      <c r="I3973" s="15">
        <f t="shared" ca="1" si="1107"/>
        <v>0</v>
      </c>
      <c r="J3973" s="15" t="str">
        <f t="shared" ca="1" si="1114"/>
        <v>'0'!A36</v>
      </c>
      <c r="K3973" s="15" t="str">
        <f t="shared" ca="1" si="1115"/>
        <v>'0'!B36</v>
      </c>
    </row>
    <row r="3974" spans="1:11" x14ac:dyDescent="0.25">
      <c r="A3974" s="3" t="str">
        <f t="shared" ca="1" si="1116"/>
        <v/>
      </c>
      <c r="G3974" s="15">
        <f t="shared" ca="1" si="1106"/>
        <v>37</v>
      </c>
      <c r="H3974" s="15">
        <v>1</v>
      </c>
      <c r="I3974" s="15">
        <f t="shared" ca="1" si="1107"/>
        <v>0</v>
      </c>
      <c r="J3974" s="15" t="str">
        <f t="shared" ca="1" si="1114"/>
        <v>'0'!A37</v>
      </c>
      <c r="K3974" s="15" t="str">
        <f t="shared" ca="1" si="1115"/>
        <v>'0'!B37</v>
      </c>
    </row>
    <row r="3975" spans="1:11" x14ac:dyDescent="0.25">
      <c r="A3975" s="3" t="str">
        <f t="shared" ca="1" si="1116"/>
        <v/>
      </c>
      <c r="G3975" s="15">
        <f t="shared" ca="1" si="1106"/>
        <v>38</v>
      </c>
      <c r="H3975" s="15">
        <v>1</v>
      </c>
      <c r="I3975" s="15">
        <f t="shared" ca="1" si="1107"/>
        <v>0</v>
      </c>
      <c r="J3975" s="15" t="str">
        <f t="shared" ca="1" si="1114"/>
        <v>'0'!A38</v>
      </c>
      <c r="K3975" s="15" t="str">
        <f t="shared" ca="1" si="1115"/>
        <v>'0'!B38</v>
      </c>
    </row>
    <row r="3976" spans="1:11" x14ac:dyDescent="0.25">
      <c r="A3976" s="3" t="str">
        <f t="shared" ca="1" si="1116"/>
        <v/>
      </c>
      <c r="G3976" s="15">
        <f t="shared" ca="1" si="1106"/>
        <v>39</v>
      </c>
      <c r="H3976" s="15">
        <v>1</v>
      </c>
      <c r="I3976" s="15">
        <f t="shared" ca="1" si="1107"/>
        <v>0</v>
      </c>
      <c r="J3976" s="15" t="str">
        <f t="shared" ca="1" si="1114"/>
        <v>'0'!A39</v>
      </c>
      <c r="K3976" s="15" t="str">
        <f t="shared" ca="1" si="1115"/>
        <v>'0'!B39</v>
      </c>
    </row>
    <row r="3977" spans="1:11" x14ac:dyDescent="0.25">
      <c r="A3977" s="3" t="str">
        <f t="shared" ca="1" si="1116"/>
        <v/>
      </c>
      <c r="G3977" s="15">
        <f t="shared" ref="G3977:G4040" ca="1" si="1127">G3976+1</f>
        <v>40</v>
      </c>
      <c r="H3977" s="15">
        <v>1</v>
      </c>
      <c r="I3977" s="15">
        <f t="shared" ref="I3977:I4040" ca="1" si="1128">I3976</f>
        <v>0</v>
      </c>
      <c r="J3977" s="15" t="str">
        <f t="shared" ca="1" si="1114"/>
        <v>'0'!A40</v>
      </c>
      <c r="K3977" s="15" t="str">
        <f t="shared" ca="1" si="1115"/>
        <v>'0'!B40</v>
      </c>
    </row>
    <row r="3978" spans="1:11" x14ac:dyDescent="0.25">
      <c r="A3978" s="3" t="str">
        <f t="shared" ca="1" si="1116"/>
        <v/>
      </c>
      <c r="G3978" s="15">
        <f t="shared" ca="1" si="1127"/>
        <v>41</v>
      </c>
      <c r="H3978" s="15">
        <v>1</v>
      </c>
      <c r="I3978" s="15">
        <f t="shared" ca="1" si="1128"/>
        <v>0</v>
      </c>
      <c r="J3978" s="15" t="str">
        <f t="shared" ca="1" si="1114"/>
        <v>'0'!A41</v>
      </c>
      <c r="K3978" s="15" t="str">
        <f t="shared" ca="1" si="1115"/>
        <v>'0'!B41</v>
      </c>
    </row>
    <row r="3979" spans="1:11" x14ac:dyDescent="0.25">
      <c r="A3979" s="3" t="str">
        <f t="shared" ca="1" si="1116"/>
        <v/>
      </c>
      <c r="C3979" s="16"/>
      <c r="G3979" s="15">
        <f t="shared" ca="1" si="1127"/>
        <v>42</v>
      </c>
      <c r="H3979" s="15">
        <v>1</v>
      </c>
      <c r="I3979" s="15">
        <f t="shared" ca="1" si="1128"/>
        <v>0</v>
      </c>
      <c r="J3979" s="15" t="str">
        <f t="shared" ca="1" si="1114"/>
        <v>'0'!A42</v>
      </c>
      <c r="K3979" s="15" t="str">
        <f t="shared" ca="1" si="1115"/>
        <v>'0'!B42</v>
      </c>
    </row>
    <row r="3980" spans="1:11" x14ac:dyDescent="0.25">
      <c r="A3980" s="3" t="str">
        <f t="shared" ca="1" si="1116"/>
        <v/>
      </c>
      <c r="G3980" s="15">
        <f t="shared" ca="1" si="1127"/>
        <v>43</v>
      </c>
      <c r="H3980" s="15">
        <v>1</v>
      </c>
      <c r="I3980" s="15">
        <f t="shared" ca="1" si="1128"/>
        <v>0</v>
      </c>
      <c r="J3980" s="15" t="str">
        <f t="shared" ca="1" si="1114"/>
        <v>'0'!A43</v>
      </c>
      <c r="K3980" s="15" t="str">
        <f t="shared" ca="1" si="1115"/>
        <v>'0'!B43</v>
      </c>
    </row>
    <row r="3981" spans="1:11" x14ac:dyDescent="0.25">
      <c r="A3981" s="3" t="str">
        <f t="shared" ca="1" si="1116"/>
        <v/>
      </c>
      <c r="G3981" s="15">
        <f t="shared" ca="1" si="1127"/>
        <v>44</v>
      </c>
      <c r="H3981" s="15">
        <v>1</v>
      </c>
      <c r="I3981" s="15">
        <f t="shared" ca="1" si="1128"/>
        <v>0</v>
      </c>
      <c r="J3981" s="15" t="str">
        <f t="shared" ca="1" si="1114"/>
        <v>'0'!A44</v>
      </c>
      <c r="K3981" s="15" t="str">
        <f t="shared" ca="1" si="1115"/>
        <v>'0'!B44</v>
      </c>
    </row>
    <row r="3982" spans="1:11" x14ac:dyDescent="0.25">
      <c r="A3982" s="3" t="str">
        <f t="shared" ca="1" si="1116"/>
        <v/>
      </c>
      <c r="G3982" s="15">
        <f t="shared" ca="1" si="1127"/>
        <v>45</v>
      </c>
      <c r="H3982" s="15">
        <v>1</v>
      </c>
      <c r="I3982" s="15">
        <f t="shared" ca="1" si="1128"/>
        <v>0</v>
      </c>
      <c r="J3982" s="15" t="str">
        <f t="shared" ca="1" si="1114"/>
        <v>'0'!A45</v>
      </c>
      <c r="K3982" s="15" t="str">
        <f t="shared" ca="1" si="1115"/>
        <v>'0'!B45</v>
      </c>
    </row>
    <row r="3983" spans="1:11" x14ac:dyDescent="0.25">
      <c r="A3983" s="3" t="str">
        <f t="shared" ca="1" si="1116"/>
        <v/>
      </c>
      <c r="G3983" s="15">
        <f t="shared" ca="1" si="1127"/>
        <v>46</v>
      </c>
      <c r="H3983" s="15">
        <v>1</v>
      </c>
      <c r="I3983" s="15">
        <f t="shared" ca="1" si="1128"/>
        <v>0</v>
      </c>
      <c r="J3983" s="15" t="str">
        <f t="shared" ca="1" si="1114"/>
        <v>'0'!A46</v>
      </c>
      <c r="K3983" s="15" t="str">
        <f t="shared" ca="1" si="1115"/>
        <v>'0'!B46</v>
      </c>
    </row>
    <row r="3984" spans="1:11" x14ac:dyDescent="0.25">
      <c r="A3984" s="3" t="str">
        <f t="shared" ca="1" si="1116"/>
        <v/>
      </c>
      <c r="G3984" s="15">
        <f t="shared" ca="1" si="1127"/>
        <v>47</v>
      </c>
      <c r="H3984" s="15">
        <v>1</v>
      </c>
      <c r="I3984" s="15">
        <f t="shared" ca="1" si="1128"/>
        <v>0</v>
      </c>
      <c r="J3984" s="15" t="str">
        <f t="shared" ca="1" si="1114"/>
        <v>'0'!A47</v>
      </c>
      <c r="K3984" s="15" t="str">
        <f t="shared" ca="1" si="1115"/>
        <v>'0'!B47</v>
      </c>
    </row>
    <row r="3985" spans="1:16" x14ac:dyDescent="0.25">
      <c r="A3985" s="3" t="str">
        <f t="shared" ca="1" si="1116"/>
        <v/>
      </c>
      <c r="G3985" s="15">
        <f t="shared" ca="1" si="1127"/>
        <v>48</v>
      </c>
      <c r="H3985" s="15">
        <v>1</v>
      </c>
      <c r="I3985" s="15">
        <f t="shared" ca="1" si="1128"/>
        <v>0</v>
      </c>
      <c r="J3985" s="15" t="str">
        <f t="shared" ca="1" si="1114"/>
        <v>'0'!A48</v>
      </c>
      <c r="K3985" s="15" t="str">
        <f t="shared" ca="1" si="1115"/>
        <v>'0'!B48</v>
      </c>
    </row>
    <row r="3986" spans="1:16" x14ac:dyDescent="0.25">
      <c r="A3986" s="3" t="str">
        <f t="shared" ca="1" si="1116"/>
        <v/>
      </c>
      <c r="G3986" s="15">
        <f t="shared" ca="1" si="1127"/>
        <v>49</v>
      </c>
      <c r="H3986" s="15">
        <v>1</v>
      </c>
      <c r="I3986" s="15">
        <f t="shared" ca="1" si="1128"/>
        <v>0</v>
      </c>
      <c r="J3986" s="15" t="str">
        <f t="shared" ca="1" si="1114"/>
        <v>'0'!A49</v>
      </c>
      <c r="K3986" s="15" t="str">
        <f t="shared" ca="1" si="1115"/>
        <v>'0'!B49</v>
      </c>
    </row>
    <row r="3987" spans="1:16" x14ac:dyDescent="0.25">
      <c r="A3987" s="3" t="str">
        <f t="shared" ca="1" si="1116"/>
        <v/>
      </c>
      <c r="G3987" s="15">
        <f t="shared" ca="1" si="1127"/>
        <v>50</v>
      </c>
      <c r="H3987" s="15">
        <v>1</v>
      </c>
      <c r="I3987" s="15">
        <f t="shared" ca="1" si="1128"/>
        <v>0</v>
      </c>
      <c r="J3987" s="15" t="str">
        <f t="shared" ca="1" si="1114"/>
        <v>'0'!A50</v>
      </c>
      <c r="K3987" s="15" t="str">
        <f t="shared" ca="1" si="1115"/>
        <v>'0'!B50</v>
      </c>
    </row>
    <row r="3988" spans="1:16" x14ac:dyDescent="0.25">
      <c r="A3988" s="3" t="str">
        <f t="shared" ca="1" si="1116"/>
        <v/>
      </c>
      <c r="G3988" s="15">
        <f t="shared" ref="G3988" ca="1" si="1129">INDIRECT(M3988)</f>
        <v>31</v>
      </c>
      <c r="H3988" s="15">
        <v>1</v>
      </c>
      <c r="I3988" s="15">
        <f t="shared" ref="I3988" ca="1" si="1130">INDIRECT(N3988)</f>
        <v>0</v>
      </c>
      <c r="J3988" s="15" t="str">
        <f t="shared" ca="1" si="1114"/>
        <v>'0'!A31</v>
      </c>
      <c r="K3988" s="15" t="str">
        <f t="shared" ca="1" si="1115"/>
        <v>'0'!B31</v>
      </c>
      <c r="M3988" s="15" t="str">
        <f t="shared" ref="M3988" si="1131">ADDRESS(O3988,3,4,1,$R$1)</f>
        <v>konfig!C201</v>
      </c>
      <c r="N3988" s="15" t="str">
        <f t="shared" ref="N3988" si="1132">ADDRESS(O3988,1,4,1,$R$1)</f>
        <v>konfig!A201</v>
      </c>
      <c r="O3988" s="15">
        <v>201</v>
      </c>
      <c r="P3988" s="15">
        <v>4</v>
      </c>
    </row>
    <row r="3989" spans="1:16" x14ac:dyDescent="0.25">
      <c r="A3989" s="3" t="str">
        <f t="shared" ca="1" si="1116"/>
        <v/>
      </c>
      <c r="G3989" s="15">
        <f t="shared" ca="1" si="1121"/>
        <v>32</v>
      </c>
      <c r="H3989" s="15">
        <v>1</v>
      </c>
      <c r="I3989" s="15">
        <f t="shared" ca="1" si="1122"/>
        <v>0</v>
      </c>
      <c r="J3989" s="15" t="str">
        <f t="shared" ca="1" si="1114"/>
        <v>'0'!A32</v>
      </c>
      <c r="K3989" s="15" t="str">
        <f t="shared" ca="1" si="1115"/>
        <v>'0'!B32</v>
      </c>
    </row>
    <row r="3990" spans="1:16" x14ac:dyDescent="0.25">
      <c r="A3990" s="3" t="str">
        <f t="shared" ca="1" si="1116"/>
        <v/>
      </c>
      <c r="G3990" s="15">
        <f t="shared" ca="1" si="1127"/>
        <v>33</v>
      </c>
      <c r="H3990" s="15">
        <v>1</v>
      </c>
      <c r="I3990" s="15">
        <f t="shared" ca="1" si="1128"/>
        <v>0</v>
      </c>
      <c r="J3990" s="15" t="str">
        <f t="shared" ca="1" si="1114"/>
        <v>'0'!A33</v>
      </c>
      <c r="K3990" s="15" t="str">
        <f t="shared" ca="1" si="1115"/>
        <v>'0'!B33</v>
      </c>
    </row>
    <row r="3991" spans="1:16" x14ac:dyDescent="0.25">
      <c r="A3991" s="3" t="str">
        <f t="shared" ca="1" si="1116"/>
        <v/>
      </c>
      <c r="C3991" s="16"/>
      <c r="G3991" s="15">
        <f t="shared" ca="1" si="1127"/>
        <v>34</v>
      </c>
      <c r="H3991" s="15">
        <v>1</v>
      </c>
      <c r="I3991" s="15">
        <f t="shared" ca="1" si="1128"/>
        <v>0</v>
      </c>
      <c r="J3991" s="15" t="str">
        <f t="shared" ca="1" si="1114"/>
        <v>'0'!A34</v>
      </c>
      <c r="K3991" s="15" t="str">
        <f t="shared" ca="1" si="1115"/>
        <v>'0'!B34</v>
      </c>
    </row>
    <row r="3992" spans="1:16" x14ac:dyDescent="0.25">
      <c r="A3992" s="3" t="str">
        <f t="shared" ca="1" si="1116"/>
        <v/>
      </c>
      <c r="G3992" s="15">
        <f t="shared" ca="1" si="1127"/>
        <v>35</v>
      </c>
      <c r="H3992" s="15">
        <v>1</v>
      </c>
      <c r="I3992" s="15">
        <f t="shared" ca="1" si="1128"/>
        <v>0</v>
      </c>
      <c r="J3992" s="15" t="str">
        <f t="shared" ca="1" si="1114"/>
        <v>'0'!A35</v>
      </c>
      <c r="K3992" s="15" t="str">
        <f t="shared" ca="1" si="1115"/>
        <v>'0'!B35</v>
      </c>
    </row>
    <row r="3993" spans="1:16" x14ac:dyDescent="0.25">
      <c r="A3993" s="3" t="str">
        <f t="shared" ca="1" si="1116"/>
        <v/>
      </c>
      <c r="G3993" s="15">
        <f t="shared" ca="1" si="1127"/>
        <v>36</v>
      </c>
      <c r="H3993" s="15">
        <v>1</v>
      </c>
      <c r="I3993" s="15">
        <f t="shared" ca="1" si="1128"/>
        <v>0</v>
      </c>
      <c r="J3993" s="15" t="str">
        <f t="shared" ca="1" si="1114"/>
        <v>'0'!A36</v>
      </c>
      <c r="K3993" s="15" t="str">
        <f t="shared" ca="1" si="1115"/>
        <v>'0'!B36</v>
      </c>
    </row>
    <row r="3994" spans="1:16" x14ac:dyDescent="0.25">
      <c r="A3994" s="3" t="str">
        <f t="shared" ca="1" si="1116"/>
        <v/>
      </c>
      <c r="G3994" s="15">
        <f t="shared" ca="1" si="1127"/>
        <v>37</v>
      </c>
      <c r="H3994" s="15">
        <v>1</v>
      </c>
      <c r="I3994" s="15">
        <f t="shared" ca="1" si="1128"/>
        <v>0</v>
      </c>
      <c r="J3994" s="15" t="str">
        <f t="shared" ca="1" si="1114"/>
        <v>'0'!A37</v>
      </c>
      <c r="K3994" s="15" t="str">
        <f t="shared" ca="1" si="1115"/>
        <v>'0'!B37</v>
      </c>
    </row>
    <row r="3995" spans="1:16" x14ac:dyDescent="0.25">
      <c r="A3995" s="3" t="str">
        <f t="shared" ca="1" si="1116"/>
        <v/>
      </c>
      <c r="G3995" s="15">
        <f t="shared" ca="1" si="1127"/>
        <v>38</v>
      </c>
      <c r="H3995" s="15">
        <v>1</v>
      </c>
      <c r="I3995" s="15">
        <f t="shared" ca="1" si="1128"/>
        <v>0</v>
      </c>
      <c r="J3995" s="15" t="str">
        <f t="shared" ca="1" si="1114"/>
        <v>'0'!A38</v>
      </c>
      <c r="K3995" s="15" t="str">
        <f t="shared" ca="1" si="1115"/>
        <v>'0'!B38</v>
      </c>
    </row>
    <row r="3996" spans="1:16" x14ac:dyDescent="0.25">
      <c r="A3996" s="3" t="str">
        <f t="shared" ca="1" si="1116"/>
        <v/>
      </c>
      <c r="G3996" s="15">
        <f t="shared" ca="1" si="1127"/>
        <v>39</v>
      </c>
      <c r="H3996" s="15">
        <v>1</v>
      </c>
      <c r="I3996" s="15">
        <f t="shared" ca="1" si="1128"/>
        <v>0</v>
      </c>
      <c r="J3996" s="15" t="str">
        <f t="shared" ca="1" si="1114"/>
        <v>'0'!A39</v>
      </c>
      <c r="K3996" s="15" t="str">
        <f t="shared" ca="1" si="1115"/>
        <v>'0'!B39</v>
      </c>
    </row>
    <row r="3997" spans="1:16" x14ac:dyDescent="0.25">
      <c r="A3997" s="3" t="str">
        <f t="shared" ca="1" si="1116"/>
        <v/>
      </c>
      <c r="G3997" s="15">
        <f t="shared" ca="1" si="1127"/>
        <v>40</v>
      </c>
      <c r="H3997" s="15">
        <v>1</v>
      </c>
      <c r="I3997" s="15">
        <f t="shared" ca="1" si="1128"/>
        <v>0</v>
      </c>
      <c r="J3997" s="15" t="str">
        <f t="shared" ca="1" si="1114"/>
        <v>'0'!A40</v>
      </c>
      <c r="K3997" s="15" t="str">
        <f t="shared" ca="1" si="1115"/>
        <v>'0'!B40</v>
      </c>
    </row>
    <row r="3998" spans="1:16" x14ac:dyDescent="0.25">
      <c r="A3998" s="3" t="str">
        <f t="shared" ca="1" si="1116"/>
        <v/>
      </c>
      <c r="G3998" s="15">
        <f t="shared" ca="1" si="1127"/>
        <v>41</v>
      </c>
      <c r="H3998" s="15">
        <v>1</v>
      </c>
      <c r="I3998" s="15">
        <f t="shared" ca="1" si="1128"/>
        <v>0</v>
      </c>
      <c r="J3998" s="15" t="str">
        <f t="shared" ca="1" si="1114"/>
        <v>'0'!A41</v>
      </c>
      <c r="K3998" s="15" t="str">
        <f t="shared" ca="1" si="1115"/>
        <v>'0'!B41</v>
      </c>
    </row>
    <row r="3999" spans="1:16" x14ac:dyDescent="0.25">
      <c r="A3999" s="3" t="str">
        <f t="shared" ca="1" si="1116"/>
        <v/>
      </c>
      <c r="C3999" s="16"/>
      <c r="G3999" s="15">
        <f t="shared" ca="1" si="1127"/>
        <v>42</v>
      </c>
      <c r="H3999" s="15">
        <v>1</v>
      </c>
      <c r="I3999" s="15">
        <f t="shared" ca="1" si="1128"/>
        <v>0</v>
      </c>
      <c r="J3999" s="15" t="str">
        <f t="shared" ca="1" si="1114"/>
        <v>'0'!A42</v>
      </c>
      <c r="K3999" s="15" t="str">
        <f t="shared" ca="1" si="1115"/>
        <v>'0'!B42</v>
      </c>
    </row>
    <row r="4000" spans="1:16" x14ac:dyDescent="0.25">
      <c r="A4000" s="3" t="str">
        <f t="shared" ca="1" si="1116"/>
        <v/>
      </c>
      <c r="G4000" s="15">
        <f t="shared" ca="1" si="1127"/>
        <v>43</v>
      </c>
      <c r="H4000" s="15">
        <v>1</v>
      </c>
      <c r="I4000" s="15">
        <f t="shared" ca="1" si="1128"/>
        <v>0</v>
      </c>
      <c r="J4000" s="15" t="str">
        <f t="shared" ca="1" si="1114"/>
        <v>'0'!A43</v>
      </c>
      <c r="K4000" s="15" t="str">
        <f t="shared" ca="1" si="1115"/>
        <v>'0'!B43</v>
      </c>
    </row>
    <row r="4001" spans="1:16" x14ac:dyDescent="0.25">
      <c r="A4001" s="3" t="str">
        <f t="shared" ca="1" si="1116"/>
        <v/>
      </c>
      <c r="G4001" s="15">
        <f t="shared" ca="1" si="1127"/>
        <v>44</v>
      </c>
      <c r="H4001" s="15">
        <v>1</v>
      </c>
      <c r="I4001" s="15">
        <f t="shared" ca="1" si="1128"/>
        <v>0</v>
      </c>
      <c r="J4001" s="15" t="str">
        <f t="shared" ca="1" si="1114"/>
        <v>'0'!A44</v>
      </c>
      <c r="K4001" s="15" t="str">
        <f t="shared" ca="1" si="1115"/>
        <v>'0'!B44</v>
      </c>
    </row>
    <row r="4002" spans="1:16" x14ac:dyDescent="0.25">
      <c r="A4002" s="3" t="str">
        <f t="shared" ca="1" si="1116"/>
        <v/>
      </c>
      <c r="G4002" s="15">
        <f t="shared" ca="1" si="1127"/>
        <v>45</v>
      </c>
      <c r="H4002" s="15">
        <v>1</v>
      </c>
      <c r="I4002" s="15">
        <f t="shared" ca="1" si="1128"/>
        <v>0</v>
      </c>
      <c r="J4002" s="15" t="str">
        <f t="shared" ca="1" si="1114"/>
        <v>'0'!A45</v>
      </c>
      <c r="K4002" s="15" t="str">
        <f t="shared" ca="1" si="1115"/>
        <v>'0'!B45</v>
      </c>
    </row>
    <row r="4003" spans="1:16" x14ac:dyDescent="0.25">
      <c r="A4003" s="3" t="str">
        <f t="shared" ca="1" si="1116"/>
        <v/>
      </c>
      <c r="G4003" s="15">
        <f t="shared" ca="1" si="1127"/>
        <v>46</v>
      </c>
      <c r="H4003" s="15">
        <v>1</v>
      </c>
      <c r="I4003" s="15">
        <f t="shared" ca="1" si="1128"/>
        <v>0</v>
      </c>
      <c r="J4003" s="15" t="str">
        <f t="shared" ca="1" si="1114"/>
        <v>'0'!A46</v>
      </c>
      <c r="K4003" s="15" t="str">
        <f t="shared" ca="1" si="1115"/>
        <v>'0'!B46</v>
      </c>
    </row>
    <row r="4004" spans="1:16" x14ac:dyDescent="0.25">
      <c r="A4004" s="3" t="str">
        <f t="shared" ca="1" si="1116"/>
        <v/>
      </c>
      <c r="G4004" s="15">
        <f t="shared" ca="1" si="1127"/>
        <v>47</v>
      </c>
      <c r="H4004" s="15">
        <v>1</v>
      </c>
      <c r="I4004" s="15">
        <f t="shared" ca="1" si="1128"/>
        <v>0</v>
      </c>
      <c r="J4004" s="15" t="str">
        <f t="shared" ref="J4004:J4067" ca="1" si="1133">ADDRESS(G4004,H4004,4,1,I4004)</f>
        <v>'0'!A47</v>
      </c>
      <c r="K4004" s="15" t="str">
        <f t="shared" ref="K4004:K4067" ca="1" si="1134">ADDRESS(G4004,H4004+1,4,1,I4004)</f>
        <v>'0'!B47</v>
      </c>
    </row>
    <row r="4005" spans="1:16" x14ac:dyDescent="0.25">
      <c r="A4005" s="3" t="str">
        <f t="shared" ca="1" si="1116"/>
        <v/>
      </c>
      <c r="G4005" s="15">
        <f t="shared" ca="1" si="1127"/>
        <v>48</v>
      </c>
      <c r="H4005" s="15">
        <v>1</v>
      </c>
      <c r="I4005" s="15">
        <f t="shared" ca="1" si="1128"/>
        <v>0</v>
      </c>
      <c r="J4005" s="15" t="str">
        <f t="shared" ca="1" si="1133"/>
        <v>'0'!A48</v>
      </c>
      <c r="K4005" s="15" t="str">
        <f t="shared" ca="1" si="1134"/>
        <v>'0'!B48</v>
      </c>
    </row>
    <row r="4006" spans="1:16" x14ac:dyDescent="0.25">
      <c r="A4006" s="3" t="str">
        <f t="shared" ca="1" si="1116"/>
        <v/>
      </c>
      <c r="G4006" s="15">
        <f t="shared" ca="1" si="1127"/>
        <v>49</v>
      </c>
      <c r="H4006" s="15">
        <v>1</v>
      </c>
      <c r="I4006" s="15">
        <f t="shared" ca="1" si="1128"/>
        <v>0</v>
      </c>
      <c r="J4006" s="15" t="str">
        <f t="shared" ca="1" si="1133"/>
        <v>'0'!A49</v>
      </c>
      <c r="K4006" s="15" t="str">
        <f t="shared" ca="1" si="1134"/>
        <v>'0'!B49</v>
      </c>
    </row>
    <row r="4007" spans="1:16" x14ac:dyDescent="0.25">
      <c r="A4007" s="3" t="str">
        <f t="shared" ca="1" si="1116"/>
        <v/>
      </c>
      <c r="G4007" s="15">
        <f t="shared" ca="1" si="1127"/>
        <v>50</v>
      </c>
      <c r="H4007" s="15">
        <v>1</v>
      </c>
      <c r="I4007" s="15">
        <f t="shared" ca="1" si="1128"/>
        <v>0</v>
      </c>
      <c r="J4007" s="15" t="str">
        <f t="shared" ca="1" si="1133"/>
        <v>'0'!A50</v>
      </c>
      <c r="K4007" s="15" t="str">
        <f t="shared" ca="1" si="1134"/>
        <v>'0'!B50</v>
      </c>
    </row>
    <row r="4008" spans="1:16" x14ac:dyDescent="0.25">
      <c r="A4008" s="3" t="str">
        <f t="shared" ca="1" si="1116"/>
        <v/>
      </c>
      <c r="G4008" s="15">
        <f t="shared" ref="G4008" ca="1" si="1135">INDIRECT(M4008)</f>
        <v>31</v>
      </c>
      <c r="H4008" s="15">
        <v>1</v>
      </c>
      <c r="I4008" s="15">
        <f t="shared" ref="I4008" ca="1" si="1136">INDIRECT(N4008)</f>
        <v>0</v>
      </c>
      <c r="J4008" s="15" t="str">
        <f t="shared" ca="1" si="1133"/>
        <v>'0'!A31</v>
      </c>
      <c r="K4008" s="15" t="str">
        <f t="shared" ca="1" si="1134"/>
        <v>'0'!B31</v>
      </c>
      <c r="M4008" s="15" t="str">
        <f t="shared" ref="M4008" si="1137">ADDRESS(O4008,3,4,1,$R$1)</f>
        <v>konfig!C202</v>
      </c>
      <c r="N4008" s="15" t="str">
        <f t="shared" ref="N4008" si="1138">ADDRESS(O4008,1,4,1,$R$1)</f>
        <v>konfig!A202</v>
      </c>
      <c r="O4008" s="15">
        <v>202</v>
      </c>
      <c r="P4008" s="15">
        <v>4</v>
      </c>
    </row>
    <row r="4009" spans="1:16" x14ac:dyDescent="0.25">
      <c r="A4009" s="3" t="str">
        <f t="shared" ca="1" si="1116"/>
        <v/>
      </c>
      <c r="G4009" s="15">
        <f t="shared" ref="G4009:G4052" ca="1" si="1139">G4008+1</f>
        <v>32</v>
      </c>
      <c r="H4009" s="15">
        <v>1</v>
      </c>
      <c r="I4009" s="15">
        <f t="shared" ref="I4009:I4052" ca="1" si="1140">I4008</f>
        <v>0</v>
      </c>
      <c r="J4009" s="15" t="str">
        <f t="shared" ca="1" si="1133"/>
        <v>'0'!A32</v>
      </c>
      <c r="K4009" s="15" t="str">
        <f t="shared" ca="1" si="1134"/>
        <v>'0'!B32</v>
      </c>
    </row>
    <row r="4010" spans="1:16" x14ac:dyDescent="0.25">
      <c r="A4010" s="3" t="str">
        <f t="shared" ca="1" si="1116"/>
        <v/>
      </c>
      <c r="G4010" s="15">
        <f t="shared" ca="1" si="1139"/>
        <v>33</v>
      </c>
      <c r="H4010" s="15">
        <v>1</v>
      </c>
      <c r="I4010" s="15">
        <f t="shared" ca="1" si="1140"/>
        <v>0</v>
      </c>
      <c r="J4010" s="15" t="str">
        <f t="shared" ca="1" si="1133"/>
        <v>'0'!A33</v>
      </c>
      <c r="K4010" s="15" t="str">
        <f t="shared" ca="1" si="1134"/>
        <v>'0'!B33</v>
      </c>
    </row>
    <row r="4011" spans="1:16" x14ac:dyDescent="0.25">
      <c r="A4011" s="3" t="str">
        <f t="shared" ca="1" si="1116"/>
        <v/>
      </c>
      <c r="C4011" s="16"/>
      <c r="G4011" s="15">
        <f t="shared" ca="1" si="1139"/>
        <v>34</v>
      </c>
      <c r="H4011" s="15">
        <v>1</v>
      </c>
      <c r="I4011" s="15">
        <f t="shared" ca="1" si="1140"/>
        <v>0</v>
      </c>
      <c r="J4011" s="15" t="str">
        <f t="shared" ca="1" si="1133"/>
        <v>'0'!A34</v>
      </c>
      <c r="K4011" s="15" t="str">
        <f t="shared" ca="1" si="1134"/>
        <v>'0'!B34</v>
      </c>
    </row>
    <row r="4012" spans="1:16" x14ac:dyDescent="0.25">
      <c r="A4012" s="3" t="str">
        <f t="shared" ref="A4012:A4075" ca="1" si="1141">IFERROR(IF(INDIRECT(J4012)&lt;&gt;"",CONCATENATE(INDIRECT(J4012)," = ",INDIRECT(K4012)," "),""),"")</f>
        <v/>
      </c>
      <c r="G4012" s="15">
        <f t="shared" ca="1" si="1139"/>
        <v>35</v>
      </c>
      <c r="H4012" s="15">
        <v>1</v>
      </c>
      <c r="I4012" s="15">
        <f t="shared" ca="1" si="1140"/>
        <v>0</v>
      </c>
      <c r="J4012" s="15" t="str">
        <f t="shared" ca="1" si="1133"/>
        <v>'0'!A35</v>
      </c>
      <c r="K4012" s="15" t="str">
        <f t="shared" ca="1" si="1134"/>
        <v>'0'!B35</v>
      </c>
    </row>
    <row r="4013" spans="1:16" x14ac:dyDescent="0.25">
      <c r="A4013" s="3" t="str">
        <f t="shared" ca="1" si="1141"/>
        <v/>
      </c>
      <c r="G4013" s="15">
        <f t="shared" ca="1" si="1127"/>
        <v>36</v>
      </c>
      <c r="H4013" s="15">
        <v>1</v>
      </c>
      <c r="I4013" s="15">
        <f t="shared" ca="1" si="1128"/>
        <v>0</v>
      </c>
      <c r="J4013" s="15" t="str">
        <f t="shared" ca="1" si="1133"/>
        <v>'0'!A36</v>
      </c>
      <c r="K4013" s="15" t="str">
        <f t="shared" ca="1" si="1134"/>
        <v>'0'!B36</v>
      </c>
    </row>
    <row r="4014" spans="1:16" x14ac:dyDescent="0.25">
      <c r="A4014" s="3" t="str">
        <f t="shared" ca="1" si="1141"/>
        <v/>
      </c>
      <c r="G4014" s="15">
        <f t="shared" ca="1" si="1127"/>
        <v>37</v>
      </c>
      <c r="H4014" s="15">
        <v>1</v>
      </c>
      <c r="I4014" s="15">
        <f t="shared" ca="1" si="1128"/>
        <v>0</v>
      </c>
      <c r="J4014" s="15" t="str">
        <f t="shared" ca="1" si="1133"/>
        <v>'0'!A37</v>
      </c>
      <c r="K4014" s="15" t="str">
        <f t="shared" ca="1" si="1134"/>
        <v>'0'!B37</v>
      </c>
    </row>
    <row r="4015" spans="1:16" x14ac:dyDescent="0.25">
      <c r="A4015" s="3" t="str">
        <f t="shared" ca="1" si="1141"/>
        <v/>
      </c>
      <c r="G4015" s="15">
        <f t="shared" ca="1" si="1127"/>
        <v>38</v>
      </c>
      <c r="H4015" s="15">
        <v>1</v>
      </c>
      <c r="I4015" s="15">
        <f t="shared" ca="1" si="1128"/>
        <v>0</v>
      </c>
      <c r="J4015" s="15" t="str">
        <f t="shared" ca="1" si="1133"/>
        <v>'0'!A38</v>
      </c>
      <c r="K4015" s="15" t="str">
        <f t="shared" ca="1" si="1134"/>
        <v>'0'!B38</v>
      </c>
    </row>
    <row r="4016" spans="1:16" x14ac:dyDescent="0.25">
      <c r="A4016" s="3" t="str">
        <f t="shared" ca="1" si="1141"/>
        <v/>
      </c>
      <c r="G4016" s="15">
        <f t="shared" ca="1" si="1127"/>
        <v>39</v>
      </c>
      <c r="H4016" s="15">
        <v>1</v>
      </c>
      <c r="I4016" s="15">
        <f t="shared" ca="1" si="1128"/>
        <v>0</v>
      </c>
      <c r="J4016" s="15" t="str">
        <f t="shared" ca="1" si="1133"/>
        <v>'0'!A39</v>
      </c>
      <c r="K4016" s="15" t="str">
        <f t="shared" ca="1" si="1134"/>
        <v>'0'!B39</v>
      </c>
    </row>
    <row r="4017" spans="1:16" x14ac:dyDescent="0.25">
      <c r="A4017" s="3" t="str">
        <f t="shared" ca="1" si="1141"/>
        <v/>
      </c>
      <c r="G4017" s="15">
        <f t="shared" ca="1" si="1127"/>
        <v>40</v>
      </c>
      <c r="H4017" s="15">
        <v>1</v>
      </c>
      <c r="I4017" s="15">
        <f t="shared" ca="1" si="1128"/>
        <v>0</v>
      </c>
      <c r="J4017" s="15" t="str">
        <f t="shared" ca="1" si="1133"/>
        <v>'0'!A40</v>
      </c>
      <c r="K4017" s="15" t="str">
        <f t="shared" ca="1" si="1134"/>
        <v>'0'!B40</v>
      </c>
    </row>
    <row r="4018" spans="1:16" x14ac:dyDescent="0.25">
      <c r="A4018" s="3" t="str">
        <f t="shared" ca="1" si="1141"/>
        <v/>
      </c>
      <c r="G4018" s="15">
        <f t="shared" ca="1" si="1127"/>
        <v>41</v>
      </c>
      <c r="H4018" s="15">
        <v>1</v>
      </c>
      <c r="I4018" s="15">
        <f t="shared" ca="1" si="1128"/>
        <v>0</v>
      </c>
      <c r="J4018" s="15" t="str">
        <f t="shared" ca="1" si="1133"/>
        <v>'0'!A41</v>
      </c>
      <c r="K4018" s="15" t="str">
        <f t="shared" ca="1" si="1134"/>
        <v>'0'!B41</v>
      </c>
    </row>
    <row r="4019" spans="1:16" x14ac:dyDescent="0.25">
      <c r="A4019" s="3" t="str">
        <f t="shared" ca="1" si="1141"/>
        <v/>
      </c>
      <c r="C4019" s="16"/>
      <c r="G4019" s="15">
        <f t="shared" ca="1" si="1127"/>
        <v>42</v>
      </c>
      <c r="H4019" s="15">
        <v>1</v>
      </c>
      <c r="I4019" s="15">
        <f t="shared" ca="1" si="1128"/>
        <v>0</v>
      </c>
      <c r="J4019" s="15" t="str">
        <f t="shared" ca="1" si="1133"/>
        <v>'0'!A42</v>
      </c>
      <c r="K4019" s="15" t="str">
        <f t="shared" ca="1" si="1134"/>
        <v>'0'!B42</v>
      </c>
    </row>
    <row r="4020" spans="1:16" x14ac:dyDescent="0.25">
      <c r="A4020" s="3" t="str">
        <f t="shared" ca="1" si="1141"/>
        <v/>
      </c>
      <c r="G4020" s="15">
        <f t="shared" ca="1" si="1127"/>
        <v>43</v>
      </c>
      <c r="H4020" s="15">
        <v>1</v>
      </c>
      <c r="I4020" s="15">
        <f t="shared" ca="1" si="1128"/>
        <v>0</v>
      </c>
      <c r="J4020" s="15" t="str">
        <f t="shared" ca="1" si="1133"/>
        <v>'0'!A43</v>
      </c>
      <c r="K4020" s="15" t="str">
        <f t="shared" ca="1" si="1134"/>
        <v>'0'!B43</v>
      </c>
    </row>
    <row r="4021" spans="1:16" x14ac:dyDescent="0.25">
      <c r="A4021" s="3" t="str">
        <f t="shared" ca="1" si="1141"/>
        <v/>
      </c>
      <c r="G4021" s="15">
        <f t="shared" ca="1" si="1127"/>
        <v>44</v>
      </c>
      <c r="H4021" s="15">
        <v>1</v>
      </c>
      <c r="I4021" s="15">
        <f t="shared" ca="1" si="1128"/>
        <v>0</v>
      </c>
      <c r="J4021" s="15" t="str">
        <f t="shared" ca="1" si="1133"/>
        <v>'0'!A44</v>
      </c>
      <c r="K4021" s="15" t="str">
        <f t="shared" ca="1" si="1134"/>
        <v>'0'!B44</v>
      </c>
    </row>
    <row r="4022" spans="1:16" x14ac:dyDescent="0.25">
      <c r="A4022" s="3" t="str">
        <f t="shared" ca="1" si="1141"/>
        <v/>
      </c>
      <c r="G4022" s="15">
        <f t="shared" ca="1" si="1127"/>
        <v>45</v>
      </c>
      <c r="H4022" s="15">
        <v>1</v>
      </c>
      <c r="I4022" s="15">
        <f t="shared" ca="1" si="1128"/>
        <v>0</v>
      </c>
      <c r="J4022" s="15" t="str">
        <f t="shared" ca="1" si="1133"/>
        <v>'0'!A45</v>
      </c>
      <c r="K4022" s="15" t="str">
        <f t="shared" ca="1" si="1134"/>
        <v>'0'!B45</v>
      </c>
    </row>
    <row r="4023" spans="1:16" x14ac:dyDescent="0.25">
      <c r="A4023" s="3" t="str">
        <f t="shared" ca="1" si="1141"/>
        <v/>
      </c>
      <c r="G4023" s="15">
        <f t="shared" ca="1" si="1127"/>
        <v>46</v>
      </c>
      <c r="H4023" s="15">
        <v>1</v>
      </c>
      <c r="I4023" s="15">
        <f t="shared" ca="1" si="1128"/>
        <v>0</v>
      </c>
      <c r="J4023" s="15" t="str">
        <f t="shared" ca="1" si="1133"/>
        <v>'0'!A46</v>
      </c>
      <c r="K4023" s="15" t="str">
        <f t="shared" ca="1" si="1134"/>
        <v>'0'!B46</v>
      </c>
    </row>
    <row r="4024" spans="1:16" x14ac:dyDescent="0.25">
      <c r="A4024" s="3" t="str">
        <f t="shared" ca="1" si="1141"/>
        <v/>
      </c>
      <c r="G4024" s="15">
        <f t="shared" ca="1" si="1127"/>
        <v>47</v>
      </c>
      <c r="H4024" s="15">
        <v>1</v>
      </c>
      <c r="I4024" s="15">
        <f t="shared" ca="1" si="1128"/>
        <v>0</v>
      </c>
      <c r="J4024" s="15" t="str">
        <f t="shared" ca="1" si="1133"/>
        <v>'0'!A47</v>
      </c>
      <c r="K4024" s="15" t="str">
        <f t="shared" ca="1" si="1134"/>
        <v>'0'!B47</v>
      </c>
    </row>
    <row r="4025" spans="1:16" x14ac:dyDescent="0.25">
      <c r="A4025" s="3" t="str">
        <f t="shared" ca="1" si="1141"/>
        <v/>
      </c>
      <c r="G4025" s="15">
        <f t="shared" ca="1" si="1127"/>
        <v>48</v>
      </c>
      <c r="H4025" s="15">
        <v>1</v>
      </c>
      <c r="I4025" s="15">
        <f t="shared" ca="1" si="1128"/>
        <v>0</v>
      </c>
      <c r="J4025" s="15" t="str">
        <f t="shared" ca="1" si="1133"/>
        <v>'0'!A48</v>
      </c>
      <c r="K4025" s="15" t="str">
        <f t="shared" ca="1" si="1134"/>
        <v>'0'!B48</v>
      </c>
    </row>
    <row r="4026" spans="1:16" x14ac:dyDescent="0.25">
      <c r="A4026" s="3" t="str">
        <f t="shared" ca="1" si="1141"/>
        <v/>
      </c>
      <c r="G4026" s="15">
        <f t="shared" ca="1" si="1127"/>
        <v>49</v>
      </c>
      <c r="H4026" s="15">
        <v>1</v>
      </c>
      <c r="I4026" s="15">
        <f t="shared" ca="1" si="1128"/>
        <v>0</v>
      </c>
      <c r="J4026" s="15" t="str">
        <f t="shared" ca="1" si="1133"/>
        <v>'0'!A49</v>
      </c>
      <c r="K4026" s="15" t="str">
        <f t="shared" ca="1" si="1134"/>
        <v>'0'!B49</v>
      </c>
    </row>
    <row r="4027" spans="1:16" x14ac:dyDescent="0.25">
      <c r="A4027" s="3" t="str">
        <f t="shared" ca="1" si="1141"/>
        <v/>
      </c>
      <c r="G4027" s="15">
        <f t="shared" ca="1" si="1127"/>
        <v>50</v>
      </c>
      <c r="H4027" s="15">
        <v>1</v>
      </c>
      <c r="I4027" s="15">
        <f t="shared" ca="1" si="1128"/>
        <v>0</v>
      </c>
      <c r="J4027" s="15" t="str">
        <f t="shared" ca="1" si="1133"/>
        <v>'0'!A50</v>
      </c>
      <c r="K4027" s="15" t="str">
        <f t="shared" ca="1" si="1134"/>
        <v>'0'!B50</v>
      </c>
    </row>
    <row r="4028" spans="1:16" x14ac:dyDescent="0.25">
      <c r="A4028" s="3" t="str">
        <f t="shared" ca="1" si="1141"/>
        <v/>
      </c>
      <c r="G4028" s="15">
        <f t="shared" ref="G4028" ca="1" si="1142">INDIRECT(M4028)</f>
        <v>31</v>
      </c>
      <c r="H4028" s="15">
        <v>1</v>
      </c>
      <c r="I4028" s="15">
        <f t="shared" ref="I4028" ca="1" si="1143">INDIRECT(N4028)</f>
        <v>0</v>
      </c>
      <c r="J4028" s="15" t="str">
        <f t="shared" ca="1" si="1133"/>
        <v>'0'!A31</v>
      </c>
      <c r="K4028" s="15" t="str">
        <f t="shared" ca="1" si="1134"/>
        <v>'0'!B31</v>
      </c>
      <c r="M4028" s="15" t="str">
        <f t="shared" ref="M4028" si="1144">ADDRESS(O4028,3,4,1,$R$1)</f>
        <v>konfig!C203</v>
      </c>
      <c r="N4028" s="15" t="str">
        <f t="shared" ref="N4028" si="1145">ADDRESS(O4028,1,4,1,$R$1)</f>
        <v>konfig!A203</v>
      </c>
      <c r="O4028" s="15">
        <v>203</v>
      </c>
      <c r="P4028" s="15">
        <v>4</v>
      </c>
    </row>
    <row r="4029" spans="1:16" x14ac:dyDescent="0.25">
      <c r="A4029" s="3" t="str">
        <f t="shared" ca="1" si="1141"/>
        <v/>
      </c>
      <c r="G4029" s="15">
        <f t="shared" ref="G4029:G4069" ca="1" si="1146">G4028+1</f>
        <v>32</v>
      </c>
      <c r="H4029" s="15">
        <v>1</v>
      </c>
      <c r="I4029" s="15">
        <f t="shared" ref="I4029:I4069" ca="1" si="1147">I4028</f>
        <v>0</v>
      </c>
      <c r="J4029" s="15" t="str">
        <f t="shared" ca="1" si="1133"/>
        <v>'0'!A32</v>
      </c>
      <c r="K4029" s="15" t="str">
        <f t="shared" ca="1" si="1134"/>
        <v>'0'!B32</v>
      </c>
    </row>
    <row r="4030" spans="1:16" x14ac:dyDescent="0.25">
      <c r="A4030" s="3" t="str">
        <f t="shared" ca="1" si="1141"/>
        <v/>
      </c>
      <c r="G4030" s="15">
        <f t="shared" ca="1" si="1127"/>
        <v>33</v>
      </c>
      <c r="H4030" s="15">
        <v>1</v>
      </c>
      <c r="I4030" s="15">
        <f t="shared" ca="1" si="1128"/>
        <v>0</v>
      </c>
      <c r="J4030" s="15" t="str">
        <f t="shared" ca="1" si="1133"/>
        <v>'0'!A33</v>
      </c>
      <c r="K4030" s="15" t="str">
        <f t="shared" ca="1" si="1134"/>
        <v>'0'!B33</v>
      </c>
    </row>
    <row r="4031" spans="1:16" x14ac:dyDescent="0.25">
      <c r="A4031" s="3" t="str">
        <f t="shared" ca="1" si="1141"/>
        <v/>
      </c>
      <c r="C4031" s="16"/>
      <c r="G4031" s="15">
        <f t="shared" ca="1" si="1127"/>
        <v>34</v>
      </c>
      <c r="H4031" s="15">
        <v>1</v>
      </c>
      <c r="I4031" s="15">
        <f t="shared" ca="1" si="1128"/>
        <v>0</v>
      </c>
      <c r="J4031" s="15" t="str">
        <f t="shared" ca="1" si="1133"/>
        <v>'0'!A34</v>
      </c>
      <c r="K4031" s="15" t="str">
        <f t="shared" ca="1" si="1134"/>
        <v>'0'!B34</v>
      </c>
    </row>
    <row r="4032" spans="1:16" x14ac:dyDescent="0.25">
      <c r="A4032" s="3" t="str">
        <f t="shared" ca="1" si="1141"/>
        <v/>
      </c>
      <c r="G4032" s="15">
        <f t="shared" ca="1" si="1127"/>
        <v>35</v>
      </c>
      <c r="H4032" s="15">
        <v>1</v>
      </c>
      <c r="I4032" s="15">
        <f t="shared" ca="1" si="1128"/>
        <v>0</v>
      </c>
      <c r="J4032" s="15" t="str">
        <f t="shared" ca="1" si="1133"/>
        <v>'0'!A35</v>
      </c>
      <c r="K4032" s="15" t="str">
        <f t="shared" ca="1" si="1134"/>
        <v>'0'!B35</v>
      </c>
    </row>
    <row r="4033" spans="1:16" x14ac:dyDescent="0.25">
      <c r="A4033" s="3" t="str">
        <f t="shared" ca="1" si="1141"/>
        <v/>
      </c>
      <c r="G4033" s="15">
        <f t="shared" ca="1" si="1127"/>
        <v>36</v>
      </c>
      <c r="H4033" s="15">
        <v>1</v>
      </c>
      <c r="I4033" s="15">
        <f t="shared" ca="1" si="1128"/>
        <v>0</v>
      </c>
      <c r="J4033" s="15" t="str">
        <f t="shared" ca="1" si="1133"/>
        <v>'0'!A36</v>
      </c>
      <c r="K4033" s="15" t="str">
        <f t="shared" ca="1" si="1134"/>
        <v>'0'!B36</v>
      </c>
    </row>
    <row r="4034" spans="1:16" x14ac:dyDescent="0.25">
      <c r="A4034" s="3" t="str">
        <f t="shared" ca="1" si="1141"/>
        <v/>
      </c>
      <c r="G4034" s="15">
        <f t="shared" ca="1" si="1127"/>
        <v>37</v>
      </c>
      <c r="H4034" s="15">
        <v>1</v>
      </c>
      <c r="I4034" s="15">
        <f t="shared" ca="1" si="1128"/>
        <v>0</v>
      </c>
      <c r="J4034" s="15" t="str">
        <f t="shared" ca="1" si="1133"/>
        <v>'0'!A37</v>
      </c>
      <c r="K4034" s="15" t="str">
        <f t="shared" ca="1" si="1134"/>
        <v>'0'!B37</v>
      </c>
    </row>
    <row r="4035" spans="1:16" x14ac:dyDescent="0.25">
      <c r="A4035" s="3" t="str">
        <f t="shared" ca="1" si="1141"/>
        <v/>
      </c>
      <c r="G4035" s="15">
        <f t="shared" ca="1" si="1127"/>
        <v>38</v>
      </c>
      <c r="H4035" s="15">
        <v>1</v>
      </c>
      <c r="I4035" s="15">
        <f t="shared" ca="1" si="1128"/>
        <v>0</v>
      </c>
      <c r="J4035" s="15" t="str">
        <f t="shared" ca="1" si="1133"/>
        <v>'0'!A38</v>
      </c>
      <c r="K4035" s="15" t="str">
        <f t="shared" ca="1" si="1134"/>
        <v>'0'!B38</v>
      </c>
    </row>
    <row r="4036" spans="1:16" x14ac:dyDescent="0.25">
      <c r="A4036" s="3" t="str">
        <f t="shared" ca="1" si="1141"/>
        <v/>
      </c>
      <c r="G4036" s="15">
        <f t="shared" ca="1" si="1127"/>
        <v>39</v>
      </c>
      <c r="H4036" s="15">
        <v>1</v>
      </c>
      <c r="I4036" s="15">
        <f t="shared" ca="1" si="1128"/>
        <v>0</v>
      </c>
      <c r="J4036" s="15" t="str">
        <f t="shared" ca="1" si="1133"/>
        <v>'0'!A39</v>
      </c>
      <c r="K4036" s="15" t="str">
        <f t="shared" ca="1" si="1134"/>
        <v>'0'!B39</v>
      </c>
    </row>
    <row r="4037" spans="1:16" x14ac:dyDescent="0.25">
      <c r="A4037" s="3" t="str">
        <f t="shared" ca="1" si="1141"/>
        <v/>
      </c>
      <c r="G4037" s="15">
        <f t="shared" ca="1" si="1127"/>
        <v>40</v>
      </c>
      <c r="H4037" s="15">
        <v>1</v>
      </c>
      <c r="I4037" s="15">
        <f t="shared" ca="1" si="1128"/>
        <v>0</v>
      </c>
      <c r="J4037" s="15" t="str">
        <f t="shared" ca="1" si="1133"/>
        <v>'0'!A40</v>
      </c>
      <c r="K4037" s="15" t="str">
        <f t="shared" ca="1" si="1134"/>
        <v>'0'!B40</v>
      </c>
    </row>
    <row r="4038" spans="1:16" x14ac:dyDescent="0.25">
      <c r="A4038" s="3" t="str">
        <f t="shared" ca="1" si="1141"/>
        <v/>
      </c>
      <c r="G4038" s="15">
        <f t="shared" ca="1" si="1127"/>
        <v>41</v>
      </c>
      <c r="H4038" s="15">
        <v>1</v>
      </c>
      <c r="I4038" s="15">
        <f t="shared" ca="1" si="1128"/>
        <v>0</v>
      </c>
      <c r="J4038" s="15" t="str">
        <f t="shared" ca="1" si="1133"/>
        <v>'0'!A41</v>
      </c>
      <c r="K4038" s="15" t="str">
        <f t="shared" ca="1" si="1134"/>
        <v>'0'!B41</v>
      </c>
    </row>
    <row r="4039" spans="1:16" x14ac:dyDescent="0.25">
      <c r="A4039" s="3" t="str">
        <f t="shared" ca="1" si="1141"/>
        <v/>
      </c>
      <c r="C4039" s="16"/>
      <c r="G4039" s="15">
        <f t="shared" ca="1" si="1127"/>
        <v>42</v>
      </c>
      <c r="H4039" s="15">
        <v>1</v>
      </c>
      <c r="I4039" s="15">
        <f t="shared" ca="1" si="1128"/>
        <v>0</v>
      </c>
      <c r="J4039" s="15" t="str">
        <f t="shared" ca="1" si="1133"/>
        <v>'0'!A42</v>
      </c>
      <c r="K4039" s="15" t="str">
        <f t="shared" ca="1" si="1134"/>
        <v>'0'!B42</v>
      </c>
    </row>
    <row r="4040" spans="1:16" x14ac:dyDescent="0.25">
      <c r="A4040" s="3" t="str">
        <f t="shared" ca="1" si="1141"/>
        <v/>
      </c>
      <c r="G4040" s="15">
        <f t="shared" ca="1" si="1127"/>
        <v>43</v>
      </c>
      <c r="H4040" s="15">
        <v>1</v>
      </c>
      <c r="I4040" s="15">
        <f t="shared" ca="1" si="1128"/>
        <v>0</v>
      </c>
      <c r="J4040" s="15" t="str">
        <f t="shared" ca="1" si="1133"/>
        <v>'0'!A43</v>
      </c>
      <c r="K4040" s="15" t="str">
        <f t="shared" ca="1" si="1134"/>
        <v>'0'!B43</v>
      </c>
    </row>
    <row r="4041" spans="1:16" x14ac:dyDescent="0.25">
      <c r="A4041" s="3" t="str">
        <f t="shared" ca="1" si="1141"/>
        <v/>
      </c>
      <c r="G4041" s="15">
        <f t="shared" ref="G4041:G4104" ca="1" si="1148">G4040+1</f>
        <v>44</v>
      </c>
      <c r="H4041" s="15">
        <v>1</v>
      </c>
      <c r="I4041" s="15">
        <f t="shared" ref="I4041:I4104" ca="1" si="1149">I4040</f>
        <v>0</v>
      </c>
      <c r="J4041" s="15" t="str">
        <f t="shared" ca="1" si="1133"/>
        <v>'0'!A44</v>
      </c>
      <c r="K4041" s="15" t="str">
        <f t="shared" ca="1" si="1134"/>
        <v>'0'!B44</v>
      </c>
    </row>
    <row r="4042" spans="1:16" x14ac:dyDescent="0.25">
      <c r="A4042" s="3" t="str">
        <f t="shared" ca="1" si="1141"/>
        <v/>
      </c>
      <c r="G4042" s="15">
        <f t="shared" ca="1" si="1148"/>
        <v>45</v>
      </c>
      <c r="H4042" s="15">
        <v>1</v>
      </c>
      <c r="I4042" s="15">
        <f t="shared" ca="1" si="1149"/>
        <v>0</v>
      </c>
      <c r="J4042" s="15" t="str">
        <f t="shared" ca="1" si="1133"/>
        <v>'0'!A45</v>
      </c>
      <c r="K4042" s="15" t="str">
        <f t="shared" ca="1" si="1134"/>
        <v>'0'!B45</v>
      </c>
    </row>
    <row r="4043" spans="1:16" x14ac:dyDescent="0.25">
      <c r="A4043" s="3" t="str">
        <f t="shared" ca="1" si="1141"/>
        <v/>
      </c>
      <c r="G4043" s="15">
        <f t="shared" ca="1" si="1148"/>
        <v>46</v>
      </c>
      <c r="H4043" s="15">
        <v>1</v>
      </c>
      <c r="I4043" s="15">
        <f t="shared" ca="1" si="1149"/>
        <v>0</v>
      </c>
      <c r="J4043" s="15" t="str">
        <f t="shared" ca="1" si="1133"/>
        <v>'0'!A46</v>
      </c>
      <c r="K4043" s="15" t="str">
        <f t="shared" ca="1" si="1134"/>
        <v>'0'!B46</v>
      </c>
    </row>
    <row r="4044" spans="1:16" x14ac:dyDescent="0.25">
      <c r="A4044" s="3" t="str">
        <f t="shared" ca="1" si="1141"/>
        <v/>
      </c>
      <c r="G4044" s="15">
        <f t="shared" ca="1" si="1148"/>
        <v>47</v>
      </c>
      <c r="H4044" s="15">
        <v>1</v>
      </c>
      <c r="I4044" s="15">
        <f t="shared" ca="1" si="1149"/>
        <v>0</v>
      </c>
      <c r="J4044" s="15" t="str">
        <f t="shared" ca="1" si="1133"/>
        <v>'0'!A47</v>
      </c>
      <c r="K4044" s="15" t="str">
        <f t="shared" ca="1" si="1134"/>
        <v>'0'!B47</v>
      </c>
    </row>
    <row r="4045" spans="1:16" x14ac:dyDescent="0.25">
      <c r="A4045" s="3" t="str">
        <f t="shared" ca="1" si="1141"/>
        <v/>
      </c>
      <c r="G4045" s="15">
        <f t="shared" ca="1" si="1148"/>
        <v>48</v>
      </c>
      <c r="H4045" s="15">
        <v>1</v>
      </c>
      <c r="I4045" s="15">
        <f t="shared" ca="1" si="1149"/>
        <v>0</v>
      </c>
      <c r="J4045" s="15" t="str">
        <f t="shared" ca="1" si="1133"/>
        <v>'0'!A48</v>
      </c>
      <c r="K4045" s="15" t="str">
        <f t="shared" ca="1" si="1134"/>
        <v>'0'!B48</v>
      </c>
    </row>
    <row r="4046" spans="1:16" x14ac:dyDescent="0.25">
      <c r="A4046" s="3" t="str">
        <f t="shared" ca="1" si="1141"/>
        <v/>
      </c>
      <c r="G4046" s="15">
        <f t="shared" ca="1" si="1148"/>
        <v>49</v>
      </c>
      <c r="H4046" s="15">
        <v>1</v>
      </c>
      <c r="I4046" s="15">
        <f t="shared" ca="1" si="1149"/>
        <v>0</v>
      </c>
      <c r="J4046" s="15" t="str">
        <f t="shared" ca="1" si="1133"/>
        <v>'0'!A49</v>
      </c>
      <c r="K4046" s="15" t="str">
        <f t="shared" ca="1" si="1134"/>
        <v>'0'!B49</v>
      </c>
    </row>
    <row r="4047" spans="1:16" x14ac:dyDescent="0.25">
      <c r="A4047" s="3" t="str">
        <f t="shared" ca="1" si="1141"/>
        <v/>
      </c>
      <c r="G4047" s="15">
        <f t="shared" ca="1" si="1148"/>
        <v>50</v>
      </c>
      <c r="H4047" s="15">
        <v>1</v>
      </c>
      <c r="I4047" s="15">
        <f t="shared" ca="1" si="1149"/>
        <v>0</v>
      </c>
      <c r="J4047" s="15" t="str">
        <f t="shared" ca="1" si="1133"/>
        <v>'0'!A50</v>
      </c>
      <c r="K4047" s="15" t="str">
        <f t="shared" ca="1" si="1134"/>
        <v>'0'!B50</v>
      </c>
    </row>
    <row r="4048" spans="1:16" x14ac:dyDescent="0.25">
      <c r="A4048" s="3" t="str">
        <f t="shared" ca="1" si="1141"/>
        <v/>
      </c>
      <c r="G4048" s="15">
        <f t="shared" ref="G4048" ca="1" si="1150">INDIRECT(M4048)</f>
        <v>31</v>
      </c>
      <c r="H4048" s="15">
        <v>1</v>
      </c>
      <c r="I4048" s="15">
        <f t="shared" ref="I4048" ca="1" si="1151">INDIRECT(N4048)</f>
        <v>0</v>
      </c>
      <c r="J4048" s="15" t="str">
        <f t="shared" ca="1" si="1133"/>
        <v>'0'!A31</v>
      </c>
      <c r="K4048" s="15" t="str">
        <f t="shared" ca="1" si="1134"/>
        <v>'0'!B31</v>
      </c>
      <c r="M4048" s="15" t="str">
        <f t="shared" ref="M4048" si="1152">ADDRESS(O4048,3,4,1,$R$1)</f>
        <v>konfig!C204</v>
      </c>
      <c r="N4048" s="15" t="str">
        <f t="shared" ref="N4048" si="1153">ADDRESS(O4048,1,4,1,$R$1)</f>
        <v>konfig!A204</v>
      </c>
      <c r="O4048" s="15">
        <v>204</v>
      </c>
      <c r="P4048" s="15">
        <v>4</v>
      </c>
    </row>
    <row r="4049" spans="1:11" x14ac:dyDescent="0.25">
      <c r="A4049" s="3" t="str">
        <f t="shared" ca="1" si="1141"/>
        <v/>
      </c>
      <c r="G4049" s="15">
        <f t="shared" ca="1" si="1139"/>
        <v>32</v>
      </c>
      <c r="H4049" s="15">
        <v>1</v>
      </c>
      <c r="I4049" s="15">
        <f t="shared" ca="1" si="1140"/>
        <v>0</v>
      </c>
      <c r="J4049" s="15" t="str">
        <f t="shared" ca="1" si="1133"/>
        <v>'0'!A32</v>
      </c>
      <c r="K4049" s="15" t="str">
        <f t="shared" ca="1" si="1134"/>
        <v>'0'!B32</v>
      </c>
    </row>
    <row r="4050" spans="1:11" x14ac:dyDescent="0.25">
      <c r="A4050" s="3" t="str">
        <f t="shared" ca="1" si="1141"/>
        <v/>
      </c>
      <c r="G4050" s="15">
        <f t="shared" ca="1" si="1139"/>
        <v>33</v>
      </c>
      <c r="H4050" s="15">
        <v>1</v>
      </c>
      <c r="I4050" s="15">
        <f t="shared" ca="1" si="1140"/>
        <v>0</v>
      </c>
      <c r="J4050" s="15" t="str">
        <f t="shared" ca="1" si="1133"/>
        <v>'0'!A33</v>
      </c>
      <c r="K4050" s="15" t="str">
        <f t="shared" ca="1" si="1134"/>
        <v>'0'!B33</v>
      </c>
    </row>
    <row r="4051" spans="1:11" x14ac:dyDescent="0.25">
      <c r="A4051" s="3" t="str">
        <f t="shared" ca="1" si="1141"/>
        <v/>
      </c>
      <c r="C4051" s="16"/>
      <c r="G4051" s="15">
        <f t="shared" ca="1" si="1139"/>
        <v>34</v>
      </c>
      <c r="H4051" s="15">
        <v>1</v>
      </c>
      <c r="I4051" s="15">
        <f t="shared" ca="1" si="1140"/>
        <v>0</v>
      </c>
      <c r="J4051" s="15" t="str">
        <f t="shared" ca="1" si="1133"/>
        <v>'0'!A34</v>
      </c>
      <c r="K4051" s="15" t="str">
        <f t="shared" ca="1" si="1134"/>
        <v>'0'!B34</v>
      </c>
    </row>
    <row r="4052" spans="1:11" x14ac:dyDescent="0.25">
      <c r="A4052" s="3" t="str">
        <f t="shared" ca="1" si="1141"/>
        <v/>
      </c>
      <c r="G4052" s="15">
        <f t="shared" ca="1" si="1139"/>
        <v>35</v>
      </c>
      <c r="H4052" s="15">
        <v>1</v>
      </c>
      <c r="I4052" s="15">
        <f t="shared" ca="1" si="1140"/>
        <v>0</v>
      </c>
      <c r="J4052" s="15" t="str">
        <f t="shared" ca="1" si="1133"/>
        <v>'0'!A35</v>
      </c>
      <c r="K4052" s="15" t="str">
        <f t="shared" ca="1" si="1134"/>
        <v>'0'!B35</v>
      </c>
    </row>
    <row r="4053" spans="1:11" x14ac:dyDescent="0.25">
      <c r="A4053" s="3" t="str">
        <f t="shared" ca="1" si="1141"/>
        <v/>
      </c>
      <c r="G4053" s="15">
        <f t="shared" ca="1" si="1148"/>
        <v>36</v>
      </c>
      <c r="H4053" s="15">
        <v>1</v>
      </c>
      <c r="I4053" s="15">
        <f t="shared" ca="1" si="1149"/>
        <v>0</v>
      </c>
      <c r="J4053" s="15" t="str">
        <f t="shared" ca="1" si="1133"/>
        <v>'0'!A36</v>
      </c>
      <c r="K4053" s="15" t="str">
        <f t="shared" ca="1" si="1134"/>
        <v>'0'!B36</v>
      </c>
    </row>
    <row r="4054" spans="1:11" x14ac:dyDescent="0.25">
      <c r="A4054" s="3" t="str">
        <f t="shared" ca="1" si="1141"/>
        <v/>
      </c>
      <c r="G4054" s="15">
        <f t="shared" ca="1" si="1148"/>
        <v>37</v>
      </c>
      <c r="H4054" s="15">
        <v>1</v>
      </c>
      <c r="I4054" s="15">
        <f t="shared" ca="1" si="1149"/>
        <v>0</v>
      </c>
      <c r="J4054" s="15" t="str">
        <f t="shared" ca="1" si="1133"/>
        <v>'0'!A37</v>
      </c>
      <c r="K4054" s="15" t="str">
        <f t="shared" ca="1" si="1134"/>
        <v>'0'!B37</v>
      </c>
    </row>
    <row r="4055" spans="1:11" x14ac:dyDescent="0.25">
      <c r="A4055" s="3" t="str">
        <f t="shared" ca="1" si="1141"/>
        <v/>
      </c>
      <c r="G4055" s="15">
        <f t="shared" ca="1" si="1148"/>
        <v>38</v>
      </c>
      <c r="H4055" s="15">
        <v>1</v>
      </c>
      <c r="I4055" s="15">
        <f t="shared" ca="1" si="1149"/>
        <v>0</v>
      </c>
      <c r="J4055" s="15" t="str">
        <f t="shared" ca="1" si="1133"/>
        <v>'0'!A38</v>
      </c>
      <c r="K4055" s="15" t="str">
        <f t="shared" ca="1" si="1134"/>
        <v>'0'!B38</v>
      </c>
    </row>
    <row r="4056" spans="1:11" x14ac:dyDescent="0.25">
      <c r="A4056" s="3" t="str">
        <f t="shared" ca="1" si="1141"/>
        <v/>
      </c>
      <c r="G4056" s="15">
        <f t="shared" ca="1" si="1148"/>
        <v>39</v>
      </c>
      <c r="H4056" s="15">
        <v>1</v>
      </c>
      <c r="I4056" s="15">
        <f t="shared" ca="1" si="1149"/>
        <v>0</v>
      </c>
      <c r="J4056" s="15" t="str">
        <f t="shared" ca="1" si="1133"/>
        <v>'0'!A39</v>
      </c>
      <c r="K4056" s="15" t="str">
        <f t="shared" ca="1" si="1134"/>
        <v>'0'!B39</v>
      </c>
    </row>
    <row r="4057" spans="1:11" x14ac:dyDescent="0.25">
      <c r="A4057" s="3" t="str">
        <f t="shared" ca="1" si="1141"/>
        <v/>
      </c>
      <c r="G4057" s="15">
        <f t="shared" ca="1" si="1148"/>
        <v>40</v>
      </c>
      <c r="H4057" s="15">
        <v>1</v>
      </c>
      <c r="I4057" s="15">
        <f t="shared" ca="1" si="1149"/>
        <v>0</v>
      </c>
      <c r="J4057" s="15" t="str">
        <f t="shared" ca="1" si="1133"/>
        <v>'0'!A40</v>
      </c>
      <c r="K4057" s="15" t="str">
        <f t="shared" ca="1" si="1134"/>
        <v>'0'!B40</v>
      </c>
    </row>
    <row r="4058" spans="1:11" x14ac:dyDescent="0.25">
      <c r="A4058" s="3" t="str">
        <f t="shared" ca="1" si="1141"/>
        <v/>
      </c>
      <c r="G4058" s="15">
        <f t="shared" ca="1" si="1148"/>
        <v>41</v>
      </c>
      <c r="H4058" s="15">
        <v>1</v>
      </c>
      <c r="I4058" s="15">
        <f t="shared" ca="1" si="1149"/>
        <v>0</v>
      </c>
      <c r="J4058" s="15" t="str">
        <f t="shared" ca="1" si="1133"/>
        <v>'0'!A41</v>
      </c>
      <c r="K4058" s="15" t="str">
        <f t="shared" ca="1" si="1134"/>
        <v>'0'!B41</v>
      </c>
    </row>
    <row r="4059" spans="1:11" x14ac:dyDescent="0.25">
      <c r="A4059" s="3" t="str">
        <f t="shared" ca="1" si="1141"/>
        <v/>
      </c>
      <c r="C4059" s="16"/>
      <c r="G4059" s="15">
        <f t="shared" ca="1" si="1148"/>
        <v>42</v>
      </c>
      <c r="H4059" s="15">
        <v>1</v>
      </c>
      <c r="I4059" s="15">
        <f t="shared" ca="1" si="1149"/>
        <v>0</v>
      </c>
      <c r="J4059" s="15" t="str">
        <f t="shared" ca="1" si="1133"/>
        <v>'0'!A42</v>
      </c>
      <c r="K4059" s="15" t="str">
        <f t="shared" ca="1" si="1134"/>
        <v>'0'!B42</v>
      </c>
    </row>
    <row r="4060" spans="1:11" x14ac:dyDescent="0.25">
      <c r="A4060" s="3" t="str">
        <f t="shared" ca="1" si="1141"/>
        <v/>
      </c>
      <c r="G4060" s="15">
        <f t="shared" ca="1" si="1148"/>
        <v>43</v>
      </c>
      <c r="H4060" s="15">
        <v>1</v>
      </c>
      <c r="I4060" s="15">
        <f t="shared" ca="1" si="1149"/>
        <v>0</v>
      </c>
      <c r="J4060" s="15" t="str">
        <f t="shared" ca="1" si="1133"/>
        <v>'0'!A43</v>
      </c>
      <c r="K4060" s="15" t="str">
        <f t="shared" ca="1" si="1134"/>
        <v>'0'!B43</v>
      </c>
    </row>
    <row r="4061" spans="1:11" x14ac:dyDescent="0.25">
      <c r="A4061" s="3" t="str">
        <f t="shared" ca="1" si="1141"/>
        <v/>
      </c>
      <c r="G4061" s="15">
        <f t="shared" ca="1" si="1148"/>
        <v>44</v>
      </c>
      <c r="H4061" s="15">
        <v>1</v>
      </c>
      <c r="I4061" s="15">
        <f t="shared" ca="1" si="1149"/>
        <v>0</v>
      </c>
      <c r="J4061" s="15" t="str">
        <f t="shared" ca="1" si="1133"/>
        <v>'0'!A44</v>
      </c>
      <c r="K4061" s="15" t="str">
        <f t="shared" ca="1" si="1134"/>
        <v>'0'!B44</v>
      </c>
    </row>
    <row r="4062" spans="1:11" x14ac:dyDescent="0.25">
      <c r="A4062" s="3" t="str">
        <f t="shared" ca="1" si="1141"/>
        <v/>
      </c>
      <c r="G4062" s="15">
        <f t="shared" ca="1" si="1148"/>
        <v>45</v>
      </c>
      <c r="H4062" s="15">
        <v>1</v>
      </c>
      <c r="I4062" s="15">
        <f t="shared" ca="1" si="1149"/>
        <v>0</v>
      </c>
      <c r="J4062" s="15" t="str">
        <f t="shared" ca="1" si="1133"/>
        <v>'0'!A45</v>
      </c>
      <c r="K4062" s="15" t="str">
        <f t="shared" ca="1" si="1134"/>
        <v>'0'!B45</v>
      </c>
    </row>
    <row r="4063" spans="1:11" x14ac:dyDescent="0.25">
      <c r="A4063" s="3" t="str">
        <f t="shared" ca="1" si="1141"/>
        <v/>
      </c>
      <c r="G4063" s="15">
        <f t="shared" ca="1" si="1148"/>
        <v>46</v>
      </c>
      <c r="H4063" s="15">
        <v>1</v>
      </c>
      <c r="I4063" s="15">
        <f t="shared" ca="1" si="1149"/>
        <v>0</v>
      </c>
      <c r="J4063" s="15" t="str">
        <f t="shared" ca="1" si="1133"/>
        <v>'0'!A46</v>
      </c>
      <c r="K4063" s="15" t="str">
        <f t="shared" ca="1" si="1134"/>
        <v>'0'!B46</v>
      </c>
    </row>
    <row r="4064" spans="1:11" x14ac:dyDescent="0.25">
      <c r="A4064" s="3" t="str">
        <f t="shared" ca="1" si="1141"/>
        <v/>
      </c>
      <c r="G4064" s="15">
        <f t="shared" ca="1" si="1148"/>
        <v>47</v>
      </c>
      <c r="H4064" s="15">
        <v>1</v>
      </c>
      <c r="I4064" s="15">
        <f t="shared" ca="1" si="1149"/>
        <v>0</v>
      </c>
      <c r="J4064" s="15" t="str">
        <f t="shared" ca="1" si="1133"/>
        <v>'0'!A47</v>
      </c>
      <c r="K4064" s="15" t="str">
        <f t="shared" ca="1" si="1134"/>
        <v>'0'!B47</v>
      </c>
    </row>
    <row r="4065" spans="1:16" x14ac:dyDescent="0.25">
      <c r="A4065" s="3" t="str">
        <f t="shared" ca="1" si="1141"/>
        <v/>
      </c>
      <c r="G4065" s="15">
        <f t="shared" ca="1" si="1148"/>
        <v>48</v>
      </c>
      <c r="H4065" s="15">
        <v>1</v>
      </c>
      <c r="I4065" s="15">
        <f t="shared" ca="1" si="1149"/>
        <v>0</v>
      </c>
      <c r="J4065" s="15" t="str">
        <f t="shared" ca="1" si="1133"/>
        <v>'0'!A48</v>
      </c>
      <c r="K4065" s="15" t="str">
        <f t="shared" ca="1" si="1134"/>
        <v>'0'!B48</v>
      </c>
    </row>
    <row r="4066" spans="1:16" x14ac:dyDescent="0.25">
      <c r="A4066" s="3" t="str">
        <f t="shared" ca="1" si="1141"/>
        <v/>
      </c>
      <c r="G4066" s="15">
        <f t="shared" ca="1" si="1148"/>
        <v>49</v>
      </c>
      <c r="H4066" s="15">
        <v>1</v>
      </c>
      <c r="I4066" s="15">
        <f t="shared" ca="1" si="1149"/>
        <v>0</v>
      </c>
      <c r="J4066" s="15" t="str">
        <f t="shared" ca="1" si="1133"/>
        <v>'0'!A49</v>
      </c>
      <c r="K4066" s="15" t="str">
        <f t="shared" ca="1" si="1134"/>
        <v>'0'!B49</v>
      </c>
    </row>
    <row r="4067" spans="1:16" x14ac:dyDescent="0.25">
      <c r="A4067" s="3" t="str">
        <f t="shared" ca="1" si="1141"/>
        <v/>
      </c>
      <c r="G4067" s="15">
        <f t="shared" ca="1" si="1148"/>
        <v>50</v>
      </c>
      <c r="H4067" s="15">
        <v>1</v>
      </c>
      <c r="I4067" s="15">
        <f t="shared" ca="1" si="1149"/>
        <v>0</v>
      </c>
      <c r="J4067" s="15" t="str">
        <f t="shared" ca="1" si="1133"/>
        <v>'0'!A50</v>
      </c>
      <c r="K4067" s="15" t="str">
        <f t="shared" ca="1" si="1134"/>
        <v>'0'!B50</v>
      </c>
    </row>
    <row r="4068" spans="1:16" x14ac:dyDescent="0.25">
      <c r="A4068" s="3" t="str">
        <f t="shared" ca="1" si="1141"/>
        <v/>
      </c>
      <c r="G4068" s="15">
        <f t="shared" ref="G4068" ca="1" si="1154">INDIRECT(M4068)</f>
        <v>31</v>
      </c>
      <c r="H4068" s="15">
        <v>1</v>
      </c>
      <c r="I4068" s="15">
        <f t="shared" ref="I4068" ca="1" si="1155">INDIRECT(N4068)</f>
        <v>0</v>
      </c>
      <c r="J4068" s="15" t="str">
        <f t="shared" ref="J4068:J4131" ca="1" si="1156">ADDRESS(G4068,H4068,4,1,I4068)</f>
        <v>'0'!A31</v>
      </c>
      <c r="K4068" s="15" t="str">
        <f t="shared" ref="K4068:K4131" ca="1" si="1157">ADDRESS(G4068,H4068+1,4,1,I4068)</f>
        <v>'0'!B31</v>
      </c>
      <c r="M4068" s="15" t="str">
        <f t="shared" ref="M4068" si="1158">ADDRESS(O4068,3,4,1,$R$1)</f>
        <v>konfig!C205</v>
      </c>
      <c r="N4068" s="15" t="str">
        <f t="shared" ref="N4068" si="1159">ADDRESS(O4068,1,4,1,$R$1)</f>
        <v>konfig!A205</v>
      </c>
      <c r="O4068" s="15">
        <v>205</v>
      </c>
      <c r="P4068" s="15">
        <v>4</v>
      </c>
    </row>
    <row r="4069" spans="1:16" x14ac:dyDescent="0.25">
      <c r="A4069" s="3" t="str">
        <f t="shared" ca="1" si="1141"/>
        <v/>
      </c>
      <c r="G4069" s="15">
        <f t="shared" ca="1" si="1146"/>
        <v>32</v>
      </c>
      <c r="H4069" s="15">
        <v>1</v>
      </c>
      <c r="I4069" s="15">
        <f t="shared" ca="1" si="1147"/>
        <v>0</v>
      </c>
      <c r="J4069" s="15" t="str">
        <f t="shared" ca="1" si="1156"/>
        <v>'0'!A32</v>
      </c>
      <c r="K4069" s="15" t="str">
        <f t="shared" ca="1" si="1157"/>
        <v>'0'!B32</v>
      </c>
    </row>
    <row r="4070" spans="1:16" x14ac:dyDescent="0.25">
      <c r="A4070" s="3" t="str">
        <f t="shared" ca="1" si="1141"/>
        <v/>
      </c>
      <c r="G4070" s="15">
        <f t="shared" ca="1" si="1148"/>
        <v>33</v>
      </c>
      <c r="H4070" s="15">
        <v>1</v>
      </c>
      <c r="I4070" s="15">
        <f t="shared" ca="1" si="1149"/>
        <v>0</v>
      </c>
      <c r="J4070" s="15" t="str">
        <f t="shared" ca="1" si="1156"/>
        <v>'0'!A33</v>
      </c>
      <c r="K4070" s="15" t="str">
        <f t="shared" ca="1" si="1157"/>
        <v>'0'!B33</v>
      </c>
    </row>
    <row r="4071" spans="1:16" x14ac:dyDescent="0.25">
      <c r="A4071" s="3" t="str">
        <f t="shared" ca="1" si="1141"/>
        <v/>
      </c>
      <c r="C4071" s="16"/>
      <c r="G4071" s="15">
        <f t="shared" ca="1" si="1148"/>
        <v>34</v>
      </c>
      <c r="H4071" s="15">
        <v>1</v>
      </c>
      <c r="I4071" s="15">
        <f t="shared" ca="1" si="1149"/>
        <v>0</v>
      </c>
      <c r="J4071" s="15" t="str">
        <f t="shared" ca="1" si="1156"/>
        <v>'0'!A34</v>
      </c>
      <c r="K4071" s="15" t="str">
        <f t="shared" ca="1" si="1157"/>
        <v>'0'!B34</v>
      </c>
    </row>
    <row r="4072" spans="1:16" x14ac:dyDescent="0.25">
      <c r="A4072" s="3" t="str">
        <f t="shared" ca="1" si="1141"/>
        <v/>
      </c>
      <c r="G4072" s="15">
        <f t="shared" ca="1" si="1148"/>
        <v>35</v>
      </c>
      <c r="H4072" s="15">
        <v>1</v>
      </c>
      <c r="I4072" s="15">
        <f t="shared" ca="1" si="1149"/>
        <v>0</v>
      </c>
      <c r="J4072" s="15" t="str">
        <f t="shared" ca="1" si="1156"/>
        <v>'0'!A35</v>
      </c>
      <c r="K4072" s="15" t="str">
        <f t="shared" ca="1" si="1157"/>
        <v>'0'!B35</v>
      </c>
    </row>
    <row r="4073" spans="1:16" x14ac:dyDescent="0.25">
      <c r="A4073" s="3" t="str">
        <f t="shared" ca="1" si="1141"/>
        <v/>
      </c>
      <c r="G4073" s="15">
        <f t="shared" ca="1" si="1148"/>
        <v>36</v>
      </c>
      <c r="H4073" s="15">
        <v>1</v>
      </c>
      <c r="I4073" s="15">
        <f t="shared" ca="1" si="1149"/>
        <v>0</v>
      </c>
      <c r="J4073" s="15" t="str">
        <f t="shared" ca="1" si="1156"/>
        <v>'0'!A36</v>
      </c>
      <c r="K4073" s="15" t="str">
        <f t="shared" ca="1" si="1157"/>
        <v>'0'!B36</v>
      </c>
    </row>
    <row r="4074" spans="1:16" x14ac:dyDescent="0.25">
      <c r="A4074" s="3" t="str">
        <f t="shared" ca="1" si="1141"/>
        <v/>
      </c>
      <c r="G4074" s="15">
        <f t="shared" ca="1" si="1148"/>
        <v>37</v>
      </c>
      <c r="H4074" s="15">
        <v>1</v>
      </c>
      <c r="I4074" s="15">
        <f t="shared" ca="1" si="1149"/>
        <v>0</v>
      </c>
      <c r="J4074" s="15" t="str">
        <f t="shared" ca="1" si="1156"/>
        <v>'0'!A37</v>
      </c>
      <c r="K4074" s="15" t="str">
        <f t="shared" ca="1" si="1157"/>
        <v>'0'!B37</v>
      </c>
    </row>
    <row r="4075" spans="1:16" x14ac:dyDescent="0.25">
      <c r="A4075" s="3" t="str">
        <f t="shared" ca="1" si="1141"/>
        <v/>
      </c>
      <c r="G4075" s="15">
        <f t="shared" ca="1" si="1148"/>
        <v>38</v>
      </c>
      <c r="H4075" s="15">
        <v>1</v>
      </c>
      <c r="I4075" s="15">
        <f t="shared" ca="1" si="1149"/>
        <v>0</v>
      </c>
      <c r="J4075" s="15" t="str">
        <f t="shared" ca="1" si="1156"/>
        <v>'0'!A38</v>
      </c>
      <c r="K4075" s="15" t="str">
        <f t="shared" ca="1" si="1157"/>
        <v>'0'!B38</v>
      </c>
    </row>
    <row r="4076" spans="1:16" x14ac:dyDescent="0.25">
      <c r="A4076" s="3" t="str">
        <f t="shared" ref="A4076:A4139" ca="1" si="1160">IFERROR(IF(INDIRECT(J4076)&lt;&gt;"",CONCATENATE(INDIRECT(J4076)," = ",INDIRECT(K4076)," "),""),"")</f>
        <v/>
      </c>
      <c r="G4076" s="15">
        <f t="shared" ca="1" si="1148"/>
        <v>39</v>
      </c>
      <c r="H4076" s="15">
        <v>1</v>
      </c>
      <c r="I4076" s="15">
        <f t="shared" ca="1" si="1149"/>
        <v>0</v>
      </c>
      <c r="J4076" s="15" t="str">
        <f t="shared" ca="1" si="1156"/>
        <v>'0'!A39</v>
      </c>
      <c r="K4076" s="15" t="str">
        <f t="shared" ca="1" si="1157"/>
        <v>'0'!B39</v>
      </c>
    </row>
    <row r="4077" spans="1:16" x14ac:dyDescent="0.25">
      <c r="A4077" s="3" t="str">
        <f t="shared" ca="1" si="1160"/>
        <v/>
      </c>
      <c r="G4077" s="15">
        <f t="shared" ca="1" si="1148"/>
        <v>40</v>
      </c>
      <c r="H4077" s="15">
        <v>1</v>
      </c>
      <c r="I4077" s="15">
        <f t="shared" ca="1" si="1149"/>
        <v>0</v>
      </c>
      <c r="J4077" s="15" t="str">
        <f t="shared" ca="1" si="1156"/>
        <v>'0'!A40</v>
      </c>
      <c r="K4077" s="15" t="str">
        <f t="shared" ca="1" si="1157"/>
        <v>'0'!B40</v>
      </c>
    </row>
    <row r="4078" spans="1:16" x14ac:dyDescent="0.25">
      <c r="A4078" s="3" t="str">
        <f t="shared" ca="1" si="1160"/>
        <v/>
      </c>
      <c r="G4078" s="15">
        <f t="shared" ca="1" si="1148"/>
        <v>41</v>
      </c>
      <c r="H4078" s="15">
        <v>1</v>
      </c>
      <c r="I4078" s="15">
        <f t="shared" ca="1" si="1149"/>
        <v>0</v>
      </c>
      <c r="J4078" s="15" t="str">
        <f t="shared" ca="1" si="1156"/>
        <v>'0'!A41</v>
      </c>
      <c r="K4078" s="15" t="str">
        <f t="shared" ca="1" si="1157"/>
        <v>'0'!B41</v>
      </c>
    </row>
    <row r="4079" spans="1:16" x14ac:dyDescent="0.25">
      <c r="A4079" s="3" t="str">
        <f t="shared" ca="1" si="1160"/>
        <v/>
      </c>
      <c r="C4079" s="16"/>
      <c r="G4079" s="15">
        <f t="shared" ca="1" si="1148"/>
        <v>42</v>
      </c>
      <c r="H4079" s="15">
        <v>1</v>
      </c>
      <c r="I4079" s="15">
        <f t="shared" ca="1" si="1149"/>
        <v>0</v>
      </c>
      <c r="J4079" s="15" t="str">
        <f t="shared" ca="1" si="1156"/>
        <v>'0'!A42</v>
      </c>
      <c r="K4079" s="15" t="str">
        <f t="shared" ca="1" si="1157"/>
        <v>'0'!B42</v>
      </c>
    </row>
    <row r="4080" spans="1:16" x14ac:dyDescent="0.25">
      <c r="A4080" s="3" t="str">
        <f t="shared" ca="1" si="1160"/>
        <v/>
      </c>
      <c r="G4080" s="15">
        <f t="shared" ca="1" si="1148"/>
        <v>43</v>
      </c>
      <c r="H4080" s="15">
        <v>1</v>
      </c>
      <c r="I4080" s="15">
        <f t="shared" ca="1" si="1149"/>
        <v>0</v>
      </c>
      <c r="J4080" s="15" t="str">
        <f t="shared" ca="1" si="1156"/>
        <v>'0'!A43</v>
      </c>
      <c r="K4080" s="15" t="str">
        <f t="shared" ca="1" si="1157"/>
        <v>'0'!B43</v>
      </c>
    </row>
    <row r="4081" spans="1:16" x14ac:dyDescent="0.25">
      <c r="A4081" s="3" t="str">
        <f t="shared" ca="1" si="1160"/>
        <v/>
      </c>
      <c r="G4081" s="15">
        <f t="shared" ca="1" si="1148"/>
        <v>44</v>
      </c>
      <c r="H4081" s="15">
        <v>1</v>
      </c>
      <c r="I4081" s="15">
        <f t="shared" ca="1" si="1149"/>
        <v>0</v>
      </c>
      <c r="J4081" s="15" t="str">
        <f t="shared" ca="1" si="1156"/>
        <v>'0'!A44</v>
      </c>
      <c r="K4081" s="15" t="str">
        <f t="shared" ca="1" si="1157"/>
        <v>'0'!B44</v>
      </c>
    </row>
    <row r="4082" spans="1:16" x14ac:dyDescent="0.25">
      <c r="A4082" s="3" t="str">
        <f t="shared" ca="1" si="1160"/>
        <v/>
      </c>
      <c r="G4082" s="15">
        <f t="shared" ca="1" si="1148"/>
        <v>45</v>
      </c>
      <c r="H4082" s="15">
        <v>1</v>
      </c>
      <c r="I4082" s="15">
        <f t="shared" ca="1" si="1149"/>
        <v>0</v>
      </c>
      <c r="J4082" s="15" t="str">
        <f t="shared" ca="1" si="1156"/>
        <v>'0'!A45</v>
      </c>
      <c r="K4082" s="15" t="str">
        <f t="shared" ca="1" si="1157"/>
        <v>'0'!B45</v>
      </c>
    </row>
    <row r="4083" spans="1:16" x14ac:dyDescent="0.25">
      <c r="A4083" s="3" t="str">
        <f t="shared" ca="1" si="1160"/>
        <v/>
      </c>
      <c r="G4083" s="15">
        <f t="shared" ca="1" si="1148"/>
        <v>46</v>
      </c>
      <c r="H4083" s="15">
        <v>1</v>
      </c>
      <c r="I4083" s="15">
        <f t="shared" ca="1" si="1149"/>
        <v>0</v>
      </c>
      <c r="J4083" s="15" t="str">
        <f t="shared" ca="1" si="1156"/>
        <v>'0'!A46</v>
      </c>
      <c r="K4083" s="15" t="str">
        <f t="shared" ca="1" si="1157"/>
        <v>'0'!B46</v>
      </c>
    </row>
    <row r="4084" spans="1:16" x14ac:dyDescent="0.25">
      <c r="A4084" s="3" t="str">
        <f t="shared" ca="1" si="1160"/>
        <v/>
      </c>
      <c r="G4084" s="15">
        <f t="shared" ca="1" si="1148"/>
        <v>47</v>
      </c>
      <c r="H4084" s="15">
        <v>1</v>
      </c>
      <c r="I4084" s="15">
        <f t="shared" ca="1" si="1149"/>
        <v>0</v>
      </c>
      <c r="J4084" s="15" t="str">
        <f t="shared" ca="1" si="1156"/>
        <v>'0'!A47</v>
      </c>
      <c r="K4084" s="15" t="str">
        <f t="shared" ca="1" si="1157"/>
        <v>'0'!B47</v>
      </c>
    </row>
    <row r="4085" spans="1:16" x14ac:dyDescent="0.25">
      <c r="A4085" s="3" t="str">
        <f t="shared" ca="1" si="1160"/>
        <v/>
      </c>
      <c r="G4085" s="15">
        <f t="shared" ca="1" si="1148"/>
        <v>48</v>
      </c>
      <c r="H4085" s="15">
        <v>1</v>
      </c>
      <c r="I4085" s="15">
        <f t="shared" ca="1" si="1149"/>
        <v>0</v>
      </c>
      <c r="J4085" s="15" t="str">
        <f t="shared" ca="1" si="1156"/>
        <v>'0'!A48</v>
      </c>
      <c r="K4085" s="15" t="str">
        <f t="shared" ca="1" si="1157"/>
        <v>'0'!B48</v>
      </c>
    </row>
    <row r="4086" spans="1:16" x14ac:dyDescent="0.25">
      <c r="A4086" s="3" t="str">
        <f t="shared" ca="1" si="1160"/>
        <v/>
      </c>
      <c r="G4086" s="15">
        <f t="shared" ca="1" si="1148"/>
        <v>49</v>
      </c>
      <c r="H4086" s="15">
        <v>1</v>
      </c>
      <c r="I4086" s="15">
        <f t="shared" ca="1" si="1149"/>
        <v>0</v>
      </c>
      <c r="J4086" s="15" t="str">
        <f t="shared" ca="1" si="1156"/>
        <v>'0'!A49</v>
      </c>
      <c r="K4086" s="15" t="str">
        <f t="shared" ca="1" si="1157"/>
        <v>'0'!B49</v>
      </c>
    </row>
    <row r="4087" spans="1:16" x14ac:dyDescent="0.25">
      <c r="A4087" s="3" t="str">
        <f t="shared" ca="1" si="1160"/>
        <v/>
      </c>
      <c r="G4087" s="15">
        <f t="shared" ca="1" si="1148"/>
        <v>50</v>
      </c>
      <c r="H4087" s="15">
        <v>1</v>
      </c>
      <c r="I4087" s="15">
        <f t="shared" ca="1" si="1149"/>
        <v>0</v>
      </c>
      <c r="J4087" s="15" t="str">
        <f t="shared" ca="1" si="1156"/>
        <v>'0'!A50</v>
      </c>
      <c r="K4087" s="15" t="str">
        <f t="shared" ca="1" si="1157"/>
        <v>'0'!B50</v>
      </c>
    </row>
    <row r="4088" spans="1:16" x14ac:dyDescent="0.25">
      <c r="A4088" s="3" t="str">
        <f t="shared" ca="1" si="1160"/>
        <v/>
      </c>
      <c r="G4088" s="15">
        <f t="shared" ref="G4088" ca="1" si="1161">INDIRECT(M4088)</f>
        <v>31</v>
      </c>
      <c r="H4088" s="15">
        <v>1</v>
      </c>
      <c r="I4088" s="15">
        <f t="shared" ref="I4088" ca="1" si="1162">INDIRECT(N4088)</f>
        <v>0</v>
      </c>
      <c r="J4088" s="15" t="str">
        <f t="shared" ca="1" si="1156"/>
        <v>'0'!A31</v>
      </c>
      <c r="K4088" s="15" t="str">
        <f t="shared" ca="1" si="1157"/>
        <v>'0'!B31</v>
      </c>
      <c r="M4088" s="15" t="str">
        <f t="shared" ref="M4088" si="1163">ADDRESS(O4088,3,4,1,$R$1)</f>
        <v>konfig!C206</v>
      </c>
      <c r="N4088" s="15" t="str">
        <f t="shared" ref="N4088" si="1164">ADDRESS(O4088,1,4,1,$R$1)</f>
        <v>konfig!A206</v>
      </c>
      <c r="O4088" s="15">
        <v>206</v>
      </c>
      <c r="P4088" s="15">
        <v>4</v>
      </c>
    </row>
    <row r="4089" spans="1:16" x14ac:dyDescent="0.25">
      <c r="A4089" s="3" t="str">
        <f t="shared" ca="1" si="1160"/>
        <v/>
      </c>
      <c r="G4089" s="15">
        <f t="shared" ref="G4089:G4132" ca="1" si="1165">G4088+1</f>
        <v>32</v>
      </c>
      <c r="H4089" s="15">
        <v>1</v>
      </c>
      <c r="I4089" s="15">
        <f t="shared" ref="I4089:I4132" ca="1" si="1166">I4088</f>
        <v>0</v>
      </c>
      <c r="J4089" s="15" t="str">
        <f t="shared" ca="1" si="1156"/>
        <v>'0'!A32</v>
      </c>
      <c r="K4089" s="15" t="str">
        <f t="shared" ca="1" si="1157"/>
        <v>'0'!B32</v>
      </c>
    </row>
    <row r="4090" spans="1:16" x14ac:dyDescent="0.25">
      <c r="A4090" s="3" t="str">
        <f t="shared" ca="1" si="1160"/>
        <v/>
      </c>
      <c r="G4090" s="15">
        <f t="shared" ca="1" si="1165"/>
        <v>33</v>
      </c>
      <c r="H4090" s="15">
        <v>1</v>
      </c>
      <c r="I4090" s="15">
        <f t="shared" ca="1" si="1166"/>
        <v>0</v>
      </c>
      <c r="J4090" s="15" t="str">
        <f t="shared" ca="1" si="1156"/>
        <v>'0'!A33</v>
      </c>
      <c r="K4090" s="15" t="str">
        <f t="shared" ca="1" si="1157"/>
        <v>'0'!B33</v>
      </c>
    </row>
    <row r="4091" spans="1:16" x14ac:dyDescent="0.25">
      <c r="A4091" s="3" t="str">
        <f t="shared" ca="1" si="1160"/>
        <v/>
      </c>
      <c r="C4091" s="16"/>
      <c r="G4091" s="15">
        <f t="shared" ca="1" si="1165"/>
        <v>34</v>
      </c>
      <c r="H4091" s="15">
        <v>1</v>
      </c>
      <c r="I4091" s="15">
        <f t="shared" ca="1" si="1166"/>
        <v>0</v>
      </c>
      <c r="J4091" s="15" t="str">
        <f t="shared" ca="1" si="1156"/>
        <v>'0'!A34</v>
      </c>
      <c r="K4091" s="15" t="str">
        <f t="shared" ca="1" si="1157"/>
        <v>'0'!B34</v>
      </c>
    </row>
    <row r="4092" spans="1:16" x14ac:dyDescent="0.25">
      <c r="A4092" s="3" t="str">
        <f t="shared" ca="1" si="1160"/>
        <v/>
      </c>
      <c r="G4092" s="15">
        <f t="shared" ca="1" si="1165"/>
        <v>35</v>
      </c>
      <c r="H4092" s="15">
        <v>1</v>
      </c>
      <c r="I4092" s="15">
        <f t="shared" ca="1" si="1166"/>
        <v>0</v>
      </c>
      <c r="J4092" s="15" t="str">
        <f t="shared" ca="1" si="1156"/>
        <v>'0'!A35</v>
      </c>
      <c r="K4092" s="15" t="str">
        <f t="shared" ca="1" si="1157"/>
        <v>'0'!B35</v>
      </c>
    </row>
    <row r="4093" spans="1:16" x14ac:dyDescent="0.25">
      <c r="A4093" s="3" t="str">
        <f t="shared" ca="1" si="1160"/>
        <v/>
      </c>
      <c r="G4093" s="15">
        <f t="shared" ca="1" si="1148"/>
        <v>36</v>
      </c>
      <c r="H4093" s="15">
        <v>1</v>
      </c>
      <c r="I4093" s="15">
        <f t="shared" ca="1" si="1149"/>
        <v>0</v>
      </c>
      <c r="J4093" s="15" t="str">
        <f t="shared" ca="1" si="1156"/>
        <v>'0'!A36</v>
      </c>
      <c r="K4093" s="15" t="str">
        <f t="shared" ca="1" si="1157"/>
        <v>'0'!B36</v>
      </c>
    </row>
    <row r="4094" spans="1:16" x14ac:dyDescent="0.25">
      <c r="A4094" s="3" t="str">
        <f t="shared" ca="1" si="1160"/>
        <v/>
      </c>
      <c r="G4094" s="15">
        <f t="shared" ca="1" si="1148"/>
        <v>37</v>
      </c>
      <c r="H4094" s="15">
        <v>1</v>
      </c>
      <c r="I4094" s="15">
        <f t="shared" ca="1" si="1149"/>
        <v>0</v>
      </c>
      <c r="J4094" s="15" t="str">
        <f t="shared" ca="1" si="1156"/>
        <v>'0'!A37</v>
      </c>
      <c r="K4094" s="15" t="str">
        <f t="shared" ca="1" si="1157"/>
        <v>'0'!B37</v>
      </c>
    </row>
    <row r="4095" spans="1:16" x14ac:dyDescent="0.25">
      <c r="A4095" s="3" t="str">
        <f t="shared" ca="1" si="1160"/>
        <v/>
      </c>
      <c r="G4095" s="15">
        <f t="shared" ca="1" si="1148"/>
        <v>38</v>
      </c>
      <c r="H4095" s="15">
        <v>1</v>
      </c>
      <c r="I4095" s="15">
        <f t="shared" ca="1" si="1149"/>
        <v>0</v>
      </c>
      <c r="J4095" s="15" t="str">
        <f t="shared" ca="1" si="1156"/>
        <v>'0'!A38</v>
      </c>
      <c r="K4095" s="15" t="str">
        <f t="shared" ca="1" si="1157"/>
        <v>'0'!B38</v>
      </c>
    </row>
    <row r="4096" spans="1:16" x14ac:dyDescent="0.25">
      <c r="A4096" s="3" t="str">
        <f t="shared" ca="1" si="1160"/>
        <v/>
      </c>
      <c r="G4096" s="15">
        <f t="shared" ca="1" si="1148"/>
        <v>39</v>
      </c>
      <c r="H4096" s="15">
        <v>1</v>
      </c>
      <c r="I4096" s="15">
        <f t="shared" ca="1" si="1149"/>
        <v>0</v>
      </c>
      <c r="J4096" s="15" t="str">
        <f t="shared" ca="1" si="1156"/>
        <v>'0'!A39</v>
      </c>
      <c r="K4096" s="15" t="str">
        <f t="shared" ca="1" si="1157"/>
        <v>'0'!B39</v>
      </c>
    </row>
    <row r="4097" spans="1:16" x14ac:dyDescent="0.25">
      <c r="A4097" s="3" t="str">
        <f t="shared" ca="1" si="1160"/>
        <v/>
      </c>
      <c r="G4097" s="15">
        <f t="shared" ca="1" si="1148"/>
        <v>40</v>
      </c>
      <c r="H4097" s="15">
        <v>1</v>
      </c>
      <c r="I4097" s="15">
        <f t="shared" ca="1" si="1149"/>
        <v>0</v>
      </c>
      <c r="J4097" s="15" t="str">
        <f t="shared" ca="1" si="1156"/>
        <v>'0'!A40</v>
      </c>
      <c r="K4097" s="15" t="str">
        <f t="shared" ca="1" si="1157"/>
        <v>'0'!B40</v>
      </c>
    </row>
    <row r="4098" spans="1:16" x14ac:dyDescent="0.25">
      <c r="A4098" s="3" t="str">
        <f t="shared" ca="1" si="1160"/>
        <v/>
      </c>
      <c r="G4098" s="15">
        <f t="shared" ca="1" si="1148"/>
        <v>41</v>
      </c>
      <c r="H4098" s="15">
        <v>1</v>
      </c>
      <c r="I4098" s="15">
        <f t="shared" ca="1" si="1149"/>
        <v>0</v>
      </c>
      <c r="J4098" s="15" t="str">
        <f t="shared" ca="1" si="1156"/>
        <v>'0'!A41</v>
      </c>
      <c r="K4098" s="15" t="str">
        <f t="shared" ca="1" si="1157"/>
        <v>'0'!B41</v>
      </c>
    </row>
    <row r="4099" spans="1:16" x14ac:dyDescent="0.25">
      <c r="A4099" s="3" t="str">
        <f t="shared" ca="1" si="1160"/>
        <v/>
      </c>
      <c r="C4099" s="16"/>
      <c r="G4099" s="15">
        <f t="shared" ca="1" si="1148"/>
        <v>42</v>
      </c>
      <c r="H4099" s="15">
        <v>1</v>
      </c>
      <c r="I4099" s="15">
        <f t="shared" ca="1" si="1149"/>
        <v>0</v>
      </c>
      <c r="J4099" s="15" t="str">
        <f t="shared" ca="1" si="1156"/>
        <v>'0'!A42</v>
      </c>
      <c r="K4099" s="15" t="str">
        <f t="shared" ca="1" si="1157"/>
        <v>'0'!B42</v>
      </c>
    </row>
    <row r="4100" spans="1:16" x14ac:dyDescent="0.25">
      <c r="A4100" s="3" t="str">
        <f t="shared" ca="1" si="1160"/>
        <v/>
      </c>
      <c r="G4100" s="15">
        <f t="shared" ca="1" si="1148"/>
        <v>43</v>
      </c>
      <c r="H4100" s="15">
        <v>1</v>
      </c>
      <c r="I4100" s="15">
        <f t="shared" ca="1" si="1149"/>
        <v>0</v>
      </c>
      <c r="J4100" s="15" t="str">
        <f t="shared" ca="1" si="1156"/>
        <v>'0'!A43</v>
      </c>
      <c r="K4100" s="15" t="str">
        <f t="shared" ca="1" si="1157"/>
        <v>'0'!B43</v>
      </c>
    </row>
    <row r="4101" spans="1:16" x14ac:dyDescent="0.25">
      <c r="A4101" s="3" t="str">
        <f t="shared" ca="1" si="1160"/>
        <v/>
      </c>
      <c r="G4101" s="15">
        <f t="shared" ca="1" si="1148"/>
        <v>44</v>
      </c>
      <c r="H4101" s="15">
        <v>1</v>
      </c>
      <c r="I4101" s="15">
        <f t="shared" ca="1" si="1149"/>
        <v>0</v>
      </c>
      <c r="J4101" s="15" t="str">
        <f t="shared" ca="1" si="1156"/>
        <v>'0'!A44</v>
      </c>
      <c r="K4101" s="15" t="str">
        <f t="shared" ca="1" si="1157"/>
        <v>'0'!B44</v>
      </c>
    </row>
    <row r="4102" spans="1:16" x14ac:dyDescent="0.25">
      <c r="A4102" s="3" t="str">
        <f t="shared" ca="1" si="1160"/>
        <v/>
      </c>
      <c r="G4102" s="15">
        <f t="shared" ca="1" si="1148"/>
        <v>45</v>
      </c>
      <c r="H4102" s="15">
        <v>1</v>
      </c>
      <c r="I4102" s="15">
        <f t="shared" ca="1" si="1149"/>
        <v>0</v>
      </c>
      <c r="J4102" s="15" t="str">
        <f t="shared" ca="1" si="1156"/>
        <v>'0'!A45</v>
      </c>
      <c r="K4102" s="15" t="str">
        <f t="shared" ca="1" si="1157"/>
        <v>'0'!B45</v>
      </c>
    </row>
    <row r="4103" spans="1:16" x14ac:dyDescent="0.25">
      <c r="A4103" s="3" t="str">
        <f t="shared" ca="1" si="1160"/>
        <v/>
      </c>
      <c r="G4103" s="15">
        <f t="shared" ca="1" si="1148"/>
        <v>46</v>
      </c>
      <c r="H4103" s="15">
        <v>1</v>
      </c>
      <c r="I4103" s="15">
        <f t="shared" ca="1" si="1149"/>
        <v>0</v>
      </c>
      <c r="J4103" s="15" t="str">
        <f t="shared" ca="1" si="1156"/>
        <v>'0'!A46</v>
      </c>
      <c r="K4103" s="15" t="str">
        <f t="shared" ca="1" si="1157"/>
        <v>'0'!B46</v>
      </c>
    </row>
    <row r="4104" spans="1:16" x14ac:dyDescent="0.25">
      <c r="A4104" s="3" t="str">
        <f t="shared" ca="1" si="1160"/>
        <v/>
      </c>
      <c r="G4104" s="15">
        <f t="shared" ca="1" si="1148"/>
        <v>47</v>
      </c>
      <c r="H4104" s="15">
        <v>1</v>
      </c>
      <c r="I4104" s="15">
        <f t="shared" ca="1" si="1149"/>
        <v>0</v>
      </c>
      <c r="J4104" s="15" t="str">
        <f t="shared" ca="1" si="1156"/>
        <v>'0'!A47</v>
      </c>
      <c r="K4104" s="15" t="str">
        <f t="shared" ca="1" si="1157"/>
        <v>'0'!B47</v>
      </c>
    </row>
    <row r="4105" spans="1:16" x14ac:dyDescent="0.25">
      <c r="A4105" s="3" t="str">
        <f t="shared" ca="1" si="1160"/>
        <v/>
      </c>
      <c r="G4105" s="15">
        <f t="shared" ref="G4105:G4167" ca="1" si="1167">G4104+1</f>
        <v>48</v>
      </c>
      <c r="H4105" s="15">
        <v>1</v>
      </c>
      <c r="I4105" s="15">
        <f t="shared" ref="I4105:I4167" ca="1" si="1168">I4104</f>
        <v>0</v>
      </c>
      <c r="J4105" s="15" t="str">
        <f t="shared" ca="1" si="1156"/>
        <v>'0'!A48</v>
      </c>
      <c r="K4105" s="15" t="str">
        <f t="shared" ca="1" si="1157"/>
        <v>'0'!B48</v>
      </c>
    </row>
    <row r="4106" spans="1:16" x14ac:dyDescent="0.25">
      <c r="A4106" s="3" t="str">
        <f t="shared" ca="1" si="1160"/>
        <v/>
      </c>
      <c r="G4106" s="15">
        <f t="shared" ca="1" si="1167"/>
        <v>49</v>
      </c>
      <c r="H4106" s="15">
        <v>1</v>
      </c>
      <c r="I4106" s="15">
        <f t="shared" ca="1" si="1168"/>
        <v>0</v>
      </c>
      <c r="J4106" s="15" t="str">
        <f t="shared" ca="1" si="1156"/>
        <v>'0'!A49</v>
      </c>
      <c r="K4106" s="15" t="str">
        <f t="shared" ca="1" si="1157"/>
        <v>'0'!B49</v>
      </c>
    </row>
    <row r="4107" spans="1:16" x14ac:dyDescent="0.25">
      <c r="A4107" s="3" t="str">
        <f t="shared" ca="1" si="1160"/>
        <v/>
      </c>
      <c r="G4107" s="15">
        <f t="shared" ca="1" si="1167"/>
        <v>50</v>
      </c>
      <c r="H4107" s="15">
        <v>1</v>
      </c>
      <c r="I4107" s="15">
        <f t="shared" ca="1" si="1168"/>
        <v>0</v>
      </c>
      <c r="J4107" s="15" t="str">
        <f t="shared" ca="1" si="1156"/>
        <v>'0'!A50</v>
      </c>
      <c r="K4107" s="15" t="str">
        <f t="shared" ca="1" si="1157"/>
        <v>'0'!B50</v>
      </c>
    </row>
    <row r="4108" spans="1:16" x14ac:dyDescent="0.25">
      <c r="A4108" s="3" t="str">
        <f t="shared" ca="1" si="1160"/>
        <v/>
      </c>
      <c r="G4108" s="15">
        <f t="shared" ref="G4108" ca="1" si="1169">INDIRECT(M4108)</f>
        <v>31</v>
      </c>
      <c r="H4108" s="15">
        <v>1</v>
      </c>
      <c r="I4108" s="15">
        <f t="shared" ref="I4108" ca="1" si="1170">INDIRECT(N4108)</f>
        <v>0</v>
      </c>
      <c r="J4108" s="15" t="str">
        <f t="shared" ca="1" si="1156"/>
        <v>'0'!A31</v>
      </c>
      <c r="K4108" s="15" t="str">
        <f t="shared" ca="1" si="1157"/>
        <v>'0'!B31</v>
      </c>
      <c r="M4108" s="15" t="str">
        <f t="shared" ref="M4108" si="1171">ADDRESS(O4108,3,4,1,$R$1)</f>
        <v>konfig!C207</v>
      </c>
      <c r="N4108" s="15" t="str">
        <f t="shared" ref="N4108" si="1172">ADDRESS(O4108,1,4,1,$R$1)</f>
        <v>konfig!A207</v>
      </c>
      <c r="O4108" s="15">
        <v>207</v>
      </c>
      <c r="P4108" s="15">
        <v>4</v>
      </c>
    </row>
    <row r="4109" spans="1:16" x14ac:dyDescent="0.25">
      <c r="A4109" s="3" t="str">
        <f t="shared" ca="1" si="1160"/>
        <v/>
      </c>
      <c r="G4109" s="15">
        <f t="shared" ref="G4109:G4149" ca="1" si="1173">G4108+1</f>
        <v>32</v>
      </c>
      <c r="H4109" s="15">
        <v>1</v>
      </c>
      <c r="I4109" s="15">
        <f t="shared" ref="I4109:I4149" ca="1" si="1174">I4108</f>
        <v>0</v>
      </c>
      <c r="J4109" s="15" t="str">
        <f t="shared" ca="1" si="1156"/>
        <v>'0'!A32</v>
      </c>
      <c r="K4109" s="15" t="str">
        <f t="shared" ca="1" si="1157"/>
        <v>'0'!B32</v>
      </c>
    </row>
    <row r="4110" spans="1:16" x14ac:dyDescent="0.25">
      <c r="A4110" s="3" t="str">
        <f t="shared" ca="1" si="1160"/>
        <v/>
      </c>
      <c r="G4110" s="15">
        <f t="shared" ca="1" si="1167"/>
        <v>33</v>
      </c>
      <c r="H4110" s="15">
        <v>1</v>
      </c>
      <c r="I4110" s="15">
        <f t="shared" ca="1" si="1168"/>
        <v>0</v>
      </c>
      <c r="J4110" s="15" t="str">
        <f t="shared" ca="1" si="1156"/>
        <v>'0'!A33</v>
      </c>
      <c r="K4110" s="15" t="str">
        <f t="shared" ca="1" si="1157"/>
        <v>'0'!B33</v>
      </c>
    </row>
    <row r="4111" spans="1:16" x14ac:dyDescent="0.25">
      <c r="A4111" s="3" t="str">
        <f t="shared" ca="1" si="1160"/>
        <v/>
      </c>
      <c r="C4111" s="16"/>
      <c r="G4111" s="15">
        <f t="shared" ca="1" si="1167"/>
        <v>34</v>
      </c>
      <c r="H4111" s="15">
        <v>1</v>
      </c>
      <c r="I4111" s="15">
        <f t="shared" ca="1" si="1168"/>
        <v>0</v>
      </c>
      <c r="J4111" s="15" t="str">
        <f t="shared" ca="1" si="1156"/>
        <v>'0'!A34</v>
      </c>
      <c r="K4111" s="15" t="str">
        <f t="shared" ca="1" si="1157"/>
        <v>'0'!B34</v>
      </c>
    </row>
    <row r="4112" spans="1:16" x14ac:dyDescent="0.25">
      <c r="A4112" s="3" t="str">
        <f t="shared" ca="1" si="1160"/>
        <v/>
      </c>
      <c r="G4112" s="15">
        <f t="shared" ca="1" si="1167"/>
        <v>35</v>
      </c>
      <c r="H4112" s="15">
        <v>1</v>
      </c>
      <c r="I4112" s="15">
        <f t="shared" ca="1" si="1168"/>
        <v>0</v>
      </c>
      <c r="J4112" s="15" t="str">
        <f t="shared" ca="1" si="1156"/>
        <v>'0'!A35</v>
      </c>
      <c r="K4112" s="15" t="str">
        <f t="shared" ca="1" si="1157"/>
        <v>'0'!B35</v>
      </c>
    </row>
    <row r="4113" spans="1:16" x14ac:dyDescent="0.25">
      <c r="A4113" s="3" t="str">
        <f t="shared" ca="1" si="1160"/>
        <v/>
      </c>
      <c r="G4113" s="15">
        <f t="shared" ca="1" si="1167"/>
        <v>36</v>
      </c>
      <c r="H4113" s="15">
        <v>1</v>
      </c>
      <c r="I4113" s="15">
        <f t="shared" ca="1" si="1168"/>
        <v>0</v>
      </c>
      <c r="J4113" s="15" t="str">
        <f t="shared" ca="1" si="1156"/>
        <v>'0'!A36</v>
      </c>
      <c r="K4113" s="15" t="str">
        <f t="shared" ca="1" si="1157"/>
        <v>'0'!B36</v>
      </c>
    </row>
    <row r="4114" spans="1:16" x14ac:dyDescent="0.25">
      <c r="A4114" s="3" t="str">
        <f t="shared" ca="1" si="1160"/>
        <v/>
      </c>
      <c r="G4114" s="15">
        <f t="shared" ca="1" si="1167"/>
        <v>37</v>
      </c>
      <c r="H4114" s="15">
        <v>1</v>
      </c>
      <c r="I4114" s="15">
        <f t="shared" ca="1" si="1168"/>
        <v>0</v>
      </c>
      <c r="J4114" s="15" t="str">
        <f t="shared" ca="1" si="1156"/>
        <v>'0'!A37</v>
      </c>
      <c r="K4114" s="15" t="str">
        <f t="shared" ca="1" si="1157"/>
        <v>'0'!B37</v>
      </c>
    </row>
    <row r="4115" spans="1:16" x14ac:dyDescent="0.25">
      <c r="A4115" s="3" t="str">
        <f t="shared" ca="1" si="1160"/>
        <v/>
      </c>
      <c r="G4115" s="15">
        <f t="shared" ca="1" si="1167"/>
        <v>38</v>
      </c>
      <c r="H4115" s="15">
        <v>1</v>
      </c>
      <c r="I4115" s="15">
        <f t="shared" ca="1" si="1168"/>
        <v>0</v>
      </c>
      <c r="J4115" s="15" t="str">
        <f t="shared" ca="1" si="1156"/>
        <v>'0'!A38</v>
      </c>
      <c r="K4115" s="15" t="str">
        <f t="shared" ca="1" si="1157"/>
        <v>'0'!B38</v>
      </c>
    </row>
    <row r="4116" spans="1:16" x14ac:dyDescent="0.25">
      <c r="A4116" s="3" t="str">
        <f t="shared" ca="1" si="1160"/>
        <v/>
      </c>
      <c r="G4116" s="15">
        <f t="shared" ca="1" si="1167"/>
        <v>39</v>
      </c>
      <c r="H4116" s="15">
        <v>1</v>
      </c>
      <c r="I4116" s="15">
        <f t="shared" ca="1" si="1168"/>
        <v>0</v>
      </c>
      <c r="J4116" s="15" t="str">
        <f t="shared" ca="1" si="1156"/>
        <v>'0'!A39</v>
      </c>
      <c r="K4116" s="15" t="str">
        <f t="shared" ca="1" si="1157"/>
        <v>'0'!B39</v>
      </c>
    </row>
    <row r="4117" spans="1:16" x14ac:dyDescent="0.25">
      <c r="A4117" s="3" t="str">
        <f t="shared" ca="1" si="1160"/>
        <v/>
      </c>
      <c r="G4117" s="15">
        <f t="shared" ca="1" si="1167"/>
        <v>40</v>
      </c>
      <c r="H4117" s="15">
        <v>1</v>
      </c>
      <c r="I4117" s="15">
        <f t="shared" ca="1" si="1168"/>
        <v>0</v>
      </c>
      <c r="J4117" s="15" t="str">
        <f t="shared" ca="1" si="1156"/>
        <v>'0'!A40</v>
      </c>
      <c r="K4117" s="15" t="str">
        <f t="shared" ca="1" si="1157"/>
        <v>'0'!B40</v>
      </c>
    </row>
    <row r="4118" spans="1:16" x14ac:dyDescent="0.25">
      <c r="A4118" s="3" t="str">
        <f t="shared" ca="1" si="1160"/>
        <v/>
      </c>
      <c r="G4118" s="15">
        <f t="shared" ca="1" si="1167"/>
        <v>41</v>
      </c>
      <c r="H4118" s="15">
        <v>1</v>
      </c>
      <c r="I4118" s="15">
        <f t="shared" ca="1" si="1168"/>
        <v>0</v>
      </c>
      <c r="J4118" s="15" t="str">
        <f t="shared" ca="1" si="1156"/>
        <v>'0'!A41</v>
      </c>
      <c r="K4118" s="15" t="str">
        <f t="shared" ca="1" si="1157"/>
        <v>'0'!B41</v>
      </c>
    </row>
    <row r="4119" spans="1:16" x14ac:dyDescent="0.25">
      <c r="A4119" s="3" t="str">
        <f t="shared" ca="1" si="1160"/>
        <v/>
      </c>
      <c r="C4119" s="16"/>
      <c r="G4119" s="15">
        <f t="shared" ca="1" si="1167"/>
        <v>42</v>
      </c>
      <c r="H4119" s="15">
        <v>1</v>
      </c>
      <c r="I4119" s="15">
        <f t="shared" ca="1" si="1168"/>
        <v>0</v>
      </c>
      <c r="J4119" s="15" t="str">
        <f t="shared" ca="1" si="1156"/>
        <v>'0'!A42</v>
      </c>
      <c r="K4119" s="15" t="str">
        <f t="shared" ca="1" si="1157"/>
        <v>'0'!B42</v>
      </c>
    </row>
    <row r="4120" spans="1:16" x14ac:dyDescent="0.25">
      <c r="A4120" s="3" t="str">
        <f t="shared" ca="1" si="1160"/>
        <v/>
      </c>
      <c r="G4120" s="15">
        <f t="shared" ca="1" si="1167"/>
        <v>43</v>
      </c>
      <c r="H4120" s="15">
        <v>1</v>
      </c>
      <c r="I4120" s="15">
        <f t="shared" ca="1" si="1168"/>
        <v>0</v>
      </c>
      <c r="J4120" s="15" t="str">
        <f t="shared" ca="1" si="1156"/>
        <v>'0'!A43</v>
      </c>
      <c r="K4120" s="15" t="str">
        <f t="shared" ca="1" si="1157"/>
        <v>'0'!B43</v>
      </c>
    </row>
    <row r="4121" spans="1:16" x14ac:dyDescent="0.25">
      <c r="A4121" s="3" t="str">
        <f t="shared" ca="1" si="1160"/>
        <v/>
      </c>
      <c r="G4121" s="15">
        <f t="shared" ca="1" si="1167"/>
        <v>44</v>
      </c>
      <c r="H4121" s="15">
        <v>1</v>
      </c>
      <c r="I4121" s="15">
        <f t="shared" ca="1" si="1168"/>
        <v>0</v>
      </c>
      <c r="J4121" s="15" t="str">
        <f t="shared" ca="1" si="1156"/>
        <v>'0'!A44</v>
      </c>
      <c r="K4121" s="15" t="str">
        <f t="shared" ca="1" si="1157"/>
        <v>'0'!B44</v>
      </c>
    </row>
    <row r="4122" spans="1:16" x14ac:dyDescent="0.25">
      <c r="A4122" s="3" t="str">
        <f t="shared" ca="1" si="1160"/>
        <v/>
      </c>
      <c r="G4122" s="15">
        <f t="shared" ca="1" si="1167"/>
        <v>45</v>
      </c>
      <c r="H4122" s="15">
        <v>1</v>
      </c>
      <c r="I4122" s="15">
        <f t="shared" ca="1" si="1168"/>
        <v>0</v>
      </c>
      <c r="J4122" s="15" t="str">
        <f t="shared" ca="1" si="1156"/>
        <v>'0'!A45</v>
      </c>
      <c r="K4122" s="15" t="str">
        <f t="shared" ca="1" si="1157"/>
        <v>'0'!B45</v>
      </c>
    </row>
    <row r="4123" spans="1:16" x14ac:dyDescent="0.25">
      <c r="A4123" s="3" t="str">
        <f t="shared" ca="1" si="1160"/>
        <v/>
      </c>
      <c r="G4123" s="15">
        <f t="shared" ca="1" si="1167"/>
        <v>46</v>
      </c>
      <c r="H4123" s="15">
        <v>1</v>
      </c>
      <c r="I4123" s="15">
        <f t="shared" ca="1" si="1168"/>
        <v>0</v>
      </c>
      <c r="J4123" s="15" t="str">
        <f t="shared" ca="1" si="1156"/>
        <v>'0'!A46</v>
      </c>
      <c r="K4123" s="15" t="str">
        <f t="shared" ca="1" si="1157"/>
        <v>'0'!B46</v>
      </c>
    </row>
    <row r="4124" spans="1:16" x14ac:dyDescent="0.25">
      <c r="A4124" s="3" t="str">
        <f t="shared" ca="1" si="1160"/>
        <v/>
      </c>
      <c r="G4124" s="15">
        <f t="shared" ca="1" si="1167"/>
        <v>47</v>
      </c>
      <c r="H4124" s="15">
        <v>1</v>
      </c>
      <c r="I4124" s="15">
        <f t="shared" ca="1" si="1168"/>
        <v>0</v>
      </c>
      <c r="J4124" s="15" t="str">
        <f t="shared" ca="1" si="1156"/>
        <v>'0'!A47</v>
      </c>
      <c r="K4124" s="15" t="str">
        <f t="shared" ca="1" si="1157"/>
        <v>'0'!B47</v>
      </c>
    </row>
    <row r="4125" spans="1:16" x14ac:dyDescent="0.25">
      <c r="A4125" s="3" t="str">
        <f t="shared" ca="1" si="1160"/>
        <v/>
      </c>
      <c r="G4125" s="15">
        <f t="shared" ca="1" si="1167"/>
        <v>48</v>
      </c>
      <c r="H4125" s="15">
        <v>1</v>
      </c>
      <c r="I4125" s="15">
        <f t="shared" ca="1" si="1168"/>
        <v>0</v>
      </c>
      <c r="J4125" s="15" t="str">
        <f t="shared" ca="1" si="1156"/>
        <v>'0'!A48</v>
      </c>
      <c r="K4125" s="15" t="str">
        <f t="shared" ca="1" si="1157"/>
        <v>'0'!B48</v>
      </c>
    </row>
    <row r="4126" spans="1:16" x14ac:dyDescent="0.25">
      <c r="A4126" s="3" t="str">
        <f t="shared" ca="1" si="1160"/>
        <v/>
      </c>
      <c r="G4126" s="15">
        <f t="shared" ca="1" si="1167"/>
        <v>49</v>
      </c>
      <c r="H4126" s="15">
        <v>1</v>
      </c>
      <c r="I4126" s="15">
        <f t="shared" ca="1" si="1168"/>
        <v>0</v>
      </c>
      <c r="J4126" s="15" t="str">
        <f t="shared" ca="1" si="1156"/>
        <v>'0'!A49</v>
      </c>
      <c r="K4126" s="15" t="str">
        <f t="shared" ca="1" si="1157"/>
        <v>'0'!B49</v>
      </c>
    </row>
    <row r="4127" spans="1:16" x14ac:dyDescent="0.25">
      <c r="A4127" s="3" t="str">
        <f t="shared" ca="1" si="1160"/>
        <v/>
      </c>
      <c r="G4127" s="15">
        <f t="shared" ca="1" si="1167"/>
        <v>50</v>
      </c>
      <c r="H4127" s="15">
        <v>1</v>
      </c>
      <c r="I4127" s="15">
        <f t="shared" ca="1" si="1168"/>
        <v>0</v>
      </c>
      <c r="J4127" s="15" t="str">
        <f t="shared" ca="1" si="1156"/>
        <v>'0'!A50</v>
      </c>
      <c r="K4127" s="15" t="str">
        <f t="shared" ca="1" si="1157"/>
        <v>'0'!B50</v>
      </c>
    </row>
    <row r="4128" spans="1:16" x14ac:dyDescent="0.25">
      <c r="A4128" s="3" t="str">
        <f t="shared" ca="1" si="1160"/>
        <v/>
      </c>
      <c r="G4128" s="15">
        <f t="shared" ref="G4128" ca="1" si="1175">INDIRECT(M4128)</f>
        <v>31</v>
      </c>
      <c r="H4128" s="15">
        <v>1</v>
      </c>
      <c r="I4128" s="15">
        <f t="shared" ref="I4128" ca="1" si="1176">INDIRECT(N4128)</f>
        <v>0</v>
      </c>
      <c r="J4128" s="15" t="str">
        <f t="shared" ca="1" si="1156"/>
        <v>'0'!A31</v>
      </c>
      <c r="K4128" s="15" t="str">
        <f t="shared" ca="1" si="1157"/>
        <v>'0'!B31</v>
      </c>
      <c r="M4128" s="15" t="str">
        <f t="shared" ref="M4128" si="1177">ADDRESS(O4128,3,4,1,$R$1)</f>
        <v>konfig!C208</v>
      </c>
      <c r="N4128" s="15" t="str">
        <f t="shared" ref="N4128" si="1178">ADDRESS(O4128,1,4,1,$R$1)</f>
        <v>konfig!A208</v>
      </c>
      <c r="O4128" s="15">
        <v>208</v>
      </c>
      <c r="P4128" s="15">
        <v>4</v>
      </c>
    </row>
    <row r="4129" spans="1:11" x14ac:dyDescent="0.25">
      <c r="A4129" s="3" t="str">
        <f t="shared" ca="1" si="1160"/>
        <v/>
      </c>
      <c r="G4129" s="15">
        <f t="shared" ca="1" si="1165"/>
        <v>32</v>
      </c>
      <c r="H4129" s="15">
        <v>1</v>
      </c>
      <c r="I4129" s="15">
        <f t="shared" ca="1" si="1166"/>
        <v>0</v>
      </c>
      <c r="J4129" s="15" t="str">
        <f t="shared" ca="1" si="1156"/>
        <v>'0'!A32</v>
      </c>
      <c r="K4129" s="15" t="str">
        <f t="shared" ca="1" si="1157"/>
        <v>'0'!B32</v>
      </c>
    </row>
    <row r="4130" spans="1:11" x14ac:dyDescent="0.25">
      <c r="A4130" s="3" t="str">
        <f t="shared" ca="1" si="1160"/>
        <v/>
      </c>
      <c r="G4130" s="15">
        <f t="shared" ca="1" si="1165"/>
        <v>33</v>
      </c>
      <c r="H4130" s="15">
        <v>1</v>
      </c>
      <c r="I4130" s="15">
        <f t="shared" ca="1" si="1166"/>
        <v>0</v>
      </c>
      <c r="J4130" s="15" t="str">
        <f t="shared" ca="1" si="1156"/>
        <v>'0'!A33</v>
      </c>
      <c r="K4130" s="15" t="str">
        <f t="shared" ca="1" si="1157"/>
        <v>'0'!B33</v>
      </c>
    </row>
    <row r="4131" spans="1:11" x14ac:dyDescent="0.25">
      <c r="A4131" s="3" t="str">
        <f t="shared" ca="1" si="1160"/>
        <v/>
      </c>
      <c r="C4131" s="16"/>
      <c r="G4131" s="15">
        <f t="shared" ca="1" si="1165"/>
        <v>34</v>
      </c>
      <c r="H4131" s="15">
        <v>1</v>
      </c>
      <c r="I4131" s="15">
        <f t="shared" ca="1" si="1166"/>
        <v>0</v>
      </c>
      <c r="J4131" s="15" t="str">
        <f t="shared" ca="1" si="1156"/>
        <v>'0'!A34</v>
      </c>
      <c r="K4131" s="15" t="str">
        <f t="shared" ca="1" si="1157"/>
        <v>'0'!B34</v>
      </c>
    </row>
    <row r="4132" spans="1:11" x14ac:dyDescent="0.25">
      <c r="A4132" s="3" t="str">
        <f t="shared" ca="1" si="1160"/>
        <v/>
      </c>
      <c r="G4132" s="15">
        <f t="shared" ca="1" si="1165"/>
        <v>35</v>
      </c>
      <c r="H4132" s="15">
        <v>1</v>
      </c>
      <c r="I4132" s="15">
        <f t="shared" ca="1" si="1166"/>
        <v>0</v>
      </c>
      <c r="J4132" s="15" t="str">
        <f t="shared" ref="J4132:J4195" ca="1" si="1179">ADDRESS(G4132,H4132,4,1,I4132)</f>
        <v>'0'!A35</v>
      </c>
      <c r="K4132" s="15" t="str">
        <f t="shared" ref="K4132:K4195" ca="1" si="1180">ADDRESS(G4132,H4132+1,4,1,I4132)</f>
        <v>'0'!B35</v>
      </c>
    </row>
    <row r="4133" spans="1:11" x14ac:dyDescent="0.25">
      <c r="A4133" s="3" t="str">
        <f t="shared" ca="1" si="1160"/>
        <v/>
      </c>
      <c r="G4133" s="15">
        <f t="shared" ca="1" si="1167"/>
        <v>36</v>
      </c>
      <c r="H4133" s="15">
        <v>1</v>
      </c>
      <c r="I4133" s="15">
        <f t="shared" ca="1" si="1168"/>
        <v>0</v>
      </c>
      <c r="J4133" s="15" t="str">
        <f t="shared" ca="1" si="1179"/>
        <v>'0'!A36</v>
      </c>
      <c r="K4133" s="15" t="str">
        <f t="shared" ca="1" si="1180"/>
        <v>'0'!B36</v>
      </c>
    </row>
    <row r="4134" spans="1:11" x14ac:dyDescent="0.25">
      <c r="A4134" s="3" t="str">
        <f t="shared" ca="1" si="1160"/>
        <v/>
      </c>
      <c r="G4134" s="15">
        <f t="shared" ca="1" si="1167"/>
        <v>37</v>
      </c>
      <c r="H4134" s="15">
        <v>1</v>
      </c>
      <c r="I4134" s="15">
        <f t="shared" ca="1" si="1168"/>
        <v>0</v>
      </c>
      <c r="J4134" s="15" t="str">
        <f t="shared" ca="1" si="1179"/>
        <v>'0'!A37</v>
      </c>
      <c r="K4134" s="15" t="str">
        <f t="shared" ca="1" si="1180"/>
        <v>'0'!B37</v>
      </c>
    </row>
    <row r="4135" spans="1:11" x14ac:dyDescent="0.25">
      <c r="A4135" s="3" t="str">
        <f t="shared" ca="1" si="1160"/>
        <v/>
      </c>
      <c r="G4135" s="15">
        <f t="shared" ca="1" si="1167"/>
        <v>38</v>
      </c>
      <c r="H4135" s="15">
        <v>1</v>
      </c>
      <c r="I4135" s="15">
        <f t="shared" ca="1" si="1168"/>
        <v>0</v>
      </c>
      <c r="J4135" s="15" t="str">
        <f t="shared" ca="1" si="1179"/>
        <v>'0'!A38</v>
      </c>
      <c r="K4135" s="15" t="str">
        <f t="shared" ca="1" si="1180"/>
        <v>'0'!B38</v>
      </c>
    </row>
    <row r="4136" spans="1:11" x14ac:dyDescent="0.25">
      <c r="A4136" s="3" t="str">
        <f t="shared" ca="1" si="1160"/>
        <v/>
      </c>
      <c r="G4136" s="15">
        <f t="shared" ca="1" si="1167"/>
        <v>39</v>
      </c>
      <c r="H4136" s="15">
        <v>1</v>
      </c>
      <c r="I4136" s="15">
        <f t="shared" ca="1" si="1168"/>
        <v>0</v>
      </c>
      <c r="J4136" s="15" t="str">
        <f t="shared" ca="1" si="1179"/>
        <v>'0'!A39</v>
      </c>
      <c r="K4136" s="15" t="str">
        <f t="shared" ca="1" si="1180"/>
        <v>'0'!B39</v>
      </c>
    </row>
    <row r="4137" spans="1:11" x14ac:dyDescent="0.25">
      <c r="A4137" s="3" t="str">
        <f t="shared" ca="1" si="1160"/>
        <v/>
      </c>
      <c r="G4137" s="15">
        <f t="shared" ca="1" si="1167"/>
        <v>40</v>
      </c>
      <c r="H4137" s="15">
        <v>1</v>
      </c>
      <c r="I4137" s="15">
        <f t="shared" ca="1" si="1168"/>
        <v>0</v>
      </c>
      <c r="J4137" s="15" t="str">
        <f t="shared" ca="1" si="1179"/>
        <v>'0'!A40</v>
      </c>
      <c r="K4137" s="15" t="str">
        <f t="shared" ca="1" si="1180"/>
        <v>'0'!B40</v>
      </c>
    </row>
    <row r="4138" spans="1:11" x14ac:dyDescent="0.25">
      <c r="A4138" s="3" t="str">
        <f t="shared" ca="1" si="1160"/>
        <v/>
      </c>
      <c r="G4138" s="15">
        <f t="shared" ca="1" si="1167"/>
        <v>41</v>
      </c>
      <c r="H4138" s="15">
        <v>1</v>
      </c>
      <c r="I4138" s="15">
        <f t="shared" ca="1" si="1168"/>
        <v>0</v>
      </c>
      <c r="J4138" s="15" t="str">
        <f t="shared" ca="1" si="1179"/>
        <v>'0'!A41</v>
      </c>
      <c r="K4138" s="15" t="str">
        <f t="shared" ca="1" si="1180"/>
        <v>'0'!B41</v>
      </c>
    </row>
    <row r="4139" spans="1:11" x14ac:dyDescent="0.25">
      <c r="A4139" s="3" t="str">
        <f t="shared" ca="1" si="1160"/>
        <v/>
      </c>
      <c r="C4139" s="16"/>
      <c r="G4139" s="15">
        <f t="shared" ca="1" si="1167"/>
        <v>42</v>
      </c>
      <c r="H4139" s="15">
        <v>1</v>
      </c>
      <c r="I4139" s="15">
        <f t="shared" ca="1" si="1168"/>
        <v>0</v>
      </c>
      <c r="J4139" s="15" t="str">
        <f t="shared" ca="1" si="1179"/>
        <v>'0'!A42</v>
      </c>
      <c r="K4139" s="15" t="str">
        <f t="shared" ca="1" si="1180"/>
        <v>'0'!B42</v>
      </c>
    </row>
    <row r="4140" spans="1:11" x14ac:dyDescent="0.25">
      <c r="A4140" s="3" t="str">
        <f t="shared" ref="A4140:A4203" ca="1" si="1181">IFERROR(IF(INDIRECT(J4140)&lt;&gt;"",CONCATENATE(INDIRECT(J4140)," = ",INDIRECT(K4140)," "),""),"")</f>
        <v/>
      </c>
      <c r="G4140" s="15">
        <f t="shared" ca="1" si="1167"/>
        <v>43</v>
      </c>
      <c r="H4140" s="15">
        <v>1</v>
      </c>
      <c r="I4140" s="15">
        <f t="shared" ca="1" si="1168"/>
        <v>0</v>
      </c>
      <c r="J4140" s="15" t="str">
        <f t="shared" ca="1" si="1179"/>
        <v>'0'!A43</v>
      </c>
      <c r="K4140" s="15" t="str">
        <f t="shared" ca="1" si="1180"/>
        <v>'0'!B43</v>
      </c>
    </row>
    <row r="4141" spans="1:11" x14ac:dyDescent="0.25">
      <c r="A4141" s="3" t="str">
        <f t="shared" ca="1" si="1181"/>
        <v/>
      </c>
      <c r="G4141" s="15">
        <f t="shared" ca="1" si="1167"/>
        <v>44</v>
      </c>
      <c r="H4141" s="15">
        <v>1</v>
      </c>
      <c r="I4141" s="15">
        <f t="shared" ca="1" si="1168"/>
        <v>0</v>
      </c>
      <c r="J4141" s="15" t="str">
        <f t="shared" ca="1" si="1179"/>
        <v>'0'!A44</v>
      </c>
      <c r="K4141" s="15" t="str">
        <f t="shared" ca="1" si="1180"/>
        <v>'0'!B44</v>
      </c>
    </row>
    <row r="4142" spans="1:11" x14ac:dyDescent="0.25">
      <c r="A4142" s="3" t="str">
        <f t="shared" ca="1" si="1181"/>
        <v/>
      </c>
      <c r="G4142" s="15">
        <f t="shared" ca="1" si="1167"/>
        <v>45</v>
      </c>
      <c r="H4142" s="15">
        <v>1</v>
      </c>
      <c r="I4142" s="15">
        <f t="shared" ca="1" si="1168"/>
        <v>0</v>
      </c>
      <c r="J4142" s="15" t="str">
        <f t="shared" ca="1" si="1179"/>
        <v>'0'!A45</v>
      </c>
      <c r="K4142" s="15" t="str">
        <f t="shared" ca="1" si="1180"/>
        <v>'0'!B45</v>
      </c>
    </row>
    <row r="4143" spans="1:11" x14ac:dyDescent="0.25">
      <c r="A4143" s="3" t="str">
        <f t="shared" ca="1" si="1181"/>
        <v/>
      </c>
      <c r="G4143" s="15">
        <f t="shared" ca="1" si="1167"/>
        <v>46</v>
      </c>
      <c r="H4143" s="15">
        <v>1</v>
      </c>
      <c r="I4143" s="15">
        <f t="shared" ca="1" si="1168"/>
        <v>0</v>
      </c>
      <c r="J4143" s="15" t="str">
        <f t="shared" ca="1" si="1179"/>
        <v>'0'!A46</v>
      </c>
      <c r="K4143" s="15" t="str">
        <f t="shared" ca="1" si="1180"/>
        <v>'0'!B46</v>
      </c>
    </row>
    <row r="4144" spans="1:11" x14ac:dyDescent="0.25">
      <c r="A4144" s="3" t="str">
        <f t="shared" ca="1" si="1181"/>
        <v/>
      </c>
      <c r="G4144" s="15">
        <f t="shared" ca="1" si="1167"/>
        <v>47</v>
      </c>
      <c r="H4144" s="15">
        <v>1</v>
      </c>
      <c r="I4144" s="15">
        <f t="shared" ca="1" si="1168"/>
        <v>0</v>
      </c>
      <c r="J4144" s="15" t="str">
        <f t="shared" ca="1" si="1179"/>
        <v>'0'!A47</v>
      </c>
      <c r="K4144" s="15" t="str">
        <f t="shared" ca="1" si="1180"/>
        <v>'0'!B47</v>
      </c>
    </row>
    <row r="4145" spans="1:16" x14ac:dyDescent="0.25">
      <c r="A4145" s="3" t="str">
        <f t="shared" ca="1" si="1181"/>
        <v/>
      </c>
      <c r="G4145" s="15">
        <f t="shared" ca="1" si="1167"/>
        <v>48</v>
      </c>
      <c r="H4145" s="15">
        <v>1</v>
      </c>
      <c r="I4145" s="15">
        <f t="shared" ca="1" si="1168"/>
        <v>0</v>
      </c>
      <c r="J4145" s="15" t="str">
        <f t="shared" ca="1" si="1179"/>
        <v>'0'!A48</v>
      </c>
      <c r="K4145" s="15" t="str">
        <f t="shared" ca="1" si="1180"/>
        <v>'0'!B48</v>
      </c>
    </row>
    <row r="4146" spans="1:16" x14ac:dyDescent="0.25">
      <c r="A4146" s="3" t="str">
        <f t="shared" ca="1" si="1181"/>
        <v/>
      </c>
      <c r="G4146" s="15">
        <f t="shared" ca="1" si="1167"/>
        <v>49</v>
      </c>
      <c r="H4146" s="15">
        <v>1</v>
      </c>
      <c r="I4146" s="15">
        <f t="shared" ca="1" si="1168"/>
        <v>0</v>
      </c>
      <c r="J4146" s="15" t="str">
        <f t="shared" ca="1" si="1179"/>
        <v>'0'!A49</v>
      </c>
      <c r="K4146" s="15" t="str">
        <f t="shared" ca="1" si="1180"/>
        <v>'0'!B49</v>
      </c>
    </row>
    <row r="4147" spans="1:16" x14ac:dyDescent="0.25">
      <c r="A4147" s="3" t="str">
        <f t="shared" ca="1" si="1181"/>
        <v/>
      </c>
      <c r="G4147" s="15">
        <f t="shared" ca="1" si="1167"/>
        <v>50</v>
      </c>
      <c r="H4147" s="15">
        <v>1</v>
      </c>
      <c r="I4147" s="15">
        <f t="shared" ca="1" si="1168"/>
        <v>0</v>
      </c>
      <c r="J4147" s="15" t="str">
        <f t="shared" ca="1" si="1179"/>
        <v>'0'!A50</v>
      </c>
      <c r="K4147" s="15" t="str">
        <f t="shared" ca="1" si="1180"/>
        <v>'0'!B50</v>
      </c>
    </row>
    <row r="4148" spans="1:16" x14ac:dyDescent="0.25">
      <c r="A4148" s="3" t="str">
        <f t="shared" ca="1" si="1181"/>
        <v/>
      </c>
      <c r="G4148" s="15">
        <f t="shared" ref="G4148" ca="1" si="1182">INDIRECT(M4148)</f>
        <v>31</v>
      </c>
      <c r="H4148" s="15">
        <v>1</v>
      </c>
      <c r="I4148" s="15">
        <f t="shared" ref="I4148" ca="1" si="1183">INDIRECT(N4148)</f>
        <v>0</v>
      </c>
      <c r="J4148" s="15" t="str">
        <f t="shared" ca="1" si="1179"/>
        <v>'0'!A31</v>
      </c>
      <c r="K4148" s="15" t="str">
        <f t="shared" ca="1" si="1180"/>
        <v>'0'!B31</v>
      </c>
      <c r="M4148" s="15" t="str">
        <f t="shared" ref="M4148" si="1184">ADDRESS(O4148,3,4,1,$R$1)</f>
        <v>konfig!C209</v>
      </c>
      <c r="N4148" s="15" t="str">
        <f t="shared" ref="N4148" si="1185">ADDRESS(O4148,1,4,1,$R$1)</f>
        <v>konfig!A209</v>
      </c>
      <c r="O4148" s="15">
        <v>209</v>
      </c>
      <c r="P4148" s="15">
        <v>4</v>
      </c>
    </row>
    <row r="4149" spans="1:16" x14ac:dyDescent="0.25">
      <c r="A4149" s="3" t="str">
        <f t="shared" ca="1" si="1181"/>
        <v/>
      </c>
      <c r="G4149" s="15">
        <f t="shared" ca="1" si="1173"/>
        <v>32</v>
      </c>
      <c r="H4149" s="15">
        <v>1</v>
      </c>
      <c r="I4149" s="15">
        <f t="shared" ca="1" si="1174"/>
        <v>0</v>
      </c>
      <c r="J4149" s="15" t="str">
        <f t="shared" ca="1" si="1179"/>
        <v>'0'!A32</v>
      </c>
      <c r="K4149" s="15" t="str">
        <f t="shared" ca="1" si="1180"/>
        <v>'0'!B32</v>
      </c>
    </row>
    <row r="4150" spans="1:16" x14ac:dyDescent="0.25">
      <c r="A4150" s="3" t="str">
        <f t="shared" ca="1" si="1181"/>
        <v/>
      </c>
      <c r="G4150" s="15">
        <f t="shared" ca="1" si="1167"/>
        <v>33</v>
      </c>
      <c r="H4150" s="15">
        <v>1</v>
      </c>
      <c r="I4150" s="15">
        <f t="shared" ca="1" si="1168"/>
        <v>0</v>
      </c>
      <c r="J4150" s="15" t="str">
        <f t="shared" ca="1" si="1179"/>
        <v>'0'!A33</v>
      </c>
      <c r="K4150" s="15" t="str">
        <f t="shared" ca="1" si="1180"/>
        <v>'0'!B33</v>
      </c>
    </row>
    <row r="4151" spans="1:16" x14ac:dyDescent="0.25">
      <c r="A4151" s="3" t="str">
        <f t="shared" ca="1" si="1181"/>
        <v/>
      </c>
      <c r="C4151" s="16"/>
      <c r="G4151" s="15">
        <f t="shared" ca="1" si="1167"/>
        <v>34</v>
      </c>
      <c r="H4151" s="15">
        <v>1</v>
      </c>
      <c r="I4151" s="15">
        <f t="shared" ca="1" si="1168"/>
        <v>0</v>
      </c>
      <c r="J4151" s="15" t="str">
        <f t="shared" ca="1" si="1179"/>
        <v>'0'!A34</v>
      </c>
      <c r="K4151" s="15" t="str">
        <f t="shared" ca="1" si="1180"/>
        <v>'0'!B34</v>
      </c>
    </row>
    <row r="4152" spans="1:16" x14ac:dyDescent="0.25">
      <c r="A4152" s="3" t="str">
        <f t="shared" ca="1" si="1181"/>
        <v/>
      </c>
      <c r="G4152" s="15">
        <f t="shared" ca="1" si="1167"/>
        <v>35</v>
      </c>
      <c r="H4152" s="15">
        <v>1</v>
      </c>
      <c r="I4152" s="15">
        <f t="shared" ca="1" si="1168"/>
        <v>0</v>
      </c>
      <c r="J4152" s="15" t="str">
        <f t="shared" ca="1" si="1179"/>
        <v>'0'!A35</v>
      </c>
      <c r="K4152" s="15" t="str">
        <f t="shared" ca="1" si="1180"/>
        <v>'0'!B35</v>
      </c>
    </row>
    <row r="4153" spans="1:16" x14ac:dyDescent="0.25">
      <c r="A4153" s="3" t="str">
        <f t="shared" ca="1" si="1181"/>
        <v/>
      </c>
      <c r="G4153" s="15">
        <f t="shared" ca="1" si="1167"/>
        <v>36</v>
      </c>
      <c r="H4153" s="15">
        <v>1</v>
      </c>
      <c r="I4153" s="15">
        <f t="shared" ca="1" si="1168"/>
        <v>0</v>
      </c>
      <c r="J4153" s="15" t="str">
        <f t="shared" ca="1" si="1179"/>
        <v>'0'!A36</v>
      </c>
      <c r="K4153" s="15" t="str">
        <f t="shared" ca="1" si="1180"/>
        <v>'0'!B36</v>
      </c>
    </row>
    <row r="4154" spans="1:16" x14ac:dyDescent="0.25">
      <c r="A4154" s="3" t="str">
        <f t="shared" ca="1" si="1181"/>
        <v/>
      </c>
      <c r="G4154" s="15">
        <f t="shared" ca="1" si="1167"/>
        <v>37</v>
      </c>
      <c r="H4154" s="15">
        <v>1</v>
      </c>
      <c r="I4154" s="15">
        <f t="shared" ca="1" si="1168"/>
        <v>0</v>
      </c>
      <c r="J4154" s="15" t="str">
        <f t="shared" ca="1" si="1179"/>
        <v>'0'!A37</v>
      </c>
      <c r="K4154" s="15" t="str">
        <f t="shared" ca="1" si="1180"/>
        <v>'0'!B37</v>
      </c>
    </row>
    <row r="4155" spans="1:16" x14ac:dyDescent="0.25">
      <c r="A4155" s="3" t="str">
        <f t="shared" ca="1" si="1181"/>
        <v/>
      </c>
      <c r="G4155" s="15">
        <f t="shared" ca="1" si="1167"/>
        <v>38</v>
      </c>
      <c r="H4155" s="15">
        <v>1</v>
      </c>
      <c r="I4155" s="15">
        <f t="shared" ca="1" si="1168"/>
        <v>0</v>
      </c>
      <c r="J4155" s="15" t="str">
        <f t="shared" ca="1" si="1179"/>
        <v>'0'!A38</v>
      </c>
      <c r="K4155" s="15" t="str">
        <f t="shared" ca="1" si="1180"/>
        <v>'0'!B38</v>
      </c>
    </row>
    <row r="4156" spans="1:16" x14ac:dyDescent="0.25">
      <c r="A4156" s="3" t="str">
        <f t="shared" ca="1" si="1181"/>
        <v/>
      </c>
      <c r="G4156" s="15">
        <f t="shared" ca="1" si="1167"/>
        <v>39</v>
      </c>
      <c r="H4156" s="15">
        <v>1</v>
      </c>
      <c r="I4156" s="15">
        <f t="shared" ca="1" si="1168"/>
        <v>0</v>
      </c>
      <c r="J4156" s="15" t="str">
        <f t="shared" ca="1" si="1179"/>
        <v>'0'!A39</v>
      </c>
      <c r="K4156" s="15" t="str">
        <f t="shared" ca="1" si="1180"/>
        <v>'0'!B39</v>
      </c>
    </row>
    <row r="4157" spans="1:16" x14ac:dyDescent="0.25">
      <c r="A4157" s="3" t="str">
        <f t="shared" ca="1" si="1181"/>
        <v/>
      </c>
      <c r="G4157" s="15">
        <f t="shared" ca="1" si="1167"/>
        <v>40</v>
      </c>
      <c r="H4157" s="15">
        <v>1</v>
      </c>
      <c r="I4157" s="15">
        <f t="shared" ca="1" si="1168"/>
        <v>0</v>
      </c>
      <c r="J4157" s="15" t="str">
        <f t="shared" ca="1" si="1179"/>
        <v>'0'!A40</v>
      </c>
      <c r="K4157" s="15" t="str">
        <f t="shared" ca="1" si="1180"/>
        <v>'0'!B40</v>
      </c>
    </row>
    <row r="4158" spans="1:16" x14ac:dyDescent="0.25">
      <c r="A4158" s="3" t="str">
        <f t="shared" ca="1" si="1181"/>
        <v/>
      </c>
      <c r="G4158" s="15">
        <f t="shared" ca="1" si="1167"/>
        <v>41</v>
      </c>
      <c r="H4158" s="15">
        <v>1</v>
      </c>
      <c r="I4158" s="15">
        <f t="shared" ca="1" si="1168"/>
        <v>0</v>
      </c>
      <c r="J4158" s="15" t="str">
        <f t="shared" ca="1" si="1179"/>
        <v>'0'!A41</v>
      </c>
      <c r="K4158" s="15" t="str">
        <f t="shared" ca="1" si="1180"/>
        <v>'0'!B41</v>
      </c>
    </row>
    <row r="4159" spans="1:16" x14ac:dyDescent="0.25">
      <c r="A4159" s="3" t="str">
        <f t="shared" ca="1" si="1181"/>
        <v/>
      </c>
      <c r="C4159" s="16"/>
      <c r="G4159" s="15">
        <f t="shared" ca="1" si="1167"/>
        <v>42</v>
      </c>
      <c r="H4159" s="15">
        <v>1</v>
      </c>
      <c r="I4159" s="15">
        <f t="shared" ca="1" si="1168"/>
        <v>0</v>
      </c>
      <c r="J4159" s="15" t="str">
        <f t="shared" ca="1" si="1179"/>
        <v>'0'!A42</v>
      </c>
      <c r="K4159" s="15" t="str">
        <f t="shared" ca="1" si="1180"/>
        <v>'0'!B42</v>
      </c>
    </row>
    <row r="4160" spans="1:16" x14ac:dyDescent="0.25">
      <c r="A4160" s="3" t="str">
        <f t="shared" ca="1" si="1181"/>
        <v/>
      </c>
      <c r="G4160" s="15">
        <f t="shared" ca="1" si="1167"/>
        <v>43</v>
      </c>
      <c r="H4160" s="15">
        <v>1</v>
      </c>
      <c r="I4160" s="15">
        <f t="shared" ca="1" si="1168"/>
        <v>0</v>
      </c>
      <c r="J4160" s="15" t="str">
        <f t="shared" ca="1" si="1179"/>
        <v>'0'!A43</v>
      </c>
      <c r="K4160" s="15" t="str">
        <f t="shared" ca="1" si="1180"/>
        <v>'0'!B43</v>
      </c>
    </row>
    <row r="4161" spans="1:16" x14ac:dyDescent="0.25">
      <c r="A4161" s="3" t="str">
        <f t="shared" ca="1" si="1181"/>
        <v/>
      </c>
      <c r="G4161" s="15">
        <f t="shared" ca="1" si="1167"/>
        <v>44</v>
      </c>
      <c r="H4161" s="15">
        <v>1</v>
      </c>
      <c r="I4161" s="15">
        <f t="shared" ca="1" si="1168"/>
        <v>0</v>
      </c>
      <c r="J4161" s="15" t="str">
        <f t="shared" ca="1" si="1179"/>
        <v>'0'!A44</v>
      </c>
      <c r="K4161" s="15" t="str">
        <f t="shared" ca="1" si="1180"/>
        <v>'0'!B44</v>
      </c>
    </row>
    <row r="4162" spans="1:16" x14ac:dyDescent="0.25">
      <c r="A4162" s="3" t="str">
        <f t="shared" ca="1" si="1181"/>
        <v/>
      </c>
      <c r="G4162" s="15">
        <f t="shared" ca="1" si="1167"/>
        <v>45</v>
      </c>
      <c r="H4162" s="15">
        <v>1</v>
      </c>
      <c r="I4162" s="15">
        <f t="shared" ca="1" si="1168"/>
        <v>0</v>
      </c>
      <c r="J4162" s="15" t="str">
        <f t="shared" ca="1" si="1179"/>
        <v>'0'!A45</v>
      </c>
      <c r="K4162" s="15" t="str">
        <f t="shared" ca="1" si="1180"/>
        <v>'0'!B45</v>
      </c>
    </row>
    <row r="4163" spans="1:16" x14ac:dyDescent="0.25">
      <c r="A4163" s="3" t="str">
        <f t="shared" ca="1" si="1181"/>
        <v/>
      </c>
      <c r="G4163" s="15">
        <f t="shared" ca="1" si="1167"/>
        <v>46</v>
      </c>
      <c r="H4163" s="15">
        <v>1</v>
      </c>
      <c r="I4163" s="15">
        <f t="shared" ca="1" si="1168"/>
        <v>0</v>
      </c>
      <c r="J4163" s="15" t="str">
        <f t="shared" ca="1" si="1179"/>
        <v>'0'!A46</v>
      </c>
      <c r="K4163" s="15" t="str">
        <f t="shared" ca="1" si="1180"/>
        <v>'0'!B46</v>
      </c>
    </row>
    <row r="4164" spans="1:16" x14ac:dyDescent="0.25">
      <c r="A4164" s="3" t="str">
        <f t="shared" ca="1" si="1181"/>
        <v/>
      </c>
      <c r="G4164" s="15">
        <f t="shared" ca="1" si="1167"/>
        <v>47</v>
      </c>
      <c r="H4164" s="15">
        <v>1</v>
      </c>
      <c r="I4164" s="15">
        <f t="shared" ca="1" si="1168"/>
        <v>0</v>
      </c>
      <c r="J4164" s="15" t="str">
        <f t="shared" ca="1" si="1179"/>
        <v>'0'!A47</v>
      </c>
      <c r="K4164" s="15" t="str">
        <f t="shared" ca="1" si="1180"/>
        <v>'0'!B47</v>
      </c>
    </row>
    <row r="4165" spans="1:16" x14ac:dyDescent="0.25">
      <c r="A4165" s="3" t="str">
        <f t="shared" ca="1" si="1181"/>
        <v/>
      </c>
      <c r="G4165" s="15">
        <f t="shared" ca="1" si="1167"/>
        <v>48</v>
      </c>
      <c r="H4165" s="15">
        <v>1</v>
      </c>
      <c r="I4165" s="15">
        <f t="shared" ca="1" si="1168"/>
        <v>0</v>
      </c>
      <c r="J4165" s="15" t="str">
        <f t="shared" ca="1" si="1179"/>
        <v>'0'!A48</v>
      </c>
      <c r="K4165" s="15" t="str">
        <f t="shared" ca="1" si="1180"/>
        <v>'0'!B48</v>
      </c>
    </row>
    <row r="4166" spans="1:16" x14ac:dyDescent="0.25">
      <c r="A4166" s="3" t="str">
        <f t="shared" ca="1" si="1181"/>
        <v/>
      </c>
      <c r="G4166" s="15">
        <f t="shared" ca="1" si="1167"/>
        <v>49</v>
      </c>
      <c r="H4166" s="15">
        <v>1</v>
      </c>
      <c r="I4166" s="15">
        <f t="shared" ca="1" si="1168"/>
        <v>0</v>
      </c>
      <c r="J4166" s="15" t="str">
        <f t="shared" ca="1" si="1179"/>
        <v>'0'!A49</v>
      </c>
      <c r="K4166" s="15" t="str">
        <f t="shared" ca="1" si="1180"/>
        <v>'0'!B49</v>
      </c>
    </row>
    <row r="4167" spans="1:16" x14ac:dyDescent="0.25">
      <c r="A4167" s="3" t="str">
        <f t="shared" ca="1" si="1181"/>
        <v/>
      </c>
      <c r="G4167" s="15">
        <f t="shared" ca="1" si="1167"/>
        <v>50</v>
      </c>
      <c r="H4167" s="15">
        <v>1</v>
      </c>
      <c r="I4167" s="15">
        <f t="shared" ca="1" si="1168"/>
        <v>0</v>
      </c>
      <c r="J4167" s="15" t="str">
        <f t="shared" ca="1" si="1179"/>
        <v>'0'!A50</v>
      </c>
      <c r="K4167" s="15" t="str">
        <f t="shared" ca="1" si="1180"/>
        <v>'0'!B50</v>
      </c>
    </row>
    <row r="4168" spans="1:16" x14ac:dyDescent="0.25">
      <c r="A4168" s="3" t="str">
        <f t="shared" ca="1" si="1181"/>
        <v/>
      </c>
      <c r="G4168" s="15">
        <f t="shared" ref="G4168" ca="1" si="1186">INDIRECT(M4168)</f>
        <v>31</v>
      </c>
      <c r="H4168" s="15">
        <v>1</v>
      </c>
      <c r="I4168" s="15">
        <f t="shared" ref="I4168" ca="1" si="1187">INDIRECT(N4168)</f>
        <v>0</v>
      </c>
      <c r="J4168" s="15" t="str">
        <f t="shared" ca="1" si="1179"/>
        <v>'0'!A31</v>
      </c>
      <c r="K4168" s="15" t="str">
        <f t="shared" ca="1" si="1180"/>
        <v>'0'!B31</v>
      </c>
      <c r="M4168" s="15" t="str">
        <f t="shared" ref="M4168" si="1188">ADDRESS(O4168,3,4,1,$R$1)</f>
        <v>konfig!C210</v>
      </c>
      <c r="N4168" s="15" t="str">
        <f t="shared" ref="N4168" si="1189">ADDRESS(O4168,1,4,1,$R$1)</f>
        <v>konfig!A210</v>
      </c>
      <c r="O4168" s="15">
        <v>210</v>
      </c>
      <c r="P4168" s="15">
        <v>4</v>
      </c>
    </row>
    <row r="4169" spans="1:16" x14ac:dyDescent="0.25">
      <c r="A4169" s="3" t="str">
        <f t="shared" ca="1" si="1181"/>
        <v/>
      </c>
      <c r="G4169" s="15">
        <f t="shared" ref="G4169:G4232" ca="1" si="1190">G4168+1</f>
        <v>32</v>
      </c>
      <c r="H4169" s="15">
        <v>1</v>
      </c>
      <c r="I4169" s="15">
        <f t="shared" ref="I4169:I4232" ca="1" si="1191">I4168</f>
        <v>0</v>
      </c>
      <c r="J4169" s="15" t="str">
        <f t="shared" ca="1" si="1179"/>
        <v>'0'!A32</v>
      </c>
      <c r="K4169" s="15" t="str">
        <f t="shared" ca="1" si="1180"/>
        <v>'0'!B32</v>
      </c>
    </row>
    <row r="4170" spans="1:16" x14ac:dyDescent="0.25">
      <c r="A4170" s="3" t="str">
        <f t="shared" ca="1" si="1181"/>
        <v/>
      </c>
      <c r="G4170" s="15">
        <f t="shared" ca="1" si="1190"/>
        <v>33</v>
      </c>
      <c r="H4170" s="15">
        <v>1</v>
      </c>
      <c r="I4170" s="15">
        <f t="shared" ca="1" si="1191"/>
        <v>0</v>
      </c>
      <c r="J4170" s="15" t="str">
        <f t="shared" ca="1" si="1179"/>
        <v>'0'!A33</v>
      </c>
      <c r="K4170" s="15" t="str">
        <f t="shared" ca="1" si="1180"/>
        <v>'0'!B33</v>
      </c>
    </row>
    <row r="4171" spans="1:16" x14ac:dyDescent="0.25">
      <c r="A4171" s="3" t="str">
        <f t="shared" ca="1" si="1181"/>
        <v/>
      </c>
      <c r="C4171" s="16"/>
      <c r="G4171" s="15">
        <f t="shared" ca="1" si="1190"/>
        <v>34</v>
      </c>
      <c r="H4171" s="15">
        <v>1</v>
      </c>
      <c r="I4171" s="15">
        <f t="shared" ca="1" si="1191"/>
        <v>0</v>
      </c>
      <c r="J4171" s="15" t="str">
        <f t="shared" ca="1" si="1179"/>
        <v>'0'!A34</v>
      </c>
      <c r="K4171" s="15" t="str">
        <f t="shared" ca="1" si="1180"/>
        <v>'0'!B34</v>
      </c>
    </row>
    <row r="4172" spans="1:16" x14ac:dyDescent="0.25">
      <c r="A4172" s="3" t="str">
        <f t="shared" ca="1" si="1181"/>
        <v/>
      </c>
      <c r="G4172" s="15">
        <f t="shared" ca="1" si="1190"/>
        <v>35</v>
      </c>
      <c r="H4172" s="15">
        <v>1</v>
      </c>
      <c r="I4172" s="15">
        <f t="shared" ca="1" si="1191"/>
        <v>0</v>
      </c>
      <c r="J4172" s="15" t="str">
        <f t="shared" ca="1" si="1179"/>
        <v>'0'!A35</v>
      </c>
      <c r="K4172" s="15" t="str">
        <f t="shared" ca="1" si="1180"/>
        <v>'0'!B35</v>
      </c>
    </row>
    <row r="4173" spans="1:16" x14ac:dyDescent="0.25">
      <c r="A4173" s="3" t="str">
        <f t="shared" ca="1" si="1181"/>
        <v/>
      </c>
      <c r="G4173" s="15">
        <f t="shared" ca="1" si="1190"/>
        <v>36</v>
      </c>
      <c r="H4173" s="15">
        <v>1</v>
      </c>
      <c r="I4173" s="15">
        <f t="shared" ca="1" si="1191"/>
        <v>0</v>
      </c>
      <c r="J4173" s="15" t="str">
        <f t="shared" ca="1" si="1179"/>
        <v>'0'!A36</v>
      </c>
      <c r="K4173" s="15" t="str">
        <f t="shared" ca="1" si="1180"/>
        <v>'0'!B36</v>
      </c>
    </row>
    <row r="4174" spans="1:16" x14ac:dyDescent="0.25">
      <c r="A4174" s="3" t="str">
        <f t="shared" ca="1" si="1181"/>
        <v/>
      </c>
      <c r="G4174" s="15">
        <f t="shared" ca="1" si="1190"/>
        <v>37</v>
      </c>
      <c r="H4174" s="15">
        <v>1</v>
      </c>
      <c r="I4174" s="15">
        <f t="shared" ca="1" si="1191"/>
        <v>0</v>
      </c>
      <c r="J4174" s="15" t="str">
        <f t="shared" ca="1" si="1179"/>
        <v>'0'!A37</v>
      </c>
      <c r="K4174" s="15" t="str">
        <f t="shared" ca="1" si="1180"/>
        <v>'0'!B37</v>
      </c>
    </row>
    <row r="4175" spans="1:16" x14ac:dyDescent="0.25">
      <c r="A4175" s="3" t="str">
        <f t="shared" ca="1" si="1181"/>
        <v/>
      </c>
      <c r="G4175" s="15">
        <f t="shared" ca="1" si="1190"/>
        <v>38</v>
      </c>
      <c r="H4175" s="15">
        <v>1</v>
      </c>
      <c r="I4175" s="15">
        <f t="shared" ca="1" si="1191"/>
        <v>0</v>
      </c>
      <c r="J4175" s="15" t="str">
        <f t="shared" ca="1" si="1179"/>
        <v>'0'!A38</v>
      </c>
      <c r="K4175" s="15" t="str">
        <f t="shared" ca="1" si="1180"/>
        <v>'0'!B38</v>
      </c>
    </row>
    <row r="4176" spans="1:16" x14ac:dyDescent="0.25">
      <c r="A4176" s="3" t="str">
        <f t="shared" ca="1" si="1181"/>
        <v/>
      </c>
      <c r="G4176" s="15">
        <f t="shared" ca="1" si="1190"/>
        <v>39</v>
      </c>
      <c r="H4176" s="15">
        <v>1</v>
      </c>
      <c r="I4176" s="15">
        <f t="shared" ca="1" si="1191"/>
        <v>0</v>
      </c>
      <c r="J4176" s="15" t="str">
        <f t="shared" ca="1" si="1179"/>
        <v>'0'!A39</v>
      </c>
      <c r="K4176" s="15" t="str">
        <f t="shared" ca="1" si="1180"/>
        <v>'0'!B39</v>
      </c>
    </row>
    <row r="4177" spans="1:16" x14ac:dyDescent="0.25">
      <c r="A4177" s="3" t="str">
        <f t="shared" ca="1" si="1181"/>
        <v/>
      </c>
      <c r="G4177" s="15">
        <f t="shared" ca="1" si="1190"/>
        <v>40</v>
      </c>
      <c r="H4177" s="15">
        <v>1</v>
      </c>
      <c r="I4177" s="15">
        <f t="shared" ca="1" si="1191"/>
        <v>0</v>
      </c>
      <c r="J4177" s="15" t="str">
        <f t="shared" ca="1" si="1179"/>
        <v>'0'!A40</v>
      </c>
      <c r="K4177" s="15" t="str">
        <f t="shared" ca="1" si="1180"/>
        <v>'0'!B40</v>
      </c>
    </row>
    <row r="4178" spans="1:16" x14ac:dyDescent="0.25">
      <c r="A4178" s="3" t="str">
        <f t="shared" ca="1" si="1181"/>
        <v/>
      </c>
      <c r="G4178" s="15">
        <f t="shared" ca="1" si="1190"/>
        <v>41</v>
      </c>
      <c r="H4178" s="15">
        <v>1</v>
      </c>
      <c r="I4178" s="15">
        <f t="shared" ca="1" si="1191"/>
        <v>0</v>
      </c>
      <c r="J4178" s="15" t="str">
        <f t="shared" ca="1" si="1179"/>
        <v>'0'!A41</v>
      </c>
      <c r="K4178" s="15" t="str">
        <f t="shared" ca="1" si="1180"/>
        <v>'0'!B41</v>
      </c>
    </row>
    <row r="4179" spans="1:16" x14ac:dyDescent="0.25">
      <c r="A4179" s="3" t="str">
        <f t="shared" ca="1" si="1181"/>
        <v/>
      </c>
      <c r="C4179" s="16"/>
      <c r="G4179" s="15">
        <f t="shared" ca="1" si="1190"/>
        <v>42</v>
      </c>
      <c r="H4179" s="15">
        <v>1</v>
      </c>
      <c r="I4179" s="15">
        <f t="shared" ca="1" si="1191"/>
        <v>0</v>
      </c>
      <c r="J4179" s="15" t="str">
        <f t="shared" ca="1" si="1179"/>
        <v>'0'!A42</v>
      </c>
      <c r="K4179" s="15" t="str">
        <f t="shared" ca="1" si="1180"/>
        <v>'0'!B42</v>
      </c>
    </row>
    <row r="4180" spans="1:16" x14ac:dyDescent="0.25">
      <c r="A4180" s="3" t="str">
        <f t="shared" ca="1" si="1181"/>
        <v/>
      </c>
      <c r="G4180" s="15">
        <f t="shared" ca="1" si="1190"/>
        <v>43</v>
      </c>
      <c r="H4180" s="15">
        <v>1</v>
      </c>
      <c r="I4180" s="15">
        <f t="shared" ca="1" si="1191"/>
        <v>0</v>
      </c>
      <c r="J4180" s="15" t="str">
        <f t="shared" ca="1" si="1179"/>
        <v>'0'!A43</v>
      </c>
      <c r="K4180" s="15" t="str">
        <f t="shared" ca="1" si="1180"/>
        <v>'0'!B43</v>
      </c>
    </row>
    <row r="4181" spans="1:16" x14ac:dyDescent="0.25">
      <c r="A4181" s="3" t="str">
        <f t="shared" ca="1" si="1181"/>
        <v/>
      </c>
      <c r="G4181" s="15">
        <f t="shared" ca="1" si="1190"/>
        <v>44</v>
      </c>
      <c r="H4181" s="15">
        <v>1</v>
      </c>
      <c r="I4181" s="15">
        <f t="shared" ca="1" si="1191"/>
        <v>0</v>
      </c>
      <c r="J4181" s="15" t="str">
        <f t="shared" ca="1" si="1179"/>
        <v>'0'!A44</v>
      </c>
      <c r="K4181" s="15" t="str">
        <f t="shared" ca="1" si="1180"/>
        <v>'0'!B44</v>
      </c>
    </row>
    <row r="4182" spans="1:16" x14ac:dyDescent="0.25">
      <c r="A4182" s="3" t="str">
        <f t="shared" ca="1" si="1181"/>
        <v/>
      </c>
      <c r="G4182" s="15">
        <f t="shared" ca="1" si="1190"/>
        <v>45</v>
      </c>
      <c r="H4182" s="15">
        <v>1</v>
      </c>
      <c r="I4182" s="15">
        <f t="shared" ca="1" si="1191"/>
        <v>0</v>
      </c>
      <c r="J4182" s="15" t="str">
        <f t="shared" ca="1" si="1179"/>
        <v>'0'!A45</v>
      </c>
      <c r="K4182" s="15" t="str">
        <f t="shared" ca="1" si="1180"/>
        <v>'0'!B45</v>
      </c>
    </row>
    <row r="4183" spans="1:16" x14ac:dyDescent="0.25">
      <c r="A4183" s="3" t="str">
        <f t="shared" ca="1" si="1181"/>
        <v/>
      </c>
      <c r="G4183" s="15">
        <f t="shared" ca="1" si="1190"/>
        <v>46</v>
      </c>
      <c r="H4183" s="15">
        <v>1</v>
      </c>
      <c r="I4183" s="15">
        <f t="shared" ca="1" si="1191"/>
        <v>0</v>
      </c>
      <c r="J4183" s="15" t="str">
        <f t="shared" ca="1" si="1179"/>
        <v>'0'!A46</v>
      </c>
      <c r="K4183" s="15" t="str">
        <f t="shared" ca="1" si="1180"/>
        <v>'0'!B46</v>
      </c>
    </row>
    <row r="4184" spans="1:16" x14ac:dyDescent="0.25">
      <c r="A4184" s="3" t="str">
        <f t="shared" ca="1" si="1181"/>
        <v/>
      </c>
      <c r="G4184" s="15">
        <f t="shared" ca="1" si="1190"/>
        <v>47</v>
      </c>
      <c r="H4184" s="15">
        <v>1</v>
      </c>
      <c r="I4184" s="15">
        <f t="shared" ca="1" si="1191"/>
        <v>0</v>
      </c>
      <c r="J4184" s="15" t="str">
        <f t="shared" ca="1" si="1179"/>
        <v>'0'!A47</v>
      </c>
      <c r="K4184" s="15" t="str">
        <f t="shared" ca="1" si="1180"/>
        <v>'0'!B47</v>
      </c>
    </row>
    <row r="4185" spans="1:16" x14ac:dyDescent="0.25">
      <c r="A4185" s="3" t="str">
        <f t="shared" ca="1" si="1181"/>
        <v/>
      </c>
      <c r="G4185" s="15">
        <f t="shared" ca="1" si="1190"/>
        <v>48</v>
      </c>
      <c r="H4185" s="15">
        <v>1</v>
      </c>
      <c r="I4185" s="15">
        <f t="shared" ca="1" si="1191"/>
        <v>0</v>
      </c>
      <c r="J4185" s="15" t="str">
        <f t="shared" ca="1" si="1179"/>
        <v>'0'!A48</v>
      </c>
      <c r="K4185" s="15" t="str">
        <f t="shared" ca="1" si="1180"/>
        <v>'0'!B48</v>
      </c>
    </row>
    <row r="4186" spans="1:16" x14ac:dyDescent="0.25">
      <c r="A4186" s="3" t="str">
        <f t="shared" ca="1" si="1181"/>
        <v/>
      </c>
      <c r="G4186" s="15">
        <f t="shared" ca="1" si="1190"/>
        <v>49</v>
      </c>
      <c r="H4186" s="15">
        <v>1</v>
      </c>
      <c r="I4186" s="15">
        <f t="shared" ca="1" si="1191"/>
        <v>0</v>
      </c>
      <c r="J4186" s="15" t="str">
        <f t="shared" ca="1" si="1179"/>
        <v>'0'!A49</v>
      </c>
      <c r="K4186" s="15" t="str">
        <f t="shared" ca="1" si="1180"/>
        <v>'0'!B49</v>
      </c>
    </row>
    <row r="4187" spans="1:16" x14ac:dyDescent="0.25">
      <c r="A4187" s="3" t="str">
        <f t="shared" ca="1" si="1181"/>
        <v/>
      </c>
      <c r="G4187" s="15">
        <f t="shared" ca="1" si="1190"/>
        <v>50</v>
      </c>
      <c r="H4187" s="15">
        <v>1</v>
      </c>
      <c r="I4187" s="15">
        <f t="shared" ca="1" si="1191"/>
        <v>0</v>
      </c>
      <c r="J4187" s="15" t="str">
        <f t="shared" ca="1" si="1179"/>
        <v>'0'!A50</v>
      </c>
      <c r="K4187" s="15" t="str">
        <f t="shared" ca="1" si="1180"/>
        <v>'0'!B50</v>
      </c>
    </row>
    <row r="4188" spans="1:16" x14ac:dyDescent="0.25">
      <c r="A4188" s="3" t="str">
        <f t="shared" ca="1" si="1181"/>
        <v/>
      </c>
      <c r="G4188" s="15">
        <f t="shared" ref="G4188" ca="1" si="1192">INDIRECT(M4188)</f>
        <v>31</v>
      </c>
      <c r="H4188" s="15">
        <v>1</v>
      </c>
      <c r="I4188" s="15">
        <f t="shared" ref="I4188" ca="1" si="1193">INDIRECT(N4188)</f>
        <v>0</v>
      </c>
      <c r="J4188" s="15" t="str">
        <f t="shared" ca="1" si="1179"/>
        <v>'0'!A31</v>
      </c>
      <c r="K4188" s="15" t="str">
        <f t="shared" ca="1" si="1180"/>
        <v>'0'!B31</v>
      </c>
      <c r="M4188" s="15" t="str">
        <f t="shared" ref="M4188" si="1194">ADDRESS(O4188,3,4,1,$R$1)</f>
        <v>konfig!C211</v>
      </c>
      <c r="N4188" s="15" t="str">
        <f t="shared" ref="N4188" si="1195">ADDRESS(O4188,1,4,1,$R$1)</f>
        <v>konfig!A211</v>
      </c>
      <c r="O4188" s="15">
        <v>211</v>
      </c>
      <c r="P4188" s="15">
        <v>4</v>
      </c>
    </row>
    <row r="4189" spans="1:16" x14ac:dyDescent="0.25">
      <c r="A4189" s="3" t="str">
        <f t="shared" ca="1" si="1181"/>
        <v/>
      </c>
      <c r="G4189" s="15">
        <f t="shared" ref="G4189:G4229" ca="1" si="1196">G4188+1</f>
        <v>32</v>
      </c>
      <c r="H4189" s="15">
        <v>1</v>
      </c>
      <c r="I4189" s="15">
        <f t="shared" ref="I4189:I4229" ca="1" si="1197">I4188</f>
        <v>0</v>
      </c>
      <c r="J4189" s="15" t="str">
        <f t="shared" ca="1" si="1179"/>
        <v>'0'!A32</v>
      </c>
      <c r="K4189" s="15" t="str">
        <f t="shared" ca="1" si="1180"/>
        <v>'0'!B32</v>
      </c>
    </row>
    <row r="4190" spans="1:16" x14ac:dyDescent="0.25">
      <c r="A4190" s="3" t="str">
        <f t="shared" ca="1" si="1181"/>
        <v/>
      </c>
      <c r="G4190" s="15">
        <f t="shared" ca="1" si="1190"/>
        <v>33</v>
      </c>
      <c r="H4190" s="15">
        <v>1</v>
      </c>
      <c r="I4190" s="15">
        <f t="shared" ca="1" si="1191"/>
        <v>0</v>
      </c>
      <c r="J4190" s="15" t="str">
        <f t="shared" ca="1" si="1179"/>
        <v>'0'!A33</v>
      </c>
      <c r="K4190" s="15" t="str">
        <f t="shared" ca="1" si="1180"/>
        <v>'0'!B33</v>
      </c>
    </row>
    <row r="4191" spans="1:16" x14ac:dyDescent="0.25">
      <c r="A4191" s="3" t="str">
        <f t="shared" ca="1" si="1181"/>
        <v/>
      </c>
      <c r="C4191" s="16"/>
      <c r="G4191" s="15">
        <f t="shared" ca="1" si="1190"/>
        <v>34</v>
      </c>
      <c r="H4191" s="15">
        <v>1</v>
      </c>
      <c r="I4191" s="15">
        <f t="shared" ca="1" si="1191"/>
        <v>0</v>
      </c>
      <c r="J4191" s="15" t="str">
        <f t="shared" ca="1" si="1179"/>
        <v>'0'!A34</v>
      </c>
      <c r="K4191" s="15" t="str">
        <f t="shared" ca="1" si="1180"/>
        <v>'0'!B34</v>
      </c>
    </row>
    <row r="4192" spans="1:16" x14ac:dyDescent="0.25">
      <c r="A4192" s="3" t="str">
        <f t="shared" ca="1" si="1181"/>
        <v/>
      </c>
      <c r="G4192" s="15">
        <f t="shared" ca="1" si="1190"/>
        <v>35</v>
      </c>
      <c r="H4192" s="15">
        <v>1</v>
      </c>
      <c r="I4192" s="15">
        <f t="shared" ca="1" si="1191"/>
        <v>0</v>
      </c>
      <c r="J4192" s="15" t="str">
        <f t="shared" ca="1" si="1179"/>
        <v>'0'!A35</v>
      </c>
      <c r="K4192" s="15" t="str">
        <f t="shared" ca="1" si="1180"/>
        <v>'0'!B35</v>
      </c>
    </row>
    <row r="4193" spans="1:16" x14ac:dyDescent="0.25">
      <c r="A4193" s="3" t="str">
        <f t="shared" ca="1" si="1181"/>
        <v/>
      </c>
      <c r="G4193" s="15">
        <f t="shared" ca="1" si="1190"/>
        <v>36</v>
      </c>
      <c r="H4193" s="15">
        <v>1</v>
      </c>
      <c r="I4193" s="15">
        <f t="shared" ca="1" si="1191"/>
        <v>0</v>
      </c>
      <c r="J4193" s="15" t="str">
        <f t="shared" ca="1" si="1179"/>
        <v>'0'!A36</v>
      </c>
      <c r="K4193" s="15" t="str">
        <f t="shared" ca="1" si="1180"/>
        <v>'0'!B36</v>
      </c>
    </row>
    <row r="4194" spans="1:16" x14ac:dyDescent="0.25">
      <c r="A4194" s="3" t="str">
        <f t="shared" ca="1" si="1181"/>
        <v/>
      </c>
      <c r="G4194" s="15">
        <f t="shared" ca="1" si="1190"/>
        <v>37</v>
      </c>
      <c r="H4194" s="15">
        <v>1</v>
      </c>
      <c r="I4194" s="15">
        <f t="shared" ca="1" si="1191"/>
        <v>0</v>
      </c>
      <c r="J4194" s="15" t="str">
        <f t="shared" ca="1" si="1179"/>
        <v>'0'!A37</v>
      </c>
      <c r="K4194" s="15" t="str">
        <f t="shared" ca="1" si="1180"/>
        <v>'0'!B37</v>
      </c>
    </row>
    <row r="4195" spans="1:16" x14ac:dyDescent="0.25">
      <c r="A4195" s="3" t="str">
        <f t="shared" ca="1" si="1181"/>
        <v/>
      </c>
      <c r="G4195" s="15">
        <f t="shared" ca="1" si="1190"/>
        <v>38</v>
      </c>
      <c r="H4195" s="15">
        <v>1</v>
      </c>
      <c r="I4195" s="15">
        <f t="shared" ca="1" si="1191"/>
        <v>0</v>
      </c>
      <c r="J4195" s="15" t="str">
        <f t="shared" ca="1" si="1179"/>
        <v>'0'!A38</v>
      </c>
      <c r="K4195" s="15" t="str">
        <f t="shared" ca="1" si="1180"/>
        <v>'0'!B38</v>
      </c>
    </row>
    <row r="4196" spans="1:16" x14ac:dyDescent="0.25">
      <c r="A4196" s="3" t="str">
        <f t="shared" ca="1" si="1181"/>
        <v/>
      </c>
      <c r="G4196" s="15">
        <f t="shared" ca="1" si="1190"/>
        <v>39</v>
      </c>
      <c r="H4196" s="15">
        <v>1</v>
      </c>
      <c r="I4196" s="15">
        <f t="shared" ca="1" si="1191"/>
        <v>0</v>
      </c>
      <c r="J4196" s="15" t="str">
        <f t="shared" ref="J4196:J4259" ca="1" si="1198">ADDRESS(G4196,H4196,4,1,I4196)</f>
        <v>'0'!A39</v>
      </c>
      <c r="K4196" s="15" t="str">
        <f t="shared" ref="K4196:K4259" ca="1" si="1199">ADDRESS(G4196,H4196+1,4,1,I4196)</f>
        <v>'0'!B39</v>
      </c>
    </row>
    <row r="4197" spans="1:16" x14ac:dyDescent="0.25">
      <c r="A4197" s="3" t="str">
        <f t="shared" ca="1" si="1181"/>
        <v/>
      </c>
      <c r="G4197" s="15">
        <f t="shared" ca="1" si="1190"/>
        <v>40</v>
      </c>
      <c r="H4197" s="15">
        <v>1</v>
      </c>
      <c r="I4197" s="15">
        <f t="shared" ca="1" si="1191"/>
        <v>0</v>
      </c>
      <c r="J4197" s="15" t="str">
        <f t="shared" ca="1" si="1198"/>
        <v>'0'!A40</v>
      </c>
      <c r="K4197" s="15" t="str">
        <f t="shared" ca="1" si="1199"/>
        <v>'0'!B40</v>
      </c>
    </row>
    <row r="4198" spans="1:16" x14ac:dyDescent="0.25">
      <c r="A4198" s="3" t="str">
        <f t="shared" ca="1" si="1181"/>
        <v/>
      </c>
      <c r="G4198" s="15">
        <f t="shared" ca="1" si="1190"/>
        <v>41</v>
      </c>
      <c r="H4198" s="15">
        <v>1</v>
      </c>
      <c r="I4198" s="15">
        <f t="shared" ca="1" si="1191"/>
        <v>0</v>
      </c>
      <c r="J4198" s="15" t="str">
        <f t="shared" ca="1" si="1198"/>
        <v>'0'!A41</v>
      </c>
      <c r="K4198" s="15" t="str">
        <f t="shared" ca="1" si="1199"/>
        <v>'0'!B41</v>
      </c>
    </row>
    <row r="4199" spans="1:16" x14ac:dyDescent="0.25">
      <c r="A4199" s="3" t="str">
        <f t="shared" ca="1" si="1181"/>
        <v/>
      </c>
      <c r="C4199" s="16"/>
      <c r="G4199" s="15">
        <f t="shared" ca="1" si="1190"/>
        <v>42</v>
      </c>
      <c r="H4199" s="15">
        <v>1</v>
      </c>
      <c r="I4199" s="15">
        <f t="shared" ca="1" si="1191"/>
        <v>0</v>
      </c>
      <c r="J4199" s="15" t="str">
        <f t="shared" ca="1" si="1198"/>
        <v>'0'!A42</v>
      </c>
      <c r="K4199" s="15" t="str">
        <f t="shared" ca="1" si="1199"/>
        <v>'0'!B42</v>
      </c>
    </row>
    <row r="4200" spans="1:16" x14ac:dyDescent="0.25">
      <c r="A4200" s="3" t="str">
        <f t="shared" ca="1" si="1181"/>
        <v/>
      </c>
      <c r="G4200" s="15">
        <f t="shared" ca="1" si="1190"/>
        <v>43</v>
      </c>
      <c r="H4200" s="15">
        <v>1</v>
      </c>
      <c r="I4200" s="15">
        <f t="shared" ca="1" si="1191"/>
        <v>0</v>
      </c>
      <c r="J4200" s="15" t="str">
        <f t="shared" ca="1" si="1198"/>
        <v>'0'!A43</v>
      </c>
      <c r="K4200" s="15" t="str">
        <f t="shared" ca="1" si="1199"/>
        <v>'0'!B43</v>
      </c>
    </row>
    <row r="4201" spans="1:16" x14ac:dyDescent="0.25">
      <c r="A4201" s="3" t="str">
        <f t="shared" ca="1" si="1181"/>
        <v/>
      </c>
      <c r="G4201" s="15">
        <f t="shared" ca="1" si="1190"/>
        <v>44</v>
      </c>
      <c r="H4201" s="15">
        <v>1</v>
      </c>
      <c r="I4201" s="15">
        <f t="shared" ca="1" si="1191"/>
        <v>0</v>
      </c>
      <c r="J4201" s="15" t="str">
        <f t="shared" ca="1" si="1198"/>
        <v>'0'!A44</v>
      </c>
      <c r="K4201" s="15" t="str">
        <f t="shared" ca="1" si="1199"/>
        <v>'0'!B44</v>
      </c>
    </row>
    <row r="4202" spans="1:16" x14ac:dyDescent="0.25">
      <c r="A4202" s="3" t="str">
        <f t="shared" ca="1" si="1181"/>
        <v/>
      </c>
      <c r="G4202" s="15">
        <f t="shared" ca="1" si="1190"/>
        <v>45</v>
      </c>
      <c r="H4202" s="15">
        <v>1</v>
      </c>
      <c r="I4202" s="15">
        <f t="shared" ca="1" si="1191"/>
        <v>0</v>
      </c>
      <c r="J4202" s="15" t="str">
        <f t="shared" ca="1" si="1198"/>
        <v>'0'!A45</v>
      </c>
      <c r="K4202" s="15" t="str">
        <f t="shared" ca="1" si="1199"/>
        <v>'0'!B45</v>
      </c>
    </row>
    <row r="4203" spans="1:16" x14ac:dyDescent="0.25">
      <c r="A4203" s="3" t="str">
        <f t="shared" ca="1" si="1181"/>
        <v/>
      </c>
      <c r="G4203" s="15">
        <f t="shared" ca="1" si="1190"/>
        <v>46</v>
      </c>
      <c r="H4203" s="15">
        <v>1</v>
      </c>
      <c r="I4203" s="15">
        <f t="shared" ca="1" si="1191"/>
        <v>0</v>
      </c>
      <c r="J4203" s="15" t="str">
        <f t="shared" ca="1" si="1198"/>
        <v>'0'!A46</v>
      </c>
      <c r="K4203" s="15" t="str">
        <f t="shared" ca="1" si="1199"/>
        <v>'0'!B46</v>
      </c>
    </row>
    <row r="4204" spans="1:16" x14ac:dyDescent="0.25">
      <c r="A4204" s="3" t="str">
        <f t="shared" ref="A4204:A4267" ca="1" si="1200">IFERROR(IF(INDIRECT(J4204)&lt;&gt;"",CONCATENATE(INDIRECT(J4204)," = ",INDIRECT(K4204)," "),""),"")</f>
        <v/>
      </c>
      <c r="G4204" s="15">
        <f t="shared" ca="1" si="1190"/>
        <v>47</v>
      </c>
      <c r="H4204" s="15">
        <v>1</v>
      </c>
      <c r="I4204" s="15">
        <f t="shared" ca="1" si="1191"/>
        <v>0</v>
      </c>
      <c r="J4204" s="15" t="str">
        <f t="shared" ca="1" si="1198"/>
        <v>'0'!A47</v>
      </c>
      <c r="K4204" s="15" t="str">
        <f t="shared" ca="1" si="1199"/>
        <v>'0'!B47</v>
      </c>
    </row>
    <row r="4205" spans="1:16" x14ac:dyDescent="0.25">
      <c r="A4205" s="3" t="str">
        <f t="shared" ca="1" si="1200"/>
        <v/>
      </c>
      <c r="G4205" s="15">
        <f t="shared" ca="1" si="1190"/>
        <v>48</v>
      </c>
      <c r="H4205" s="15">
        <v>1</v>
      </c>
      <c r="I4205" s="15">
        <f t="shared" ca="1" si="1191"/>
        <v>0</v>
      </c>
      <c r="J4205" s="15" t="str">
        <f t="shared" ca="1" si="1198"/>
        <v>'0'!A48</v>
      </c>
      <c r="K4205" s="15" t="str">
        <f t="shared" ca="1" si="1199"/>
        <v>'0'!B48</v>
      </c>
    </row>
    <row r="4206" spans="1:16" x14ac:dyDescent="0.25">
      <c r="A4206" s="3" t="str">
        <f t="shared" ca="1" si="1200"/>
        <v/>
      </c>
      <c r="G4206" s="15">
        <f t="shared" ca="1" si="1190"/>
        <v>49</v>
      </c>
      <c r="H4206" s="15">
        <v>1</v>
      </c>
      <c r="I4206" s="15">
        <f t="shared" ca="1" si="1191"/>
        <v>0</v>
      </c>
      <c r="J4206" s="15" t="str">
        <f t="shared" ca="1" si="1198"/>
        <v>'0'!A49</v>
      </c>
      <c r="K4206" s="15" t="str">
        <f t="shared" ca="1" si="1199"/>
        <v>'0'!B49</v>
      </c>
    </row>
    <row r="4207" spans="1:16" x14ac:dyDescent="0.25">
      <c r="A4207" s="3" t="str">
        <f t="shared" ca="1" si="1200"/>
        <v/>
      </c>
      <c r="G4207" s="15">
        <f t="shared" ca="1" si="1190"/>
        <v>50</v>
      </c>
      <c r="H4207" s="15">
        <v>1</v>
      </c>
      <c r="I4207" s="15">
        <f t="shared" ca="1" si="1191"/>
        <v>0</v>
      </c>
      <c r="J4207" s="15" t="str">
        <f t="shared" ca="1" si="1198"/>
        <v>'0'!A50</v>
      </c>
      <c r="K4207" s="15" t="str">
        <f t="shared" ca="1" si="1199"/>
        <v>'0'!B50</v>
      </c>
    </row>
    <row r="4208" spans="1:16" x14ac:dyDescent="0.25">
      <c r="A4208" s="3" t="str">
        <f t="shared" ca="1" si="1200"/>
        <v/>
      </c>
      <c r="G4208" s="15">
        <f t="shared" ref="G4208" ca="1" si="1201">INDIRECT(M4208)</f>
        <v>31</v>
      </c>
      <c r="H4208" s="15">
        <v>1</v>
      </c>
      <c r="I4208" s="15">
        <f t="shared" ref="I4208" ca="1" si="1202">INDIRECT(N4208)</f>
        <v>0</v>
      </c>
      <c r="J4208" s="15" t="str">
        <f t="shared" ca="1" si="1198"/>
        <v>'0'!A31</v>
      </c>
      <c r="K4208" s="15" t="str">
        <f t="shared" ca="1" si="1199"/>
        <v>'0'!B31</v>
      </c>
      <c r="M4208" s="15" t="str">
        <f t="shared" ref="M4208" si="1203">ADDRESS(O4208,3,4,1,$R$1)</f>
        <v>konfig!C212</v>
      </c>
      <c r="N4208" s="15" t="str">
        <f t="shared" ref="N4208" si="1204">ADDRESS(O4208,1,4,1,$R$1)</f>
        <v>konfig!A212</v>
      </c>
      <c r="O4208" s="15">
        <v>212</v>
      </c>
      <c r="P4208" s="15">
        <v>4</v>
      </c>
    </row>
    <row r="4209" spans="1:11" x14ac:dyDescent="0.25">
      <c r="A4209" s="3" t="str">
        <f t="shared" ca="1" si="1200"/>
        <v/>
      </c>
      <c r="G4209" s="15">
        <f t="shared" ca="1" si="1190"/>
        <v>32</v>
      </c>
      <c r="H4209" s="15">
        <v>1</v>
      </c>
      <c r="I4209" s="15">
        <f t="shared" ca="1" si="1191"/>
        <v>0</v>
      </c>
      <c r="J4209" s="15" t="str">
        <f t="shared" ca="1" si="1198"/>
        <v>'0'!A32</v>
      </c>
      <c r="K4209" s="15" t="str">
        <f t="shared" ca="1" si="1199"/>
        <v>'0'!B32</v>
      </c>
    </row>
    <row r="4210" spans="1:11" x14ac:dyDescent="0.25">
      <c r="A4210" s="3" t="str">
        <f t="shared" ca="1" si="1200"/>
        <v/>
      </c>
      <c r="G4210" s="15">
        <f t="shared" ca="1" si="1190"/>
        <v>33</v>
      </c>
      <c r="H4210" s="15">
        <v>1</v>
      </c>
      <c r="I4210" s="15">
        <f t="shared" ca="1" si="1191"/>
        <v>0</v>
      </c>
      <c r="J4210" s="15" t="str">
        <f t="shared" ca="1" si="1198"/>
        <v>'0'!A33</v>
      </c>
      <c r="K4210" s="15" t="str">
        <f t="shared" ca="1" si="1199"/>
        <v>'0'!B33</v>
      </c>
    </row>
    <row r="4211" spans="1:11" x14ac:dyDescent="0.25">
      <c r="A4211" s="3" t="str">
        <f t="shared" ca="1" si="1200"/>
        <v/>
      </c>
      <c r="C4211" s="16"/>
      <c r="G4211" s="15">
        <f t="shared" ca="1" si="1190"/>
        <v>34</v>
      </c>
      <c r="H4211" s="15">
        <v>1</v>
      </c>
      <c r="I4211" s="15">
        <f t="shared" ca="1" si="1191"/>
        <v>0</v>
      </c>
      <c r="J4211" s="15" t="str">
        <f t="shared" ca="1" si="1198"/>
        <v>'0'!A34</v>
      </c>
      <c r="K4211" s="15" t="str">
        <f t="shared" ca="1" si="1199"/>
        <v>'0'!B34</v>
      </c>
    </row>
    <row r="4212" spans="1:11" x14ac:dyDescent="0.25">
      <c r="A4212" s="3" t="str">
        <f t="shared" ca="1" si="1200"/>
        <v/>
      </c>
      <c r="G4212" s="15">
        <f t="shared" ca="1" si="1190"/>
        <v>35</v>
      </c>
      <c r="H4212" s="15">
        <v>1</v>
      </c>
      <c r="I4212" s="15">
        <f t="shared" ca="1" si="1191"/>
        <v>0</v>
      </c>
      <c r="J4212" s="15" t="str">
        <f t="shared" ca="1" si="1198"/>
        <v>'0'!A35</v>
      </c>
      <c r="K4212" s="15" t="str">
        <f t="shared" ca="1" si="1199"/>
        <v>'0'!B35</v>
      </c>
    </row>
    <row r="4213" spans="1:11" x14ac:dyDescent="0.25">
      <c r="A4213" s="3" t="str">
        <f t="shared" ca="1" si="1200"/>
        <v/>
      </c>
      <c r="G4213" s="15">
        <f t="shared" ca="1" si="1190"/>
        <v>36</v>
      </c>
      <c r="H4213" s="15">
        <v>1</v>
      </c>
      <c r="I4213" s="15">
        <f t="shared" ca="1" si="1191"/>
        <v>0</v>
      </c>
      <c r="J4213" s="15" t="str">
        <f t="shared" ca="1" si="1198"/>
        <v>'0'!A36</v>
      </c>
      <c r="K4213" s="15" t="str">
        <f t="shared" ca="1" si="1199"/>
        <v>'0'!B36</v>
      </c>
    </row>
    <row r="4214" spans="1:11" x14ac:dyDescent="0.25">
      <c r="A4214" s="3" t="str">
        <f t="shared" ca="1" si="1200"/>
        <v/>
      </c>
      <c r="G4214" s="15">
        <f t="shared" ca="1" si="1190"/>
        <v>37</v>
      </c>
      <c r="H4214" s="15">
        <v>1</v>
      </c>
      <c r="I4214" s="15">
        <f t="shared" ca="1" si="1191"/>
        <v>0</v>
      </c>
      <c r="J4214" s="15" t="str">
        <f t="shared" ca="1" si="1198"/>
        <v>'0'!A37</v>
      </c>
      <c r="K4214" s="15" t="str">
        <f t="shared" ca="1" si="1199"/>
        <v>'0'!B37</v>
      </c>
    </row>
    <row r="4215" spans="1:11" x14ac:dyDescent="0.25">
      <c r="A4215" s="3" t="str">
        <f t="shared" ca="1" si="1200"/>
        <v/>
      </c>
      <c r="G4215" s="15">
        <f t="shared" ca="1" si="1190"/>
        <v>38</v>
      </c>
      <c r="H4215" s="15">
        <v>1</v>
      </c>
      <c r="I4215" s="15">
        <f t="shared" ca="1" si="1191"/>
        <v>0</v>
      </c>
      <c r="J4215" s="15" t="str">
        <f t="shared" ca="1" si="1198"/>
        <v>'0'!A38</v>
      </c>
      <c r="K4215" s="15" t="str">
        <f t="shared" ca="1" si="1199"/>
        <v>'0'!B38</v>
      </c>
    </row>
    <row r="4216" spans="1:11" x14ac:dyDescent="0.25">
      <c r="A4216" s="3" t="str">
        <f t="shared" ca="1" si="1200"/>
        <v/>
      </c>
      <c r="G4216" s="15">
        <f t="shared" ca="1" si="1190"/>
        <v>39</v>
      </c>
      <c r="H4216" s="15">
        <v>1</v>
      </c>
      <c r="I4216" s="15">
        <f t="shared" ca="1" si="1191"/>
        <v>0</v>
      </c>
      <c r="J4216" s="15" t="str">
        <f t="shared" ca="1" si="1198"/>
        <v>'0'!A39</v>
      </c>
      <c r="K4216" s="15" t="str">
        <f t="shared" ca="1" si="1199"/>
        <v>'0'!B39</v>
      </c>
    </row>
    <row r="4217" spans="1:11" x14ac:dyDescent="0.25">
      <c r="A4217" s="3" t="str">
        <f t="shared" ca="1" si="1200"/>
        <v/>
      </c>
      <c r="G4217" s="15">
        <f t="shared" ca="1" si="1190"/>
        <v>40</v>
      </c>
      <c r="H4217" s="15">
        <v>1</v>
      </c>
      <c r="I4217" s="15">
        <f t="shared" ca="1" si="1191"/>
        <v>0</v>
      </c>
      <c r="J4217" s="15" t="str">
        <f t="shared" ca="1" si="1198"/>
        <v>'0'!A40</v>
      </c>
      <c r="K4217" s="15" t="str">
        <f t="shared" ca="1" si="1199"/>
        <v>'0'!B40</v>
      </c>
    </row>
    <row r="4218" spans="1:11" x14ac:dyDescent="0.25">
      <c r="A4218" s="3" t="str">
        <f t="shared" ca="1" si="1200"/>
        <v/>
      </c>
      <c r="G4218" s="15">
        <f t="shared" ca="1" si="1190"/>
        <v>41</v>
      </c>
      <c r="H4218" s="15">
        <v>1</v>
      </c>
      <c r="I4218" s="15">
        <f t="shared" ca="1" si="1191"/>
        <v>0</v>
      </c>
      <c r="J4218" s="15" t="str">
        <f t="shared" ca="1" si="1198"/>
        <v>'0'!A41</v>
      </c>
      <c r="K4218" s="15" t="str">
        <f t="shared" ca="1" si="1199"/>
        <v>'0'!B41</v>
      </c>
    </row>
    <row r="4219" spans="1:11" x14ac:dyDescent="0.25">
      <c r="A4219" s="3" t="str">
        <f t="shared" ca="1" si="1200"/>
        <v/>
      </c>
      <c r="C4219" s="16"/>
      <c r="G4219" s="15">
        <f t="shared" ca="1" si="1190"/>
        <v>42</v>
      </c>
      <c r="H4219" s="15">
        <v>1</v>
      </c>
      <c r="I4219" s="15">
        <f t="shared" ca="1" si="1191"/>
        <v>0</v>
      </c>
      <c r="J4219" s="15" t="str">
        <f t="shared" ca="1" si="1198"/>
        <v>'0'!A42</v>
      </c>
      <c r="K4219" s="15" t="str">
        <f t="shared" ca="1" si="1199"/>
        <v>'0'!B42</v>
      </c>
    </row>
    <row r="4220" spans="1:11" x14ac:dyDescent="0.25">
      <c r="A4220" s="3" t="str">
        <f t="shared" ca="1" si="1200"/>
        <v/>
      </c>
      <c r="G4220" s="15">
        <f t="shared" ca="1" si="1190"/>
        <v>43</v>
      </c>
      <c r="H4220" s="15">
        <v>1</v>
      </c>
      <c r="I4220" s="15">
        <f t="shared" ca="1" si="1191"/>
        <v>0</v>
      </c>
      <c r="J4220" s="15" t="str">
        <f t="shared" ca="1" si="1198"/>
        <v>'0'!A43</v>
      </c>
      <c r="K4220" s="15" t="str">
        <f t="shared" ca="1" si="1199"/>
        <v>'0'!B43</v>
      </c>
    </row>
    <row r="4221" spans="1:11" x14ac:dyDescent="0.25">
      <c r="A4221" s="3" t="str">
        <f t="shared" ca="1" si="1200"/>
        <v/>
      </c>
      <c r="G4221" s="15">
        <f t="shared" ca="1" si="1190"/>
        <v>44</v>
      </c>
      <c r="H4221" s="15">
        <v>1</v>
      </c>
      <c r="I4221" s="15">
        <f t="shared" ca="1" si="1191"/>
        <v>0</v>
      </c>
      <c r="J4221" s="15" t="str">
        <f t="shared" ca="1" si="1198"/>
        <v>'0'!A44</v>
      </c>
      <c r="K4221" s="15" t="str">
        <f t="shared" ca="1" si="1199"/>
        <v>'0'!B44</v>
      </c>
    </row>
    <row r="4222" spans="1:11" x14ac:dyDescent="0.25">
      <c r="A4222" s="3" t="str">
        <f t="shared" ca="1" si="1200"/>
        <v/>
      </c>
      <c r="G4222" s="15">
        <f t="shared" ca="1" si="1190"/>
        <v>45</v>
      </c>
      <c r="H4222" s="15">
        <v>1</v>
      </c>
      <c r="I4222" s="15">
        <f t="shared" ca="1" si="1191"/>
        <v>0</v>
      </c>
      <c r="J4222" s="15" t="str">
        <f t="shared" ca="1" si="1198"/>
        <v>'0'!A45</v>
      </c>
      <c r="K4222" s="15" t="str">
        <f t="shared" ca="1" si="1199"/>
        <v>'0'!B45</v>
      </c>
    </row>
    <row r="4223" spans="1:11" x14ac:dyDescent="0.25">
      <c r="A4223" s="3" t="str">
        <f t="shared" ca="1" si="1200"/>
        <v/>
      </c>
      <c r="G4223" s="15">
        <f t="shared" ca="1" si="1190"/>
        <v>46</v>
      </c>
      <c r="H4223" s="15">
        <v>1</v>
      </c>
      <c r="I4223" s="15">
        <f t="shared" ca="1" si="1191"/>
        <v>0</v>
      </c>
      <c r="J4223" s="15" t="str">
        <f t="shared" ca="1" si="1198"/>
        <v>'0'!A46</v>
      </c>
      <c r="K4223" s="15" t="str">
        <f t="shared" ca="1" si="1199"/>
        <v>'0'!B46</v>
      </c>
    </row>
    <row r="4224" spans="1:11" x14ac:dyDescent="0.25">
      <c r="A4224" s="3" t="str">
        <f t="shared" ca="1" si="1200"/>
        <v/>
      </c>
      <c r="G4224" s="15">
        <f t="shared" ca="1" si="1190"/>
        <v>47</v>
      </c>
      <c r="H4224" s="15">
        <v>1</v>
      </c>
      <c r="I4224" s="15">
        <f t="shared" ca="1" si="1191"/>
        <v>0</v>
      </c>
      <c r="J4224" s="15" t="str">
        <f t="shared" ca="1" si="1198"/>
        <v>'0'!A47</v>
      </c>
      <c r="K4224" s="15" t="str">
        <f t="shared" ca="1" si="1199"/>
        <v>'0'!B47</v>
      </c>
    </row>
    <row r="4225" spans="1:16" x14ac:dyDescent="0.25">
      <c r="A4225" s="3" t="str">
        <f t="shared" ca="1" si="1200"/>
        <v/>
      </c>
      <c r="G4225" s="15">
        <f t="shared" ca="1" si="1190"/>
        <v>48</v>
      </c>
      <c r="H4225" s="15">
        <v>1</v>
      </c>
      <c r="I4225" s="15">
        <f t="shared" ca="1" si="1191"/>
        <v>0</v>
      </c>
      <c r="J4225" s="15" t="str">
        <f t="shared" ca="1" si="1198"/>
        <v>'0'!A48</v>
      </c>
      <c r="K4225" s="15" t="str">
        <f t="shared" ca="1" si="1199"/>
        <v>'0'!B48</v>
      </c>
    </row>
    <row r="4226" spans="1:16" x14ac:dyDescent="0.25">
      <c r="A4226" s="3" t="str">
        <f t="shared" ca="1" si="1200"/>
        <v/>
      </c>
      <c r="G4226" s="15">
        <f t="shared" ca="1" si="1190"/>
        <v>49</v>
      </c>
      <c r="H4226" s="15">
        <v>1</v>
      </c>
      <c r="I4226" s="15">
        <f t="shared" ca="1" si="1191"/>
        <v>0</v>
      </c>
      <c r="J4226" s="15" t="str">
        <f t="shared" ca="1" si="1198"/>
        <v>'0'!A49</v>
      </c>
      <c r="K4226" s="15" t="str">
        <f t="shared" ca="1" si="1199"/>
        <v>'0'!B49</v>
      </c>
    </row>
    <row r="4227" spans="1:16" x14ac:dyDescent="0.25">
      <c r="A4227" s="3" t="str">
        <f t="shared" ca="1" si="1200"/>
        <v/>
      </c>
      <c r="G4227" s="15">
        <f t="shared" ca="1" si="1190"/>
        <v>50</v>
      </c>
      <c r="H4227" s="15">
        <v>1</v>
      </c>
      <c r="I4227" s="15">
        <f t="shared" ca="1" si="1191"/>
        <v>0</v>
      </c>
      <c r="J4227" s="15" t="str">
        <f t="shared" ca="1" si="1198"/>
        <v>'0'!A50</v>
      </c>
      <c r="K4227" s="15" t="str">
        <f t="shared" ca="1" si="1199"/>
        <v>'0'!B50</v>
      </c>
    </row>
    <row r="4228" spans="1:16" x14ac:dyDescent="0.25">
      <c r="A4228" s="3" t="str">
        <f t="shared" ca="1" si="1200"/>
        <v/>
      </c>
      <c r="G4228" s="15">
        <f t="shared" ref="G4228" ca="1" si="1205">INDIRECT(M4228)</f>
        <v>31</v>
      </c>
      <c r="H4228" s="15">
        <v>1</v>
      </c>
      <c r="I4228" s="15">
        <f t="shared" ref="I4228" ca="1" si="1206">INDIRECT(N4228)</f>
        <v>0</v>
      </c>
      <c r="J4228" s="15" t="str">
        <f t="shared" ca="1" si="1198"/>
        <v>'0'!A31</v>
      </c>
      <c r="K4228" s="15" t="str">
        <f t="shared" ca="1" si="1199"/>
        <v>'0'!B31</v>
      </c>
      <c r="M4228" s="15" t="str">
        <f t="shared" ref="M4228" si="1207">ADDRESS(O4228,3,4,1,$R$1)</f>
        <v>konfig!C213</v>
      </c>
      <c r="N4228" s="15" t="str">
        <f t="shared" ref="N4228" si="1208">ADDRESS(O4228,1,4,1,$R$1)</f>
        <v>konfig!A213</v>
      </c>
      <c r="O4228" s="15">
        <v>213</v>
      </c>
      <c r="P4228" s="15">
        <v>4</v>
      </c>
    </row>
    <row r="4229" spans="1:16" x14ac:dyDescent="0.25">
      <c r="A4229" s="3" t="str">
        <f t="shared" ca="1" si="1200"/>
        <v/>
      </c>
      <c r="G4229" s="15">
        <f t="shared" ca="1" si="1196"/>
        <v>32</v>
      </c>
      <c r="H4229" s="15">
        <v>1</v>
      </c>
      <c r="I4229" s="15">
        <f t="shared" ca="1" si="1197"/>
        <v>0</v>
      </c>
      <c r="J4229" s="15" t="str">
        <f t="shared" ca="1" si="1198"/>
        <v>'0'!A32</v>
      </c>
      <c r="K4229" s="15" t="str">
        <f t="shared" ca="1" si="1199"/>
        <v>'0'!B32</v>
      </c>
    </row>
    <row r="4230" spans="1:16" x14ac:dyDescent="0.25">
      <c r="A4230" s="3" t="str">
        <f t="shared" ca="1" si="1200"/>
        <v/>
      </c>
      <c r="G4230" s="15">
        <f t="shared" ca="1" si="1190"/>
        <v>33</v>
      </c>
      <c r="H4230" s="15">
        <v>1</v>
      </c>
      <c r="I4230" s="15">
        <f t="shared" ca="1" si="1191"/>
        <v>0</v>
      </c>
      <c r="J4230" s="15" t="str">
        <f t="shared" ca="1" si="1198"/>
        <v>'0'!A33</v>
      </c>
      <c r="K4230" s="15" t="str">
        <f t="shared" ca="1" si="1199"/>
        <v>'0'!B33</v>
      </c>
    </row>
    <row r="4231" spans="1:16" x14ac:dyDescent="0.25">
      <c r="A4231" s="3" t="str">
        <f t="shared" ca="1" si="1200"/>
        <v/>
      </c>
      <c r="C4231" s="16"/>
      <c r="G4231" s="15">
        <f t="shared" ca="1" si="1190"/>
        <v>34</v>
      </c>
      <c r="H4231" s="15">
        <v>1</v>
      </c>
      <c r="I4231" s="15">
        <f t="shared" ca="1" si="1191"/>
        <v>0</v>
      </c>
      <c r="J4231" s="15" t="str">
        <f t="shared" ca="1" si="1198"/>
        <v>'0'!A34</v>
      </c>
      <c r="K4231" s="15" t="str">
        <f t="shared" ca="1" si="1199"/>
        <v>'0'!B34</v>
      </c>
    </row>
    <row r="4232" spans="1:16" x14ac:dyDescent="0.25">
      <c r="A4232" s="3" t="str">
        <f t="shared" ca="1" si="1200"/>
        <v/>
      </c>
      <c r="G4232" s="15">
        <f t="shared" ca="1" si="1190"/>
        <v>35</v>
      </c>
      <c r="H4232" s="15">
        <v>1</v>
      </c>
      <c r="I4232" s="15">
        <f t="shared" ca="1" si="1191"/>
        <v>0</v>
      </c>
      <c r="J4232" s="15" t="str">
        <f t="shared" ca="1" si="1198"/>
        <v>'0'!A35</v>
      </c>
      <c r="K4232" s="15" t="str">
        <f t="shared" ca="1" si="1199"/>
        <v>'0'!B35</v>
      </c>
    </row>
    <row r="4233" spans="1:16" x14ac:dyDescent="0.25">
      <c r="A4233" s="3" t="str">
        <f t="shared" ca="1" si="1200"/>
        <v/>
      </c>
      <c r="G4233" s="15">
        <f t="shared" ref="G4233:G4296" ca="1" si="1209">G4232+1</f>
        <v>36</v>
      </c>
      <c r="H4233" s="15">
        <v>1</v>
      </c>
      <c r="I4233" s="15">
        <f t="shared" ref="I4233:I4296" ca="1" si="1210">I4232</f>
        <v>0</v>
      </c>
      <c r="J4233" s="15" t="str">
        <f t="shared" ca="1" si="1198"/>
        <v>'0'!A36</v>
      </c>
      <c r="K4233" s="15" t="str">
        <f t="shared" ca="1" si="1199"/>
        <v>'0'!B36</v>
      </c>
    </row>
    <row r="4234" spans="1:16" x14ac:dyDescent="0.25">
      <c r="A4234" s="3" t="str">
        <f t="shared" ca="1" si="1200"/>
        <v/>
      </c>
      <c r="G4234" s="15">
        <f t="shared" ca="1" si="1209"/>
        <v>37</v>
      </c>
      <c r="H4234" s="15">
        <v>1</v>
      </c>
      <c r="I4234" s="15">
        <f t="shared" ca="1" si="1210"/>
        <v>0</v>
      </c>
      <c r="J4234" s="15" t="str">
        <f t="shared" ca="1" si="1198"/>
        <v>'0'!A37</v>
      </c>
      <c r="K4234" s="15" t="str">
        <f t="shared" ca="1" si="1199"/>
        <v>'0'!B37</v>
      </c>
    </row>
    <row r="4235" spans="1:16" x14ac:dyDescent="0.25">
      <c r="A4235" s="3" t="str">
        <f t="shared" ca="1" si="1200"/>
        <v/>
      </c>
      <c r="G4235" s="15">
        <f t="shared" ca="1" si="1209"/>
        <v>38</v>
      </c>
      <c r="H4235" s="15">
        <v>1</v>
      </c>
      <c r="I4235" s="15">
        <f t="shared" ca="1" si="1210"/>
        <v>0</v>
      </c>
      <c r="J4235" s="15" t="str">
        <f t="shared" ca="1" si="1198"/>
        <v>'0'!A38</v>
      </c>
      <c r="K4235" s="15" t="str">
        <f t="shared" ca="1" si="1199"/>
        <v>'0'!B38</v>
      </c>
    </row>
    <row r="4236" spans="1:16" x14ac:dyDescent="0.25">
      <c r="A4236" s="3" t="str">
        <f t="shared" ca="1" si="1200"/>
        <v/>
      </c>
      <c r="G4236" s="15">
        <f t="shared" ca="1" si="1209"/>
        <v>39</v>
      </c>
      <c r="H4236" s="15">
        <v>1</v>
      </c>
      <c r="I4236" s="15">
        <f t="shared" ca="1" si="1210"/>
        <v>0</v>
      </c>
      <c r="J4236" s="15" t="str">
        <f t="shared" ca="1" si="1198"/>
        <v>'0'!A39</v>
      </c>
      <c r="K4236" s="15" t="str">
        <f t="shared" ca="1" si="1199"/>
        <v>'0'!B39</v>
      </c>
    </row>
    <row r="4237" spans="1:16" x14ac:dyDescent="0.25">
      <c r="A4237" s="3" t="str">
        <f t="shared" ca="1" si="1200"/>
        <v/>
      </c>
      <c r="G4237" s="15">
        <f t="shared" ca="1" si="1209"/>
        <v>40</v>
      </c>
      <c r="H4237" s="15">
        <v>1</v>
      </c>
      <c r="I4237" s="15">
        <f t="shared" ca="1" si="1210"/>
        <v>0</v>
      </c>
      <c r="J4237" s="15" t="str">
        <f t="shared" ca="1" si="1198"/>
        <v>'0'!A40</v>
      </c>
      <c r="K4237" s="15" t="str">
        <f t="shared" ca="1" si="1199"/>
        <v>'0'!B40</v>
      </c>
    </row>
    <row r="4238" spans="1:16" x14ac:dyDescent="0.25">
      <c r="A4238" s="3" t="str">
        <f t="shared" ca="1" si="1200"/>
        <v/>
      </c>
      <c r="G4238" s="15">
        <f t="shared" ca="1" si="1209"/>
        <v>41</v>
      </c>
      <c r="H4238" s="15">
        <v>1</v>
      </c>
      <c r="I4238" s="15">
        <f t="shared" ca="1" si="1210"/>
        <v>0</v>
      </c>
      <c r="J4238" s="15" t="str">
        <f t="shared" ca="1" si="1198"/>
        <v>'0'!A41</v>
      </c>
      <c r="K4238" s="15" t="str">
        <f t="shared" ca="1" si="1199"/>
        <v>'0'!B41</v>
      </c>
    </row>
    <row r="4239" spans="1:16" x14ac:dyDescent="0.25">
      <c r="A4239" s="3" t="str">
        <f t="shared" ca="1" si="1200"/>
        <v/>
      </c>
      <c r="C4239" s="16"/>
      <c r="G4239" s="15">
        <f t="shared" ca="1" si="1209"/>
        <v>42</v>
      </c>
      <c r="H4239" s="15">
        <v>1</v>
      </c>
      <c r="I4239" s="15">
        <f t="shared" ca="1" si="1210"/>
        <v>0</v>
      </c>
      <c r="J4239" s="15" t="str">
        <f t="shared" ca="1" si="1198"/>
        <v>'0'!A42</v>
      </c>
      <c r="K4239" s="15" t="str">
        <f t="shared" ca="1" si="1199"/>
        <v>'0'!B42</v>
      </c>
    </row>
    <row r="4240" spans="1:16" x14ac:dyDescent="0.25">
      <c r="A4240" s="3" t="str">
        <f t="shared" ca="1" si="1200"/>
        <v/>
      </c>
      <c r="G4240" s="15">
        <f t="shared" ca="1" si="1209"/>
        <v>43</v>
      </c>
      <c r="H4240" s="15">
        <v>1</v>
      </c>
      <c r="I4240" s="15">
        <f t="shared" ca="1" si="1210"/>
        <v>0</v>
      </c>
      <c r="J4240" s="15" t="str">
        <f t="shared" ca="1" si="1198"/>
        <v>'0'!A43</v>
      </c>
      <c r="K4240" s="15" t="str">
        <f t="shared" ca="1" si="1199"/>
        <v>'0'!B43</v>
      </c>
    </row>
    <row r="4241" spans="1:16" x14ac:dyDescent="0.25">
      <c r="A4241" s="3" t="str">
        <f t="shared" ca="1" si="1200"/>
        <v/>
      </c>
      <c r="G4241" s="15">
        <f t="shared" ca="1" si="1209"/>
        <v>44</v>
      </c>
      <c r="H4241" s="15">
        <v>1</v>
      </c>
      <c r="I4241" s="15">
        <f t="shared" ca="1" si="1210"/>
        <v>0</v>
      </c>
      <c r="J4241" s="15" t="str">
        <f t="shared" ca="1" si="1198"/>
        <v>'0'!A44</v>
      </c>
      <c r="K4241" s="15" t="str">
        <f t="shared" ca="1" si="1199"/>
        <v>'0'!B44</v>
      </c>
    </row>
    <row r="4242" spans="1:16" x14ac:dyDescent="0.25">
      <c r="A4242" s="3" t="str">
        <f t="shared" ca="1" si="1200"/>
        <v/>
      </c>
      <c r="G4242" s="15">
        <f t="shared" ca="1" si="1209"/>
        <v>45</v>
      </c>
      <c r="H4242" s="15">
        <v>1</v>
      </c>
      <c r="I4242" s="15">
        <f t="shared" ca="1" si="1210"/>
        <v>0</v>
      </c>
      <c r="J4242" s="15" t="str">
        <f t="shared" ca="1" si="1198"/>
        <v>'0'!A45</v>
      </c>
      <c r="K4242" s="15" t="str">
        <f t="shared" ca="1" si="1199"/>
        <v>'0'!B45</v>
      </c>
    </row>
    <row r="4243" spans="1:16" x14ac:dyDescent="0.25">
      <c r="A4243" s="3" t="str">
        <f t="shared" ca="1" si="1200"/>
        <v/>
      </c>
      <c r="G4243" s="15">
        <f t="shared" ca="1" si="1209"/>
        <v>46</v>
      </c>
      <c r="H4243" s="15">
        <v>1</v>
      </c>
      <c r="I4243" s="15">
        <f t="shared" ca="1" si="1210"/>
        <v>0</v>
      </c>
      <c r="J4243" s="15" t="str">
        <f t="shared" ca="1" si="1198"/>
        <v>'0'!A46</v>
      </c>
      <c r="K4243" s="15" t="str">
        <f t="shared" ca="1" si="1199"/>
        <v>'0'!B46</v>
      </c>
    </row>
    <row r="4244" spans="1:16" x14ac:dyDescent="0.25">
      <c r="A4244" s="3" t="str">
        <f t="shared" ca="1" si="1200"/>
        <v/>
      </c>
      <c r="G4244" s="15">
        <f t="shared" ca="1" si="1209"/>
        <v>47</v>
      </c>
      <c r="H4244" s="15">
        <v>1</v>
      </c>
      <c r="I4244" s="15">
        <f t="shared" ca="1" si="1210"/>
        <v>0</v>
      </c>
      <c r="J4244" s="15" t="str">
        <f t="shared" ca="1" si="1198"/>
        <v>'0'!A47</v>
      </c>
      <c r="K4244" s="15" t="str">
        <f t="shared" ca="1" si="1199"/>
        <v>'0'!B47</v>
      </c>
    </row>
    <row r="4245" spans="1:16" x14ac:dyDescent="0.25">
      <c r="A4245" s="3" t="str">
        <f t="shared" ca="1" si="1200"/>
        <v/>
      </c>
      <c r="G4245" s="15">
        <f t="shared" ca="1" si="1209"/>
        <v>48</v>
      </c>
      <c r="H4245" s="15">
        <v>1</v>
      </c>
      <c r="I4245" s="15">
        <f t="shared" ca="1" si="1210"/>
        <v>0</v>
      </c>
      <c r="J4245" s="15" t="str">
        <f t="shared" ca="1" si="1198"/>
        <v>'0'!A48</v>
      </c>
      <c r="K4245" s="15" t="str">
        <f t="shared" ca="1" si="1199"/>
        <v>'0'!B48</v>
      </c>
    </row>
    <row r="4246" spans="1:16" x14ac:dyDescent="0.25">
      <c r="A4246" s="3" t="str">
        <f t="shared" ca="1" si="1200"/>
        <v/>
      </c>
      <c r="G4246" s="15">
        <f t="shared" ca="1" si="1209"/>
        <v>49</v>
      </c>
      <c r="H4246" s="15">
        <v>1</v>
      </c>
      <c r="I4246" s="15">
        <f t="shared" ca="1" si="1210"/>
        <v>0</v>
      </c>
      <c r="J4246" s="15" t="str">
        <f t="shared" ca="1" si="1198"/>
        <v>'0'!A49</v>
      </c>
      <c r="K4246" s="15" t="str">
        <f t="shared" ca="1" si="1199"/>
        <v>'0'!B49</v>
      </c>
    </row>
    <row r="4247" spans="1:16" x14ac:dyDescent="0.25">
      <c r="A4247" s="3" t="str">
        <f t="shared" ca="1" si="1200"/>
        <v/>
      </c>
      <c r="G4247" s="15">
        <f t="shared" ca="1" si="1209"/>
        <v>50</v>
      </c>
      <c r="H4247" s="15">
        <v>1</v>
      </c>
      <c r="I4247" s="15">
        <f t="shared" ca="1" si="1210"/>
        <v>0</v>
      </c>
      <c r="J4247" s="15" t="str">
        <f t="shared" ca="1" si="1198"/>
        <v>'0'!A50</v>
      </c>
      <c r="K4247" s="15" t="str">
        <f t="shared" ca="1" si="1199"/>
        <v>'0'!B50</v>
      </c>
    </row>
    <row r="4248" spans="1:16" x14ac:dyDescent="0.25">
      <c r="A4248" s="3" t="str">
        <f t="shared" ca="1" si="1200"/>
        <v/>
      </c>
      <c r="G4248" s="15">
        <f t="shared" ref="G4248" ca="1" si="1211">INDIRECT(M4248)</f>
        <v>31</v>
      </c>
      <c r="H4248" s="15">
        <v>1</v>
      </c>
      <c r="I4248" s="15">
        <f t="shared" ref="I4248" ca="1" si="1212">INDIRECT(N4248)</f>
        <v>0</v>
      </c>
      <c r="J4248" s="15" t="str">
        <f t="shared" ca="1" si="1198"/>
        <v>'0'!A31</v>
      </c>
      <c r="K4248" s="15" t="str">
        <f t="shared" ca="1" si="1199"/>
        <v>'0'!B31</v>
      </c>
      <c r="M4248" s="15" t="str">
        <f t="shared" ref="M4248" si="1213">ADDRESS(O4248,3,4,1,$R$1)</f>
        <v>konfig!C214</v>
      </c>
      <c r="N4248" s="15" t="str">
        <f t="shared" ref="N4248" si="1214">ADDRESS(O4248,1,4,1,$R$1)</f>
        <v>konfig!A214</v>
      </c>
      <c r="O4248" s="15">
        <v>214</v>
      </c>
      <c r="P4248" s="15">
        <v>4</v>
      </c>
    </row>
    <row r="4249" spans="1:16" x14ac:dyDescent="0.25">
      <c r="A4249" s="3" t="str">
        <f t="shared" ca="1" si="1200"/>
        <v/>
      </c>
      <c r="G4249" s="15">
        <f t="shared" ref="G4249:G4292" ca="1" si="1215">G4248+1</f>
        <v>32</v>
      </c>
      <c r="H4249" s="15">
        <v>1</v>
      </c>
      <c r="I4249" s="15">
        <f t="shared" ref="I4249:I4292" ca="1" si="1216">I4248</f>
        <v>0</v>
      </c>
      <c r="J4249" s="15" t="str">
        <f t="shared" ca="1" si="1198"/>
        <v>'0'!A32</v>
      </c>
      <c r="K4249" s="15" t="str">
        <f t="shared" ca="1" si="1199"/>
        <v>'0'!B32</v>
      </c>
    </row>
    <row r="4250" spans="1:16" x14ac:dyDescent="0.25">
      <c r="A4250" s="3" t="str">
        <f t="shared" ca="1" si="1200"/>
        <v/>
      </c>
      <c r="G4250" s="15">
        <f t="shared" ca="1" si="1215"/>
        <v>33</v>
      </c>
      <c r="H4250" s="15">
        <v>1</v>
      </c>
      <c r="I4250" s="15">
        <f t="shared" ca="1" si="1216"/>
        <v>0</v>
      </c>
      <c r="J4250" s="15" t="str">
        <f t="shared" ca="1" si="1198"/>
        <v>'0'!A33</v>
      </c>
      <c r="K4250" s="15" t="str">
        <f t="shared" ca="1" si="1199"/>
        <v>'0'!B33</v>
      </c>
    </row>
    <row r="4251" spans="1:16" x14ac:dyDescent="0.25">
      <c r="A4251" s="3" t="str">
        <f t="shared" ca="1" si="1200"/>
        <v/>
      </c>
      <c r="C4251" s="16"/>
      <c r="G4251" s="15">
        <f t="shared" ca="1" si="1215"/>
        <v>34</v>
      </c>
      <c r="H4251" s="15">
        <v>1</v>
      </c>
      <c r="I4251" s="15">
        <f t="shared" ca="1" si="1216"/>
        <v>0</v>
      </c>
      <c r="J4251" s="15" t="str">
        <f t="shared" ca="1" si="1198"/>
        <v>'0'!A34</v>
      </c>
      <c r="K4251" s="15" t="str">
        <f t="shared" ca="1" si="1199"/>
        <v>'0'!B34</v>
      </c>
    </row>
    <row r="4252" spans="1:16" x14ac:dyDescent="0.25">
      <c r="A4252" s="3" t="str">
        <f t="shared" ca="1" si="1200"/>
        <v/>
      </c>
      <c r="G4252" s="15">
        <f t="shared" ca="1" si="1215"/>
        <v>35</v>
      </c>
      <c r="H4252" s="15">
        <v>1</v>
      </c>
      <c r="I4252" s="15">
        <f t="shared" ca="1" si="1216"/>
        <v>0</v>
      </c>
      <c r="J4252" s="15" t="str">
        <f t="shared" ca="1" si="1198"/>
        <v>'0'!A35</v>
      </c>
      <c r="K4252" s="15" t="str">
        <f t="shared" ca="1" si="1199"/>
        <v>'0'!B35</v>
      </c>
    </row>
    <row r="4253" spans="1:16" x14ac:dyDescent="0.25">
      <c r="A4253" s="3" t="str">
        <f t="shared" ca="1" si="1200"/>
        <v/>
      </c>
      <c r="G4253" s="15">
        <f t="shared" ca="1" si="1209"/>
        <v>36</v>
      </c>
      <c r="H4253" s="15">
        <v>1</v>
      </c>
      <c r="I4253" s="15">
        <f t="shared" ca="1" si="1210"/>
        <v>0</v>
      </c>
      <c r="J4253" s="15" t="str">
        <f t="shared" ca="1" si="1198"/>
        <v>'0'!A36</v>
      </c>
      <c r="K4253" s="15" t="str">
        <f t="shared" ca="1" si="1199"/>
        <v>'0'!B36</v>
      </c>
    </row>
    <row r="4254" spans="1:16" x14ac:dyDescent="0.25">
      <c r="A4254" s="3" t="str">
        <f t="shared" ca="1" si="1200"/>
        <v/>
      </c>
      <c r="G4254" s="15">
        <f t="shared" ca="1" si="1209"/>
        <v>37</v>
      </c>
      <c r="H4254" s="15">
        <v>1</v>
      </c>
      <c r="I4254" s="15">
        <f t="shared" ca="1" si="1210"/>
        <v>0</v>
      </c>
      <c r="J4254" s="15" t="str">
        <f t="shared" ca="1" si="1198"/>
        <v>'0'!A37</v>
      </c>
      <c r="K4254" s="15" t="str">
        <f t="shared" ca="1" si="1199"/>
        <v>'0'!B37</v>
      </c>
    </row>
    <row r="4255" spans="1:16" x14ac:dyDescent="0.25">
      <c r="A4255" s="3" t="str">
        <f t="shared" ca="1" si="1200"/>
        <v/>
      </c>
      <c r="G4255" s="15">
        <f t="shared" ca="1" si="1209"/>
        <v>38</v>
      </c>
      <c r="H4255" s="15">
        <v>1</v>
      </c>
      <c r="I4255" s="15">
        <f t="shared" ca="1" si="1210"/>
        <v>0</v>
      </c>
      <c r="J4255" s="15" t="str">
        <f t="shared" ca="1" si="1198"/>
        <v>'0'!A38</v>
      </c>
      <c r="K4255" s="15" t="str">
        <f t="shared" ca="1" si="1199"/>
        <v>'0'!B38</v>
      </c>
    </row>
    <row r="4256" spans="1:16" x14ac:dyDescent="0.25">
      <c r="A4256" s="3" t="str">
        <f t="shared" ca="1" si="1200"/>
        <v/>
      </c>
      <c r="G4256" s="15">
        <f t="shared" ca="1" si="1209"/>
        <v>39</v>
      </c>
      <c r="H4256" s="15">
        <v>1</v>
      </c>
      <c r="I4256" s="15">
        <f t="shared" ca="1" si="1210"/>
        <v>0</v>
      </c>
      <c r="J4256" s="15" t="str">
        <f t="shared" ca="1" si="1198"/>
        <v>'0'!A39</v>
      </c>
      <c r="K4256" s="15" t="str">
        <f t="shared" ca="1" si="1199"/>
        <v>'0'!B39</v>
      </c>
    </row>
    <row r="4257" spans="1:16" x14ac:dyDescent="0.25">
      <c r="A4257" s="3" t="str">
        <f t="shared" ca="1" si="1200"/>
        <v/>
      </c>
      <c r="G4257" s="15">
        <f t="shared" ca="1" si="1209"/>
        <v>40</v>
      </c>
      <c r="H4257" s="15">
        <v>1</v>
      </c>
      <c r="I4257" s="15">
        <f t="shared" ca="1" si="1210"/>
        <v>0</v>
      </c>
      <c r="J4257" s="15" t="str">
        <f t="shared" ca="1" si="1198"/>
        <v>'0'!A40</v>
      </c>
      <c r="K4257" s="15" t="str">
        <f t="shared" ca="1" si="1199"/>
        <v>'0'!B40</v>
      </c>
    </row>
    <row r="4258" spans="1:16" x14ac:dyDescent="0.25">
      <c r="A4258" s="3" t="str">
        <f t="shared" ca="1" si="1200"/>
        <v/>
      </c>
      <c r="G4258" s="15">
        <f t="shared" ca="1" si="1209"/>
        <v>41</v>
      </c>
      <c r="H4258" s="15">
        <v>1</v>
      </c>
      <c r="I4258" s="15">
        <f t="shared" ca="1" si="1210"/>
        <v>0</v>
      </c>
      <c r="J4258" s="15" t="str">
        <f t="shared" ca="1" si="1198"/>
        <v>'0'!A41</v>
      </c>
      <c r="K4258" s="15" t="str">
        <f t="shared" ca="1" si="1199"/>
        <v>'0'!B41</v>
      </c>
    </row>
    <row r="4259" spans="1:16" x14ac:dyDescent="0.25">
      <c r="A4259" s="3" t="str">
        <f t="shared" ca="1" si="1200"/>
        <v/>
      </c>
      <c r="C4259" s="16"/>
      <c r="G4259" s="15">
        <f t="shared" ca="1" si="1209"/>
        <v>42</v>
      </c>
      <c r="H4259" s="15">
        <v>1</v>
      </c>
      <c r="I4259" s="15">
        <f t="shared" ca="1" si="1210"/>
        <v>0</v>
      </c>
      <c r="J4259" s="15" t="str">
        <f t="shared" ca="1" si="1198"/>
        <v>'0'!A42</v>
      </c>
      <c r="K4259" s="15" t="str">
        <f t="shared" ca="1" si="1199"/>
        <v>'0'!B42</v>
      </c>
    </row>
    <row r="4260" spans="1:16" x14ac:dyDescent="0.25">
      <c r="A4260" s="3" t="str">
        <f t="shared" ca="1" si="1200"/>
        <v/>
      </c>
      <c r="G4260" s="15">
        <f t="shared" ca="1" si="1209"/>
        <v>43</v>
      </c>
      <c r="H4260" s="15">
        <v>1</v>
      </c>
      <c r="I4260" s="15">
        <f t="shared" ca="1" si="1210"/>
        <v>0</v>
      </c>
      <c r="J4260" s="15" t="str">
        <f t="shared" ref="J4260:J4323" ca="1" si="1217">ADDRESS(G4260,H4260,4,1,I4260)</f>
        <v>'0'!A43</v>
      </c>
      <c r="K4260" s="15" t="str">
        <f t="shared" ref="K4260:K4323" ca="1" si="1218">ADDRESS(G4260,H4260+1,4,1,I4260)</f>
        <v>'0'!B43</v>
      </c>
    </row>
    <row r="4261" spans="1:16" x14ac:dyDescent="0.25">
      <c r="A4261" s="3" t="str">
        <f t="shared" ca="1" si="1200"/>
        <v/>
      </c>
      <c r="G4261" s="15">
        <f t="shared" ca="1" si="1209"/>
        <v>44</v>
      </c>
      <c r="H4261" s="15">
        <v>1</v>
      </c>
      <c r="I4261" s="15">
        <f t="shared" ca="1" si="1210"/>
        <v>0</v>
      </c>
      <c r="J4261" s="15" t="str">
        <f t="shared" ca="1" si="1217"/>
        <v>'0'!A44</v>
      </c>
      <c r="K4261" s="15" t="str">
        <f t="shared" ca="1" si="1218"/>
        <v>'0'!B44</v>
      </c>
    </row>
    <row r="4262" spans="1:16" x14ac:dyDescent="0.25">
      <c r="A4262" s="3" t="str">
        <f t="shared" ca="1" si="1200"/>
        <v/>
      </c>
      <c r="G4262" s="15">
        <f t="shared" ca="1" si="1209"/>
        <v>45</v>
      </c>
      <c r="H4262" s="15">
        <v>1</v>
      </c>
      <c r="I4262" s="15">
        <f t="shared" ca="1" si="1210"/>
        <v>0</v>
      </c>
      <c r="J4262" s="15" t="str">
        <f t="shared" ca="1" si="1217"/>
        <v>'0'!A45</v>
      </c>
      <c r="K4262" s="15" t="str">
        <f t="shared" ca="1" si="1218"/>
        <v>'0'!B45</v>
      </c>
    </row>
    <row r="4263" spans="1:16" x14ac:dyDescent="0.25">
      <c r="A4263" s="3" t="str">
        <f t="shared" ca="1" si="1200"/>
        <v/>
      </c>
      <c r="G4263" s="15">
        <f t="shared" ca="1" si="1209"/>
        <v>46</v>
      </c>
      <c r="H4263" s="15">
        <v>1</v>
      </c>
      <c r="I4263" s="15">
        <f t="shared" ca="1" si="1210"/>
        <v>0</v>
      </c>
      <c r="J4263" s="15" t="str">
        <f t="shared" ca="1" si="1217"/>
        <v>'0'!A46</v>
      </c>
      <c r="K4263" s="15" t="str">
        <f t="shared" ca="1" si="1218"/>
        <v>'0'!B46</v>
      </c>
    </row>
    <row r="4264" spans="1:16" x14ac:dyDescent="0.25">
      <c r="A4264" s="3" t="str">
        <f t="shared" ca="1" si="1200"/>
        <v/>
      </c>
      <c r="G4264" s="15">
        <f t="shared" ca="1" si="1209"/>
        <v>47</v>
      </c>
      <c r="H4264" s="15">
        <v>1</v>
      </c>
      <c r="I4264" s="15">
        <f t="shared" ca="1" si="1210"/>
        <v>0</v>
      </c>
      <c r="J4264" s="15" t="str">
        <f t="shared" ca="1" si="1217"/>
        <v>'0'!A47</v>
      </c>
      <c r="K4264" s="15" t="str">
        <f t="shared" ca="1" si="1218"/>
        <v>'0'!B47</v>
      </c>
    </row>
    <row r="4265" spans="1:16" x14ac:dyDescent="0.25">
      <c r="A4265" s="3" t="str">
        <f t="shared" ca="1" si="1200"/>
        <v/>
      </c>
      <c r="G4265" s="15">
        <f t="shared" ca="1" si="1209"/>
        <v>48</v>
      </c>
      <c r="H4265" s="15">
        <v>1</v>
      </c>
      <c r="I4265" s="15">
        <f t="shared" ca="1" si="1210"/>
        <v>0</v>
      </c>
      <c r="J4265" s="15" t="str">
        <f t="shared" ca="1" si="1217"/>
        <v>'0'!A48</v>
      </c>
      <c r="K4265" s="15" t="str">
        <f t="shared" ca="1" si="1218"/>
        <v>'0'!B48</v>
      </c>
    </row>
    <row r="4266" spans="1:16" x14ac:dyDescent="0.25">
      <c r="A4266" s="3" t="str">
        <f t="shared" ca="1" si="1200"/>
        <v/>
      </c>
      <c r="G4266" s="15">
        <f t="shared" ca="1" si="1209"/>
        <v>49</v>
      </c>
      <c r="H4266" s="15">
        <v>1</v>
      </c>
      <c r="I4266" s="15">
        <f t="shared" ca="1" si="1210"/>
        <v>0</v>
      </c>
      <c r="J4266" s="15" t="str">
        <f t="shared" ca="1" si="1217"/>
        <v>'0'!A49</v>
      </c>
      <c r="K4266" s="15" t="str">
        <f t="shared" ca="1" si="1218"/>
        <v>'0'!B49</v>
      </c>
    </row>
    <row r="4267" spans="1:16" x14ac:dyDescent="0.25">
      <c r="A4267" s="3" t="str">
        <f t="shared" ca="1" si="1200"/>
        <v/>
      </c>
      <c r="G4267" s="15">
        <f t="shared" ca="1" si="1209"/>
        <v>50</v>
      </c>
      <c r="H4267" s="15">
        <v>1</v>
      </c>
      <c r="I4267" s="15">
        <f t="shared" ca="1" si="1210"/>
        <v>0</v>
      </c>
      <c r="J4267" s="15" t="str">
        <f t="shared" ca="1" si="1217"/>
        <v>'0'!A50</v>
      </c>
      <c r="K4267" s="15" t="str">
        <f t="shared" ca="1" si="1218"/>
        <v>'0'!B50</v>
      </c>
    </row>
    <row r="4268" spans="1:16" x14ac:dyDescent="0.25">
      <c r="A4268" s="3" t="str">
        <f t="shared" ref="A4268:A4331" ca="1" si="1219">IFERROR(IF(INDIRECT(J4268)&lt;&gt;"",CONCATENATE(INDIRECT(J4268)," = ",INDIRECT(K4268)," "),""),"")</f>
        <v/>
      </c>
      <c r="G4268" s="15">
        <f t="shared" ref="G4268" ca="1" si="1220">INDIRECT(M4268)</f>
        <v>31</v>
      </c>
      <c r="H4268" s="15">
        <v>1</v>
      </c>
      <c r="I4268" s="15">
        <f t="shared" ref="I4268" ca="1" si="1221">INDIRECT(N4268)</f>
        <v>0</v>
      </c>
      <c r="J4268" s="15" t="str">
        <f t="shared" ca="1" si="1217"/>
        <v>'0'!A31</v>
      </c>
      <c r="K4268" s="15" t="str">
        <f t="shared" ca="1" si="1218"/>
        <v>'0'!B31</v>
      </c>
      <c r="M4268" s="15" t="str">
        <f t="shared" ref="M4268" si="1222">ADDRESS(O4268,3,4,1,$R$1)</f>
        <v>konfig!C215</v>
      </c>
      <c r="N4268" s="15" t="str">
        <f t="shared" ref="N4268" si="1223">ADDRESS(O4268,1,4,1,$R$1)</f>
        <v>konfig!A215</v>
      </c>
      <c r="O4268" s="15">
        <v>215</v>
      </c>
      <c r="P4268" s="15">
        <v>4</v>
      </c>
    </row>
    <row r="4269" spans="1:16" x14ac:dyDescent="0.25">
      <c r="A4269" s="3" t="str">
        <f t="shared" ca="1" si="1219"/>
        <v/>
      </c>
      <c r="G4269" s="15">
        <f t="shared" ref="G4269:G4309" ca="1" si="1224">G4268+1</f>
        <v>32</v>
      </c>
      <c r="H4269" s="15">
        <v>1</v>
      </c>
      <c r="I4269" s="15">
        <f t="shared" ref="I4269:I4309" ca="1" si="1225">I4268</f>
        <v>0</v>
      </c>
      <c r="J4269" s="15" t="str">
        <f t="shared" ca="1" si="1217"/>
        <v>'0'!A32</v>
      </c>
      <c r="K4269" s="15" t="str">
        <f t="shared" ca="1" si="1218"/>
        <v>'0'!B32</v>
      </c>
    </row>
    <row r="4270" spans="1:16" x14ac:dyDescent="0.25">
      <c r="A4270" s="3" t="str">
        <f t="shared" ca="1" si="1219"/>
        <v/>
      </c>
      <c r="G4270" s="15">
        <f t="shared" ca="1" si="1209"/>
        <v>33</v>
      </c>
      <c r="H4270" s="15">
        <v>1</v>
      </c>
      <c r="I4270" s="15">
        <f t="shared" ca="1" si="1210"/>
        <v>0</v>
      </c>
      <c r="J4270" s="15" t="str">
        <f t="shared" ca="1" si="1217"/>
        <v>'0'!A33</v>
      </c>
      <c r="K4270" s="15" t="str">
        <f t="shared" ca="1" si="1218"/>
        <v>'0'!B33</v>
      </c>
    </row>
    <row r="4271" spans="1:16" x14ac:dyDescent="0.25">
      <c r="A4271" s="3" t="str">
        <f t="shared" ca="1" si="1219"/>
        <v/>
      </c>
      <c r="C4271" s="16"/>
      <c r="G4271" s="15">
        <f t="shared" ca="1" si="1209"/>
        <v>34</v>
      </c>
      <c r="H4271" s="15">
        <v>1</v>
      </c>
      <c r="I4271" s="15">
        <f t="shared" ca="1" si="1210"/>
        <v>0</v>
      </c>
      <c r="J4271" s="15" t="str">
        <f t="shared" ca="1" si="1217"/>
        <v>'0'!A34</v>
      </c>
      <c r="K4271" s="15" t="str">
        <f t="shared" ca="1" si="1218"/>
        <v>'0'!B34</v>
      </c>
    </row>
    <row r="4272" spans="1:16" x14ac:dyDescent="0.25">
      <c r="A4272" s="3" t="str">
        <f t="shared" ca="1" si="1219"/>
        <v/>
      </c>
      <c r="G4272" s="15">
        <f t="shared" ca="1" si="1209"/>
        <v>35</v>
      </c>
      <c r="H4272" s="15">
        <v>1</v>
      </c>
      <c r="I4272" s="15">
        <f t="shared" ca="1" si="1210"/>
        <v>0</v>
      </c>
      <c r="J4272" s="15" t="str">
        <f t="shared" ca="1" si="1217"/>
        <v>'0'!A35</v>
      </c>
      <c r="K4272" s="15" t="str">
        <f t="shared" ca="1" si="1218"/>
        <v>'0'!B35</v>
      </c>
    </row>
    <row r="4273" spans="1:16" x14ac:dyDescent="0.25">
      <c r="A4273" s="3" t="str">
        <f t="shared" ca="1" si="1219"/>
        <v/>
      </c>
      <c r="G4273" s="15">
        <f t="shared" ca="1" si="1209"/>
        <v>36</v>
      </c>
      <c r="H4273" s="15">
        <v>1</v>
      </c>
      <c r="I4273" s="15">
        <f t="shared" ca="1" si="1210"/>
        <v>0</v>
      </c>
      <c r="J4273" s="15" t="str">
        <f t="shared" ca="1" si="1217"/>
        <v>'0'!A36</v>
      </c>
      <c r="K4273" s="15" t="str">
        <f t="shared" ca="1" si="1218"/>
        <v>'0'!B36</v>
      </c>
    </row>
    <row r="4274" spans="1:16" x14ac:dyDescent="0.25">
      <c r="A4274" s="3" t="str">
        <f t="shared" ca="1" si="1219"/>
        <v/>
      </c>
      <c r="G4274" s="15">
        <f t="shared" ca="1" si="1209"/>
        <v>37</v>
      </c>
      <c r="H4274" s="15">
        <v>1</v>
      </c>
      <c r="I4274" s="15">
        <f t="shared" ca="1" si="1210"/>
        <v>0</v>
      </c>
      <c r="J4274" s="15" t="str">
        <f t="shared" ca="1" si="1217"/>
        <v>'0'!A37</v>
      </c>
      <c r="K4274" s="15" t="str">
        <f t="shared" ca="1" si="1218"/>
        <v>'0'!B37</v>
      </c>
    </row>
    <row r="4275" spans="1:16" x14ac:dyDescent="0.25">
      <c r="A4275" s="3" t="str">
        <f t="shared" ca="1" si="1219"/>
        <v/>
      </c>
      <c r="G4275" s="15">
        <f t="shared" ca="1" si="1209"/>
        <v>38</v>
      </c>
      <c r="H4275" s="15">
        <v>1</v>
      </c>
      <c r="I4275" s="15">
        <f t="shared" ca="1" si="1210"/>
        <v>0</v>
      </c>
      <c r="J4275" s="15" t="str">
        <f t="shared" ca="1" si="1217"/>
        <v>'0'!A38</v>
      </c>
      <c r="K4275" s="15" t="str">
        <f t="shared" ca="1" si="1218"/>
        <v>'0'!B38</v>
      </c>
    </row>
    <row r="4276" spans="1:16" x14ac:dyDescent="0.25">
      <c r="A4276" s="3" t="str">
        <f t="shared" ca="1" si="1219"/>
        <v/>
      </c>
      <c r="G4276" s="15">
        <f t="shared" ca="1" si="1209"/>
        <v>39</v>
      </c>
      <c r="H4276" s="15">
        <v>1</v>
      </c>
      <c r="I4276" s="15">
        <f t="shared" ca="1" si="1210"/>
        <v>0</v>
      </c>
      <c r="J4276" s="15" t="str">
        <f t="shared" ca="1" si="1217"/>
        <v>'0'!A39</v>
      </c>
      <c r="K4276" s="15" t="str">
        <f t="shared" ca="1" si="1218"/>
        <v>'0'!B39</v>
      </c>
    </row>
    <row r="4277" spans="1:16" x14ac:dyDescent="0.25">
      <c r="A4277" s="3" t="str">
        <f t="shared" ca="1" si="1219"/>
        <v/>
      </c>
      <c r="G4277" s="15">
        <f t="shared" ca="1" si="1209"/>
        <v>40</v>
      </c>
      <c r="H4277" s="15">
        <v>1</v>
      </c>
      <c r="I4277" s="15">
        <f t="shared" ca="1" si="1210"/>
        <v>0</v>
      </c>
      <c r="J4277" s="15" t="str">
        <f t="shared" ca="1" si="1217"/>
        <v>'0'!A40</v>
      </c>
      <c r="K4277" s="15" t="str">
        <f t="shared" ca="1" si="1218"/>
        <v>'0'!B40</v>
      </c>
    </row>
    <row r="4278" spans="1:16" x14ac:dyDescent="0.25">
      <c r="A4278" s="3" t="str">
        <f t="shared" ca="1" si="1219"/>
        <v/>
      </c>
      <c r="G4278" s="15">
        <f t="shared" ca="1" si="1209"/>
        <v>41</v>
      </c>
      <c r="H4278" s="15">
        <v>1</v>
      </c>
      <c r="I4278" s="15">
        <f t="shared" ca="1" si="1210"/>
        <v>0</v>
      </c>
      <c r="J4278" s="15" t="str">
        <f t="shared" ca="1" si="1217"/>
        <v>'0'!A41</v>
      </c>
      <c r="K4278" s="15" t="str">
        <f t="shared" ca="1" si="1218"/>
        <v>'0'!B41</v>
      </c>
    </row>
    <row r="4279" spans="1:16" x14ac:dyDescent="0.25">
      <c r="A4279" s="3" t="str">
        <f t="shared" ca="1" si="1219"/>
        <v/>
      </c>
      <c r="C4279" s="16"/>
      <c r="G4279" s="15">
        <f t="shared" ca="1" si="1209"/>
        <v>42</v>
      </c>
      <c r="H4279" s="15">
        <v>1</v>
      </c>
      <c r="I4279" s="15">
        <f t="shared" ca="1" si="1210"/>
        <v>0</v>
      </c>
      <c r="J4279" s="15" t="str">
        <f t="shared" ca="1" si="1217"/>
        <v>'0'!A42</v>
      </c>
      <c r="K4279" s="15" t="str">
        <f t="shared" ca="1" si="1218"/>
        <v>'0'!B42</v>
      </c>
    </row>
    <row r="4280" spans="1:16" x14ac:dyDescent="0.25">
      <c r="A4280" s="3" t="str">
        <f t="shared" ca="1" si="1219"/>
        <v/>
      </c>
      <c r="G4280" s="15">
        <f t="shared" ca="1" si="1209"/>
        <v>43</v>
      </c>
      <c r="H4280" s="15">
        <v>1</v>
      </c>
      <c r="I4280" s="15">
        <f t="shared" ca="1" si="1210"/>
        <v>0</v>
      </c>
      <c r="J4280" s="15" t="str">
        <f t="shared" ca="1" si="1217"/>
        <v>'0'!A43</v>
      </c>
      <c r="K4280" s="15" t="str">
        <f t="shared" ca="1" si="1218"/>
        <v>'0'!B43</v>
      </c>
    </row>
    <row r="4281" spans="1:16" x14ac:dyDescent="0.25">
      <c r="A4281" s="3" t="str">
        <f t="shared" ca="1" si="1219"/>
        <v/>
      </c>
      <c r="G4281" s="15">
        <f t="shared" ca="1" si="1209"/>
        <v>44</v>
      </c>
      <c r="H4281" s="15">
        <v>1</v>
      </c>
      <c r="I4281" s="15">
        <f t="shared" ca="1" si="1210"/>
        <v>0</v>
      </c>
      <c r="J4281" s="15" t="str">
        <f t="shared" ca="1" si="1217"/>
        <v>'0'!A44</v>
      </c>
      <c r="K4281" s="15" t="str">
        <f t="shared" ca="1" si="1218"/>
        <v>'0'!B44</v>
      </c>
    </row>
    <row r="4282" spans="1:16" x14ac:dyDescent="0.25">
      <c r="A4282" s="3" t="str">
        <f t="shared" ca="1" si="1219"/>
        <v/>
      </c>
      <c r="G4282" s="15">
        <f t="shared" ca="1" si="1209"/>
        <v>45</v>
      </c>
      <c r="H4282" s="15">
        <v>1</v>
      </c>
      <c r="I4282" s="15">
        <f t="shared" ca="1" si="1210"/>
        <v>0</v>
      </c>
      <c r="J4282" s="15" t="str">
        <f t="shared" ca="1" si="1217"/>
        <v>'0'!A45</v>
      </c>
      <c r="K4282" s="15" t="str">
        <f t="shared" ca="1" si="1218"/>
        <v>'0'!B45</v>
      </c>
    </row>
    <row r="4283" spans="1:16" x14ac:dyDescent="0.25">
      <c r="A4283" s="3" t="str">
        <f t="shared" ca="1" si="1219"/>
        <v/>
      </c>
      <c r="G4283" s="15">
        <f t="shared" ca="1" si="1209"/>
        <v>46</v>
      </c>
      <c r="H4283" s="15">
        <v>1</v>
      </c>
      <c r="I4283" s="15">
        <f t="shared" ca="1" si="1210"/>
        <v>0</v>
      </c>
      <c r="J4283" s="15" t="str">
        <f t="shared" ca="1" si="1217"/>
        <v>'0'!A46</v>
      </c>
      <c r="K4283" s="15" t="str">
        <f t="shared" ca="1" si="1218"/>
        <v>'0'!B46</v>
      </c>
    </row>
    <row r="4284" spans="1:16" x14ac:dyDescent="0.25">
      <c r="A4284" s="3" t="str">
        <f t="shared" ca="1" si="1219"/>
        <v/>
      </c>
      <c r="G4284" s="15">
        <f t="shared" ca="1" si="1209"/>
        <v>47</v>
      </c>
      <c r="H4284" s="15">
        <v>1</v>
      </c>
      <c r="I4284" s="15">
        <f t="shared" ca="1" si="1210"/>
        <v>0</v>
      </c>
      <c r="J4284" s="15" t="str">
        <f t="shared" ca="1" si="1217"/>
        <v>'0'!A47</v>
      </c>
      <c r="K4284" s="15" t="str">
        <f t="shared" ca="1" si="1218"/>
        <v>'0'!B47</v>
      </c>
    </row>
    <row r="4285" spans="1:16" x14ac:dyDescent="0.25">
      <c r="A4285" s="3" t="str">
        <f t="shared" ca="1" si="1219"/>
        <v/>
      </c>
      <c r="G4285" s="15">
        <f t="shared" ca="1" si="1209"/>
        <v>48</v>
      </c>
      <c r="H4285" s="15">
        <v>1</v>
      </c>
      <c r="I4285" s="15">
        <f t="shared" ca="1" si="1210"/>
        <v>0</v>
      </c>
      <c r="J4285" s="15" t="str">
        <f t="shared" ca="1" si="1217"/>
        <v>'0'!A48</v>
      </c>
      <c r="K4285" s="15" t="str">
        <f t="shared" ca="1" si="1218"/>
        <v>'0'!B48</v>
      </c>
    </row>
    <row r="4286" spans="1:16" x14ac:dyDescent="0.25">
      <c r="A4286" s="3" t="str">
        <f t="shared" ca="1" si="1219"/>
        <v/>
      </c>
      <c r="G4286" s="15">
        <f t="shared" ca="1" si="1209"/>
        <v>49</v>
      </c>
      <c r="H4286" s="15">
        <v>1</v>
      </c>
      <c r="I4286" s="15">
        <f t="shared" ca="1" si="1210"/>
        <v>0</v>
      </c>
      <c r="J4286" s="15" t="str">
        <f t="shared" ca="1" si="1217"/>
        <v>'0'!A49</v>
      </c>
      <c r="K4286" s="15" t="str">
        <f t="shared" ca="1" si="1218"/>
        <v>'0'!B49</v>
      </c>
    </row>
    <row r="4287" spans="1:16" x14ac:dyDescent="0.25">
      <c r="A4287" s="3" t="str">
        <f t="shared" ca="1" si="1219"/>
        <v/>
      </c>
      <c r="G4287" s="15">
        <f t="shared" ca="1" si="1209"/>
        <v>50</v>
      </c>
      <c r="H4287" s="15">
        <v>1</v>
      </c>
      <c r="I4287" s="15">
        <f t="shared" ca="1" si="1210"/>
        <v>0</v>
      </c>
      <c r="J4287" s="15" t="str">
        <f t="shared" ca="1" si="1217"/>
        <v>'0'!A50</v>
      </c>
      <c r="K4287" s="15" t="str">
        <f t="shared" ca="1" si="1218"/>
        <v>'0'!B50</v>
      </c>
    </row>
    <row r="4288" spans="1:16" x14ac:dyDescent="0.25">
      <c r="A4288" s="3" t="str">
        <f t="shared" ca="1" si="1219"/>
        <v/>
      </c>
      <c r="G4288" s="15">
        <f t="shared" ref="G4288" ca="1" si="1226">INDIRECT(M4288)</f>
        <v>31</v>
      </c>
      <c r="H4288" s="15">
        <v>1</v>
      </c>
      <c r="I4288" s="15">
        <f t="shared" ref="I4288" ca="1" si="1227">INDIRECT(N4288)</f>
        <v>0</v>
      </c>
      <c r="J4288" s="15" t="str">
        <f t="shared" ca="1" si="1217"/>
        <v>'0'!A31</v>
      </c>
      <c r="K4288" s="15" t="str">
        <f t="shared" ca="1" si="1218"/>
        <v>'0'!B31</v>
      </c>
      <c r="M4288" s="15" t="str">
        <f t="shared" ref="M4288" si="1228">ADDRESS(O4288,3,4,1,$R$1)</f>
        <v>konfig!C216</v>
      </c>
      <c r="N4288" s="15" t="str">
        <f t="shared" ref="N4288" si="1229">ADDRESS(O4288,1,4,1,$R$1)</f>
        <v>konfig!A216</v>
      </c>
      <c r="O4288" s="15">
        <v>216</v>
      </c>
      <c r="P4288" s="15">
        <v>4</v>
      </c>
    </row>
    <row r="4289" spans="1:11" x14ac:dyDescent="0.25">
      <c r="A4289" s="3" t="str">
        <f t="shared" ca="1" si="1219"/>
        <v/>
      </c>
      <c r="G4289" s="15">
        <f t="shared" ca="1" si="1215"/>
        <v>32</v>
      </c>
      <c r="H4289" s="15">
        <v>1</v>
      </c>
      <c r="I4289" s="15">
        <f t="shared" ca="1" si="1216"/>
        <v>0</v>
      </c>
      <c r="J4289" s="15" t="str">
        <f t="shared" ca="1" si="1217"/>
        <v>'0'!A32</v>
      </c>
      <c r="K4289" s="15" t="str">
        <f t="shared" ca="1" si="1218"/>
        <v>'0'!B32</v>
      </c>
    </row>
    <row r="4290" spans="1:11" x14ac:dyDescent="0.25">
      <c r="A4290" s="3" t="str">
        <f t="shared" ca="1" si="1219"/>
        <v/>
      </c>
      <c r="G4290" s="15">
        <f t="shared" ca="1" si="1215"/>
        <v>33</v>
      </c>
      <c r="H4290" s="15">
        <v>1</v>
      </c>
      <c r="I4290" s="15">
        <f t="shared" ca="1" si="1216"/>
        <v>0</v>
      </c>
      <c r="J4290" s="15" t="str">
        <f t="shared" ca="1" si="1217"/>
        <v>'0'!A33</v>
      </c>
      <c r="K4290" s="15" t="str">
        <f t="shared" ca="1" si="1218"/>
        <v>'0'!B33</v>
      </c>
    </row>
    <row r="4291" spans="1:11" x14ac:dyDescent="0.25">
      <c r="A4291" s="3" t="str">
        <f t="shared" ca="1" si="1219"/>
        <v/>
      </c>
      <c r="C4291" s="16"/>
      <c r="G4291" s="15">
        <f t="shared" ca="1" si="1215"/>
        <v>34</v>
      </c>
      <c r="H4291" s="15">
        <v>1</v>
      </c>
      <c r="I4291" s="15">
        <f t="shared" ca="1" si="1216"/>
        <v>0</v>
      </c>
      <c r="J4291" s="15" t="str">
        <f t="shared" ca="1" si="1217"/>
        <v>'0'!A34</v>
      </c>
      <c r="K4291" s="15" t="str">
        <f t="shared" ca="1" si="1218"/>
        <v>'0'!B34</v>
      </c>
    </row>
    <row r="4292" spans="1:11" x14ac:dyDescent="0.25">
      <c r="A4292" s="3" t="str">
        <f t="shared" ca="1" si="1219"/>
        <v/>
      </c>
      <c r="G4292" s="15">
        <f t="shared" ca="1" si="1215"/>
        <v>35</v>
      </c>
      <c r="H4292" s="15">
        <v>1</v>
      </c>
      <c r="I4292" s="15">
        <f t="shared" ca="1" si="1216"/>
        <v>0</v>
      </c>
      <c r="J4292" s="15" t="str">
        <f t="shared" ca="1" si="1217"/>
        <v>'0'!A35</v>
      </c>
      <c r="K4292" s="15" t="str">
        <f t="shared" ca="1" si="1218"/>
        <v>'0'!B35</v>
      </c>
    </row>
    <row r="4293" spans="1:11" x14ac:dyDescent="0.25">
      <c r="A4293" s="3" t="str">
        <f t="shared" ca="1" si="1219"/>
        <v/>
      </c>
      <c r="G4293" s="15">
        <f t="shared" ca="1" si="1209"/>
        <v>36</v>
      </c>
      <c r="H4293" s="15">
        <v>1</v>
      </c>
      <c r="I4293" s="15">
        <f t="shared" ca="1" si="1210"/>
        <v>0</v>
      </c>
      <c r="J4293" s="15" t="str">
        <f t="shared" ca="1" si="1217"/>
        <v>'0'!A36</v>
      </c>
      <c r="K4293" s="15" t="str">
        <f t="shared" ca="1" si="1218"/>
        <v>'0'!B36</v>
      </c>
    </row>
    <row r="4294" spans="1:11" x14ac:dyDescent="0.25">
      <c r="A4294" s="3" t="str">
        <f t="shared" ca="1" si="1219"/>
        <v/>
      </c>
      <c r="G4294" s="15">
        <f t="shared" ca="1" si="1209"/>
        <v>37</v>
      </c>
      <c r="H4294" s="15">
        <v>1</v>
      </c>
      <c r="I4294" s="15">
        <f t="shared" ca="1" si="1210"/>
        <v>0</v>
      </c>
      <c r="J4294" s="15" t="str">
        <f t="shared" ca="1" si="1217"/>
        <v>'0'!A37</v>
      </c>
      <c r="K4294" s="15" t="str">
        <f t="shared" ca="1" si="1218"/>
        <v>'0'!B37</v>
      </c>
    </row>
    <row r="4295" spans="1:11" x14ac:dyDescent="0.25">
      <c r="A4295" s="3" t="str">
        <f t="shared" ca="1" si="1219"/>
        <v/>
      </c>
      <c r="G4295" s="15">
        <f t="shared" ca="1" si="1209"/>
        <v>38</v>
      </c>
      <c r="H4295" s="15">
        <v>1</v>
      </c>
      <c r="I4295" s="15">
        <f t="shared" ca="1" si="1210"/>
        <v>0</v>
      </c>
      <c r="J4295" s="15" t="str">
        <f t="shared" ca="1" si="1217"/>
        <v>'0'!A38</v>
      </c>
      <c r="K4295" s="15" t="str">
        <f t="shared" ca="1" si="1218"/>
        <v>'0'!B38</v>
      </c>
    </row>
    <row r="4296" spans="1:11" x14ac:dyDescent="0.25">
      <c r="A4296" s="3" t="str">
        <f t="shared" ca="1" si="1219"/>
        <v/>
      </c>
      <c r="G4296" s="15">
        <f t="shared" ca="1" si="1209"/>
        <v>39</v>
      </c>
      <c r="H4296" s="15">
        <v>1</v>
      </c>
      <c r="I4296" s="15">
        <f t="shared" ca="1" si="1210"/>
        <v>0</v>
      </c>
      <c r="J4296" s="15" t="str">
        <f t="shared" ca="1" si="1217"/>
        <v>'0'!A39</v>
      </c>
      <c r="K4296" s="15" t="str">
        <f t="shared" ca="1" si="1218"/>
        <v>'0'!B39</v>
      </c>
    </row>
    <row r="4297" spans="1:11" x14ac:dyDescent="0.25">
      <c r="A4297" s="3" t="str">
        <f t="shared" ca="1" si="1219"/>
        <v/>
      </c>
      <c r="G4297" s="15">
        <f t="shared" ref="G4297:G4360" ca="1" si="1230">G4296+1</f>
        <v>40</v>
      </c>
      <c r="H4297" s="15">
        <v>1</v>
      </c>
      <c r="I4297" s="15">
        <f t="shared" ref="I4297:I4360" ca="1" si="1231">I4296</f>
        <v>0</v>
      </c>
      <c r="J4297" s="15" t="str">
        <f t="shared" ca="1" si="1217"/>
        <v>'0'!A40</v>
      </c>
      <c r="K4297" s="15" t="str">
        <f t="shared" ca="1" si="1218"/>
        <v>'0'!B40</v>
      </c>
    </row>
    <row r="4298" spans="1:11" x14ac:dyDescent="0.25">
      <c r="A4298" s="3" t="str">
        <f t="shared" ca="1" si="1219"/>
        <v/>
      </c>
      <c r="G4298" s="15">
        <f t="shared" ca="1" si="1230"/>
        <v>41</v>
      </c>
      <c r="H4298" s="15">
        <v>1</v>
      </c>
      <c r="I4298" s="15">
        <f t="shared" ca="1" si="1231"/>
        <v>0</v>
      </c>
      <c r="J4298" s="15" t="str">
        <f t="shared" ca="1" si="1217"/>
        <v>'0'!A41</v>
      </c>
      <c r="K4298" s="15" t="str">
        <f t="shared" ca="1" si="1218"/>
        <v>'0'!B41</v>
      </c>
    </row>
    <row r="4299" spans="1:11" x14ac:dyDescent="0.25">
      <c r="A4299" s="3" t="str">
        <f t="shared" ca="1" si="1219"/>
        <v/>
      </c>
      <c r="C4299" s="16"/>
      <c r="G4299" s="15">
        <f t="shared" ca="1" si="1230"/>
        <v>42</v>
      </c>
      <c r="H4299" s="15">
        <v>1</v>
      </c>
      <c r="I4299" s="15">
        <f t="shared" ca="1" si="1231"/>
        <v>0</v>
      </c>
      <c r="J4299" s="15" t="str">
        <f t="shared" ca="1" si="1217"/>
        <v>'0'!A42</v>
      </c>
      <c r="K4299" s="15" t="str">
        <f t="shared" ca="1" si="1218"/>
        <v>'0'!B42</v>
      </c>
    </row>
    <row r="4300" spans="1:11" x14ac:dyDescent="0.25">
      <c r="A4300" s="3" t="str">
        <f t="shared" ca="1" si="1219"/>
        <v/>
      </c>
      <c r="G4300" s="15">
        <f t="shared" ca="1" si="1230"/>
        <v>43</v>
      </c>
      <c r="H4300" s="15">
        <v>1</v>
      </c>
      <c r="I4300" s="15">
        <f t="shared" ca="1" si="1231"/>
        <v>0</v>
      </c>
      <c r="J4300" s="15" t="str">
        <f t="shared" ca="1" si="1217"/>
        <v>'0'!A43</v>
      </c>
      <c r="K4300" s="15" t="str">
        <f t="shared" ca="1" si="1218"/>
        <v>'0'!B43</v>
      </c>
    </row>
    <row r="4301" spans="1:11" x14ac:dyDescent="0.25">
      <c r="A4301" s="3" t="str">
        <f t="shared" ca="1" si="1219"/>
        <v/>
      </c>
      <c r="G4301" s="15">
        <f t="shared" ca="1" si="1230"/>
        <v>44</v>
      </c>
      <c r="H4301" s="15">
        <v>1</v>
      </c>
      <c r="I4301" s="15">
        <f t="shared" ca="1" si="1231"/>
        <v>0</v>
      </c>
      <c r="J4301" s="15" t="str">
        <f t="shared" ca="1" si="1217"/>
        <v>'0'!A44</v>
      </c>
      <c r="K4301" s="15" t="str">
        <f t="shared" ca="1" si="1218"/>
        <v>'0'!B44</v>
      </c>
    </row>
    <row r="4302" spans="1:11" x14ac:dyDescent="0.25">
      <c r="A4302" s="3" t="str">
        <f t="shared" ca="1" si="1219"/>
        <v/>
      </c>
      <c r="G4302" s="15">
        <f t="shared" ca="1" si="1230"/>
        <v>45</v>
      </c>
      <c r="H4302" s="15">
        <v>1</v>
      </c>
      <c r="I4302" s="15">
        <f t="shared" ca="1" si="1231"/>
        <v>0</v>
      </c>
      <c r="J4302" s="15" t="str">
        <f t="shared" ca="1" si="1217"/>
        <v>'0'!A45</v>
      </c>
      <c r="K4302" s="15" t="str">
        <f t="shared" ca="1" si="1218"/>
        <v>'0'!B45</v>
      </c>
    </row>
    <row r="4303" spans="1:11" x14ac:dyDescent="0.25">
      <c r="A4303" s="3" t="str">
        <f t="shared" ca="1" si="1219"/>
        <v/>
      </c>
      <c r="G4303" s="15">
        <f t="shared" ca="1" si="1230"/>
        <v>46</v>
      </c>
      <c r="H4303" s="15">
        <v>1</v>
      </c>
      <c r="I4303" s="15">
        <f t="shared" ca="1" si="1231"/>
        <v>0</v>
      </c>
      <c r="J4303" s="15" t="str">
        <f t="shared" ca="1" si="1217"/>
        <v>'0'!A46</v>
      </c>
      <c r="K4303" s="15" t="str">
        <f t="shared" ca="1" si="1218"/>
        <v>'0'!B46</v>
      </c>
    </row>
    <row r="4304" spans="1:11" x14ac:dyDescent="0.25">
      <c r="A4304" s="3" t="str">
        <f t="shared" ca="1" si="1219"/>
        <v/>
      </c>
      <c r="G4304" s="15">
        <f t="shared" ca="1" si="1230"/>
        <v>47</v>
      </c>
      <c r="H4304" s="15">
        <v>1</v>
      </c>
      <c r="I4304" s="15">
        <f t="shared" ca="1" si="1231"/>
        <v>0</v>
      </c>
      <c r="J4304" s="15" t="str">
        <f t="shared" ca="1" si="1217"/>
        <v>'0'!A47</v>
      </c>
      <c r="K4304" s="15" t="str">
        <f t="shared" ca="1" si="1218"/>
        <v>'0'!B47</v>
      </c>
    </row>
    <row r="4305" spans="1:16" x14ac:dyDescent="0.25">
      <c r="A4305" s="3" t="str">
        <f t="shared" ca="1" si="1219"/>
        <v/>
      </c>
      <c r="G4305" s="15">
        <f t="shared" ca="1" si="1230"/>
        <v>48</v>
      </c>
      <c r="H4305" s="15">
        <v>1</v>
      </c>
      <c r="I4305" s="15">
        <f t="shared" ca="1" si="1231"/>
        <v>0</v>
      </c>
      <c r="J4305" s="15" t="str">
        <f t="shared" ca="1" si="1217"/>
        <v>'0'!A48</v>
      </c>
      <c r="K4305" s="15" t="str">
        <f t="shared" ca="1" si="1218"/>
        <v>'0'!B48</v>
      </c>
    </row>
    <row r="4306" spans="1:16" x14ac:dyDescent="0.25">
      <c r="A4306" s="3" t="str">
        <f t="shared" ca="1" si="1219"/>
        <v/>
      </c>
      <c r="G4306" s="15">
        <f t="shared" ca="1" si="1230"/>
        <v>49</v>
      </c>
      <c r="H4306" s="15">
        <v>1</v>
      </c>
      <c r="I4306" s="15">
        <f t="shared" ca="1" si="1231"/>
        <v>0</v>
      </c>
      <c r="J4306" s="15" t="str">
        <f t="shared" ca="1" si="1217"/>
        <v>'0'!A49</v>
      </c>
      <c r="K4306" s="15" t="str">
        <f t="shared" ca="1" si="1218"/>
        <v>'0'!B49</v>
      </c>
    </row>
    <row r="4307" spans="1:16" x14ac:dyDescent="0.25">
      <c r="A4307" s="3" t="str">
        <f t="shared" ca="1" si="1219"/>
        <v/>
      </c>
      <c r="G4307" s="15">
        <f t="shared" ca="1" si="1230"/>
        <v>50</v>
      </c>
      <c r="H4307" s="15">
        <v>1</v>
      </c>
      <c r="I4307" s="15">
        <f t="shared" ca="1" si="1231"/>
        <v>0</v>
      </c>
      <c r="J4307" s="15" t="str">
        <f t="shared" ca="1" si="1217"/>
        <v>'0'!A50</v>
      </c>
      <c r="K4307" s="15" t="str">
        <f t="shared" ca="1" si="1218"/>
        <v>'0'!B50</v>
      </c>
    </row>
    <row r="4308" spans="1:16" x14ac:dyDescent="0.25">
      <c r="A4308" s="3" t="str">
        <f t="shared" ca="1" si="1219"/>
        <v/>
      </c>
      <c r="G4308" s="15">
        <f t="shared" ref="G4308" ca="1" si="1232">INDIRECT(M4308)</f>
        <v>31</v>
      </c>
      <c r="H4308" s="15">
        <v>1</v>
      </c>
      <c r="I4308" s="15">
        <f t="shared" ref="I4308" ca="1" si="1233">INDIRECT(N4308)</f>
        <v>0</v>
      </c>
      <c r="J4308" s="15" t="str">
        <f t="shared" ca="1" si="1217"/>
        <v>'0'!A31</v>
      </c>
      <c r="K4308" s="15" t="str">
        <f t="shared" ca="1" si="1218"/>
        <v>'0'!B31</v>
      </c>
      <c r="M4308" s="15" t="str">
        <f t="shared" ref="M4308" si="1234">ADDRESS(O4308,3,4,1,$R$1)</f>
        <v>konfig!C217</v>
      </c>
      <c r="N4308" s="15" t="str">
        <f t="shared" ref="N4308" si="1235">ADDRESS(O4308,1,4,1,$R$1)</f>
        <v>konfig!A217</v>
      </c>
      <c r="O4308" s="15">
        <v>217</v>
      </c>
      <c r="P4308" s="15">
        <v>4</v>
      </c>
    </row>
    <row r="4309" spans="1:16" x14ac:dyDescent="0.25">
      <c r="A4309" s="3" t="str">
        <f t="shared" ca="1" si="1219"/>
        <v/>
      </c>
      <c r="G4309" s="15">
        <f t="shared" ca="1" si="1224"/>
        <v>32</v>
      </c>
      <c r="H4309" s="15">
        <v>1</v>
      </c>
      <c r="I4309" s="15">
        <f t="shared" ca="1" si="1225"/>
        <v>0</v>
      </c>
      <c r="J4309" s="15" t="str">
        <f t="shared" ca="1" si="1217"/>
        <v>'0'!A32</v>
      </c>
      <c r="K4309" s="15" t="str">
        <f t="shared" ca="1" si="1218"/>
        <v>'0'!B32</v>
      </c>
    </row>
    <row r="4310" spans="1:16" x14ac:dyDescent="0.25">
      <c r="A4310" s="3" t="str">
        <f t="shared" ca="1" si="1219"/>
        <v/>
      </c>
      <c r="G4310" s="15">
        <f t="shared" ca="1" si="1230"/>
        <v>33</v>
      </c>
      <c r="H4310" s="15">
        <v>1</v>
      </c>
      <c r="I4310" s="15">
        <f t="shared" ca="1" si="1231"/>
        <v>0</v>
      </c>
      <c r="J4310" s="15" t="str">
        <f t="shared" ca="1" si="1217"/>
        <v>'0'!A33</v>
      </c>
      <c r="K4310" s="15" t="str">
        <f t="shared" ca="1" si="1218"/>
        <v>'0'!B33</v>
      </c>
    </row>
    <row r="4311" spans="1:16" x14ac:dyDescent="0.25">
      <c r="A4311" s="3" t="str">
        <f t="shared" ca="1" si="1219"/>
        <v/>
      </c>
      <c r="C4311" s="16"/>
      <c r="G4311" s="15">
        <f t="shared" ca="1" si="1230"/>
        <v>34</v>
      </c>
      <c r="H4311" s="15">
        <v>1</v>
      </c>
      <c r="I4311" s="15">
        <f t="shared" ca="1" si="1231"/>
        <v>0</v>
      </c>
      <c r="J4311" s="15" t="str">
        <f t="shared" ca="1" si="1217"/>
        <v>'0'!A34</v>
      </c>
      <c r="K4311" s="15" t="str">
        <f t="shared" ca="1" si="1218"/>
        <v>'0'!B34</v>
      </c>
    </row>
    <row r="4312" spans="1:16" x14ac:dyDescent="0.25">
      <c r="A4312" s="3" t="str">
        <f t="shared" ca="1" si="1219"/>
        <v/>
      </c>
      <c r="G4312" s="15">
        <f t="shared" ca="1" si="1230"/>
        <v>35</v>
      </c>
      <c r="H4312" s="15">
        <v>1</v>
      </c>
      <c r="I4312" s="15">
        <f t="shared" ca="1" si="1231"/>
        <v>0</v>
      </c>
      <c r="J4312" s="15" t="str">
        <f t="shared" ca="1" si="1217"/>
        <v>'0'!A35</v>
      </c>
      <c r="K4312" s="15" t="str">
        <f t="shared" ca="1" si="1218"/>
        <v>'0'!B35</v>
      </c>
    </row>
    <row r="4313" spans="1:16" x14ac:dyDescent="0.25">
      <c r="A4313" s="3" t="str">
        <f t="shared" ca="1" si="1219"/>
        <v/>
      </c>
      <c r="G4313" s="15">
        <f t="shared" ca="1" si="1230"/>
        <v>36</v>
      </c>
      <c r="H4313" s="15">
        <v>1</v>
      </c>
      <c r="I4313" s="15">
        <f t="shared" ca="1" si="1231"/>
        <v>0</v>
      </c>
      <c r="J4313" s="15" t="str">
        <f t="shared" ca="1" si="1217"/>
        <v>'0'!A36</v>
      </c>
      <c r="K4313" s="15" t="str">
        <f t="shared" ca="1" si="1218"/>
        <v>'0'!B36</v>
      </c>
    </row>
    <row r="4314" spans="1:16" x14ac:dyDescent="0.25">
      <c r="A4314" s="3" t="str">
        <f t="shared" ca="1" si="1219"/>
        <v/>
      </c>
      <c r="G4314" s="15">
        <f t="shared" ca="1" si="1230"/>
        <v>37</v>
      </c>
      <c r="H4314" s="15">
        <v>1</v>
      </c>
      <c r="I4314" s="15">
        <f t="shared" ca="1" si="1231"/>
        <v>0</v>
      </c>
      <c r="J4314" s="15" t="str">
        <f t="shared" ca="1" si="1217"/>
        <v>'0'!A37</v>
      </c>
      <c r="K4314" s="15" t="str">
        <f t="shared" ca="1" si="1218"/>
        <v>'0'!B37</v>
      </c>
    </row>
    <row r="4315" spans="1:16" x14ac:dyDescent="0.25">
      <c r="A4315" s="3" t="str">
        <f t="shared" ca="1" si="1219"/>
        <v/>
      </c>
      <c r="G4315" s="15">
        <f t="shared" ca="1" si="1230"/>
        <v>38</v>
      </c>
      <c r="H4315" s="15">
        <v>1</v>
      </c>
      <c r="I4315" s="15">
        <f t="shared" ca="1" si="1231"/>
        <v>0</v>
      </c>
      <c r="J4315" s="15" t="str">
        <f t="shared" ca="1" si="1217"/>
        <v>'0'!A38</v>
      </c>
      <c r="K4315" s="15" t="str">
        <f t="shared" ca="1" si="1218"/>
        <v>'0'!B38</v>
      </c>
    </row>
    <row r="4316" spans="1:16" x14ac:dyDescent="0.25">
      <c r="A4316" s="3" t="str">
        <f t="shared" ca="1" si="1219"/>
        <v/>
      </c>
      <c r="G4316" s="15">
        <f t="shared" ca="1" si="1230"/>
        <v>39</v>
      </c>
      <c r="H4316" s="15">
        <v>1</v>
      </c>
      <c r="I4316" s="15">
        <f t="shared" ca="1" si="1231"/>
        <v>0</v>
      </c>
      <c r="J4316" s="15" t="str">
        <f t="shared" ca="1" si="1217"/>
        <v>'0'!A39</v>
      </c>
      <c r="K4316" s="15" t="str">
        <f t="shared" ca="1" si="1218"/>
        <v>'0'!B39</v>
      </c>
    </row>
    <row r="4317" spans="1:16" x14ac:dyDescent="0.25">
      <c r="A4317" s="3" t="str">
        <f t="shared" ca="1" si="1219"/>
        <v/>
      </c>
      <c r="G4317" s="15">
        <f t="shared" ca="1" si="1230"/>
        <v>40</v>
      </c>
      <c r="H4317" s="15">
        <v>1</v>
      </c>
      <c r="I4317" s="15">
        <f t="shared" ca="1" si="1231"/>
        <v>0</v>
      </c>
      <c r="J4317" s="15" t="str">
        <f t="shared" ca="1" si="1217"/>
        <v>'0'!A40</v>
      </c>
      <c r="K4317" s="15" t="str">
        <f t="shared" ca="1" si="1218"/>
        <v>'0'!B40</v>
      </c>
    </row>
    <row r="4318" spans="1:16" x14ac:dyDescent="0.25">
      <c r="A4318" s="3" t="str">
        <f t="shared" ca="1" si="1219"/>
        <v/>
      </c>
      <c r="G4318" s="15">
        <f t="shared" ca="1" si="1230"/>
        <v>41</v>
      </c>
      <c r="H4318" s="15">
        <v>1</v>
      </c>
      <c r="I4318" s="15">
        <f t="shared" ca="1" si="1231"/>
        <v>0</v>
      </c>
      <c r="J4318" s="15" t="str">
        <f t="shared" ca="1" si="1217"/>
        <v>'0'!A41</v>
      </c>
      <c r="K4318" s="15" t="str">
        <f t="shared" ca="1" si="1218"/>
        <v>'0'!B41</v>
      </c>
    </row>
    <row r="4319" spans="1:16" x14ac:dyDescent="0.25">
      <c r="A4319" s="3" t="str">
        <f t="shared" ca="1" si="1219"/>
        <v/>
      </c>
      <c r="C4319" s="16"/>
      <c r="G4319" s="15">
        <f t="shared" ca="1" si="1230"/>
        <v>42</v>
      </c>
      <c r="H4319" s="15">
        <v>1</v>
      </c>
      <c r="I4319" s="15">
        <f t="shared" ca="1" si="1231"/>
        <v>0</v>
      </c>
      <c r="J4319" s="15" t="str">
        <f t="shared" ca="1" si="1217"/>
        <v>'0'!A42</v>
      </c>
      <c r="K4319" s="15" t="str">
        <f t="shared" ca="1" si="1218"/>
        <v>'0'!B42</v>
      </c>
    </row>
    <row r="4320" spans="1:16" x14ac:dyDescent="0.25">
      <c r="A4320" s="3" t="str">
        <f t="shared" ca="1" si="1219"/>
        <v/>
      </c>
      <c r="G4320" s="15">
        <f t="shared" ca="1" si="1230"/>
        <v>43</v>
      </c>
      <c r="H4320" s="15">
        <v>1</v>
      </c>
      <c r="I4320" s="15">
        <f t="shared" ca="1" si="1231"/>
        <v>0</v>
      </c>
      <c r="J4320" s="15" t="str">
        <f t="shared" ca="1" si="1217"/>
        <v>'0'!A43</v>
      </c>
      <c r="K4320" s="15" t="str">
        <f t="shared" ca="1" si="1218"/>
        <v>'0'!B43</v>
      </c>
    </row>
    <row r="4321" spans="1:16" x14ac:dyDescent="0.25">
      <c r="A4321" s="3" t="str">
        <f t="shared" ca="1" si="1219"/>
        <v/>
      </c>
      <c r="G4321" s="15">
        <f t="shared" ca="1" si="1230"/>
        <v>44</v>
      </c>
      <c r="H4321" s="15">
        <v>1</v>
      </c>
      <c r="I4321" s="15">
        <f t="shared" ca="1" si="1231"/>
        <v>0</v>
      </c>
      <c r="J4321" s="15" t="str">
        <f t="shared" ca="1" si="1217"/>
        <v>'0'!A44</v>
      </c>
      <c r="K4321" s="15" t="str">
        <f t="shared" ca="1" si="1218"/>
        <v>'0'!B44</v>
      </c>
    </row>
    <row r="4322" spans="1:16" x14ac:dyDescent="0.25">
      <c r="A4322" s="3" t="str">
        <f t="shared" ca="1" si="1219"/>
        <v/>
      </c>
      <c r="G4322" s="15">
        <f t="shared" ca="1" si="1230"/>
        <v>45</v>
      </c>
      <c r="H4322" s="15">
        <v>1</v>
      </c>
      <c r="I4322" s="15">
        <f t="shared" ca="1" si="1231"/>
        <v>0</v>
      </c>
      <c r="J4322" s="15" t="str">
        <f t="shared" ca="1" si="1217"/>
        <v>'0'!A45</v>
      </c>
      <c r="K4322" s="15" t="str">
        <f t="shared" ca="1" si="1218"/>
        <v>'0'!B45</v>
      </c>
    </row>
    <row r="4323" spans="1:16" x14ac:dyDescent="0.25">
      <c r="A4323" s="3" t="str">
        <f t="shared" ca="1" si="1219"/>
        <v/>
      </c>
      <c r="G4323" s="15">
        <f t="shared" ca="1" si="1230"/>
        <v>46</v>
      </c>
      <c r="H4323" s="15">
        <v>1</v>
      </c>
      <c r="I4323" s="15">
        <f t="shared" ca="1" si="1231"/>
        <v>0</v>
      </c>
      <c r="J4323" s="15" t="str">
        <f t="shared" ca="1" si="1217"/>
        <v>'0'!A46</v>
      </c>
      <c r="K4323" s="15" t="str">
        <f t="shared" ca="1" si="1218"/>
        <v>'0'!B46</v>
      </c>
    </row>
    <row r="4324" spans="1:16" x14ac:dyDescent="0.25">
      <c r="A4324" s="3" t="str">
        <f t="shared" ca="1" si="1219"/>
        <v/>
      </c>
      <c r="G4324" s="15">
        <f t="shared" ca="1" si="1230"/>
        <v>47</v>
      </c>
      <c r="H4324" s="15">
        <v>1</v>
      </c>
      <c r="I4324" s="15">
        <f t="shared" ca="1" si="1231"/>
        <v>0</v>
      </c>
      <c r="J4324" s="15" t="str">
        <f t="shared" ref="J4324:J4387" ca="1" si="1236">ADDRESS(G4324,H4324,4,1,I4324)</f>
        <v>'0'!A47</v>
      </c>
      <c r="K4324" s="15" t="str">
        <f t="shared" ref="K4324:K4387" ca="1" si="1237">ADDRESS(G4324,H4324+1,4,1,I4324)</f>
        <v>'0'!B47</v>
      </c>
    </row>
    <row r="4325" spans="1:16" x14ac:dyDescent="0.25">
      <c r="A4325" s="3" t="str">
        <f t="shared" ca="1" si="1219"/>
        <v/>
      </c>
      <c r="G4325" s="15">
        <f t="shared" ca="1" si="1230"/>
        <v>48</v>
      </c>
      <c r="H4325" s="15">
        <v>1</v>
      </c>
      <c r="I4325" s="15">
        <f t="shared" ca="1" si="1231"/>
        <v>0</v>
      </c>
      <c r="J4325" s="15" t="str">
        <f t="shared" ca="1" si="1236"/>
        <v>'0'!A48</v>
      </c>
      <c r="K4325" s="15" t="str">
        <f t="shared" ca="1" si="1237"/>
        <v>'0'!B48</v>
      </c>
    </row>
    <row r="4326" spans="1:16" x14ac:dyDescent="0.25">
      <c r="A4326" s="3" t="str">
        <f t="shared" ca="1" si="1219"/>
        <v/>
      </c>
      <c r="G4326" s="15">
        <f t="shared" ca="1" si="1230"/>
        <v>49</v>
      </c>
      <c r="H4326" s="15">
        <v>1</v>
      </c>
      <c r="I4326" s="15">
        <f t="shared" ca="1" si="1231"/>
        <v>0</v>
      </c>
      <c r="J4326" s="15" t="str">
        <f t="shared" ca="1" si="1236"/>
        <v>'0'!A49</v>
      </c>
      <c r="K4326" s="15" t="str">
        <f t="shared" ca="1" si="1237"/>
        <v>'0'!B49</v>
      </c>
    </row>
    <row r="4327" spans="1:16" x14ac:dyDescent="0.25">
      <c r="A4327" s="3" t="str">
        <f t="shared" ca="1" si="1219"/>
        <v/>
      </c>
      <c r="G4327" s="15">
        <f t="shared" ca="1" si="1230"/>
        <v>50</v>
      </c>
      <c r="H4327" s="15">
        <v>1</v>
      </c>
      <c r="I4327" s="15">
        <f t="shared" ca="1" si="1231"/>
        <v>0</v>
      </c>
      <c r="J4327" s="15" t="str">
        <f t="shared" ca="1" si="1236"/>
        <v>'0'!A50</v>
      </c>
      <c r="K4327" s="15" t="str">
        <f t="shared" ca="1" si="1237"/>
        <v>'0'!B50</v>
      </c>
    </row>
    <row r="4328" spans="1:16" x14ac:dyDescent="0.25">
      <c r="A4328" s="3" t="str">
        <f t="shared" ca="1" si="1219"/>
        <v/>
      </c>
      <c r="G4328" s="15">
        <f t="shared" ref="G4328" ca="1" si="1238">INDIRECT(M4328)</f>
        <v>31</v>
      </c>
      <c r="H4328" s="15">
        <v>1</v>
      </c>
      <c r="I4328" s="15">
        <f t="shared" ref="I4328" ca="1" si="1239">INDIRECT(N4328)</f>
        <v>0</v>
      </c>
      <c r="J4328" s="15" t="str">
        <f t="shared" ca="1" si="1236"/>
        <v>'0'!A31</v>
      </c>
      <c r="K4328" s="15" t="str">
        <f t="shared" ca="1" si="1237"/>
        <v>'0'!B31</v>
      </c>
      <c r="M4328" s="15" t="str">
        <f t="shared" ref="M4328" si="1240">ADDRESS(O4328,3,4,1,$R$1)</f>
        <v>konfig!C218</v>
      </c>
      <c r="N4328" s="15" t="str">
        <f t="shared" ref="N4328" si="1241">ADDRESS(O4328,1,4,1,$R$1)</f>
        <v>konfig!A218</v>
      </c>
      <c r="O4328" s="15">
        <v>218</v>
      </c>
      <c r="P4328" s="15">
        <v>4</v>
      </c>
    </row>
    <row r="4329" spans="1:16" x14ac:dyDescent="0.25">
      <c r="A4329" s="3" t="str">
        <f t="shared" ca="1" si="1219"/>
        <v/>
      </c>
      <c r="G4329" s="15">
        <f t="shared" ref="G4329:G4372" ca="1" si="1242">G4328+1</f>
        <v>32</v>
      </c>
      <c r="H4329" s="15">
        <v>1</v>
      </c>
      <c r="I4329" s="15">
        <f t="shared" ref="I4329:I4372" ca="1" si="1243">I4328</f>
        <v>0</v>
      </c>
      <c r="J4329" s="15" t="str">
        <f t="shared" ca="1" si="1236"/>
        <v>'0'!A32</v>
      </c>
      <c r="K4329" s="15" t="str">
        <f t="shared" ca="1" si="1237"/>
        <v>'0'!B32</v>
      </c>
    </row>
    <row r="4330" spans="1:16" x14ac:dyDescent="0.25">
      <c r="A4330" s="3" t="str">
        <f t="shared" ca="1" si="1219"/>
        <v/>
      </c>
      <c r="G4330" s="15">
        <f t="shared" ca="1" si="1242"/>
        <v>33</v>
      </c>
      <c r="H4330" s="15">
        <v>1</v>
      </c>
      <c r="I4330" s="15">
        <f t="shared" ca="1" si="1243"/>
        <v>0</v>
      </c>
      <c r="J4330" s="15" t="str">
        <f t="shared" ca="1" si="1236"/>
        <v>'0'!A33</v>
      </c>
      <c r="K4330" s="15" t="str">
        <f t="shared" ca="1" si="1237"/>
        <v>'0'!B33</v>
      </c>
    </row>
    <row r="4331" spans="1:16" x14ac:dyDescent="0.25">
      <c r="A4331" s="3" t="str">
        <f t="shared" ca="1" si="1219"/>
        <v/>
      </c>
      <c r="C4331" s="16"/>
      <c r="G4331" s="15">
        <f t="shared" ca="1" si="1242"/>
        <v>34</v>
      </c>
      <c r="H4331" s="15">
        <v>1</v>
      </c>
      <c r="I4331" s="15">
        <f t="shared" ca="1" si="1243"/>
        <v>0</v>
      </c>
      <c r="J4331" s="15" t="str">
        <f t="shared" ca="1" si="1236"/>
        <v>'0'!A34</v>
      </c>
      <c r="K4331" s="15" t="str">
        <f t="shared" ca="1" si="1237"/>
        <v>'0'!B34</v>
      </c>
    </row>
    <row r="4332" spans="1:16" x14ac:dyDescent="0.25">
      <c r="A4332" s="3" t="str">
        <f t="shared" ref="A4332:A4395" ca="1" si="1244">IFERROR(IF(INDIRECT(J4332)&lt;&gt;"",CONCATENATE(INDIRECT(J4332)," = ",INDIRECT(K4332)," "),""),"")</f>
        <v/>
      </c>
      <c r="G4332" s="15">
        <f t="shared" ca="1" si="1242"/>
        <v>35</v>
      </c>
      <c r="H4332" s="15">
        <v>1</v>
      </c>
      <c r="I4332" s="15">
        <f t="shared" ca="1" si="1243"/>
        <v>0</v>
      </c>
      <c r="J4332" s="15" t="str">
        <f t="shared" ca="1" si="1236"/>
        <v>'0'!A35</v>
      </c>
      <c r="K4332" s="15" t="str">
        <f t="shared" ca="1" si="1237"/>
        <v>'0'!B35</v>
      </c>
    </row>
    <row r="4333" spans="1:16" x14ac:dyDescent="0.25">
      <c r="A4333" s="3" t="str">
        <f t="shared" ca="1" si="1244"/>
        <v/>
      </c>
      <c r="G4333" s="15">
        <f t="shared" ca="1" si="1230"/>
        <v>36</v>
      </c>
      <c r="H4333" s="15">
        <v>1</v>
      </c>
      <c r="I4333" s="15">
        <f t="shared" ca="1" si="1231"/>
        <v>0</v>
      </c>
      <c r="J4333" s="15" t="str">
        <f t="shared" ca="1" si="1236"/>
        <v>'0'!A36</v>
      </c>
      <c r="K4333" s="15" t="str">
        <f t="shared" ca="1" si="1237"/>
        <v>'0'!B36</v>
      </c>
    </row>
    <row r="4334" spans="1:16" x14ac:dyDescent="0.25">
      <c r="A4334" s="3" t="str">
        <f t="shared" ca="1" si="1244"/>
        <v/>
      </c>
      <c r="G4334" s="15">
        <f t="shared" ca="1" si="1230"/>
        <v>37</v>
      </c>
      <c r="H4334" s="15">
        <v>1</v>
      </c>
      <c r="I4334" s="15">
        <f t="shared" ca="1" si="1231"/>
        <v>0</v>
      </c>
      <c r="J4334" s="15" t="str">
        <f t="shared" ca="1" si="1236"/>
        <v>'0'!A37</v>
      </c>
      <c r="K4334" s="15" t="str">
        <f t="shared" ca="1" si="1237"/>
        <v>'0'!B37</v>
      </c>
    </row>
    <row r="4335" spans="1:16" x14ac:dyDescent="0.25">
      <c r="A4335" s="3" t="str">
        <f t="shared" ca="1" si="1244"/>
        <v/>
      </c>
      <c r="G4335" s="15">
        <f t="shared" ca="1" si="1230"/>
        <v>38</v>
      </c>
      <c r="H4335" s="15">
        <v>1</v>
      </c>
      <c r="I4335" s="15">
        <f t="shared" ca="1" si="1231"/>
        <v>0</v>
      </c>
      <c r="J4335" s="15" t="str">
        <f t="shared" ca="1" si="1236"/>
        <v>'0'!A38</v>
      </c>
      <c r="K4335" s="15" t="str">
        <f t="shared" ca="1" si="1237"/>
        <v>'0'!B38</v>
      </c>
    </row>
    <row r="4336" spans="1:16" x14ac:dyDescent="0.25">
      <c r="A4336" s="3" t="str">
        <f t="shared" ca="1" si="1244"/>
        <v/>
      </c>
      <c r="G4336" s="15">
        <f t="shared" ca="1" si="1230"/>
        <v>39</v>
      </c>
      <c r="H4336" s="15">
        <v>1</v>
      </c>
      <c r="I4336" s="15">
        <f t="shared" ca="1" si="1231"/>
        <v>0</v>
      </c>
      <c r="J4336" s="15" t="str">
        <f t="shared" ca="1" si="1236"/>
        <v>'0'!A39</v>
      </c>
      <c r="K4336" s="15" t="str">
        <f t="shared" ca="1" si="1237"/>
        <v>'0'!B39</v>
      </c>
    </row>
    <row r="4337" spans="1:16" x14ac:dyDescent="0.25">
      <c r="A4337" s="3" t="str">
        <f t="shared" ca="1" si="1244"/>
        <v/>
      </c>
      <c r="G4337" s="15">
        <f t="shared" ca="1" si="1230"/>
        <v>40</v>
      </c>
      <c r="H4337" s="15">
        <v>1</v>
      </c>
      <c r="I4337" s="15">
        <f t="shared" ca="1" si="1231"/>
        <v>0</v>
      </c>
      <c r="J4337" s="15" t="str">
        <f t="shared" ca="1" si="1236"/>
        <v>'0'!A40</v>
      </c>
      <c r="K4337" s="15" t="str">
        <f t="shared" ca="1" si="1237"/>
        <v>'0'!B40</v>
      </c>
    </row>
    <row r="4338" spans="1:16" x14ac:dyDescent="0.25">
      <c r="A4338" s="3" t="str">
        <f t="shared" ca="1" si="1244"/>
        <v/>
      </c>
      <c r="G4338" s="15">
        <f t="shared" ca="1" si="1230"/>
        <v>41</v>
      </c>
      <c r="H4338" s="15">
        <v>1</v>
      </c>
      <c r="I4338" s="15">
        <f t="shared" ca="1" si="1231"/>
        <v>0</v>
      </c>
      <c r="J4338" s="15" t="str">
        <f t="shared" ca="1" si="1236"/>
        <v>'0'!A41</v>
      </c>
      <c r="K4338" s="15" t="str">
        <f t="shared" ca="1" si="1237"/>
        <v>'0'!B41</v>
      </c>
    </row>
    <row r="4339" spans="1:16" x14ac:dyDescent="0.25">
      <c r="A4339" s="3" t="str">
        <f t="shared" ca="1" si="1244"/>
        <v/>
      </c>
      <c r="C4339" s="16"/>
      <c r="G4339" s="15">
        <f t="shared" ca="1" si="1230"/>
        <v>42</v>
      </c>
      <c r="H4339" s="15">
        <v>1</v>
      </c>
      <c r="I4339" s="15">
        <f t="shared" ca="1" si="1231"/>
        <v>0</v>
      </c>
      <c r="J4339" s="15" t="str">
        <f t="shared" ca="1" si="1236"/>
        <v>'0'!A42</v>
      </c>
      <c r="K4339" s="15" t="str">
        <f t="shared" ca="1" si="1237"/>
        <v>'0'!B42</v>
      </c>
    </row>
    <row r="4340" spans="1:16" x14ac:dyDescent="0.25">
      <c r="A4340" s="3" t="str">
        <f t="shared" ca="1" si="1244"/>
        <v/>
      </c>
      <c r="G4340" s="15">
        <f t="shared" ca="1" si="1230"/>
        <v>43</v>
      </c>
      <c r="H4340" s="15">
        <v>1</v>
      </c>
      <c r="I4340" s="15">
        <f t="shared" ca="1" si="1231"/>
        <v>0</v>
      </c>
      <c r="J4340" s="15" t="str">
        <f t="shared" ca="1" si="1236"/>
        <v>'0'!A43</v>
      </c>
      <c r="K4340" s="15" t="str">
        <f t="shared" ca="1" si="1237"/>
        <v>'0'!B43</v>
      </c>
    </row>
    <row r="4341" spans="1:16" x14ac:dyDescent="0.25">
      <c r="A4341" s="3" t="str">
        <f t="shared" ca="1" si="1244"/>
        <v/>
      </c>
      <c r="G4341" s="15">
        <f t="shared" ca="1" si="1230"/>
        <v>44</v>
      </c>
      <c r="H4341" s="15">
        <v>1</v>
      </c>
      <c r="I4341" s="15">
        <f t="shared" ca="1" si="1231"/>
        <v>0</v>
      </c>
      <c r="J4341" s="15" t="str">
        <f t="shared" ca="1" si="1236"/>
        <v>'0'!A44</v>
      </c>
      <c r="K4341" s="15" t="str">
        <f t="shared" ca="1" si="1237"/>
        <v>'0'!B44</v>
      </c>
    </row>
    <row r="4342" spans="1:16" x14ac:dyDescent="0.25">
      <c r="A4342" s="3" t="str">
        <f t="shared" ca="1" si="1244"/>
        <v/>
      </c>
      <c r="G4342" s="15">
        <f t="shared" ca="1" si="1230"/>
        <v>45</v>
      </c>
      <c r="H4342" s="15">
        <v>1</v>
      </c>
      <c r="I4342" s="15">
        <f t="shared" ca="1" si="1231"/>
        <v>0</v>
      </c>
      <c r="J4342" s="15" t="str">
        <f t="shared" ca="1" si="1236"/>
        <v>'0'!A45</v>
      </c>
      <c r="K4342" s="15" t="str">
        <f t="shared" ca="1" si="1237"/>
        <v>'0'!B45</v>
      </c>
    </row>
    <row r="4343" spans="1:16" x14ac:dyDescent="0.25">
      <c r="A4343" s="3" t="str">
        <f t="shared" ca="1" si="1244"/>
        <v/>
      </c>
      <c r="G4343" s="15">
        <f t="shared" ca="1" si="1230"/>
        <v>46</v>
      </c>
      <c r="H4343" s="15">
        <v>1</v>
      </c>
      <c r="I4343" s="15">
        <f t="shared" ca="1" si="1231"/>
        <v>0</v>
      </c>
      <c r="J4343" s="15" t="str">
        <f t="shared" ca="1" si="1236"/>
        <v>'0'!A46</v>
      </c>
      <c r="K4343" s="15" t="str">
        <f t="shared" ca="1" si="1237"/>
        <v>'0'!B46</v>
      </c>
    </row>
    <row r="4344" spans="1:16" x14ac:dyDescent="0.25">
      <c r="A4344" s="3" t="str">
        <f t="shared" ca="1" si="1244"/>
        <v/>
      </c>
      <c r="G4344" s="15">
        <f t="shared" ca="1" si="1230"/>
        <v>47</v>
      </c>
      <c r="H4344" s="15">
        <v>1</v>
      </c>
      <c r="I4344" s="15">
        <f t="shared" ca="1" si="1231"/>
        <v>0</v>
      </c>
      <c r="J4344" s="15" t="str">
        <f t="shared" ca="1" si="1236"/>
        <v>'0'!A47</v>
      </c>
      <c r="K4344" s="15" t="str">
        <f t="shared" ca="1" si="1237"/>
        <v>'0'!B47</v>
      </c>
    </row>
    <row r="4345" spans="1:16" x14ac:dyDescent="0.25">
      <c r="A4345" s="3" t="str">
        <f t="shared" ca="1" si="1244"/>
        <v/>
      </c>
      <c r="G4345" s="15">
        <f t="shared" ca="1" si="1230"/>
        <v>48</v>
      </c>
      <c r="H4345" s="15">
        <v>1</v>
      </c>
      <c r="I4345" s="15">
        <f t="shared" ca="1" si="1231"/>
        <v>0</v>
      </c>
      <c r="J4345" s="15" t="str">
        <f t="shared" ca="1" si="1236"/>
        <v>'0'!A48</v>
      </c>
      <c r="K4345" s="15" t="str">
        <f t="shared" ca="1" si="1237"/>
        <v>'0'!B48</v>
      </c>
    </row>
    <row r="4346" spans="1:16" x14ac:dyDescent="0.25">
      <c r="A4346" s="3" t="str">
        <f t="shared" ca="1" si="1244"/>
        <v/>
      </c>
      <c r="G4346" s="15">
        <f t="shared" ca="1" si="1230"/>
        <v>49</v>
      </c>
      <c r="H4346" s="15">
        <v>1</v>
      </c>
      <c r="I4346" s="15">
        <f t="shared" ca="1" si="1231"/>
        <v>0</v>
      </c>
      <c r="J4346" s="15" t="str">
        <f t="shared" ca="1" si="1236"/>
        <v>'0'!A49</v>
      </c>
      <c r="K4346" s="15" t="str">
        <f t="shared" ca="1" si="1237"/>
        <v>'0'!B49</v>
      </c>
    </row>
    <row r="4347" spans="1:16" x14ac:dyDescent="0.25">
      <c r="A4347" s="3" t="str">
        <f t="shared" ca="1" si="1244"/>
        <v/>
      </c>
      <c r="G4347" s="15">
        <f t="shared" ca="1" si="1230"/>
        <v>50</v>
      </c>
      <c r="H4347" s="15">
        <v>1</v>
      </c>
      <c r="I4347" s="15">
        <f t="shared" ca="1" si="1231"/>
        <v>0</v>
      </c>
      <c r="J4347" s="15" t="str">
        <f t="shared" ca="1" si="1236"/>
        <v>'0'!A50</v>
      </c>
      <c r="K4347" s="15" t="str">
        <f t="shared" ca="1" si="1237"/>
        <v>'0'!B50</v>
      </c>
    </row>
    <row r="4348" spans="1:16" x14ac:dyDescent="0.25">
      <c r="A4348" s="3" t="str">
        <f t="shared" ca="1" si="1244"/>
        <v/>
      </c>
      <c r="G4348" s="15">
        <f t="shared" ref="G4348" ca="1" si="1245">INDIRECT(M4348)</f>
        <v>31</v>
      </c>
      <c r="H4348" s="15">
        <v>1</v>
      </c>
      <c r="I4348" s="15">
        <f t="shared" ref="I4348" ca="1" si="1246">INDIRECT(N4348)</f>
        <v>0</v>
      </c>
      <c r="J4348" s="15" t="str">
        <f t="shared" ca="1" si="1236"/>
        <v>'0'!A31</v>
      </c>
      <c r="K4348" s="15" t="str">
        <f t="shared" ca="1" si="1237"/>
        <v>'0'!B31</v>
      </c>
      <c r="M4348" s="15" t="str">
        <f t="shared" ref="M4348" si="1247">ADDRESS(O4348,3,4,1,$R$1)</f>
        <v>konfig!C219</v>
      </c>
      <c r="N4348" s="15" t="str">
        <f t="shared" ref="N4348" si="1248">ADDRESS(O4348,1,4,1,$R$1)</f>
        <v>konfig!A219</v>
      </c>
      <c r="O4348" s="15">
        <v>219</v>
      </c>
      <c r="P4348" s="15">
        <v>4</v>
      </c>
    </row>
    <row r="4349" spans="1:16" x14ac:dyDescent="0.25">
      <c r="A4349" s="3" t="str">
        <f t="shared" ca="1" si="1244"/>
        <v/>
      </c>
      <c r="G4349" s="15">
        <f t="shared" ref="G4349:G4389" ca="1" si="1249">G4348+1</f>
        <v>32</v>
      </c>
      <c r="H4349" s="15">
        <v>1</v>
      </c>
      <c r="I4349" s="15">
        <f t="shared" ref="I4349:I4389" ca="1" si="1250">I4348</f>
        <v>0</v>
      </c>
      <c r="J4349" s="15" t="str">
        <f t="shared" ca="1" si="1236"/>
        <v>'0'!A32</v>
      </c>
      <c r="K4349" s="15" t="str">
        <f t="shared" ca="1" si="1237"/>
        <v>'0'!B32</v>
      </c>
    </row>
    <row r="4350" spans="1:16" x14ac:dyDescent="0.25">
      <c r="A4350" s="3" t="str">
        <f t="shared" ca="1" si="1244"/>
        <v/>
      </c>
      <c r="G4350" s="15">
        <f t="shared" ca="1" si="1230"/>
        <v>33</v>
      </c>
      <c r="H4350" s="15">
        <v>1</v>
      </c>
      <c r="I4350" s="15">
        <f t="shared" ca="1" si="1231"/>
        <v>0</v>
      </c>
      <c r="J4350" s="15" t="str">
        <f t="shared" ca="1" si="1236"/>
        <v>'0'!A33</v>
      </c>
      <c r="K4350" s="15" t="str">
        <f t="shared" ca="1" si="1237"/>
        <v>'0'!B33</v>
      </c>
    </row>
    <row r="4351" spans="1:16" x14ac:dyDescent="0.25">
      <c r="A4351" s="3" t="str">
        <f t="shared" ca="1" si="1244"/>
        <v/>
      </c>
      <c r="C4351" s="16"/>
      <c r="G4351" s="15">
        <f t="shared" ca="1" si="1230"/>
        <v>34</v>
      </c>
      <c r="H4351" s="15">
        <v>1</v>
      </c>
      <c r="I4351" s="15">
        <f t="shared" ca="1" si="1231"/>
        <v>0</v>
      </c>
      <c r="J4351" s="15" t="str">
        <f t="shared" ca="1" si="1236"/>
        <v>'0'!A34</v>
      </c>
      <c r="K4351" s="15" t="str">
        <f t="shared" ca="1" si="1237"/>
        <v>'0'!B34</v>
      </c>
    </row>
    <row r="4352" spans="1:16" x14ac:dyDescent="0.25">
      <c r="A4352" s="3" t="str">
        <f t="shared" ca="1" si="1244"/>
        <v/>
      </c>
      <c r="G4352" s="15">
        <f t="shared" ca="1" si="1230"/>
        <v>35</v>
      </c>
      <c r="H4352" s="15">
        <v>1</v>
      </c>
      <c r="I4352" s="15">
        <f t="shared" ca="1" si="1231"/>
        <v>0</v>
      </c>
      <c r="J4352" s="15" t="str">
        <f t="shared" ca="1" si="1236"/>
        <v>'0'!A35</v>
      </c>
      <c r="K4352" s="15" t="str">
        <f t="shared" ca="1" si="1237"/>
        <v>'0'!B35</v>
      </c>
    </row>
    <row r="4353" spans="1:16" x14ac:dyDescent="0.25">
      <c r="A4353" s="3" t="str">
        <f t="shared" ca="1" si="1244"/>
        <v/>
      </c>
      <c r="G4353" s="15">
        <f t="shared" ca="1" si="1230"/>
        <v>36</v>
      </c>
      <c r="H4353" s="15">
        <v>1</v>
      </c>
      <c r="I4353" s="15">
        <f t="shared" ca="1" si="1231"/>
        <v>0</v>
      </c>
      <c r="J4353" s="15" t="str">
        <f t="shared" ca="1" si="1236"/>
        <v>'0'!A36</v>
      </c>
      <c r="K4353" s="15" t="str">
        <f t="shared" ca="1" si="1237"/>
        <v>'0'!B36</v>
      </c>
    </row>
    <row r="4354" spans="1:16" x14ac:dyDescent="0.25">
      <c r="A4354" s="3" t="str">
        <f t="shared" ca="1" si="1244"/>
        <v/>
      </c>
      <c r="G4354" s="15">
        <f t="shared" ca="1" si="1230"/>
        <v>37</v>
      </c>
      <c r="H4354" s="15">
        <v>1</v>
      </c>
      <c r="I4354" s="15">
        <f t="shared" ca="1" si="1231"/>
        <v>0</v>
      </c>
      <c r="J4354" s="15" t="str">
        <f t="shared" ca="1" si="1236"/>
        <v>'0'!A37</v>
      </c>
      <c r="K4354" s="15" t="str">
        <f t="shared" ca="1" si="1237"/>
        <v>'0'!B37</v>
      </c>
    </row>
    <row r="4355" spans="1:16" x14ac:dyDescent="0.25">
      <c r="A4355" s="3" t="str">
        <f t="shared" ca="1" si="1244"/>
        <v/>
      </c>
      <c r="G4355" s="15">
        <f t="shared" ca="1" si="1230"/>
        <v>38</v>
      </c>
      <c r="H4355" s="15">
        <v>1</v>
      </c>
      <c r="I4355" s="15">
        <f t="shared" ca="1" si="1231"/>
        <v>0</v>
      </c>
      <c r="J4355" s="15" t="str">
        <f t="shared" ca="1" si="1236"/>
        <v>'0'!A38</v>
      </c>
      <c r="K4355" s="15" t="str">
        <f t="shared" ca="1" si="1237"/>
        <v>'0'!B38</v>
      </c>
    </row>
    <row r="4356" spans="1:16" x14ac:dyDescent="0.25">
      <c r="A4356" s="3" t="str">
        <f t="shared" ca="1" si="1244"/>
        <v/>
      </c>
      <c r="G4356" s="15">
        <f t="shared" ca="1" si="1230"/>
        <v>39</v>
      </c>
      <c r="H4356" s="15">
        <v>1</v>
      </c>
      <c r="I4356" s="15">
        <f t="shared" ca="1" si="1231"/>
        <v>0</v>
      </c>
      <c r="J4356" s="15" t="str">
        <f t="shared" ca="1" si="1236"/>
        <v>'0'!A39</v>
      </c>
      <c r="K4356" s="15" t="str">
        <f t="shared" ca="1" si="1237"/>
        <v>'0'!B39</v>
      </c>
    </row>
    <row r="4357" spans="1:16" x14ac:dyDescent="0.25">
      <c r="A4357" s="3" t="str">
        <f t="shared" ca="1" si="1244"/>
        <v/>
      </c>
      <c r="G4357" s="15">
        <f t="shared" ca="1" si="1230"/>
        <v>40</v>
      </c>
      <c r="H4357" s="15">
        <v>1</v>
      </c>
      <c r="I4357" s="15">
        <f t="shared" ca="1" si="1231"/>
        <v>0</v>
      </c>
      <c r="J4357" s="15" t="str">
        <f t="shared" ca="1" si="1236"/>
        <v>'0'!A40</v>
      </c>
      <c r="K4357" s="15" t="str">
        <f t="shared" ca="1" si="1237"/>
        <v>'0'!B40</v>
      </c>
    </row>
    <row r="4358" spans="1:16" x14ac:dyDescent="0.25">
      <c r="A4358" s="3" t="str">
        <f t="shared" ca="1" si="1244"/>
        <v/>
      </c>
      <c r="G4358" s="15">
        <f t="shared" ca="1" si="1230"/>
        <v>41</v>
      </c>
      <c r="H4358" s="15">
        <v>1</v>
      </c>
      <c r="I4358" s="15">
        <f t="shared" ca="1" si="1231"/>
        <v>0</v>
      </c>
      <c r="J4358" s="15" t="str">
        <f t="shared" ca="1" si="1236"/>
        <v>'0'!A41</v>
      </c>
      <c r="K4358" s="15" t="str">
        <f t="shared" ca="1" si="1237"/>
        <v>'0'!B41</v>
      </c>
    </row>
    <row r="4359" spans="1:16" x14ac:dyDescent="0.25">
      <c r="A4359" s="3" t="str">
        <f t="shared" ca="1" si="1244"/>
        <v/>
      </c>
      <c r="C4359" s="16"/>
      <c r="G4359" s="15">
        <f t="shared" ca="1" si="1230"/>
        <v>42</v>
      </c>
      <c r="H4359" s="15">
        <v>1</v>
      </c>
      <c r="I4359" s="15">
        <f t="shared" ca="1" si="1231"/>
        <v>0</v>
      </c>
      <c r="J4359" s="15" t="str">
        <f t="shared" ca="1" si="1236"/>
        <v>'0'!A42</v>
      </c>
      <c r="K4359" s="15" t="str">
        <f t="shared" ca="1" si="1237"/>
        <v>'0'!B42</v>
      </c>
    </row>
    <row r="4360" spans="1:16" x14ac:dyDescent="0.25">
      <c r="A4360" s="3" t="str">
        <f t="shared" ca="1" si="1244"/>
        <v/>
      </c>
      <c r="G4360" s="15">
        <f t="shared" ca="1" si="1230"/>
        <v>43</v>
      </c>
      <c r="H4360" s="15">
        <v>1</v>
      </c>
      <c r="I4360" s="15">
        <f t="shared" ca="1" si="1231"/>
        <v>0</v>
      </c>
      <c r="J4360" s="15" t="str">
        <f t="shared" ca="1" si="1236"/>
        <v>'0'!A43</v>
      </c>
      <c r="K4360" s="15" t="str">
        <f t="shared" ca="1" si="1237"/>
        <v>'0'!B43</v>
      </c>
    </row>
    <row r="4361" spans="1:16" x14ac:dyDescent="0.25">
      <c r="A4361" s="3" t="str">
        <f t="shared" ca="1" si="1244"/>
        <v/>
      </c>
      <c r="G4361" s="15">
        <f t="shared" ref="G4361:G4424" ca="1" si="1251">G4360+1</f>
        <v>44</v>
      </c>
      <c r="H4361" s="15">
        <v>1</v>
      </c>
      <c r="I4361" s="15">
        <f t="shared" ref="I4361:I4424" ca="1" si="1252">I4360</f>
        <v>0</v>
      </c>
      <c r="J4361" s="15" t="str">
        <f t="shared" ca="1" si="1236"/>
        <v>'0'!A44</v>
      </c>
      <c r="K4361" s="15" t="str">
        <f t="shared" ca="1" si="1237"/>
        <v>'0'!B44</v>
      </c>
    </row>
    <row r="4362" spans="1:16" x14ac:dyDescent="0.25">
      <c r="A4362" s="3" t="str">
        <f t="shared" ca="1" si="1244"/>
        <v/>
      </c>
      <c r="G4362" s="15">
        <f t="shared" ca="1" si="1251"/>
        <v>45</v>
      </c>
      <c r="H4362" s="15">
        <v>1</v>
      </c>
      <c r="I4362" s="15">
        <f t="shared" ca="1" si="1252"/>
        <v>0</v>
      </c>
      <c r="J4362" s="15" t="str">
        <f t="shared" ca="1" si="1236"/>
        <v>'0'!A45</v>
      </c>
      <c r="K4362" s="15" t="str">
        <f t="shared" ca="1" si="1237"/>
        <v>'0'!B45</v>
      </c>
    </row>
    <row r="4363" spans="1:16" x14ac:dyDescent="0.25">
      <c r="A4363" s="3" t="str">
        <f t="shared" ca="1" si="1244"/>
        <v/>
      </c>
      <c r="G4363" s="15">
        <f t="shared" ca="1" si="1251"/>
        <v>46</v>
      </c>
      <c r="H4363" s="15">
        <v>1</v>
      </c>
      <c r="I4363" s="15">
        <f t="shared" ca="1" si="1252"/>
        <v>0</v>
      </c>
      <c r="J4363" s="15" t="str">
        <f t="shared" ca="1" si="1236"/>
        <v>'0'!A46</v>
      </c>
      <c r="K4363" s="15" t="str">
        <f t="shared" ca="1" si="1237"/>
        <v>'0'!B46</v>
      </c>
    </row>
    <row r="4364" spans="1:16" x14ac:dyDescent="0.25">
      <c r="A4364" s="3" t="str">
        <f t="shared" ca="1" si="1244"/>
        <v/>
      </c>
      <c r="G4364" s="15">
        <f t="shared" ca="1" si="1251"/>
        <v>47</v>
      </c>
      <c r="H4364" s="15">
        <v>1</v>
      </c>
      <c r="I4364" s="15">
        <f t="shared" ca="1" si="1252"/>
        <v>0</v>
      </c>
      <c r="J4364" s="15" t="str">
        <f t="shared" ca="1" si="1236"/>
        <v>'0'!A47</v>
      </c>
      <c r="K4364" s="15" t="str">
        <f t="shared" ca="1" si="1237"/>
        <v>'0'!B47</v>
      </c>
    </row>
    <row r="4365" spans="1:16" x14ac:dyDescent="0.25">
      <c r="A4365" s="3" t="str">
        <f t="shared" ca="1" si="1244"/>
        <v/>
      </c>
      <c r="G4365" s="15">
        <f t="shared" ca="1" si="1251"/>
        <v>48</v>
      </c>
      <c r="H4365" s="15">
        <v>1</v>
      </c>
      <c r="I4365" s="15">
        <f t="shared" ca="1" si="1252"/>
        <v>0</v>
      </c>
      <c r="J4365" s="15" t="str">
        <f t="shared" ca="1" si="1236"/>
        <v>'0'!A48</v>
      </c>
      <c r="K4365" s="15" t="str">
        <f t="shared" ca="1" si="1237"/>
        <v>'0'!B48</v>
      </c>
    </row>
    <row r="4366" spans="1:16" x14ac:dyDescent="0.25">
      <c r="A4366" s="3" t="str">
        <f t="shared" ca="1" si="1244"/>
        <v/>
      </c>
      <c r="G4366" s="15">
        <f t="shared" ca="1" si="1251"/>
        <v>49</v>
      </c>
      <c r="H4366" s="15">
        <v>1</v>
      </c>
      <c r="I4366" s="15">
        <f t="shared" ca="1" si="1252"/>
        <v>0</v>
      </c>
      <c r="J4366" s="15" t="str">
        <f t="shared" ca="1" si="1236"/>
        <v>'0'!A49</v>
      </c>
      <c r="K4366" s="15" t="str">
        <f t="shared" ca="1" si="1237"/>
        <v>'0'!B49</v>
      </c>
    </row>
    <row r="4367" spans="1:16" x14ac:dyDescent="0.25">
      <c r="A4367" s="3" t="str">
        <f t="shared" ca="1" si="1244"/>
        <v/>
      </c>
      <c r="G4367" s="15">
        <f t="shared" ca="1" si="1251"/>
        <v>50</v>
      </c>
      <c r="H4367" s="15">
        <v>1</v>
      </c>
      <c r="I4367" s="15">
        <f t="shared" ca="1" si="1252"/>
        <v>0</v>
      </c>
      <c r="J4367" s="15" t="str">
        <f t="shared" ca="1" si="1236"/>
        <v>'0'!A50</v>
      </c>
      <c r="K4367" s="15" t="str">
        <f t="shared" ca="1" si="1237"/>
        <v>'0'!B50</v>
      </c>
    </row>
    <row r="4368" spans="1:16" x14ac:dyDescent="0.25">
      <c r="A4368" s="3" t="str">
        <f t="shared" ca="1" si="1244"/>
        <v/>
      </c>
      <c r="G4368" s="15">
        <f t="shared" ref="G4368" ca="1" si="1253">INDIRECT(M4368)</f>
        <v>31</v>
      </c>
      <c r="H4368" s="15">
        <v>1</v>
      </c>
      <c r="I4368" s="15">
        <f t="shared" ref="I4368" ca="1" si="1254">INDIRECT(N4368)</f>
        <v>0</v>
      </c>
      <c r="J4368" s="15" t="str">
        <f t="shared" ca="1" si="1236"/>
        <v>'0'!A31</v>
      </c>
      <c r="K4368" s="15" t="str">
        <f t="shared" ca="1" si="1237"/>
        <v>'0'!B31</v>
      </c>
      <c r="M4368" s="15" t="str">
        <f t="shared" ref="M4368" si="1255">ADDRESS(O4368,3,4,1,$R$1)</f>
        <v>konfig!C220</v>
      </c>
      <c r="N4368" s="15" t="str">
        <f t="shared" ref="N4368" si="1256">ADDRESS(O4368,1,4,1,$R$1)</f>
        <v>konfig!A220</v>
      </c>
      <c r="O4368" s="15">
        <v>220</v>
      </c>
      <c r="P4368" s="15">
        <v>4</v>
      </c>
    </row>
    <row r="4369" spans="1:11" x14ac:dyDescent="0.25">
      <c r="A4369" s="3" t="str">
        <f t="shared" ca="1" si="1244"/>
        <v/>
      </c>
      <c r="G4369" s="15">
        <f t="shared" ca="1" si="1242"/>
        <v>32</v>
      </c>
      <c r="H4369" s="15">
        <v>1</v>
      </c>
      <c r="I4369" s="15">
        <f t="shared" ca="1" si="1243"/>
        <v>0</v>
      </c>
      <c r="J4369" s="15" t="str">
        <f t="shared" ca="1" si="1236"/>
        <v>'0'!A32</v>
      </c>
      <c r="K4369" s="15" t="str">
        <f t="shared" ca="1" si="1237"/>
        <v>'0'!B32</v>
      </c>
    </row>
    <row r="4370" spans="1:11" x14ac:dyDescent="0.25">
      <c r="A4370" s="3" t="str">
        <f t="shared" ca="1" si="1244"/>
        <v/>
      </c>
      <c r="G4370" s="15">
        <f t="shared" ca="1" si="1242"/>
        <v>33</v>
      </c>
      <c r="H4370" s="15">
        <v>1</v>
      </c>
      <c r="I4370" s="15">
        <f t="shared" ca="1" si="1243"/>
        <v>0</v>
      </c>
      <c r="J4370" s="15" t="str">
        <f t="shared" ca="1" si="1236"/>
        <v>'0'!A33</v>
      </c>
      <c r="K4370" s="15" t="str">
        <f t="shared" ca="1" si="1237"/>
        <v>'0'!B33</v>
      </c>
    </row>
    <row r="4371" spans="1:11" x14ac:dyDescent="0.25">
      <c r="A4371" s="3" t="str">
        <f t="shared" ca="1" si="1244"/>
        <v/>
      </c>
      <c r="C4371" s="16"/>
      <c r="G4371" s="15">
        <f t="shared" ca="1" si="1242"/>
        <v>34</v>
      </c>
      <c r="H4371" s="15">
        <v>1</v>
      </c>
      <c r="I4371" s="15">
        <f t="shared" ca="1" si="1243"/>
        <v>0</v>
      </c>
      <c r="J4371" s="15" t="str">
        <f t="shared" ca="1" si="1236"/>
        <v>'0'!A34</v>
      </c>
      <c r="K4371" s="15" t="str">
        <f t="shared" ca="1" si="1237"/>
        <v>'0'!B34</v>
      </c>
    </row>
    <row r="4372" spans="1:11" x14ac:dyDescent="0.25">
      <c r="A4372" s="3" t="str">
        <f t="shared" ca="1" si="1244"/>
        <v/>
      </c>
      <c r="G4372" s="15">
        <f t="shared" ca="1" si="1242"/>
        <v>35</v>
      </c>
      <c r="H4372" s="15">
        <v>1</v>
      </c>
      <c r="I4372" s="15">
        <f t="shared" ca="1" si="1243"/>
        <v>0</v>
      </c>
      <c r="J4372" s="15" t="str">
        <f t="shared" ca="1" si="1236"/>
        <v>'0'!A35</v>
      </c>
      <c r="K4372" s="15" t="str">
        <f t="shared" ca="1" si="1237"/>
        <v>'0'!B35</v>
      </c>
    </row>
    <row r="4373" spans="1:11" x14ac:dyDescent="0.25">
      <c r="A4373" s="3" t="str">
        <f t="shared" ca="1" si="1244"/>
        <v/>
      </c>
      <c r="G4373" s="15">
        <f t="shared" ca="1" si="1251"/>
        <v>36</v>
      </c>
      <c r="H4373" s="15">
        <v>1</v>
      </c>
      <c r="I4373" s="15">
        <f t="shared" ca="1" si="1252"/>
        <v>0</v>
      </c>
      <c r="J4373" s="15" t="str">
        <f t="shared" ca="1" si="1236"/>
        <v>'0'!A36</v>
      </c>
      <c r="K4373" s="15" t="str">
        <f t="shared" ca="1" si="1237"/>
        <v>'0'!B36</v>
      </c>
    </row>
    <row r="4374" spans="1:11" x14ac:dyDescent="0.25">
      <c r="A4374" s="3" t="str">
        <f t="shared" ca="1" si="1244"/>
        <v/>
      </c>
      <c r="G4374" s="15">
        <f t="shared" ca="1" si="1251"/>
        <v>37</v>
      </c>
      <c r="H4374" s="15">
        <v>1</v>
      </c>
      <c r="I4374" s="15">
        <f t="shared" ca="1" si="1252"/>
        <v>0</v>
      </c>
      <c r="J4374" s="15" t="str">
        <f t="shared" ca="1" si="1236"/>
        <v>'0'!A37</v>
      </c>
      <c r="K4374" s="15" t="str">
        <f t="shared" ca="1" si="1237"/>
        <v>'0'!B37</v>
      </c>
    </row>
    <row r="4375" spans="1:11" x14ac:dyDescent="0.25">
      <c r="A4375" s="3" t="str">
        <f t="shared" ca="1" si="1244"/>
        <v/>
      </c>
      <c r="G4375" s="15">
        <f t="shared" ca="1" si="1251"/>
        <v>38</v>
      </c>
      <c r="H4375" s="15">
        <v>1</v>
      </c>
      <c r="I4375" s="15">
        <f t="shared" ca="1" si="1252"/>
        <v>0</v>
      </c>
      <c r="J4375" s="15" t="str">
        <f t="shared" ca="1" si="1236"/>
        <v>'0'!A38</v>
      </c>
      <c r="K4375" s="15" t="str">
        <f t="shared" ca="1" si="1237"/>
        <v>'0'!B38</v>
      </c>
    </row>
    <row r="4376" spans="1:11" x14ac:dyDescent="0.25">
      <c r="A4376" s="3" t="str">
        <f t="shared" ca="1" si="1244"/>
        <v/>
      </c>
      <c r="G4376" s="15">
        <f t="shared" ca="1" si="1251"/>
        <v>39</v>
      </c>
      <c r="H4376" s="15">
        <v>1</v>
      </c>
      <c r="I4376" s="15">
        <f t="shared" ca="1" si="1252"/>
        <v>0</v>
      </c>
      <c r="J4376" s="15" t="str">
        <f t="shared" ca="1" si="1236"/>
        <v>'0'!A39</v>
      </c>
      <c r="K4376" s="15" t="str">
        <f t="shared" ca="1" si="1237"/>
        <v>'0'!B39</v>
      </c>
    </row>
    <row r="4377" spans="1:11" x14ac:dyDescent="0.25">
      <c r="A4377" s="3" t="str">
        <f t="shared" ca="1" si="1244"/>
        <v/>
      </c>
      <c r="G4377" s="15">
        <f t="shared" ca="1" si="1251"/>
        <v>40</v>
      </c>
      <c r="H4377" s="15">
        <v>1</v>
      </c>
      <c r="I4377" s="15">
        <f t="shared" ca="1" si="1252"/>
        <v>0</v>
      </c>
      <c r="J4377" s="15" t="str">
        <f t="shared" ca="1" si="1236"/>
        <v>'0'!A40</v>
      </c>
      <c r="K4377" s="15" t="str">
        <f t="shared" ca="1" si="1237"/>
        <v>'0'!B40</v>
      </c>
    </row>
    <row r="4378" spans="1:11" x14ac:dyDescent="0.25">
      <c r="A4378" s="3" t="str">
        <f t="shared" ca="1" si="1244"/>
        <v/>
      </c>
      <c r="G4378" s="15">
        <f t="shared" ca="1" si="1251"/>
        <v>41</v>
      </c>
      <c r="H4378" s="15">
        <v>1</v>
      </c>
      <c r="I4378" s="15">
        <f t="shared" ca="1" si="1252"/>
        <v>0</v>
      </c>
      <c r="J4378" s="15" t="str">
        <f t="shared" ca="1" si="1236"/>
        <v>'0'!A41</v>
      </c>
      <c r="K4378" s="15" t="str">
        <f t="shared" ca="1" si="1237"/>
        <v>'0'!B41</v>
      </c>
    </row>
    <row r="4379" spans="1:11" x14ac:dyDescent="0.25">
      <c r="A4379" s="3" t="str">
        <f t="shared" ca="1" si="1244"/>
        <v/>
      </c>
      <c r="C4379" s="16"/>
      <c r="G4379" s="15">
        <f t="shared" ca="1" si="1251"/>
        <v>42</v>
      </c>
      <c r="H4379" s="15">
        <v>1</v>
      </c>
      <c r="I4379" s="15">
        <f t="shared" ca="1" si="1252"/>
        <v>0</v>
      </c>
      <c r="J4379" s="15" t="str">
        <f t="shared" ca="1" si="1236"/>
        <v>'0'!A42</v>
      </c>
      <c r="K4379" s="15" t="str">
        <f t="shared" ca="1" si="1237"/>
        <v>'0'!B42</v>
      </c>
    </row>
    <row r="4380" spans="1:11" x14ac:dyDescent="0.25">
      <c r="A4380" s="3" t="str">
        <f t="shared" ca="1" si="1244"/>
        <v/>
      </c>
      <c r="G4380" s="15">
        <f t="shared" ca="1" si="1251"/>
        <v>43</v>
      </c>
      <c r="H4380" s="15">
        <v>1</v>
      </c>
      <c r="I4380" s="15">
        <f t="shared" ca="1" si="1252"/>
        <v>0</v>
      </c>
      <c r="J4380" s="15" t="str">
        <f t="shared" ca="1" si="1236"/>
        <v>'0'!A43</v>
      </c>
      <c r="K4380" s="15" t="str">
        <f t="shared" ca="1" si="1237"/>
        <v>'0'!B43</v>
      </c>
    </row>
    <row r="4381" spans="1:11" x14ac:dyDescent="0.25">
      <c r="A4381" s="3" t="str">
        <f t="shared" ca="1" si="1244"/>
        <v/>
      </c>
      <c r="G4381" s="15">
        <f t="shared" ca="1" si="1251"/>
        <v>44</v>
      </c>
      <c r="H4381" s="15">
        <v>1</v>
      </c>
      <c r="I4381" s="15">
        <f t="shared" ca="1" si="1252"/>
        <v>0</v>
      </c>
      <c r="J4381" s="15" t="str">
        <f t="shared" ca="1" si="1236"/>
        <v>'0'!A44</v>
      </c>
      <c r="K4381" s="15" t="str">
        <f t="shared" ca="1" si="1237"/>
        <v>'0'!B44</v>
      </c>
    </row>
    <row r="4382" spans="1:11" x14ac:dyDescent="0.25">
      <c r="A4382" s="3" t="str">
        <f t="shared" ca="1" si="1244"/>
        <v/>
      </c>
      <c r="G4382" s="15">
        <f t="shared" ca="1" si="1251"/>
        <v>45</v>
      </c>
      <c r="H4382" s="15">
        <v>1</v>
      </c>
      <c r="I4382" s="15">
        <f t="shared" ca="1" si="1252"/>
        <v>0</v>
      </c>
      <c r="J4382" s="15" t="str">
        <f t="shared" ca="1" si="1236"/>
        <v>'0'!A45</v>
      </c>
      <c r="K4382" s="15" t="str">
        <f t="shared" ca="1" si="1237"/>
        <v>'0'!B45</v>
      </c>
    </row>
    <row r="4383" spans="1:11" x14ac:dyDescent="0.25">
      <c r="A4383" s="3" t="str">
        <f t="shared" ca="1" si="1244"/>
        <v/>
      </c>
      <c r="G4383" s="15">
        <f t="shared" ca="1" si="1251"/>
        <v>46</v>
      </c>
      <c r="H4383" s="15">
        <v>1</v>
      </c>
      <c r="I4383" s="15">
        <f t="shared" ca="1" si="1252"/>
        <v>0</v>
      </c>
      <c r="J4383" s="15" t="str">
        <f t="shared" ca="1" si="1236"/>
        <v>'0'!A46</v>
      </c>
      <c r="K4383" s="15" t="str">
        <f t="shared" ca="1" si="1237"/>
        <v>'0'!B46</v>
      </c>
    </row>
    <row r="4384" spans="1:11" x14ac:dyDescent="0.25">
      <c r="A4384" s="3" t="str">
        <f t="shared" ca="1" si="1244"/>
        <v/>
      </c>
      <c r="G4384" s="15">
        <f t="shared" ca="1" si="1251"/>
        <v>47</v>
      </c>
      <c r="H4384" s="15">
        <v>1</v>
      </c>
      <c r="I4384" s="15">
        <f t="shared" ca="1" si="1252"/>
        <v>0</v>
      </c>
      <c r="J4384" s="15" t="str">
        <f t="shared" ca="1" si="1236"/>
        <v>'0'!A47</v>
      </c>
      <c r="K4384" s="15" t="str">
        <f t="shared" ca="1" si="1237"/>
        <v>'0'!B47</v>
      </c>
    </row>
    <row r="4385" spans="1:16" x14ac:dyDescent="0.25">
      <c r="A4385" s="3" t="str">
        <f t="shared" ca="1" si="1244"/>
        <v/>
      </c>
      <c r="G4385" s="15">
        <f t="shared" ca="1" si="1251"/>
        <v>48</v>
      </c>
      <c r="H4385" s="15">
        <v>1</v>
      </c>
      <c r="I4385" s="15">
        <f t="shared" ca="1" si="1252"/>
        <v>0</v>
      </c>
      <c r="J4385" s="15" t="str">
        <f t="shared" ca="1" si="1236"/>
        <v>'0'!A48</v>
      </c>
      <c r="K4385" s="15" t="str">
        <f t="shared" ca="1" si="1237"/>
        <v>'0'!B48</v>
      </c>
    </row>
    <row r="4386" spans="1:16" x14ac:dyDescent="0.25">
      <c r="A4386" s="3" t="str">
        <f t="shared" ca="1" si="1244"/>
        <v/>
      </c>
      <c r="G4386" s="15">
        <f t="shared" ca="1" si="1251"/>
        <v>49</v>
      </c>
      <c r="H4386" s="15">
        <v>1</v>
      </c>
      <c r="I4386" s="15">
        <f t="shared" ca="1" si="1252"/>
        <v>0</v>
      </c>
      <c r="J4386" s="15" t="str">
        <f t="shared" ca="1" si="1236"/>
        <v>'0'!A49</v>
      </c>
      <c r="K4386" s="15" t="str">
        <f t="shared" ca="1" si="1237"/>
        <v>'0'!B49</v>
      </c>
    </row>
    <row r="4387" spans="1:16" x14ac:dyDescent="0.25">
      <c r="A4387" s="3" t="str">
        <f t="shared" ca="1" si="1244"/>
        <v/>
      </c>
      <c r="G4387" s="15">
        <f t="shared" ca="1" si="1251"/>
        <v>50</v>
      </c>
      <c r="H4387" s="15">
        <v>1</v>
      </c>
      <c r="I4387" s="15">
        <f t="shared" ca="1" si="1252"/>
        <v>0</v>
      </c>
      <c r="J4387" s="15" t="str">
        <f t="shared" ca="1" si="1236"/>
        <v>'0'!A50</v>
      </c>
      <c r="K4387" s="15" t="str">
        <f t="shared" ca="1" si="1237"/>
        <v>'0'!B50</v>
      </c>
    </row>
    <row r="4388" spans="1:16" x14ac:dyDescent="0.25">
      <c r="A4388" s="3" t="str">
        <f t="shared" ca="1" si="1244"/>
        <v/>
      </c>
      <c r="G4388" s="15">
        <f t="shared" ref="G4388" ca="1" si="1257">INDIRECT(M4388)</f>
        <v>31</v>
      </c>
      <c r="H4388" s="15">
        <v>1</v>
      </c>
      <c r="I4388" s="15">
        <f t="shared" ref="I4388" ca="1" si="1258">INDIRECT(N4388)</f>
        <v>0</v>
      </c>
      <c r="J4388" s="15" t="str">
        <f t="shared" ref="J4388:J4451" ca="1" si="1259">ADDRESS(G4388,H4388,4,1,I4388)</f>
        <v>'0'!A31</v>
      </c>
      <c r="K4388" s="15" t="str">
        <f t="shared" ref="K4388:K4451" ca="1" si="1260">ADDRESS(G4388,H4388+1,4,1,I4388)</f>
        <v>'0'!B31</v>
      </c>
      <c r="M4388" s="15" t="str">
        <f t="shared" ref="M4388" si="1261">ADDRESS(O4388,3,4,1,$R$1)</f>
        <v>konfig!C221</v>
      </c>
      <c r="N4388" s="15" t="str">
        <f t="shared" ref="N4388" si="1262">ADDRESS(O4388,1,4,1,$R$1)</f>
        <v>konfig!A221</v>
      </c>
      <c r="O4388" s="15">
        <v>221</v>
      </c>
      <c r="P4388" s="15">
        <v>4</v>
      </c>
    </row>
    <row r="4389" spans="1:16" x14ac:dyDescent="0.25">
      <c r="A4389" s="3" t="str">
        <f t="shared" ca="1" si="1244"/>
        <v/>
      </c>
      <c r="G4389" s="15">
        <f t="shared" ca="1" si="1249"/>
        <v>32</v>
      </c>
      <c r="H4389" s="15">
        <v>1</v>
      </c>
      <c r="I4389" s="15">
        <f t="shared" ca="1" si="1250"/>
        <v>0</v>
      </c>
      <c r="J4389" s="15" t="str">
        <f t="shared" ca="1" si="1259"/>
        <v>'0'!A32</v>
      </c>
      <c r="K4389" s="15" t="str">
        <f t="shared" ca="1" si="1260"/>
        <v>'0'!B32</v>
      </c>
    </row>
    <row r="4390" spans="1:16" x14ac:dyDescent="0.25">
      <c r="A4390" s="3" t="str">
        <f t="shared" ca="1" si="1244"/>
        <v/>
      </c>
      <c r="G4390" s="15">
        <f t="shared" ca="1" si="1251"/>
        <v>33</v>
      </c>
      <c r="H4390" s="15">
        <v>1</v>
      </c>
      <c r="I4390" s="15">
        <f t="shared" ca="1" si="1252"/>
        <v>0</v>
      </c>
      <c r="J4390" s="15" t="str">
        <f t="shared" ca="1" si="1259"/>
        <v>'0'!A33</v>
      </c>
      <c r="K4390" s="15" t="str">
        <f t="shared" ca="1" si="1260"/>
        <v>'0'!B33</v>
      </c>
    </row>
    <row r="4391" spans="1:16" x14ac:dyDescent="0.25">
      <c r="A4391" s="3" t="str">
        <f t="shared" ca="1" si="1244"/>
        <v/>
      </c>
      <c r="C4391" s="16"/>
      <c r="G4391" s="15">
        <f t="shared" ca="1" si="1251"/>
        <v>34</v>
      </c>
      <c r="H4391" s="15">
        <v>1</v>
      </c>
      <c r="I4391" s="15">
        <f t="shared" ca="1" si="1252"/>
        <v>0</v>
      </c>
      <c r="J4391" s="15" t="str">
        <f t="shared" ca="1" si="1259"/>
        <v>'0'!A34</v>
      </c>
      <c r="K4391" s="15" t="str">
        <f t="shared" ca="1" si="1260"/>
        <v>'0'!B34</v>
      </c>
    </row>
    <row r="4392" spans="1:16" x14ac:dyDescent="0.25">
      <c r="A4392" s="3" t="str">
        <f t="shared" ca="1" si="1244"/>
        <v/>
      </c>
      <c r="G4392" s="15">
        <f t="shared" ca="1" si="1251"/>
        <v>35</v>
      </c>
      <c r="H4392" s="15">
        <v>1</v>
      </c>
      <c r="I4392" s="15">
        <f t="shared" ca="1" si="1252"/>
        <v>0</v>
      </c>
      <c r="J4392" s="15" t="str">
        <f t="shared" ca="1" si="1259"/>
        <v>'0'!A35</v>
      </c>
      <c r="K4392" s="15" t="str">
        <f t="shared" ca="1" si="1260"/>
        <v>'0'!B35</v>
      </c>
    </row>
    <row r="4393" spans="1:16" x14ac:dyDescent="0.25">
      <c r="A4393" s="3" t="str">
        <f t="shared" ca="1" si="1244"/>
        <v/>
      </c>
      <c r="G4393" s="15">
        <f t="shared" ca="1" si="1251"/>
        <v>36</v>
      </c>
      <c r="H4393" s="15">
        <v>1</v>
      </c>
      <c r="I4393" s="15">
        <f t="shared" ca="1" si="1252"/>
        <v>0</v>
      </c>
      <c r="J4393" s="15" t="str">
        <f t="shared" ca="1" si="1259"/>
        <v>'0'!A36</v>
      </c>
      <c r="K4393" s="15" t="str">
        <f t="shared" ca="1" si="1260"/>
        <v>'0'!B36</v>
      </c>
    </row>
    <row r="4394" spans="1:16" x14ac:dyDescent="0.25">
      <c r="A4394" s="3" t="str">
        <f t="shared" ca="1" si="1244"/>
        <v/>
      </c>
      <c r="G4394" s="15">
        <f t="shared" ca="1" si="1251"/>
        <v>37</v>
      </c>
      <c r="H4394" s="15">
        <v>1</v>
      </c>
      <c r="I4394" s="15">
        <f t="shared" ca="1" si="1252"/>
        <v>0</v>
      </c>
      <c r="J4394" s="15" t="str">
        <f t="shared" ca="1" si="1259"/>
        <v>'0'!A37</v>
      </c>
      <c r="K4394" s="15" t="str">
        <f t="shared" ca="1" si="1260"/>
        <v>'0'!B37</v>
      </c>
    </row>
    <row r="4395" spans="1:16" x14ac:dyDescent="0.25">
      <c r="A4395" s="3" t="str">
        <f t="shared" ca="1" si="1244"/>
        <v/>
      </c>
      <c r="G4395" s="15">
        <f t="shared" ca="1" si="1251"/>
        <v>38</v>
      </c>
      <c r="H4395" s="15">
        <v>1</v>
      </c>
      <c r="I4395" s="15">
        <f t="shared" ca="1" si="1252"/>
        <v>0</v>
      </c>
      <c r="J4395" s="15" t="str">
        <f t="shared" ca="1" si="1259"/>
        <v>'0'!A38</v>
      </c>
      <c r="K4395" s="15" t="str">
        <f t="shared" ca="1" si="1260"/>
        <v>'0'!B38</v>
      </c>
    </row>
    <row r="4396" spans="1:16" x14ac:dyDescent="0.25">
      <c r="A4396" s="3" t="str">
        <f t="shared" ref="A4396:A4459" ca="1" si="1263">IFERROR(IF(INDIRECT(J4396)&lt;&gt;"",CONCATENATE(INDIRECT(J4396)," = ",INDIRECT(K4396)," "),""),"")</f>
        <v/>
      </c>
      <c r="G4396" s="15">
        <f t="shared" ca="1" si="1251"/>
        <v>39</v>
      </c>
      <c r="H4396" s="15">
        <v>1</v>
      </c>
      <c r="I4396" s="15">
        <f t="shared" ca="1" si="1252"/>
        <v>0</v>
      </c>
      <c r="J4396" s="15" t="str">
        <f t="shared" ca="1" si="1259"/>
        <v>'0'!A39</v>
      </c>
      <c r="K4396" s="15" t="str">
        <f t="shared" ca="1" si="1260"/>
        <v>'0'!B39</v>
      </c>
    </row>
    <row r="4397" spans="1:16" x14ac:dyDescent="0.25">
      <c r="A4397" s="3" t="str">
        <f t="shared" ca="1" si="1263"/>
        <v/>
      </c>
      <c r="G4397" s="15">
        <f t="shared" ca="1" si="1251"/>
        <v>40</v>
      </c>
      <c r="H4397" s="15">
        <v>1</v>
      </c>
      <c r="I4397" s="15">
        <f t="shared" ca="1" si="1252"/>
        <v>0</v>
      </c>
      <c r="J4397" s="15" t="str">
        <f t="shared" ca="1" si="1259"/>
        <v>'0'!A40</v>
      </c>
      <c r="K4397" s="15" t="str">
        <f t="shared" ca="1" si="1260"/>
        <v>'0'!B40</v>
      </c>
    </row>
    <row r="4398" spans="1:16" x14ac:dyDescent="0.25">
      <c r="A4398" s="3" t="str">
        <f t="shared" ca="1" si="1263"/>
        <v/>
      </c>
      <c r="G4398" s="15">
        <f t="shared" ca="1" si="1251"/>
        <v>41</v>
      </c>
      <c r="H4398" s="15">
        <v>1</v>
      </c>
      <c r="I4398" s="15">
        <f t="shared" ca="1" si="1252"/>
        <v>0</v>
      </c>
      <c r="J4398" s="15" t="str">
        <f t="shared" ca="1" si="1259"/>
        <v>'0'!A41</v>
      </c>
      <c r="K4398" s="15" t="str">
        <f t="shared" ca="1" si="1260"/>
        <v>'0'!B41</v>
      </c>
    </row>
    <row r="4399" spans="1:16" x14ac:dyDescent="0.25">
      <c r="A4399" s="3" t="str">
        <f t="shared" ca="1" si="1263"/>
        <v/>
      </c>
      <c r="C4399" s="16"/>
      <c r="G4399" s="15">
        <f t="shared" ca="1" si="1251"/>
        <v>42</v>
      </c>
      <c r="H4399" s="15">
        <v>1</v>
      </c>
      <c r="I4399" s="15">
        <f t="shared" ca="1" si="1252"/>
        <v>0</v>
      </c>
      <c r="J4399" s="15" t="str">
        <f t="shared" ca="1" si="1259"/>
        <v>'0'!A42</v>
      </c>
      <c r="K4399" s="15" t="str">
        <f t="shared" ca="1" si="1260"/>
        <v>'0'!B42</v>
      </c>
    </row>
    <row r="4400" spans="1:16" x14ac:dyDescent="0.25">
      <c r="A4400" s="3" t="str">
        <f t="shared" ca="1" si="1263"/>
        <v/>
      </c>
      <c r="G4400" s="15">
        <f t="shared" ca="1" si="1251"/>
        <v>43</v>
      </c>
      <c r="H4400" s="15">
        <v>1</v>
      </c>
      <c r="I4400" s="15">
        <f t="shared" ca="1" si="1252"/>
        <v>0</v>
      </c>
      <c r="J4400" s="15" t="str">
        <f t="shared" ca="1" si="1259"/>
        <v>'0'!A43</v>
      </c>
      <c r="K4400" s="15" t="str">
        <f t="shared" ca="1" si="1260"/>
        <v>'0'!B43</v>
      </c>
    </row>
    <row r="4401" spans="1:16" x14ac:dyDescent="0.25">
      <c r="A4401" s="3" t="str">
        <f t="shared" ca="1" si="1263"/>
        <v/>
      </c>
      <c r="G4401" s="15">
        <f t="shared" ca="1" si="1251"/>
        <v>44</v>
      </c>
      <c r="H4401" s="15">
        <v>1</v>
      </c>
      <c r="I4401" s="15">
        <f t="shared" ca="1" si="1252"/>
        <v>0</v>
      </c>
      <c r="J4401" s="15" t="str">
        <f t="shared" ca="1" si="1259"/>
        <v>'0'!A44</v>
      </c>
      <c r="K4401" s="15" t="str">
        <f t="shared" ca="1" si="1260"/>
        <v>'0'!B44</v>
      </c>
    </row>
    <row r="4402" spans="1:16" x14ac:dyDescent="0.25">
      <c r="A4402" s="3" t="str">
        <f t="shared" ca="1" si="1263"/>
        <v/>
      </c>
      <c r="G4402" s="15">
        <f t="shared" ca="1" si="1251"/>
        <v>45</v>
      </c>
      <c r="H4402" s="15">
        <v>1</v>
      </c>
      <c r="I4402" s="15">
        <f t="shared" ca="1" si="1252"/>
        <v>0</v>
      </c>
      <c r="J4402" s="15" t="str">
        <f t="shared" ca="1" si="1259"/>
        <v>'0'!A45</v>
      </c>
      <c r="K4402" s="15" t="str">
        <f t="shared" ca="1" si="1260"/>
        <v>'0'!B45</v>
      </c>
    </row>
    <row r="4403" spans="1:16" x14ac:dyDescent="0.25">
      <c r="A4403" s="3" t="str">
        <f t="shared" ca="1" si="1263"/>
        <v/>
      </c>
      <c r="G4403" s="15">
        <f t="shared" ca="1" si="1251"/>
        <v>46</v>
      </c>
      <c r="H4403" s="15">
        <v>1</v>
      </c>
      <c r="I4403" s="15">
        <f t="shared" ca="1" si="1252"/>
        <v>0</v>
      </c>
      <c r="J4403" s="15" t="str">
        <f t="shared" ca="1" si="1259"/>
        <v>'0'!A46</v>
      </c>
      <c r="K4403" s="15" t="str">
        <f t="shared" ca="1" si="1260"/>
        <v>'0'!B46</v>
      </c>
    </row>
    <row r="4404" spans="1:16" x14ac:dyDescent="0.25">
      <c r="A4404" s="3" t="str">
        <f t="shared" ca="1" si="1263"/>
        <v/>
      </c>
      <c r="G4404" s="15">
        <f t="shared" ca="1" si="1251"/>
        <v>47</v>
      </c>
      <c r="H4404" s="15">
        <v>1</v>
      </c>
      <c r="I4404" s="15">
        <f t="shared" ca="1" si="1252"/>
        <v>0</v>
      </c>
      <c r="J4404" s="15" t="str">
        <f t="shared" ca="1" si="1259"/>
        <v>'0'!A47</v>
      </c>
      <c r="K4404" s="15" t="str">
        <f t="shared" ca="1" si="1260"/>
        <v>'0'!B47</v>
      </c>
    </row>
    <row r="4405" spans="1:16" x14ac:dyDescent="0.25">
      <c r="A4405" s="3" t="str">
        <f t="shared" ca="1" si="1263"/>
        <v/>
      </c>
      <c r="G4405" s="15">
        <f t="shared" ca="1" si="1251"/>
        <v>48</v>
      </c>
      <c r="H4405" s="15">
        <v>1</v>
      </c>
      <c r="I4405" s="15">
        <f t="shared" ca="1" si="1252"/>
        <v>0</v>
      </c>
      <c r="J4405" s="15" t="str">
        <f t="shared" ca="1" si="1259"/>
        <v>'0'!A48</v>
      </c>
      <c r="K4405" s="15" t="str">
        <f t="shared" ca="1" si="1260"/>
        <v>'0'!B48</v>
      </c>
    </row>
    <row r="4406" spans="1:16" x14ac:dyDescent="0.25">
      <c r="A4406" s="3" t="str">
        <f t="shared" ca="1" si="1263"/>
        <v/>
      </c>
      <c r="G4406" s="15">
        <f t="shared" ca="1" si="1251"/>
        <v>49</v>
      </c>
      <c r="H4406" s="15">
        <v>1</v>
      </c>
      <c r="I4406" s="15">
        <f t="shared" ca="1" si="1252"/>
        <v>0</v>
      </c>
      <c r="J4406" s="15" t="str">
        <f t="shared" ca="1" si="1259"/>
        <v>'0'!A49</v>
      </c>
      <c r="K4406" s="15" t="str">
        <f t="shared" ca="1" si="1260"/>
        <v>'0'!B49</v>
      </c>
    </row>
    <row r="4407" spans="1:16" x14ac:dyDescent="0.25">
      <c r="A4407" s="3" t="str">
        <f t="shared" ca="1" si="1263"/>
        <v/>
      </c>
      <c r="G4407" s="15">
        <f t="shared" ca="1" si="1251"/>
        <v>50</v>
      </c>
      <c r="H4407" s="15">
        <v>1</v>
      </c>
      <c r="I4407" s="15">
        <f t="shared" ca="1" si="1252"/>
        <v>0</v>
      </c>
      <c r="J4407" s="15" t="str">
        <f t="shared" ca="1" si="1259"/>
        <v>'0'!A50</v>
      </c>
      <c r="K4407" s="15" t="str">
        <f t="shared" ca="1" si="1260"/>
        <v>'0'!B50</v>
      </c>
    </row>
    <row r="4408" spans="1:16" x14ac:dyDescent="0.25">
      <c r="A4408" s="3" t="str">
        <f t="shared" ca="1" si="1263"/>
        <v/>
      </c>
      <c r="G4408" s="15">
        <f t="shared" ref="G4408" ca="1" si="1264">INDIRECT(M4408)</f>
        <v>31</v>
      </c>
      <c r="H4408" s="15">
        <v>1</v>
      </c>
      <c r="I4408" s="15">
        <f t="shared" ref="I4408" ca="1" si="1265">INDIRECT(N4408)</f>
        <v>0</v>
      </c>
      <c r="J4408" s="15" t="str">
        <f t="shared" ca="1" si="1259"/>
        <v>'0'!A31</v>
      </c>
      <c r="K4408" s="15" t="str">
        <f t="shared" ca="1" si="1260"/>
        <v>'0'!B31</v>
      </c>
      <c r="M4408" s="15" t="str">
        <f t="shared" ref="M4408" si="1266">ADDRESS(O4408,3,4,1,$R$1)</f>
        <v>konfig!C222</v>
      </c>
      <c r="N4408" s="15" t="str">
        <f t="shared" ref="N4408" si="1267">ADDRESS(O4408,1,4,1,$R$1)</f>
        <v>konfig!A222</v>
      </c>
      <c r="O4408" s="15">
        <v>222</v>
      </c>
      <c r="P4408" s="15">
        <v>4</v>
      </c>
    </row>
    <row r="4409" spans="1:16" x14ac:dyDescent="0.25">
      <c r="A4409" s="3" t="str">
        <f t="shared" ca="1" si="1263"/>
        <v/>
      </c>
      <c r="G4409" s="15">
        <f t="shared" ref="G4409:G4452" ca="1" si="1268">G4408+1</f>
        <v>32</v>
      </c>
      <c r="H4409" s="15">
        <v>1</v>
      </c>
      <c r="I4409" s="15">
        <f t="shared" ref="I4409:I4452" ca="1" si="1269">I4408</f>
        <v>0</v>
      </c>
      <c r="J4409" s="15" t="str">
        <f t="shared" ca="1" si="1259"/>
        <v>'0'!A32</v>
      </c>
      <c r="K4409" s="15" t="str">
        <f t="shared" ca="1" si="1260"/>
        <v>'0'!B32</v>
      </c>
    </row>
    <row r="4410" spans="1:16" x14ac:dyDescent="0.25">
      <c r="A4410" s="3" t="str">
        <f t="shared" ca="1" si="1263"/>
        <v/>
      </c>
      <c r="G4410" s="15">
        <f t="shared" ca="1" si="1268"/>
        <v>33</v>
      </c>
      <c r="H4410" s="15">
        <v>1</v>
      </c>
      <c r="I4410" s="15">
        <f t="shared" ca="1" si="1269"/>
        <v>0</v>
      </c>
      <c r="J4410" s="15" t="str">
        <f t="shared" ca="1" si="1259"/>
        <v>'0'!A33</v>
      </c>
      <c r="K4410" s="15" t="str">
        <f t="shared" ca="1" si="1260"/>
        <v>'0'!B33</v>
      </c>
    </row>
    <row r="4411" spans="1:16" x14ac:dyDescent="0.25">
      <c r="A4411" s="3" t="str">
        <f t="shared" ca="1" si="1263"/>
        <v/>
      </c>
      <c r="C4411" s="16"/>
      <c r="G4411" s="15">
        <f t="shared" ca="1" si="1268"/>
        <v>34</v>
      </c>
      <c r="H4411" s="15">
        <v>1</v>
      </c>
      <c r="I4411" s="15">
        <f t="shared" ca="1" si="1269"/>
        <v>0</v>
      </c>
      <c r="J4411" s="15" t="str">
        <f t="shared" ca="1" si="1259"/>
        <v>'0'!A34</v>
      </c>
      <c r="K4411" s="15" t="str">
        <f t="shared" ca="1" si="1260"/>
        <v>'0'!B34</v>
      </c>
    </row>
    <row r="4412" spans="1:16" x14ac:dyDescent="0.25">
      <c r="A4412" s="3" t="str">
        <f t="shared" ca="1" si="1263"/>
        <v/>
      </c>
      <c r="G4412" s="15">
        <f t="shared" ca="1" si="1268"/>
        <v>35</v>
      </c>
      <c r="H4412" s="15">
        <v>1</v>
      </c>
      <c r="I4412" s="15">
        <f t="shared" ca="1" si="1269"/>
        <v>0</v>
      </c>
      <c r="J4412" s="15" t="str">
        <f t="shared" ca="1" si="1259"/>
        <v>'0'!A35</v>
      </c>
      <c r="K4412" s="15" t="str">
        <f t="shared" ca="1" si="1260"/>
        <v>'0'!B35</v>
      </c>
    </row>
    <row r="4413" spans="1:16" x14ac:dyDescent="0.25">
      <c r="A4413" s="3" t="str">
        <f t="shared" ca="1" si="1263"/>
        <v/>
      </c>
      <c r="G4413" s="15">
        <f t="shared" ca="1" si="1251"/>
        <v>36</v>
      </c>
      <c r="H4413" s="15">
        <v>1</v>
      </c>
      <c r="I4413" s="15">
        <f t="shared" ca="1" si="1252"/>
        <v>0</v>
      </c>
      <c r="J4413" s="15" t="str">
        <f t="shared" ca="1" si="1259"/>
        <v>'0'!A36</v>
      </c>
      <c r="K4413" s="15" t="str">
        <f t="shared" ca="1" si="1260"/>
        <v>'0'!B36</v>
      </c>
    </row>
    <row r="4414" spans="1:16" x14ac:dyDescent="0.25">
      <c r="A4414" s="3" t="str">
        <f t="shared" ca="1" si="1263"/>
        <v/>
      </c>
      <c r="G4414" s="15">
        <f t="shared" ca="1" si="1251"/>
        <v>37</v>
      </c>
      <c r="H4414" s="15">
        <v>1</v>
      </c>
      <c r="I4414" s="15">
        <f t="shared" ca="1" si="1252"/>
        <v>0</v>
      </c>
      <c r="J4414" s="15" t="str">
        <f t="shared" ca="1" si="1259"/>
        <v>'0'!A37</v>
      </c>
      <c r="K4414" s="15" t="str">
        <f t="shared" ca="1" si="1260"/>
        <v>'0'!B37</v>
      </c>
    </row>
    <row r="4415" spans="1:16" x14ac:dyDescent="0.25">
      <c r="A4415" s="3" t="str">
        <f t="shared" ca="1" si="1263"/>
        <v/>
      </c>
      <c r="G4415" s="15">
        <f t="shared" ca="1" si="1251"/>
        <v>38</v>
      </c>
      <c r="H4415" s="15">
        <v>1</v>
      </c>
      <c r="I4415" s="15">
        <f t="shared" ca="1" si="1252"/>
        <v>0</v>
      </c>
      <c r="J4415" s="15" t="str">
        <f t="shared" ca="1" si="1259"/>
        <v>'0'!A38</v>
      </c>
      <c r="K4415" s="15" t="str">
        <f t="shared" ca="1" si="1260"/>
        <v>'0'!B38</v>
      </c>
    </row>
    <row r="4416" spans="1:16" x14ac:dyDescent="0.25">
      <c r="A4416" s="3" t="str">
        <f t="shared" ca="1" si="1263"/>
        <v/>
      </c>
      <c r="G4416" s="15">
        <f t="shared" ca="1" si="1251"/>
        <v>39</v>
      </c>
      <c r="H4416" s="15">
        <v>1</v>
      </c>
      <c r="I4416" s="15">
        <f t="shared" ca="1" si="1252"/>
        <v>0</v>
      </c>
      <c r="J4416" s="15" t="str">
        <f t="shared" ca="1" si="1259"/>
        <v>'0'!A39</v>
      </c>
      <c r="K4416" s="15" t="str">
        <f t="shared" ca="1" si="1260"/>
        <v>'0'!B39</v>
      </c>
    </row>
    <row r="4417" spans="1:16" x14ac:dyDescent="0.25">
      <c r="A4417" s="3" t="str">
        <f t="shared" ca="1" si="1263"/>
        <v/>
      </c>
      <c r="G4417" s="15">
        <f t="shared" ca="1" si="1251"/>
        <v>40</v>
      </c>
      <c r="H4417" s="15">
        <v>1</v>
      </c>
      <c r="I4417" s="15">
        <f t="shared" ca="1" si="1252"/>
        <v>0</v>
      </c>
      <c r="J4417" s="15" t="str">
        <f t="shared" ca="1" si="1259"/>
        <v>'0'!A40</v>
      </c>
      <c r="K4417" s="15" t="str">
        <f t="shared" ca="1" si="1260"/>
        <v>'0'!B40</v>
      </c>
    </row>
    <row r="4418" spans="1:16" x14ac:dyDescent="0.25">
      <c r="A4418" s="3" t="str">
        <f t="shared" ca="1" si="1263"/>
        <v/>
      </c>
      <c r="G4418" s="15">
        <f t="shared" ca="1" si="1251"/>
        <v>41</v>
      </c>
      <c r="H4418" s="15">
        <v>1</v>
      </c>
      <c r="I4418" s="15">
        <f t="shared" ca="1" si="1252"/>
        <v>0</v>
      </c>
      <c r="J4418" s="15" t="str">
        <f t="shared" ca="1" si="1259"/>
        <v>'0'!A41</v>
      </c>
      <c r="K4418" s="15" t="str">
        <f t="shared" ca="1" si="1260"/>
        <v>'0'!B41</v>
      </c>
    </row>
    <row r="4419" spans="1:16" x14ac:dyDescent="0.25">
      <c r="A4419" s="3" t="str">
        <f t="shared" ca="1" si="1263"/>
        <v/>
      </c>
      <c r="C4419" s="16"/>
      <c r="G4419" s="15">
        <f t="shared" ca="1" si="1251"/>
        <v>42</v>
      </c>
      <c r="H4419" s="15">
        <v>1</v>
      </c>
      <c r="I4419" s="15">
        <f t="shared" ca="1" si="1252"/>
        <v>0</v>
      </c>
      <c r="J4419" s="15" t="str">
        <f t="shared" ca="1" si="1259"/>
        <v>'0'!A42</v>
      </c>
      <c r="K4419" s="15" t="str">
        <f t="shared" ca="1" si="1260"/>
        <v>'0'!B42</v>
      </c>
    </row>
    <row r="4420" spans="1:16" x14ac:dyDescent="0.25">
      <c r="A4420" s="3" t="str">
        <f t="shared" ca="1" si="1263"/>
        <v/>
      </c>
      <c r="G4420" s="15">
        <f t="shared" ca="1" si="1251"/>
        <v>43</v>
      </c>
      <c r="H4420" s="15">
        <v>1</v>
      </c>
      <c r="I4420" s="15">
        <f t="shared" ca="1" si="1252"/>
        <v>0</v>
      </c>
      <c r="J4420" s="15" t="str">
        <f t="shared" ca="1" si="1259"/>
        <v>'0'!A43</v>
      </c>
      <c r="K4420" s="15" t="str">
        <f t="shared" ca="1" si="1260"/>
        <v>'0'!B43</v>
      </c>
    </row>
    <row r="4421" spans="1:16" x14ac:dyDescent="0.25">
      <c r="A4421" s="3" t="str">
        <f t="shared" ca="1" si="1263"/>
        <v/>
      </c>
      <c r="G4421" s="15">
        <f t="shared" ca="1" si="1251"/>
        <v>44</v>
      </c>
      <c r="H4421" s="15">
        <v>1</v>
      </c>
      <c r="I4421" s="15">
        <f t="shared" ca="1" si="1252"/>
        <v>0</v>
      </c>
      <c r="J4421" s="15" t="str">
        <f t="shared" ca="1" si="1259"/>
        <v>'0'!A44</v>
      </c>
      <c r="K4421" s="15" t="str">
        <f t="shared" ca="1" si="1260"/>
        <v>'0'!B44</v>
      </c>
    </row>
    <row r="4422" spans="1:16" x14ac:dyDescent="0.25">
      <c r="A4422" s="3" t="str">
        <f t="shared" ca="1" si="1263"/>
        <v/>
      </c>
      <c r="G4422" s="15">
        <f t="shared" ca="1" si="1251"/>
        <v>45</v>
      </c>
      <c r="H4422" s="15">
        <v>1</v>
      </c>
      <c r="I4422" s="15">
        <f t="shared" ca="1" si="1252"/>
        <v>0</v>
      </c>
      <c r="J4422" s="15" t="str">
        <f t="shared" ca="1" si="1259"/>
        <v>'0'!A45</v>
      </c>
      <c r="K4422" s="15" t="str">
        <f t="shared" ca="1" si="1260"/>
        <v>'0'!B45</v>
      </c>
    </row>
    <row r="4423" spans="1:16" x14ac:dyDescent="0.25">
      <c r="A4423" s="3" t="str">
        <f t="shared" ca="1" si="1263"/>
        <v/>
      </c>
      <c r="G4423" s="15">
        <f t="shared" ca="1" si="1251"/>
        <v>46</v>
      </c>
      <c r="H4423" s="15">
        <v>1</v>
      </c>
      <c r="I4423" s="15">
        <f t="shared" ca="1" si="1252"/>
        <v>0</v>
      </c>
      <c r="J4423" s="15" t="str">
        <f t="shared" ca="1" si="1259"/>
        <v>'0'!A46</v>
      </c>
      <c r="K4423" s="15" t="str">
        <f t="shared" ca="1" si="1260"/>
        <v>'0'!B46</v>
      </c>
    </row>
    <row r="4424" spans="1:16" x14ac:dyDescent="0.25">
      <c r="A4424" s="3" t="str">
        <f t="shared" ca="1" si="1263"/>
        <v/>
      </c>
      <c r="G4424" s="15">
        <f t="shared" ca="1" si="1251"/>
        <v>47</v>
      </c>
      <c r="H4424" s="15">
        <v>1</v>
      </c>
      <c r="I4424" s="15">
        <f t="shared" ca="1" si="1252"/>
        <v>0</v>
      </c>
      <c r="J4424" s="15" t="str">
        <f t="shared" ca="1" si="1259"/>
        <v>'0'!A47</v>
      </c>
      <c r="K4424" s="15" t="str">
        <f t="shared" ca="1" si="1260"/>
        <v>'0'!B47</v>
      </c>
    </row>
    <row r="4425" spans="1:16" x14ac:dyDescent="0.25">
      <c r="A4425" s="3" t="str">
        <f t="shared" ca="1" si="1263"/>
        <v/>
      </c>
      <c r="G4425" s="15">
        <f t="shared" ref="G4425:G4487" ca="1" si="1270">G4424+1</f>
        <v>48</v>
      </c>
      <c r="H4425" s="15">
        <v>1</v>
      </c>
      <c r="I4425" s="15">
        <f t="shared" ref="I4425:I4487" ca="1" si="1271">I4424</f>
        <v>0</v>
      </c>
      <c r="J4425" s="15" t="str">
        <f t="shared" ca="1" si="1259"/>
        <v>'0'!A48</v>
      </c>
      <c r="K4425" s="15" t="str">
        <f t="shared" ca="1" si="1260"/>
        <v>'0'!B48</v>
      </c>
    </row>
    <row r="4426" spans="1:16" x14ac:dyDescent="0.25">
      <c r="A4426" s="3" t="str">
        <f t="shared" ca="1" si="1263"/>
        <v/>
      </c>
      <c r="G4426" s="15">
        <f t="shared" ca="1" si="1270"/>
        <v>49</v>
      </c>
      <c r="H4426" s="15">
        <v>1</v>
      </c>
      <c r="I4426" s="15">
        <f t="shared" ca="1" si="1271"/>
        <v>0</v>
      </c>
      <c r="J4426" s="15" t="str">
        <f t="shared" ca="1" si="1259"/>
        <v>'0'!A49</v>
      </c>
      <c r="K4426" s="15" t="str">
        <f t="shared" ca="1" si="1260"/>
        <v>'0'!B49</v>
      </c>
    </row>
    <row r="4427" spans="1:16" x14ac:dyDescent="0.25">
      <c r="A4427" s="3" t="str">
        <f t="shared" ca="1" si="1263"/>
        <v/>
      </c>
      <c r="G4427" s="15">
        <f t="shared" ca="1" si="1270"/>
        <v>50</v>
      </c>
      <c r="H4427" s="15">
        <v>1</v>
      </c>
      <c r="I4427" s="15">
        <f t="shared" ca="1" si="1271"/>
        <v>0</v>
      </c>
      <c r="J4427" s="15" t="str">
        <f t="shared" ca="1" si="1259"/>
        <v>'0'!A50</v>
      </c>
      <c r="K4427" s="15" t="str">
        <f t="shared" ca="1" si="1260"/>
        <v>'0'!B50</v>
      </c>
    </row>
    <row r="4428" spans="1:16" x14ac:dyDescent="0.25">
      <c r="A4428" s="3" t="str">
        <f t="shared" ca="1" si="1263"/>
        <v/>
      </c>
      <c r="G4428" s="15">
        <f t="shared" ref="G4428" ca="1" si="1272">INDIRECT(M4428)</f>
        <v>31</v>
      </c>
      <c r="H4428" s="15">
        <v>1</v>
      </c>
      <c r="I4428" s="15">
        <f t="shared" ref="I4428" ca="1" si="1273">INDIRECT(N4428)</f>
        <v>0</v>
      </c>
      <c r="J4428" s="15" t="str">
        <f t="shared" ca="1" si="1259"/>
        <v>'0'!A31</v>
      </c>
      <c r="K4428" s="15" t="str">
        <f t="shared" ca="1" si="1260"/>
        <v>'0'!B31</v>
      </c>
      <c r="M4428" s="15" t="str">
        <f t="shared" ref="M4428" si="1274">ADDRESS(O4428,3,4,1,$R$1)</f>
        <v>konfig!C223</v>
      </c>
      <c r="N4428" s="15" t="str">
        <f t="shared" ref="N4428" si="1275">ADDRESS(O4428,1,4,1,$R$1)</f>
        <v>konfig!A223</v>
      </c>
      <c r="O4428" s="15">
        <v>223</v>
      </c>
      <c r="P4428" s="15">
        <v>4</v>
      </c>
    </row>
    <row r="4429" spans="1:16" x14ac:dyDescent="0.25">
      <c r="A4429" s="3" t="str">
        <f t="shared" ca="1" si="1263"/>
        <v/>
      </c>
      <c r="G4429" s="15">
        <f t="shared" ref="G4429:G4469" ca="1" si="1276">G4428+1</f>
        <v>32</v>
      </c>
      <c r="H4429" s="15">
        <v>1</v>
      </c>
      <c r="I4429" s="15">
        <f t="shared" ref="I4429:I4469" ca="1" si="1277">I4428</f>
        <v>0</v>
      </c>
      <c r="J4429" s="15" t="str">
        <f t="shared" ca="1" si="1259"/>
        <v>'0'!A32</v>
      </c>
      <c r="K4429" s="15" t="str">
        <f t="shared" ca="1" si="1260"/>
        <v>'0'!B32</v>
      </c>
    </row>
    <row r="4430" spans="1:16" x14ac:dyDescent="0.25">
      <c r="A4430" s="3" t="str">
        <f t="shared" ca="1" si="1263"/>
        <v/>
      </c>
      <c r="G4430" s="15">
        <f t="shared" ca="1" si="1270"/>
        <v>33</v>
      </c>
      <c r="H4430" s="15">
        <v>1</v>
      </c>
      <c r="I4430" s="15">
        <f t="shared" ca="1" si="1271"/>
        <v>0</v>
      </c>
      <c r="J4430" s="15" t="str">
        <f t="shared" ca="1" si="1259"/>
        <v>'0'!A33</v>
      </c>
      <c r="K4430" s="15" t="str">
        <f t="shared" ca="1" si="1260"/>
        <v>'0'!B33</v>
      </c>
    </row>
    <row r="4431" spans="1:16" x14ac:dyDescent="0.25">
      <c r="A4431" s="3" t="str">
        <f t="shared" ca="1" si="1263"/>
        <v/>
      </c>
      <c r="C4431" s="16"/>
      <c r="G4431" s="15">
        <f t="shared" ca="1" si="1270"/>
        <v>34</v>
      </c>
      <c r="H4431" s="15">
        <v>1</v>
      </c>
      <c r="I4431" s="15">
        <f t="shared" ca="1" si="1271"/>
        <v>0</v>
      </c>
      <c r="J4431" s="15" t="str">
        <f t="shared" ca="1" si="1259"/>
        <v>'0'!A34</v>
      </c>
      <c r="K4431" s="15" t="str">
        <f t="shared" ca="1" si="1260"/>
        <v>'0'!B34</v>
      </c>
    </row>
    <row r="4432" spans="1:16" x14ac:dyDescent="0.25">
      <c r="A4432" s="3" t="str">
        <f t="shared" ca="1" si="1263"/>
        <v/>
      </c>
      <c r="G4432" s="15">
        <f t="shared" ca="1" si="1270"/>
        <v>35</v>
      </c>
      <c r="H4432" s="15">
        <v>1</v>
      </c>
      <c r="I4432" s="15">
        <f t="shared" ca="1" si="1271"/>
        <v>0</v>
      </c>
      <c r="J4432" s="15" t="str">
        <f t="shared" ca="1" si="1259"/>
        <v>'0'!A35</v>
      </c>
      <c r="K4432" s="15" t="str">
        <f t="shared" ca="1" si="1260"/>
        <v>'0'!B35</v>
      </c>
    </row>
    <row r="4433" spans="1:16" x14ac:dyDescent="0.25">
      <c r="A4433" s="3" t="str">
        <f t="shared" ca="1" si="1263"/>
        <v/>
      </c>
      <c r="G4433" s="15">
        <f t="shared" ca="1" si="1270"/>
        <v>36</v>
      </c>
      <c r="H4433" s="15">
        <v>1</v>
      </c>
      <c r="I4433" s="15">
        <f t="shared" ca="1" si="1271"/>
        <v>0</v>
      </c>
      <c r="J4433" s="15" t="str">
        <f t="shared" ca="1" si="1259"/>
        <v>'0'!A36</v>
      </c>
      <c r="K4433" s="15" t="str">
        <f t="shared" ca="1" si="1260"/>
        <v>'0'!B36</v>
      </c>
    </row>
    <row r="4434" spans="1:16" x14ac:dyDescent="0.25">
      <c r="A4434" s="3" t="str">
        <f t="shared" ca="1" si="1263"/>
        <v/>
      </c>
      <c r="G4434" s="15">
        <f t="shared" ca="1" si="1270"/>
        <v>37</v>
      </c>
      <c r="H4434" s="15">
        <v>1</v>
      </c>
      <c r="I4434" s="15">
        <f t="shared" ca="1" si="1271"/>
        <v>0</v>
      </c>
      <c r="J4434" s="15" t="str">
        <f t="shared" ca="1" si="1259"/>
        <v>'0'!A37</v>
      </c>
      <c r="K4434" s="15" t="str">
        <f t="shared" ca="1" si="1260"/>
        <v>'0'!B37</v>
      </c>
    </row>
    <row r="4435" spans="1:16" x14ac:dyDescent="0.25">
      <c r="A4435" s="3" t="str">
        <f t="shared" ca="1" si="1263"/>
        <v/>
      </c>
      <c r="G4435" s="15">
        <f t="shared" ca="1" si="1270"/>
        <v>38</v>
      </c>
      <c r="H4435" s="15">
        <v>1</v>
      </c>
      <c r="I4435" s="15">
        <f t="shared" ca="1" si="1271"/>
        <v>0</v>
      </c>
      <c r="J4435" s="15" t="str">
        <f t="shared" ca="1" si="1259"/>
        <v>'0'!A38</v>
      </c>
      <c r="K4435" s="15" t="str">
        <f t="shared" ca="1" si="1260"/>
        <v>'0'!B38</v>
      </c>
    </row>
    <row r="4436" spans="1:16" x14ac:dyDescent="0.25">
      <c r="A4436" s="3" t="str">
        <f t="shared" ca="1" si="1263"/>
        <v/>
      </c>
      <c r="G4436" s="15">
        <f t="shared" ca="1" si="1270"/>
        <v>39</v>
      </c>
      <c r="H4436" s="15">
        <v>1</v>
      </c>
      <c r="I4436" s="15">
        <f t="shared" ca="1" si="1271"/>
        <v>0</v>
      </c>
      <c r="J4436" s="15" t="str">
        <f t="shared" ca="1" si="1259"/>
        <v>'0'!A39</v>
      </c>
      <c r="K4436" s="15" t="str">
        <f t="shared" ca="1" si="1260"/>
        <v>'0'!B39</v>
      </c>
    </row>
    <row r="4437" spans="1:16" x14ac:dyDescent="0.25">
      <c r="A4437" s="3" t="str">
        <f t="shared" ca="1" si="1263"/>
        <v/>
      </c>
      <c r="G4437" s="15">
        <f t="shared" ca="1" si="1270"/>
        <v>40</v>
      </c>
      <c r="H4437" s="15">
        <v>1</v>
      </c>
      <c r="I4437" s="15">
        <f t="shared" ca="1" si="1271"/>
        <v>0</v>
      </c>
      <c r="J4437" s="15" t="str">
        <f t="shared" ca="1" si="1259"/>
        <v>'0'!A40</v>
      </c>
      <c r="K4437" s="15" t="str">
        <f t="shared" ca="1" si="1260"/>
        <v>'0'!B40</v>
      </c>
    </row>
    <row r="4438" spans="1:16" x14ac:dyDescent="0.25">
      <c r="A4438" s="3" t="str">
        <f t="shared" ca="1" si="1263"/>
        <v/>
      </c>
      <c r="G4438" s="15">
        <f t="shared" ca="1" si="1270"/>
        <v>41</v>
      </c>
      <c r="H4438" s="15">
        <v>1</v>
      </c>
      <c r="I4438" s="15">
        <f t="shared" ca="1" si="1271"/>
        <v>0</v>
      </c>
      <c r="J4438" s="15" t="str">
        <f t="shared" ca="1" si="1259"/>
        <v>'0'!A41</v>
      </c>
      <c r="K4438" s="15" t="str">
        <f t="shared" ca="1" si="1260"/>
        <v>'0'!B41</v>
      </c>
    </row>
    <row r="4439" spans="1:16" x14ac:dyDescent="0.25">
      <c r="A4439" s="3" t="str">
        <f t="shared" ca="1" si="1263"/>
        <v/>
      </c>
      <c r="C4439" s="16"/>
      <c r="G4439" s="15">
        <f t="shared" ca="1" si="1270"/>
        <v>42</v>
      </c>
      <c r="H4439" s="15">
        <v>1</v>
      </c>
      <c r="I4439" s="15">
        <f t="shared" ca="1" si="1271"/>
        <v>0</v>
      </c>
      <c r="J4439" s="15" t="str">
        <f t="shared" ca="1" si="1259"/>
        <v>'0'!A42</v>
      </c>
      <c r="K4439" s="15" t="str">
        <f t="shared" ca="1" si="1260"/>
        <v>'0'!B42</v>
      </c>
    </row>
    <row r="4440" spans="1:16" x14ac:dyDescent="0.25">
      <c r="A4440" s="3" t="str">
        <f t="shared" ca="1" si="1263"/>
        <v/>
      </c>
      <c r="G4440" s="15">
        <f t="shared" ca="1" si="1270"/>
        <v>43</v>
      </c>
      <c r="H4440" s="15">
        <v>1</v>
      </c>
      <c r="I4440" s="15">
        <f t="shared" ca="1" si="1271"/>
        <v>0</v>
      </c>
      <c r="J4440" s="15" t="str">
        <f t="shared" ca="1" si="1259"/>
        <v>'0'!A43</v>
      </c>
      <c r="K4440" s="15" t="str">
        <f t="shared" ca="1" si="1260"/>
        <v>'0'!B43</v>
      </c>
    </row>
    <row r="4441" spans="1:16" x14ac:dyDescent="0.25">
      <c r="A4441" s="3" t="str">
        <f t="shared" ca="1" si="1263"/>
        <v/>
      </c>
      <c r="G4441" s="15">
        <f t="shared" ca="1" si="1270"/>
        <v>44</v>
      </c>
      <c r="H4441" s="15">
        <v>1</v>
      </c>
      <c r="I4441" s="15">
        <f t="shared" ca="1" si="1271"/>
        <v>0</v>
      </c>
      <c r="J4441" s="15" t="str">
        <f t="shared" ca="1" si="1259"/>
        <v>'0'!A44</v>
      </c>
      <c r="K4441" s="15" t="str">
        <f t="shared" ca="1" si="1260"/>
        <v>'0'!B44</v>
      </c>
    </row>
    <row r="4442" spans="1:16" x14ac:dyDescent="0.25">
      <c r="A4442" s="3" t="str">
        <f t="shared" ca="1" si="1263"/>
        <v/>
      </c>
      <c r="G4442" s="15">
        <f t="shared" ca="1" si="1270"/>
        <v>45</v>
      </c>
      <c r="H4442" s="15">
        <v>1</v>
      </c>
      <c r="I4442" s="15">
        <f t="shared" ca="1" si="1271"/>
        <v>0</v>
      </c>
      <c r="J4442" s="15" t="str">
        <f t="shared" ca="1" si="1259"/>
        <v>'0'!A45</v>
      </c>
      <c r="K4442" s="15" t="str">
        <f t="shared" ca="1" si="1260"/>
        <v>'0'!B45</v>
      </c>
    </row>
    <row r="4443" spans="1:16" x14ac:dyDescent="0.25">
      <c r="A4443" s="3" t="str">
        <f t="shared" ca="1" si="1263"/>
        <v/>
      </c>
      <c r="G4443" s="15">
        <f t="shared" ca="1" si="1270"/>
        <v>46</v>
      </c>
      <c r="H4443" s="15">
        <v>1</v>
      </c>
      <c r="I4443" s="15">
        <f t="shared" ca="1" si="1271"/>
        <v>0</v>
      </c>
      <c r="J4443" s="15" t="str">
        <f t="shared" ca="1" si="1259"/>
        <v>'0'!A46</v>
      </c>
      <c r="K4443" s="15" t="str">
        <f t="shared" ca="1" si="1260"/>
        <v>'0'!B46</v>
      </c>
    </row>
    <row r="4444" spans="1:16" x14ac:dyDescent="0.25">
      <c r="A4444" s="3" t="str">
        <f t="shared" ca="1" si="1263"/>
        <v/>
      </c>
      <c r="G4444" s="15">
        <f t="shared" ca="1" si="1270"/>
        <v>47</v>
      </c>
      <c r="H4444" s="15">
        <v>1</v>
      </c>
      <c r="I4444" s="15">
        <f t="shared" ca="1" si="1271"/>
        <v>0</v>
      </c>
      <c r="J4444" s="15" t="str">
        <f t="shared" ca="1" si="1259"/>
        <v>'0'!A47</v>
      </c>
      <c r="K4444" s="15" t="str">
        <f t="shared" ca="1" si="1260"/>
        <v>'0'!B47</v>
      </c>
    </row>
    <row r="4445" spans="1:16" x14ac:dyDescent="0.25">
      <c r="A4445" s="3" t="str">
        <f t="shared" ca="1" si="1263"/>
        <v/>
      </c>
      <c r="G4445" s="15">
        <f t="shared" ca="1" si="1270"/>
        <v>48</v>
      </c>
      <c r="H4445" s="15">
        <v>1</v>
      </c>
      <c r="I4445" s="15">
        <f t="shared" ca="1" si="1271"/>
        <v>0</v>
      </c>
      <c r="J4445" s="15" t="str">
        <f t="shared" ca="1" si="1259"/>
        <v>'0'!A48</v>
      </c>
      <c r="K4445" s="15" t="str">
        <f t="shared" ca="1" si="1260"/>
        <v>'0'!B48</v>
      </c>
    </row>
    <row r="4446" spans="1:16" x14ac:dyDescent="0.25">
      <c r="A4446" s="3" t="str">
        <f t="shared" ca="1" si="1263"/>
        <v/>
      </c>
      <c r="G4446" s="15">
        <f t="shared" ca="1" si="1270"/>
        <v>49</v>
      </c>
      <c r="H4446" s="15">
        <v>1</v>
      </c>
      <c r="I4446" s="15">
        <f t="shared" ca="1" si="1271"/>
        <v>0</v>
      </c>
      <c r="J4446" s="15" t="str">
        <f t="shared" ca="1" si="1259"/>
        <v>'0'!A49</v>
      </c>
      <c r="K4446" s="15" t="str">
        <f t="shared" ca="1" si="1260"/>
        <v>'0'!B49</v>
      </c>
    </row>
    <row r="4447" spans="1:16" x14ac:dyDescent="0.25">
      <c r="A4447" s="3" t="str">
        <f t="shared" ca="1" si="1263"/>
        <v/>
      </c>
      <c r="G4447" s="15">
        <f t="shared" ca="1" si="1270"/>
        <v>50</v>
      </c>
      <c r="H4447" s="15">
        <v>1</v>
      </c>
      <c r="I4447" s="15">
        <f t="shared" ca="1" si="1271"/>
        <v>0</v>
      </c>
      <c r="J4447" s="15" t="str">
        <f t="shared" ca="1" si="1259"/>
        <v>'0'!A50</v>
      </c>
      <c r="K4447" s="15" t="str">
        <f t="shared" ca="1" si="1260"/>
        <v>'0'!B50</v>
      </c>
    </row>
    <row r="4448" spans="1:16" x14ac:dyDescent="0.25">
      <c r="A4448" s="3" t="str">
        <f t="shared" ca="1" si="1263"/>
        <v/>
      </c>
      <c r="G4448" s="15">
        <f t="shared" ref="G4448" ca="1" si="1278">INDIRECT(M4448)</f>
        <v>31</v>
      </c>
      <c r="H4448" s="15">
        <v>1</v>
      </c>
      <c r="I4448" s="15">
        <f t="shared" ref="I4448" ca="1" si="1279">INDIRECT(N4448)</f>
        <v>0</v>
      </c>
      <c r="J4448" s="15" t="str">
        <f t="shared" ca="1" si="1259"/>
        <v>'0'!A31</v>
      </c>
      <c r="K4448" s="15" t="str">
        <f t="shared" ca="1" si="1260"/>
        <v>'0'!B31</v>
      </c>
      <c r="M4448" s="15" t="str">
        <f t="shared" ref="M4448" si="1280">ADDRESS(O4448,3,4,1,$R$1)</f>
        <v>konfig!C224</v>
      </c>
      <c r="N4448" s="15" t="str">
        <f t="shared" ref="N4448" si="1281">ADDRESS(O4448,1,4,1,$R$1)</f>
        <v>konfig!A224</v>
      </c>
      <c r="O4448" s="15">
        <v>224</v>
      </c>
      <c r="P4448" s="15">
        <v>4</v>
      </c>
    </row>
    <row r="4449" spans="1:11" x14ac:dyDescent="0.25">
      <c r="A4449" s="3" t="str">
        <f t="shared" ca="1" si="1263"/>
        <v/>
      </c>
      <c r="G4449" s="15">
        <f t="shared" ca="1" si="1268"/>
        <v>32</v>
      </c>
      <c r="H4449" s="15">
        <v>1</v>
      </c>
      <c r="I4449" s="15">
        <f t="shared" ca="1" si="1269"/>
        <v>0</v>
      </c>
      <c r="J4449" s="15" t="str">
        <f t="shared" ca="1" si="1259"/>
        <v>'0'!A32</v>
      </c>
      <c r="K4449" s="15" t="str">
        <f t="shared" ca="1" si="1260"/>
        <v>'0'!B32</v>
      </c>
    </row>
    <row r="4450" spans="1:11" x14ac:dyDescent="0.25">
      <c r="A4450" s="3" t="str">
        <f t="shared" ca="1" si="1263"/>
        <v/>
      </c>
      <c r="G4450" s="15">
        <f t="shared" ca="1" si="1268"/>
        <v>33</v>
      </c>
      <c r="H4450" s="15">
        <v>1</v>
      </c>
      <c r="I4450" s="15">
        <f t="shared" ca="1" si="1269"/>
        <v>0</v>
      </c>
      <c r="J4450" s="15" t="str">
        <f t="shared" ca="1" si="1259"/>
        <v>'0'!A33</v>
      </c>
      <c r="K4450" s="15" t="str">
        <f t="shared" ca="1" si="1260"/>
        <v>'0'!B33</v>
      </c>
    </row>
    <row r="4451" spans="1:11" x14ac:dyDescent="0.25">
      <c r="A4451" s="3" t="str">
        <f t="shared" ca="1" si="1263"/>
        <v/>
      </c>
      <c r="C4451" s="16"/>
      <c r="G4451" s="15">
        <f t="shared" ca="1" si="1268"/>
        <v>34</v>
      </c>
      <c r="H4451" s="15">
        <v>1</v>
      </c>
      <c r="I4451" s="15">
        <f t="shared" ca="1" si="1269"/>
        <v>0</v>
      </c>
      <c r="J4451" s="15" t="str">
        <f t="shared" ca="1" si="1259"/>
        <v>'0'!A34</v>
      </c>
      <c r="K4451" s="15" t="str">
        <f t="shared" ca="1" si="1260"/>
        <v>'0'!B34</v>
      </c>
    </row>
    <row r="4452" spans="1:11" x14ac:dyDescent="0.25">
      <c r="A4452" s="3" t="str">
        <f t="shared" ca="1" si="1263"/>
        <v/>
      </c>
      <c r="G4452" s="15">
        <f t="shared" ca="1" si="1268"/>
        <v>35</v>
      </c>
      <c r="H4452" s="15">
        <v>1</v>
      </c>
      <c r="I4452" s="15">
        <f t="shared" ca="1" si="1269"/>
        <v>0</v>
      </c>
      <c r="J4452" s="15" t="str">
        <f t="shared" ref="J4452:J4515" ca="1" si="1282">ADDRESS(G4452,H4452,4,1,I4452)</f>
        <v>'0'!A35</v>
      </c>
      <c r="K4452" s="15" t="str">
        <f t="shared" ref="K4452:K4515" ca="1" si="1283">ADDRESS(G4452,H4452+1,4,1,I4452)</f>
        <v>'0'!B35</v>
      </c>
    </row>
    <row r="4453" spans="1:11" x14ac:dyDescent="0.25">
      <c r="A4453" s="3" t="str">
        <f t="shared" ca="1" si="1263"/>
        <v/>
      </c>
      <c r="G4453" s="15">
        <f t="shared" ca="1" si="1270"/>
        <v>36</v>
      </c>
      <c r="H4453" s="15">
        <v>1</v>
      </c>
      <c r="I4453" s="15">
        <f t="shared" ca="1" si="1271"/>
        <v>0</v>
      </c>
      <c r="J4453" s="15" t="str">
        <f t="shared" ca="1" si="1282"/>
        <v>'0'!A36</v>
      </c>
      <c r="K4453" s="15" t="str">
        <f t="shared" ca="1" si="1283"/>
        <v>'0'!B36</v>
      </c>
    </row>
    <row r="4454" spans="1:11" x14ac:dyDescent="0.25">
      <c r="A4454" s="3" t="str">
        <f t="shared" ca="1" si="1263"/>
        <v/>
      </c>
      <c r="G4454" s="15">
        <f t="shared" ca="1" si="1270"/>
        <v>37</v>
      </c>
      <c r="H4454" s="15">
        <v>1</v>
      </c>
      <c r="I4454" s="15">
        <f t="shared" ca="1" si="1271"/>
        <v>0</v>
      </c>
      <c r="J4454" s="15" t="str">
        <f t="shared" ca="1" si="1282"/>
        <v>'0'!A37</v>
      </c>
      <c r="K4454" s="15" t="str">
        <f t="shared" ca="1" si="1283"/>
        <v>'0'!B37</v>
      </c>
    </row>
    <row r="4455" spans="1:11" x14ac:dyDescent="0.25">
      <c r="A4455" s="3" t="str">
        <f t="shared" ca="1" si="1263"/>
        <v/>
      </c>
      <c r="G4455" s="15">
        <f t="shared" ca="1" si="1270"/>
        <v>38</v>
      </c>
      <c r="H4455" s="15">
        <v>1</v>
      </c>
      <c r="I4455" s="15">
        <f t="shared" ca="1" si="1271"/>
        <v>0</v>
      </c>
      <c r="J4455" s="15" t="str">
        <f t="shared" ca="1" si="1282"/>
        <v>'0'!A38</v>
      </c>
      <c r="K4455" s="15" t="str">
        <f t="shared" ca="1" si="1283"/>
        <v>'0'!B38</v>
      </c>
    </row>
    <row r="4456" spans="1:11" x14ac:dyDescent="0.25">
      <c r="A4456" s="3" t="str">
        <f t="shared" ca="1" si="1263"/>
        <v/>
      </c>
      <c r="G4456" s="15">
        <f t="shared" ca="1" si="1270"/>
        <v>39</v>
      </c>
      <c r="H4456" s="15">
        <v>1</v>
      </c>
      <c r="I4456" s="15">
        <f t="shared" ca="1" si="1271"/>
        <v>0</v>
      </c>
      <c r="J4456" s="15" t="str">
        <f t="shared" ca="1" si="1282"/>
        <v>'0'!A39</v>
      </c>
      <c r="K4456" s="15" t="str">
        <f t="shared" ca="1" si="1283"/>
        <v>'0'!B39</v>
      </c>
    </row>
    <row r="4457" spans="1:11" x14ac:dyDescent="0.25">
      <c r="A4457" s="3" t="str">
        <f t="shared" ca="1" si="1263"/>
        <v/>
      </c>
      <c r="G4457" s="15">
        <f t="shared" ca="1" si="1270"/>
        <v>40</v>
      </c>
      <c r="H4457" s="15">
        <v>1</v>
      </c>
      <c r="I4457" s="15">
        <f t="shared" ca="1" si="1271"/>
        <v>0</v>
      </c>
      <c r="J4457" s="15" t="str">
        <f t="shared" ca="1" si="1282"/>
        <v>'0'!A40</v>
      </c>
      <c r="K4457" s="15" t="str">
        <f t="shared" ca="1" si="1283"/>
        <v>'0'!B40</v>
      </c>
    </row>
    <row r="4458" spans="1:11" x14ac:dyDescent="0.25">
      <c r="A4458" s="3" t="str">
        <f t="shared" ca="1" si="1263"/>
        <v/>
      </c>
      <c r="G4458" s="15">
        <f t="shared" ca="1" si="1270"/>
        <v>41</v>
      </c>
      <c r="H4458" s="15">
        <v>1</v>
      </c>
      <c r="I4458" s="15">
        <f t="shared" ca="1" si="1271"/>
        <v>0</v>
      </c>
      <c r="J4458" s="15" t="str">
        <f t="shared" ca="1" si="1282"/>
        <v>'0'!A41</v>
      </c>
      <c r="K4458" s="15" t="str">
        <f t="shared" ca="1" si="1283"/>
        <v>'0'!B41</v>
      </c>
    </row>
    <row r="4459" spans="1:11" x14ac:dyDescent="0.25">
      <c r="A4459" s="3" t="str">
        <f t="shared" ca="1" si="1263"/>
        <v/>
      </c>
      <c r="C4459" s="16"/>
      <c r="G4459" s="15">
        <f t="shared" ca="1" si="1270"/>
        <v>42</v>
      </c>
      <c r="H4459" s="15">
        <v>1</v>
      </c>
      <c r="I4459" s="15">
        <f t="shared" ca="1" si="1271"/>
        <v>0</v>
      </c>
      <c r="J4459" s="15" t="str">
        <f t="shared" ca="1" si="1282"/>
        <v>'0'!A42</v>
      </c>
      <c r="K4459" s="15" t="str">
        <f t="shared" ca="1" si="1283"/>
        <v>'0'!B42</v>
      </c>
    </row>
    <row r="4460" spans="1:11" x14ac:dyDescent="0.25">
      <c r="A4460" s="3" t="str">
        <f t="shared" ref="A4460:A4523" ca="1" si="1284">IFERROR(IF(INDIRECT(J4460)&lt;&gt;"",CONCATENATE(INDIRECT(J4460)," = ",INDIRECT(K4460)," "),""),"")</f>
        <v/>
      </c>
      <c r="G4460" s="15">
        <f t="shared" ca="1" si="1270"/>
        <v>43</v>
      </c>
      <c r="H4460" s="15">
        <v>1</v>
      </c>
      <c r="I4460" s="15">
        <f t="shared" ca="1" si="1271"/>
        <v>0</v>
      </c>
      <c r="J4460" s="15" t="str">
        <f t="shared" ca="1" si="1282"/>
        <v>'0'!A43</v>
      </c>
      <c r="K4460" s="15" t="str">
        <f t="shared" ca="1" si="1283"/>
        <v>'0'!B43</v>
      </c>
    </row>
    <row r="4461" spans="1:11" x14ac:dyDescent="0.25">
      <c r="A4461" s="3" t="str">
        <f t="shared" ca="1" si="1284"/>
        <v/>
      </c>
      <c r="G4461" s="15">
        <f t="shared" ca="1" si="1270"/>
        <v>44</v>
      </c>
      <c r="H4461" s="15">
        <v>1</v>
      </c>
      <c r="I4461" s="15">
        <f t="shared" ca="1" si="1271"/>
        <v>0</v>
      </c>
      <c r="J4461" s="15" t="str">
        <f t="shared" ca="1" si="1282"/>
        <v>'0'!A44</v>
      </c>
      <c r="K4461" s="15" t="str">
        <f t="shared" ca="1" si="1283"/>
        <v>'0'!B44</v>
      </c>
    </row>
    <row r="4462" spans="1:11" x14ac:dyDescent="0.25">
      <c r="A4462" s="3" t="str">
        <f t="shared" ca="1" si="1284"/>
        <v/>
      </c>
      <c r="G4462" s="15">
        <f t="shared" ca="1" si="1270"/>
        <v>45</v>
      </c>
      <c r="H4462" s="15">
        <v>1</v>
      </c>
      <c r="I4462" s="15">
        <f t="shared" ca="1" si="1271"/>
        <v>0</v>
      </c>
      <c r="J4462" s="15" t="str">
        <f t="shared" ca="1" si="1282"/>
        <v>'0'!A45</v>
      </c>
      <c r="K4462" s="15" t="str">
        <f t="shared" ca="1" si="1283"/>
        <v>'0'!B45</v>
      </c>
    </row>
    <row r="4463" spans="1:11" x14ac:dyDescent="0.25">
      <c r="A4463" s="3" t="str">
        <f t="shared" ca="1" si="1284"/>
        <v/>
      </c>
      <c r="G4463" s="15">
        <f t="shared" ca="1" si="1270"/>
        <v>46</v>
      </c>
      <c r="H4463" s="15">
        <v>1</v>
      </c>
      <c r="I4463" s="15">
        <f t="shared" ca="1" si="1271"/>
        <v>0</v>
      </c>
      <c r="J4463" s="15" t="str">
        <f t="shared" ca="1" si="1282"/>
        <v>'0'!A46</v>
      </c>
      <c r="K4463" s="15" t="str">
        <f t="shared" ca="1" si="1283"/>
        <v>'0'!B46</v>
      </c>
    </row>
    <row r="4464" spans="1:11" x14ac:dyDescent="0.25">
      <c r="A4464" s="3" t="str">
        <f t="shared" ca="1" si="1284"/>
        <v/>
      </c>
      <c r="G4464" s="15">
        <f t="shared" ca="1" si="1270"/>
        <v>47</v>
      </c>
      <c r="H4464" s="15">
        <v>1</v>
      </c>
      <c r="I4464" s="15">
        <f t="shared" ca="1" si="1271"/>
        <v>0</v>
      </c>
      <c r="J4464" s="15" t="str">
        <f t="shared" ca="1" si="1282"/>
        <v>'0'!A47</v>
      </c>
      <c r="K4464" s="15" t="str">
        <f t="shared" ca="1" si="1283"/>
        <v>'0'!B47</v>
      </c>
    </row>
    <row r="4465" spans="1:16" x14ac:dyDescent="0.25">
      <c r="A4465" s="3" t="str">
        <f t="shared" ca="1" si="1284"/>
        <v/>
      </c>
      <c r="G4465" s="15">
        <f t="shared" ca="1" si="1270"/>
        <v>48</v>
      </c>
      <c r="H4465" s="15">
        <v>1</v>
      </c>
      <c r="I4465" s="15">
        <f t="shared" ca="1" si="1271"/>
        <v>0</v>
      </c>
      <c r="J4465" s="15" t="str">
        <f t="shared" ca="1" si="1282"/>
        <v>'0'!A48</v>
      </c>
      <c r="K4465" s="15" t="str">
        <f t="shared" ca="1" si="1283"/>
        <v>'0'!B48</v>
      </c>
    </row>
    <row r="4466" spans="1:16" x14ac:dyDescent="0.25">
      <c r="A4466" s="3" t="str">
        <f t="shared" ca="1" si="1284"/>
        <v/>
      </c>
      <c r="G4466" s="15">
        <f t="shared" ca="1" si="1270"/>
        <v>49</v>
      </c>
      <c r="H4466" s="15">
        <v>1</v>
      </c>
      <c r="I4466" s="15">
        <f t="shared" ca="1" si="1271"/>
        <v>0</v>
      </c>
      <c r="J4466" s="15" t="str">
        <f t="shared" ca="1" si="1282"/>
        <v>'0'!A49</v>
      </c>
      <c r="K4466" s="15" t="str">
        <f t="shared" ca="1" si="1283"/>
        <v>'0'!B49</v>
      </c>
    </row>
    <row r="4467" spans="1:16" x14ac:dyDescent="0.25">
      <c r="A4467" s="3" t="str">
        <f t="shared" ca="1" si="1284"/>
        <v/>
      </c>
      <c r="G4467" s="15">
        <f t="shared" ca="1" si="1270"/>
        <v>50</v>
      </c>
      <c r="H4467" s="15">
        <v>1</v>
      </c>
      <c r="I4467" s="15">
        <f t="shared" ca="1" si="1271"/>
        <v>0</v>
      </c>
      <c r="J4467" s="15" t="str">
        <f t="shared" ca="1" si="1282"/>
        <v>'0'!A50</v>
      </c>
      <c r="K4467" s="15" t="str">
        <f t="shared" ca="1" si="1283"/>
        <v>'0'!B50</v>
      </c>
    </row>
    <row r="4468" spans="1:16" x14ac:dyDescent="0.25">
      <c r="A4468" s="3" t="str">
        <f t="shared" ca="1" si="1284"/>
        <v/>
      </c>
      <c r="G4468" s="15">
        <f t="shared" ref="G4468" ca="1" si="1285">INDIRECT(M4468)</f>
        <v>31</v>
      </c>
      <c r="H4468" s="15">
        <v>1</v>
      </c>
      <c r="I4468" s="15">
        <f t="shared" ref="I4468" ca="1" si="1286">INDIRECT(N4468)</f>
        <v>0</v>
      </c>
      <c r="J4468" s="15" t="str">
        <f t="shared" ca="1" si="1282"/>
        <v>'0'!A31</v>
      </c>
      <c r="K4468" s="15" t="str">
        <f t="shared" ca="1" si="1283"/>
        <v>'0'!B31</v>
      </c>
      <c r="M4468" s="15" t="str">
        <f t="shared" ref="M4468" si="1287">ADDRESS(O4468,3,4,1,$R$1)</f>
        <v>konfig!C225</v>
      </c>
      <c r="N4468" s="15" t="str">
        <f t="shared" ref="N4468" si="1288">ADDRESS(O4468,1,4,1,$R$1)</f>
        <v>konfig!A225</v>
      </c>
      <c r="O4468" s="15">
        <v>225</v>
      </c>
      <c r="P4468" s="15">
        <v>4</v>
      </c>
    </row>
    <row r="4469" spans="1:16" x14ac:dyDescent="0.25">
      <c r="A4469" s="3" t="str">
        <f t="shared" ca="1" si="1284"/>
        <v/>
      </c>
      <c r="G4469" s="15">
        <f t="shared" ca="1" si="1276"/>
        <v>32</v>
      </c>
      <c r="H4469" s="15">
        <v>1</v>
      </c>
      <c r="I4469" s="15">
        <f t="shared" ca="1" si="1277"/>
        <v>0</v>
      </c>
      <c r="J4469" s="15" t="str">
        <f t="shared" ca="1" si="1282"/>
        <v>'0'!A32</v>
      </c>
      <c r="K4469" s="15" t="str">
        <f t="shared" ca="1" si="1283"/>
        <v>'0'!B32</v>
      </c>
    </row>
    <row r="4470" spans="1:16" x14ac:dyDescent="0.25">
      <c r="A4470" s="3" t="str">
        <f t="shared" ca="1" si="1284"/>
        <v/>
      </c>
      <c r="G4470" s="15">
        <f t="shared" ca="1" si="1270"/>
        <v>33</v>
      </c>
      <c r="H4470" s="15">
        <v>1</v>
      </c>
      <c r="I4470" s="15">
        <f t="shared" ca="1" si="1271"/>
        <v>0</v>
      </c>
      <c r="J4470" s="15" t="str">
        <f t="shared" ca="1" si="1282"/>
        <v>'0'!A33</v>
      </c>
      <c r="K4470" s="15" t="str">
        <f t="shared" ca="1" si="1283"/>
        <v>'0'!B33</v>
      </c>
    </row>
    <row r="4471" spans="1:16" x14ac:dyDescent="0.25">
      <c r="A4471" s="3" t="str">
        <f t="shared" ca="1" si="1284"/>
        <v/>
      </c>
      <c r="C4471" s="16"/>
      <c r="G4471" s="15">
        <f t="shared" ca="1" si="1270"/>
        <v>34</v>
      </c>
      <c r="H4471" s="15">
        <v>1</v>
      </c>
      <c r="I4471" s="15">
        <f t="shared" ca="1" si="1271"/>
        <v>0</v>
      </c>
      <c r="J4471" s="15" t="str">
        <f t="shared" ca="1" si="1282"/>
        <v>'0'!A34</v>
      </c>
      <c r="K4471" s="15" t="str">
        <f t="shared" ca="1" si="1283"/>
        <v>'0'!B34</v>
      </c>
    </row>
    <row r="4472" spans="1:16" x14ac:dyDescent="0.25">
      <c r="A4472" s="3" t="str">
        <f t="shared" ca="1" si="1284"/>
        <v/>
      </c>
      <c r="G4472" s="15">
        <f t="shared" ca="1" si="1270"/>
        <v>35</v>
      </c>
      <c r="H4472" s="15">
        <v>1</v>
      </c>
      <c r="I4472" s="15">
        <f t="shared" ca="1" si="1271"/>
        <v>0</v>
      </c>
      <c r="J4472" s="15" t="str">
        <f t="shared" ca="1" si="1282"/>
        <v>'0'!A35</v>
      </c>
      <c r="K4472" s="15" t="str">
        <f t="shared" ca="1" si="1283"/>
        <v>'0'!B35</v>
      </c>
    </row>
    <row r="4473" spans="1:16" x14ac:dyDescent="0.25">
      <c r="A4473" s="3" t="str">
        <f t="shared" ca="1" si="1284"/>
        <v/>
      </c>
      <c r="G4473" s="15">
        <f t="shared" ca="1" si="1270"/>
        <v>36</v>
      </c>
      <c r="H4473" s="15">
        <v>1</v>
      </c>
      <c r="I4473" s="15">
        <f t="shared" ca="1" si="1271"/>
        <v>0</v>
      </c>
      <c r="J4473" s="15" t="str">
        <f t="shared" ca="1" si="1282"/>
        <v>'0'!A36</v>
      </c>
      <c r="K4473" s="15" t="str">
        <f t="shared" ca="1" si="1283"/>
        <v>'0'!B36</v>
      </c>
    </row>
    <row r="4474" spans="1:16" x14ac:dyDescent="0.25">
      <c r="A4474" s="3" t="str">
        <f t="shared" ca="1" si="1284"/>
        <v/>
      </c>
      <c r="G4474" s="15">
        <f t="shared" ca="1" si="1270"/>
        <v>37</v>
      </c>
      <c r="H4474" s="15">
        <v>1</v>
      </c>
      <c r="I4474" s="15">
        <f t="shared" ca="1" si="1271"/>
        <v>0</v>
      </c>
      <c r="J4474" s="15" t="str">
        <f t="shared" ca="1" si="1282"/>
        <v>'0'!A37</v>
      </c>
      <c r="K4474" s="15" t="str">
        <f t="shared" ca="1" si="1283"/>
        <v>'0'!B37</v>
      </c>
    </row>
    <row r="4475" spans="1:16" x14ac:dyDescent="0.25">
      <c r="A4475" s="3" t="str">
        <f t="shared" ca="1" si="1284"/>
        <v/>
      </c>
      <c r="G4475" s="15">
        <f t="shared" ca="1" si="1270"/>
        <v>38</v>
      </c>
      <c r="H4475" s="15">
        <v>1</v>
      </c>
      <c r="I4475" s="15">
        <f t="shared" ca="1" si="1271"/>
        <v>0</v>
      </c>
      <c r="J4475" s="15" t="str">
        <f t="shared" ca="1" si="1282"/>
        <v>'0'!A38</v>
      </c>
      <c r="K4475" s="15" t="str">
        <f t="shared" ca="1" si="1283"/>
        <v>'0'!B38</v>
      </c>
    </row>
    <row r="4476" spans="1:16" x14ac:dyDescent="0.25">
      <c r="A4476" s="3" t="str">
        <f t="shared" ca="1" si="1284"/>
        <v/>
      </c>
      <c r="G4476" s="15">
        <f t="shared" ca="1" si="1270"/>
        <v>39</v>
      </c>
      <c r="H4476" s="15">
        <v>1</v>
      </c>
      <c r="I4476" s="15">
        <f t="shared" ca="1" si="1271"/>
        <v>0</v>
      </c>
      <c r="J4476" s="15" t="str">
        <f t="shared" ca="1" si="1282"/>
        <v>'0'!A39</v>
      </c>
      <c r="K4476" s="15" t="str">
        <f t="shared" ca="1" si="1283"/>
        <v>'0'!B39</v>
      </c>
    </row>
    <row r="4477" spans="1:16" x14ac:dyDescent="0.25">
      <c r="A4477" s="3" t="str">
        <f t="shared" ca="1" si="1284"/>
        <v/>
      </c>
      <c r="G4477" s="15">
        <f t="shared" ca="1" si="1270"/>
        <v>40</v>
      </c>
      <c r="H4477" s="15">
        <v>1</v>
      </c>
      <c r="I4477" s="15">
        <f t="shared" ca="1" si="1271"/>
        <v>0</v>
      </c>
      <c r="J4477" s="15" t="str">
        <f t="shared" ca="1" si="1282"/>
        <v>'0'!A40</v>
      </c>
      <c r="K4477" s="15" t="str">
        <f t="shared" ca="1" si="1283"/>
        <v>'0'!B40</v>
      </c>
    </row>
    <row r="4478" spans="1:16" x14ac:dyDescent="0.25">
      <c r="A4478" s="3" t="str">
        <f t="shared" ca="1" si="1284"/>
        <v/>
      </c>
      <c r="G4478" s="15">
        <f t="shared" ca="1" si="1270"/>
        <v>41</v>
      </c>
      <c r="H4478" s="15">
        <v>1</v>
      </c>
      <c r="I4478" s="15">
        <f t="shared" ca="1" si="1271"/>
        <v>0</v>
      </c>
      <c r="J4478" s="15" t="str">
        <f t="shared" ca="1" si="1282"/>
        <v>'0'!A41</v>
      </c>
      <c r="K4478" s="15" t="str">
        <f t="shared" ca="1" si="1283"/>
        <v>'0'!B41</v>
      </c>
    </row>
    <row r="4479" spans="1:16" x14ac:dyDescent="0.25">
      <c r="A4479" s="3" t="str">
        <f t="shared" ca="1" si="1284"/>
        <v/>
      </c>
      <c r="C4479" s="16"/>
      <c r="G4479" s="15">
        <f t="shared" ca="1" si="1270"/>
        <v>42</v>
      </c>
      <c r="H4479" s="15">
        <v>1</v>
      </c>
      <c r="I4479" s="15">
        <f t="shared" ca="1" si="1271"/>
        <v>0</v>
      </c>
      <c r="J4479" s="15" t="str">
        <f t="shared" ca="1" si="1282"/>
        <v>'0'!A42</v>
      </c>
      <c r="K4479" s="15" t="str">
        <f t="shared" ca="1" si="1283"/>
        <v>'0'!B42</v>
      </c>
    </row>
    <row r="4480" spans="1:16" x14ac:dyDescent="0.25">
      <c r="A4480" s="3" t="str">
        <f t="shared" ca="1" si="1284"/>
        <v/>
      </c>
      <c r="G4480" s="15">
        <f t="shared" ca="1" si="1270"/>
        <v>43</v>
      </c>
      <c r="H4480" s="15">
        <v>1</v>
      </c>
      <c r="I4480" s="15">
        <f t="shared" ca="1" si="1271"/>
        <v>0</v>
      </c>
      <c r="J4480" s="15" t="str">
        <f t="shared" ca="1" si="1282"/>
        <v>'0'!A43</v>
      </c>
      <c r="K4480" s="15" t="str">
        <f t="shared" ca="1" si="1283"/>
        <v>'0'!B43</v>
      </c>
    </row>
    <row r="4481" spans="1:16" x14ac:dyDescent="0.25">
      <c r="A4481" s="3" t="str">
        <f t="shared" ca="1" si="1284"/>
        <v/>
      </c>
      <c r="G4481" s="15">
        <f t="shared" ca="1" si="1270"/>
        <v>44</v>
      </c>
      <c r="H4481" s="15">
        <v>1</v>
      </c>
      <c r="I4481" s="15">
        <f t="shared" ca="1" si="1271"/>
        <v>0</v>
      </c>
      <c r="J4481" s="15" t="str">
        <f t="shared" ca="1" si="1282"/>
        <v>'0'!A44</v>
      </c>
      <c r="K4481" s="15" t="str">
        <f t="shared" ca="1" si="1283"/>
        <v>'0'!B44</v>
      </c>
    </row>
    <row r="4482" spans="1:16" x14ac:dyDescent="0.25">
      <c r="A4482" s="3" t="str">
        <f t="shared" ca="1" si="1284"/>
        <v/>
      </c>
      <c r="G4482" s="15">
        <f t="shared" ca="1" si="1270"/>
        <v>45</v>
      </c>
      <c r="H4482" s="15">
        <v>1</v>
      </c>
      <c r="I4482" s="15">
        <f t="shared" ca="1" si="1271"/>
        <v>0</v>
      </c>
      <c r="J4482" s="15" t="str">
        <f t="shared" ca="1" si="1282"/>
        <v>'0'!A45</v>
      </c>
      <c r="K4482" s="15" t="str">
        <f t="shared" ca="1" si="1283"/>
        <v>'0'!B45</v>
      </c>
    </row>
    <row r="4483" spans="1:16" x14ac:dyDescent="0.25">
      <c r="A4483" s="3" t="str">
        <f t="shared" ca="1" si="1284"/>
        <v/>
      </c>
      <c r="G4483" s="15">
        <f t="shared" ca="1" si="1270"/>
        <v>46</v>
      </c>
      <c r="H4483" s="15">
        <v>1</v>
      </c>
      <c r="I4483" s="15">
        <f t="shared" ca="1" si="1271"/>
        <v>0</v>
      </c>
      <c r="J4483" s="15" t="str">
        <f t="shared" ca="1" si="1282"/>
        <v>'0'!A46</v>
      </c>
      <c r="K4483" s="15" t="str">
        <f t="shared" ca="1" si="1283"/>
        <v>'0'!B46</v>
      </c>
    </row>
    <row r="4484" spans="1:16" x14ac:dyDescent="0.25">
      <c r="A4484" s="3" t="str">
        <f t="shared" ca="1" si="1284"/>
        <v/>
      </c>
      <c r="G4484" s="15">
        <f t="shared" ca="1" si="1270"/>
        <v>47</v>
      </c>
      <c r="H4484" s="15">
        <v>1</v>
      </c>
      <c r="I4484" s="15">
        <f t="shared" ca="1" si="1271"/>
        <v>0</v>
      </c>
      <c r="J4484" s="15" t="str">
        <f t="shared" ca="1" si="1282"/>
        <v>'0'!A47</v>
      </c>
      <c r="K4484" s="15" t="str">
        <f t="shared" ca="1" si="1283"/>
        <v>'0'!B47</v>
      </c>
    </row>
    <row r="4485" spans="1:16" x14ac:dyDescent="0.25">
      <c r="A4485" s="3" t="str">
        <f t="shared" ca="1" si="1284"/>
        <v/>
      </c>
      <c r="G4485" s="15">
        <f t="shared" ca="1" si="1270"/>
        <v>48</v>
      </c>
      <c r="H4485" s="15">
        <v>1</v>
      </c>
      <c r="I4485" s="15">
        <f t="shared" ca="1" si="1271"/>
        <v>0</v>
      </c>
      <c r="J4485" s="15" t="str">
        <f t="shared" ca="1" si="1282"/>
        <v>'0'!A48</v>
      </c>
      <c r="K4485" s="15" t="str">
        <f t="shared" ca="1" si="1283"/>
        <v>'0'!B48</v>
      </c>
    </row>
    <row r="4486" spans="1:16" x14ac:dyDescent="0.25">
      <c r="A4486" s="3" t="str">
        <f t="shared" ca="1" si="1284"/>
        <v/>
      </c>
      <c r="G4486" s="15">
        <f t="shared" ca="1" si="1270"/>
        <v>49</v>
      </c>
      <c r="H4486" s="15">
        <v>1</v>
      </c>
      <c r="I4486" s="15">
        <f t="shared" ca="1" si="1271"/>
        <v>0</v>
      </c>
      <c r="J4486" s="15" t="str">
        <f t="shared" ca="1" si="1282"/>
        <v>'0'!A49</v>
      </c>
      <c r="K4486" s="15" t="str">
        <f t="shared" ca="1" si="1283"/>
        <v>'0'!B49</v>
      </c>
    </row>
    <row r="4487" spans="1:16" x14ac:dyDescent="0.25">
      <c r="A4487" s="3" t="str">
        <f t="shared" ca="1" si="1284"/>
        <v/>
      </c>
      <c r="G4487" s="15">
        <f t="shared" ca="1" si="1270"/>
        <v>50</v>
      </c>
      <c r="H4487" s="15">
        <v>1</v>
      </c>
      <c r="I4487" s="15">
        <f t="shared" ca="1" si="1271"/>
        <v>0</v>
      </c>
      <c r="J4487" s="15" t="str">
        <f t="shared" ca="1" si="1282"/>
        <v>'0'!A50</v>
      </c>
      <c r="K4487" s="15" t="str">
        <f t="shared" ca="1" si="1283"/>
        <v>'0'!B50</v>
      </c>
    </row>
    <row r="4488" spans="1:16" x14ac:dyDescent="0.25">
      <c r="A4488" s="3" t="str">
        <f t="shared" ca="1" si="1284"/>
        <v/>
      </c>
      <c r="G4488" s="15">
        <f t="shared" ref="G4488" ca="1" si="1289">INDIRECT(M4488)</f>
        <v>31</v>
      </c>
      <c r="H4488" s="15">
        <v>1</v>
      </c>
      <c r="I4488" s="15">
        <f t="shared" ref="I4488" ca="1" si="1290">INDIRECT(N4488)</f>
        <v>0</v>
      </c>
      <c r="J4488" s="15" t="str">
        <f t="shared" ca="1" si="1282"/>
        <v>'0'!A31</v>
      </c>
      <c r="K4488" s="15" t="str">
        <f t="shared" ca="1" si="1283"/>
        <v>'0'!B31</v>
      </c>
      <c r="M4488" s="15" t="str">
        <f t="shared" ref="M4488" si="1291">ADDRESS(O4488,3,4,1,$R$1)</f>
        <v>konfig!C226</v>
      </c>
      <c r="N4488" s="15" t="str">
        <f t="shared" ref="N4488" si="1292">ADDRESS(O4488,1,4,1,$R$1)</f>
        <v>konfig!A226</v>
      </c>
      <c r="O4488" s="15">
        <v>226</v>
      </c>
      <c r="P4488" s="15">
        <v>4</v>
      </c>
    </row>
    <row r="4489" spans="1:16" x14ac:dyDescent="0.25">
      <c r="A4489" s="3" t="str">
        <f t="shared" ca="1" si="1284"/>
        <v/>
      </c>
      <c r="G4489" s="15">
        <f t="shared" ref="G4489:G4552" ca="1" si="1293">G4488+1</f>
        <v>32</v>
      </c>
      <c r="H4489" s="15">
        <v>1</v>
      </c>
      <c r="I4489" s="15">
        <f t="shared" ref="I4489:I4552" ca="1" si="1294">I4488</f>
        <v>0</v>
      </c>
      <c r="J4489" s="15" t="str">
        <f t="shared" ca="1" si="1282"/>
        <v>'0'!A32</v>
      </c>
      <c r="K4489" s="15" t="str">
        <f t="shared" ca="1" si="1283"/>
        <v>'0'!B32</v>
      </c>
    </row>
    <row r="4490" spans="1:16" x14ac:dyDescent="0.25">
      <c r="A4490" s="3" t="str">
        <f t="shared" ca="1" si="1284"/>
        <v/>
      </c>
      <c r="G4490" s="15">
        <f t="shared" ca="1" si="1293"/>
        <v>33</v>
      </c>
      <c r="H4490" s="15">
        <v>1</v>
      </c>
      <c r="I4490" s="15">
        <f t="shared" ca="1" si="1294"/>
        <v>0</v>
      </c>
      <c r="J4490" s="15" t="str">
        <f t="shared" ca="1" si="1282"/>
        <v>'0'!A33</v>
      </c>
      <c r="K4490" s="15" t="str">
        <f t="shared" ca="1" si="1283"/>
        <v>'0'!B33</v>
      </c>
    </row>
    <row r="4491" spans="1:16" x14ac:dyDescent="0.25">
      <c r="A4491" s="3" t="str">
        <f t="shared" ca="1" si="1284"/>
        <v/>
      </c>
      <c r="C4491" s="16"/>
      <c r="G4491" s="15">
        <f t="shared" ca="1" si="1293"/>
        <v>34</v>
      </c>
      <c r="H4491" s="15">
        <v>1</v>
      </c>
      <c r="I4491" s="15">
        <f t="shared" ca="1" si="1294"/>
        <v>0</v>
      </c>
      <c r="J4491" s="15" t="str">
        <f t="shared" ca="1" si="1282"/>
        <v>'0'!A34</v>
      </c>
      <c r="K4491" s="15" t="str">
        <f t="shared" ca="1" si="1283"/>
        <v>'0'!B34</v>
      </c>
    </row>
    <row r="4492" spans="1:16" x14ac:dyDescent="0.25">
      <c r="A4492" s="3" t="str">
        <f t="shared" ca="1" si="1284"/>
        <v/>
      </c>
      <c r="G4492" s="15">
        <f t="shared" ca="1" si="1293"/>
        <v>35</v>
      </c>
      <c r="H4492" s="15">
        <v>1</v>
      </c>
      <c r="I4492" s="15">
        <f t="shared" ca="1" si="1294"/>
        <v>0</v>
      </c>
      <c r="J4492" s="15" t="str">
        <f t="shared" ca="1" si="1282"/>
        <v>'0'!A35</v>
      </c>
      <c r="K4492" s="15" t="str">
        <f t="shared" ca="1" si="1283"/>
        <v>'0'!B35</v>
      </c>
    </row>
    <row r="4493" spans="1:16" x14ac:dyDescent="0.25">
      <c r="A4493" s="3" t="str">
        <f t="shared" ca="1" si="1284"/>
        <v/>
      </c>
      <c r="G4493" s="15">
        <f t="shared" ca="1" si="1293"/>
        <v>36</v>
      </c>
      <c r="H4493" s="15">
        <v>1</v>
      </c>
      <c r="I4493" s="15">
        <f t="shared" ca="1" si="1294"/>
        <v>0</v>
      </c>
      <c r="J4493" s="15" t="str">
        <f t="shared" ca="1" si="1282"/>
        <v>'0'!A36</v>
      </c>
      <c r="K4493" s="15" t="str">
        <f t="shared" ca="1" si="1283"/>
        <v>'0'!B36</v>
      </c>
    </row>
    <row r="4494" spans="1:16" x14ac:dyDescent="0.25">
      <c r="A4494" s="3" t="str">
        <f t="shared" ca="1" si="1284"/>
        <v/>
      </c>
      <c r="G4494" s="15">
        <f t="shared" ca="1" si="1293"/>
        <v>37</v>
      </c>
      <c r="H4494" s="15">
        <v>1</v>
      </c>
      <c r="I4494" s="15">
        <f t="shared" ca="1" si="1294"/>
        <v>0</v>
      </c>
      <c r="J4494" s="15" t="str">
        <f t="shared" ca="1" si="1282"/>
        <v>'0'!A37</v>
      </c>
      <c r="K4494" s="15" t="str">
        <f t="shared" ca="1" si="1283"/>
        <v>'0'!B37</v>
      </c>
    </row>
    <row r="4495" spans="1:16" x14ac:dyDescent="0.25">
      <c r="A4495" s="3" t="str">
        <f t="shared" ca="1" si="1284"/>
        <v/>
      </c>
      <c r="G4495" s="15">
        <f t="shared" ca="1" si="1293"/>
        <v>38</v>
      </c>
      <c r="H4495" s="15">
        <v>1</v>
      </c>
      <c r="I4495" s="15">
        <f t="shared" ca="1" si="1294"/>
        <v>0</v>
      </c>
      <c r="J4495" s="15" t="str">
        <f t="shared" ca="1" si="1282"/>
        <v>'0'!A38</v>
      </c>
      <c r="K4495" s="15" t="str">
        <f t="shared" ca="1" si="1283"/>
        <v>'0'!B38</v>
      </c>
    </row>
    <row r="4496" spans="1:16" x14ac:dyDescent="0.25">
      <c r="A4496" s="3" t="str">
        <f t="shared" ca="1" si="1284"/>
        <v/>
      </c>
      <c r="G4496" s="15">
        <f t="shared" ca="1" si="1293"/>
        <v>39</v>
      </c>
      <c r="H4496" s="15">
        <v>1</v>
      </c>
      <c r="I4496" s="15">
        <f t="shared" ca="1" si="1294"/>
        <v>0</v>
      </c>
      <c r="J4496" s="15" t="str">
        <f t="shared" ca="1" si="1282"/>
        <v>'0'!A39</v>
      </c>
      <c r="K4496" s="15" t="str">
        <f t="shared" ca="1" si="1283"/>
        <v>'0'!B39</v>
      </c>
    </row>
    <row r="4497" spans="1:16" x14ac:dyDescent="0.25">
      <c r="A4497" s="3" t="str">
        <f t="shared" ca="1" si="1284"/>
        <v/>
      </c>
      <c r="G4497" s="15">
        <f t="shared" ca="1" si="1293"/>
        <v>40</v>
      </c>
      <c r="H4497" s="15">
        <v>1</v>
      </c>
      <c r="I4497" s="15">
        <f t="shared" ca="1" si="1294"/>
        <v>0</v>
      </c>
      <c r="J4497" s="15" t="str">
        <f t="shared" ca="1" si="1282"/>
        <v>'0'!A40</v>
      </c>
      <c r="K4497" s="15" t="str">
        <f t="shared" ca="1" si="1283"/>
        <v>'0'!B40</v>
      </c>
    </row>
    <row r="4498" spans="1:16" x14ac:dyDescent="0.25">
      <c r="A4498" s="3" t="str">
        <f t="shared" ca="1" si="1284"/>
        <v/>
      </c>
      <c r="G4498" s="15">
        <f t="shared" ca="1" si="1293"/>
        <v>41</v>
      </c>
      <c r="H4498" s="15">
        <v>1</v>
      </c>
      <c r="I4498" s="15">
        <f t="shared" ca="1" si="1294"/>
        <v>0</v>
      </c>
      <c r="J4498" s="15" t="str">
        <f t="shared" ca="1" si="1282"/>
        <v>'0'!A41</v>
      </c>
      <c r="K4498" s="15" t="str">
        <f t="shared" ca="1" si="1283"/>
        <v>'0'!B41</v>
      </c>
    </row>
    <row r="4499" spans="1:16" x14ac:dyDescent="0.25">
      <c r="A4499" s="3" t="str">
        <f t="shared" ca="1" si="1284"/>
        <v/>
      </c>
      <c r="C4499" s="16"/>
      <c r="G4499" s="15">
        <f t="shared" ca="1" si="1293"/>
        <v>42</v>
      </c>
      <c r="H4499" s="15">
        <v>1</v>
      </c>
      <c r="I4499" s="15">
        <f t="shared" ca="1" si="1294"/>
        <v>0</v>
      </c>
      <c r="J4499" s="15" t="str">
        <f t="shared" ca="1" si="1282"/>
        <v>'0'!A42</v>
      </c>
      <c r="K4499" s="15" t="str">
        <f t="shared" ca="1" si="1283"/>
        <v>'0'!B42</v>
      </c>
    </row>
    <row r="4500" spans="1:16" x14ac:dyDescent="0.25">
      <c r="A4500" s="3" t="str">
        <f t="shared" ca="1" si="1284"/>
        <v/>
      </c>
      <c r="G4500" s="15">
        <f t="shared" ca="1" si="1293"/>
        <v>43</v>
      </c>
      <c r="H4500" s="15">
        <v>1</v>
      </c>
      <c r="I4500" s="15">
        <f t="shared" ca="1" si="1294"/>
        <v>0</v>
      </c>
      <c r="J4500" s="15" t="str">
        <f t="shared" ca="1" si="1282"/>
        <v>'0'!A43</v>
      </c>
      <c r="K4500" s="15" t="str">
        <f t="shared" ca="1" si="1283"/>
        <v>'0'!B43</v>
      </c>
    </row>
    <row r="4501" spans="1:16" x14ac:dyDescent="0.25">
      <c r="A4501" s="3" t="str">
        <f t="shared" ca="1" si="1284"/>
        <v/>
      </c>
      <c r="G4501" s="15">
        <f t="shared" ca="1" si="1293"/>
        <v>44</v>
      </c>
      <c r="H4501" s="15">
        <v>1</v>
      </c>
      <c r="I4501" s="15">
        <f t="shared" ca="1" si="1294"/>
        <v>0</v>
      </c>
      <c r="J4501" s="15" t="str">
        <f t="shared" ca="1" si="1282"/>
        <v>'0'!A44</v>
      </c>
      <c r="K4501" s="15" t="str">
        <f t="shared" ca="1" si="1283"/>
        <v>'0'!B44</v>
      </c>
    </row>
    <row r="4502" spans="1:16" x14ac:dyDescent="0.25">
      <c r="A4502" s="3" t="str">
        <f t="shared" ca="1" si="1284"/>
        <v/>
      </c>
      <c r="G4502" s="15">
        <f t="shared" ca="1" si="1293"/>
        <v>45</v>
      </c>
      <c r="H4502" s="15">
        <v>1</v>
      </c>
      <c r="I4502" s="15">
        <f t="shared" ca="1" si="1294"/>
        <v>0</v>
      </c>
      <c r="J4502" s="15" t="str">
        <f t="shared" ca="1" si="1282"/>
        <v>'0'!A45</v>
      </c>
      <c r="K4502" s="15" t="str">
        <f t="shared" ca="1" si="1283"/>
        <v>'0'!B45</v>
      </c>
    </row>
    <row r="4503" spans="1:16" x14ac:dyDescent="0.25">
      <c r="A4503" s="3" t="str">
        <f t="shared" ca="1" si="1284"/>
        <v/>
      </c>
      <c r="G4503" s="15">
        <f t="shared" ca="1" si="1293"/>
        <v>46</v>
      </c>
      <c r="H4503" s="15">
        <v>1</v>
      </c>
      <c r="I4503" s="15">
        <f t="shared" ca="1" si="1294"/>
        <v>0</v>
      </c>
      <c r="J4503" s="15" t="str">
        <f t="shared" ca="1" si="1282"/>
        <v>'0'!A46</v>
      </c>
      <c r="K4503" s="15" t="str">
        <f t="shared" ca="1" si="1283"/>
        <v>'0'!B46</v>
      </c>
    </row>
    <row r="4504" spans="1:16" x14ac:dyDescent="0.25">
      <c r="A4504" s="3" t="str">
        <f t="shared" ca="1" si="1284"/>
        <v/>
      </c>
      <c r="G4504" s="15">
        <f t="shared" ca="1" si="1293"/>
        <v>47</v>
      </c>
      <c r="H4504" s="15">
        <v>1</v>
      </c>
      <c r="I4504" s="15">
        <f t="shared" ca="1" si="1294"/>
        <v>0</v>
      </c>
      <c r="J4504" s="15" t="str">
        <f t="shared" ca="1" si="1282"/>
        <v>'0'!A47</v>
      </c>
      <c r="K4504" s="15" t="str">
        <f t="shared" ca="1" si="1283"/>
        <v>'0'!B47</v>
      </c>
    </row>
    <row r="4505" spans="1:16" x14ac:dyDescent="0.25">
      <c r="A4505" s="3" t="str">
        <f t="shared" ca="1" si="1284"/>
        <v/>
      </c>
      <c r="G4505" s="15">
        <f t="shared" ca="1" si="1293"/>
        <v>48</v>
      </c>
      <c r="H4505" s="15">
        <v>1</v>
      </c>
      <c r="I4505" s="15">
        <f t="shared" ca="1" si="1294"/>
        <v>0</v>
      </c>
      <c r="J4505" s="15" t="str">
        <f t="shared" ca="1" si="1282"/>
        <v>'0'!A48</v>
      </c>
      <c r="K4505" s="15" t="str">
        <f t="shared" ca="1" si="1283"/>
        <v>'0'!B48</v>
      </c>
    </row>
    <row r="4506" spans="1:16" x14ac:dyDescent="0.25">
      <c r="A4506" s="3" t="str">
        <f t="shared" ca="1" si="1284"/>
        <v/>
      </c>
      <c r="G4506" s="15">
        <f t="shared" ca="1" si="1293"/>
        <v>49</v>
      </c>
      <c r="H4506" s="15">
        <v>1</v>
      </c>
      <c r="I4506" s="15">
        <f t="shared" ca="1" si="1294"/>
        <v>0</v>
      </c>
      <c r="J4506" s="15" t="str">
        <f t="shared" ca="1" si="1282"/>
        <v>'0'!A49</v>
      </c>
      <c r="K4506" s="15" t="str">
        <f t="shared" ca="1" si="1283"/>
        <v>'0'!B49</v>
      </c>
    </row>
    <row r="4507" spans="1:16" x14ac:dyDescent="0.25">
      <c r="A4507" s="3" t="str">
        <f t="shared" ca="1" si="1284"/>
        <v/>
      </c>
      <c r="G4507" s="15">
        <f t="shared" ca="1" si="1293"/>
        <v>50</v>
      </c>
      <c r="H4507" s="15">
        <v>1</v>
      </c>
      <c r="I4507" s="15">
        <f t="shared" ca="1" si="1294"/>
        <v>0</v>
      </c>
      <c r="J4507" s="15" t="str">
        <f t="shared" ca="1" si="1282"/>
        <v>'0'!A50</v>
      </c>
      <c r="K4507" s="15" t="str">
        <f t="shared" ca="1" si="1283"/>
        <v>'0'!B50</v>
      </c>
    </row>
    <row r="4508" spans="1:16" x14ac:dyDescent="0.25">
      <c r="A4508" s="3" t="str">
        <f t="shared" ca="1" si="1284"/>
        <v/>
      </c>
      <c r="G4508" s="15">
        <f t="shared" ref="G4508" ca="1" si="1295">INDIRECT(M4508)</f>
        <v>31</v>
      </c>
      <c r="H4508" s="15">
        <v>1</v>
      </c>
      <c r="I4508" s="15">
        <f t="shared" ref="I4508" ca="1" si="1296">INDIRECT(N4508)</f>
        <v>0</v>
      </c>
      <c r="J4508" s="15" t="str">
        <f t="shared" ca="1" si="1282"/>
        <v>'0'!A31</v>
      </c>
      <c r="K4508" s="15" t="str">
        <f t="shared" ca="1" si="1283"/>
        <v>'0'!B31</v>
      </c>
      <c r="M4508" s="15" t="str">
        <f t="shared" ref="M4508" si="1297">ADDRESS(O4508,3,4,1,$R$1)</f>
        <v>konfig!C227</v>
      </c>
      <c r="N4508" s="15" t="str">
        <f t="shared" ref="N4508" si="1298">ADDRESS(O4508,1,4,1,$R$1)</f>
        <v>konfig!A227</v>
      </c>
      <c r="O4508" s="15">
        <v>227</v>
      </c>
      <c r="P4508" s="15">
        <v>4</v>
      </c>
    </row>
    <row r="4509" spans="1:16" x14ac:dyDescent="0.25">
      <c r="A4509" s="3" t="str">
        <f t="shared" ca="1" si="1284"/>
        <v/>
      </c>
      <c r="G4509" s="15">
        <f t="shared" ref="G4509:G4549" ca="1" si="1299">G4508+1</f>
        <v>32</v>
      </c>
      <c r="H4509" s="15">
        <v>1</v>
      </c>
      <c r="I4509" s="15">
        <f t="shared" ref="I4509:I4549" ca="1" si="1300">I4508</f>
        <v>0</v>
      </c>
      <c r="J4509" s="15" t="str">
        <f t="shared" ca="1" si="1282"/>
        <v>'0'!A32</v>
      </c>
      <c r="K4509" s="15" t="str">
        <f t="shared" ca="1" si="1283"/>
        <v>'0'!B32</v>
      </c>
    </row>
    <row r="4510" spans="1:16" x14ac:dyDescent="0.25">
      <c r="A4510" s="3" t="str">
        <f t="shared" ca="1" si="1284"/>
        <v/>
      </c>
      <c r="G4510" s="15">
        <f t="shared" ca="1" si="1293"/>
        <v>33</v>
      </c>
      <c r="H4510" s="15">
        <v>1</v>
      </c>
      <c r="I4510" s="15">
        <f t="shared" ca="1" si="1294"/>
        <v>0</v>
      </c>
      <c r="J4510" s="15" t="str">
        <f t="shared" ca="1" si="1282"/>
        <v>'0'!A33</v>
      </c>
      <c r="K4510" s="15" t="str">
        <f t="shared" ca="1" si="1283"/>
        <v>'0'!B33</v>
      </c>
    </row>
    <row r="4511" spans="1:16" x14ac:dyDescent="0.25">
      <c r="A4511" s="3" t="str">
        <f t="shared" ca="1" si="1284"/>
        <v/>
      </c>
      <c r="C4511" s="16"/>
      <c r="G4511" s="15">
        <f t="shared" ca="1" si="1293"/>
        <v>34</v>
      </c>
      <c r="H4511" s="15">
        <v>1</v>
      </c>
      <c r="I4511" s="15">
        <f t="shared" ca="1" si="1294"/>
        <v>0</v>
      </c>
      <c r="J4511" s="15" t="str">
        <f t="shared" ca="1" si="1282"/>
        <v>'0'!A34</v>
      </c>
      <c r="K4511" s="15" t="str">
        <f t="shared" ca="1" si="1283"/>
        <v>'0'!B34</v>
      </c>
    </row>
    <row r="4512" spans="1:16" x14ac:dyDescent="0.25">
      <c r="A4512" s="3" t="str">
        <f t="shared" ca="1" si="1284"/>
        <v/>
      </c>
      <c r="G4512" s="15">
        <f t="shared" ca="1" si="1293"/>
        <v>35</v>
      </c>
      <c r="H4512" s="15">
        <v>1</v>
      </c>
      <c r="I4512" s="15">
        <f t="shared" ca="1" si="1294"/>
        <v>0</v>
      </c>
      <c r="J4512" s="15" t="str">
        <f t="shared" ca="1" si="1282"/>
        <v>'0'!A35</v>
      </c>
      <c r="K4512" s="15" t="str">
        <f t="shared" ca="1" si="1283"/>
        <v>'0'!B35</v>
      </c>
    </row>
    <row r="4513" spans="1:16" x14ac:dyDescent="0.25">
      <c r="A4513" s="3" t="str">
        <f t="shared" ca="1" si="1284"/>
        <v/>
      </c>
      <c r="G4513" s="15">
        <f t="shared" ca="1" si="1293"/>
        <v>36</v>
      </c>
      <c r="H4513" s="15">
        <v>1</v>
      </c>
      <c r="I4513" s="15">
        <f t="shared" ca="1" si="1294"/>
        <v>0</v>
      </c>
      <c r="J4513" s="15" t="str">
        <f t="shared" ca="1" si="1282"/>
        <v>'0'!A36</v>
      </c>
      <c r="K4513" s="15" t="str">
        <f t="shared" ca="1" si="1283"/>
        <v>'0'!B36</v>
      </c>
    </row>
    <row r="4514" spans="1:16" x14ac:dyDescent="0.25">
      <c r="A4514" s="3" t="str">
        <f t="shared" ca="1" si="1284"/>
        <v/>
      </c>
      <c r="G4514" s="15">
        <f t="shared" ca="1" si="1293"/>
        <v>37</v>
      </c>
      <c r="H4514" s="15">
        <v>1</v>
      </c>
      <c r="I4514" s="15">
        <f t="shared" ca="1" si="1294"/>
        <v>0</v>
      </c>
      <c r="J4514" s="15" t="str">
        <f t="shared" ca="1" si="1282"/>
        <v>'0'!A37</v>
      </c>
      <c r="K4514" s="15" t="str">
        <f t="shared" ca="1" si="1283"/>
        <v>'0'!B37</v>
      </c>
    </row>
    <row r="4515" spans="1:16" x14ac:dyDescent="0.25">
      <c r="A4515" s="3" t="str">
        <f t="shared" ca="1" si="1284"/>
        <v/>
      </c>
      <c r="G4515" s="15">
        <f t="shared" ca="1" si="1293"/>
        <v>38</v>
      </c>
      <c r="H4515" s="15">
        <v>1</v>
      </c>
      <c r="I4515" s="15">
        <f t="shared" ca="1" si="1294"/>
        <v>0</v>
      </c>
      <c r="J4515" s="15" t="str">
        <f t="shared" ca="1" si="1282"/>
        <v>'0'!A38</v>
      </c>
      <c r="K4515" s="15" t="str">
        <f t="shared" ca="1" si="1283"/>
        <v>'0'!B38</v>
      </c>
    </row>
    <row r="4516" spans="1:16" x14ac:dyDescent="0.25">
      <c r="A4516" s="3" t="str">
        <f t="shared" ca="1" si="1284"/>
        <v/>
      </c>
      <c r="G4516" s="15">
        <f t="shared" ca="1" si="1293"/>
        <v>39</v>
      </c>
      <c r="H4516" s="15">
        <v>1</v>
      </c>
      <c r="I4516" s="15">
        <f t="shared" ca="1" si="1294"/>
        <v>0</v>
      </c>
      <c r="J4516" s="15" t="str">
        <f t="shared" ref="J4516:J4579" ca="1" si="1301">ADDRESS(G4516,H4516,4,1,I4516)</f>
        <v>'0'!A39</v>
      </c>
      <c r="K4516" s="15" t="str">
        <f t="shared" ref="K4516:K4579" ca="1" si="1302">ADDRESS(G4516,H4516+1,4,1,I4516)</f>
        <v>'0'!B39</v>
      </c>
    </row>
    <row r="4517" spans="1:16" x14ac:dyDescent="0.25">
      <c r="A4517" s="3" t="str">
        <f t="shared" ca="1" si="1284"/>
        <v/>
      </c>
      <c r="G4517" s="15">
        <f t="shared" ca="1" si="1293"/>
        <v>40</v>
      </c>
      <c r="H4517" s="15">
        <v>1</v>
      </c>
      <c r="I4517" s="15">
        <f t="shared" ca="1" si="1294"/>
        <v>0</v>
      </c>
      <c r="J4517" s="15" t="str">
        <f t="shared" ca="1" si="1301"/>
        <v>'0'!A40</v>
      </c>
      <c r="K4517" s="15" t="str">
        <f t="shared" ca="1" si="1302"/>
        <v>'0'!B40</v>
      </c>
    </row>
    <row r="4518" spans="1:16" x14ac:dyDescent="0.25">
      <c r="A4518" s="3" t="str">
        <f t="shared" ca="1" si="1284"/>
        <v/>
      </c>
      <c r="G4518" s="15">
        <f t="shared" ca="1" si="1293"/>
        <v>41</v>
      </c>
      <c r="H4518" s="15">
        <v>1</v>
      </c>
      <c r="I4518" s="15">
        <f t="shared" ca="1" si="1294"/>
        <v>0</v>
      </c>
      <c r="J4518" s="15" t="str">
        <f t="shared" ca="1" si="1301"/>
        <v>'0'!A41</v>
      </c>
      <c r="K4518" s="15" t="str">
        <f t="shared" ca="1" si="1302"/>
        <v>'0'!B41</v>
      </c>
    </row>
    <row r="4519" spans="1:16" x14ac:dyDescent="0.25">
      <c r="A4519" s="3" t="str">
        <f t="shared" ca="1" si="1284"/>
        <v/>
      </c>
      <c r="C4519" s="16"/>
      <c r="G4519" s="15">
        <f t="shared" ca="1" si="1293"/>
        <v>42</v>
      </c>
      <c r="H4519" s="15">
        <v>1</v>
      </c>
      <c r="I4519" s="15">
        <f t="shared" ca="1" si="1294"/>
        <v>0</v>
      </c>
      <c r="J4519" s="15" t="str">
        <f t="shared" ca="1" si="1301"/>
        <v>'0'!A42</v>
      </c>
      <c r="K4519" s="15" t="str">
        <f t="shared" ca="1" si="1302"/>
        <v>'0'!B42</v>
      </c>
    </row>
    <row r="4520" spans="1:16" x14ac:dyDescent="0.25">
      <c r="A4520" s="3" t="str">
        <f t="shared" ca="1" si="1284"/>
        <v/>
      </c>
      <c r="G4520" s="15">
        <f t="shared" ca="1" si="1293"/>
        <v>43</v>
      </c>
      <c r="H4520" s="15">
        <v>1</v>
      </c>
      <c r="I4520" s="15">
        <f t="shared" ca="1" si="1294"/>
        <v>0</v>
      </c>
      <c r="J4520" s="15" t="str">
        <f t="shared" ca="1" si="1301"/>
        <v>'0'!A43</v>
      </c>
      <c r="K4520" s="15" t="str">
        <f t="shared" ca="1" si="1302"/>
        <v>'0'!B43</v>
      </c>
    </row>
    <row r="4521" spans="1:16" x14ac:dyDescent="0.25">
      <c r="A4521" s="3" t="str">
        <f t="shared" ca="1" si="1284"/>
        <v/>
      </c>
      <c r="G4521" s="15">
        <f t="shared" ca="1" si="1293"/>
        <v>44</v>
      </c>
      <c r="H4521" s="15">
        <v>1</v>
      </c>
      <c r="I4521" s="15">
        <f t="shared" ca="1" si="1294"/>
        <v>0</v>
      </c>
      <c r="J4521" s="15" t="str">
        <f t="shared" ca="1" si="1301"/>
        <v>'0'!A44</v>
      </c>
      <c r="K4521" s="15" t="str">
        <f t="shared" ca="1" si="1302"/>
        <v>'0'!B44</v>
      </c>
    </row>
    <row r="4522" spans="1:16" x14ac:dyDescent="0.25">
      <c r="A4522" s="3" t="str">
        <f t="shared" ca="1" si="1284"/>
        <v/>
      </c>
      <c r="G4522" s="15">
        <f t="shared" ca="1" si="1293"/>
        <v>45</v>
      </c>
      <c r="H4522" s="15">
        <v>1</v>
      </c>
      <c r="I4522" s="15">
        <f t="shared" ca="1" si="1294"/>
        <v>0</v>
      </c>
      <c r="J4522" s="15" t="str">
        <f t="shared" ca="1" si="1301"/>
        <v>'0'!A45</v>
      </c>
      <c r="K4522" s="15" t="str">
        <f t="shared" ca="1" si="1302"/>
        <v>'0'!B45</v>
      </c>
    </row>
    <row r="4523" spans="1:16" x14ac:dyDescent="0.25">
      <c r="A4523" s="3" t="str">
        <f t="shared" ca="1" si="1284"/>
        <v/>
      </c>
      <c r="G4523" s="15">
        <f t="shared" ca="1" si="1293"/>
        <v>46</v>
      </c>
      <c r="H4523" s="15">
        <v>1</v>
      </c>
      <c r="I4523" s="15">
        <f t="shared" ca="1" si="1294"/>
        <v>0</v>
      </c>
      <c r="J4523" s="15" t="str">
        <f t="shared" ca="1" si="1301"/>
        <v>'0'!A46</v>
      </c>
      <c r="K4523" s="15" t="str">
        <f t="shared" ca="1" si="1302"/>
        <v>'0'!B46</v>
      </c>
    </row>
    <row r="4524" spans="1:16" x14ac:dyDescent="0.25">
      <c r="A4524" s="3" t="str">
        <f t="shared" ref="A4524:A4587" ca="1" si="1303">IFERROR(IF(INDIRECT(J4524)&lt;&gt;"",CONCATENATE(INDIRECT(J4524)," = ",INDIRECT(K4524)," "),""),"")</f>
        <v/>
      </c>
      <c r="G4524" s="15">
        <f t="shared" ca="1" si="1293"/>
        <v>47</v>
      </c>
      <c r="H4524" s="15">
        <v>1</v>
      </c>
      <c r="I4524" s="15">
        <f t="shared" ca="1" si="1294"/>
        <v>0</v>
      </c>
      <c r="J4524" s="15" t="str">
        <f t="shared" ca="1" si="1301"/>
        <v>'0'!A47</v>
      </c>
      <c r="K4524" s="15" t="str">
        <f t="shared" ca="1" si="1302"/>
        <v>'0'!B47</v>
      </c>
    </row>
    <row r="4525" spans="1:16" x14ac:dyDescent="0.25">
      <c r="A4525" s="3" t="str">
        <f t="shared" ca="1" si="1303"/>
        <v/>
      </c>
      <c r="G4525" s="15">
        <f t="shared" ca="1" si="1293"/>
        <v>48</v>
      </c>
      <c r="H4525" s="15">
        <v>1</v>
      </c>
      <c r="I4525" s="15">
        <f t="shared" ca="1" si="1294"/>
        <v>0</v>
      </c>
      <c r="J4525" s="15" t="str">
        <f t="shared" ca="1" si="1301"/>
        <v>'0'!A48</v>
      </c>
      <c r="K4525" s="15" t="str">
        <f t="shared" ca="1" si="1302"/>
        <v>'0'!B48</v>
      </c>
    </row>
    <row r="4526" spans="1:16" x14ac:dyDescent="0.25">
      <c r="A4526" s="3" t="str">
        <f t="shared" ca="1" si="1303"/>
        <v/>
      </c>
      <c r="G4526" s="15">
        <f t="shared" ca="1" si="1293"/>
        <v>49</v>
      </c>
      <c r="H4526" s="15">
        <v>1</v>
      </c>
      <c r="I4526" s="15">
        <f t="shared" ca="1" si="1294"/>
        <v>0</v>
      </c>
      <c r="J4526" s="15" t="str">
        <f t="shared" ca="1" si="1301"/>
        <v>'0'!A49</v>
      </c>
      <c r="K4526" s="15" t="str">
        <f t="shared" ca="1" si="1302"/>
        <v>'0'!B49</v>
      </c>
    </row>
    <row r="4527" spans="1:16" x14ac:dyDescent="0.25">
      <c r="A4527" s="3" t="str">
        <f t="shared" ca="1" si="1303"/>
        <v/>
      </c>
      <c r="G4527" s="15">
        <f t="shared" ca="1" si="1293"/>
        <v>50</v>
      </c>
      <c r="H4527" s="15">
        <v>1</v>
      </c>
      <c r="I4527" s="15">
        <f t="shared" ca="1" si="1294"/>
        <v>0</v>
      </c>
      <c r="J4527" s="15" t="str">
        <f t="shared" ca="1" si="1301"/>
        <v>'0'!A50</v>
      </c>
      <c r="K4527" s="15" t="str">
        <f t="shared" ca="1" si="1302"/>
        <v>'0'!B50</v>
      </c>
    </row>
    <row r="4528" spans="1:16" x14ac:dyDescent="0.25">
      <c r="A4528" s="3" t="str">
        <f t="shared" ca="1" si="1303"/>
        <v/>
      </c>
      <c r="G4528" s="15">
        <f t="shared" ref="G4528" ca="1" si="1304">INDIRECT(M4528)</f>
        <v>31</v>
      </c>
      <c r="H4528" s="15">
        <v>1</v>
      </c>
      <c r="I4528" s="15">
        <f t="shared" ref="I4528" ca="1" si="1305">INDIRECT(N4528)</f>
        <v>0</v>
      </c>
      <c r="J4528" s="15" t="str">
        <f t="shared" ca="1" si="1301"/>
        <v>'0'!A31</v>
      </c>
      <c r="K4528" s="15" t="str">
        <f t="shared" ca="1" si="1302"/>
        <v>'0'!B31</v>
      </c>
      <c r="M4528" s="15" t="str">
        <f t="shared" ref="M4528" si="1306">ADDRESS(O4528,3,4,1,$R$1)</f>
        <v>konfig!C228</v>
      </c>
      <c r="N4528" s="15" t="str">
        <f t="shared" ref="N4528" si="1307">ADDRESS(O4528,1,4,1,$R$1)</f>
        <v>konfig!A228</v>
      </c>
      <c r="O4528" s="15">
        <v>228</v>
      </c>
      <c r="P4528" s="15">
        <v>4</v>
      </c>
    </row>
    <row r="4529" spans="1:11" x14ac:dyDescent="0.25">
      <c r="A4529" s="3" t="str">
        <f t="shared" ca="1" si="1303"/>
        <v/>
      </c>
      <c r="G4529" s="15">
        <f t="shared" ca="1" si="1293"/>
        <v>32</v>
      </c>
      <c r="H4529" s="15">
        <v>1</v>
      </c>
      <c r="I4529" s="15">
        <f t="shared" ca="1" si="1294"/>
        <v>0</v>
      </c>
      <c r="J4529" s="15" t="str">
        <f t="shared" ca="1" si="1301"/>
        <v>'0'!A32</v>
      </c>
      <c r="K4529" s="15" t="str">
        <f t="shared" ca="1" si="1302"/>
        <v>'0'!B32</v>
      </c>
    </row>
    <row r="4530" spans="1:11" x14ac:dyDescent="0.25">
      <c r="A4530" s="3" t="str">
        <f t="shared" ca="1" si="1303"/>
        <v/>
      </c>
      <c r="G4530" s="15">
        <f t="shared" ca="1" si="1293"/>
        <v>33</v>
      </c>
      <c r="H4530" s="15">
        <v>1</v>
      </c>
      <c r="I4530" s="15">
        <f t="shared" ca="1" si="1294"/>
        <v>0</v>
      </c>
      <c r="J4530" s="15" t="str">
        <f t="shared" ca="1" si="1301"/>
        <v>'0'!A33</v>
      </c>
      <c r="K4530" s="15" t="str">
        <f t="shared" ca="1" si="1302"/>
        <v>'0'!B33</v>
      </c>
    </row>
    <row r="4531" spans="1:11" x14ac:dyDescent="0.25">
      <c r="A4531" s="3" t="str">
        <f t="shared" ca="1" si="1303"/>
        <v/>
      </c>
      <c r="C4531" s="16"/>
      <c r="G4531" s="15">
        <f t="shared" ca="1" si="1293"/>
        <v>34</v>
      </c>
      <c r="H4531" s="15">
        <v>1</v>
      </c>
      <c r="I4531" s="15">
        <f t="shared" ca="1" si="1294"/>
        <v>0</v>
      </c>
      <c r="J4531" s="15" t="str">
        <f t="shared" ca="1" si="1301"/>
        <v>'0'!A34</v>
      </c>
      <c r="K4531" s="15" t="str">
        <f t="shared" ca="1" si="1302"/>
        <v>'0'!B34</v>
      </c>
    </row>
    <row r="4532" spans="1:11" x14ac:dyDescent="0.25">
      <c r="A4532" s="3" t="str">
        <f t="shared" ca="1" si="1303"/>
        <v/>
      </c>
      <c r="G4532" s="15">
        <f t="shared" ca="1" si="1293"/>
        <v>35</v>
      </c>
      <c r="H4532" s="15">
        <v>1</v>
      </c>
      <c r="I4532" s="15">
        <f t="shared" ca="1" si="1294"/>
        <v>0</v>
      </c>
      <c r="J4532" s="15" t="str">
        <f t="shared" ca="1" si="1301"/>
        <v>'0'!A35</v>
      </c>
      <c r="K4532" s="15" t="str">
        <f t="shared" ca="1" si="1302"/>
        <v>'0'!B35</v>
      </c>
    </row>
    <row r="4533" spans="1:11" x14ac:dyDescent="0.25">
      <c r="A4533" s="3" t="str">
        <f t="shared" ca="1" si="1303"/>
        <v/>
      </c>
      <c r="G4533" s="15">
        <f t="shared" ca="1" si="1293"/>
        <v>36</v>
      </c>
      <c r="H4533" s="15">
        <v>1</v>
      </c>
      <c r="I4533" s="15">
        <f t="shared" ca="1" si="1294"/>
        <v>0</v>
      </c>
      <c r="J4533" s="15" t="str">
        <f t="shared" ca="1" si="1301"/>
        <v>'0'!A36</v>
      </c>
      <c r="K4533" s="15" t="str">
        <f t="shared" ca="1" si="1302"/>
        <v>'0'!B36</v>
      </c>
    </row>
    <row r="4534" spans="1:11" x14ac:dyDescent="0.25">
      <c r="A4534" s="3" t="str">
        <f t="shared" ca="1" si="1303"/>
        <v/>
      </c>
      <c r="G4534" s="15">
        <f t="shared" ca="1" si="1293"/>
        <v>37</v>
      </c>
      <c r="H4534" s="15">
        <v>1</v>
      </c>
      <c r="I4534" s="15">
        <f t="shared" ca="1" si="1294"/>
        <v>0</v>
      </c>
      <c r="J4534" s="15" t="str">
        <f t="shared" ca="1" si="1301"/>
        <v>'0'!A37</v>
      </c>
      <c r="K4534" s="15" t="str">
        <f t="shared" ca="1" si="1302"/>
        <v>'0'!B37</v>
      </c>
    </row>
    <row r="4535" spans="1:11" x14ac:dyDescent="0.25">
      <c r="A4535" s="3" t="str">
        <f t="shared" ca="1" si="1303"/>
        <v/>
      </c>
      <c r="G4535" s="15">
        <f t="shared" ca="1" si="1293"/>
        <v>38</v>
      </c>
      <c r="H4535" s="15">
        <v>1</v>
      </c>
      <c r="I4535" s="15">
        <f t="shared" ca="1" si="1294"/>
        <v>0</v>
      </c>
      <c r="J4535" s="15" t="str">
        <f t="shared" ca="1" si="1301"/>
        <v>'0'!A38</v>
      </c>
      <c r="K4535" s="15" t="str">
        <f t="shared" ca="1" si="1302"/>
        <v>'0'!B38</v>
      </c>
    </row>
    <row r="4536" spans="1:11" x14ac:dyDescent="0.25">
      <c r="A4536" s="3" t="str">
        <f t="shared" ca="1" si="1303"/>
        <v/>
      </c>
      <c r="G4536" s="15">
        <f t="shared" ca="1" si="1293"/>
        <v>39</v>
      </c>
      <c r="H4536" s="15">
        <v>1</v>
      </c>
      <c r="I4536" s="15">
        <f t="shared" ca="1" si="1294"/>
        <v>0</v>
      </c>
      <c r="J4536" s="15" t="str">
        <f t="shared" ca="1" si="1301"/>
        <v>'0'!A39</v>
      </c>
      <c r="K4536" s="15" t="str">
        <f t="shared" ca="1" si="1302"/>
        <v>'0'!B39</v>
      </c>
    </row>
    <row r="4537" spans="1:11" x14ac:dyDescent="0.25">
      <c r="A4537" s="3" t="str">
        <f t="shared" ca="1" si="1303"/>
        <v/>
      </c>
      <c r="G4537" s="15">
        <f t="shared" ca="1" si="1293"/>
        <v>40</v>
      </c>
      <c r="H4537" s="15">
        <v>1</v>
      </c>
      <c r="I4537" s="15">
        <f t="shared" ca="1" si="1294"/>
        <v>0</v>
      </c>
      <c r="J4537" s="15" t="str">
        <f t="shared" ca="1" si="1301"/>
        <v>'0'!A40</v>
      </c>
      <c r="K4537" s="15" t="str">
        <f t="shared" ca="1" si="1302"/>
        <v>'0'!B40</v>
      </c>
    </row>
    <row r="4538" spans="1:11" x14ac:dyDescent="0.25">
      <c r="A4538" s="3" t="str">
        <f t="shared" ca="1" si="1303"/>
        <v/>
      </c>
      <c r="G4538" s="15">
        <f t="shared" ca="1" si="1293"/>
        <v>41</v>
      </c>
      <c r="H4538" s="15">
        <v>1</v>
      </c>
      <c r="I4538" s="15">
        <f t="shared" ca="1" si="1294"/>
        <v>0</v>
      </c>
      <c r="J4538" s="15" t="str">
        <f t="shared" ca="1" si="1301"/>
        <v>'0'!A41</v>
      </c>
      <c r="K4538" s="15" t="str">
        <f t="shared" ca="1" si="1302"/>
        <v>'0'!B41</v>
      </c>
    </row>
    <row r="4539" spans="1:11" x14ac:dyDescent="0.25">
      <c r="A4539" s="3" t="str">
        <f t="shared" ca="1" si="1303"/>
        <v/>
      </c>
      <c r="C4539" s="16"/>
      <c r="G4539" s="15">
        <f t="shared" ca="1" si="1293"/>
        <v>42</v>
      </c>
      <c r="H4539" s="15">
        <v>1</v>
      </c>
      <c r="I4539" s="15">
        <f t="shared" ca="1" si="1294"/>
        <v>0</v>
      </c>
      <c r="J4539" s="15" t="str">
        <f t="shared" ca="1" si="1301"/>
        <v>'0'!A42</v>
      </c>
      <c r="K4539" s="15" t="str">
        <f t="shared" ca="1" si="1302"/>
        <v>'0'!B42</v>
      </c>
    </row>
    <row r="4540" spans="1:11" x14ac:dyDescent="0.25">
      <c r="A4540" s="3" t="str">
        <f t="shared" ca="1" si="1303"/>
        <v/>
      </c>
      <c r="G4540" s="15">
        <f t="shared" ca="1" si="1293"/>
        <v>43</v>
      </c>
      <c r="H4540" s="15">
        <v>1</v>
      </c>
      <c r="I4540" s="15">
        <f t="shared" ca="1" si="1294"/>
        <v>0</v>
      </c>
      <c r="J4540" s="15" t="str">
        <f t="shared" ca="1" si="1301"/>
        <v>'0'!A43</v>
      </c>
      <c r="K4540" s="15" t="str">
        <f t="shared" ca="1" si="1302"/>
        <v>'0'!B43</v>
      </c>
    </row>
    <row r="4541" spans="1:11" x14ac:dyDescent="0.25">
      <c r="A4541" s="3" t="str">
        <f t="shared" ca="1" si="1303"/>
        <v/>
      </c>
      <c r="G4541" s="15">
        <f t="shared" ca="1" si="1293"/>
        <v>44</v>
      </c>
      <c r="H4541" s="15">
        <v>1</v>
      </c>
      <c r="I4541" s="15">
        <f t="shared" ca="1" si="1294"/>
        <v>0</v>
      </c>
      <c r="J4541" s="15" t="str">
        <f t="shared" ca="1" si="1301"/>
        <v>'0'!A44</v>
      </c>
      <c r="K4541" s="15" t="str">
        <f t="shared" ca="1" si="1302"/>
        <v>'0'!B44</v>
      </c>
    </row>
    <row r="4542" spans="1:11" x14ac:dyDescent="0.25">
      <c r="A4542" s="3" t="str">
        <f t="shared" ca="1" si="1303"/>
        <v/>
      </c>
      <c r="G4542" s="15">
        <f t="shared" ca="1" si="1293"/>
        <v>45</v>
      </c>
      <c r="H4542" s="15">
        <v>1</v>
      </c>
      <c r="I4542" s="15">
        <f t="shared" ca="1" si="1294"/>
        <v>0</v>
      </c>
      <c r="J4542" s="15" t="str">
        <f t="shared" ca="1" si="1301"/>
        <v>'0'!A45</v>
      </c>
      <c r="K4542" s="15" t="str">
        <f t="shared" ca="1" si="1302"/>
        <v>'0'!B45</v>
      </c>
    </row>
    <row r="4543" spans="1:11" x14ac:dyDescent="0.25">
      <c r="A4543" s="3" t="str">
        <f t="shared" ca="1" si="1303"/>
        <v/>
      </c>
      <c r="G4543" s="15">
        <f t="shared" ca="1" si="1293"/>
        <v>46</v>
      </c>
      <c r="H4543" s="15">
        <v>1</v>
      </c>
      <c r="I4543" s="15">
        <f t="shared" ca="1" si="1294"/>
        <v>0</v>
      </c>
      <c r="J4543" s="15" t="str">
        <f t="shared" ca="1" si="1301"/>
        <v>'0'!A46</v>
      </c>
      <c r="K4543" s="15" t="str">
        <f t="shared" ca="1" si="1302"/>
        <v>'0'!B46</v>
      </c>
    </row>
    <row r="4544" spans="1:11" x14ac:dyDescent="0.25">
      <c r="A4544" s="3" t="str">
        <f t="shared" ca="1" si="1303"/>
        <v/>
      </c>
      <c r="G4544" s="15">
        <f t="shared" ca="1" si="1293"/>
        <v>47</v>
      </c>
      <c r="H4544" s="15">
        <v>1</v>
      </c>
      <c r="I4544" s="15">
        <f t="shared" ca="1" si="1294"/>
        <v>0</v>
      </c>
      <c r="J4544" s="15" t="str">
        <f t="shared" ca="1" si="1301"/>
        <v>'0'!A47</v>
      </c>
      <c r="K4544" s="15" t="str">
        <f t="shared" ca="1" si="1302"/>
        <v>'0'!B47</v>
      </c>
    </row>
    <row r="4545" spans="1:16" x14ac:dyDescent="0.25">
      <c r="A4545" s="3" t="str">
        <f t="shared" ca="1" si="1303"/>
        <v/>
      </c>
      <c r="G4545" s="15">
        <f t="shared" ca="1" si="1293"/>
        <v>48</v>
      </c>
      <c r="H4545" s="15">
        <v>1</v>
      </c>
      <c r="I4545" s="15">
        <f t="shared" ca="1" si="1294"/>
        <v>0</v>
      </c>
      <c r="J4545" s="15" t="str">
        <f t="shared" ca="1" si="1301"/>
        <v>'0'!A48</v>
      </c>
      <c r="K4545" s="15" t="str">
        <f t="shared" ca="1" si="1302"/>
        <v>'0'!B48</v>
      </c>
    </row>
    <row r="4546" spans="1:16" x14ac:dyDescent="0.25">
      <c r="A4546" s="3" t="str">
        <f t="shared" ca="1" si="1303"/>
        <v/>
      </c>
      <c r="G4546" s="15">
        <f t="shared" ca="1" si="1293"/>
        <v>49</v>
      </c>
      <c r="H4546" s="15">
        <v>1</v>
      </c>
      <c r="I4546" s="15">
        <f t="shared" ca="1" si="1294"/>
        <v>0</v>
      </c>
      <c r="J4546" s="15" t="str">
        <f t="shared" ca="1" si="1301"/>
        <v>'0'!A49</v>
      </c>
      <c r="K4546" s="15" t="str">
        <f t="shared" ca="1" si="1302"/>
        <v>'0'!B49</v>
      </c>
    </row>
    <row r="4547" spans="1:16" x14ac:dyDescent="0.25">
      <c r="A4547" s="3" t="str">
        <f t="shared" ca="1" si="1303"/>
        <v/>
      </c>
      <c r="G4547" s="15">
        <f t="shared" ca="1" si="1293"/>
        <v>50</v>
      </c>
      <c r="H4547" s="15">
        <v>1</v>
      </c>
      <c r="I4547" s="15">
        <f t="shared" ca="1" si="1294"/>
        <v>0</v>
      </c>
      <c r="J4547" s="15" t="str">
        <f t="shared" ca="1" si="1301"/>
        <v>'0'!A50</v>
      </c>
      <c r="K4547" s="15" t="str">
        <f t="shared" ca="1" si="1302"/>
        <v>'0'!B50</v>
      </c>
    </row>
    <row r="4548" spans="1:16" x14ac:dyDescent="0.25">
      <c r="A4548" s="3" t="str">
        <f t="shared" ca="1" si="1303"/>
        <v/>
      </c>
      <c r="G4548" s="15">
        <f t="shared" ref="G4548" ca="1" si="1308">INDIRECT(M4548)</f>
        <v>31</v>
      </c>
      <c r="H4548" s="15">
        <v>1</v>
      </c>
      <c r="I4548" s="15">
        <f t="shared" ref="I4548" ca="1" si="1309">INDIRECT(N4548)</f>
        <v>0</v>
      </c>
      <c r="J4548" s="15" t="str">
        <f t="shared" ca="1" si="1301"/>
        <v>'0'!A31</v>
      </c>
      <c r="K4548" s="15" t="str">
        <f t="shared" ca="1" si="1302"/>
        <v>'0'!B31</v>
      </c>
      <c r="M4548" s="15" t="str">
        <f t="shared" ref="M4548" si="1310">ADDRESS(O4548,3,4,1,$R$1)</f>
        <v>konfig!C229</v>
      </c>
      <c r="N4548" s="15" t="str">
        <f t="shared" ref="N4548" si="1311">ADDRESS(O4548,1,4,1,$R$1)</f>
        <v>konfig!A229</v>
      </c>
      <c r="O4548" s="15">
        <v>229</v>
      </c>
      <c r="P4548" s="15">
        <v>4</v>
      </c>
    </row>
    <row r="4549" spans="1:16" x14ac:dyDescent="0.25">
      <c r="A4549" s="3" t="str">
        <f t="shared" ca="1" si="1303"/>
        <v/>
      </c>
      <c r="G4549" s="15">
        <f t="shared" ca="1" si="1299"/>
        <v>32</v>
      </c>
      <c r="H4549" s="15">
        <v>1</v>
      </c>
      <c r="I4549" s="15">
        <f t="shared" ca="1" si="1300"/>
        <v>0</v>
      </c>
      <c r="J4549" s="15" t="str">
        <f t="shared" ca="1" si="1301"/>
        <v>'0'!A32</v>
      </c>
      <c r="K4549" s="15" t="str">
        <f t="shared" ca="1" si="1302"/>
        <v>'0'!B32</v>
      </c>
    </row>
    <row r="4550" spans="1:16" x14ac:dyDescent="0.25">
      <c r="A4550" s="3" t="str">
        <f t="shared" ca="1" si="1303"/>
        <v/>
      </c>
      <c r="G4550" s="15">
        <f t="shared" ca="1" si="1293"/>
        <v>33</v>
      </c>
      <c r="H4550" s="15">
        <v>1</v>
      </c>
      <c r="I4550" s="15">
        <f t="shared" ca="1" si="1294"/>
        <v>0</v>
      </c>
      <c r="J4550" s="15" t="str">
        <f t="shared" ca="1" si="1301"/>
        <v>'0'!A33</v>
      </c>
      <c r="K4550" s="15" t="str">
        <f t="shared" ca="1" si="1302"/>
        <v>'0'!B33</v>
      </c>
    </row>
    <row r="4551" spans="1:16" x14ac:dyDescent="0.25">
      <c r="A4551" s="3" t="str">
        <f t="shared" ca="1" si="1303"/>
        <v/>
      </c>
      <c r="C4551" s="16"/>
      <c r="G4551" s="15">
        <f t="shared" ca="1" si="1293"/>
        <v>34</v>
      </c>
      <c r="H4551" s="15">
        <v>1</v>
      </c>
      <c r="I4551" s="15">
        <f t="shared" ca="1" si="1294"/>
        <v>0</v>
      </c>
      <c r="J4551" s="15" t="str">
        <f t="shared" ca="1" si="1301"/>
        <v>'0'!A34</v>
      </c>
      <c r="K4551" s="15" t="str">
        <f t="shared" ca="1" si="1302"/>
        <v>'0'!B34</v>
      </c>
    </row>
    <row r="4552" spans="1:16" x14ac:dyDescent="0.25">
      <c r="A4552" s="3" t="str">
        <f t="shared" ca="1" si="1303"/>
        <v/>
      </c>
      <c r="G4552" s="15">
        <f t="shared" ca="1" si="1293"/>
        <v>35</v>
      </c>
      <c r="H4552" s="15">
        <v>1</v>
      </c>
      <c r="I4552" s="15">
        <f t="shared" ca="1" si="1294"/>
        <v>0</v>
      </c>
      <c r="J4552" s="15" t="str">
        <f t="shared" ca="1" si="1301"/>
        <v>'0'!A35</v>
      </c>
      <c r="K4552" s="15" t="str">
        <f t="shared" ca="1" si="1302"/>
        <v>'0'!B35</v>
      </c>
    </row>
    <row r="4553" spans="1:16" x14ac:dyDescent="0.25">
      <c r="A4553" s="3" t="str">
        <f t="shared" ca="1" si="1303"/>
        <v/>
      </c>
      <c r="G4553" s="15">
        <f t="shared" ref="G4553:G4616" ca="1" si="1312">G4552+1</f>
        <v>36</v>
      </c>
      <c r="H4553" s="15">
        <v>1</v>
      </c>
      <c r="I4553" s="15">
        <f t="shared" ref="I4553:I4616" ca="1" si="1313">I4552</f>
        <v>0</v>
      </c>
      <c r="J4553" s="15" t="str">
        <f t="shared" ca="1" si="1301"/>
        <v>'0'!A36</v>
      </c>
      <c r="K4553" s="15" t="str">
        <f t="shared" ca="1" si="1302"/>
        <v>'0'!B36</v>
      </c>
    </row>
    <row r="4554" spans="1:16" x14ac:dyDescent="0.25">
      <c r="A4554" s="3" t="str">
        <f t="shared" ca="1" si="1303"/>
        <v/>
      </c>
      <c r="G4554" s="15">
        <f t="shared" ca="1" si="1312"/>
        <v>37</v>
      </c>
      <c r="H4554" s="15">
        <v>1</v>
      </c>
      <c r="I4554" s="15">
        <f t="shared" ca="1" si="1313"/>
        <v>0</v>
      </c>
      <c r="J4554" s="15" t="str">
        <f t="shared" ca="1" si="1301"/>
        <v>'0'!A37</v>
      </c>
      <c r="K4554" s="15" t="str">
        <f t="shared" ca="1" si="1302"/>
        <v>'0'!B37</v>
      </c>
    </row>
    <row r="4555" spans="1:16" x14ac:dyDescent="0.25">
      <c r="A4555" s="3" t="str">
        <f t="shared" ca="1" si="1303"/>
        <v/>
      </c>
      <c r="G4555" s="15">
        <f t="shared" ca="1" si="1312"/>
        <v>38</v>
      </c>
      <c r="H4555" s="15">
        <v>1</v>
      </c>
      <c r="I4555" s="15">
        <f t="shared" ca="1" si="1313"/>
        <v>0</v>
      </c>
      <c r="J4555" s="15" t="str">
        <f t="shared" ca="1" si="1301"/>
        <v>'0'!A38</v>
      </c>
      <c r="K4555" s="15" t="str">
        <f t="shared" ca="1" si="1302"/>
        <v>'0'!B38</v>
      </c>
    </row>
    <row r="4556" spans="1:16" x14ac:dyDescent="0.25">
      <c r="A4556" s="3" t="str">
        <f t="shared" ca="1" si="1303"/>
        <v/>
      </c>
      <c r="G4556" s="15">
        <f t="shared" ca="1" si="1312"/>
        <v>39</v>
      </c>
      <c r="H4556" s="15">
        <v>1</v>
      </c>
      <c r="I4556" s="15">
        <f t="shared" ca="1" si="1313"/>
        <v>0</v>
      </c>
      <c r="J4556" s="15" t="str">
        <f t="shared" ca="1" si="1301"/>
        <v>'0'!A39</v>
      </c>
      <c r="K4556" s="15" t="str">
        <f t="shared" ca="1" si="1302"/>
        <v>'0'!B39</v>
      </c>
    </row>
    <row r="4557" spans="1:16" x14ac:dyDescent="0.25">
      <c r="A4557" s="3" t="str">
        <f t="shared" ca="1" si="1303"/>
        <v/>
      </c>
      <c r="G4557" s="15">
        <f t="shared" ca="1" si="1312"/>
        <v>40</v>
      </c>
      <c r="H4557" s="15">
        <v>1</v>
      </c>
      <c r="I4557" s="15">
        <f t="shared" ca="1" si="1313"/>
        <v>0</v>
      </c>
      <c r="J4557" s="15" t="str">
        <f t="shared" ca="1" si="1301"/>
        <v>'0'!A40</v>
      </c>
      <c r="K4557" s="15" t="str">
        <f t="shared" ca="1" si="1302"/>
        <v>'0'!B40</v>
      </c>
    </row>
    <row r="4558" spans="1:16" x14ac:dyDescent="0.25">
      <c r="A4558" s="3" t="str">
        <f t="shared" ca="1" si="1303"/>
        <v/>
      </c>
      <c r="G4558" s="15">
        <f t="shared" ca="1" si="1312"/>
        <v>41</v>
      </c>
      <c r="H4558" s="15">
        <v>1</v>
      </c>
      <c r="I4558" s="15">
        <f t="shared" ca="1" si="1313"/>
        <v>0</v>
      </c>
      <c r="J4558" s="15" t="str">
        <f t="shared" ca="1" si="1301"/>
        <v>'0'!A41</v>
      </c>
      <c r="K4558" s="15" t="str">
        <f t="shared" ca="1" si="1302"/>
        <v>'0'!B41</v>
      </c>
    </row>
    <row r="4559" spans="1:16" x14ac:dyDescent="0.25">
      <c r="A4559" s="3" t="str">
        <f t="shared" ca="1" si="1303"/>
        <v/>
      </c>
      <c r="C4559" s="16"/>
      <c r="G4559" s="15">
        <f t="shared" ca="1" si="1312"/>
        <v>42</v>
      </c>
      <c r="H4559" s="15">
        <v>1</v>
      </c>
      <c r="I4559" s="15">
        <f t="shared" ca="1" si="1313"/>
        <v>0</v>
      </c>
      <c r="J4559" s="15" t="str">
        <f t="shared" ca="1" si="1301"/>
        <v>'0'!A42</v>
      </c>
      <c r="K4559" s="15" t="str">
        <f t="shared" ca="1" si="1302"/>
        <v>'0'!B42</v>
      </c>
    </row>
    <row r="4560" spans="1:16" x14ac:dyDescent="0.25">
      <c r="A4560" s="3" t="str">
        <f t="shared" ca="1" si="1303"/>
        <v/>
      </c>
      <c r="G4560" s="15">
        <f t="shared" ca="1" si="1312"/>
        <v>43</v>
      </c>
      <c r="H4560" s="15">
        <v>1</v>
      </c>
      <c r="I4560" s="15">
        <f t="shared" ca="1" si="1313"/>
        <v>0</v>
      </c>
      <c r="J4560" s="15" t="str">
        <f t="shared" ca="1" si="1301"/>
        <v>'0'!A43</v>
      </c>
      <c r="K4560" s="15" t="str">
        <f t="shared" ca="1" si="1302"/>
        <v>'0'!B43</v>
      </c>
    </row>
    <row r="4561" spans="1:16" x14ac:dyDescent="0.25">
      <c r="A4561" s="3" t="str">
        <f t="shared" ca="1" si="1303"/>
        <v/>
      </c>
      <c r="G4561" s="15">
        <f t="shared" ca="1" si="1312"/>
        <v>44</v>
      </c>
      <c r="H4561" s="15">
        <v>1</v>
      </c>
      <c r="I4561" s="15">
        <f t="shared" ca="1" si="1313"/>
        <v>0</v>
      </c>
      <c r="J4561" s="15" t="str">
        <f t="shared" ca="1" si="1301"/>
        <v>'0'!A44</v>
      </c>
      <c r="K4561" s="15" t="str">
        <f t="shared" ca="1" si="1302"/>
        <v>'0'!B44</v>
      </c>
    </row>
    <row r="4562" spans="1:16" x14ac:dyDescent="0.25">
      <c r="A4562" s="3" t="str">
        <f t="shared" ca="1" si="1303"/>
        <v/>
      </c>
      <c r="G4562" s="15">
        <f t="shared" ca="1" si="1312"/>
        <v>45</v>
      </c>
      <c r="H4562" s="15">
        <v>1</v>
      </c>
      <c r="I4562" s="15">
        <f t="shared" ca="1" si="1313"/>
        <v>0</v>
      </c>
      <c r="J4562" s="15" t="str">
        <f t="shared" ca="1" si="1301"/>
        <v>'0'!A45</v>
      </c>
      <c r="K4562" s="15" t="str">
        <f t="shared" ca="1" si="1302"/>
        <v>'0'!B45</v>
      </c>
    </row>
    <row r="4563" spans="1:16" x14ac:dyDescent="0.25">
      <c r="A4563" s="3" t="str">
        <f t="shared" ca="1" si="1303"/>
        <v/>
      </c>
      <c r="G4563" s="15">
        <f t="shared" ca="1" si="1312"/>
        <v>46</v>
      </c>
      <c r="H4563" s="15">
        <v>1</v>
      </c>
      <c r="I4563" s="15">
        <f t="shared" ca="1" si="1313"/>
        <v>0</v>
      </c>
      <c r="J4563" s="15" t="str">
        <f t="shared" ca="1" si="1301"/>
        <v>'0'!A46</v>
      </c>
      <c r="K4563" s="15" t="str">
        <f t="shared" ca="1" si="1302"/>
        <v>'0'!B46</v>
      </c>
    </row>
    <row r="4564" spans="1:16" x14ac:dyDescent="0.25">
      <c r="A4564" s="3" t="str">
        <f t="shared" ca="1" si="1303"/>
        <v/>
      </c>
      <c r="G4564" s="15">
        <f t="shared" ca="1" si="1312"/>
        <v>47</v>
      </c>
      <c r="H4564" s="15">
        <v>1</v>
      </c>
      <c r="I4564" s="15">
        <f t="shared" ca="1" si="1313"/>
        <v>0</v>
      </c>
      <c r="J4564" s="15" t="str">
        <f t="shared" ca="1" si="1301"/>
        <v>'0'!A47</v>
      </c>
      <c r="K4564" s="15" t="str">
        <f t="shared" ca="1" si="1302"/>
        <v>'0'!B47</v>
      </c>
    </row>
    <row r="4565" spans="1:16" x14ac:dyDescent="0.25">
      <c r="A4565" s="3" t="str">
        <f t="shared" ca="1" si="1303"/>
        <v/>
      </c>
      <c r="G4565" s="15">
        <f t="shared" ca="1" si="1312"/>
        <v>48</v>
      </c>
      <c r="H4565" s="15">
        <v>1</v>
      </c>
      <c r="I4565" s="15">
        <f t="shared" ca="1" si="1313"/>
        <v>0</v>
      </c>
      <c r="J4565" s="15" t="str">
        <f t="shared" ca="1" si="1301"/>
        <v>'0'!A48</v>
      </c>
      <c r="K4565" s="15" t="str">
        <f t="shared" ca="1" si="1302"/>
        <v>'0'!B48</v>
      </c>
    </row>
    <row r="4566" spans="1:16" x14ac:dyDescent="0.25">
      <c r="A4566" s="3" t="str">
        <f t="shared" ca="1" si="1303"/>
        <v/>
      </c>
      <c r="G4566" s="15">
        <f t="shared" ca="1" si="1312"/>
        <v>49</v>
      </c>
      <c r="H4566" s="15">
        <v>1</v>
      </c>
      <c r="I4566" s="15">
        <f t="shared" ca="1" si="1313"/>
        <v>0</v>
      </c>
      <c r="J4566" s="15" t="str">
        <f t="shared" ca="1" si="1301"/>
        <v>'0'!A49</v>
      </c>
      <c r="K4566" s="15" t="str">
        <f t="shared" ca="1" si="1302"/>
        <v>'0'!B49</v>
      </c>
    </row>
    <row r="4567" spans="1:16" x14ac:dyDescent="0.25">
      <c r="A4567" s="3" t="str">
        <f t="shared" ca="1" si="1303"/>
        <v/>
      </c>
      <c r="G4567" s="15">
        <f t="shared" ca="1" si="1312"/>
        <v>50</v>
      </c>
      <c r="H4567" s="15">
        <v>1</v>
      </c>
      <c r="I4567" s="15">
        <f t="shared" ca="1" si="1313"/>
        <v>0</v>
      </c>
      <c r="J4567" s="15" t="str">
        <f t="shared" ca="1" si="1301"/>
        <v>'0'!A50</v>
      </c>
      <c r="K4567" s="15" t="str">
        <f t="shared" ca="1" si="1302"/>
        <v>'0'!B50</v>
      </c>
    </row>
    <row r="4568" spans="1:16" x14ac:dyDescent="0.25">
      <c r="A4568" s="3" t="str">
        <f t="shared" ca="1" si="1303"/>
        <v/>
      </c>
      <c r="G4568" s="15">
        <f t="shared" ref="G4568" ca="1" si="1314">INDIRECT(M4568)</f>
        <v>31</v>
      </c>
      <c r="H4568" s="15">
        <v>1</v>
      </c>
      <c r="I4568" s="15">
        <f t="shared" ref="I4568" ca="1" si="1315">INDIRECT(N4568)</f>
        <v>0</v>
      </c>
      <c r="J4568" s="15" t="str">
        <f t="shared" ca="1" si="1301"/>
        <v>'0'!A31</v>
      </c>
      <c r="K4568" s="15" t="str">
        <f t="shared" ca="1" si="1302"/>
        <v>'0'!B31</v>
      </c>
      <c r="M4568" s="15" t="str">
        <f t="shared" ref="M4568" si="1316">ADDRESS(O4568,3,4,1,$R$1)</f>
        <v>konfig!C230</v>
      </c>
      <c r="N4568" s="15" t="str">
        <f t="shared" ref="N4568" si="1317">ADDRESS(O4568,1,4,1,$R$1)</f>
        <v>konfig!A230</v>
      </c>
      <c r="O4568" s="15">
        <v>230</v>
      </c>
      <c r="P4568" s="15">
        <v>4</v>
      </c>
    </row>
    <row r="4569" spans="1:16" x14ac:dyDescent="0.25">
      <c r="A4569" s="3" t="str">
        <f t="shared" ca="1" si="1303"/>
        <v/>
      </c>
      <c r="G4569" s="15">
        <f t="shared" ref="G4569:G4612" ca="1" si="1318">G4568+1</f>
        <v>32</v>
      </c>
      <c r="H4569" s="15">
        <v>1</v>
      </c>
      <c r="I4569" s="15">
        <f t="shared" ref="I4569:I4612" ca="1" si="1319">I4568</f>
        <v>0</v>
      </c>
      <c r="J4569" s="15" t="str">
        <f t="shared" ca="1" si="1301"/>
        <v>'0'!A32</v>
      </c>
      <c r="K4569" s="15" t="str">
        <f t="shared" ca="1" si="1302"/>
        <v>'0'!B32</v>
      </c>
    </row>
    <row r="4570" spans="1:16" x14ac:dyDescent="0.25">
      <c r="A4570" s="3" t="str">
        <f t="shared" ca="1" si="1303"/>
        <v/>
      </c>
      <c r="G4570" s="15">
        <f t="shared" ca="1" si="1318"/>
        <v>33</v>
      </c>
      <c r="H4570" s="15">
        <v>1</v>
      </c>
      <c r="I4570" s="15">
        <f t="shared" ca="1" si="1319"/>
        <v>0</v>
      </c>
      <c r="J4570" s="15" t="str">
        <f t="shared" ca="1" si="1301"/>
        <v>'0'!A33</v>
      </c>
      <c r="K4570" s="15" t="str">
        <f t="shared" ca="1" si="1302"/>
        <v>'0'!B33</v>
      </c>
    </row>
    <row r="4571" spans="1:16" x14ac:dyDescent="0.25">
      <c r="A4571" s="3" t="str">
        <f t="shared" ca="1" si="1303"/>
        <v/>
      </c>
      <c r="C4571" s="16"/>
      <c r="G4571" s="15">
        <f t="shared" ca="1" si="1318"/>
        <v>34</v>
      </c>
      <c r="H4571" s="15">
        <v>1</v>
      </c>
      <c r="I4571" s="15">
        <f t="shared" ca="1" si="1319"/>
        <v>0</v>
      </c>
      <c r="J4571" s="15" t="str">
        <f t="shared" ca="1" si="1301"/>
        <v>'0'!A34</v>
      </c>
      <c r="K4571" s="15" t="str">
        <f t="shared" ca="1" si="1302"/>
        <v>'0'!B34</v>
      </c>
    </row>
    <row r="4572" spans="1:16" x14ac:dyDescent="0.25">
      <c r="A4572" s="3" t="str">
        <f t="shared" ca="1" si="1303"/>
        <v/>
      </c>
      <c r="G4572" s="15">
        <f t="shared" ca="1" si="1318"/>
        <v>35</v>
      </c>
      <c r="H4572" s="15">
        <v>1</v>
      </c>
      <c r="I4572" s="15">
        <f t="shared" ca="1" si="1319"/>
        <v>0</v>
      </c>
      <c r="J4572" s="15" t="str">
        <f t="shared" ca="1" si="1301"/>
        <v>'0'!A35</v>
      </c>
      <c r="K4572" s="15" t="str">
        <f t="shared" ca="1" si="1302"/>
        <v>'0'!B35</v>
      </c>
    </row>
    <row r="4573" spans="1:16" x14ac:dyDescent="0.25">
      <c r="A4573" s="3" t="str">
        <f t="shared" ca="1" si="1303"/>
        <v/>
      </c>
      <c r="G4573" s="15">
        <f t="shared" ca="1" si="1312"/>
        <v>36</v>
      </c>
      <c r="H4573" s="15">
        <v>1</v>
      </c>
      <c r="I4573" s="15">
        <f t="shared" ca="1" si="1313"/>
        <v>0</v>
      </c>
      <c r="J4573" s="15" t="str">
        <f t="shared" ca="1" si="1301"/>
        <v>'0'!A36</v>
      </c>
      <c r="K4573" s="15" t="str">
        <f t="shared" ca="1" si="1302"/>
        <v>'0'!B36</v>
      </c>
    </row>
    <row r="4574" spans="1:16" x14ac:dyDescent="0.25">
      <c r="A4574" s="3" t="str">
        <f t="shared" ca="1" si="1303"/>
        <v/>
      </c>
      <c r="G4574" s="15">
        <f t="shared" ca="1" si="1312"/>
        <v>37</v>
      </c>
      <c r="H4574" s="15">
        <v>1</v>
      </c>
      <c r="I4574" s="15">
        <f t="shared" ca="1" si="1313"/>
        <v>0</v>
      </c>
      <c r="J4574" s="15" t="str">
        <f t="shared" ca="1" si="1301"/>
        <v>'0'!A37</v>
      </c>
      <c r="K4574" s="15" t="str">
        <f t="shared" ca="1" si="1302"/>
        <v>'0'!B37</v>
      </c>
    </row>
    <row r="4575" spans="1:16" x14ac:dyDescent="0.25">
      <c r="A4575" s="3" t="str">
        <f t="shared" ca="1" si="1303"/>
        <v/>
      </c>
      <c r="G4575" s="15">
        <f t="shared" ca="1" si="1312"/>
        <v>38</v>
      </c>
      <c r="H4575" s="15">
        <v>1</v>
      </c>
      <c r="I4575" s="15">
        <f t="shared" ca="1" si="1313"/>
        <v>0</v>
      </c>
      <c r="J4575" s="15" t="str">
        <f t="shared" ca="1" si="1301"/>
        <v>'0'!A38</v>
      </c>
      <c r="K4575" s="15" t="str">
        <f t="shared" ca="1" si="1302"/>
        <v>'0'!B38</v>
      </c>
    </row>
    <row r="4576" spans="1:16" x14ac:dyDescent="0.25">
      <c r="A4576" s="3" t="str">
        <f t="shared" ca="1" si="1303"/>
        <v/>
      </c>
      <c r="G4576" s="15">
        <f t="shared" ca="1" si="1312"/>
        <v>39</v>
      </c>
      <c r="H4576" s="15">
        <v>1</v>
      </c>
      <c r="I4576" s="15">
        <f t="shared" ca="1" si="1313"/>
        <v>0</v>
      </c>
      <c r="J4576" s="15" t="str">
        <f t="shared" ca="1" si="1301"/>
        <v>'0'!A39</v>
      </c>
      <c r="K4576" s="15" t="str">
        <f t="shared" ca="1" si="1302"/>
        <v>'0'!B39</v>
      </c>
    </row>
    <row r="4577" spans="1:16" x14ac:dyDescent="0.25">
      <c r="A4577" s="3" t="str">
        <f t="shared" ca="1" si="1303"/>
        <v/>
      </c>
      <c r="G4577" s="15">
        <f t="shared" ca="1" si="1312"/>
        <v>40</v>
      </c>
      <c r="H4577" s="15">
        <v>1</v>
      </c>
      <c r="I4577" s="15">
        <f t="shared" ca="1" si="1313"/>
        <v>0</v>
      </c>
      <c r="J4577" s="15" t="str">
        <f t="shared" ca="1" si="1301"/>
        <v>'0'!A40</v>
      </c>
      <c r="K4577" s="15" t="str">
        <f t="shared" ca="1" si="1302"/>
        <v>'0'!B40</v>
      </c>
    </row>
    <row r="4578" spans="1:16" x14ac:dyDescent="0.25">
      <c r="A4578" s="3" t="str">
        <f t="shared" ca="1" si="1303"/>
        <v/>
      </c>
      <c r="G4578" s="15">
        <f t="shared" ca="1" si="1312"/>
        <v>41</v>
      </c>
      <c r="H4578" s="15">
        <v>1</v>
      </c>
      <c r="I4578" s="15">
        <f t="shared" ca="1" si="1313"/>
        <v>0</v>
      </c>
      <c r="J4578" s="15" t="str">
        <f t="shared" ca="1" si="1301"/>
        <v>'0'!A41</v>
      </c>
      <c r="K4578" s="15" t="str">
        <f t="shared" ca="1" si="1302"/>
        <v>'0'!B41</v>
      </c>
    </row>
    <row r="4579" spans="1:16" x14ac:dyDescent="0.25">
      <c r="A4579" s="3" t="str">
        <f t="shared" ca="1" si="1303"/>
        <v/>
      </c>
      <c r="C4579" s="16"/>
      <c r="G4579" s="15">
        <f t="shared" ca="1" si="1312"/>
        <v>42</v>
      </c>
      <c r="H4579" s="15">
        <v>1</v>
      </c>
      <c r="I4579" s="15">
        <f t="shared" ca="1" si="1313"/>
        <v>0</v>
      </c>
      <c r="J4579" s="15" t="str">
        <f t="shared" ca="1" si="1301"/>
        <v>'0'!A42</v>
      </c>
      <c r="K4579" s="15" t="str">
        <f t="shared" ca="1" si="1302"/>
        <v>'0'!B42</v>
      </c>
    </row>
    <row r="4580" spans="1:16" x14ac:dyDescent="0.25">
      <c r="A4580" s="3" t="str">
        <f t="shared" ca="1" si="1303"/>
        <v/>
      </c>
      <c r="G4580" s="15">
        <f t="shared" ca="1" si="1312"/>
        <v>43</v>
      </c>
      <c r="H4580" s="15">
        <v>1</v>
      </c>
      <c r="I4580" s="15">
        <f t="shared" ca="1" si="1313"/>
        <v>0</v>
      </c>
      <c r="J4580" s="15" t="str">
        <f t="shared" ref="J4580:J4643" ca="1" si="1320">ADDRESS(G4580,H4580,4,1,I4580)</f>
        <v>'0'!A43</v>
      </c>
      <c r="K4580" s="15" t="str">
        <f t="shared" ref="K4580:K4643" ca="1" si="1321">ADDRESS(G4580,H4580+1,4,1,I4580)</f>
        <v>'0'!B43</v>
      </c>
    </row>
    <row r="4581" spans="1:16" x14ac:dyDescent="0.25">
      <c r="A4581" s="3" t="str">
        <f t="shared" ca="1" si="1303"/>
        <v/>
      </c>
      <c r="G4581" s="15">
        <f t="shared" ca="1" si="1312"/>
        <v>44</v>
      </c>
      <c r="H4581" s="15">
        <v>1</v>
      </c>
      <c r="I4581" s="15">
        <f t="shared" ca="1" si="1313"/>
        <v>0</v>
      </c>
      <c r="J4581" s="15" t="str">
        <f t="shared" ca="1" si="1320"/>
        <v>'0'!A44</v>
      </c>
      <c r="K4581" s="15" t="str">
        <f t="shared" ca="1" si="1321"/>
        <v>'0'!B44</v>
      </c>
    </row>
    <row r="4582" spans="1:16" x14ac:dyDescent="0.25">
      <c r="A4582" s="3" t="str">
        <f t="shared" ca="1" si="1303"/>
        <v/>
      </c>
      <c r="G4582" s="15">
        <f t="shared" ca="1" si="1312"/>
        <v>45</v>
      </c>
      <c r="H4582" s="15">
        <v>1</v>
      </c>
      <c r="I4582" s="15">
        <f t="shared" ca="1" si="1313"/>
        <v>0</v>
      </c>
      <c r="J4582" s="15" t="str">
        <f t="shared" ca="1" si="1320"/>
        <v>'0'!A45</v>
      </c>
      <c r="K4582" s="15" t="str">
        <f t="shared" ca="1" si="1321"/>
        <v>'0'!B45</v>
      </c>
    </row>
    <row r="4583" spans="1:16" x14ac:dyDescent="0.25">
      <c r="A4583" s="3" t="str">
        <f t="shared" ca="1" si="1303"/>
        <v/>
      </c>
      <c r="G4583" s="15">
        <f t="shared" ca="1" si="1312"/>
        <v>46</v>
      </c>
      <c r="H4583" s="15">
        <v>1</v>
      </c>
      <c r="I4583" s="15">
        <f t="shared" ca="1" si="1313"/>
        <v>0</v>
      </c>
      <c r="J4583" s="15" t="str">
        <f t="shared" ca="1" si="1320"/>
        <v>'0'!A46</v>
      </c>
      <c r="K4583" s="15" t="str">
        <f t="shared" ca="1" si="1321"/>
        <v>'0'!B46</v>
      </c>
    </row>
    <row r="4584" spans="1:16" x14ac:dyDescent="0.25">
      <c r="A4584" s="3" t="str">
        <f t="shared" ca="1" si="1303"/>
        <v/>
      </c>
      <c r="G4584" s="15">
        <f t="shared" ca="1" si="1312"/>
        <v>47</v>
      </c>
      <c r="H4584" s="15">
        <v>1</v>
      </c>
      <c r="I4584" s="15">
        <f t="shared" ca="1" si="1313"/>
        <v>0</v>
      </c>
      <c r="J4584" s="15" t="str">
        <f t="shared" ca="1" si="1320"/>
        <v>'0'!A47</v>
      </c>
      <c r="K4584" s="15" t="str">
        <f t="shared" ca="1" si="1321"/>
        <v>'0'!B47</v>
      </c>
    </row>
    <row r="4585" spans="1:16" x14ac:dyDescent="0.25">
      <c r="A4585" s="3" t="str">
        <f t="shared" ca="1" si="1303"/>
        <v/>
      </c>
      <c r="G4585" s="15">
        <f t="shared" ca="1" si="1312"/>
        <v>48</v>
      </c>
      <c r="H4585" s="15">
        <v>1</v>
      </c>
      <c r="I4585" s="15">
        <f t="shared" ca="1" si="1313"/>
        <v>0</v>
      </c>
      <c r="J4585" s="15" t="str">
        <f t="shared" ca="1" si="1320"/>
        <v>'0'!A48</v>
      </c>
      <c r="K4585" s="15" t="str">
        <f t="shared" ca="1" si="1321"/>
        <v>'0'!B48</v>
      </c>
    </row>
    <row r="4586" spans="1:16" x14ac:dyDescent="0.25">
      <c r="A4586" s="3" t="str">
        <f t="shared" ca="1" si="1303"/>
        <v/>
      </c>
      <c r="G4586" s="15">
        <f t="shared" ca="1" si="1312"/>
        <v>49</v>
      </c>
      <c r="H4586" s="15">
        <v>1</v>
      </c>
      <c r="I4586" s="15">
        <f t="shared" ca="1" si="1313"/>
        <v>0</v>
      </c>
      <c r="J4586" s="15" t="str">
        <f t="shared" ca="1" si="1320"/>
        <v>'0'!A49</v>
      </c>
      <c r="K4586" s="15" t="str">
        <f t="shared" ca="1" si="1321"/>
        <v>'0'!B49</v>
      </c>
    </row>
    <row r="4587" spans="1:16" x14ac:dyDescent="0.25">
      <c r="A4587" s="3" t="str">
        <f t="shared" ca="1" si="1303"/>
        <v/>
      </c>
      <c r="G4587" s="15">
        <f t="shared" ca="1" si="1312"/>
        <v>50</v>
      </c>
      <c r="H4587" s="15">
        <v>1</v>
      </c>
      <c r="I4587" s="15">
        <f t="shared" ca="1" si="1313"/>
        <v>0</v>
      </c>
      <c r="J4587" s="15" t="str">
        <f t="shared" ca="1" si="1320"/>
        <v>'0'!A50</v>
      </c>
      <c r="K4587" s="15" t="str">
        <f t="shared" ca="1" si="1321"/>
        <v>'0'!B50</v>
      </c>
    </row>
    <row r="4588" spans="1:16" x14ac:dyDescent="0.25">
      <c r="A4588" s="3" t="str">
        <f t="shared" ref="A4588:A4651" ca="1" si="1322">IFERROR(IF(INDIRECT(J4588)&lt;&gt;"",CONCATENATE(INDIRECT(J4588)," = ",INDIRECT(K4588)," "),""),"")</f>
        <v/>
      </c>
      <c r="G4588" s="15">
        <f t="shared" ref="G4588" ca="1" si="1323">INDIRECT(M4588)</f>
        <v>31</v>
      </c>
      <c r="H4588" s="15">
        <v>1</v>
      </c>
      <c r="I4588" s="15">
        <f t="shared" ref="I4588" ca="1" si="1324">INDIRECT(N4588)</f>
        <v>0</v>
      </c>
      <c r="J4588" s="15" t="str">
        <f t="shared" ca="1" si="1320"/>
        <v>'0'!A31</v>
      </c>
      <c r="K4588" s="15" t="str">
        <f t="shared" ca="1" si="1321"/>
        <v>'0'!B31</v>
      </c>
      <c r="M4588" s="15" t="str">
        <f t="shared" ref="M4588" si="1325">ADDRESS(O4588,3,4,1,$R$1)</f>
        <v>konfig!C231</v>
      </c>
      <c r="N4588" s="15" t="str">
        <f t="shared" ref="N4588" si="1326">ADDRESS(O4588,1,4,1,$R$1)</f>
        <v>konfig!A231</v>
      </c>
      <c r="O4588" s="15">
        <v>231</v>
      </c>
      <c r="P4588" s="15">
        <v>4</v>
      </c>
    </row>
    <row r="4589" spans="1:16" x14ac:dyDescent="0.25">
      <c r="A4589" s="3" t="str">
        <f t="shared" ca="1" si="1322"/>
        <v/>
      </c>
      <c r="G4589" s="15">
        <f t="shared" ref="G4589:G4629" ca="1" si="1327">G4588+1</f>
        <v>32</v>
      </c>
      <c r="H4589" s="15">
        <v>1</v>
      </c>
      <c r="I4589" s="15">
        <f t="shared" ref="I4589:I4629" ca="1" si="1328">I4588</f>
        <v>0</v>
      </c>
      <c r="J4589" s="15" t="str">
        <f t="shared" ca="1" si="1320"/>
        <v>'0'!A32</v>
      </c>
      <c r="K4589" s="15" t="str">
        <f t="shared" ca="1" si="1321"/>
        <v>'0'!B32</v>
      </c>
    </row>
    <row r="4590" spans="1:16" x14ac:dyDescent="0.25">
      <c r="A4590" s="3" t="str">
        <f t="shared" ca="1" si="1322"/>
        <v/>
      </c>
      <c r="G4590" s="15">
        <f t="shared" ca="1" si="1312"/>
        <v>33</v>
      </c>
      <c r="H4590" s="15">
        <v>1</v>
      </c>
      <c r="I4590" s="15">
        <f t="shared" ca="1" si="1313"/>
        <v>0</v>
      </c>
      <c r="J4590" s="15" t="str">
        <f t="shared" ca="1" si="1320"/>
        <v>'0'!A33</v>
      </c>
      <c r="K4590" s="15" t="str">
        <f t="shared" ca="1" si="1321"/>
        <v>'0'!B33</v>
      </c>
    </row>
    <row r="4591" spans="1:16" x14ac:dyDescent="0.25">
      <c r="A4591" s="3" t="str">
        <f t="shared" ca="1" si="1322"/>
        <v/>
      </c>
      <c r="C4591" s="16"/>
      <c r="G4591" s="15">
        <f t="shared" ca="1" si="1312"/>
        <v>34</v>
      </c>
      <c r="H4591" s="15">
        <v>1</v>
      </c>
      <c r="I4591" s="15">
        <f t="shared" ca="1" si="1313"/>
        <v>0</v>
      </c>
      <c r="J4591" s="15" t="str">
        <f t="shared" ca="1" si="1320"/>
        <v>'0'!A34</v>
      </c>
      <c r="K4591" s="15" t="str">
        <f t="shared" ca="1" si="1321"/>
        <v>'0'!B34</v>
      </c>
    </row>
    <row r="4592" spans="1:16" x14ac:dyDescent="0.25">
      <c r="A4592" s="3" t="str">
        <f t="shared" ca="1" si="1322"/>
        <v/>
      </c>
      <c r="G4592" s="15">
        <f t="shared" ca="1" si="1312"/>
        <v>35</v>
      </c>
      <c r="H4592" s="15">
        <v>1</v>
      </c>
      <c r="I4592" s="15">
        <f t="shared" ca="1" si="1313"/>
        <v>0</v>
      </c>
      <c r="J4592" s="15" t="str">
        <f t="shared" ca="1" si="1320"/>
        <v>'0'!A35</v>
      </c>
      <c r="K4592" s="15" t="str">
        <f t="shared" ca="1" si="1321"/>
        <v>'0'!B35</v>
      </c>
    </row>
    <row r="4593" spans="1:16" x14ac:dyDescent="0.25">
      <c r="A4593" s="3" t="str">
        <f t="shared" ca="1" si="1322"/>
        <v/>
      </c>
      <c r="G4593" s="15">
        <f t="shared" ca="1" si="1312"/>
        <v>36</v>
      </c>
      <c r="H4593" s="15">
        <v>1</v>
      </c>
      <c r="I4593" s="15">
        <f t="shared" ca="1" si="1313"/>
        <v>0</v>
      </c>
      <c r="J4593" s="15" t="str">
        <f t="shared" ca="1" si="1320"/>
        <v>'0'!A36</v>
      </c>
      <c r="K4593" s="15" t="str">
        <f t="shared" ca="1" si="1321"/>
        <v>'0'!B36</v>
      </c>
    </row>
    <row r="4594" spans="1:16" x14ac:dyDescent="0.25">
      <c r="A4594" s="3" t="str">
        <f t="shared" ca="1" si="1322"/>
        <v/>
      </c>
      <c r="G4594" s="15">
        <f t="shared" ca="1" si="1312"/>
        <v>37</v>
      </c>
      <c r="H4594" s="15">
        <v>1</v>
      </c>
      <c r="I4594" s="15">
        <f t="shared" ca="1" si="1313"/>
        <v>0</v>
      </c>
      <c r="J4594" s="15" t="str">
        <f t="shared" ca="1" si="1320"/>
        <v>'0'!A37</v>
      </c>
      <c r="K4594" s="15" t="str">
        <f t="shared" ca="1" si="1321"/>
        <v>'0'!B37</v>
      </c>
    </row>
    <row r="4595" spans="1:16" x14ac:dyDescent="0.25">
      <c r="A4595" s="3" t="str">
        <f t="shared" ca="1" si="1322"/>
        <v/>
      </c>
      <c r="G4595" s="15">
        <f t="shared" ca="1" si="1312"/>
        <v>38</v>
      </c>
      <c r="H4595" s="15">
        <v>1</v>
      </c>
      <c r="I4595" s="15">
        <f t="shared" ca="1" si="1313"/>
        <v>0</v>
      </c>
      <c r="J4595" s="15" t="str">
        <f t="shared" ca="1" si="1320"/>
        <v>'0'!A38</v>
      </c>
      <c r="K4595" s="15" t="str">
        <f t="shared" ca="1" si="1321"/>
        <v>'0'!B38</v>
      </c>
    </row>
    <row r="4596" spans="1:16" x14ac:dyDescent="0.25">
      <c r="A4596" s="3" t="str">
        <f t="shared" ca="1" si="1322"/>
        <v/>
      </c>
      <c r="G4596" s="15">
        <f t="shared" ca="1" si="1312"/>
        <v>39</v>
      </c>
      <c r="H4596" s="15">
        <v>1</v>
      </c>
      <c r="I4596" s="15">
        <f t="shared" ca="1" si="1313"/>
        <v>0</v>
      </c>
      <c r="J4596" s="15" t="str">
        <f t="shared" ca="1" si="1320"/>
        <v>'0'!A39</v>
      </c>
      <c r="K4596" s="15" t="str">
        <f t="shared" ca="1" si="1321"/>
        <v>'0'!B39</v>
      </c>
    </row>
    <row r="4597" spans="1:16" x14ac:dyDescent="0.25">
      <c r="A4597" s="3" t="str">
        <f t="shared" ca="1" si="1322"/>
        <v/>
      </c>
      <c r="G4597" s="15">
        <f t="shared" ca="1" si="1312"/>
        <v>40</v>
      </c>
      <c r="H4597" s="15">
        <v>1</v>
      </c>
      <c r="I4597" s="15">
        <f t="shared" ca="1" si="1313"/>
        <v>0</v>
      </c>
      <c r="J4597" s="15" t="str">
        <f t="shared" ca="1" si="1320"/>
        <v>'0'!A40</v>
      </c>
      <c r="K4597" s="15" t="str">
        <f t="shared" ca="1" si="1321"/>
        <v>'0'!B40</v>
      </c>
    </row>
    <row r="4598" spans="1:16" x14ac:dyDescent="0.25">
      <c r="A4598" s="3" t="str">
        <f t="shared" ca="1" si="1322"/>
        <v/>
      </c>
      <c r="G4598" s="15">
        <f t="shared" ca="1" si="1312"/>
        <v>41</v>
      </c>
      <c r="H4598" s="15">
        <v>1</v>
      </c>
      <c r="I4598" s="15">
        <f t="shared" ca="1" si="1313"/>
        <v>0</v>
      </c>
      <c r="J4598" s="15" t="str">
        <f t="shared" ca="1" si="1320"/>
        <v>'0'!A41</v>
      </c>
      <c r="K4598" s="15" t="str">
        <f t="shared" ca="1" si="1321"/>
        <v>'0'!B41</v>
      </c>
    </row>
    <row r="4599" spans="1:16" x14ac:dyDescent="0.25">
      <c r="A4599" s="3" t="str">
        <f t="shared" ca="1" si="1322"/>
        <v/>
      </c>
      <c r="C4599" s="16"/>
      <c r="G4599" s="15">
        <f t="shared" ca="1" si="1312"/>
        <v>42</v>
      </c>
      <c r="H4599" s="15">
        <v>1</v>
      </c>
      <c r="I4599" s="15">
        <f t="shared" ca="1" si="1313"/>
        <v>0</v>
      </c>
      <c r="J4599" s="15" t="str">
        <f t="shared" ca="1" si="1320"/>
        <v>'0'!A42</v>
      </c>
      <c r="K4599" s="15" t="str">
        <f t="shared" ca="1" si="1321"/>
        <v>'0'!B42</v>
      </c>
    </row>
    <row r="4600" spans="1:16" x14ac:dyDescent="0.25">
      <c r="A4600" s="3" t="str">
        <f t="shared" ca="1" si="1322"/>
        <v/>
      </c>
      <c r="G4600" s="15">
        <f t="shared" ca="1" si="1312"/>
        <v>43</v>
      </c>
      <c r="H4600" s="15">
        <v>1</v>
      </c>
      <c r="I4600" s="15">
        <f t="shared" ca="1" si="1313"/>
        <v>0</v>
      </c>
      <c r="J4600" s="15" t="str">
        <f t="shared" ca="1" si="1320"/>
        <v>'0'!A43</v>
      </c>
      <c r="K4600" s="15" t="str">
        <f t="shared" ca="1" si="1321"/>
        <v>'0'!B43</v>
      </c>
    </row>
    <row r="4601" spans="1:16" x14ac:dyDescent="0.25">
      <c r="A4601" s="3" t="str">
        <f t="shared" ca="1" si="1322"/>
        <v/>
      </c>
      <c r="G4601" s="15">
        <f t="shared" ca="1" si="1312"/>
        <v>44</v>
      </c>
      <c r="H4601" s="15">
        <v>1</v>
      </c>
      <c r="I4601" s="15">
        <f t="shared" ca="1" si="1313"/>
        <v>0</v>
      </c>
      <c r="J4601" s="15" t="str">
        <f t="shared" ca="1" si="1320"/>
        <v>'0'!A44</v>
      </c>
      <c r="K4601" s="15" t="str">
        <f t="shared" ca="1" si="1321"/>
        <v>'0'!B44</v>
      </c>
    </row>
    <row r="4602" spans="1:16" x14ac:dyDescent="0.25">
      <c r="A4602" s="3" t="str">
        <f t="shared" ca="1" si="1322"/>
        <v/>
      </c>
      <c r="G4602" s="15">
        <f t="shared" ca="1" si="1312"/>
        <v>45</v>
      </c>
      <c r="H4602" s="15">
        <v>1</v>
      </c>
      <c r="I4602" s="15">
        <f t="shared" ca="1" si="1313"/>
        <v>0</v>
      </c>
      <c r="J4602" s="15" t="str">
        <f t="shared" ca="1" si="1320"/>
        <v>'0'!A45</v>
      </c>
      <c r="K4602" s="15" t="str">
        <f t="shared" ca="1" si="1321"/>
        <v>'0'!B45</v>
      </c>
    </row>
    <row r="4603" spans="1:16" x14ac:dyDescent="0.25">
      <c r="A4603" s="3" t="str">
        <f t="shared" ca="1" si="1322"/>
        <v/>
      </c>
      <c r="G4603" s="15">
        <f t="shared" ca="1" si="1312"/>
        <v>46</v>
      </c>
      <c r="H4603" s="15">
        <v>1</v>
      </c>
      <c r="I4603" s="15">
        <f t="shared" ca="1" si="1313"/>
        <v>0</v>
      </c>
      <c r="J4603" s="15" t="str">
        <f t="shared" ca="1" si="1320"/>
        <v>'0'!A46</v>
      </c>
      <c r="K4603" s="15" t="str">
        <f t="shared" ca="1" si="1321"/>
        <v>'0'!B46</v>
      </c>
    </row>
    <row r="4604" spans="1:16" x14ac:dyDescent="0.25">
      <c r="A4604" s="3" t="str">
        <f t="shared" ca="1" si="1322"/>
        <v/>
      </c>
      <c r="G4604" s="15">
        <f t="shared" ca="1" si="1312"/>
        <v>47</v>
      </c>
      <c r="H4604" s="15">
        <v>1</v>
      </c>
      <c r="I4604" s="15">
        <f t="shared" ca="1" si="1313"/>
        <v>0</v>
      </c>
      <c r="J4604" s="15" t="str">
        <f t="shared" ca="1" si="1320"/>
        <v>'0'!A47</v>
      </c>
      <c r="K4604" s="15" t="str">
        <f t="shared" ca="1" si="1321"/>
        <v>'0'!B47</v>
      </c>
    </row>
    <row r="4605" spans="1:16" x14ac:dyDescent="0.25">
      <c r="A4605" s="3" t="str">
        <f t="shared" ca="1" si="1322"/>
        <v/>
      </c>
      <c r="G4605" s="15">
        <f t="shared" ca="1" si="1312"/>
        <v>48</v>
      </c>
      <c r="H4605" s="15">
        <v>1</v>
      </c>
      <c r="I4605" s="15">
        <f t="shared" ca="1" si="1313"/>
        <v>0</v>
      </c>
      <c r="J4605" s="15" t="str">
        <f t="shared" ca="1" si="1320"/>
        <v>'0'!A48</v>
      </c>
      <c r="K4605" s="15" t="str">
        <f t="shared" ca="1" si="1321"/>
        <v>'0'!B48</v>
      </c>
    </row>
    <row r="4606" spans="1:16" x14ac:dyDescent="0.25">
      <c r="A4606" s="3" t="str">
        <f t="shared" ca="1" si="1322"/>
        <v/>
      </c>
      <c r="G4606" s="15">
        <f t="shared" ca="1" si="1312"/>
        <v>49</v>
      </c>
      <c r="H4606" s="15">
        <v>1</v>
      </c>
      <c r="I4606" s="15">
        <f t="shared" ca="1" si="1313"/>
        <v>0</v>
      </c>
      <c r="J4606" s="15" t="str">
        <f t="shared" ca="1" si="1320"/>
        <v>'0'!A49</v>
      </c>
      <c r="K4606" s="15" t="str">
        <f t="shared" ca="1" si="1321"/>
        <v>'0'!B49</v>
      </c>
    </row>
    <row r="4607" spans="1:16" x14ac:dyDescent="0.25">
      <c r="A4607" s="3" t="str">
        <f t="shared" ca="1" si="1322"/>
        <v/>
      </c>
      <c r="G4607" s="15">
        <f t="shared" ca="1" si="1312"/>
        <v>50</v>
      </c>
      <c r="H4607" s="15">
        <v>1</v>
      </c>
      <c r="I4607" s="15">
        <f t="shared" ca="1" si="1313"/>
        <v>0</v>
      </c>
      <c r="J4607" s="15" t="str">
        <f t="shared" ca="1" si="1320"/>
        <v>'0'!A50</v>
      </c>
      <c r="K4607" s="15" t="str">
        <f t="shared" ca="1" si="1321"/>
        <v>'0'!B50</v>
      </c>
    </row>
    <row r="4608" spans="1:16" x14ac:dyDescent="0.25">
      <c r="A4608" s="3" t="str">
        <f t="shared" ca="1" si="1322"/>
        <v/>
      </c>
      <c r="G4608" s="15">
        <f t="shared" ref="G4608" ca="1" si="1329">INDIRECT(M4608)</f>
        <v>31</v>
      </c>
      <c r="H4608" s="15">
        <v>1</v>
      </c>
      <c r="I4608" s="15">
        <f t="shared" ref="I4608" ca="1" si="1330">INDIRECT(N4608)</f>
        <v>0</v>
      </c>
      <c r="J4608" s="15" t="str">
        <f t="shared" ca="1" si="1320"/>
        <v>'0'!A31</v>
      </c>
      <c r="K4608" s="15" t="str">
        <f t="shared" ca="1" si="1321"/>
        <v>'0'!B31</v>
      </c>
      <c r="M4608" s="15" t="str">
        <f t="shared" ref="M4608" si="1331">ADDRESS(O4608,3,4,1,$R$1)</f>
        <v>konfig!C232</v>
      </c>
      <c r="N4608" s="15" t="str">
        <f t="shared" ref="N4608" si="1332">ADDRESS(O4608,1,4,1,$R$1)</f>
        <v>konfig!A232</v>
      </c>
      <c r="O4608" s="15">
        <v>232</v>
      </c>
      <c r="P4608" s="15">
        <v>4</v>
      </c>
    </row>
    <row r="4609" spans="1:11" x14ac:dyDescent="0.25">
      <c r="A4609" s="3" t="str">
        <f t="shared" ca="1" si="1322"/>
        <v/>
      </c>
      <c r="G4609" s="15">
        <f t="shared" ca="1" si="1318"/>
        <v>32</v>
      </c>
      <c r="H4609" s="15">
        <v>1</v>
      </c>
      <c r="I4609" s="15">
        <f t="shared" ca="1" si="1319"/>
        <v>0</v>
      </c>
      <c r="J4609" s="15" t="str">
        <f t="shared" ca="1" si="1320"/>
        <v>'0'!A32</v>
      </c>
      <c r="K4609" s="15" t="str">
        <f t="shared" ca="1" si="1321"/>
        <v>'0'!B32</v>
      </c>
    </row>
    <row r="4610" spans="1:11" x14ac:dyDescent="0.25">
      <c r="A4610" s="3" t="str">
        <f t="shared" ca="1" si="1322"/>
        <v/>
      </c>
      <c r="G4610" s="15">
        <f t="shared" ca="1" si="1318"/>
        <v>33</v>
      </c>
      <c r="H4610" s="15">
        <v>1</v>
      </c>
      <c r="I4610" s="15">
        <f t="shared" ca="1" si="1319"/>
        <v>0</v>
      </c>
      <c r="J4610" s="15" t="str">
        <f t="shared" ca="1" si="1320"/>
        <v>'0'!A33</v>
      </c>
      <c r="K4610" s="15" t="str">
        <f t="shared" ca="1" si="1321"/>
        <v>'0'!B33</v>
      </c>
    </row>
    <row r="4611" spans="1:11" x14ac:dyDescent="0.25">
      <c r="A4611" s="3" t="str">
        <f t="shared" ca="1" si="1322"/>
        <v/>
      </c>
      <c r="C4611" s="16"/>
      <c r="G4611" s="15">
        <f t="shared" ca="1" si="1318"/>
        <v>34</v>
      </c>
      <c r="H4611" s="15">
        <v>1</v>
      </c>
      <c r="I4611" s="15">
        <f t="shared" ca="1" si="1319"/>
        <v>0</v>
      </c>
      <c r="J4611" s="15" t="str">
        <f t="shared" ca="1" si="1320"/>
        <v>'0'!A34</v>
      </c>
      <c r="K4611" s="15" t="str">
        <f t="shared" ca="1" si="1321"/>
        <v>'0'!B34</v>
      </c>
    </row>
    <row r="4612" spans="1:11" x14ac:dyDescent="0.25">
      <c r="A4612" s="3" t="str">
        <f t="shared" ca="1" si="1322"/>
        <v/>
      </c>
      <c r="G4612" s="15">
        <f t="shared" ca="1" si="1318"/>
        <v>35</v>
      </c>
      <c r="H4612" s="15">
        <v>1</v>
      </c>
      <c r="I4612" s="15">
        <f t="shared" ca="1" si="1319"/>
        <v>0</v>
      </c>
      <c r="J4612" s="15" t="str">
        <f t="shared" ca="1" si="1320"/>
        <v>'0'!A35</v>
      </c>
      <c r="K4612" s="15" t="str">
        <f t="shared" ca="1" si="1321"/>
        <v>'0'!B35</v>
      </c>
    </row>
    <row r="4613" spans="1:11" x14ac:dyDescent="0.25">
      <c r="A4613" s="3" t="str">
        <f t="shared" ca="1" si="1322"/>
        <v/>
      </c>
      <c r="G4613" s="15">
        <f t="shared" ca="1" si="1312"/>
        <v>36</v>
      </c>
      <c r="H4613" s="15">
        <v>1</v>
      </c>
      <c r="I4613" s="15">
        <f t="shared" ca="1" si="1313"/>
        <v>0</v>
      </c>
      <c r="J4613" s="15" t="str">
        <f t="shared" ca="1" si="1320"/>
        <v>'0'!A36</v>
      </c>
      <c r="K4613" s="15" t="str">
        <f t="shared" ca="1" si="1321"/>
        <v>'0'!B36</v>
      </c>
    </row>
    <row r="4614" spans="1:11" x14ac:dyDescent="0.25">
      <c r="A4614" s="3" t="str">
        <f t="shared" ca="1" si="1322"/>
        <v/>
      </c>
      <c r="G4614" s="15">
        <f t="shared" ca="1" si="1312"/>
        <v>37</v>
      </c>
      <c r="H4614" s="15">
        <v>1</v>
      </c>
      <c r="I4614" s="15">
        <f t="shared" ca="1" si="1313"/>
        <v>0</v>
      </c>
      <c r="J4614" s="15" t="str">
        <f t="shared" ca="1" si="1320"/>
        <v>'0'!A37</v>
      </c>
      <c r="K4614" s="15" t="str">
        <f t="shared" ca="1" si="1321"/>
        <v>'0'!B37</v>
      </c>
    </row>
    <row r="4615" spans="1:11" x14ac:dyDescent="0.25">
      <c r="A4615" s="3" t="str">
        <f t="shared" ca="1" si="1322"/>
        <v/>
      </c>
      <c r="G4615" s="15">
        <f t="shared" ca="1" si="1312"/>
        <v>38</v>
      </c>
      <c r="H4615" s="15">
        <v>1</v>
      </c>
      <c r="I4615" s="15">
        <f t="shared" ca="1" si="1313"/>
        <v>0</v>
      </c>
      <c r="J4615" s="15" t="str">
        <f t="shared" ca="1" si="1320"/>
        <v>'0'!A38</v>
      </c>
      <c r="K4615" s="15" t="str">
        <f t="shared" ca="1" si="1321"/>
        <v>'0'!B38</v>
      </c>
    </row>
    <row r="4616" spans="1:11" x14ac:dyDescent="0.25">
      <c r="A4616" s="3" t="str">
        <f t="shared" ca="1" si="1322"/>
        <v/>
      </c>
      <c r="G4616" s="15">
        <f t="shared" ca="1" si="1312"/>
        <v>39</v>
      </c>
      <c r="H4616" s="15">
        <v>1</v>
      </c>
      <c r="I4616" s="15">
        <f t="shared" ca="1" si="1313"/>
        <v>0</v>
      </c>
      <c r="J4616" s="15" t="str">
        <f t="shared" ca="1" si="1320"/>
        <v>'0'!A39</v>
      </c>
      <c r="K4616" s="15" t="str">
        <f t="shared" ca="1" si="1321"/>
        <v>'0'!B39</v>
      </c>
    </row>
    <row r="4617" spans="1:11" x14ac:dyDescent="0.25">
      <c r="A4617" s="3" t="str">
        <f t="shared" ca="1" si="1322"/>
        <v/>
      </c>
      <c r="G4617" s="15">
        <f t="shared" ref="G4617:G4680" ca="1" si="1333">G4616+1</f>
        <v>40</v>
      </c>
      <c r="H4617" s="15">
        <v>1</v>
      </c>
      <c r="I4617" s="15">
        <f t="shared" ref="I4617:I4680" ca="1" si="1334">I4616</f>
        <v>0</v>
      </c>
      <c r="J4617" s="15" t="str">
        <f t="shared" ca="1" si="1320"/>
        <v>'0'!A40</v>
      </c>
      <c r="K4617" s="15" t="str">
        <f t="shared" ca="1" si="1321"/>
        <v>'0'!B40</v>
      </c>
    </row>
    <row r="4618" spans="1:11" x14ac:dyDescent="0.25">
      <c r="A4618" s="3" t="str">
        <f t="shared" ca="1" si="1322"/>
        <v/>
      </c>
      <c r="G4618" s="15">
        <f t="shared" ca="1" si="1333"/>
        <v>41</v>
      </c>
      <c r="H4618" s="15">
        <v>1</v>
      </c>
      <c r="I4618" s="15">
        <f t="shared" ca="1" si="1334"/>
        <v>0</v>
      </c>
      <c r="J4618" s="15" t="str">
        <f t="shared" ca="1" si="1320"/>
        <v>'0'!A41</v>
      </c>
      <c r="K4618" s="15" t="str">
        <f t="shared" ca="1" si="1321"/>
        <v>'0'!B41</v>
      </c>
    </row>
    <row r="4619" spans="1:11" x14ac:dyDescent="0.25">
      <c r="A4619" s="3" t="str">
        <f t="shared" ca="1" si="1322"/>
        <v/>
      </c>
      <c r="C4619" s="16"/>
      <c r="G4619" s="15">
        <f t="shared" ca="1" si="1333"/>
        <v>42</v>
      </c>
      <c r="H4619" s="15">
        <v>1</v>
      </c>
      <c r="I4619" s="15">
        <f t="shared" ca="1" si="1334"/>
        <v>0</v>
      </c>
      <c r="J4619" s="15" t="str">
        <f t="shared" ca="1" si="1320"/>
        <v>'0'!A42</v>
      </c>
      <c r="K4619" s="15" t="str">
        <f t="shared" ca="1" si="1321"/>
        <v>'0'!B42</v>
      </c>
    </row>
    <row r="4620" spans="1:11" x14ac:dyDescent="0.25">
      <c r="A4620" s="3" t="str">
        <f t="shared" ca="1" si="1322"/>
        <v/>
      </c>
      <c r="G4620" s="15">
        <f t="shared" ca="1" si="1333"/>
        <v>43</v>
      </c>
      <c r="H4620" s="15">
        <v>1</v>
      </c>
      <c r="I4620" s="15">
        <f t="shared" ca="1" si="1334"/>
        <v>0</v>
      </c>
      <c r="J4620" s="15" t="str">
        <f t="shared" ca="1" si="1320"/>
        <v>'0'!A43</v>
      </c>
      <c r="K4620" s="15" t="str">
        <f t="shared" ca="1" si="1321"/>
        <v>'0'!B43</v>
      </c>
    </row>
    <row r="4621" spans="1:11" x14ac:dyDescent="0.25">
      <c r="A4621" s="3" t="str">
        <f t="shared" ca="1" si="1322"/>
        <v/>
      </c>
      <c r="G4621" s="15">
        <f t="shared" ca="1" si="1333"/>
        <v>44</v>
      </c>
      <c r="H4621" s="15">
        <v>1</v>
      </c>
      <c r="I4621" s="15">
        <f t="shared" ca="1" si="1334"/>
        <v>0</v>
      </c>
      <c r="J4621" s="15" t="str">
        <f t="shared" ca="1" si="1320"/>
        <v>'0'!A44</v>
      </c>
      <c r="K4621" s="15" t="str">
        <f t="shared" ca="1" si="1321"/>
        <v>'0'!B44</v>
      </c>
    </row>
    <row r="4622" spans="1:11" x14ac:dyDescent="0.25">
      <c r="A4622" s="3" t="str">
        <f t="shared" ca="1" si="1322"/>
        <v/>
      </c>
      <c r="G4622" s="15">
        <f t="shared" ca="1" si="1333"/>
        <v>45</v>
      </c>
      <c r="H4622" s="15">
        <v>1</v>
      </c>
      <c r="I4622" s="15">
        <f t="shared" ca="1" si="1334"/>
        <v>0</v>
      </c>
      <c r="J4622" s="15" t="str">
        <f t="shared" ca="1" si="1320"/>
        <v>'0'!A45</v>
      </c>
      <c r="K4622" s="15" t="str">
        <f t="shared" ca="1" si="1321"/>
        <v>'0'!B45</v>
      </c>
    </row>
    <row r="4623" spans="1:11" x14ac:dyDescent="0.25">
      <c r="A4623" s="3" t="str">
        <f t="shared" ca="1" si="1322"/>
        <v/>
      </c>
      <c r="G4623" s="15">
        <f t="shared" ca="1" si="1333"/>
        <v>46</v>
      </c>
      <c r="H4623" s="15">
        <v>1</v>
      </c>
      <c r="I4623" s="15">
        <f t="shared" ca="1" si="1334"/>
        <v>0</v>
      </c>
      <c r="J4623" s="15" t="str">
        <f t="shared" ca="1" si="1320"/>
        <v>'0'!A46</v>
      </c>
      <c r="K4623" s="15" t="str">
        <f t="shared" ca="1" si="1321"/>
        <v>'0'!B46</v>
      </c>
    </row>
    <row r="4624" spans="1:11" x14ac:dyDescent="0.25">
      <c r="A4624" s="3" t="str">
        <f t="shared" ca="1" si="1322"/>
        <v/>
      </c>
      <c r="G4624" s="15">
        <f t="shared" ca="1" si="1333"/>
        <v>47</v>
      </c>
      <c r="H4624" s="15">
        <v>1</v>
      </c>
      <c r="I4624" s="15">
        <f t="shared" ca="1" si="1334"/>
        <v>0</v>
      </c>
      <c r="J4624" s="15" t="str">
        <f t="shared" ca="1" si="1320"/>
        <v>'0'!A47</v>
      </c>
      <c r="K4624" s="15" t="str">
        <f t="shared" ca="1" si="1321"/>
        <v>'0'!B47</v>
      </c>
    </row>
    <row r="4625" spans="1:16" x14ac:dyDescent="0.25">
      <c r="A4625" s="3" t="str">
        <f t="shared" ca="1" si="1322"/>
        <v/>
      </c>
      <c r="G4625" s="15">
        <f t="shared" ca="1" si="1333"/>
        <v>48</v>
      </c>
      <c r="H4625" s="15">
        <v>1</v>
      </c>
      <c r="I4625" s="15">
        <f t="shared" ca="1" si="1334"/>
        <v>0</v>
      </c>
      <c r="J4625" s="15" t="str">
        <f t="shared" ca="1" si="1320"/>
        <v>'0'!A48</v>
      </c>
      <c r="K4625" s="15" t="str">
        <f t="shared" ca="1" si="1321"/>
        <v>'0'!B48</v>
      </c>
    </row>
    <row r="4626" spans="1:16" x14ac:dyDescent="0.25">
      <c r="A4626" s="3" t="str">
        <f t="shared" ca="1" si="1322"/>
        <v/>
      </c>
      <c r="G4626" s="15">
        <f t="shared" ca="1" si="1333"/>
        <v>49</v>
      </c>
      <c r="H4626" s="15">
        <v>1</v>
      </c>
      <c r="I4626" s="15">
        <f t="shared" ca="1" si="1334"/>
        <v>0</v>
      </c>
      <c r="J4626" s="15" t="str">
        <f t="shared" ca="1" si="1320"/>
        <v>'0'!A49</v>
      </c>
      <c r="K4626" s="15" t="str">
        <f t="shared" ca="1" si="1321"/>
        <v>'0'!B49</v>
      </c>
    </row>
    <row r="4627" spans="1:16" x14ac:dyDescent="0.25">
      <c r="A4627" s="3" t="str">
        <f t="shared" ca="1" si="1322"/>
        <v/>
      </c>
      <c r="G4627" s="15">
        <f t="shared" ca="1" si="1333"/>
        <v>50</v>
      </c>
      <c r="H4627" s="15">
        <v>1</v>
      </c>
      <c r="I4627" s="15">
        <f t="shared" ca="1" si="1334"/>
        <v>0</v>
      </c>
      <c r="J4627" s="15" t="str">
        <f t="shared" ca="1" si="1320"/>
        <v>'0'!A50</v>
      </c>
      <c r="K4627" s="15" t="str">
        <f t="shared" ca="1" si="1321"/>
        <v>'0'!B50</v>
      </c>
    </row>
    <row r="4628" spans="1:16" x14ac:dyDescent="0.25">
      <c r="A4628" s="3" t="str">
        <f t="shared" ca="1" si="1322"/>
        <v/>
      </c>
      <c r="G4628" s="15">
        <f t="shared" ref="G4628" ca="1" si="1335">INDIRECT(M4628)</f>
        <v>31</v>
      </c>
      <c r="H4628" s="15">
        <v>1</v>
      </c>
      <c r="I4628" s="15">
        <f t="shared" ref="I4628" ca="1" si="1336">INDIRECT(N4628)</f>
        <v>0</v>
      </c>
      <c r="J4628" s="15" t="str">
        <f t="shared" ca="1" si="1320"/>
        <v>'0'!A31</v>
      </c>
      <c r="K4628" s="15" t="str">
        <f t="shared" ca="1" si="1321"/>
        <v>'0'!B31</v>
      </c>
      <c r="M4628" s="15" t="str">
        <f t="shared" ref="M4628" si="1337">ADDRESS(O4628,3,4,1,$R$1)</f>
        <v>konfig!C233</v>
      </c>
      <c r="N4628" s="15" t="str">
        <f t="shared" ref="N4628" si="1338">ADDRESS(O4628,1,4,1,$R$1)</f>
        <v>konfig!A233</v>
      </c>
      <c r="O4628" s="15">
        <v>233</v>
      </c>
      <c r="P4628" s="15">
        <v>4</v>
      </c>
    </row>
    <row r="4629" spans="1:16" x14ac:dyDescent="0.25">
      <c r="A4629" s="3" t="str">
        <f t="shared" ca="1" si="1322"/>
        <v/>
      </c>
      <c r="G4629" s="15">
        <f t="shared" ca="1" si="1327"/>
        <v>32</v>
      </c>
      <c r="H4629" s="15">
        <v>1</v>
      </c>
      <c r="I4629" s="15">
        <f t="shared" ca="1" si="1328"/>
        <v>0</v>
      </c>
      <c r="J4629" s="15" t="str">
        <f t="shared" ca="1" si="1320"/>
        <v>'0'!A32</v>
      </c>
      <c r="K4629" s="15" t="str">
        <f t="shared" ca="1" si="1321"/>
        <v>'0'!B32</v>
      </c>
    </row>
    <row r="4630" spans="1:16" x14ac:dyDescent="0.25">
      <c r="A4630" s="3" t="str">
        <f t="shared" ca="1" si="1322"/>
        <v/>
      </c>
      <c r="G4630" s="15">
        <f t="shared" ca="1" si="1333"/>
        <v>33</v>
      </c>
      <c r="H4630" s="15">
        <v>1</v>
      </c>
      <c r="I4630" s="15">
        <f t="shared" ca="1" si="1334"/>
        <v>0</v>
      </c>
      <c r="J4630" s="15" t="str">
        <f t="shared" ca="1" si="1320"/>
        <v>'0'!A33</v>
      </c>
      <c r="K4630" s="15" t="str">
        <f t="shared" ca="1" si="1321"/>
        <v>'0'!B33</v>
      </c>
    </row>
    <row r="4631" spans="1:16" x14ac:dyDescent="0.25">
      <c r="A4631" s="3" t="str">
        <f t="shared" ca="1" si="1322"/>
        <v/>
      </c>
      <c r="C4631" s="16"/>
      <c r="G4631" s="15">
        <f t="shared" ca="1" si="1333"/>
        <v>34</v>
      </c>
      <c r="H4631" s="15">
        <v>1</v>
      </c>
      <c r="I4631" s="15">
        <f t="shared" ca="1" si="1334"/>
        <v>0</v>
      </c>
      <c r="J4631" s="15" t="str">
        <f t="shared" ca="1" si="1320"/>
        <v>'0'!A34</v>
      </c>
      <c r="K4631" s="15" t="str">
        <f t="shared" ca="1" si="1321"/>
        <v>'0'!B34</v>
      </c>
    </row>
    <row r="4632" spans="1:16" x14ac:dyDescent="0.25">
      <c r="A4632" s="3" t="str">
        <f t="shared" ca="1" si="1322"/>
        <v/>
      </c>
      <c r="G4632" s="15">
        <f t="shared" ca="1" si="1333"/>
        <v>35</v>
      </c>
      <c r="H4632" s="15">
        <v>1</v>
      </c>
      <c r="I4632" s="15">
        <f t="shared" ca="1" si="1334"/>
        <v>0</v>
      </c>
      <c r="J4632" s="15" t="str">
        <f t="shared" ca="1" si="1320"/>
        <v>'0'!A35</v>
      </c>
      <c r="K4632" s="15" t="str">
        <f t="shared" ca="1" si="1321"/>
        <v>'0'!B35</v>
      </c>
    </row>
    <row r="4633" spans="1:16" x14ac:dyDescent="0.25">
      <c r="A4633" s="3" t="str">
        <f t="shared" ca="1" si="1322"/>
        <v/>
      </c>
      <c r="G4633" s="15">
        <f t="shared" ca="1" si="1333"/>
        <v>36</v>
      </c>
      <c r="H4633" s="15">
        <v>1</v>
      </c>
      <c r="I4633" s="15">
        <f t="shared" ca="1" si="1334"/>
        <v>0</v>
      </c>
      <c r="J4633" s="15" t="str">
        <f t="shared" ca="1" si="1320"/>
        <v>'0'!A36</v>
      </c>
      <c r="K4633" s="15" t="str">
        <f t="shared" ca="1" si="1321"/>
        <v>'0'!B36</v>
      </c>
    </row>
    <row r="4634" spans="1:16" x14ac:dyDescent="0.25">
      <c r="A4634" s="3" t="str">
        <f t="shared" ca="1" si="1322"/>
        <v/>
      </c>
      <c r="G4634" s="15">
        <f t="shared" ca="1" si="1333"/>
        <v>37</v>
      </c>
      <c r="H4634" s="15">
        <v>1</v>
      </c>
      <c r="I4634" s="15">
        <f t="shared" ca="1" si="1334"/>
        <v>0</v>
      </c>
      <c r="J4634" s="15" t="str">
        <f t="shared" ca="1" si="1320"/>
        <v>'0'!A37</v>
      </c>
      <c r="K4634" s="15" t="str">
        <f t="shared" ca="1" si="1321"/>
        <v>'0'!B37</v>
      </c>
    </row>
    <row r="4635" spans="1:16" x14ac:dyDescent="0.25">
      <c r="A4635" s="3" t="str">
        <f t="shared" ca="1" si="1322"/>
        <v/>
      </c>
      <c r="G4635" s="15">
        <f t="shared" ca="1" si="1333"/>
        <v>38</v>
      </c>
      <c r="H4635" s="15">
        <v>1</v>
      </c>
      <c r="I4635" s="15">
        <f t="shared" ca="1" si="1334"/>
        <v>0</v>
      </c>
      <c r="J4635" s="15" t="str">
        <f t="shared" ca="1" si="1320"/>
        <v>'0'!A38</v>
      </c>
      <c r="K4635" s="15" t="str">
        <f t="shared" ca="1" si="1321"/>
        <v>'0'!B38</v>
      </c>
    </row>
    <row r="4636" spans="1:16" x14ac:dyDescent="0.25">
      <c r="A4636" s="3" t="str">
        <f t="shared" ca="1" si="1322"/>
        <v/>
      </c>
      <c r="G4636" s="15">
        <f t="shared" ca="1" si="1333"/>
        <v>39</v>
      </c>
      <c r="H4636" s="15">
        <v>1</v>
      </c>
      <c r="I4636" s="15">
        <f t="shared" ca="1" si="1334"/>
        <v>0</v>
      </c>
      <c r="J4636" s="15" t="str">
        <f t="shared" ca="1" si="1320"/>
        <v>'0'!A39</v>
      </c>
      <c r="K4636" s="15" t="str">
        <f t="shared" ca="1" si="1321"/>
        <v>'0'!B39</v>
      </c>
    </row>
    <row r="4637" spans="1:16" x14ac:dyDescent="0.25">
      <c r="A4637" s="3" t="str">
        <f t="shared" ca="1" si="1322"/>
        <v/>
      </c>
      <c r="G4637" s="15">
        <f t="shared" ca="1" si="1333"/>
        <v>40</v>
      </c>
      <c r="H4637" s="15">
        <v>1</v>
      </c>
      <c r="I4637" s="15">
        <f t="shared" ca="1" si="1334"/>
        <v>0</v>
      </c>
      <c r="J4637" s="15" t="str">
        <f t="shared" ca="1" si="1320"/>
        <v>'0'!A40</v>
      </c>
      <c r="K4637" s="15" t="str">
        <f t="shared" ca="1" si="1321"/>
        <v>'0'!B40</v>
      </c>
    </row>
    <row r="4638" spans="1:16" x14ac:dyDescent="0.25">
      <c r="A4638" s="3" t="str">
        <f t="shared" ca="1" si="1322"/>
        <v/>
      </c>
      <c r="G4638" s="15">
        <f t="shared" ca="1" si="1333"/>
        <v>41</v>
      </c>
      <c r="H4638" s="15">
        <v>1</v>
      </c>
      <c r="I4638" s="15">
        <f t="shared" ca="1" si="1334"/>
        <v>0</v>
      </c>
      <c r="J4638" s="15" t="str">
        <f t="shared" ca="1" si="1320"/>
        <v>'0'!A41</v>
      </c>
      <c r="K4638" s="15" t="str">
        <f t="shared" ca="1" si="1321"/>
        <v>'0'!B41</v>
      </c>
    </row>
    <row r="4639" spans="1:16" x14ac:dyDescent="0.25">
      <c r="A4639" s="3" t="str">
        <f t="shared" ca="1" si="1322"/>
        <v/>
      </c>
      <c r="C4639" s="16"/>
      <c r="G4639" s="15">
        <f t="shared" ca="1" si="1333"/>
        <v>42</v>
      </c>
      <c r="H4639" s="15">
        <v>1</v>
      </c>
      <c r="I4639" s="15">
        <f t="shared" ca="1" si="1334"/>
        <v>0</v>
      </c>
      <c r="J4639" s="15" t="str">
        <f t="shared" ca="1" si="1320"/>
        <v>'0'!A42</v>
      </c>
      <c r="K4639" s="15" t="str">
        <f t="shared" ca="1" si="1321"/>
        <v>'0'!B42</v>
      </c>
    </row>
    <row r="4640" spans="1:16" x14ac:dyDescent="0.25">
      <c r="A4640" s="3" t="str">
        <f t="shared" ca="1" si="1322"/>
        <v/>
      </c>
      <c r="G4640" s="15">
        <f t="shared" ca="1" si="1333"/>
        <v>43</v>
      </c>
      <c r="H4640" s="15">
        <v>1</v>
      </c>
      <c r="I4640" s="15">
        <f t="shared" ca="1" si="1334"/>
        <v>0</v>
      </c>
      <c r="J4640" s="15" t="str">
        <f t="shared" ca="1" si="1320"/>
        <v>'0'!A43</v>
      </c>
      <c r="K4640" s="15" t="str">
        <f t="shared" ca="1" si="1321"/>
        <v>'0'!B43</v>
      </c>
    </row>
    <row r="4641" spans="1:16" x14ac:dyDescent="0.25">
      <c r="A4641" s="3" t="str">
        <f t="shared" ca="1" si="1322"/>
        <v/>
      </c>
      <c r="G4641" s="15">
        <f t="shared" ca="1" si="1333"/>
        <v>44</v>
      </c>
      <c r="H4641" s="15">
        <v>1</v>
      </c>
      <c r="I4641" s="15">
        <f t="shared" ca="1" si="1334"/>
        <v>0</v>
      </c>
      <c r="J4641" s="15" t="str">
        <f t="shared" ca="1" si="1320"/>
        <v>'0'!A44</v>
      </c>
      <c r="K4641" s="15" t="str">
        <f t="shared" ca="1" si="1321"/>
        <v>'0'!B44</v>
      </c>
    </row>
    <row r="4642" spans="1:16" x14ac:dyDescent="0.25">
      <c r="A4642" s="3" t="str">
        <f t="shared" ca="1" si="1322"/>
        <v/>
      </c>
      <c r="G4642" s="15">
        <f t="shared" ca="1" si="1333"/>
        <v>45</v>
      </c>
      <c r="H4642" s="15">
        <v>1</v>
      </c>
      <c r="I4642" s="15">
        <f t="shared" ca="1" si="1334"/>
        <v>0</v>
      </c>
      <c r="J4642" s="15" t="str">
        <f t="shared" ca="1" si="1320"/>
        <v>'0'!A45</v>
      </c>
      <c r="K4642" s="15" t="str">
        <f t="shared" ca="1" si="1321"/>
        <v>'0'!B45</v>
      </c>
    </row>
    <row r="4643" spans="1:16" x14ac:dyDescent="0.25">
      <c r="A4643" s="3" t="str">
        <f t="shared" ca="1" si="1322"/>
        <v/>
      </c>
      <c r="G4643" s="15">
        <f t="shared" ca="1" si="1333"/>
        <v>46</v>
      </c>
      <c r="H4643" s="15">
        <v>1</v>
      </c>
      <c r="I4643" s="15">
        <f t="shared" ca="1" si="1334"/>
        <v>0</v>
      </c>
      <c r="J4643" s="15" t="str">
        <f t="shared" ca="1" si="1320"/>
        <v>'0'!A46</v>
      </c>
      <c r="K4643" s="15" t="str">
        <f t="shared" ca="1" si="1321"/>
        <v>'0'!B46</v>
      </c>
    </row>
    <row r="4644" spans="1:16" x14ac:dyDescent="0.25">
      <c r="A4644" s="3" t="str">
        <f t="shared" ca="1" si="1322"/>
        <v/>
      </c>
      <c r="G4644" s="15">
        <f t="shared" ca="1" si="1333"/>
        <v>47</v>
      </c>
      <c r="H4644" s="15">
        <v>1</v>
      </c>
      <c r="I4644" s="15">
        <f t="shared" ca="1" si="1334"/>
        <v>0</v>
      </c>
      <c r="J4644" s="15" t="str">
        <f t="shared" ref="J4644:J4707" ca="1" si="1339">ADDRESS(G4644,H4644,4,1,I4644)</f>
        <v>'0'!A47</v>
      </c>
      <c r="K4644" s="15" t="str">
        <f t="shared" ref="K4644:K4707" ca="1" si="1340">ADDRESS(G4644,H4644+1,4,1,I4644)</f>
        <v>'0'!B47</v>
      </c>
    </row>
    <row r="4645" spans="1:16" x14ac:dyDescent="0.25">
      <c r="A4645" s="3" t="str">
        <f t="shared" ca="1" si="1322"/>
        <v/>
      </c>
      <c r="G4645" s="15">
        <f t="shared" ca="1" si="1333"/>
        <v>48</v>
      </c>
      <c r="H4645" s="15">
        <v>1</v>
      </c>
      <c r="I4645" s="15">
        <f t="shared" ca="1" si="1334"/>
        <v>0</v>
      </c>
      <c r="J4645" s="15" t="str">
        <f t="shared" ca="1" si="1339"/>
        <v>'0'!A48</v>
      </c>
      <c r="K4645" s="15" t="str">
        <f t="shared" ca="1" si="1340"/>
        <v>'0'!B48</v>
      </c>
    </row>
    <row r="4646" spans="1:16" x14ac:dyDescent="0.25">
      <c r="A4646" s="3" t="str">
        <f t="shared" ca="1" si="1322"/>
        <v/>
      </c>
      <c r="G4646" s="15">
        <f t="shared" ca="1" si="1333"/>
        <v>49</v>
      </c>
      <c r="H4646" s="15">
        <v>1</v>
      </c>
      <c r="I4646" s="15">
        <f t="shared" ca="1" si="1334"/>
        <v>0</v>
      </c>
      <c r="J4646" s="15" t="str">
        <f t="shared" ca="1" si="1339"/>
        <v>'0'!A49</v>
      </c>
      <c r="K4646" s="15" t="str">
        <f t="shared" ca="1" si="1340"/>
        <v>'0'!B49</v>
      </c>
    </row>
    <row r="4647" spans="1:16" x14ac:dyDescent="0.25">
      <c r="A4647" s="3" t="str">
        <f t="shared" ca="1" si="1322"/>
        <v/>
      </c>
      <c r="G4647" s="15">
        <f t="shared" ca="1" si="1333"/>
        <v>50</v>
      </c>
      <c r="H4647" s="15">
        <v>1</v>
      </c>
      <c r="I4647" s="15">
        <f t="shared" ca="1" si="1334"/>
        <v>0</v>
      </c>
      <c r="J4647" s="15" t="str">
        <f t="shared" ca="1" si="1339"/>
        <v>'0'!A50</v>
      </c>
      <c r="K4647" s="15" t="str">
        <f t="shared" ca="1" si="1340"/>
        <v>'0'!B50</v>
      </c>
    </row>
    <row r="4648" spans="1:16" x14ac:dyDescent="0.25">
      <c r="A4648" s="3" t="str">
        <f t="shared" ca="1" si="1322"/>
        <v/>
      </c>
      <c r="G4648" s="15">
        <f t="shared" ref="G4648" ca="1" si="1341">INDIRECT(M4648)</f>
        <v>31</v>
      </c>
      <c r="H4648" s="15">
        <v>1</v>
      </c>
      <c r="I4648" s="15">
        <f t="shared" ref="I4648" ca="1" si="1342">INDIRECT(N4648)</f>
        <v>0</v>
      </c>
      <c r="J4648" s="15" t="str">
        <f t="shared" ca="1" si="1339"/>
        <v>'0'!A31</v>
      </c>
      <c r="K4648" s="15" t="str">
        <f t="shared" ca="1" si="1340"/>
        <v>'0'!B31</v>
      </c>
      <c r="M4648" s="15" t="str">
        <f t="shared" ref="M4648" si="1343">ADDRESS(O4648,3,4,1,$R$1)</f>
        <v>konfig!C234</v>
      </c>
      <c r="N4648" s="15" t="str">
        <f t="shared" ref="N4648" si="1344">ADDRESS(O4648,1,4,1,$R$1)</f>
        <v>konfig!A234</v>
      </c>
      <c r="O4648" s="15">
        <v>234</v>
      </c>
      <c r="P4648" s="15">
        <v>4</v>
      </c>
    </row>
    <row r="4649" spans="1:16" x14ac:dyDescent="0.25">
      <c r="A4649" s="3" t="str">
        <f t="shared" ca="1" si="1322"/>
        <v/>
      </c>
      <c r="G4649" s="15">
        <f t="shared" ref="G4649:G4692" ca="1" si="1345">G4648+1</f>
        <v>32</v>
      </c>
      <c r="H4649" s="15">
        <v>1</v>
      </c>
      <c r="I4649" s="15">
        <f t="shared" ref="I4649:I4692" ca="1" si="1346">I4648</f>
        <v>0</v>
      </c>
      <c r="J4649" s="15" t="str">
        <f t="shared" ca="1" si="1339"/>
        <v>'0'!A32</v>
      </c>
      <c r="K4649" s="15" t="str">
        <f t="shared" ca="1" si="1340"/>
        <v>'0'!B32</v>
      </c>
    </row>
    <row r="4650" spans="1:16" x14ac:dyDescent="0.25">
      <c r="A4650" s="3" t="str">
        <f t="shared" ca="1" si="1322"/>
        <v/>
      </c>
      <c r="G4650" s="15">
        <f t="shared" ca="1" si="1345"/>
        <v>33</v>
      </c>
      <c r="H4650" s="15">
        <v>1</v>
      </c>
      <c r="I4650" s="15">
        <f t="shared" ca="1" si="1346"/>
        <v>0</v>
      </c>
      <c r="J4650" s="15" t="str">
        <f t="shared" ca="1" si="1339"/>
        <v>'0'!A33</v>
      </c>
      <c r="K4650" s="15" t="str">
        <f t="shared" ca="1" si="1340"/>
        <v>'0'!B33</v>
      </c>
    </row>
    <row r="4651" spans="1:16" x14ac:dyDescent="0.25">
      <c r="A4651" s="3" t="str">
        <f t="shared" ca="1" si="1322"/>
        <v/>
      </c>
      <c r="C4651" s="16"/>
      <c r="G4651" s="15">
        <f t="shared" ca="1" si="1345"/>
        <v>34</v>
      </c>
      <c r="H4651" s="15">
        <v>1</v>
      </c>
      <c r="I4651" s="15">
        <f t="shared" ca="1" si="1346"/>
        <v>0</v>
      </c>
      <c r="J4651" s="15" t="str">
        <f t="shared" ca="1" si="1339"/>
        <v>'0'!A34</v>
      </c>
      <c r="K4651" s="15" t="str">
        <f t="shared" ca="1" si="1340"/>
        <v>'0'!B34</v>
      </c>
    </row>
    <row r="4652" spans="1:16" x14ac:dyDescent="0.25">
      <c r="A4652" s="3" t="str">
        <f t="shared" ref="A4652:A4715" ca="1" si="1347">IFERROR(IF(INDIRECT(J4652)&lt;&gt;"",CONCATENATE(INDIRECT(J4652)," = ",INDIRECT(K4652)," "),""),"")</f>
        <v/>
      </c>
      <c r="G4652" s="15">
        <f t="shared" ca="1" si="1345"/>
        <v>35</v>
      </c>
      <c r="H4652" s="15">
        <v>1</v>
      </c>
      <c r="I4652" s="15">
        <f t="shared" ca="1" si="1346"/>
        <v>0</v>
      </c>
      <c r="J4652" s="15" t="str">
        <f t="shared" ca="1" si="1339"/>
        <v>'0'!A35</v>
      </c>
      <c r="K4652" s="15" t="str">
        <f t="shared" ca="1" si="1340"/>
        <v>'0'!B35</v>
      </c>
    </row>
    <row r="4653" spans="1:16" x14ac:dyDescent="0.25">
      <c r="A4653" s="3" t="str">
        <f t="shared" ca="1" si="1347"/>
        <v/>
      </c>
      <c r="G4653" s="15">
        <f t="shared" ca="1" si="1333"/>
        <v>36</v>
      </c>
      <c r="H4653" s="15">
        <v>1</v>
      </c>
      <c r="I4653" s="15">
        <f t="shared" ca="1" si="1334"/>
        <v>0</v>
      </c>
      <c r="J4653" s="15" t="str">
        <f t="shared" ca="1" si="1339"/>
        <v>'0'!A36</v>
      </c>
      <c r="K4653" s="15" t="str">
        <f t="shared" ca="1" si="1340"/>
        <v>'0'!B36</v>
      </c>
    </row>
    <row r="4654" spans="1:16" x14ac:dyDescent="0.25">
      <c r="A4654" s="3" t="str">
        <f t="shared" ca="1" si="1347"/>
        <v/>
      </c>
      <c r="G4654" s="15">
        <f t="shared" ca="1" si="1333"/>
        <v>37</v>
      </c>
      <c r="H4654" s="15">
        <v>1</v>
      </c>
      <c r="I4654" s="15">
        <f t="shared" ca="1" si="1334"/>
        <v>0</v>
      </c>
      <c r="J4654" s="15" t="str">
        <f t="shared" ca="1" si="1339"/>
        <v>'0'!A37</v>
      </c>
      <c r="K4654" s="15" t="str">
        <f t="shared" ca="1" si="1340"/>
        <v>'0'!B37</v>
      </c>
    </row>
    <row r="4655" spans="1:16" x14ac:dyDescent="0.25">
      <c r="A4655" s="3" t="str">
        <f t="shared" ca="1" si="1347"/>
        <v/>
      </c>
      <c r="G4655" s="15">
        <f t="shared" ca="1" si="1333"/>
        <v>38</v>
      </c>
      <c r="H4655" s="15">
        <v>1</v>
      </c>
      <c r="I4655" s="15">
        <f t="shared" ca="1" si="1334"/>
        <v>0</v>
      </c>
      <c r="J4655" s="15" t="str">
        <f t="shared" ca="1" si="1339"/>
        <v>'0'!A38</v>
      </c>
      <c r="K4655" s="15" t="str">
        <f t="shared" ca="1" si="1340"/>
        <v>'0'!B38</v>
      </c>
    </row>
    <row r="4656" spans="1:16" x14ac:dyDescent="0.25">
      <c r="A4656" s="3" t="str">
        <f t="shared" ca="1" si="1347"/>
        <v/>
      </c>
      <c r="G4656" s="15">
        <f t="shared" ca="1" si="1333"/>
        <v>39</v>
      </c>
      <c r="H4656" s="15">
        <v>1</v>
      </c>
      <c r="I4656" s="15">
        <f t="shared" ca="1" si="1334"/>
        <v>0</v>
      </c>
      <c r="J4656" s="15" t="str">
        <f t="shared" ca="1" si="1339"/>
        <v>'0'!A39</v>
      </c>
      <c r="K4656" s="15" t="str">
        <f t="shared" ca="1" si="1340"/>
        <v>'0'!B39</v>
      </c>
    </row>
    <row r="4657" spans="1:16" x14ac:dyDescent="0.25">
      <c r="A4657" s="3" t="str">
        <f t="shared" ca="1" si="1347"/>
        <v/>
      </c>
      <c r="G4657" s="15">
        <f t="shared" ca="1" si="1333"/>
        <v>40</v>
      </c>
      <c r="H4657" s="15">
        <v>1</v>
      </c>
      <c r="I4657" s="15">
        <f t="shared" ca="1" si="1334"/>
        <v>0</v>
      </c>
      <c r="J4657" s="15" t="str">
        <f t="shared" ca="1" si="1339"/>
        <v>'0'!A40</v>
      </c>
      <c r="K4657" s="15" t="str">
        <f t="shared" ca="1" si="1340"/>
        <v>'0'!B40</v>
      </c>
    </row>
    <row r="4658" spans="1:16" x14ac:dyDescent="0.25">
      <c r="A4658" s="3" t="str">
        <f t="shared" ca="1" si="1347"/>
        <v/>
      </c>
      <c r="G4658" s="15">
        <f t="shared" ca="1" si="1333"/>
        <v>41</v>
      </c>
      <c r="H4658" s="15">
        <v>1</v>
      </c>
      <c r="I4658" s="15">
        <f t="shared" ca="1" si="1334"/>
        <v>0</v>
      </c>
      <c r="J4658" s="15" t="str">
        <f t="shared" ca="1" si="1339"/>
        <v>'0'!A41</v>
      </c>
      <c r="K4658" s="15" t="str">
        <f t="shared" ca="1" si="1340"/>
        <v>'0'!B41</v>
      </c>
    </row>
    <row r="4659" spans="1:16" x14ac:dyDescent="0.25">
      <c r="A4659" s="3" t="str">
        <f t="shared" ca="1" si="1347"/>
        <v/>
      </c>
      <c r="C4659" s="16"/>
      <c r="G4659" s="15">
        <f t="shared" ca="1" si="1333"/>
        <v>42</v>
      </c>
      <c r="H4659" s="15">
        <v>1</v>
      </c>
      <c r="I4659" s="15">
        <f t="shared" ca="1" si="1334"/>
        <v>0</v>
      </c>
      <c r="J4659" s="15" t="str">
        <f t="shared" ca="1" si="1339"/>
        <v>'0'!A42</v>
      </c>
      <c r="K4659" s="15" t="str">
        <f t="shared" ca="1" si="1340"/>
        <v>'0'!B42</v>
      </c>
    </row>
    <row r="4660" spans="1:16" x14ac:dyDescent="0.25">
      <c r="A4660" s="3" t="str">
        <f t="shared" ca="1" si="1347"/>
        <v/>
      </c>
      <c r="G4660" s="15">
        <f t="shared" ca="1" si="1333"/>
        <v>43</v>
      </c>
      <c r="H4660" s="15">
        <v>1</v>
      </c>
      <c r="I4660" s="15">
        <f t="shared" ca="1" si="1334"/>
        <v>0</v>
      </c>
      <c r="J4660" s="15" t="str">
        <f t="shared" ca="1" si="1339"/>
        <v>'0'!A43</v>
      </c>
      <c r="K4660" s="15" t="str">
        <f t="shared" ca="1" si="1340"/>
        <v>'0'!B43</v>
      </c>
    </row>
    <row r="4661" spans="1:16" x14ac:dyDescent="0.25">
      <c r="A4661" s="3" t="str">
        <f t="shared" ca="1" si="1347"/>
        <v/>
      </c>
      <c r="G4661" s="15">
        <f t="shared" ca="1" si="1333"/>
        <v>44</v>
      </c>
      <c r="H4661" s="15">
        <v>1</v>
      </c>
      <c r="I4661" s="15">
        <f t="shared" ca="1" si="1334"/>
        <v>0</v>
      </c>
      <c r="J4661" s="15" t="str">
        <f t="shared" ca="1" si="1339"/>
        <v>'0'!A44</v>
      </c>
      <c r="K4661" s="15" t="str">
        <f t="shared" ca="1" si="1340"/>
        <v>'0'!B44</v>
      </c>
    </row>
    <row r="4662" spans="1:16" x14ac:dyDescent="0.25">
      <c r="A4662" s="3" t="str">
        <f t="shared" ca="1" si="1347"/>
        <v/>
      </c>
      <c r="G4662" s="15">
        <f t="shared" ca="1" si="1333"/>
        <v>45</v>
      </c>
      <c r="H4662" s="15">
        <v>1</v>
      </c>
      <c r="I4662" s="15">
        <f t="shared" ca="1" si="1334"/>
        <v>0</v>
      </c>
      <c r="J4662" s="15" t="str">
        <f t="shared" ca="1" si="1339"/>
        <v>'0'!A45</v>
      </c>
      <c r="K4662" s="15" t="str">
        <f t="shared" ca="1" si="1340"/>
        <v>'0'!B45</v>
      </c>
    </row>
    <row r="4663" spans="1:16" x14ac:dyDescent="0.25">
      <c r="A4663" s="3" t="str">
        <f t="shared" ca="1" si="1347"/>
        <v/>
      </c>
      <c r="G4663" s="15">
        <f t="shared" ca="1" si="1333"/>
        <v>46</v>
      </c>
      <c r="H4663" s="15">
        <v>1</v>
      </c>
      <c r="I4663" s="15">
        <f t="shared" ca="1" si="1334"/>
        <v>0</v>
      </c>
      <c r="J4663" s="15" t="str">
        <f t="shared" ca="1" si="1339"/>
        <v>'0'!A46</v>
      </c>
      <c r="K4663" s="15" t="str">
        <f t="shared" ca="1" si="1340"/>
        <v>'0'!B46</v>
      </c>
    </row>
    <row r="4664" spans="1:16" x14ac:dyDescent="0.25">
      <c r="A4664" s="3" t="str">
        <f t="shared" ca="1" si="1347"/>
        <v/>
      </c>
      <c r="G4664" s="15">
        <f t="shared" ca="1" si="1333"/>
        <v>47</v>
      </c>
      <c r="H4664" s="15">
        <v>1</v>
      </c>
      <c r="I4664" s="15">
        <f t="shared" ca="1" si="1334"/>
        <v>0</v>
      </c>
      <c r="J4664" s="15" t="str">
        <f t="shared" ca="1" si="1339"/>
        <v>'0'!A47</v>
      </c>
      <c r="K4664" s="15" t="str">
        <f t="shared" ca="1" si="1340"/>
        <v>'0'!B47</v>
      </c>
    </row>
    <row r="4665" spans="1:16" x14ac:dyDescent="0.25">
      <c r="A4665" s="3" t="str">
        <f t="shared" ca="1" si="1347"/>
        <v/>
      </c>
      <c r="G4665" s="15">
        <f t="shared" ca="1" si="1333"/>
        <v>48</v>
      </c>
      <c r="H4665" s="15">
        <v>1</v>
      </c>
      <c r="I4665" s="15">
        <f t="shared" ca="1" si="1334"/>
        <v>0</v>
      </c>
      <c r="J4665" s="15" t="str">
        <f t="shared" ca="1" si="1339"/>
        <v>'0'!A48</v>
      </c>
      <c r="K4665" s="15" t="str">
        <f t="shared" ca="1" si="1340"/>
        <v>'0'!B48</v>
      </c>
    </row>
    <row r="4666" spans="1:16" x14ac:dyDescent="0.25">
      <c r="A4666" s="3" t="str">
        <f t="shared" ca="1" si="1347"/>
        <v/>
      </c>
      <c r="G4666" s="15">
        <f t="shared" ca="1" si="1333"/>
        <v>49</v>
      </c>
      <c r="H4666" s="15">
        <v>1</v>
      </c>
      <c r="I4666" s="15">
        <f t="shared" ca="1" si="1334"/>
        <v>0</v>
      </c>
      <c r="J4666" s="15" t="str">
        <f t="shared" ca="1" si="1339"/>
        <v>'0'!A49</v>
      </c>
      <c r="K4666" s="15" t="str">
        <f t="shared" ca="1" si="1340"/>
        <v>'0'!B49</v>
      </c>
    </row>
    <row r="4667" spans="1:16" x14ac:dyDescent="0.25">
      <c r="A4667" s="3" t="str">
        <f t="shared" ca="1" si="1347"/>
        <v/>
      </c>
      <c r="G4667" s="15">
        <f t="shared" ca="1" si="1333"/>
        <v>50</v>
      </c>
      <c r="H4667" s="15">
        <v>1</v>
      </c>
      <c r="I4667" s="15">
        <f t="shared" ca="1" si="1334"/>
        <v>0</v>
      </c>
      <c r="J4667" s="15" t="str">
        <f t="shared" ca="1" si="1339"/>
        <v>'0'!A50</v>
      </c>
      <c r="K4667" s="15" t="str">
        <f t="shared" ca="1" si="1340"/>
        <v>'0'!B50</v>
      </c>
    </row>
    <row r="4668" spans="1:16" x14ac:dyDescent="0.25">
      <c r="A4668" s="3" t="str">
        <f t="shared" ca="1" si="1347"/>
        <v/>
      </c>
      <c r="G4668" s="15">
        <f t="shared" ref="G4668" ca="1" si="1348">INDIRECT(M4668)</f>
        <v>31</v>
      </c>
      <c r="H4668" s="15">
        <v>1</v>
      </c>
      <c r="I4668" s="15">
        <f t="shared" ref="I4668" ca="1" si="1349">INDIRECT(N4668)</f>
        <v>0</v>
      </c>
      <c r="J4668" s="15" t="str">
        <f t="shared" ca="1" si="1339"/>
        <v>'0'!A31</v>
      </c>
      <c r="K4668" s="15" t="str">
        <f t="shared" ca="1" si="1340"/>
        <v>'0'!B31</v>
      </c>
      <c r="M4668" s="15" t="str">
        <f t="shared" ref="M4668" si="1350">ADDRESS(O4668,3,4,1,$R$1)</f>
        <v>konfig!C235</v>
      </c>
      <c r="N4668" s="15" t="str">
        <f t="shared" ref="N4668" si="1351">ADDRESS(O4668,1,4,1,$R$1)</f>
        <v>konfig!A235</v>
      </c>
      <c r="O4668" s="15">
        <v>235</v>
      </c>
      <c r="P4668" s="15">
        <v>4</v>
      </c>
    </row>
    <row r="4669" spans="1:16" x14ac:dyDescent="0.25">
      <c r="A4669" s="3" t="str">
        <f t="shared" ca="1" si="1347"/>
        <v/>
      </c>
      <c r="G4669" s="15">
        <f t="shared" ref="G4669:G4709" ca="1" si="1352">G4668+1</f>
        <v>32</v>
      </c>
      <c r="H4669" s="15">
        <v>1</v>
      </c>
      <c r="I4669" s="15">
        <f t="shared" ref="I4669:I4709" ca="1" si="1353">I4668</f>
        <v>0</v>
      </c>
      <c r="J4669" s="15" t="str">
        <f t="shared" ca="1" si="1339"/>
        <v>'0'!A32</v>
      </c>
      <c r="K4669" s="15" t="str">
        <f t="shared" ca="1" si="1340"/>
        <v>'0'!B32</v>
      </c>
    </row>
    <row r="4670" spans="1:16" x14ac:dyDescent="0.25">
      <c r="A4670" s="3" t="str">
        <f t="shared" ca="1" si="1347"/>
        <v/>
      </c>
      <c r="G4670" s="15">
        <f t="shared" ca="1" si="1333"/>
        <v>33</v>
      </c>
      <c r="H4670" s="15">
        <v>1</v>
      </c>
      <c r="I4670" s="15">
        <f t="shared" ca="1" si="1334"/>
        <v>0</v>
      </c>
      <c r="J4670" s="15" t="str">
        <f t="shared" ca="1" si="1339"/>
        <v>'0'!A33</v>
      </c>
      <c r="K4670" s="15" t="str">
        <f t="shared" ca="1" si="1340"/>
        <v>'0'!B33</v>
      </c>
    </row>
    <row r="4671" spans="1:16" x14ac:dyDescent="0.25">
      <c r="A4671" s="3" t="str">
        <f t="shared" ca="1" si="1347"/>
        <v/>
      </c>
      <c r="C4671" s="16"/>
      <c r="G4671" s="15">
        <f t="shared" ca="1" si="1333"/>
        <v>34</v>
      </c>
      <c r="H4671" s="15">
        <v>1</v>
      </c>
      <c r="I4671" s="15">
        <f t="shared" ca="1" si="1334"/>
        <v>0</v>
      </c>
      <c r="J4671" s="15" t="str">
        <f t="shared" ca="1" si="1339"/>
        <v>'0'!A34</v>
      </c>
      <c r="K4671" s="15" t="str">
        <f t="shared" ca="1" si="1340"/>
        <v>'0'!B34</v>
      </c>
    </row>
    <row r="4672" spans="1:16" x14ac:dyDescent="0.25">
      <c r="A4672" s="3" t="str">
        <f t="shared" ca="1" si="1347"/>
        <v/>
      </c>
      <c r="G4672" s="15">
        <f t="shared" ca="1" si="1333"/>
        <v>35</v>
      </c>
      <c r="H4672" s="15">
        <v>1</v>
      </c>
      <c r="I4672" s="15">
        <f t="shared" ca="1" si="1334"/>
        <v>0</v>
      </c>
      <c r="J4672" s="15" t="str">
        <f t="shared" ca="1" si="1339"/>
        <v>'0'!A35</v>
      </c>
      <c r="K4672" s="15" t="str">
        <f t="shared" ca="1" si="1340"/>
        <v>'0'!B35</v>
      </c>
    </row>
    <row r="4673" spans="1:16" x14ac:dyDescent="0.25">
      <c r="A4673" s="3" t="str">
        <f t="shared" ca="1" si="1347"/>
        <v/>
      </c>
      <c r="G4673" s="15">
        <f t="shared" ca="1" si="1333"/>
        <v>36</v>
      </c>
      <c r="H4673" s="15">
        <v>1</v>
      </c>
      <c r="I4673" s="15">
        <f t="shared" ca="1" si="1334"/>
        <v>0</v>
      </c>
      <c r="J4673" s="15" t="str">
        <f t="shared" ca="1" si="1339"/>
        <v>'0'!A36</v>
      </c>
      <c r="K4673" s="15" t="str">
        <f t="shared" ca="1" si="1340"/>
        <v>'0'!B36</v>
      </c>
    </row>
    <row r="4674" spans="1:16" x14ac:dyDescent="0.25">
      <c r="A4674" s="3" t="str">
        <f t="shared" ca="1" si="1347"/>
        <v/>
      </c>
      <c r="G4674" s="15">
        <f t="shared" ca="1" si="1333"/>
        <v>37</v>
      </c>
      <c r="H4674" s="15">
        <v>1</v>
      </c>
      <c r="I4674" s="15">
        <f t="shared" ca="1" si="1334"/>
        <v>0</v>
      </c>
      <c r="J4674" s="15" t="str">
        <f t="shared" ca="1" si="1339"/>
        <v>'0'!A37</v>
      </c>
      <c r="K4674" s="15" t="str">
        <f t="shared" ca="1" si="1340"/>
        <v>'0'!B37</v>
      </c>
    </row>
    <row r="4675" spans="1:16" x14ac:dyDescent="0.25">
      <c r="A4675" s="3" t="str">
        <f t="shared" ca="1" si="1347"/>
        <v/>
      </c>
      <c r="G4675" s="15">
        <f t="shared" ca="1" si="1333"/>
        <v>38</v>
      </c>
      <c r="H4675" s="15">
        <v>1</v>
      </c>
      <c r="I4675" s="15">
        <f t="shared" ca="1" si="1334"/>
        <v>0</v>
      </c>
      <c r="J4675" s="15" t="str">
        <f t="shared" ca="1" si="1339"/>
        <v>'0'!A38</v>
      </c>
      <c r="K4675" s="15" t="str">
        <f t="shared" ca="1" si="1340"/>
        <v>'0'!B38</v>
      </c>
    </row>
    <row r="4676" spans="1:16" x14ac:dyDescent="0.25">
      <c r="A4676" s="3" t="str">
        <f t="shared" ca="1" si="1347"/>
        <v/>
      </c>
      <c r="G4676" s="15">
        <f t="shared" ca="1" si="1333"/>
        <v>39</v>
      </c>
      <c r="H4676" s="15">
        <v>1</v>
      </c>
      <c r="I4676" s="15">
        <f t="shared" ca="1" si="1334"/>
        <v>0</v>
      </c>
      <c r="J4676" s="15" t="str">
        <f t="shared" ca="1" si="1339"/>
        <v>'0'!A39</v>
      </c>
      <c r="K4676" s="15" t="str">
        <f t="shared" ca="1" si="1340"/>
        <v>'0'!B39</v>
      </c>
    </row>
    <row r="4677" spans="1:16" x14ac:dyDescent="0.25">
      <c r="A4677" s="3" t="str">
        <f t="shared" ca="1" si="1347"/>
        <v/>
      </c>
      <c r="G4677" s="15">
        <f t="shared" ca="1" si="1333"/>
        <v>40</v>
      </c>
      <c r="H4677" s="15">
        <v>1</v>
      </c>
      <c r="I4677" s="15">
        <f t="shared" ca="1" si="1334"/>
        <v>0</v>
      </c>
      <c r="J4677" s="15" t="str">
        <f t="shared" ca="1" si="1339"/>
        <v>'0'!A40</v>
      </c>
      <c r="K4677" s="15" t="str">
        <f t="shared" ca="1" si="1340"/>
        <v>'0'!B40</v>
      </c>
    </row>
    <row r="4678" spans="1:16" x14ac:dyDescent="0.25">
      <c r="A4678" s="3" t="str">
        <f t="shared" ca="1" si="1347"/>
        <v/>
      </c>
      <c r="G4678" s="15">
        <f t="shared" ca="1" si="1333"/>
        <v>41</v>
      </c>
      <c r="H4678" s="15">
        <v>1</v>
      </c>
      <c r="I4678" s="15">
        <f t="shared" ca="1" si="1334"/>
        <v>0</v>
      </c>
      <c r="J4678" s="15" t="str">
        <f t="shared" ca="1" si="1339"/>
        <v>'0'!A41</v>
      </c>
      <c r="K4678" s="15" t="str">
        <f t="shared" ca="1" si="1340"/>
        <v>'0'!B41</v>
      </c>
    </row>
    <row r="4679" spans="1:16" x14ac:dyDescent="0.25">
      <c r="A4679" s="3" t="str">
        <f t="shared" ca="1" si="1347"/>
        <v/>
      </c>
      <c r="C4679" s="16"/>
      <c r="G4679" s="15">
        <f t="shared" ca="1" si="1333"/>
        <v>42</v>
      </c>
      <c r="H4679" s="15">
        <v>1</v>
      </c>
      <c r="I4679" s="15">
        <f t="shared" ca="1" si="1334"/>
        <v>0</v>
      </c>
      <c r="J4679" s="15" t="str">
        <f t="shared" ca="1" si="1339"/>
        <v>'0'!A42</v>
      </c>
      <c r="K4679" s="15" t="str">
        <f t="shared" ca="1" si="1340"/>
        <v>'0'!B42</v>
      </c>
    </row>
    <row r="4680" spans="1:16" x14ac:dyDescent="0.25">
      <c r="A4680" s="3" t="str">
        <f t="shared" ca="1" si="1347"/>
        <v/>
      </c>
      <c r="G4680" s="15">
        <f t="shared" ca="1" si="1333"/>
        <v>43</v>
      </c>
      <c r="H4680" s="15">
        <v>1</v>
      </c>
      <c r="I4680" s="15">
        <f t="shared" ca="1" si="1334"/>
        <v>0</v>
      </c>
      <c r="J4680" s="15" t="str">
        <f t="shared" ca="1" si="1339"/>
        <v>'0'!A43</v>
      </c>
      <c r="K4680" s="15" t="str">
        <f t="shared" ca="1" si="1340"/>
        <v>'0'!B43</v>
      </c>
    </row>
    <row r="4681" spans="1:16" x14ac:dyDescent="0.25">
      <c r="A4681" s="3" t="str">
        <f t="shared" ca="1" si="1347"/>
        <v/>
      </c>
      <c r="G4681" s="15">
        <f t="shared" ref="G4681:G4744" ca="1" si="1354">G4680+1</f>
        <v>44</v>
      </c>
      <c r="H4681" s="15">
        <v>1</v>
      </c>
      <c r="I4681" s="15">
        <f t="shared" ref="I4681:I4744" ca="1" si="1355">I4680</f>
        <v>0</v>
      </c>
      <c r="J4681" s="15" t="str">
        <f t="shared" ca="1" si="1339"/>
        <v>'0'!A44</v>
      </c>
      <c r="K4681" s="15" t="str">
        <f t="shared" ca="1" si="1340"/>
        <v>'0'!B44</v>
      </c>
    </row>
    <row r="4682" spans="1:16" x14ac:dyDescent="0.25">
      <c r="A4682" s="3" t="str">
        <f t="shared" ca="1" si="1347"/>
        <v/>
      </c>
      <c r="G4682" s="15">
        <f t="shared" ca="1" si="1354"/>
        <v>45</v>
      </c>
      <c r="H4682" s="15">
        <v>1</v>
      </c>
      <c r="I4682" s="15">
        <f t="shared" ca="1" si="1355"/>
        <v>0</v>
      </c>
      <c r="J4682" s="15" t="str">
        <f t="shared" ca="1" si="1339"/>
        <v>'0'!A45</v>
      </c>
      <c r="K4682" s="15" t="str">
        <f t="shared" ca="1" si="1340"/>
        <v>'0'!B45</v>
      </c>
    </row>
    <row r="4683" spans="1:16" x14ac:dyDescent="0.25">
      <c r="A4683" s="3" t="str">
        <f t="shared" ca="1" si="1347"/>
        <v/>
      </c>
      <c r="G4683" s="15">
        <f t="shared" ca="1" si="1354"/>
        <v>46</v>
      </c>
      <c r="H4683" s="15">
        <v>1</v>
      </c>
      <c r="I4683" s="15">
        <f t="shared" ca="1" si="1355"/>
        <v>0</v>
      </c>
      <c r="J4683" s="15" t="str">
        <f t="shared" ca="1" si="1339"/>
        <v>'0'!A46</v>
      </c>
      <c r="K4683" s="15" t="str">
        <f t="shared" ca="1" si="1340"/>
        <v>'0'!B46</v>
      </c>
    </row>
    <row r="4684" spans="1:16" x14ac:dyDescent="0.25">
      <c r="A4684" s="3" t="str">
        <f t="shared" ca="1" si="1347"/>
        <v/>
      </c>
      <c r="G4684" s="15">
        <f t="shared" ca="1" si="1354"/>
        <v>47</v>
      </c>
      <c r="H4684" s="15">
        <v>1</v>
      </c>
      <c r="I4684" s="15">
        <f t="shared" ca="1" si="1355"/>
        <v>0</v>
      </c>
      <c r="J4684" s="15" t="str">
        <f t="shared" ca="1" si="1339"/>
        <v>'0'!A47</v>
      </c>
      <c r="K4684" s="15" t="str">
        <f t="shared" ca="1" si="1340"/>
        <v>'0'!B47</v>
      </c>
    </row>
    <row r="4685" spans="1:16" x14ac:dyDescent="0.25">
      <c r="A4685" s="3" t="str">
        <f t="shared" ca="1" si="1347"/>
        <v/>
      </c>
      <c r="G4685" s="15">
        <f t="shared" ca="1" si="1354"/>
        <v>48</v>
      </c>
      <c r="H4685" s="15">
        <v>1</v>
      </c>
      <c r="I4685" s="15">
        <f t="shared" ca="1" si="1355"/>
        <v>0</v>
      </c>
      <c r="J4685" s="15" t="str">
        <f t="shared" ca="1" si="1339"/>
        <v>'0'!A48</v>
      </c>
      <c r="K4685" s="15" t="str">
        <f t="shared" ca="1" si="1340"/>
        <v>'0'!B48</v>
      </c>
    </row>
    <row r="4686" spans="1:16" x14ac:dyDescent="0.25">
      <c r="A4686" s="3" t="str">
        <f t="shared" ca="1" si="1347"/>
        <v/>
      </c>
      <c r="G4686" s="15">
        <f t="shared" ca="1" si="1354"/>
        <v>49</v>
      </c>
      <c r="H4686" s="15">
        <v>1</v>
      </c>
      <c r="I4686" s="15">
        <f t="shared" ca="1" si="1355"/>
        <v>0</v>
      </c>
      <c r="J4686" s="15" t="str">
        <f t="shared" ca="1" si="1339"/>
        <v>'0'!A49</v>
      </c>
      <c r="K4686" s="15" t="str">
        <f t="shared" ca="1" si="1340"/>
        <v>'0'!B49</v>
      </c>
    </row>
    <row r="4687" spans="1:16" x14ac:dyDescent="0.25">
      <c r="A4687" s="3" t="str">
        <f t="shared" ca="1" si="1347"/>
        <v/>
      </c>
      <c r="G4687" s="15">
        <f t="shared" ca="1" si="1354"/>
        <v>50</v>
      </c>
      <c r="H4687" s="15">
        <v>1</v>
      </c>
      <c r="I4687" s="15">
        <f t="shared" ca="1" si="1355"/>
        <v>0</v>
      </c>
      <c r="J4687" s="15" t="str">
        <f t="shared" ca="1" si="1339"/>
        <v>'0'!A50</v>
      </c>
      <c r="K4687" s="15" t="str">
        <f t="shared" ca="1" si="1340"/>
        <v>'0'!B50</v>
      </c>
    </row>
    <row r="4688" spans="1:16" x14ac:dyDescent="0.25">
      <c r="A4688" s="3" t="str">
        <f t="shared" ca="1" si="1347"/>
        <v/>
      </c>
      <c r="G4688" s="15">
        <f t="shared" ref="G4688" ca="1" si="1356">INDIRECT(M4688)</f>
        <v>31</v>
      </c>
      <c r="H4688" s="15">
        <v>1</v>
      </c>
      <c r="I4688" s="15">
        <f t="shared" ref="I4688" ca="1" si="1357">INDIRECT(N4688)</f>
        <v>0</v>
      </c>
      <c r="J4688" s="15" t="str">
        <f t="shared" ca="1" si="1339"/>
        <v>'0'!A31</v>
      </c>
      <c r="K4688" s="15" t="str">
        <f t="shared" ca="1" si="1340"/>
        <v>'0'!B31</v>
      </c>
      <c r="M4688" s="15" t="str">
        <f t="shared" ref="M4688" si="1358">ADDRESS(O4688,3,4,1,$R$1)</f>
        <v>konfig!C236</v>
      </c>
      <c r="N4688" s="15" t="str">
        <f t="shared" ref="N4688" si="1359">ADDRESS(O4688,1,4,1,$R$1)</f>
        <v>konfig!A236</v>
      </c>
      <c r="O4688" s="15">
        <v>236</v>
      </c>
      <c r="P4688" s="15">
        <v>4</v>
      </c>
    </row>
    <row r="4689" spans="1:11" x14ac:dyDescent="0.25">
      <c r="A4689" s="3" t="str">
        <f t="shared" ca="1" si="1347"/>
        <v/>
      </c>
      <c r="G4689" s="15">
        <f t="shared" ca="1" si="1345"/>
        <v>32</v>
      </c>
      <c r="H4689" s="15">
        <v>1</v>
      </c>
      <c r="I4689" s="15">
        <f t="shared" ca="1" si="1346"/>
        <v>0</v>
      </c>
      <c r="J4689" s="15" t="str">
        <f t="shared" ca="1" si="1339"/>
        <v>'0'!A32</v>
      </c>
      <c r="K4689" s="15" t="str">
        <f t="shared" ca="1" si="1340"/>
        <v>'0'!B32</v>
      </c>
    </row>
    <row r="4690" spans="1:11" x14ac:dyDescent="0.25">
      <c r="A4690" s="3" t="str">
        <f t="shared" ca="1" si="1347"/>
        <v/>
      </c>
      <c r="G4690" s="15">
        <f t="shared" ca="1" si="1345"/>
        <v>33</v>
      </c>
      <c r="H4690" s="15">
        <v>1</v>
      </c>
      <c r="I4690" s="15">
        <f t="shared" ca="1" si="1346"/>
        <v>0</v>
      </c>
      <c r="J4690" s="15" t="str">
        <f t="shared" ca="1" si="1339"/>
        <v>'0'!A33</v>
      </c>
      <c r="K4690" s="15" t="str">
        <f t="shared" ca="1" si="1340"/>
        <v>'0'!B33</v>
      </c>
    </row>
    <row r="4691" spans="1:11" x14ac:dyDescent="0.25">
      <c r="A4691" s="3" t="str">
        <f t="shared" ca="1" si="1347"/>
        <v/>
      </c>
      <c r="C4691" s="16"/>
      <c r="G4691" s="15">
        <f t="shared" ca="1" si="1345"/>
        <v>34</v>
      </c>
      <c r="H4691" s="15">
        <v>1</v>
      </c>
      <c r="I4691" s="15">
        <f t="shared" ca="1" si="1346"/>
        <v>0</v>
      </c>
      <c r="J4691" s="15" t="str">
        <f t="shared" ca="1" si="1339"/>
        <v>'0'!A34</v>
      </c>
      <c r="K4691" s="15" t="str">
        <f t="shared" ca="1" si="1340"/>
        <v>'0'!B34</v>
      </c>
    </row>
    <row r="4692" spans="1:11" x14ac:dyDescent="0.25">
      <c r="A4692" s="3" t="str">
        <f t="shared" ca="1" si="1347"/>
        <v/>
      </c>
      <c r="G4692" s="15">
        <f t="shared" ca="1" si="1345"/>
        <v>35</v>
      </c>
      <c r="H4692" s="15">
        <v>1</v>
      </c>
      <c r="I4692" s="15">
        <f t="shared" ca="1" si="1346"/>
        <v>0</v>
      </c>
      <c r="J4692" s="15" t="str">
        <f t="shared" ca="1" si="1339"/>
        <v>'0'!A35</v>
      </c>
      <c r="K4692" s="15" t="str">
        <f t="shared" ca="1" si="1340"/>
        <v>'0'!B35</v>
      </c>
    </row>
    <row r="4693" spans="1:11" x14ac:dyDescent="0.25">
      <c r="A4693" s="3" t="str">
        <f t="shared" ca="1" si="1347"/>
        <v/>
      </c>
      <c r="G4693" s="15">
        <f t="shared" ca="1" si="1354"/>
        <v>36</v>
      </c>
      <c r="H4693" s="15">
        <v>1</v>
      </c>
      <c r="I4693" s="15">
        <f t="shared" ca="1" si="1355"/>
        <v>0</v>
      </c>
      <c r="J4693" s="15" t="str">
        <f t="shared" ca="1" si="1339"/>
        <v>'0'!A36</v>
      </c>
      <c r="K4693" s="15" t="str">
        <f t="shared" ca="1" si="1340"/>
        <v>'0'!B36</v>
      </c>
    </row>
    <row r="4694" spans="1:11" x14ac:dyDescent="0.25">
      <c r="A4694" s="3" t="str">
        <f t="shared" ca="1" si="1347"/>
        <v/>
      </c>
      <c r="G4694" s="15">
        <f t="shared" ca="1" si="1354"/>
        <v>37</v>
      </c>
      <c r="H4694" s="15">
        <v>1</v>
      </c>
      <c r="I4694" s="15">
        <f t="shared" ca="1" si="1355"/>
        <v>0</v>
      </c>
      <c r="J4694" s="15" t="str">
        <f t="shared" ca="1" si="1339"/>
        <v>'0'!A37</v>
      </c>
      <c r="K4694" s="15" t="str">
        <f t="shared" ca="1" si="1340"/>
        <v>'0'!B37</v>
      </c>
    </row>
    <row r="4695" spans="1:11" x14ac:dyDescent="0.25">
      <c r="A4695" s="3" t="str">
        <f t="shared" ca="1" si="1347"/>
        <v/>
      </c>
      <c r="G4695" s="15">
        <f t="shared" ca="1" si="1354"/>
        <v>38</v>
      </c>
      <c r="H4695" s="15">
        <v>1</v>
      </c>
      <c r="I4695" s="15">
        <f t="shared" ca="1" si="1355"/>
        <v>0</v>
      </c>
      <c r="J4695" s="15" t="str">
        <f t="shared" ca="1" si="1339"/>
        <v>'0'!A38</v>
      </c>
      <c r="K4695" s="15" t="str">
        <f t="shared" ca="1" si="1340"/>
        <v>'0'!B38</v>
      </c>
    </row>
    <row r="4696" spans="1:11" x14ac:dyDescent="0.25">
      <c r="A4696" s="3" t="str">
        <f t="shared" ca="1" si="1347"/>
        <v/>
      </c>
      <c r="G4696" s="15">
        <f t="shared" ca="1" si="1354"/>
        <v>39</v>
      </c>
      <c r="H4696" s="15">
        <v>1</v>
      </c>
      <c r="I4696" s="15">
        <f t="shared" ca="1" si="1355"/>
        <v>0</v>
      </c>
      <c r="J4696" s="15" t="str">
        <f t="shared" ca="1" si="1339"/>
        <v>'0'!A39</v>
      </c>
      <c r="K4696" s="15" t="str">
        <f t="shared" ca="1" si="1340"/>
        <v>'0'!B39</v>
      </c>
    </row>
    <row r="4697" spans="1:11" x14ac:dyDescent="0.25">
      <c r="A4697" s="3" t="str">
        <f t="shared" ca="1" si="1347"/>
        <v/>
      </c>
      <c r="G4697" s="15">
        <f t="shared" ca="1" si="1354"/>
        <v>40</v>
      </c>
      <c r="H4697" s="15">
        <v>1</v>
      </c>
      <c r="I4697" s="15">
        <f t="shared" ca="1" si="1355"/>
        <v>0</v>
      </c>
      <c r="J4697" s="15" t="str">
        <f t="shared" ca="1" si="1339"/>
        <v>'0'!A40</v>
      </c>
      <c r="K4697" s="15" t="str">
        <f t="shared" ca="1" si="1340"/>
        <v>'0'!B40</v>
      </c>
    </row>
    <row r="4698" spans="1:11" x14ac:dyDescent="0.25">
      <c r="A4698" s="3" t="str">
        <f t="shared" ca="1" si="1347"/>
        <v/>
      </c>
      <c r="G4698" s="15">
        <f t="shared" ca="1" si="1354"/>
        <v>41</v>
      </c>
      <c r="H4698" s="15">
        <v>1</v>
      </c>
      <c r="I4698" s="15">
        <f t="shared" ca="1" si="1355"/>
        <v>0</v>
      </c>
      <c r="J4698" s="15" t="str">
        <f t="shared" ca="1" si="1339"/>
        <v>'0'!A41</v>
      </c>
      <c r="K4698" s="15" t="str">
        <f t="shared" ca="1" si="1340"/>
        <v>'0'!B41</v>
      </c>
    </row>
    <row r="4699" spans="1:11" x14ac:dyDescent="0.25">
      <c r="A4699" s="3" t="str">
        <f t="shared" ca="1" si="1347"/>
        <v/>
      </c>
      <c r="C4699" s="16"/>
      <c r="G4699" s="15">
        <f t="shared" ca="1" si="1354"/>
        <v>42</v>
      </c>
      <c r="H4699" s="15">
        <v>1</v>
      </c>
      <c r="I4699" s="15">
        <f t="shared" ca="1" si="1355"/>
        <v>0</v>
      </c>
      <c r="J4699" s="15" t="str">
        <f t="shared" ca="1" si="1339"/>
        <v>'0'!A42</v>
      </c>
      <c r="K4699" s="15" t="str">
        <f t="shared" ca="1" si="1340"/>
        <v>'0'!B42</v>
      </c>
    </row>
    <row r="4700" spans="1:11" x14ac:dyDescent="0.25">
      <c r="A4700" s="3" t="str">
        <f t="shared" ca="1" si="1347"/>
        <v/>
      </c>
      <c r="G4700" s="15">
        <f t="shared" ca="1" si="1354"/>
        <v>43</v>
      </c>
      <c r="H4700" s="15">
        <v>1</v>
      </c>
      <c r="I4700" s="15">
        <f t="shared" ca="1" si="1355"/>
        <v>0</v>
      </c>
      <c r="J4700" s="15" t="str">
        <f t="shared" ca="1" si="1339"/>
        <v>'0'!A43</v>
      </c>
      <c r="K4700" s="15" t="str">
        <f t="shared" ca="1" si="1340"/>
        <v>'0'!B43</v>
      </c>
    </row>
    <row r="4701" spans="1:11" x14ac:dyDescent="0.25">
      <c r="A4701" s="3" t="str">
        <f t="shared" ca="1" si="1347"/>
        <v/>
      </c>
      <c r="G4701" s="15">
        <f t="shared" ca="1" si="1354"/>
        <v>44</v>
      </c>
      <c r="H4701" s="15">
        <v>1</v>
      </c>
      <c r="I4701" s="15">
        <f t="shared" ca="1" si="1355"/>
        <v>0</v>
      </c>
      <c r="J4701" s="15" t="str">
        <f t="shared" ca="1" si="1339"/>
        <v>'0'!A44</v>
      </c>
      <c r="K4701" s="15" t="str">
        <f t="shared" ca="1" si="1340"/>
        <v>'0'!B44</v>
      </c>
    </row>
    <row r="4702" spans="1:11" x14ac:dyDescent="0.25">
      <c r="A4702" s="3" t="str">
        <f t="shared" ca="1" si="1347"/>
        <v/>
      </c>
      <c r="G4702" s="15">
        <f t="shared" ca="1" si="1354"/>
        <v>45</v>
      </c>
      <c r="H4702" s="15">
        <v>1</v>
      </c>
      <c r="I4702" s="15">
        <f t="shared" ca="1" si="1355"/>
        <v>0</v>
      </c>
      <c r="J4702" s="15" t="str">
        <f t="shared" ca="1" si="1339"/>
        <v>'0'!A45</v>
      </c>
      <c r="K4702" s="15" t="str">
        <f t="shared" ca="1" si="1340"/>
        <v>'0'!B45</v>
      </c>
    </row>
    <row r="4703" spans="1:11" x14ac:dyDescent="0.25">
      <c r="A4703" s="3" t="str">
        <f t="shared" ca="1" si="1347"/>
        <v/>
      </c>
      <c r="G4703" s="15">
        <f t="shared" ca="1" si="1354"/>
        <v>46</v>
      </c>
      <c r="H4703" s="15">
        <v>1</v>
      </c>
      <c r="I4703" s="15">
        <f t="shared" ca="1" si="1355"/>
        <v>0</v>
      </c>
      <c r="J4703" s="15" t="str">
        <f t="shared" ca="1" si="1339"/>
        <v>'0'!A46</v>
      </c>
      <c r="K4703" s="15" t="str">
        <f t="shared" ca="1" si="1340"/>
        <v>'0'!B46</v>
      </c>
    </row>
    <row r="4704" spans="1:11" x14ac:dyDescent="0.25">
      <c r="A4704" s="3" t="str">
        <f t="shared" ca="1" si="1347"/>
        <v/>
      </c>
      <c r="G4704" s="15">
        <f t="shared" ca="1" si="1354"/>
        <v>47</v>
      </c>
      <c r="H4704" s="15">
        <v>1</v>
      </c>
      <c r="I4704" s="15">
        <f t="shared" ca="1" si="1355"/>
        <v>0</v>
      </c>
      <c r="J4704" s="15" t="str">
        <f t="shared" ca="1" si="1339"/>
        <v>'0'!A47</v>
      </c>
      <c r="K4704" s="15" t="str">
        <f t="shared" ca="1" si="1340"/>
        <v>'0'!B47</v>
      </c>
    </row>
    <row r="4705" spans="1:16" x14ac:dyDescent="0.25">
      <c r="A4705" s="3" t="str">
        <f t="shared" ca="1" si="1347"/>
        <v/>
      </c>
      <c r="G4705" s="15">
        <f t="shared" ca="1" si="1354"/>
        <v>48</v>
      </c>
      <c r="H4705" s="15">
        <v>1</v>
      </c>
      <c r="I4705" s="15">
        <f t="shared" ca="1" si="1355"/>
        <v>0</v>
      </c>
      <c r="J4705" s="15" t="str">
        <f t="shared" ca="1" si="1339"/>
        <v>'0'!A48</v>
      </c>
      <c r="K4705" s="15" t="str">
        <f t="shared" ca="1" si="1340"/>
        <v>'0'!B48</v>
      </c>
    </row>
    <row r="4706" spans="1:16" x14ac:dyDescent="0.25">
      <c r="A4706" s="3" t="str">
        <f t="shared" ca="1" si="1347"/>
        <v/>
      </c>
      <c r="G4706" s="15">
        <f t="shared" ca="1" si="1354"/>
        <v>49</v>
      </c>
      <c r="H4706" s="15">
        <v>1</v>
      </c>
      <c r="I4706" s="15">
        <f t="shared" ca="1" si="1355"/>
        <v>0</v>
      </c>
      <c r="J4706" s="15" t="str">
        <f t="shared" ca="1" si="1339"/>
        <v>'0'!A49</v>
      </c>
      <c r="K4706" s="15" t="str">
        <f t="shared" ca="1" si="1340"/>
        <v>'0'!B49</v>
      </c>
    </row>
    <row r="4707" spans="1:16" x14ac:dyDescent="0.25">
      <c r="A4707" s="3" t="str">
        <f t="shared" ca="1" si="1347"/>
        <v/>
      </c>
      <c r="G4707" s="15">
        <f t="shared" ca="1" si="1354"/>
        <v>50</v>
      </c>
      <c r="H4707" s="15">
        <v>1</v>
      </c>
      <c r="I4707" s="15">
        <f t="shared" ca="1" si="1355"/>
        <v>0</v>
      </c>
      <c r="J4707" s="15" t="str">
        <f t="shared" ca="1" si="1339"/>
        <v>'0'!A50</v>
      </c>
      <c r="K4707" s="15" t="str">
        <f t="shared" ca="1" si="1340"/>
        <v>'0'!B50</v>
      </c>
    </row>
    <row r="4708" spans="1:16" x14ac:dyDescent="0.25">
      <c r="A4708" s="3" t="str">
        <f t="shared" ca="1" si="1347"/>
        <v/>
      </c>
      <c r="G4708" s="15">
        <f t="shared" ref="G4708" ca="1" si="1360">INDIRECT(M4708)</f>
        <v>31</v>
      </c>
      <c r="H4708" s="15">
        <v>1</v>
      </c>
      <c r="I4708" s="15">
        <f t="shared" ref="I4708" ca="1" si="1361">INDIRECT(N4708)</f>
        <v>0</v>
      </c>
      <c r="J4708" s="15" t="str">
        <f t="shared" ref="J4708:J4771" ca="1" si="1362">ADDRESS(G4708,H4708,4,1,I4708)</f>
        <v>'0'!A31</v>
      </c>
      <c r="K4708" s="15" t="str">
        <f t="shared" ref="K4708:K4771" ca="1" si="1363">ADDRESS(G4708,H4708+1,4,1,I4708)</f>
        <v>'0'!B31</v>
      </c>
      <c r="M4708" s="15" t="str">
        <f t="shared" ref="M4708" si="1364">ADDRESS(O4708,3,4,1,$R$1)</f>
        <v>konfig!C237</v>
      </c>
      <c r="N4708" s="15" t="str">
        <f t="shared" ref="N4708" si="1365">ADDRESS(O4708,1,4,1,$R$1)</f>
        <v>konfig!A237</v>
      </c>
      <c r="O4708" s="15">
        <v>237</v>
      </c>
      <c r="P4708" s="15">
        <v>4</v>
      </c>
    </row>
    <row r="4709" spans="1:16" x14ac:dyDescent="0.25">
      <c r="A4709" s="3" t="str">
        <f t="shared" ca="1" si="1347"/>
        <v/>
      </c>
      <c r="G4709" s="15">
        <f t="shared" ca="1" si="1352"/>
        <v>32</v>
      </c>
      <c r="H4709" s="15">
        <v>1</v>
      </c>
      <c r="I4709" s="15">
        <f t="shared" ca="1" si="1353"/>
        <v>0</v>
      </c>
      <c r="J4709" s="15" t="str">
        <f t="shared" ca="1" si="1362"/>
        <v>'0'!A32</v>
      </c>
      <c r="K4709" s="15" t="str">
        <f t="shared" ca="1" si="1363"/>
        <v>'0'!B32</v>
      </c>
    </row>
    <row r="4710" spans="1:16" x14ac:dyDescent="0.25">
      <c r="A4710" s="3" t="str">
        <f t="shared" ca="1" si="1347"/>
        <v/>
      </c>
      <c r="G4710" s="15">
        <f t="shared" ca="1" si="1354"/>
        <v>33</v>
      </c>
      <c r="H4710" s="15">
        <v>1</v>
      </c>
      <c r="I4710" s="15">
        <f t="shared" ca="1" si="1355"/>
        <v>0</v>
      </c>
      <c r="J4710" s="15" t="str">
        <f t="shared" ca="1" si="1362"/>
        <v>'0'!A33</v>
      </c>
      <c r="K4710" s="15" t="str">
        <f t="shared" ca="1" si="1363"/>
        <v>'0'!B33</v>
      </c>
    </row>
    <row r="4711" spans="1:16" x14ac:dyDescent="0.25">
      <c r="A4711" s="3" t="str">
        <f t="shared" ca="1" si="1347"/>
        <v/>
      </c>
      <c r="C4711" s="16"/>
      <c r="G4711" s="15">
        <f t="shared" ca="1" si="1354"/>
        <v>34</v>
      </c>
      <c r="H4711" s="15">
        <v>1</v>
      </c>
      <c r="I4711" s="15">
        <f t="shared" ca="1" si="1355"/>
        <v>0</v>
      </c>
      <c r="J4711" s="15" t="str">
        <f t="shared" ca="1" si="1362"/>
        <v>'0'!A34</v>
      </c>
      <c r="K4711" s="15" t="str">
        <f t="shared" ca="1" si="1363"/>
        <v>'0'!B34</v>
      </c>
    </row>
    <row r="4712" spans="1:16" x14ac:dyDescent="0.25">
      <c r="A4712" s="3" t="str">
        <f t="shared" ca="1" si="1347"/>
        <v/>
      </c>
      <c r="G4712" s="15">
        <f t="shared" ca="1" si="1354"/>
        <v>35</v>
      </c>
      <c r="H4712" s="15">
        <v>1</v>
      </c>
      <c r="I4712" s="15">
        <f t="shared" ca="1" si="1355"/>
        <v>0</v>
      </c>
      <c r="J4712" s="15" t="str">
        <f t="shared" ca="1" si="1362"/>
        <v>'0'!A35</v>
      </c>
      <c r="K4712" s="15" t="str">
        <f t="shared" ca="1" si="1363"/>
        <v>'0'!B35</v>
      </c>
    </row>
    <row r="4713" spans="1:16" x14ac:dyDescent="0.25">
      <c r="A4713" s="3" t="str">
        <f t="shared" ca="1" si="1347"/>
        <v/>
      </c>
      <c r="G4713" s="15">
        <f t="shared" ca="1" si="1354"/>
        <v>36</v>
      </c>
      <c r="H4713" s="15">
        <v>1</v>
      </c>
      <c r="I4713" s="15">
        <f t="shared" ca="1" si="1355"/>
        <v>0</v>
      </c>
      <c r="J4713" s="15" t="str">
        <f t="shared" ca="1" si="1362"/>
        <v>'0'!A36</v>
      </c>
      <c r="K4713" s="15" t="str">
        <f t="shared" ca="1" si="1363"/>
        <v>'0'!B36</v>
      </c>
    </row>
    <row r="4714" spans="1:16" x14ac:dyDescent="0.25">
      <c r="A4714" s="3" t="str">
        <f t="shared" ca="1" si="1347"/>
        <v/>
      </c>
      <c r="G4714" s="15">
        <f t="shared" ca="1" si="1354"/>
        <v>37</v>
      </c>
      <c r="H4714" s="15">
        <v>1</v>
      </c>
      <c r="I4714" s="15">
        <f t="shared" ca="1" si="1355"/>
        <v>0</v>
      </c>
      <c r="J4714" s="15" t="str">
        <f t="shared" ca="1" si="1362"/>
        <v>'0'!A37</v>
      </c>
      <c r="K4714" s="15" t="str">
        <f t="shared" ca="1" si="1363"/>
        <v>'0'!B37</v>
      </c>
    </row>
    <row r="4715" spans="1:16" x14ac:dyDescent="0.25">
      <c r="A4715" s="3" t="str">
        <f t="shared" ca="1" si="1347"/>
        <v/>
      </c>
      <c r="G4715" s="15">
        <f t="shared" ca="1" si="1354"/>
        <v>38</v>
      </c>
      <c r="H4715" s="15">
        <v>1</v>
      </c>
      <c r="I4715" s="15">
        <f t="shared" ca="1" si="1355"/>
        <v>0</v>
      </c>
      <c r="J4715" s="15" t="str">
        <f t="shared" ca="1" si="1362"/>
        <v>'0'!A38</v>
      </c>
      <c r="K4715" s="15" t="str">
        <f t="shared" ca="1" si="1363"/>
        <v>'0'!B38</v>
      </c>
    </row>
    <row r="4716" spans="1:16" x14ac:dyDescent="0.25">
      <c r="A4716" s="3" t="str">
        <f t="shared" ref="A4716:A4779" ca="1" si="1366">IFERROR(IF(INDIRECT(J4716)&lt;&gt;"",CONCATENATE(INDIRECT(J4716)," = ",INDIRECT(K4716)," "),""),"")</f>
        <v/>
      </c>
      <c r="G4716" s="15">
        <f t="shared" ca="1" si="1354"/>
        <v>39</v>
      </c>
      <c r="H4716" s="15">
        <v>1</v>
      </c>
      <c r="I4716" s="15">
        <f t="shared" ca="1" si="1355"/>
        <v>0</v>
      </c>
      <c r="J4716" s="15" t="str">
        <f t="shared" ca="1" si="1362"/>
        <v>'0'!A39</v>
      </c>
      <c r="K4716" s="15" t="str">
        <f t="shared" ca="1" si="1363"/>
        <v>'0'!B39</v>
      </c>
    </row>
    <row r="4717" spans="1:16" x14ac:dyDescent="0.25">
      <c r="A4717" s="3" t="str">
        <f t="shared" ca="1" si="1366"/>
        <v/>
      </c>
      <c r="G4717" s="15">
        <f t="shared" ca="1" si="1354"/>
        <v>40</v>
      </c>
      <c r="H4717" s="15">
        <v>1</v>
      </c>
      <c r="I4717" s="15">
        <f t="shared" ca="1" si="1355"/>
        <v>0</v>
      </c>
      <c r="J4717" s="15" t="str">
        <f t="shared" ca="1" si="1362"/>
        <v>'0'!A40</v>
      </c>
      <c r="K4717" s="15" t="str">
        <f t="shared" ca="1" si="1363"/>
        <v>'0'!B40</v>
      </c>
    </row>
    <row r="4718" spans="1:16" x14ac:dyDescent="0.25">
      <c r="A4718" s="3" t="str">
        <f t="shared" ca="1" si="1366"/>
        <v/>
      </c>
      <c r="G4718" s="15">
        <f t="shared" ca="1" si="1354"/>
        <v>41</v>
      </c>
      <c r="H4718" s="15">
        <v>1</v>
      </c>
      <c r="I4718" s="15">
        <f t="shared" ca="1" si="1355"/>
        <v>0</v>
      </c>
      <c r="J4718" s="15" t="str">
        <f t="shared" ca="1" si="1362"/>
        <v>'0'!A41</v>
      </c>
      <c r="K4718" s="15" t="str">
        <f t="shared" ca="1" si="1363"/>
        <v>'0'!B41</v>
      </c>
    </row>
    <row r="4719" spans="1:16" x14ac:dyDescent="0.25">
      <c r="A4719" s="3" t="str">
        <f t="shared" ca="1" si="1366"/>
        <v/>
      </c>
      <c r="C4719" s="16"/>
      <c r="G4719" s="15">
        <f t="shared" ca="1" si="1354"/>
        <v>42</v>
      </c>
      <c r="H4719" s="15">
        <v>1</v>
      </c>
      <c r="I4719" s="15">
        <f t="shared" ca="1" si="1355"/>
        <v>0</v>
      </c>
      <c r="J4719" s="15" t="str">
        <f t="shared" ca="1" si="1362"/>
        <v>'0'!A42</v>
      </c>
      <c r="K4719" s="15" t="str">
        <f t="shared" ca="1" si="1363"/>
        <v>'0'!B42</v>
      </c>
    </row>
    <row r="4720" spans="1:16" x14ac:dyDescent="0.25">
      <c r="A4720" s="3" t="str">
        <f t="shared" ca="1" si="1366"/>
        <v/>
      </c>
      <c r="G4720" s="15">
        <f t="shared" ca="1" si="1354"/>
        <v>43</v>
      </c>
      <c r="H4720" s="15">
        <v>1</v>
      </c>
      <c r="I4720" s="15">
        <f t="shared" ca="1" si="1355"/>
        <v>0</v>
      </c>
      <c r="J4720" s="15" t="str">
        <f t="shared" ca="1" si="1362"/>
        <v>'0'!A43</v>
      </c>
      <c r="K4720" s="15" t="str">
        <f t="shared" ca="1" si="1363"/>
        <v>'0'!B43</v>
      </c>
    </row>
    <row r="4721" spans="1:16" x14ac:dyDescent="0.25">
      <c r="A4721" s="3" t="str">
        <f t="shared" ca="1" si="1366"/>
        <v/>
      </c>
      <c r="G4721" s="15">
        <f t="shared" ca="1" si="1354"/>
        <v>44</v>
      </c>
      <c r="H4721" s="15">
        <v>1</v>
      </c>
      <c r="I4721" s="15">
        <f t="shared" ca="1" si="1355"/>
        <v>0</v>
      </c>
      <c r="J4721" s="15" t="str">
        <f t="shared" ca="1" si="1362"/>
        <v>'0'!A44</v>
      </c>
      <c r="K4721" s="15" t="str">
        <f t="shared" ca="1" si="1363"/>
        <v>'0'!B44</v>
      </c>
    </row>
    <row r="4722" spans="1:16" x14ac:dyDescent="0.25">
      <c r="A4722" s="3" t="str">
        <f t="shared" ca="1" si="1366"/>
        <v/>
      </c>
      <c r="G4722" s="15">
        <f t="shared" ca="1" si="1354"/>
        <v>45</v>
      </c>
      <c r="H4722" s="15">
        <v>1</v>
      </c>
      <c r="I4722" s="15">
        <f t="shared" ca="1" si="1355"/>
        <v>0</v>
      </c>
      <c r="J4722" s="15" t="str">
        <f t="shared" ca="1" si="1362"/>
        <v>'0'!A45</v>
      </c>
      <c r="K4722" s="15" t="str">
        <f t="shared" ca="1" si="1363"/>
        <v>'0'!B45</v>
      </c>
    </row>
    <row r="4723" spans="1:16" x14ac:dyDescent="0.25">
      <c r="A4723" s="3" t="str">
        <f t="shared" ca="1" si="1366"/>
        <v/>
      </c>
      <c r="G4723" s="15">
        <f t="shared" ca="1" si="1354"/>
        <v>46</v>
      </c>
      <c r="H4723" s="15">
        <v>1</v>
      </c>
      <c r="I4723" s="15">
        <f t="shared" ca="1" si="1355"/>
        <v>0</v>
      </c>
      <c r="J4723" s="15" t="str">
        <f t="shared" ca="1" si="1362"/>
        <v>'0'!A46</v>
      </c>
      <c r="K4723" s="15" t="str">
        <f t="shared" ca="1" si="1363"/>
        <v>'0'!B46</v>
      </c>
    </row>
    <row r="4724" spans="1:16" x14ac:dyDescent="0.25">
      <c r="A4724" s="3" t="str">
        <f t="shared" ca="1" si="1366"/>
        <v/>
      </c>
      <c r="G4724" s="15">
        <f t="shared" ca="1" si="1354"/>
        <v>47</v>
      </c>
      <c r="H4724" s="15">
        <v>1</v>
      </c>
      <c r="I4724" s="15">
        <f t="shared" ca="1" si="1355"/>
        <v>0</v>
      </c>
      <c r="J4724" s="15" t="str">
        <f t="shared" ca="1" si="1362"/>
        <v>'0'!A47</v>
      </c>
      <c r="K4724" s="15" t="str">
        <f t="shared" ca="1" si="1363"/>
        <v>'0'!B47</v>
      </c>
    </row>
    <row r="4725" spans="1:16" x14ac:dyDescent="0.25">
      <c r="A4725" s="3" t="str">
        <f t="shared" ca="1" si="1366"/>
        <v/>
      </c>
      <c r="G4725" s="15">
        <f t="shared" ca="1" si="1354"/>
        <v>48</v>
      </c>
      <c r="H4725" s="15">
        <v>1</v>
      </c>
      <c r="I4725" s="15">
        <f t="shared" ca="1" si="1355"/>
        <v>0</v>
      </c>
      <c r="J4725" s="15" t="str">
        <f t="shared" ca="1" si="1362"/>
        <v>'0'!A48</v>
      </c>
      <c r="K4725" s="15" t="str">
        <f t="shared" ca="1" si="1363"/>
        <v>'0'!B48</v>
      </c>
    </row>
    <row r="4726" spans="1:16" x14ac:dyDescent="0.25">
      <c r="A4726" s="3" t="str">
        <f t="shared" ca="1" si="1366"/>
        <v/>
      </c>
      <c r="G4726" s="15">
        <f t="shared" ca="1" si="1354"/>
        <v>49</v>
      </c>
      <c r="H4726" s="15">
        <v>1</v>
      </c>
      <c r="I4726" s="15">
        <f t="shared" ca="1" si="1355"/>
        <v>0</v>
      </c>
      <c r="J4726" s="15" t="str">
        <f t="shared" ca="1" si="1362"/>
        <v>'0'!A49</v>
      </c>
      <c r="K4726" s="15" t="str">
        <f t="shared" ca="1" si="1363"/>
        <v>'0'!B49</v>
      </c>
    </row>
    <row r="4727" spans="1:16" x14ac:dyDescent="0.25">
      <c r="A4727" s="3" t="str">
        <f t="shared" ca="1" si="1366"/>
        <v/>
      </c>
      <c r="G4727" s="15">
        <f t="shared" ca="1" si="1354"/>
        <v>50</v>
      </c>
      <c r="H4727" s="15">
        <v>1</v>
      </c>
      <c r="I4727" s="15">
        <f t="shared" ca="1" si="1355"/>
        <v>0</v>
      </c>
      <c r="J4727" s="15" t="str">
        <f t="shared" ca="1" si="1362"/>
        <v>'0'!A50</v>
      </c>
      <c r="K4727" s="15" t="str">
        <f t="shared" ca="1" si="1363"/>
        <v>'0'!B50</v>
      </c>
    </row>
    <row r="4728" spans="1:16" x14ac:dyDescent="0.25">
      <c r="A4728" s="3" t="str">
        <f t="shared" ca="1" si="1366"/>
        <v/>
      </c>
      <c r="G4728" s="15">
        <f t="shared" ref="G4728" ca="1" si="1367">INDIRECT(M4728)</f>
        <v>31</v>
      </c>
      <c r="H4728" s="15">
        <v>1</v>
      </c>
      <c r="I4728" s="15">
        <f t="shared" ref="I4728" ca="1" si="1368">INDIRECT(N4728)</f>
        <v>0</v>
      </c>
      <c r="J4728" s="15" t="str">
        <f t="shared" ca="1" si="1362"/>
        <v>'0'!A31</v>
      </c>
      <c r="K4728" s="15" t="str">
        <f t="shared" ca="1" si="1363"/>
        <v>'0'!B31</v>
      </c>
      <c r="M4728" s="15" t="str">
        <f t="shared" ref="M4728" si="1369">ADDRESS(O4728,3,4,1,$R$1)</f>
        <v>konfig!C238</v>
      </c>
      <c r="N4728" s="15" t="str">
        <f t="shared" ref="N4728" si="1370">ADDRESS(O4728,1,4,1,$R$1)</f>
        <v>konfig!A238</v>
      </c>
      <c r="O4728" s="15">
        <v>238</v>
      </c>
      <c r="P4728" s="15">
        <v>4</v>
      </c>
    </row>
    <row r="4729" spans="1:16" x14ac:dyDescent="0.25">
      <c r="A4729" s="3" t="str">
        <f t="shared" ca="1" si="1366"/>
        <v/>
      </c>
      <c r="G4729" s="15">
        <f t="shared" ref="G4729:G4772" ca="1" si="1371">G4728+1</f>
        <v>32</v>
      </c>
      <c r="H4729" s="15">
        <v>1</v>
      </c>
      <c r="I4729" s="15">
        <f t="shared" ref="I4729:I4772" ca="1" si="1372">I4728</f>
        <v>0</v>
      </c>
      <c r="J4729" s="15" t="str">
        <f t="shared" ca="1" si="1362"/>
        <v>'0'!A32</v>
      </c>
      <c r="K4729" s="15" t="str">
        <f t="shared" ca="1" si="1363"/>
        <v>'0'!B32</v>
      </c>
    </row>
    <row r="4730" spans="1:16" x14ac:dyDescent="0.25">
      <c r="A4730" s="3" t="str">
        <f t="shared" ca="1" si="1366"/>
        <v/>
      </c>
      <c r="G4730" s="15">
        <f t="shared" ca="1" si="1371"/>
        <v>33</v>
      </c>
      <c r="H4730" s="15">
        <v>1</v>
      </c>
      <c r="I4730" s="15">
        <f t="shared" ca="1" si="1372"/>
        <v>0</v>
      </c>
      <c r="J4730" s="15" t="str">
        <f t="shared" ca="1" si="1362"/>
        <v>'0'!A33</v>
      </c>
      <c r="K4730" s="15" t="str">
        <f t="shared" ca="1" si="1363"/>
        <v>'0'!B33</v>
      </c>
    </row>
    <row r="4731" spans="1:16" x14ac:dyDescent="0.25">
      <c r="A4731" s="3" t="str">
        <f t="shared" ca="1" si="1366"/>
        <v/>
      </c>
      <c r="C4731" s="16"/>
      <c r="G4731" s="15">
        <f t="shared" ca="1" si="1371"/>
        <v>34</v>
      </c>
      <c r="H4731" s="15">
        <v>1</v>
      </c>
      <c r="I4731" s="15">
        <f t="shared" ca="1" si="1372"/>
        <v>0</v>
      </c>
      <c r="J4731" s="15" t="str">
        <f t="shared" ca="1" si="1362"/>
        <v>'0'!A34</v>
      </c>
      <c r="K4731" s="15" t="str">
        <f t="shared" ca="1" si="1363"/>
        <v>'0'!B34</v>
      </c>
    </row>
    <row r="4732" spans="1:16" x14ac:dyDescent="0.25">
      <c r="A4732" s="3" t="str">
        <f t="shared" ca="1" si="1366"/>
        <v/>
      </c>
      <c r="G4732" s="15">
        <f t="shared" ca="1" si="1371"/>
        <v>35</v>
      </c>
      <c r="H4732" s="15">
        <v>1</v>
      </c>
      <c r="I4732" s="15">
        <f t="shared" ca="1" si="1372"/>
        <v>0</v>
      </c>
      <c r="J4732" s="15" t="str">
        <f t="shared" ca="1" si="1362"/>
        <v>'0'!A35</v>
      </c>
      <c r="K4732" s="15" t="str">
        <f t="shared" ca="1" si="1363"/>
        <v>'0'!B35</v>
      </c>
    </row>
    <row r="4733" spans="1:16" x14ac:dyDescent="0.25">
      <c r="A4733" s="3" t="str">
        <f t="shared" ca="1" si="1366"/>
        <v/>
      </c>
      <c r="G4733" s="15">
        <f t="shared" ca="1" si="1354"/>
        <v>36</v>
      </c>
      <c r="H4733" s="15">
        <v>1</v>
      </c>
      <c r="I4733" s="15">
        <f t="shared" ca="1" si="1355"/>
        <v>0</v>
      </c>
      <c r="J4733" s="15" t="str">
        <f t="shared" ca="1" si="1362"/>
        <v>'0'!A36</v>
      </c>
      <c r="K4733" s="15" t="str">
        <f t="shared" ca="1" si="1363"/>
        <v>'0'!B36</v>
      </c>
    </row>
    <row r="4734" spans="1:16" x14ac:dyDescent="0.25">
      <c r="A4734" s="3" t="str">
        <f t="shared" ca="1" si="1366"/>
        <v/>
      </c>
      <c r="G4734" s="15">
        <f t="shared" ca="1" si="1354"/>
        <v>37</v>
      </c>
      <c r="H4734" s="15">
        <v>1</v>
      </c>
      <c r="I4734" s="15">
        <f t="shared" ca="1" si="1355"/>
        <v>0</v>
      </c>
      <c r="J4734" s="15" t="str">
        <f t="shared" ca="1" si="1362"/>
        <v>'0'!A37</v>
      </c>
      <c r="K4734" s="15" t="str">
        <f t="shared" ca="1" si="1363"/>
        <v>'0'!B37</v>
      </c>
    </row>
    <row r="4735" spans="1:16" x14ac:dyDescent="0.25">
      <c r="A4735" s="3" t="str">
        <f t="shared" ca="1" si="1366"/>
        <v/>
      </c>
      <c r="G4735" s="15">
        <f t="shared" ca="1" si="1354"/>
        <v>38</v>
      </c>
      <c r="H4735" s="15">
        <v>1</v>
      </c>
      <c r="I4735" s="15">
        <f t="shared" ca="1" si="1355"/>
        <v>0</v>
      </c>
      <c r="J4735" s="15" t="str">
        <f t="shared" ca="1" si="1362"/>
        <v>'0'!A38</v>
      </c>
      <c r="K4735" s="15" t="str">
        <f t="shared" ca="1" si="1363"/>
        <v>'0'!B38</v>
      </c>
    </row>
    <row r="4736" spans="1:16" x14ac:dyDescent="0.25">
      <c r="A4736" s="3" t="str">
        <f t="shared" ca="1" si="1366"/>
        <v/>
      </c>
      <c r="G4736" s="15">
        <f t="shared" ca="1" si="1354"/>
        <v>39</v>
      </c>
      <c r="H4736" s="15">
        <v>1</v>
      </c>
      <c r="I4736" s="15">
        <f t="shared" ca="1" si="1355"/>
        <v>0</v>
      </c>
      <c r="J4736" s="15" t="str">
        <f t="shared" ca="1" si="1362"/>
        <v>'0'!A39</v>
      </c>
      <c r="K4736" s="15" t="str">
        <f t="shared" ca="1" si="1363"/>
        <v>'0'!B39</v>
      </c>
    </row>
    <row r="4737" spans="1:16" x14ac:dyDescent="0.25">
      <c r="A4737" s="3" t="str">
        <f t="shared" ca="1" si="1366"/>
        <v/>
      </c>
      <c r="G4737" s="15">
        <f t="shared" ca="1" si="1354"/>
        <v>40</v>
      </c>
      <c r="H4737" s="15">
        <v>1</v>
      </c>
      <c r="I4737" s="15">
        <f t="shared" ca="1" si="1355"/>
        <v>0</v>
      </c>
      <c r="J4737" s="15" t="str">
        <f t="shared" ca="1" si="1362"/>
        <v>'0'!A40</v>
      </c>
      <c r="K4737" s="15" t="str">
        <f t="shared" ca="1" si="1363"/>
        <v>'0'!B40</v>
      </c>
    </row>
    <row r="4738" spans="1:16" x14ac:dyDescent="0.25">
      <c r="A4738" s="3" t="str">
        <f t="shared" ca="1" si="1366"/>
        <v/>
      </c>
      <c r="G4738" s="15">
        <f t="shared" ca="1" si="1354"/>
        <v>41</v>
      </c>
      <c r="H4738" s="15">
        <v>1</v>
      </c>
      <c r="I4738" s="15">
        <f t="shared" ca="1" si="1355"/>
        <v>0</v>
      </c>
      <c r="J4738" s="15" t="str">
        <f t="shared" ca="1" si="1362"/>
        <v>'0'!A41</v>
      </c>
      <c r="K4738" s="15" t="str">
        <f t="shared" ca="1" si="1363"/>
        <v>'0'!B41</v>
      </c>
    </row>
    <row r="4739" spans="1:16" x14ac:dyDescent="0.25">
      <c r="A4739" s="3" t="str">
        <f t="shared" ca="1" si="1366"/>
        <v/>
      </c>
      <c r="C4739" s="16"/>
      <c r="G4739" s="15">
        <f t="shared" ca="1" si="1354"/>
        <v>42</v>
      </c>
      <c r="H4739" s="15">
        <v>1</v>
      </c>
      <c r="I4739" s="15">
        <f t="shared" ca="1" si="1355"/>
        <v>0</v>
      </c>
      <c r="J4739" s="15" t="str">
        <f t="shared" ca="1" si="1362"/>
        <v>'0'!A42</v>
      </c>
      <c r="K4739" s="15" t="str">
        <f t="shared" ca="1" si="1363"/>
        <v>'0'!B42</v>
      </c>
    </row>
    <row r="4740" spans="1:16" x14ac:dyDescent="0.25">
      <c r="A4740" s="3" t="str">
        <f t="shared" ca="1" si="1366"/>
        <v/>
      </c>
      <c r="G4740" s="15">
        <f t="shared" ca="1" si="1354"/>
        <v>43</v>
      </c>
      <c r="H4740" s="15">
        <v>1</v>
      </c>
      <c r="I4740" s="15">
        <f t="shared" ca="1" si="1355"/>
        <v>0</v>
      </c>
      <c r="J4740" s="15" t="str">
        <f t="shared" ca="1" si="1362"/>
        <v>'0'!A43</v>
      </c>
      <c r="K4740" s="15" t="str">
        <f t="shared" ca="1" si="1363"/>
        <v>'0'!B43</v>
      </c>
    </row>
    <row r="4741" spans="1:16" x14ac:dyDescent="0.25">
      <c r="A4741" s="3" t="str">
        <f t="shared" ca="1" si="1366"/>
        <v/>
      </c>
      <c r="G4741" s="15">
        <f t="shared" ca="1" si="1354"/>
        <v>44</v>
      </c>
      <c r="H4741" s="15">
        <v>1</v>
      </c>
      <c r="I4741" s="15">
        <f t="shared" ca="1" si="1355"/>
        <v>0</v>
      </c>
      <c r="J4741" s="15" t="str">
        <f t="shared" ca="1" si="1362"/>
        <v>'0'!A44</v>
      </c>
      <c r="K4741" s="15" t="str">
        <f t="shared" ca="1" si="1363"/>
        <v>'0'!B44</v>
      </c>
    </row>
    <row r="4742" spans="1:16" x14ac:dyDescent="0.25">
      <c r="A4742" s="3" t="str">
        <f t="shared" ca="1" si="1366"/>
        <v/>
      </c>
      <c r="G4742" s="15">
        <f t="shared" ca="1" si="1354"/>
        <v>45</v>
      </c>
      <c r="H4742" s="15">
        <v>1</v>
      </c>
      <c r="I4742" s="15">
        <f t="shared" ca="1" si="1355"/>
        <v>0</v>
      </c>
      <c r="J4742" s="15" t="str">
        <f t="shared" ca="1" si="1362"/>
        <v>'0'!A45</v>
      </c>
      <c r="K4742" s="15" t="str">
        <f t="shared" ca="1" si="1363"/>
        <v>'0'!B45</v>
      </c>
    </row>
    <row r="4743" spans="1:16" x14ac:dyDescent="0.25">
      <c r="A4743" s="3" t="str">
        <f t="shared" ca="1" si="1366"/>
        <v/>
      </c>
      <c r="G4743" s="15">
        <f t="shared" ca="1" si="1354"/>
        <v>46</v>
      </c>
      <c r="H4743" s="15">
        <v>1</v>
      </c>
      <c r="I4743" s="15">
        <f t="shared" ca="1" si="1355"/>
        <v>0</v>
      </c>
      <c r="J4743" s="15" t="str">
        <f t="shared" ca="1" si="1362"/>
        <v>'0'!A46</v>
      </c>
      <c r="K4743" s="15" t="str">
        <f t="shared" ca="1" si="1363"/>
        <v>'0'!B46</v>
      </c>
    </row>
    <row r="4744" spans="1:16" x14ac:dyDescent="0.25">
      <c r="A4744" s="3" t="str">
        <f t="shared" ca="1" si="1366"/>
        <v/>
      </c>
      <c r="G4744" s="15">
        <f t="shared" ca="1" si="1354"/>
        <v>47</v>
      </c>
      <c r="H4744" s="15">
        <v>1</v>
      </c>
      <c r="I4744" s="15">
        <f t="shared" ca="1" si="1355"/>
        <v>0</v>
      </c>
      <c r="J4744" s="15" t="str">
        <f t="shared" ca="1" si="1362"/>
        <v>'0'!A47</v>
      </c>
      <c r="K4744" s="15" t="str">
        <f t="shared" ca="1" si="1363"/>
        <v>'0'!B47</v>
      </c>
    </row>
    <row r="4745" spans="1:16" x14ac:dyDescent="0.25">
      <c r="A4745" s="3" t="str">
        <f t="shared" ca="1" si="1366"/>
        <v/>
      </c>
      <c r="G4745" s="15">
        <f t="shared" ref="G4745:G4807" ca="1" si="1373">G4744+1</f>
        <v>48</v>
      </c>
      <c r="H4745" s="15">
        <v>1</v>
      </c>
      <c r="I4745" s="15">
        <f t="shared" ref="I4745:I4807" ca="1" si="1374">I4744</f>
        <v>0</v>
      </c>
      <c r="J4745" s="15" t="str">
        <f t="shared" ca="1" si="1362"/>
        <v>'0'!A48</v>
      </c>
      <c r="K4745" s="15" t="str">
        <f t="shared" ca="1" si="1363"/>
        <v>'0'!B48</v>
      </c>
    </row>
    <row r="4746" spans="1:16" x14ac:dyDescent="0.25">
      <c r="A4746" s="3" t="str">
        <f t="shared" ca="1" si="1366"/>
        <v/>
      </c>
      <c r="G4746" s="15">
        <f t="shared" ca="1" si="1373"/>
        <v>49</v>
      </c>
      <c r="H4746" s="15">
        <v>1</v>
      </c>
      <c r="I4746" s="15">
        <f t="shared" ca="1" si="1374"/>
        <v>0</v>
      </c>
      <c r="J4746" s="15" t="str">
        <f t="shared" ca="1" si="1362"/>
        <v>'0'!A49</v>
      </c>
      <c r="K4746" s="15" t="str">
        <f t="shared" ca="1" si="1363"/>
        <v>'0'!B49</v>
      </c>
    </row>
    <row r="4747" spans="1:16" x14ac:dyDescent="0.25">
      <c r="A4747" s="3" t="str">
        <f t="shared" ca="1" si="1366"/>
        <v/>
      </c>
      <c r="G4747" s="15">
        <f t="shared" ca="1" si="1373"/>
        <v>50</v>
      </c>
      <c r="H4747" s="15">
        <v>1</v>
      </c>
      <c r="I4747" s="15">
        <f t="shared" ca="1" si="1374"/>
        <v>0</v>
      </c>
      <c r="J4747" s="15" t="str">
        <f t="shared" ca="1" si="1362"/>
        <v>'0'!A50</v>
      </c>
      <c r="K4747" s="15" t="str">
        <f t="shared" ca="1" si="1363"/>
        <v>'0'!B50</v>
      </c>
    </row>
    <row r="4748" spans="1:16" x14ac:dyDescent="0.25">
      <c r="A4748" s="3" t="str">
        <f t="shared" ca="1" si="1366"/>
        <v/>
      </c>
      <c r="G4748" s="15">
        <f t="shared" ref="G4748" ca="1" si="1375">INDIRECT(M4748)</f>
        <v>31</v>
      </c>
      <c r="H4748" s="15">
        <v>1</v>
      </c>
      <c r="I4748" s="15">
        <f t="shared" ref="I4748" ca="1" si="1376">INDIRECT(N4748)</f>
        <v>0</v>
      </c>
      <c r="J4748" s="15" t="str">
        <f t="shared" ca="1" si="1362"/>
        <v>'0'!A31</v>
      </c>
      <c r="K4748" s="15" t="str">
        <f t="shared" ca="1" si="1363"/>
        <v>'0'!B31</v>
      </c>
      <c r="M4748" s="15" t="str">
        <f t="shared" ref="M4748" si="1377">ADDRESS(O4748,3,4,1,$R$1)</f>
        <v>konfig!C239</v>
      </c>
      <c r="N4748" s="15" t="str">
        <f t="shared" ref="N4748" si="1378">ADDRESS(O4748,1,4,1,$R$1)</f>
        <v>konfig!A239</v>
      </c>
      <c r="O4748" s="15">
        <v>239</v>
      </c>
      <c r="P4748" s="15">
        <v>4</v>
      </c>
    </row>
    <row r="4749" spans="1:16" x14ac:dyDescent="0.25">
      <c r="A4749" s="3" t="str">
        <f t="shared" ca="1" si="1366"/>
        <v/>
      </c>
      <c r="G4749" s="15">
        <f t="shared" ref="G4749:G4789" ca="1" si="1379">G4748+1</f>
        <v>32</v>
      </c>
      <c r="H4749" s="15">
        <v>1</v>
      </c>
      <c r="I4749" s="15">
        <f t="shared" ref="I4749:I4789" ca="1" si="1380">I4748</f>
        <v>0</v>
      </c>
      <c r="J4749" s="15" t="str">
        <f t="shared" ca="1" si="1362"/>
        <v>'0'!A32</v>
      </c>
      <c r="K4749" s="15" t="str">
        <f t="shared" ca="1" si="1363"/>
        <v>'0'!B32</v>
      </c>
    </row>
    <row r="4750" spans="1:16" x14ac:dyDescent="0.25">
      <c r="A4750" s="3" t="str">
        <f t="shared" ca="1" si="1366"/>
        <v/>
      </c>
      <c r="G4750" s="15">
        <f t="shared" ca="1" si="1373"/>
        <v>33</v>
      </c>
      <c r="H4750" s="15">
        <v>1</v>
      </c>
      <c r="I4750" s="15">
        <f t="shared" ca="1" si="1374"/>
        <v>0</v>
      </c>
      <c r="J4750" s="15" t="str">
        <f t="shared" ca="1" si="1362"/>
        <v>'0'!A33</v>
      </c>
      <c r="K4750" s="15" t="str">
        <f t="shared" ca="1" si="1363"/>
        <v>'0'!B33</v>
      </c>
    </row>
    <row r="4751" spans="1:16" x14ac:dyDescent="0.25">
      <c r="A4751" s="3" t="str">
        <f t="shared" ca="1" si="1366"/>
        <v/>
      </c>
      <c r="C4751" s="16"/>
      <c r="G4751" s="15">
        <f t="shared" ca="1" si="1373"/>
        <v>34</v>
      </c>
      <c r="H4751" s="15">
        <v>1</v>
      </c>
      <c r="I4751" s="15">
        <f t="shared" ca="1" si="1374"/>
        <v>0</v>
      </c>
      <c r="J4751" s="15" t="str">
        <f t="shared" ca="1" si="1362"/>
        <v>'0'!A34</v>
      </c>
      <c r="K4751" s="15" t="str">
        <f t="shared" ca="1" si="1363"/>
        <v>'0'!B34</v>
      </c>
    </row>
    <row r="4752" spans="1:16" x14ac:dyDescent="0.25">
      <c r="A4752" s="3" t="str">
        <f t="shared" ca="1" si="1366"/>
        <v/>
      </c>
      <c r="G4752" s="15">
        <f t="shared" ca="1" si="1373"/>
        <v>35</v>
      </c>
      <c r="H4752" s="15">
        <v>1</v>
      </c>
      <c r="I4752" s="15">
        <f t="shared" ca="1" si="1374"/>
        <v>0</v>
      </c>
      <c r="J4752" s="15" t="str">
        <f t="shared" ca="1" si="1362"/>
        <v>'0'!A35</v>
      </c>
      <c r="K4752" s="15" t="str">
        <f t="shared" ca="1" si="1363"/>
        <v>'0'!B35</v>
      </c>
    </row>
    <row r="4753" spans="1:16" x14ac:dyDescent="0.25">
      <c r="A4753" s="3" t="str">
        <f t="shared" ca="1" si="1366"/>
        <v/>
      </c>
      <c r="G4753" s="15">
        <f t="shared" ca="1" si="1373"/>
        <v>36</v>
      </c>
      <c r="H4753" s="15">
        <v>1</v>
      </c>
      <c r="I4753" s="15">
        <f t="shared" ca="1" si="1374"/>
        <v>0</v>
      </c>
      <c r="J4753" s="15" t="str">
        <f t="shared" ca="1" si="1362"/>
        <v>'0'!A36</v>
      </c>
      <c r="K4753" s="15" t="str">
        <f t="shared" ca="1" si="1363"/>
        <v>'0'!B36</v>
      </c>
    </row>
    <row r="4754" spans="1:16" x14ac:dyDescent="0.25">
      <c r="A4754" s="3" t="str">
        <f t="shared" ca="1" si="1366"/>
        <v/>
      </c>
      <c r="G4754" s="15">
        <f t="shared" ca="1" si="1373"/>
        <v>37</v>
      </c>
      <c r="H4754" s="15">
        <v>1</v>
      </c>
      <c r="I4754" s="15">
        <f t="shared" ca="1" si="1374"/>
        <v>0</v>
      </c>
      <c r="J4754" s="15" t="str">
        <f t="shared" ca="1" si="1362"/>
        <v>'0'!A37</v>
      </c>
      <c r="K4754" s="15" t="str">
        <f t="shared" ca="1" si="1363"/>
        <v>'0'!B37</v>
      </c>
    </row>
    <row r="4755" spans="1:16" x14ac:dyDescent="0.25">
      <c r="A4755" s="3" t="str">
        <f t="shared" ca="1" si="1366"/>
        <v/>
      </c>
      <c r="G4755" s="15">
        <f t="shared" ca="1" si="1373"/>
        <v>38</v>
      </c>
      <c r="H4755" s="15">
        <v>1</v>
      </c>
      <c r="I4755" s="15">
        <f t="shared" ca="1" si="1374"/>
        <v>0</v>
      </c>
      <c r="J4755" s="15" t="str">
        <f t="shared" ca="1" si="1362"/>
        <v>'0'!A38</v>
      </c>
      <c r="K4755" s="15" t="str">
        <f t="shared" ca="1" si="1363"/>
        <v>'0'!B38</v>
      </c>
    </row>
    <row r="4756" spans="1:16" x14ac:dyDescent="0.25">
      <c r="A4756" s="3" t="str">
        <f t="shared" ca="1" si="1366"/>
        <v/>
      </c>
      <c r="G4756" s="15">
        <f t="shared" ca="1" si="1373"/>
        <v>39</v>
      </c>
      <c r="H4756" s="15">
        <v>1</v>
      </c>
      <c r="I4756" s="15">
        <f t="shared" ca="1" si="1374"/>
        <v>0</v>
      </c>
      <c r="J4756" s="15" t="str">
        <f t="shared" ca="1" si="1362"/>
        <v>'0'!A39</v>
      </c>
      <c r="K4756" s="15" t="str">
        <f t="shared" ca="1" si="1363"/>
        <v>'0'!B39</v>
      </c>
    </row>
    <row r="4757" spans="1:16" x14ac:dyDescent="0.25">
      <c r="A4757" s="3" t="str">
        <f t="shared" ca="1" si="1366"/>
        <v/>
      </c>
      <c r="G4757" s="15">
        <f t="shared" ca="1" si="1373"/>
        <v>40</v>
      </c>
      <c r="H4757" s="15">
        <v>1</v>
      </c>
      <c r="I4757" s="15">
        <f t="shared" ca="1" si="1374"/>
        <v>0</v>
      </c>
      <c r="J4757" s="15" t="str">
        <f t="shared" ca="1" si="1362"/>
        <v>'0'!A40</v>
      </c>
      <c r="K4757" s="15" t="str">
        <f t="shared" ca="1" si="1363"/>
        <v>'0'!B40</v>
      </c>
    </row>
    <row r="4758" spans="1:16" x14ac:dyDescent="0.25">
      <c r="A4758" s="3" t="str">
        <f t="shared" ca="1" si="1366"/>
        <v/>
      </c>
      <c r="G4758" s="15">
        <f t="shared" ca="1" si="1373"/>
        <v>41</v>
      </c>
      <c r="H4758" s="15">
        <v>1</v>
      </c>
      <c r="I4758" s="15">
        <f t="shared" ca="1" si="1374"/>
        <v>0</v>
      </c>
      <c r="J4758" s="15" t="str">
        <f t="shared" ca="1" si="1362"/>
        <v>'0'!A41</v>
      </c>
      <c r="K4758" s="15" t="str">
        <f t="shared" ca="1" si="1363"/>
        <v>'0'!B41</v>
      </c>
    </row>
    <row r="4759" spans="1:16" x14ac:dyDescent="0.25">
      <c r="A4759" s="3" t="str">
        <f t="shared" ca="1" si="1366"/>
        <v/>
      </c>
      <c r="C4759" s="16"/>
      <c r="G4759" s="15">
        <f t="shared" ca="1" si="1373"/>
        <v>42</v>
      </c>
      <c r="H4759" s="15">
        <v>1</v>
      </c>
      <c r="I4759" s="15">
        <f t="shared" ca="1" si="1374"/>
        <v>0</v>
      </c>
      <c r="J4759" s="15" t="str">
        <f t="shared" ca="1" si="1362"/>
        <v>'0'!A42</v>
      </c>
      <c r="K4759" s="15" t="str">
        <f t="shared" ca="1" si="1363"/>
        <v>'0'!B42</v>
      </c>
    </row>
    <row r="4760" spans="1:16" x14ac:dyDescent="0.25">
      <c r="A4760" s="3" t="str">
        <f t="shared" ca="1" si="1366"/>
        <v/>
      </c>
      <c r="G4760" s="15">
        <f t="shared" ca="1" si="1373"/>
        <v>43</v>
      </c>
      <c r="H4760" s="15">
        <v>1</v>
      </c>
      <c r="I4760" s="15">
        <f t="shared" ca="1" si="1374"/>
        <v>0</v>
      </c>
      <c r="J4760" s="15" t="str">
        <f t="shared" ca="1" si="1362"/>
        <v>'0'!A43</v>
      </c>
      <c r="K4760" s="15" t="str">
        <f t="shared" ca="1" si="1363"/>
        <v>'0'!B43</v>
      </c>
    </row>
    <row r="4761" spans="1:16" x14ac:dyDescent="0.25">
      <c r="A4761" s="3" t="str">
        <f t="shared" ca="1" si="1366"/>
        <v/>
      </c>
      <c r="G4761" s="15">
        <f t="shared" ca="1" si="1373"/>
        <v>44</v>
      </c>
      <c r="H4761" s="15">
        <v>1</v>
      </c>
      <c r="I4761" s="15">
        <f t="shared" ca="1" si="1374"/>
        <v>0</v>
      </c>
      <c r="J4761" s="15" t="str">
        <f t="shared" ca="1" si="1362"/>
        <v>'0'!A44</v>
      </c>
      <c r="K4761" s="15" t="str">
        <f t="shared" ca="1" si="1363"/>
        <v>'0'!B44</v>
      </c>
    </row>
    <row r="4762" spans="1:16" x14ac:dyDescent="0.25">
      <c r="A4762" s="3" t="str">
        <f t="shared" ca="1" si="1366"/>
        <v/>
      </c>
      <c r="G4762" s="15">
        <f t="shared" ca="1" si="1373"/>
        <v>45</v>
      </c>
      <c r="H4762" s="15">
        <v>1</v>
      </c>
      <c r="I4762" s="15">
        <f t="shared" ca="1" si="1374"/>
        <v>0</v>
      </c>
      <c r="J4762" s="15" t="str">
        <f t="shared" ca="1" si="1362"/>
        <v>'0'!A45</v>
      </c>
      <c r="K4762" s="15" t="str">
        <f t="shared" ca="1" si="1363"/>
        <v>'0'!B45</v>
      </c>
    </row>
    <row r="4763" spans="1:16" x14ac:dyDescent="0.25">
      <c r="A4763" s="3" t="str">
        <f t="shared" ca="1" si="1366"/>
        <v/>
      </c>
      <c r="G4763" s="15">
        <f t="shared" ca="1" si="1373"/>
        <v>46</v>
      </c>
      <c r="H4763" s="15">
        <v>1</v>
      </c>
      <c r="I4763" s="15">
        <f t="shared" ca="1" si="1374"/>
        <v>0</v>
      </c>
      <c r="J4763" s="15" t="str">
        <f t="shared" ca="1" si="1362"/>
        <v>'0'!A46</v>
      </c>
      <c r="K4763" s="15" t="str">
        <f t="shared" ca="1" si="1363"/>
        <v>'0'!B46</v>
      </c>
    </row>
    <row r="4764" spans="1:16" x14ac:dyDescent="0.25">
      <c r="A4764" s="3" t="str">
        <f t="shared" ca="1" si="1366"/>
        <v/>
      </c>
      <c r="G4764" s="15">
        <f t="shared" ca="1" si="1373"/>
        <v>47</v>
      </c>
      <c r="H4764" s="15">
        <v>1</v>
      </c>
      <c r="I4764" s="15">
        <f t="shared" ca="1" si="1374"/>
        <v>0</v>
      </c>
      <c r="J4764" s="15" t="str">
        <f t="shared" ca="1" si="1362"/>
        <v>'0'!A47</v>
      </c>
      <c r="K4764" s="15" t="str">
        <f t="shared" ca="1" si="1363"/>
        <v>'0'!B47</v>
      </c>
    </row>
    <row r="4765" spans="1:16" x14ac:dyDescent="0.25">
      <c r="A4765" s="3" t="str">
        <f t="shared" ca="1" si="1366"/>
        <v/>
      </c>
      <c r="G4765" s="15">
        <f t="shared" ca="1" si="1373"/>
        <v>48</v>
      </c>
      <c r="H4765" s="15">
        <v>1</v>
      </c>
      <c r="I4765" s="15">
        <f t="shared" ca="1" si="1374"/>
        <v>0</v>
      </c>
      <c r="J4765" s="15" t="str">
        <f t="shared" ca="1" si="1362"/>
        <v>'0'!A48</v>
      </c>
      <c r="K4765" s="15" t="str">
        <f t="shared" ca="1" si="1363"/>
        <v>'0'!B48</v>
      </c>
    </row>
    <row r="4766" spans="1:16" x14ac:dyDescent="0.25">
      <c r="A4766" s="3" t="str">
        <f t="shared" ca="1" si="1366"/>
        <v/>
      </c>
      <c r="G4766" s="15">
        <f t="shared" ca="1" si="1373"/>
        <v>49</v>
      </c>
      <c r="H4766" s="15">
        <v>1</v>
      </c>
      <c r="I4766" s="15">
        <f t="shared" ca="1" si="1374"/>
        <v>0</v>
      </c>
      <c r="J4766" s="15" t="str">
        <f t="shared" ca="1" si="1362"/>
        <v>'0'!A49</v>
      </c>
      <c r="K4766" s="15" t="str">
        <f t="shared" ca="1" si="1363"/>
        <v>'0'!B49</v>
      </c>
    </row>
    <row r="4767" spans="1:16" x14ac:dyDescent="0.25">
      <c r="A4767" s="3" t="str">
        <f t="shared" ca="1" si="1366"/>
        <v/>
      </c>
      <c r="G4767" s="15">
        <f t="shared" ca="1" si="1373"/>
        <v>50</v>
      </c>
      <c r="H4767" s="15">
        <v>1</v>
      </c>
      <c r="I4767" s="15">
        <f t="shared" ca="1" si="1374"/>
        <v>0</v>
      </c>
      <c r="J4767" s="15" t="str">
        <f t="shared" ca="1" si="1362"/>
        <v>'0'!A50</v>
      </c>
      <c r="K4767" s="15" t="str">
        <f t="shared" ca="1" si="1363"/>
        <v>'0'!B50</v>
      </c>
    </row>
    <row r="4768" spans="1:16" x14ac:dyDescent="0.25">
      <c r="A4768" s="3" t="str">
        <f t="shared" ca="1" si="1366"/>
        <v/>
      </c>
      <c r="G4768" s="15">
        <f t="shared" ref="G4768" ca="1" si="1381">INDIRECT(M4768)</f>
        <v>31</v>
      </c>
      <c r="H4768" s="15">
        <v>1</v>
      </c>
      <c r="I4768" s="15">
        <f t="shared" ref="I4768" ca="1" si="1382">INDIRECT(N4768)</f>
        <v>0</v>
      </c>
      <c r="J4768" s="15" t="str">
        <f t="shared" ca="1" si="1362"/>
        <v>'0'!A31</v>
      </c>
      <c r="K4768" s="15" t="str">
        <f t="shared" ca="1" si="1363"/>
        <v>'0'!B31</v>
      </c>
      <c r="M4768" s="15" t="str">
        <f t="shared" ref="M4768" si="1383">ADDRESS(O4768,3,4,1,$R$1)</f>
        <v>konfig!C240</v>
      </c>
      <c r="N4768" s="15" t="str">
        <f t="shared" ref="N4768" si="1384">ADDRESS(O4768,1,4,1,$R$1)</f>
        <v>konfig!A240</v>
      </c>
      <c r="O4768" s="15">
        <v>240</v>
      </c>
      <c r="P4768" s="15">
        <v>4</v>
      </c>
    </row>
    <row r="4769" spans="1:11" x14ac:dyDescent="0.25">
      <c r="A4769" s="3" t="str">
        <f t="shared" ca="1" si="1366"/>
        <v/>
      </c>
      <c r="G4769" s="15">
        <f t="shared" ca="1" si="1371"/>
        <v>32</v>
      </c>
      <c r="H4769" s="15">
        <v>1</v>
      </c>
      <c r="I4769" s="15">
        <f t="shared" ca="1" si="1372"/>
        <v>0</v>
      </c>
      <c r="J4769" s="15" t="str">
        <f t="shared" ca="1" si="1362"/>
        <v>'0'!A32</v>
      </c>
      <c r="K4769" s="15" t="str">
        <f t="shared" ca="1" si="1363"/>
        <v>'0'!B32</v>
      </c>
    </row>
    <row r="4770" spans="1:11" x14ac:dyDescent="0.25">
      <c r="A4770" s="3" t="str">
        <f t="shared" ca="1" si="1366"/>
        <v/>
      </c>
      <c r="G4770" s="15">
        <f t="shared" ca="1" si="1371"/>
        <v>33</v>
      </c>
      <c r="H4770" s="15">
        <v>1</v>
      </c>
      <c r="I4770" s="15">
        <f t="shared" ca="1" si="1372"/>
        <v>0</v>
      </c>
      <c r="J4770" s="15" t="str">
        <f t="shared" ca="1" si="1362"/>
        <v>'0'!A33</v>
      </c>
      <c r="K4770" s="15" t="str">
        <f t="shared" ca="1" si="1363"/>
        <v>'0'!B33</v>
      </c>
    </row>
    <row r="4771" spans="1:11" x14ac:dyDescent="0.25">
      <c r="A4771" s="3" t="str">
        <f t="shared" ca="1" si="1366"/>
        <v/>
      </c>
      <c r="C4771" s="16"/>
      <c r="G4771" s="15">
        <f t="shared" ca="1" si="1371"/>
        <v>34</v>
      </c>
      <c r="H4771" s="15">
        <v>1</v>
      </c>
      <c r="I4771" s="15">
        <f t="shared" ca="1" si="1372"/>
        <v>0</v>
      </c>
      <c r="J4771" s="15" t="str">
        <f t="shared" ca="1" si="1362"/>
        <v>'0'!A34</v>
      </c>
      <c r="K4771" s="15" t="str">
        <f t="shared" ca="1" si="1363"/>
        <v>'0'!B34</v>
      </c>
    </row>
    <row r="4772" spans="1:11" x14ac:dyDescent="0.25">
      <c r="A4772" s="3" t="str">
        <f t="shared" ca="1" si="1366"/>
        <v/>
      </c>
      <c r="G4772" s="15">
        <f t="shared" ca="1" si="1371"/>
        <v>35</v>
      </c>
      <c r="H4772" s="15">
        <v>1</v>
      </c>
      <c r="I4772" s="15">
        <f t="shared" ca="1" si="1372"/>
        <v>0</v>
      </c>
      <c r="J4772" s="15" t="str">
        <f t="shared" ref="J4772:J4835" ca="1" si="1385">ADDRESS(G4772,H4772,4,1,I4772)</f>
        <v>'0'!A35</v>
      </c>
      <c r="K4772" s="15" t="str">
        <f t="shared" ref="K4772:K4835" ca="1" si="1386">ADDRESS(G4772,H4772+1,4,1,I4772)</f>
        <v>'0'!B35</v>
      </c>
    </row>
    <row r="4773" spans="1:11" x14ac:dyDescent="0.25">
      <c r="A4773" s="3" t="str">
        <f t="shared" ca="1" si="1366"/>
        <v/>
      </c>
      <c r="G4773" s="15">
        <f t="shared" ca="1" si="1373"/>
        <v>36</v>
      </c>
      <c r="H4773" s="15">
        <v>1</v>
      </c>
      <c r="I4773" s="15">
        <f t="shared" ca="1" si="1374"/>
        <v>0</v>
      </c>
      <c r="J4773" s="15" t="str">
        <f t="shared" ca="1" si="1385"/>
        <v>'0'!A36</v>
      </c>
      <c r="K4773" s="15" t="str">
        <f t="shared" ca="1" si="1386"/>
        <v>'0'!B36</v>
      </c>
    </row>
    <row r="4774" spans="1:11" x14ac:dyDescent="0.25">
      <c r="A4774" s="3" t="str">
        <f t="shared" ca="1" si="1366"/>
        <v/>
      </c>
      <c r="G4774" s="15">
        <f t="shared" ca="1" si="1373"/>
        <v>37</v>
      </c>
      <c r="H4774" s="15">
        <v>1</v>
      </c>
      <c r="I4774" s="15">
        <f t="shared" ca="1" si="1374"/>
        <v>0</v>
      </c>
      <c r="J4774" s="15" t="str">
        <f t="shared" ca="1" si="1385"/>
        <v>'0'!A37</v>
      </c>
      <c r="K4774" s="15" t="str">
        <f t="shared" ca="1" si="1386"/>
        <v>'0'!B37</v>
      </c>
    </row>
    <row r="4775" spans="1:11" x14ac:dyDescent="0.25">
      <c r="A4775" s="3" t="str">
        <f t="shared" ca="1" si="1366"/>
        <v/>
      </c>
      <c r="G4775" s="15">
        <f t="shared" ca="1" si="1373"/>
        <v>38</v>
      </c>
      <c r="H4775" s="15">
        <v>1</v>
      </c>
      <c r="I4775" s="15">
        <f t="shared" ca="1" si="1374"/>
        <v>0</v>
      </c>
      <c r="J4775" s="15" t="str">
        <f t="shared" ca="1" si="1385"/>
        <v>'0'!A38</v>
      </c>
      <c r="K4775" s="15" t="str">
        <f t="shared" ca="1" si="1386"/>
        <v>'0'!B38</v>
      </c>
    </row>
    <row r="4776" spans="1:11" x14ac:dyDescent="0.25">
      <c r="A4776" s="3" t="str">
        <f t="shared" ca="1" si="1366"/>
        <v/>
      </c>
      <c r="G4776" s="15">
        <f t="shared" ca="1" si="1373"/>
        <v>39</v>
      </c>
      <c r="H4776" s="15">
        <v>1</v>
      </c>
      <c r="I4776" s="15">
        <f t="shared" ca="1" si="1374"/>
        <v>0</v>
      </c>
      <c r="J4776" s="15" t="str">
        <f t="shared" ca="1" si="1385"/>
        <v>'0'!A39</v>
      </c>
      <c r="K4776" s="15" t="str">
        <f t="shared" ca="1" si="1386"/>
        <v>'0'!B39</v>
      </c>
    </row>
    <row r="4777" spans="1:11" x14ac:dyDescent="0.25">
      <c r="A4777" s="3" t="str">
        <f t="shared" ca="1" si="1366"/>
        <v/>
      </c>
      <c r="G4777" s="15">
        <f t="shared" ca="1" si="1373"/>
        <v>40</v>
      </c>
      <c r="H4777" s="15">
        <v>1</v>
      </c>
      <c r="I4777" s="15">
        <f t="shared" ca="1" si="1374"/>
        <v>0</v>
      </c>
      <c r="J4777" s="15" t="str">
        <f t="shared" ca="1" si="1385"/>
        <v>'0'!A40</v>
      </c>
      <c r="K4777" s="15" t="str">
        <f t="shared" ca="1" si="1386"/>
        <v>'0'!B40</v>
      </c>
    </row>
    <row r="4778" spans="1:11" x14ac:dyDescent="0.25">
      <c r="A4778" s="3" t="str">
        <f t="shared" ca="1" si="1366"/>
        <v/>
      </c>
      <c r="G4778" s="15">
        <f t="shared" ca="1" si="1373"/>
        <v>41</v>
      </c>
      <c r="H4778" s="15">
        <v>1</v>
      </c>
      <c r="I4778" s="15">
        <f t="shared" ca="1" si="1374"/>
        <v>0</v>
      </c>
      <c r="J4778" s="15" t="str">
        <f t="shared" ca="1" si="1385"/>
        <v>'0'!A41</v>
      </c>
      <c r="K4778" s="15" t="str">
        <f t="shared" ca="1" si="1386"/>
        <v>'0'!B41</v>
      </c>
    </row>
    <row r="4779" spans="1:11" x14ac:dyDescent="0.25">
      <c r="A4779" s="3" t="str">
        <f t="shared" ca="1" si="1366"/>
        <v/>
      </c>
      <c r="C4779" s="16"/>
      <c r="G4779" s="15">
        <f t="shared" ca="1" si="1373"/>
        <v>42</v>
      </c>
      <c r="H4779" s="15">
        <v>1</v>
      </c>
      <c r="I4779" s="15">
        <f t="shared" ca="1" si="1374"/>
        <v>0</v>
      </c>
      <c r="J4779" s="15" t="str">
        <f t="shared" ca="1" si="1385"/>
        <v>'0'!A42</v>
      </c>
      <c r="K4779" s="15" t="str">
        <f t="shared" ca="1" si="1386"/>
        <v>'0'!B42</v>
      </c>
    </row>
    <row r="4780" spans="1:11" x14ac:dyDescent="0.25">
      <c r="A4780" s="3" t="str">
        <f t="shared" ref="A4780:A4843" ca="1" si="1387">IFERROR(IF(INDIRECT(J4780)&lt;&gt;"",CONCATENATE(INDIRECT(J4780)," = ",INDIRECT(K4780)," "),""),"")</f>
        <v/>
      </c>
      <c r="G4780" s="15">
        <f t="shared" ca="1" si="1373"/>
        <v>43</v>
      </c>
      <c r="H4780" s="15">
        <v>1</v>
      </c>
      <c r="I4780" s="15">
        <f t="shared" ca="1" si="1374"/>
        <v>0</v>
      </c>
      <c r="J4780" s="15" t="str">
        <f t="shared" ca="1" si="1385"/>
        <v>'0'!A43</v>
      </c>
      <c r="K4780" s="15" t="str">
        <f t="shared" ca="1" si="1386"/>
        <v>'0'!B43</v>
      </c>
    </row>
    <row r="4781" spans="1:11" x14ac:dyDescent="0.25">
      <c r="A4781" s="3" t="str">
        <f t="shared" ca="1" si="1387"/>
        <v/>
      </c>
      <c r="G4781" s="15">
        <f t="shared" ca="1" si="1373"/>
        <v>44</v>
      </c>
      <c r="H4781" s="15">
        <v>1</v>
      </c>
      <c r="I4781" s="15">
        <f t="shared" ca="1" si="1374"/>
        <v>0</v>
      </c>
      <c r="J4781" s="15" t="str">
        <f t="shared" ca="1" si="1385"/>
        <v>'0'!A44</v>
      </c>
      <c r="K4781" s="15" t="str">
        <f t="shared" ca="1" si="1386"/>
        <v>'0'!B44</v>
      </c>
    </row>
    <row r="4782" spans="1:11" x14ac:dyDescent="0.25">
      <c r="A4782" s="3" t="str">
        <f t="shared" ca="1" si="1387"/>
        <v/>
      </c>
      <c r="G4782" s="15">
        <f t="shared" ca="1" si="1373"/>
        <v>45</v>
      </c>
      <c r="H4782" s="15">
        <v>1</v>
      </c>
      <c r="I4782" s="15">
        <f t="shared" ca="1" si="1374"/>
        <v>0</v>
      </c>
      <c r="J4782" s="15" t="str">
        <f t="shared" ca="1" si="1385"/>
        <v>'0'!A45</v>
      </c>
      <c r="K4782" s="15" t="str">
        <f t="shared" ca="1" si="1386"/>
        <v>'0'!B45</v>
      </c>
    </row>
    <row r="4783" spans="1:11" x14ac:dyDescent="0.25">
      <c r="A4783" s="3" t="str">
        <f t="shared" ca="1" si="1387"/>
        <v/>
      </c>
      <c r="G4783" s="15">
        <f t="shared" ca="1" si="1373"/>
        <v>46</v>
      </c>
      <c r="H4783" s="15">
        <v>1</v>
      </c>
      <c r="I4783" s="15">
        <f t="shared" ca="1" si="1374"/>
        <v>0</v>
      </c>
      <c r="J4783" s="15" t="str">
        <f t="shared" ca="1" si="1385"/>
        <v>'0'!A46</v>
      </c>
      <c r="K4783" s="15" t="str">
        <f t="shared" ca="1" si="1386"/>
        <v>'0'!B46</v>
      </c>
    </row>
    <row r="4784" spans="1:11" x14ac:dyDescent="0.25">
      <c r="A4784" s="3" t="str">
        <f t="shared" ca="1" si="1387"/>
        <v/>
      </c>
      <c r="G4784" s="15">
        <f t="shared" ca="1" si="1373"/>
        <v>47</v>
      </c>
      <c r="H4784" s="15">
        <v>1</v>
      </c>
      <c r="I4784" s="15">
        <f t="shared" ca="1" si="1374"/>
        <v>0</v>
      </c>
      <c r="J4784" s="15" t="str">
        <f t="shared" ca="1" si="1385"/>
        <v>'0'!A47</v>
      </c>
      <c r="K4784" s="15" t="str">
        <f t="shared" ca="1" si="1386"/>
        <v>'0'!B47</v>
      </c>
    </row>
    <row r="4785" spans="1:16" x14ac:dyDescent="0.25">
      <c r="A4785" s="3" t="str">
        <f t="shared" ca="1" si="1387"/>
        <v/>
      </c>
      <c r="G4785" s="15">
        <f t="shared" ca="1" si="1373"/>
        <v>48</v>
      </c>
      <c r="H4785" s="15">
        <v>1</v>
      </c>
      <c r="I4785" s="15">
        <f t="shared" ca="1" si="1374"/>
        <v>0</v>
      </c>
      <c r="J4785" s="15" t="str">
        <f t="shared" ca="1" si="1385"/>
        <v>'0'!A48</v>
      </c>
      <c r="K4785" s="15" t="str">
        <f t="shared" ca="1" si="1386"/>
        <v>'0'!B48</v>
      </c>
    </row>
    <row r="4786" spans="1:16" x14ac:dyDescent="0.25">
      <c r="A4786" s="3" t="str">
        <f t="shared" ca="1" si="1387"/>
        <v/>
      </c>
      <c r="G4786" s="15">
        <f t="shared" ca="1" si="1373"/>
        <v>49</v>
      </c>
      <c r="H4786" s="15">
        <v>1</v>
      </c>
      <c r="I4786" s="15">
        <f t="shared" ca="1" si="1374"/>
        <v>0</v>
      </c>
      <c r="J4786" s="15" t="str">
        <f t="shared" ca="1" si="1385"/>
        <v>'0'!A49</v>
      </c>
      <c r="K4786" s="15" t="str">
        <f t="shared" ca="1" si="1386"/>
        <v>'0'!B49</v>
      </c>
    </row>
    <row r="4787" spans="1:16" x14ac:dyDescent="0.25">
      <c r="A4787" s="3" t="str">
        <f t="shared" ca="1" si="1387"/>
        <v/>
      </c>
      <c r="G4787" s="15">
        <f t="shared" ca="1" si="1373"/>
        <v>50</v>
      </c>
      <c r="H4787" s="15">
        <v>1</v>
      </c>
      <c r="I4787" s="15">
        <f t="shared" ca="1" si="1374"/>
        <v>0</v>
      </c>
      <c r="J4787" s="15" t="str">
        <f t="shared" ca="1" si="1385"/>
        <v>'0'!A50</v>
      </c>
      <c r="K4787" s="15" t="str">
        <f t="shared" ca="1" si="1386"/>
        <v>'0'!B50</v>
      </c>
    </row>
    <row r="4788" spans="1:16" x14ac:dyDescent="0.25">
      <c r="A4788" s="3" t="str">
        <f t="shared" ca="1" si="1387"/>
        <v/>
      </c>
      <c r="G4788" s="15">
        <f t="shared" ref="G4788" ca="1" si="1388">INDIRECT(M4788)</f>
        <v>31</v>
      </c>
      <c r="H4788" s="15">
        <v>1</v>
      </c>
      <c r="I4788" s="15">
        <f t="shared" ref="I4788" ca="1" si="1389">INDIRECT(N4788)</f>
        <v>0</v>
      </c>
      <c r="J4788" s="15" t="str">
        <f t="shared" ca="1" si="1385"/>
        <v>'0'!A31</v>
      </c>
      <c r="K4788" s="15" t="str">
        <f t="shared" ca="1" si="1386"/>
        <v>'0'!B31</v>
      </c>
      <c r="M4788" s="15" t="str">
        <f t="shared" ref="M4788" si="1390">ADDRESS(O4788,3,4,1,$R$1)</f>
        <v>konfig!C241</v>
      </c>
      <c r="N4788" s="15" t="str">
        <f t="shared" ref="N4788" si="1391">ADDRESS(O4788,1,4,1,$R$1)</f>
        <v>konfig!A241</v>
      </c>
      <c r="O4788" s="15">
        <v>241</v>
      </c>
      <c r="P4788" s="15">
        <v>4</v>
      </c>
    </row>
    <row r="4789" spans="1:16" x14ac:dyDescent="0.25">
      <c r="A4789" s="3" t="str">
        <f t="shared" ca="1" si="1387"/>
        <v/>
      </c>
      <c r="G4789" s="15">
        <f t="shared" ca="1" si="1379"/>
        <v>32</v>
      </c>
      <c r="H4789" s="15">
        <v>1</v>
      </c>
      <c r="I4789" s="15">
        <f t="shared" ca="1" si="1380"/>
        <v>0</v>
      </c>
      <c r="J4789" s="15" t="str">
        <f t="shared" ca="1" si="1385"/>
        <v>'0'!A32</v>
      </c>
      <c r="K4789" s="15" t="str">
        <f t="shared" ca="1" si="1386"/>
        <v>'0'!B32</v>
      </c>
    </row>
    <row r="4790" spans="1:16" x14ac:dyDescent="0.25">
      <c r="A4790" s="3" t="str">
        <f t="shared" ca="1" si="1387"/>
        <v/>
      </c>
      <c r="G4790" s="15">
        <f t="shared" ca="1" si="1373"/>
        <v>33</v>
      </c>
      <c r="H4790" s="15">
        <v>1</v>
      </c>
      <c r="I4790" s="15">
        <f t="shared" ca="1" si="1374"/>
        <v>0</v>
      </c>
      <c r="J4790" s="15" t="str">
        <f t="shared" ca="1" si="1385"/>
        <v>'0'!A33</v>
      </c>
      <c r="K4790" s="15" t="str">
        <f t="shared" ca="1" si="1386"/>
        <v>'0'!B33</v>
      </c>
    </row>
    <row r="4791" spans="1:16" x14ac:dyDescent="0.25">
      <c r="A4791" s="3" t="str">
        <f t="shared" ca="1" si="1387"/>
        <v/>
      </c>
      <c r="C4791" s="16"/>
      <c r="G4791" s="15">
        <f t="shared" ca="1" si="1373"/>
        <v>34</v>
      </c>
      <c r="H4791" s="15">
        <v>1</v>
      </c>
      <c r="I4791" s="15">
        <f t="shared" ca="1" si="1374"/>
        <v>0</v>
      </c>
      <c r="J4791" s="15" t="str">
        <f t="shared" ca="1" si="1385"/>
        <v>'0'!A34</v>
      </c>
      <c r="K4791" s="15" t="str">
        <f t="shared" ca="1" si="1386"/>
        <v>'0'!B34</v>
      </c>
    </row>
    <row r="4792" spans="1:16" x14ac:dyDescent="0.25">
      <c r="A4792" s="3" t="str">
        <f t="shared" ca="1" si="1387"/>
        <v/>
      </c>
      <c r="G4792" s="15">
        <f t="shared" ca="1" si="1373"/>
        <v>35</v>
      </c>
      <c r="H4792" s="15">
        <v>1</v>
      </c>
      <c r="I4792" s="15">
        <f t="shared" ca="1" si="1374"/>
        <v>0</v>
      </c>
      <c r="J4792" s="15" t="str">
        <f t="shared" ca="1" si="1385"/>
        <v>'0'!A35</v>
      </c>
      <c r="K4792" s="15" t="str">
        <f t="shared" ca="1" si="1386"/>
        <v>'0'!B35</v>
      </c>
    </row>
    <row r="4793" spans="1:16" x14ac:dyDescent="0.25">
      <c r="A4793" s="3" t="str">
        <f t="shared" ca="1" si="1387"/>
        <v/>
      </c>
      <c r="G4793" s="15">
        <f t="shared" ca="1" si="1373"/>
        <v>36</v>
      </c>
      <c r="H4793" s="15">
        <v>1</v>
      </c>
      <c r="I4793" s="15">
        <f t="shared" ca="1" si="1374"/>
        <v>0</v>
      </c>
      <c r="J4793" s="15" t="str">
        <f t="shared" ca="1" si="1385"/>
        <v>'0'!A36</v>
      </c>
      <c r="K4793" s="15" t="str">
        <f t="shared" ca="1" si="1386"/>
        <v>'0'!B36</v>
      </c>
    </row>
    <row r="4794" spans="1:16" x14ac:dyDescent="0.25">
      <c r="A4794" s="3" t="str">
        <f t="shared" ca="1" si="1387"/>
        <v/>
      </c>
      <c r="G4794" s="15">
        <f t="shared" ca="1" si="1373"/>
        <v>37</v>
      </c>
      <c r="H4794" s="15">
        <v>1</v>
      </c>
      <c r="I4794" s="15">
        <f t="shared" ca="1" si="1374"/>
        <v>0</v>
      </c>
      <c r="J4794" s="15" t="str">
        <f t="shared" ca="1" si="1385"/>
        <v>'0'!A37</v>
      </c>
      <c r="K4794" s="15" t="str">
        <f t="shared" ca="1" si="1386"/>
        <v>'0'!B37</v>
      </c>
    </row>
    <row r="4795" spans="1:16" x14ac:dyDescent="0.25">
      <c r="A4795" s="3" t="str">
        <f t="shared" ca="1" si="1387"/>
        <v/>
      </c>
      <c r="G4795" s="15">
        <f t="shared" ca="1" si="1373"/>
        <v>38</v>
      </c>
      <c r="H4795" s="15">
        <v>1</v>
      </c>
      <c r="I4795" s="15">
        <f t="shared" ca="1" si="1374"/>
        <v>0</v>
      </c>
      <c r="J4795" s="15" t="str">
        <f t="shared" ca="1" si="1385"/>
        <v>'0'!A38</v>
      </c>
      <c r="K4795" s="15" t="str">
        <f t="shared" ca="1" si="1386"/>
        <v>'0'!B38</v>
      </c>
    </row>
    <row r="4796" spans="1:16" x14ac:dyDescent="0.25">
      <c r="A4796" s="3" t="str">
        <f t="shared" ca="1" si="1387"/>
        <v/>
      </c>
      <c r="G4796" s="15">
        <f t="shared" ca="1" si="1373"/>
        <v>39</v>
      </c>
      <c r="H4796" s="15">
        <v>1</v>
      </c>
      <c r="I4796" s="15">
        <f t="shared" ca="1" si="1374"/>
        <v>0</v>
      </c>
      <c r="J4796" s="15" t="str">
        <f t="shared" ca="1" si="1385"/>
        <v>'0'!A39</v>
      </c>
      <c r="K4796" s="15" t="str">
        <f t="shared" ca="1" si="1386"/>
        <v>'0'!B39</v>
      </c>
    </row>
    <row r="4797" spans="1:16" x14ac:dyDescent="0.25">
      <c r="A4797" s="3" t="str">
        <f t="shared" ca="1" si="1387"/>
        <v/>
      </c>
      <c r="G4797" s="15">
        <f t="shared" ca="1" si="1373"/>
        <v>40</v>
      </c>
      <c r="H4797" s="15">
        <v>1</v>
      </c>
      <c r="I4797" s="15">
        <f t="shared" ca="1" si="1374"/>
        <v>0</v>
      </c>
      <c r="J4797" s="15" t="str">
        <f t="shared" ca="1" si="1385"/>
        <v>'0'!A40</v>
      </c>
      <c r="K4797" s="15" t="str">
        <f t="shared" ca="1" si="1386"/>
        <v>'0'!B40</v>
      </c>
    </row>
    <row r="4798" spans="1:16" x14ac:dyDescent="0.25">
      <c r="A4798" s="3" t="str">
        <f t="shared" ca="1" si="1387"/>
        <v/>
      </c>
      <c r="G4798" s="15">
        <f t="shared" ca="1" si="1373"/>
        <v>41</v>
      </c>
      <c r="H4798" s="15">
        <v>1</v>
      </c>
      <c r="I4798" s="15">
        <f t="shared" ca="1" si="1374"/>
        <v>0</v>
      </c>
      <c r="J4798" s="15" t="str">
        <f t="shared" ca="1" si="1385"/>
        <v>'0'!A41</v>
      </c>
      <c r="K4798" s="15" t="str">
        <f t="shared" ca="1" si="1386"/>
        <v>'0'!B41</v>
      </c>
    </row>
    <row r="4799" spans="1:16" x14ac:dyDescent="0.25">
      <c r="A4799" s="3" t="str">
        <f t="shared" ca="1" si="1387"/>
        <v/>
      </c>
      <c r="C4799" s="16"/>
      <c r="G4799" s="15">
        <f t="shared" ca="1" si="1373"/>
        <v>42</v>
      </c>
      <c r="H4799" s="15">
        <v>1</v>
      </c>
      <c r="I4799" s="15">
        <f t="shared" ca="1" si="1374"/>
        <v>0</v>
      </c>
      <c r="J4799" s="15" t="str">
        <f t="shared" ca="1" si="1385"/>
        <v>'0'!A42</v>
      </c>
      <c r="K4799" s="15" t="str">
        <f t="shared" ca="1" si="1386"/>
        <v>'0'!B42</v>
      </c>
    </row>
    <row r="4800" spans="1:16" x14ac:dyDescent="0.25">
      <c r="A4800" s="3" t="str">
        <f t="shared" ca="1" si="1387"/>
        <v/>
      </c>
      <c r="G4800" s="15">
        <f t="shared" ca="1" si="1373"/>
        <v>43</v>
      </c>
      <c r="H4800" s="15">
        <v>1</v>
      </c>
      <c r="I4800" s="15">
        <f t="shared" ca="1" si="1374"/>
        <v>0</v>
      </c>
      <c r="J4800" s="15" t="str">
        <f t="shared" ca="1" si="1385"/>
        <v>'0'!A43</v>
      </c>
      <c r="K4800" s="15" t="str">
        <f t="shared" ca="1" si="1386"/>
        <v>'0'!B43</v>
      </c>
    </row>
    <row r="4801" spans="1:16" x14ac:dyDescent="0.25">
      <c r="A4801" s="3" t="str">
        <f t="shared" ca="1" si="1387"/>
        <v/>
      </c>
      <c r="G4801" s="15">
        <f t="shared" ca="1" si="1373"/>
        <v>44</v>
      </c>
      <c r="H4801" s="15">
        <v>1</v>
      </c>
      <c r="I4801" s="15">
        <f t="shared" ca="1" si="1374"/>
        <v>0</v>
      </c>
      <c r="J4801" s="15" t="str">
        <f t="shared" ca="1" si="1385"/>
        <v>'0'!A44</v>
      </c>
      <c r="K4801" s="15" t="str">
        <f t="shared" ca="1" si="1386"/>
        <v>'0'!B44</v>
      </c>
    </row>
    <row r="4802" spans="1:16" x14ac:dyDescent="0.25">
      <c r="A4802" s="3" t="str">
        <f t="shared" ca="1" si="1387"/>
        <v/>
      </c>
      <c r="G4802" s="15">
        <f t="shared" ca="1" si="1373"/>
        <v>45</v>
      </c>
      <c r="H4802" s="15">
        <v>1</v>
      </c>
      <c r="I4802" s="15">
        <f t="shared" ca="1" si="1374"/>
        <v>0</v>
      </c>
      <c r="J4802" s="15" t="str">
        <f t="shared" ca="1" si="1385"/>
        <v>'0'!A45</v>
      </c>
      <c r="K4802" s="15" t="str">
        <f t="shared" ca="1" si="1386"/>
        <v>'0'!B45</v>
      </c>
    </row>
    <row r="4803" spans="1:16" x14ac:dyDescent="0.25">
      <c r="A4803" s="3" t="str">
        <f t="shared" ca="1" si="1387"/>
        <v/>
      </c>
      <c r="G4803" s="15">
        <f t="shared" ca="1" si="1373"/>
        <v>46</v>
      </c>
      <c r="H4803" s="15">
        <v>1</v>
      </c>
      <c r="I4803" s="15">
        <f t="shared" ca="1" si="1374"/>
        <v>0</v>
      </c>
      <c r="J4803" s="15" t="str">
        <f t="shared" ca="1" si="1385"/>
        <v>'0'!A46</v>
      </c>
      <c r="K4803" s="15" t="str">
        <f t="shared" ca="1" si="1386"/>
        <v>'0'!B46</v>
      </c>
    </row>
    <row r="4804" spans="1:16" x14ac:dyDescent="0.25">
      <c r="A4804" s="3" t="str">
        <f t="shared" ca="1" si="1387"/>
        <v/>
      </c>
      <c r="G4804" s="15">
        <f t="shared" ca="1" si="1373"/>
        <v>47</v>
      </c>
      <c r="H4804" s="15">
        <v>1</v>
      </c>
      <c r="I4804" s="15">
        <f t="shared" ca="1" si="1374"/>
        <v>0</v>
      </c>
      <c r="J4804" s="15" t="str">
        <f t="shared" ca="1" si="1385"/>
        <v>'0'!A47</v>
      </c>
      <c r="K4804" s="15" t="str">
        <f t="shared" ca="1" si="1386"/>
        <v>'0'!B47</v>
      </c>
    </row>
    <row r="4805" spans="1:16" x14ac:dyDescent="0.25">
      <c r="A4805" s="3" t="str">
        <f t="shared" ca="1" si="1387"/>
        <v/>
      </c>
      <c r="G4805" s="15">
        <f t="shared" ca="1" si="1373"/>
        <v>48</v>
      </c>
      <c r="H4805" s="15">
        <v>1</v>
      </c>
      <c r="I4805" s="15">
        <f t="shared" ca="1" si="1374"/>
        <v>0</v>
      </c>
      <c r="J4805" s="15" t="str">
        <f t="shared" ca="1" si="1385"/>
        <v>'0'!A48</v>
      </c>
      <c r="K4805" s="15" t="str">
        <f t="shared" ca="1" si="1386"/>
        <v>'0'!B48</v>
      </c>
    </row>
    <row r="4806" spans="1:16" x14ac:dyDescent="0.25">
      <c r="A4806" s="3" t="str">
        <f t="shared" ca="1" si="1387"/>
        <v/>
      </c>
      <c r="G4806" s="15">
        <f t="shared" ca="1" si="1373"/>
        <v>49</v>
      </c>
      <c r="H4806" s="15">
        <v>1</v>
      </c>
      <c r="I4806" s="15">
        <f t="shared" ca="1" si="1374"/>
        <v>0</v>
      </c>
      <c r="J4806" s="15" t="str">
        <f t="shared" ca="1" si="1385"/>
        <v>'0'!A49</v>
      </c>
      <c r="K4806" s="15" t="str">
        <f t="shared" ca="1" si="1386"/>
        <v>'0'!B49</v>
      </c>
    </row>
    <row r="4807" spans="1:16" x14ac:dyDescent="0.25">
      <c r="A4807" s="3" t="str">
        <f t="shared" ca="1" si="1387"/>
        <v/>
      </c>
      <c r="G4807" s="15">
        <f t="shared" ca="1" si="1373"/>
        <v>50</v>
      </c>
      <c r="H4807" s="15">
        <v>1</v>
      </c>
      <c r="I4807" s="15">
        <f t="shared" ca="1" si="1374"/>
        <v>0</v>
      </c>
      <c r="J4807" s="15" t="str">
        <f t="shared" ca="1" si="1385"/>
        <v>'0'!A50</v>
      </c>
      <c r="K4807" s="15" t="str">
        <f t="shared" ca="1" si="1386"/>
        <v>'0'!B50</v>
      </c>
    </row>
    <row r="4808" spans="1:16" x14ac:dyDescent="0.25">
      <c r="A4808" s="3" t="str">
        <f t="shared" ca="1" si="1387"/>
        <v/>
      </c>
      <c r="G4808" s="15">
        <f t="shared" ref="G4808" ca="1" si="1392">INDIRECT(M4808)</f>
        <v>31</v>
      </c>
      <c r="H4808" s="15">
        <v>1</v>
      </c>
      <c r="I4808" s="15">
        <f t="shared" ref="I4808" ca="1" si="1393">INDIRECT(N4808)</f>
        <v>0</v>
      </c>
      <c r="J4808" s="15" t="str">
        <f t="shared" ca="1" si="1385"/>
        <v>'0'!A31</v>
      </c>
      <c r="K4808" s="15" t="str">
        <f t="shared" ca="1" si="1386"/>
        <v>'0'!B31</v>
      </c>
      <c r="M4808" s="15" t="str">
        <f t="shared" ref="M4808" si="1394">ADDRESS(O4808,3,4,1,$R$1)</f>
        <v>konfig!C242</v>
      </c>
      <c r="N4808" s="15" t="str">
        <f t="shared" ref="N4808" si="1395">ADDRESS(O4808,1,4,1,$R$1)</f>
        <v>konfig!A242</v>
      </c>
      <c r="O4808" s="15">
        <v>242</v>
      </c>
      <c r="P4808" s="15">
        <v>4</v>
      </c>
    </row>
    <row r="4809" spans="1:16" x14ac:dyDescent="0.25">
      <c r="A4809" s="3" t="str">
        <f t="shared" ca="1" si="1387"/>
        <v/>
      </c>
      <c r="G4809" s="15">
        <f t="shared" ref="G4809:G4872" ca="1" si="1396">G4808+1</f>
        <v>32</v>
      </c>
      <c r="H4809" s="15">
        <v>1</v>
      </c>
      <c r="I4809" s="15">
        <f t="shared" ref="I4809:I4872" ca="1" si="1397">I4808</f>
        <v>0</v>
      </c>
      <c r="J4809" s="15" t="str">
        <f t="shared" ca="1" si="1385"/>
        <v>'0'!A32</v>
      </c>
      <c r="K4809" s="15" t="str">
        <f t="shared" ca="1" si="1386"/>
        <v>'0'!B32</v>
      </c>
    </row>
    <row r="4810" spans="1:16" x14ac:dyDescent="0.25">
      <c r="A4810" s="3" t="str">
        <f t="shared" ca="1" si="1387"/>
        <v/>
      </c>
      <c r="G4810" s="15">
        <f t="shared" ca="1" si="1396"/>
        <v>33</v>
      </c>
      <c r="H4810" s="15">
        <v>1</v>
      </c>
      <c r="I4810" s="15">
        <f t="shared" ca="1" si="1397"/>
        <v>0</v>
      </c>
      <c r="J4810" s="15" t="str">
        <f t="shared" ca="1" si="1385"/>
        <v>'0'!A33</v>
      </c>
      <c r="K4810" s="15" t="str">
        <f t="shared" ca="1" si="1386"/>
        <v>'0'!B33</v>
      </c>
    </row>
    <row r="4811" spans="1:16" x14ac:dyDescent="0.25">
      <c r="A4811" s="3" t="str">
        <f t="shared" ca="1" si="1387"/>
        <v/>
      </c>
      <c r="C4811" s="16"/>
      <c r="G4811" s="15">
        <f t="shared" ca="1" si="1396"/>
        <v>34</v>
      </c>
      <c r="H4811" s="15">
        <v>1</v>
      </c>
      <c r="I4811" s="15">
        <f t="shared" ca="1" si="1397"/>
        <v>0</v>
      </c>
      <c r="J4811" s="15" t="str">
        <f t="shared" ca="1" si="1385"/>
        <v>'0'!A34</v>
      </c>
      <c r="K4811" s="15" t="str">
        <f t="shared" ca="1" si="1386"/>
        <v>'0'!B34</v>
      </c>
    </row>
    <row r="4812" spans="1:16" x14ac:dyDescent="0.25">
      <c r="A4812" s="3" t="str">
        <f t="shared" ca="1" si="1387"/>
        <v/>
      </c>
      <c r="G4812" s="15">
        <f t="shared" ca="1" si="1396"/>
        <v>35</v>
      </c>
      <c r="H4812" s="15">
        <v>1</v>
      </c>
      <c r="I4812" s="15">
        <f t="shared" ca="1" si="1397"/>
        <v>0</v>
      </c>
      <c r="J4812" s="15" t="str">
        <f t="shared" ca="1" si="1385"/>
        <v>'0'!A35</v>
      </c>
      <c r="K4812" s="15" t="str">
        <f t="shared" ca="1" si="1386"/>
        <v>'0'!B35</v>
      </c>
    </row>
    <row r="4813" spans="1:16" x14ac:dyDescent="0.25">
      <c r="A4813" s="3" t="str">
        <f t="shared" ca="1" si="1387"/>
        <v/>
      </c>
      <c r="G4813" s="15">
        <f t="shared" ca="1" si="1396"/>
        <v>36</v>
      </c>
      <c r="H4813" s="15">
        <v>1</v>
      </c>
      <c r="I4813" s="15">
        <f t="shared" ca="1" si="1397"/>
        <v>0</v>
      </c>
      <c r="J4813" s="15" t="str">
        <f t="shared" ca="1" si="1385"/>
        <v>'0'!A36</v>
      </c>
      <c r="K4813" s="15" t="str">
        <f t="shared" ca="1" si="1386"/>
        <v>'0'!B36</v>
      </c>
    </row>
    <row r="4814" spans="1:16" x14ac:dyDescent="0.25">
      <c r="A4814" s="3" t="str">
        <f t="shared" ca="1" si="1387"/>
        <v/>
      </c>
      <c r="G4814" s="15">
        <f t="shared" ca="1" si="1396"/>
        <v>37</v>
      </c>
      <c r="H4814" s="15">
        <v>1</v>
      </c>
      <c r="I4814" s="15">
        <f t="shared" ca="1" si="1397"/>
        <v>0</v>
      </c>
      <c r="J4814" s="15" t="str">
        <f t="shared" ca="1" si="1385"/>
        <v>'0'!A37</v>
      </c>
      <c r="K4814" s="15" t="str">
        <f t="shared" ca="1" si="1386"/>
        <v>'0'!B37</v>
      </c>
    </row>
    <row r="4815" spans="1:16" x14ac:dyDescent="0.25">
      <c r="A4815" s="3" t="str">
        <f t="shared" ca="1" si="1387"/>
        <v/>
      </c>
      <c r="G4815" s="15">
        <f t="shared" ca="1" si="1396"/>
        <v>38</v>
      </c>
      <c r="H4815" s="15">
        <v>1</v>
      </c>
      <c r="I4815" s="15">
        <f t="shared" ca="1" si="1397"/>
        <v>0</v>
      </c>
      <c r="J4815" s="15" t="str">
        <f t="shared" ca="1" si="1385"/>
        <v>'0'!A38</v>
      </c>
      <c r="K4815" s="15" t="str">
        <f t="shared" ca="1" si="1386"/>
        <v>'0'!B38</v>
      </c>
    </row>
    <row r="4816" spans="1:16" x14ac:dyDescent="0.25">
      <c r="A4816" s="3" t="str">
        <f t="shared" ca="1" si="1387"/>
        <v/>
      </c>
      <c r="G4816" s="15">
        <f t="shared" ca="1" si="1396"/>
        <v>39</v>
      </c>
      <c r="H4816" s="15">
        <v>1</v>
      </c>
      <c r="I4816" s="15">
        <f t="shared" ca="1" si="1397"/>
        <v>0</v>
      </c>
      <c r="J4816" s="15" t="str">
        <f t="shared" ca="1" si="1385"/>
        <v>'0'!A39</v>
      </c>
      <c r="K4816" s="15" t="str">
        <f t="shared" ca="1" si="1386"/>
        <v>'0'!B39</v>
      </c>
    </row>
    <row r="4817" spans="1:16" x14ac:dyDescent="0.25">
      <c r="A4817" s="3" t="str">
        <f t="shared" ca="1" si="1387"/>
        <v/>
      </c>
      <c r="G4817" s="15">
        <f t="shared" ca="1" si="1396"/>
        <v>40</v>
      </c>
      <c r="H4817" s="15">
        <v>1</v>
      </c>
      <c r="I4817" s="15">
        <f t="shared" ca="1" si="1397"/>
        <v>0</v>
      </c>
      <c r="J4817" s="15" t="str">
        <f t="shared" ca="1" si="1385"/>
        <v>'0'!A40</v>
      </c>
      <c r="K4817" s="15" t="str">
        <f t="shared" ca="1" si="1386"/>
        <v>'0'!B40</v>
      </c>
    </row>
    <row r="4818" spans="1:16" x14ac:dyDescent="0.25">
      <c r="A4818" s="3" t="str">
        <f t="shared" ca="1" si="1387"/>
        <v/>
      </c>
      <c r="G4818" s="15">
        <f t="shared" ca="1" si="1396"/>
        <v>41</v>
      </c>
      <c r="H4818" s="15">
        <v>1</v>
      </c>
      <c r="I4818" s="15">
        <f t="shared" ca="1" si="1397"/>
        <v>0</v>
      </c>
      <c r="J4818" s="15" t="str">
        <f t="shared" ca="1" si="1385"/>
        <v>'0'!A41</v>
      </c>
      <c r="K4818" s="15" t="str">
        <f t="shared" ca="1" si="1386"/>
        <v>'0'!B41</v>
      </c>
    </row>
    <row r="4819" spans="1:16" x14ac:dyDescent="0.25">
      <c r="A4819" s="3" t="str">
        <f t="shared" ca="1" si="1387"/>
        <v/>
      </c>
      <c r="C4819" s="16"/>
      <c r="G4819" s="15">
        <f t="shared" ca="1" si="1396"/>
        <v>42</v>
      </c>
      <c r="H4819" s="15">
        <v>1</v>
      </c>
      <c r="I4819" s="15">
        <f t="shared" ca="1" si="1397"/>
        <v>0</v>
      </c>
      <c r="J4819" s="15" t="str">
        <f t="shared" ca="1" si="1385"/>
        <v>'0'!A42</v>
      </c>
      <c r="K4819" s="15" t="str">
        <f t="shared" ca="1" si="1386"/>
        <v>'0'!B42</v>
      </c>
    </row>
    <row r="4820" spans="1:16" x14ac:dyDescent="0.25">
      <c r="A4820" s="3" t="str">
        <f t="shared" ca="1" si="1387"/>
        <v/>
      </c>
      <c r="G4820" s="15">
        <f t="shared" ca="1" si="1396"/>
        <v>43</v>
      </c>
      <c r="H4820" s="15">
        <v>1</v>
      </c>
      <c r="I4820" s="15">
        <f t="shared" ca="1" si="1397"/>
        <v>0</v>
      </c>
      <c r="J4820" s="15" t="str">
        <f t="shared" ca="1" si="1385"/>
        <v>'0'!A43</v>
      </c>
      <c r="K4820" s="15" t="str">
        <f t="shared" ca="1" si="1386"/>
        <v>'0'!B43</v>
      </c>
    </row>
    <row r="4821" spans="1:16" x14ac:dyDescent="0.25">
      <c r="A4821" s="3" t="str">
        <f t="shared" ca="1" si="1387"/>
        <v/>
      </c>
      <c r="G4821" s="15">
        <f t="shared" ca="1" si="1396"/>
        <v>44</v>
      </c>
      <c r="H4821" s="15">
        <v>1</v>
      </c>
      <c r="I4821" s="15">
        <f t="shared" ca="1" si="1397"/>
        <v>0</v>
      </c>
      <c r="J4821" s="15" t="str">
        <f t="shared" ca="1" si="1385"/>
        <v>'0'!A44</v>
      </c>
      <c r="K4821" s="15" t="str">
        <f t="shared" ca="1" si="1386"/>
        <v>'0'!B44</v>
      </c>
    </row>
    <row r="4822" spans="1:16" x14ac:dyDescent="0.25">
      <c r="A4822" s="3" t="str">
        <f t="shared" ca="1" si="1387"/>
        <v/>
      </c>
      <c r="G4822" s="15">
        <f t="shared" ca="1" si="1396"/>
        <v>45</v>
      </c>
      <c r="H4822" s="15">
        <v>1</v>
      </c>
      <c r="I4822" s="15">
        <f t="shared" ca="1" si="1397"/>
        <v>0</v>
      </c>
      <c r="J4822" s="15" t="str">
        <f t="shared" ca="1" si="1385"/>
        <v>'0'!A45</v>
      </c>
      <c r="K4822" s="15" t="str">
        <f t="shared" ca="1" si="1386"/>
        <v>'0'!B45</v>
      </c>
    </row>
    <row r="4823" spans="1:16" x14ac:dyDescent="0.25">
      <c r="A4823" s="3" t="str">
        <f t="shared" ca="1" si="1387"/>
        <v/>
      </c>
      <c r="G4823" s="15">
        <f t="shared" ca="1" si="1396"/>
        <v>46</v>
      </c>
      <c r="H4823" s="15">
        <v>1</v>
      </c>
      <c r="I4823" s="15">
        <f t="shared" ca="1" si="1397"/>
        <v>0</v>
      </c>
      <c r="J4823" s="15" t="str">
        <f t="shared" ca="1" si="1385"/>
        <v>'0'!A46</v>
      </c>
      <c r="K4823" s="15" t="str">
        <f t="shared" ca="1" si="1386"/>
        <v>'0'!B46</v>
      </c>
    </row>
    <row r="4824" spans="1:16" x14ac:dyDescent="0.25">
      <c r="A4824" s="3" t="str">
        <f t="shared" ca="1" si="1387"/>
        <v/>
      </c>
      <c r="G4824" s="15">
        <f t="shared" ca="1" si="1396"/>
        <v>47</v>
      </c>
      <c r="H4824" s="15">
        <v>1</v>
      </c>
      <c r="I4824" s="15">
        <f t="shared" ca="1" si="1397"/>
        <v>0</v>
      </c>
      <c r="J4824" s="15" t="str">
        <f t="shared" ca="1" si="1385"/>
        <v>'0'!A47</v>
      </c>
      <c r="K4824" s="15" t="str">
        <f t="shared" ca="1" si="1386"/>
        <v>'0'!B47</v>
      </c>
    </row>
    <row r="4825" spans="1:16" x14ac:dyDescent="0.25">
      <c r="A4825" s="3" t="str">
        <f t="shared" ca="1" si="1387"/>
        <v/>
      </c>
      <c r="G4825" s="15">
        <f t="shared" ca="1" si="1396"/>
        <v>48</v>
      </c>
      <c r="H4825" s="15">
        <v>1</v>
      </c>
      <c r="I4825" s="15">
        <f t="shared" ca="1" si="1397"/>
        <v>0</v>
      </c>
      <c r="J4825" s="15" t="str">
        <f t="shared" ca="1" si="1385"/>
        <v>'0'!A48</v>
      </c>
      <c r="K4825" s="15" t="str">
        <f t="shared" ca="1" si="1386"/>
        <v>'0'!B48</v>
      </c>
    </row>
    <row r="4826" spans="1:16" x14ac:dyDescent="0.25">
      <c r="A4826" s="3" t="str">
        <f t="shared" ca="1" si="1387"/>
        <v/>
      </c>
      <c r="G4826" s="15">
        <f t="shared" ca="1" si="1396"/>
        <v>49</v>
      </c>
      <c r="H4826" s="15">
        <v>1</v>
      </c>
      <c r="I4826" s="15">
        <f t="shared" ca="1" si="1397"/>
        <v>0</v>
      </c>
      <c r="J4826" s="15" t="str">
        <f t="shared" ca="1" si="1385"/>
        <v>'0'!A49</v>
      </c>
      <c r="K4826" s="15" t="str">
        <f t="shared" ca="1" si="1386"/>
        <v>'0'!B49</v>
      </c>
    </row>
    <row r="4827" spans="1:16" x14ac:dyDescent="0.25">
      <c r="A4827" s="3" t="str">
        <f t="shared" ca="1" si="1387"/>
        <v/>
      </c>
      <c r="G4827" s="15">
        <f t="shared" ca="1" si="1396"/>
        <v>50</v>
      </c>
      <c r="H4827" s="15">
        <v>1</v>
      </c>
      <c r="I4827" s="15">
        <f t="shared" ca="1" si="1397"/>
        <v>0</v>
      </c>
      <c r="J4827" s="15" t="str">
        <f t="shared" ca="1" si="1385"/>
        <v>'0'!A50</v>
      </c>
      <c r="K4827" s="15" t="str">
        <f t="shared" ca="1" si="1386"/>
        <v>'0'!B50</v>
      </c>
    </row>
    <row r="4828" spans="1:16" x14ac:dyDescent="0.25">
      <c r="A4828" s="3" t="str">
        <f t="shared" ca="1" si="1387"/>
        <v/>
      </c>
      <c r="G4828" s="15">
        <f t="shared" ref="G4828" ca="1" si="1398">INDIRECT(M4828)</f>
        <v>31</v>
      </c>
      <c r="H4828" s="15">
        <v>1</v>
      </c>
      <c r="I4828" s="15">
        <f t="shared" ref="I4828" ca="1" si="1399">INDIRECT(N4828)</f>
        <v>0</v>
      </c>
      <c r="J4828" s="15" t="str">
        <f t="shared" ca="1" si="1385"/>
        <v>'0'!A31</v>
      </c>
      <c r="K4828" s="15" t="str">
        <f t="shared" ca="1" si="1386"/>
        <v>'0'!B31</v>
      </c>
      <c r="M4828" s="15" t="str">
        <f t="shared" ref="M4828" si="1400">ADDRESS(O4828,3,4,1,$R$1)</f>
        <v>konfig!C243</v>
      </c>
      <c r="N4828" s="15" t="str">
        <f t="shared" ref="N4828" si="1401">ADDRESS(O4828,1,4,1,$R$1)</f>
        <v>konfig!A243</v>
      </c>
      <c r="O4828" s="15">
        <v>243</v>
      </c>
      <c r="P4828" s="15">
        <v>4</v>
      </c>
    </row>
    <row r="4829" spans="1:16" x14ac:dyDescent="0.25">
      <c r="A4829" s="3" t="str">
        <f t="shared" ca="1" si="1387"/>
        <v/>
      </c>
      <c r="G4829" s="15">
        <f t="shared" ref="G4829:G4869" ca="1" si="1402">G4828+1</f>
        <v>32</v>
      </c>
      <c r="H4829" s="15">
        <v>1</v>
      </c>
      <c r="I4829" s="15">
        <f t="shared" ref="I4829:I4869" ca="1" si="1403">I4828</f>
        <v>0</v>
      </c>
      <c r="J4829" s="15" t="str">
        <f t="shared" ca="1" si="1385"/>
        <v>'0'!A32</v>
      </c>
      <c r="K4829" s="15" t="str">
        <f t="shared" ca="1" si="1386"/>
        <v>'0'!B32</v>
      </c>
    </row>
    <row r="4830" spans="1:16" x14ac:dyDescent="0.25">
      <c r="A4830" s="3" t="str">
        <f t="shared" ca="1" si="1387"/>
        <v/>
      </c>
      <c r="G4830" s="15">
        <f t="shared" ca="1" si="1396"/>
        <v>33</v>
      </c>
      <c r="H4830" s="15">
        <v>1</v>
      </c>
      <c r="I4830" s="15">
        <f t="shared" ca="1" si="1397"/>
        <v>0</v>
      </c>
      <c r="J4830" s="15" t="str">
        <f t="shared" ca="1" si="1385"/>
        <v>'0'!A33</v>
      </c>
      <c r="K4830" s="15" t="str">
        <f t="shared" ca="1" si="1386"/>
        <v>'0'!B33</v>
      </c>
    </row>
    <row r="4831" spans="1:16" x14ac:dyDescent="0.25">
      <c r="A4831" s="3" t="str">
        <f t="shared" ca="1" si="1387"/>
        <v/>
      </c>
      <c r="C4831" s="16"/>
      <c r="G4831" s="15">
        <f t="shared" ca="1" si="1396"/>
        <v>34</v>
      </c>
      <c r="H4831" s="15">
        <v>1</v>
      </c>
      <c r="I4831" s="15">
        <f t="shared" ca="1" si="1397"/>
        <v>0</v>
      </c>
      <c r="J4831" s="15" t="str">
        <f t="shared" ca="1" si="1385"/>
        <v>'0'!A34</v>
      </c>
      <c r="K4831" s="15" t="str">
        <f t="shared" ca="1" si="1386"/>
        <v>'0'!B34</v>
      </c>
    </row>
    <row r="4832" spans="1:16" x14ac:dyDescent="0.25">
      <c r="A4832" s="3" t="str">
        <f t="shared" ca="1" si="1387"/>
        <v/>
      </c>
      <c r="G4832" s="15">
        <f t="shared" ca="1" si="1396"/>
        <v>35</v>
      </c>
      <c r="H4832" s="15">
        <v>1</v>
      </c>
      <c r="I4832" s="15">
        <f t="shared" ca="1" si="1397"/>
        <v>0</v>
      </c>
      <c r="J4832" s="15" t="str">
        <f t="shared" ca="1" si="1385"/>
        <v>'0'!A35</v>
      </c>
      <c r="K4832" s="15" t="str">
        <f t="shared" ca="1" si="1386"/>
        <v>'0'!B35</v>
      </c>
    </row>
    <row r="4833" spans="1:16" x14ac:dyDescent="0.25">
      <c r="A4833" s="3" t="str">
        <f t="shared" ca="1" si="1387"/>
        <v/>
      </c>
      <c r="G4833" s="15">
        <f t="shared" ca="1" si="1396"/>
        <v>36</v>
      </c>
      <c r="H4833" s="15">
        <v>1</v>
      </c>
      <c r="I4833" s="15">
        <f t="shared" ca="1" si="1397"/>
        <v>0</v>
      </c>
      <c r="J4833" s="15" t="str">
        <f t="shared" ca="1" si="1385"/>
        <v>'0'!A36</v>
      </c>
      <c r="K4833" s="15" t="str">
        <f t="shared" ca="1" si="1386"/>
        <v>'0'!B36</v>
      </c>
    </row>
    <row r="4834" spans="1:16" x14ac:dyDescent="0.25">
      <c r="A4834" s="3" t="str">
        <f t="shared" ca="1" si="1387"/>
        <v/>
      </c>
      <c r="G4834" s="15">
        <f t="shared" ca="1" si="1396"/>
        <v>37</v>
      </c>
      <c r="H4834" s="15">
        <v>1</v>
      </c>
      <c r="I4834" s="15">
        <f t="shared" ca="1" si="1397"/>
        <v>0</v>
      </c>
      <c r="J4834" s="15" t="str">
        <f t="shared" ca="1" si="1385"/>
        <v>'0'!A37</v>
      </c>
      <c r="K4834" s="15" t="str">
        <f t="shared" ca="1" si="1386"/>
        <v>'0'!B37</v>
      </c>
    </row>
    <row r="4835" spans="1:16" x14ac:dyDescent="0.25">
      <c r="A4835" s="3" t="str">
        <f t="shared" ca="1" si="1387"/>
        <v/>
      </c>
      <c r="G4835" s="15">
        <f t="shared" ca="1" si="1396"/>
        <v>38</v>
      </c>
      <c r="H4835" s="15">
        <v>1</v>
      </c>
      <c r="I4835" s="15">
        <f t="shared" ca="1" si="1397"/>
        <v>0</v>
      </c>
      <c r="J4835" s="15" t="str">
        <f t="shared" ca="1" si="1385"/>
        <v>'0'!A38</v>
      </c>
      <c r="K4835" s="15" t="str">
        <f t="shared" ca="1" si="1386"/>
        <v>'0'!B38</v>
      </c>
    </row>
    <row r="4836" spans="1:16" x14ac:dyDescent="0.25">
      <c r="A4836" s="3" t="str">
        <f t="shared" ca="1" si="1387"/>
        <v/>
      </c>
      <c r="G4836" s="15">
        <f t="shared" ca="1" si="1396"/>
        <v>39</v>
      </c>
      <c r="H4836" s="15">
        <v>1</v>
      </c>
      <c r="I4836" s="15">
        <f t="shared" ca="1" si="1397"/>
        <v>0</v>
      </c>
      <c r="J4836" s="15" t="str">
        <f t="shared" ref="J4836:J4899" ca="1" si="1404">ADDRESS(G4836,H4836,4,1,I4836)</f>
        <v>'0'!A39</v>
      </c>
      <c r="K4836" s="15" t="str">
        <f t="shared" ref="K4836:K4899" ca="1" si="1405">ADDRESS(G4836,H4836+1,4,1,I4836)</f>
        <v>'0'!B39</v>
      </c>
    </row>
    <row r="4837" spans="1:16" x14ac:dyDescent="0.25">
      <c r="A4837" s="3" t="str">
        <f t="shared" ca="1" si="1387"/>
        <v/>
      </c>
      <c r="G4837" s="15">
        <f t="shared" ca="1" si="1396"/>
        <v>40</v>
      </c>
      <c r="H4837" s="15">
        <v>1</v>
      </c>
      <c r="I4837" s="15">
        <f t="shared" ca="1" si="1397"/>
        <v>0</v>
      </c>
      <c r="J4837" s="15" t="str">
        <f t="shared" ca="1" si="1404"/>
        <v>'0'!A40</v>
      </c>
      <c r="K4837" s="15" t="str">
        <f t="shared" ca="1" si="1405"/>
        <v>'0'!B40</v>
      </c>
    </row>
    <row r="4838" spans="1:16" x14ac:dyDescent="0.25">
      <c r="A4838" s="3" t="str">
        <f t="shared" ca="1" si="1387"/>
        <v/>
      </c>
      <c r="G4838" s="15">
        <f t="shared" ca="1" si="1396"/>
        <v>41</v>
      </c>
      <c r="H4838" s="15">
        <v>1</v>
      </c>
      <c r="I4838" s="15">
        <f t="shared" ca="1" si="1397"/>
        <v>0</v>
      </c>
      <c r="J4838" s="15" t="str">
        <f t="shared" ca="1" si="1404"/>
        <v>'0'!A41</v>
      </c>
      <c r="K4838" s="15" t="str">
        <f t="shared" ca="1" si="1405"/>
        <v>'0'!B41</v>
      </c>
    </row>
    <row r="4839" spans="1:16" x14ac:dyDescent="0.25">
      <c r="A4839" s="3" t="str">
        <f t="shared" ca="1" si="1387"/>
        <v/>
      </c>
      <c r="C4839" s="16"/>
      <c r="G4839" s="15">
        <f t="shared" ca="1" si="1396"/>
        <v>42</v>
      </c>
      <c r="H4839" s="15">
        <v>1</v>
      </c>
      <c r="I4839" s="15">
        <f t="shared" ca="1" si="1397"/>
        <v>0</v>
      </c>
      <c r="J4839" s="15" t="str">
        <f t="shared" ca="1" si="1404"/>
        <v>'0'!A42</v>
      </c>
      <c r="K4839" s="15" t="str">
        <f t="shared" ca="1" si="1405"/>
        <v>'0'!B42</v>
      </c>
    </row>
    <row r="4840" spans="1:16" x14ac:dyDescent="0.25">
      <c r="A4840" s="3" t="str">
        <f t="shared" ca="1" si="1387"/>
        <v/>
      </c>
      <c r="G4840" s="15">
        <f t="shared" ca="1" si="1396"/>
        <v>43</v>
      </c>
      <c r="H4840" s="15">
        <v>1</v>
      </c>
      <c r="I4840" s="15">
        <f t="shared" ca="1" si="1397"/>
        <v>0</v>
      </c>
      <c r="J4840" s="15" t="str">
        <f t="shared" ca="1" si="1404"/>
        <v>'0'!A43</v>
      </c>
      <c r="K4840" s="15" t="str">
        <f t="shared" ca="1" si="1405"/>
        <v>'0'!B43</v>
      </c>
    </row>
    <row r="4841" spans="1:16" x14ac:dyDescent="0.25">
      <c r="A4841" s="3" t="str">
        <f t="shared" ca="1" si="1387"/>
        <v/>
      </c>
      <c r="G4841" s="15">
        <f t="shared" ca="1" si="1396"/>
        <v>44</v>
      </c>
      <c r="H4841" s="15">
        <v>1</v>
      </c>
      <c r="I4841" s="15">
        <f t="shared" ca="1" si="1397"/>
        <v>0</v>
      </c>
      <c r="J4841" s="15" t="str">
        <f t="shared" ca="1" si="1404"/>
        <v>'0'!A44</v>
      </c>
      <c r="K4841" s="15" t="str">
        <f t="shared" ca="1" si="1405"/>
        <v>'0'!B44</v>
      </c>
    </row>
    <row r="4842" spans="1:16" x14ac:dyDescent="0.25">
      <c r="A4842" s="3" t="str">
        <f t="shared" ca="1" si="1387"/>
        <v/>
      </c>
      <c r="G4842" s="15">
        <f t="shared" ca="1" si="1396"/>
        <v>45</v>
      </c>
      <c r="H4842" s="15">
        <v>1</v>
      </c>
      <c r="I4842" s="15">
        <f t="shared" ca="1" si="1397"/>
        <v>0</v>
      </c>
      <c r="J4842" s="15" t="str">
        <f t="shared" ca="1" si="1404"/>
        <v>'0'!A45</v>
      </c>
      <c r="K4842" s="15" t="str">
        <f t="shared" ca="1" si="1405"/>
        <v>'0'!B45</v>
      </c>
    </row>
    <row r="4843" spans="1:16" x14ac:dyDescent="0.25">
      <c r="A4843" s="3" t="str">
        <f t="shared" ca="1" si="1387"/>
        <v/>
      </c>
      <c r="G4843" s="15">
        <f t="shared" ca="1" si="1396"/>
        <v>46</v>
      </c>
      <c r="H4843" s="15">
        <v>1</v>
      </c>
      <c r="I4843" s="15">
        <f t="shared" ca="1" si="1397"/>
        <v>0</v>
      </c>
      <c r="J4843" s="15" t="str">
        <f t="shared" ca="1" si="1404"/>
        <v>'0'!A46</v>
      </c>
      <c r="K4843" s="15" t="str">
        <f t="shared" ca="1" si="1405"/>
        <v>'0'!B46</v>
      </c>
    </row>
    <row r="4844" spans="1:16" x14ac:dyDescent="0.25">
      <c r="A4844" s="3" t="str">
        <f t="shared" ref="A4844:A4907" ca="1" si="1406">IFERROR(IF(INDIRECT(J4844)&lt;&gt;"",CONCATENATE(INDIRECT(J4844)," = ",INDIRECT(K4844)," "),""),"")</f>
        <v/>
      </c>
      <c r="G4844" s="15">
        <f t="shared" ca="1" si="1396"/>
        <v>47</v>
      </c>
      <c r="H4844" s="15">
        <v>1</v>
      </c>
      <c r="I4844" s="15">
        <f t="shared" ca="1" si="1397"/>
        <v>0</v>
      </c>
      <c r="J4844" s="15" t="str">
        <f t="shared" ca="1" si="1404"/>
        <v>'0'!A47</v>
      </c>
      <c r="K4844" s="15" t="str">
        <f t="shared" ca="1" si="1405"/>
        <v>'0'!B47</v>
      </c>
    </row>
    <row r="4845" spans="1:16" x14ac:dyDescent="0.25">
      <c r="A4845" s="3" t="str">
        <f t="shared" ca="1" si="1406"/>
        <v/>
      </c>
      <c r="G4845" s="15">
        <f t="shared" ca="1" si="1396"/>
        <v>48</v>
      </c>
      <c r="H4845" s="15">
        <v>1</v>
      </c>
      <c r="I4845" s="15">
        <f t="shared" ca="1" si="1397"/>
        <v>0</v>
      </c>
      <c r="J4845" s="15" t="str">
        <f t="shared" ca="1" si="1404"/>
        <v>'0'!A48</v>
      </c>
      <c r="K4845" s="15" t="str">
        <f t="shared" ca="1" si="1405"/>
        <v>'0'!B48</v>
      </c>
    </row>
    <row r="4846" spans="1:16" x14ac:dyDescent="0.25">
      <c r="A4846" s="3" t="str">
        <f t="shared" ca="1" si="1406"/>
        <v/>
      </c>
      <c r="G4846" s="15">
        <f t="shared" ca="1" si="1396"/>
        <v>49</v>
      </c>
      <c r="H4846" s="15">
        <v>1</v>
      </c>
      <c r="I4846" s="15">
        <f t="shared" ca="1" si="1397"/>
        <v>0</v>
      </c>
      <c r="J4846" s="15" t="str">
        <f t="shared" ca="1" si="1404"/>
        <v>'0'!A49</v>
      </c>
      <c r="K4846" s="15" t="str">
        <f t="shared" ca="1" si="1405"/>
        <v>'0'!B49</v>
      </c>
    </row>
    <row r="4847" spans="1:16" x14ac:dyDescent="0.25">
      <c r="A4847" s="3" t="str">
        <f t="shared" ca="1" si="1406"/>
        <v/>
      </c>
      <c r="G4847" s="15">
        <f t="shared" ca="1" si="1396"/>
        <v>50</v>
      </c>
      <c r="H4847" s="15">
        <v>1</v>
      </c>
      <c r="I4847" s="15">
        <f t="shared" ca="1" si="1397"/>
        <v>0</v>
      </c>
      <c r="J4847" s="15" t="str">
        <f t="shared" ca="1" si="1404"/>
        <v>'0'!A50</v>
      </c>
      <c r="K4847" s="15" t="str">
        <f t="shared" ca="1" si="1405"/>
        <v>'0'!B50</v>
      </c>
    </row>
    <row r="4848" spans="1:16" x14ac:dyDescent="0.25">
      <c r="A4848" s="3" t="str">
        <f t="shared" ca="1" si="1406"/>
        <v/>
      </c>
      <c r="G4848" s="15">
        <f t="shared" ref="G4848" ca="1" si="1407">INDIRECT(M4848)</f>
        <v>31</v>
      </c>
      <c r="H4848" s="15">
        <v>1</v>
      </c>
      <c r="I4848" s="15">
        <f t="shared" ref="I4848" ca="1" si="1408">INDIRECT(N4848)</f>
        <v>0</v>
      </c>
      <c r="J4848" s="15" t="str">
        <f t="shared" ca="1" si="1404"/>
        <v>'0'!A31</v>
      </c>
      <c r="K4848" s="15" t="str">
        <f t="shared" ca="1" si="1405"/>
        <v>'0'!B31</v>
      </c>
      <c r="M4848" s="15" t="str">
        <f t="shared" ref="M4848" si="1409">ADDRESS(O4848,3,4,1,$R$1)</f>
        <v>konfig!C244</v>
      </c>
      <c r="N4848" s="15" t="str">
        <f t="shared" ref="N4848" si="1410">ADDRESS(O4848,1,4,1,$R$1)</f>
        <v>konfig!A244</v>
      </c>
      <c r="O4848" s="15">
        <v>244</v>
      </c>
      <c r="P4848" s="15">
        <v>4</v>
      </c>
    </row>
    <row r="4849" spans="1:11" x14ac:dyDescent="0.25">
      <c r="A4849" s="3" t="str">
        <f t="shared" ca="1" si="1406"/>
        <v/>
      </c>
      <c r="G4849" s="15">
        <f t="shared" ca="1" si="1396"/>
        <v>32</v>
      </c>
      <c r="H4849" s="15">
        <v>1</v>
      </c>
      <c r="I4849" s="15">
        <f t="shared" ca="1" si="1397"/>
        <v>0</v>
      </c>
      <c r="J4849" s="15" t="str">
        <f t="shared" ca="1" si="1404"/>
        <v>'0'!A32</v>
      </c>
      <c r="K4849" s="15" t="str">
        <f t="shared" ca="1" si="1405"/>
        <v>'0'!B32</v>
      </c>
    </row>
    <row r="4850" spans="1:11" x14ac:dyDescent="0.25">
      <c r="A4850" s="3" t="str">
        <f t="shared" ca="1" si="1406"/>
        <v/>
      </c>
      <c r="G4850" s="15">
        <f t="shared" ca="1" si="1396"/>
        <v>33</v>
      </c>
      <c r="H4850" s="15">
        <v>1</v>
      </c>
      <c r="I4850" s="15">
        <f t="shared" ca="1" si="1397"/>
        <v>0</v>
      </c>
      <c r="J4850" s="15" t="str">
        <f t="shared" ca="1" si="1404"/>
        <v>'0'!A33</v>
      </c>
      <c r="K4850" s="15" t="str">
        <f t="shared" ca="1" si="1405"/>
        <v>'0'!B33</v>
      </c>
    </row>
    <row r="4851" spans="1:11" x14ac:dyDescent="0.25">
      <c r="A4851" s="3" t="str">
        <f t="shared" ca="1" si="1406"/>
        <v/>
      </c>
      <c r="C4851" s="16"/>
      <c r="G4851" s="15">
        <f t="shared" ca="1" si="1396"/>
        <v>34</v>
      </c>
      <c r="H4851" s="15">
        <v>1</v>
      </c>
      <c r="I4851" s="15">
        <f t="shared" ca="1" si="1397"/>
        <v>0</v>
      </c>
      <c r="J4851" s="15" t="str">
        <f t="shared" ca="1" si="1404"/>
        <v>'0'!A34</v>
      </c>
      <c r="K4851" s="15" t="str">
        <f t="shared" ca="1" si="1405"/>
        <v>'0'!B34</v>
      </c>
    </row>
    <row r="4852" spans="1:11" x14ac:dyDescent="0.25">
      <c r="A4852" s="3" t="str">
        <f t="shared" ca="1" si="1406"/>
        <v/>
      </c>
      <c r="G4852" s="15">
        <f t="shared" ca="1" si="1396"/>
        <v>35</v>
      </c>
      <c r="H4852" s="15">
        <v>1</v>
      </c>
      <c r="I4852" s="15">
        <f t="shared" ca="1" si="1397"/>
        <v>0</v>
      </c>
      <c r="J4852" s="15" t="str">
        <f t="shared" ca="1" si="1404"/>
        <v>'0'!A35</v>
      </c>
      <c r="K4852" s="15" t="str">
        <f t="shared" ca="1" si="1405"/>
        <v>'0'!B35</v>
      </c>
    </row>
    <row r="4853" spans="1:11" x14ac:dyDescent="0.25">
      <c r="A4853" s="3" t="str">
        <f t="shared" ca="1" si="1406"/>
        <v/>
      </c>
      <c r="G4853" s="15">
        <f t="shared" ca="1" si="1396"/>
        <v>36</v>
      </c>
      <c r="H4853" s="15">
        <v>1</v>
      </c>
      <c r="I4853" s="15">
        <f t="shared" ca="1" si="1397"/>
        <v>0</v>
      </c>
      <c r="J4853" s="15" t="str">
        <f t="shared" ca="1" si="1404"/>
        <v>'0'!A36</v>
      </c>
      <c r="K4853" s="15" t="str">
        <f t="shared" ca="1" si="1405"/>
        <v>'0'!B36</v>
      </c>
    </row>
    <row r="4854" spans="1:11" x14ac:dyDescent="0.25">
      <c r="A4854" s="3" t="str">
        <f t="shared" ca="1" si="1406"/>
        <v/>
      </c>
      <c r="G4854" s="15">
        <f t="shared" ca="1" si="1396"/>
        <v>37</v>
      </c>
      <c r="H4854" s="15">
        <v>1</v>
      </c>
      <c r="I4854" s="15">
        <f t="shared" ca="1" si="1397"/>
        <v>0</v>
      </c>
      <c r="J4854" s="15" t="str">
        <f t="shared" ca="1" si="1404"/>
        <v>'0'!A37</v>
      </c>
      <c r="K4854" s="15" t="str">
        <f t="shared" ca="1" si="1405"/>
        <v>'0'!B37</v>
      </c>
    </row>
    <row r="4855" spans="1:11" x14ac:dyDescent="0.25">
      <c r="A4855" s="3" t="str">
        <f t="shared" ca="1" si="1406"/>
        <v/>
      </c>
      <c r="G4855" s="15">
        <f t="shared" ca="1" si="1396"/>
        <v>38</v>
      </c>
      <c r="H4855" s="15">
        <v>1</v>
      </c>
      <c r="I4855" s="15">
        <f t="shared" ca="1" si="1397"/>
        <v>0</v>
      </c>
      <c r="J4855" s="15" t="str">
        <f t="shared" ca="1" si="1404"/>
        <v>'0'!A38</v>
      </c>
      <c r="K4855" s="15" t="str">
        <f t="shared" ca="1" si="1405"/>
        <v>'0'!B38</v>
      </c>
    </row>
    <row r="4856" spans="1:11" x14ac:dyDescent="0.25">
      <c r="A4856" s="3" t="str">
        <f t="shared" ca="1" si="1406"/>
        <v/>
      </c>
      <c r="G4856" s="15">
        <f t="shared" ca="1" si="1396"/>
        <v>39</v>
      </c>
      <c r="H4856" s="15">
        <v>1</v>
      </c>
      <c r="I4856" s="15">
        <f t="shared" ca="1" si="1397"/>
        <v>0</v>
      </c>
      <c r="J4856" s="15" t="str">
        <f t="shared" ca="1" si="1404"/>
        <v>'0'!A39</v>
      </c>
      <c r="K4856" s="15" t="str">
        <f t="shared" ca="1" si="1405"/>
        <v>'0'!B39</v>
      </c>
    </row>
    <row r="4857" spans="1:11" x14ac:dyDescent="0.25">
      <c r="A4857" s="3" t="str">
        <f t="shared" ca="1" si="1406"/>
        <v/>
      </c>
      <c r="G4857" s="15">
        <f t="shared" ca="1" si="1396"/>
        <v>40</v>
      </c>
      <c r="H4857" s="15">
        <v>1</v>
      </c>
      <c r="I4857" s="15">
        <f t="shared" ca="1" si="1397"/>
        <v>0</v>
      </c>
      <c r="J4857" s="15" t="str">
        <f t="shared" ca="1" si="1404"/>
        <v>'0'!A40</v>
      </c>
      <c r="K4857" s="15" t="str">
        <f t="shared" ca="1" si="1405"/>
        <v>'0'!B40</v>
      </c>
    </row>
    <row r="4858" spans="1:11" x14ac:dyDescent="0.25">
      <c r="A4858" s="3" t="str">
        <f t="shared" ca="1" si="1406"/>
        <v/>
      </c>
      <c r="G4858" s="15">
        <f t="shared" ca="1" si="1396"/>
        <v>41</v>
      </c>
      <c r="H4858" s="15">
        <v>1</v>
      </c>
      <c r="I4858" s="15">
        <f t="shared" ca="1" si="1397"/>
        <v>0</v>
      </c>
      <c r="J4858" s="15" t="str">
        <f t="shared" ca="1" si="1404"/>
        <v>'0'!A41</v>
      </c>
      <c r="K4858" s="15" t="str">
        <f t="shared" ca="1" si="1405"/>
        <v>'0'!B41</v>
      </c>
    </row>
    <row r="4859" spans="1:11" x14ac:dyDescent="0.25">
      <c r="A4859" s="3" t="str">
        <f t="shared" ca="1" si="1406"/>
        <v/>
      </c>
      <c r="C4859" s="16"/>
      <c r="G4859" s="15">
        <f t="shared" ca="1" si="1396"/>
        <v>42</v>
      </c>
      <c r="H4859" s="15">
        <v>1</v>
      </c>
      <c r="I4859" s="15">
        <f t="shared" ca="1" si="1397"/>
        <v>0</v>
      </c>
      <c r="J4859" s="15" t="str">
        <f t="shared" ca="1" si="1404"/>
        <v>'0'!A42</v>
      </c>
      <c r="K4859" s="15" t="str">
        <f t="shared" ca="1" si="1405"/>
        <v>'0'!B42</v>
      </c>
    </row>
    <row r="4860" spans="1:11" x14ac:dyDescent="0.25">
      <c r="A4860" s="3" t="str">
        <f t="shared" ca="1" si="1406"/>
        <v/>
      </c>
      <c r="G4860" s="15">
        <f t="shared" ca="1" si="1396"/>
        <v>43</v>
      </c>
      <c r="H4860" s="15">
        <v>1</v>
      </c>
      <c r="I4860" s="15">
        <f t="shared" ca="1" si="1397"/>
        <v>0</v>
      </c>
      <c r="J4860" s="15" t="str">
        <f t="shared" ca="1" si="1404"/>
        <v>'0'!A43</v>
      </c>
      <c r="K4860" s="15" t="str">
        <f t="shared" ca="1" si="1405"/>
        <v>'0'!B43</v>
      </c>
    </row>
    <row r="4861" spans="1:11" x14ac:dyDescent="0.25">
      <c r="A4861" s="3" t="str">
        <f t="shared" ca="1" si="1406"/>
        <v/>
      </c>
      <c r="G4861" s="15">
        <f t="shared" ca="1" si="1396"/>
        <v>44</v>
      </c>
      <c r="H4861" s="15">
        <v>1</v>
      </c>
      <c r="I4861" s="15">
        <f t="shared" ca="1" si="1397"/>
        <v>0</v>
      </c>
      <c r="J4861" s="15" t="str">
        <f t="shared" ca="1" si="1404"/>
        <v>'0'!A44</v>
      </c>
      <c r="K4861" s="15" t="str">
        <f t="shared" ca="1" si="1405"/>
        <v>'0'!B44</v>
      </c>
    </row>
    <row r="4862" spans="1:11" x14ac:dyDescent="0.25">
      <c r="A4862" s="3" t="str">
        <f t="shared" ca="1" si="1406"/>
        <v/>
      </c>
      <c r="G4862" s="15">
        <f t="shared" ca="1" si="1396"/>
        <v>45</v>
      </c>
      <c r="H4862" s="15">
        <v>1</v>
      </c>
      <c r="I4862" s="15">
        <f t="shared" ca="1" si="1397"/>
        <v>0</v>
      </c>
      <c r="J4862" s="15" t="str">
        <f t="shared" ca="1" si="1404"/>
        <v>'0'!A45</v>
      </c>
      <c r="K4862" s="15" t="str">
        <f t="shared" ca="1" si="1405"/>
        <v>'0'!B45</v>
      </c>
    </row>
    <row r="4863" spans="1:11" x14ac:dyDescent="0.25">
      <c r="A4863" s="3" t="str">
        <f t="shared" ca="1" si="1406"/>
        <v/>
      </c>
      <c r="G4863" s="15">
        <f t="shared" ca="1" si="1396"/>
        <v>46</v>
      </c>
      <c r="H4863" s="15">
        <v>1</v>
      </c>
      <c r="I4863" s="15">
        <f t="shared" ca="1" si="1397"/>
        <v>0</v>
      </c>
      <c r="J4863" s="15" t="str">
        <f t="shared" ca="1" si="1404"/>
        <v>'0'!A46</v>
      </c>
      <c r="K4863" s="15" t="str">
        <f t="shared" ca="1" si="1405"/>
        <v>'0'!B46</v>
      </c>
    </row>
    <row r="4864" spans="1:11" x14ac:dyDescent="0.25">
      <c r="A4864" s="3" t="str">
        <f t="shared" ca="1" si="1406"/>
        <v/>
      </c>
      <c r="G4864" s="15">
        <f t="shared" ca="1" si="1396"/>
        <v>47</v>
      </c>
      <c r="H4864" s="15">
        <v>1</v>
      </c>
      <c r="I4864" s="15">
        <f t="shared" ca="1" si="1397"/>
        <v>0</v>
      </c>
      <c r="J4864" s="15" t="str">
        <f t="shared" ca="1" si="1404"/>
        <v>'0'!A47</v>
      </c>
      <c r="K4864" s="15" t="str">
        <f t="shared" ca="1" si="1405"/>
        <v>'0'!B47</v>
      </c>
    </row>
    <row r="4865" spans="1:16" x14ac:dyDescent="0.25">
      <c r="A4865" s="3" t="str">
        <f t="shared" ca="1" si="1406"/>
        <v/>
      </c>
      <c r="G4865" s="15">
        <f t="shared" ca="1" si="1396"/>
        <v>48</v>
      </c>
      <c r="H4865" s="15">
        <v>1</v>
      </c>
      <c r="I4865" s="15">
        <f t="shared" ca="1" si="1397"/>
        <v>0</v>
      </c>
      <c r="J4865" s="15" t="str">
        <f t="shared" ca="1" si="1404"/>
        <v>'0'!A48</v>
      </c>
      <c r="K4865" s="15" t="str">
        <f t="shared" ca="1" si="1405"/>
        <v>'0'!B48</v>
      </c>
    </row>
    <row r="4866" spans="1:16" x14ac:dyDescent="0.25">
      <c r="A4866" s="3" t="str">
        <f t="shared" ca="1" si="1406"/>
        <v/>
      </c>
      <c r="G4866" s="15">
        <f t="shared" ca="1" si="1396"/>
        <v>49</v>
      </c>
      <c r="H4866" s="15">
        <v>1</v>
      </c>
      <c r="I4866" s="15">
        <f t="shared" ca="1" si="1397"/>
        <v>0</v>
      </c>
      <c r="J4866" s="15" t="str">
        <f t="shared" ca="1" si="1404"/>
        <v>'0'!A49</v>
      </c>
      <c r="K4866" s="15" t="str">
        <f t="shared" ca="1" si="1405"/>
        <v>'0'!B49</v>
      </c>
    </row>
    <row r="4867" spans="1:16" x14ac:dyDescent="0.25">
      <c r="A4867" s="3" t="str">
        <f t="shared" ca="1" si="1406"/>
        <v/>
      </c>
      <c r="G4867" s="15">
        <f t="shared" ca="1" si="1396"/>
        <v>50</v>
      </c>
      <c r="H4867" s="15">
        <v>1</v>
      </c>
      <c r="I4867" s="15">
        <f t="shared" ca="1" si="1397"/>
        <v>0</v>
      </c>
      <c r="J4867" s="15" t="str">
        <f t="shared" ca="1" si="1404"/>
        <v>'0'!A50</v>
      </c>
      <c r="K4867" s="15" t="str">
        <f t="shared" ca="1" si="1405"/>
        <v>'0'!B50</v>
      </c>
    </row>
    <row r="4868" spans="1:16" x14ac:dyDescent="0.25">
      <c r="A4868" s="3" t="str">
        <f t="shared" ca="1" si="1406"/>
        <v/>
      </c>
      <c r="G4868" s="15">
        <f t="shared" ref="G4868" ca="1" si="1411">INDIRECT(M4868)</f>
        <v>31</v>
      </c>
      <c r="H4868" s="15">
        <v>1</v>
      </c>
      <c r="I4868" s="15">
        <f t="shared" ref="I4868" ca="1" si="1412">INDIRECT(N4868)</f>
        <v>0</v>
      </c>
      <c r="J4868" s="15" t="str">
        <f t="shared" ca="1" si="1404"/>
        <v>'0'!A31</v>
      </c>
      <c r="K4868" s="15" t="str">
        <f t="shared" ca="1" si="1405"/>
        <v>'0'!B31</v>
      </c>
      <c r="M4868" s="15" t="str">
        <f t="shared" ref="M4868" si="1413">ADDRESS(O4868,3,4,1,$R$1)</f>
        <v>konfig!C245</v>
      </c>
      <c r="N4868" s="15" t="str">
        <f t="shared" ref="N4868" si="1414">ADDRESS(O4868,1,4,1,$R$1)</f>
        <v>konfig!A245</v>
      </c>
      <c r="O4868" s="15">
        <v>245</v>
      </c>
      <c r="P4868" s="15">
        <v>4</v>
      </c>
    </row>
    <row r="4869" spans="1:16" x14ac:dyDescent="0.25">
      <c r="A4869" s="3" t="str">
        <f t="shared" ca="1" si="1406"/>
        <v/>
      </c>
      <c r="G4869" s="15">
        <f t="shared" ca="1" si="1402"/>
        <v>32</v>
      </c>
      <c r="H4869" s="15">
        <v>1</v>
      </c>
      <c r="I4869" s="15">
        <f t="shared" ca="1" si="1403"/>
        <v>0</v>
      </c>
      <c r="J4869" s="15" t="str">
        <f t="shared" ca="1" si="1404"/>
        <v>'0'!A32</v>
      </c>
      <c r="K4869" s="15" t="str">
        <f t="shared" ca="1" si="1405"/>
        <v>'0'!B32</v>
      </c>
    </row>
    <row r="4870" spans="1:16" x14ac:dyDescent="0.25">
      <c r="A4870" s="3" t="str">
        <f t="shared" ca="1" si="1406"/>
        <v/>
      </c>
      <c r="G4870" s="15">
        <f t="shared" ca="1" si="1396"/>
        <v>33</v>
      </c>
      <c r="H4870" s="15">
        <v>1</v>
      </c>
      <c r="I4870" s="15">
        <f t="shared" ca="1" si="1397"/>
        <v>0</v>
      </c>
      <c r="J4870" s="15" t="str">
        <f t="shared" ca="1" si="1404"/>
        <v>'0'!A33</v>
      </c>
      <c r="K4870" s="15" t="str">
        <f t="shared" ca="1" si="1405"/>
        <v>'0'!B33</v>
      </c>
    </row>
    <row r="4871" spans="1:16" x14ac:dyDescent="0.25">
      <c r="A4871" s="3" t="str">
        <f t="shared" ca="1" si="1406"/>
        <v/>
      </c>
      <c r="C4871" s="16"/>
      <c r="G4871" s="15">
        <f t="shared" ca="1" si="1396"/>
        <v>34</v>
      </c>
      <c r="H4871" s="15">
        <v>1</v>
      </c>
      <c r="I4871" s="15">
        <f t="shared" ca="1" si="1397"/>
        <v>0</v>
      </c>
      <c r="J4871" s="15" t="str">
        <f t="shared" ca="1" si="1404"/>
        <v>'0'!A34</v>
      </c>
      <c r="K4871" s="15" t="str">
        <f t="shared" ca="1" si="1405"/>
        <v>'0'!B34</v>
      </c>
    </row>
    <row r="4872" spans="1:16" x14ac:dyDescent="0.25">
      <c r="A4872" s="3" t="str">
        <f t="shared" ca="1" si="1406"/>
        <v/>
      </c>
      <c r="G4872" s="15">
        <f t="shared" ca="1" si="1396"/>
        <v>35</v>
      </c>
      <c r="H4872" s="15">
        <v>1</v>
      </c>
      <c r="I4872" s="15">
        <f t="shared" ca="1" si="1397"/>
        <v>0</v>
      </c>
      <c r="J4872" s="15" t="str">
        <f t="shared" ca="1" si="1404"/>
        <v>'0'!A35</v>
      </c>
      <c r="K4872" s="15" t="str">
        <f t="shared" ca="1" si="1405"/>
        <v>'0'!B35</v>
      </c>
    </row>
    <row r="4873" spans="1:16" x14ac:dyDescent="0.25">
      <c r="A4873" s="3" t="str">
        <f t="shared" ca="1" si="1406"/>
        <v/>
      </c>
      <c r="G4873" s="15">
        <f t="shared" ref="G4873:G4936" ca="1" si="1415">G4872+1</f>
        <v>36</v>
      </c>
      <c r="H4873" s="15">
        <v>1</v>
      </c>
      <c r="I4873" s="15">
        <f t="shared" ref="I4873:I4936" ca="1" si="1416">I4872</f>
        <v>0</v>
      </c>
      <c r="J4873" s="15" t="str">
        <f t="shared" ca="1" si="1404"/>
        <v>'0'!A36</v>
      </c>
      <c r="K4873" s="15" t="str">
        <f t="shared" ca="1" si="1405"/>
        <v>'0'!B36</v>
      </c>
    </row>
    <row r="4874" spans="1:16" x14ac:dyDescent="0.25">
      <c r="A4874" s="3" t="str">
        <f t="shared" ca="1" si="1406"/>
        <v/>
      </c>
      <c r="G4874" s="15">
        <f t="shared" ca="1" si="1415"/>
        <v>37</v>
      </c>
      <c r="H4874" s="15">
        <v>1</v>
      </c>
      <c r="I4874" s="15">
        <f t="shared" ca="1" si="1416"/>
        <v>0</v>
      </c>
      <c r="J4874" s="15" t="str">
        <f t="shared" ca="1" si="1404"/>
        <v>'0'!A37</v>
      </c>
      <c r="K4874" s="15" t="str">
        <f t="shared" ca="1" si="1405"/>
        <v>'0'!B37</v>
      </c>
    </row>
    <row r="4875" spans="1:16" x14ac:dyDescent="0.25">
      <c r="A4875" s="3" t="str">
        <f t="shared" ca="1" si="1406"/>
        <v/>
      </c>
      <c r="G4875" s="15">
        <f t="shared" ca="1" si="1415"/>
        <v>38</v>
      </c>
      <c r="H4875" s="15">
        <v>1</v>
      </c>
      <c r="I4875" s="15">
        <f t="shared" ca="1" si="1416"/>
        <v>0</v>
      </c>
      <c r="J4875" s="15" t="str">
        <f t="shared" ca="1" si="1404"/>
        <v>'0'!A38</v>
      </c>
      <c r="K4875" s="15" t="str">
        <f t="shared" ca="1" si="1405"/>
        <v>'0'!B38</v>
      </c>
    </row>
    <row r="4876" spans="1:16" x14ac:dyDescent="0.25">
      <c r="A4876" s="3" t="str">
        <f t="shared" ca="1" si="1406"/>
        <v/>
      </c>
      <c r="G4876" s="15">
        <f t="shared" ca="1" si="1415"/>
        <v>39</v>
      </c>
      <c r="H4876" s="15">
        <v>1</v>
      </c>
      <c r="I4876" s="15">
        <f t="shared" ca="1" si="1416"/>
        <v>0</v>
      </c>
      <c r="J4876" s="15" t="str">
        <f t="shared" ca="1" si="1404"/>
        <v>'0'!A39</v>
      </c>
      <c r="K4876" s="15" t="str">
        <f t="shared" ca="1" si="1405"/>
        <v>'0'!B39</v>
      </c>
    </row>
    <row r="4877" spans="1:16" x14ac:dyDescent="0.25">
      <c r="A4877" s="3" t="str">
        <f t="shared" ca="1" si="1406"/>
        <v/>
      </c>
      <c r="G4877" s="15">
        <f t="shared" ca="1" si="1415"/>
        <v>40</v>
      </c>
      <c r="H4877" s="15">
        <v>1</v>
      </c>
      <c r="I4877" s="15">
        <f t="shared" ca="1" si="1416"/>
        <v>0</v>
      </c>
      <c r="J4877" s="15" t="str">
        <f t="shared" ca="1" si="1404"/>
        <v>'0'!A40</v>
      </c>
      <c r="K4877" s="15" t="str">
        <f t="shared" ca="1" si="1405"/>
        <v>'0'!B40</v>
      </c>
    </row>
    <row r="4878" spans="1:16" x14ac:dyDescent="0.25">
      <c r="A4878" s="3" t="str">
        <f t="shared" ca="1" si="1406"/>
        <v/>
      </c>
      <c r="G4878" s="15">
        <f t="shared" ca="1" si="1415"/>
        <v>41</v>
      </c>
      <c r="H4878" s="15">
        <v>1</v>
      </c>
      <c r="I4878" s="15">
        <f t="shared" ca="1" si="1416"/>
        <v>0</v>
      </c>
      <c r="J4878" s="15" t="str">
        <f t="shared" ca="1" si="1404"/>
        <v>'0'!A41</v>
      </c>
      <c r="K4878" s="15" t="str">
        <f t="shared" ca="1" si="1405"/>
        <v>'0'!B41</v>
      </c>
    </row>
    <row r="4879" spans="1:16" x14ac:dyDescent="0.25">
      <c r="A4879" s="3" t="str">
        <f t="shared" ca="1" si="1406"/>
        <v/>
      </c>
      <c r="C4879" s="16"/>
      <c r="G4879" s="15">
        <f t="shared" ca="1" si="1415"/>
        <v>42</v>
      </c>
      <c r="H4879" s="15">
        <v>1</v>
      </c>
      <c r="I4879" s="15">
        <f t="shared" ca="1" si="1416"/>
        <v>0</v>
      </c>
      <c r="J4879" s="15" t="str">
        <f t="shared" ca="1" si="1404"/>
        <v>'0'!A42</v>
      </c>
      <c r="K4879" s="15" t="str">
        <f t="shared" ca="1" si="1405"/>
        <v>'0'!B42</v>
      </c>
    </row>
    <row r="4880" spans="1:16" x14ac:dyDescent="0.25">
      <c r="A4880" s="3" t="str">
        <f t="shared" ca="1" si="1406"/>
        <v/>
      </c>
      <c r="G4880" s="15">
        <f t="shared" ca="1" si="1415"/>
        <v>43</v>
      </c>
      <c r="H4880" s="15">
        <v>1</v>
      </c>
      <c r="I4880" s="15">
        <f t="shared" ca="1" si="1416"/>
        <v>0</v>
      </c>
      <c r="J4880" s="15" t="str">
        <f t="shared" ca="1" si="1404"/>
        <v>'0'!A43</v>
      </c>
      <c r="K4880" s="15" t="str">
        <f t="shared" ca="1" si="1405"/>
        <v>'0'!B43</v>
      </c>
    </row>
    <row r="4881" spans="1:16" x14ac:dyDescent="0.25">
      <c r="A4881" s="3" t="str">
        <f t="shared" ca="1" si="1406"/>
        <v/>
      </c>
      <c r="G4881" s="15">
        <f t="shared" ca="1" si="1415"/>
        <v>44</v>
      </c>
      <c r="H4881" s="15">
        <v>1</v>
      </c>
      <c r="I4881" s="15">
        <f t="shared" ca="1" si="1416"/>
        <v>0</v>
      </c>
      <c r="J4881" s="15" t="str">
        <f t="shared" ca="1" si="1404"/>
        <v>'0'!A44</v>
      </c>
      <c r="K4881" s="15" t="str">
        <f t="shared" ca="1" si="1405"/>
        <v>'0'!B44</v>
      </c>
    </row>
    <row r="4882" spans="1:16" x14ac:dyDescent="0.25">
      <c r="A4882" s="3" t="str">
        <f t="shared" ca="1" si="1406"/>
        <v/>
      </c>
      <c r="G4882" s="15">
        <f t="shared" ca="1" si="1415"/>
        <v>45</v>
      </c>
      <c r="H4882" s="15">
        <v>1</v>
      </c>
      <c r="I4882" s="15">
        <f t="shared" ca="1" si="1416"/>
        <v>0</v>
      </c>
      <c r="J4882" s="15" t="str">
        <f t="shared" ca="1" si="1404"/>
        <v>'0'!A45</v>
      </c>
      <c r="K4882" s="15" t="str">
        <f t="shared" ca="1" si="1405"/>
        <v>'0'!B45</v>
      </c>
    </row>
    <row r="4883" spans="1:16" x14ac:dyDescent="0.25">
      <c r="A4883" s="3" t="str">
        <f t="shared" ca="1" si="1406"/>
        <v/>
      </c>
      <c r="G4883" s="15">
        <f t="shared" ca="1" si="1415"/>
        <v>46</v>
      </c>
      <c r="H4883" s="15">
        <v>1</v>
      </c>
      <c r="I4883" s="15">
        <f t="shared" ca="1" si="1416"/>
        <v>0</v>
      </c>
      <c r="J4883" s="15" t="str">
        <f t="shared" ca="1" si="1404"/>
        <v>'0'!A46</v>
      </c>
      <c r="K4883" s="15" t="str">
        <f t="shared" ca="1" si="1405"/>
        <v>'0'!B46</v>
      </c>
    </row>
    <row r="4884" spans="1:16" x14ac:dyDescent="0.25">
      <c r="A4884" s="3" t="str">
        <f t="shared" ca="1" si="1406"/>
        <v/>
      </c>
      <c r="G4884" s="15">
        <f t="shared" ca="1" si="1415"/>
        <v>47</v>
      </c>
      <c r="H4884" s="15">
        <v>1</v>
      </c>
      <c r="I4884" s="15">
        <f t="shared" ca="1" si="1416"/>
        <v>0</v>
      </c>
      <c r="J4884" s="15" t="str">
        <f t="shared" ca="1" si="1404"/>
        <v>'0'!A47</v>
      </c>
      <c r="K4884" s="15" t="str">
        <f t="shared" ca="1" si="1405"/>
        <v>'0'!B47</v>
      </c>
    </row>
    <row r="4885" spans="1:16" x14ac:dyDescent="0.25">
      <c r="A4885" s="3" t="str">
        <f t="shared" ca="1" si="1406"/>
        <v/>
      </c>
      <c r="G4885" s="15">
        <f t="shared" ca="1" si="1415"/>
        <v>48</v>
      </c>
      <c r="H4885" s="15">
        <v>1</v>
      </c>
      <c r="I4885" s="15">
        <f t="shared" ca="1" si="1416"/>
        <v>0</v>
      </c>
      <c r="J4885" s="15" t="str">
        <f t="shared" ca="1" si="1404"/>
        <v>'0'!A48</v>
      </c>
      <c r="K4885" s="15" t="str">
        <f t="shared" ca="1" si="1405"/>
        <v>'0'!B48</v>
      </c>
    </row>
    <row r="4886" spans="1:16" x14ac:dyDescent="0.25">
      <c r="A4886" s="3" t="str">
        <f t="shared" ca="1" si="1406"/>
        <v/>
      </c>
      <c r="G4886" s="15">
        <f t="shared" ca="1" si="1415"/>
        <v>49</v>
      </c>
      <c r="H4886" s="15">
        <v>1</v>
      </c>
      <c r="I4886" s="15">
        <f t="shared" ca="1" si="1416"/>
        <v>0</v>
      </c>
      <c r="J4886" s="15" t="str">
        <f t="shared" ca="1" si="1404"/>
        <v>'0'!A49</v>
      </c>
      <c r="K4886" s="15" t="str">
        <f t="shared" ca="1" si="1405"/>
        <v>'0'!B49</v>
      </c>
    </row>
    <row r="4887" spans="1:16" x14ac:dyDescent="0.25">
      <c r="A4887" s="3" t="str">
        <f t="shared" ca="1" si="1406"/>
        <v/>
      </c>
      <c r="G4887" s="15">
        <f t="shared" ca="1" si="1415"/>
        <v>50</v>
      </c>
      <c r="H4887" s="15">
        <v>1</v>
      </c>
      <c r="I4887" s="15">
        <f t="shared" ca="1" si="1416"/>
        <v>0</v>
      </c>
      <c r="J4887" s="15" t="str">
        <f t="shared" ca="1" si="1404"/>
        <v>'0'!A50</v>
      </c>
      <c r="K4887" s="15" t="str">
        <f t="shared" ca="1" si="1405"/>
        <v>'0'!B50</v>
      </c>
    </row>
    <row r="4888" spans="1:16" x14ac:dyDescent="0.25">
      <c r="A4888" s="3" t="str">
        <f t="shared" ca="1" si="1406"/>
        <v/>
      </c>
      <c r="G4888" s="15">
        <f t="shared" ref="G4888" ca="1" si="1417">INDIRECT(M4888)</f>
        <v>31</v>
      </c>
      <c r="H4888" s="15">
        <v>1</v>
      </c>
      <c r="I4888" s="15">
        <f t="shared" ref="I4888" ca="1" si="1418">INDIRECT(N4888)</f>
        <v>0</v>
      </c>
      <c r="J4888" s="15" t="str">
        <f t="shared" ca="1" si="1404"/>
        <v>'0'!A31</v>
      </c>
      <c r="K4888" s="15" t="str">
        <f t="shared" ca="1" si="1405"/>
        <v>'0'!B31</v>
      </c>
      <c r="M4888" s="15" t="str">
        <f t="shared" ref="M4888" si="1419">ADDRESS(O4888,3,4,1,$R$1)</f>
        <v>konfig!C246</v>
      </c>
      <c r="N4888" s="15" t="str">
        <f t="shared" ref="N4888" si="1420">ADDRESS(O4888,1,4,1,$R$1)</f>
        <v>konfig!A246</v>
      </c>
      <c r="O4888" s="15">
        <v>246</v>
      </c>
      <c r="P4888" s="15">
        <v>4</v>
      </c>
    </row>
    <row r="4889" spans="1:16" x14ac:dyDescent="0.25">
      <c r="A4889" s="3" t="str">
        <f t="shared" ca="1" si="1406"/>
        <v/>
      </c>
      <c r="G4889" s="15">
        <f t="shared" ref="G4889:G4932" ca="1" si="1421">G4888+1</f>
        <v>32</v>
      </c>
      <c r="H4889" s="15">
        <v>1</v>
      </c>
      <c r="I4889" s="15">
        <f t="shared" ref="I4889:I4932" ca="1" si="1422">I4888</f>
        <v>0</v>
      </c>
      <c r="J4889" s="15" t="str">
        <f t="shared" ca="1" si="1404"/>
        <v>'0'!A32</v>
      </c>
      <c r="K4889" s="15" t="str">
        <f t="shared" ca="1" si="1405"/>
        <v>'0'!B32</v>
      </c>
    </row>
    <row r="4890" spans="1:16" x14ac:dyDescent="0.25">
      <c r="A4890" s="3" t="str">
        <f t="shared" ca="1" si="1406"/>
        <v/>
      </c>
      <c r="G4890" s="15">
        <f t="shared" ca="1" si="1421"/>
        <v>33</v>
      </c>
      <c r="H4890" s="15">
        <v>1</v>
      </c>
      <c r="I4890" s="15">
        <f t="shared" ca="1" si="1422"/>
        <v>0</v>
      </c>
      <c r="J4890" s="15" t="str">
        <f t="shared" ca="1" si="1404"/>
        <v>'0'!A33</v>
      </c>
      <c r="K4890" s="15" t="str">
        <f t="shared" ca="1" si="1405"/>
        <v>'0'!B33</v>
      </c>
    </row>
    <row r="4891" spans="1:16" x14ac:dyDescent="0.25">
      <c r="A4891" s="3" t="str">
        <f t="shared" ca="1" si="1406"/>
        <v/>
      </c>
      <c r="C4891" s="16"/>
      <c r="G4891" s="15">
        <f t="shared" ca="1" si="1421"/>
        <v>34</v>
      </c>
      <c r="H4891" s="15">
        <v>1</v>
      </c>
      <c r="I4891" s="15">
        <f t="shared" ca="1" si="1422"/>
        <v>0</v>
      </c>
      <c r="J4891" s="15" t="str">
        <f t="shared" ca="1" si="1404"/>
        <v>'0'!A34</v>
      </c>
      <c r="K4891" s="15" t="str">
        <f t="shared" ca="1" si="1405"/>
        <v>'0'!B34</v>
      </c>
    </row>
    <row r="4892" spans="1:16" x14ac:dyDescent="0.25">
      <c r="A4892" s="3" t="str">
        <f t="shared" ca="1" si="1406"/>
        <v/>
      </c>
      <c r="G4892" s="15">
        <f t="shared" ca="1" si="1421"/>
        <v>35</v>
      </c>
      <c r="H4892" s="15">
        <v>1</v>
      </c>
      <c r="I4892" s="15">
        <f t="shared" ca="1" si="1422"/>
        <v>0</v>
      </c>
      <c r="J4892" s="15" t="str">
        <f t="shared" ca="1" si="1404"/>
        <v>'0'!A35</v>
      </c>
      <c r="K4892" s="15" t="str">
        <f t="shared" ca="1" si="1405"/>
        <v>'0'!B35</v>
      </c>
    </row>
    <row r="4893" spans="1:16" x14ac:dyDescent="0.25">
      <c r="A4893" s="3" t="str">
        <f t="shared" ca="1" si="1406"/>
        <v/>
      </c>
      <c r="G4893" s="15">
        <f t="shared" ca="1" si="1415"/>
        <v>36</v>
      </c>
      <c r="H4893" s="15">
        <v>1</v>
      </c>
      <c r="I4893" s="15">
        <f t="shared" ca="1" si="1416"/>
        <v>0</v>
      </c>
      <c r="J4893" s="15" t="str">
        <f t="shared" ca="1" si="1404"/>
        <v>'0'!A36</v>
      </c>
      <c r="K4893" s="15" t="str">
        <f t="shared" ca="1" si="1405"/>
        <v>'0'!B36</v>
      </c>
    </row>
    <row r="4894" spans="1:16" x14ac:dyDescent="0.25">
      <c r="A4894" s="3" t="str">
        <f t="shared" ca="1" si="1406"/>
        <v/>
      </c>
      <c r="G4894" s="15">
        <f t="shared" ca="1" si="1415"/>
        <v>37</v>
      </c>
      <c r="H4894" s="15">
        <v>1</v>
      </c>
      <c r="I4894" s="15">
        <f t="shared" ca="1" si="1416"/>
        <v>0</v>
      </c>
      <c r="J4894" s="15" t="str">
        <f t="shared" ca="1" si="1404"/>
        <v>'0'!A37</v>
      </c>
      <c r="K4894" s="15" t="str">
        <f t="shared" ca="1" si="1405"/>
        <v>'0'!B37</v>
      </c>
    </row>
    <row r="4895" spans="1:16" x14ac:dyDescent="0.25">
      <c r="A4895" s="3" t="str">
        <f t="shared" ca="1" si="1406"/>
        <v/>
      </c>
      <c r="G4895" s="15">
        <f t="shared" ca="1" si="1415"/>
        <v>38</v>
      </c>
      <c r="H4895" s="15">
        <v>1</v>
      </c>
      <c r="I4895" s="15">
        <f t="shared" ca="1" si="1416"/>
        <v>0</v>
      </c>
      <c r="J4895" s="15" t="str">
        <f t="shared" ca="1" si="1404"/>
        <v>'0'!A38</v>
      </c>
      <c r="K4895" s="15" t="str">
        <f t="shared" ca="1" si="1405"/>
        <v>'0'!B38</v>
      </c>
    </row>
    <row r="4896" spans="1:16" x14ac:dyDescent="0.25">
      <c r="A4896" s="3" t="str">
        <f t="shared" ca="1" si="1406"/>
        <v/>
      </c>
      <c r="G4896" s="15">
        <f t="shared" ca="1" si="1415"/>
        <v>39</v>
      </c>
      <c r="H4896" s="15">
        <v>1</v>
      </c>
      <c r="I4896" s="15">
        <f t="shared" ca="1" si="1416"/>
        <v>0</v>
      </c>
      <c r="J4896" s="15" t="str">
        <f t="shared" ca="1" si="1404"/>
        <v>'0'!A39</v>
      </c>
      <c r="K4896" s="15" t="str">
        <f t="shared" ca="1" si="1405"/>
        <v>'0'!B39</v>
      </c>
    </row>
    <row r="4897" spans="1:16" x14ac:dyDescent="0.25">
      <c r="A4897" s="3" t="str">
        <f t="shared" ca="1" si="1406"/>
        <v/>
      </c>
      <c r="G4897" s="15">
        <f t="shared" ca="1" si="1415"/>
        <v>40</v>
      </c>
      <c r="H4897" s="15">
        <v>1</v>
      </c>
      <c r="I4897" s="15">
        <f t="shared" ca="1" si="1416"/>
        <v>0</v>
      </c>
      <c r="J4897" s="15" t="str">
        <f t="shared" ca="1" si="1404"/>
        <v>'0'!A40</v>
      </c>
      <c r="K4897" s="15" t="str">
        <f t="shared" ca="1" si="1405"/>
        <v>'0'!B40</v>
      </c>
    </row>
    <row r="4898" spans="1:16" x14ac:dyDescent="0.25">
      <c r="A4898" s="3" t="str">
        <f t="shared" ca="1" si="1406"/>
        <v/>
      </c>
      <c r="G4898" s="15">
        <f t="shared" ca="1" si="1415"/>
        <v>41</v>
      </c>
      <c r="H4898" s="15">
        <v>1</v>
      </c>
      <c r="I4898" s="15">
        <f t="shared" ca="1" si="1416"/>
        <v>0</v>
      </c>
      <c r="J4898" s="15" t="str">
        <f t="shared" ca="1" si="1404"/>
        <v>'0'!A41</v>
      </c>
      <c r="K4898" s="15" t="str">
        <f t="shared" ca="1" si="1405"/>
        <v>'0'!B41</v>
      </c>
    </row>
    <row r="4899" spans="1:16" x14ac:dyDescent="0.25">
      <c r="A4899" s="3" t="str">
        <f t="shared" ca="1" si="1406"/>
        <v/>
      </c>
      <c r="C4899" s="16"/>
      <c r="G4899" s="15">
        <f t="shared" ca="1" si="1415"/>
        <v>42</v>
      </c>
      <c r="H4899" s="15">
        <v>1</v>
      </c>
      <c r="I4899" s="15">
        <f t="shared" ca="1" si="1416"/>
        <v>0</v>
      </c>
      <c r="J4899" s="15" t="str">
        <f t="shared" ca="1" si="1404"/>
        <v>'0'!A42</v>
      </c>
      <c r="K4899" s="15" t="str">
        <f t="shared" ca="1" si="1405"/>
        <v>'0'!B42</v>
      </c>
    </row>
    <row r="4900" spans="1:16" x14ac:dyDescent="0.25">
      <c r="A4900" s="3" t="str">
        <f t="shared" ca="1" si="1406"/>
        <v/>
      </c>
      <c r="G4900" s="15">
        <f t="shared" ca="1" si="1415"/>
        <v>43</v>
      </c>
      <c r="H4900" s="15">
        <v>1</v>
      </c>
      <c r="I4900" s="15">
        <f t="shared" ca="1" si="1416"/>
        <v>0</v>
      </c>
      <c r="J4900" s="15" t="str">
        <f t="shared" ref="J4900:J4963" ca="1" si="1423">ADDRESS(G4900,H4900,4,1,I4900)</f>
        <v>'0'!A43</v>
      </c>
      <c r="K4900" s="15" t="str">
        <f t="shared" ref="K4900:K4963" ca="1" si="1424">ADDRESS(G4900,H4900+1,4,1,I4900)</f>
        <v>'0'!B43</v>
      </c>
    </row>
    <row r="4901" spans="1:16" x14ac:dyDescent="0.25">
      <c r="A4901" s="3" t="str">
        <f t="shared" ca="1" si="1406"/>
        <v/>
      </c>
      <c r="G4901" s="15">
        <f t="shared" ca="1" si="1415"/>
        <v>44</v>
      </c>
      <c r="H4901" s="15">
        <v>1</v>
      </c>
      <c r="I4901" s="15">
        <f t="shared" ca="1" si="1416"/>
        <v>0</v>
      </c>
      <c r="J4901" s="15" t="str">
        <f t="shared" ca="1" si="1423"/>
        <v>'0'!A44</v>
      </c>
      <c r="K4901" s="15" t="str">
        <f t="shared" ca="1" si="1424"/>
        <v>'0'!B44</v>
      </c>
    </row>
    <row r="4902" spans="1:16" x14ac:dyDescent="0.25">
      <c r="A4902" s="3" t="str">
        <f t="shared" ca="1" si="1406"/>
        <v/>
      </c>
      <c r="G4902" s="15">
        <f t="shared" ca="1" si="1415"/>
        <v>45</v>
      </c>
      <c r="H4902" s="15">
        <v>1</v>
      </c>
      <c r="I4902" s="15">
        <f t="shared" ca="1" si="1416"/>
        <v>0</v>
      </c>
      <c r="J4902" s="15" t="str">
        <f t="shared" ca="1" si="1423"/>
        <v>'0'!A45</v>
      </c>
      <c r="K4902" s="15" t="str">
        <f t="shared" ca="1" si="1424"/>
        <v>'0'!B45</v>
      </c>
    </row>
    <row r="4903" spans="1:16" x14ac:dyDescent="0.25">
      <c r="A4903" s="3" t="str">
        <f t="shared" ca="1" si="1406"/>
        <v/>
      </c>
      <c r="G4903" s="15">
        <f t="shared" ca="1" si="1415"/>
        <v>46</v>
      </c>
      <c r="H4903" s="15">
        <v>1</v>
      </c>
      <c r="I4903" s="15">
        <f t="shared" ca="1" si="1416"/>
        <v>0</v>
      </c>
      <c r="J4903" s="15" t="str">
        <f t="shared" ca="1" si="1423"/>
        <v>'0'!A46</v>
      </c>
      <c r="K4903" s="15" t="str">
        <f t="shared" ca="1" si="1424"/>
        <v>'0'!B46</v>
      </c>
    </row>
    <row r="4904" spans="1:16" x14ac:dyDescent="0.25">
      <c r="A4904" s="3" t="str">
        <f t="shared" ca="1" si="1406"/>
        <v/>
      </c>
      <c r="G4904" s="15">
        <f t="shared" ca="1" si="1415"/>
        <v>47</v>
      </c>
      <c r="H4904" s="15">
        <v>1</v>
      </c>
      <c r="I4904" s="15">
        <f t="shared" ca="1" si="1416"/>
        <v>0</v>
      </c>
      <c r="J4904" s="15" t="str">
        <f t="shared" ca="1" si="1423"/>
        <v>'0'!A47</v>
      </c>
      <c r="K4904" s="15" t="str">
        <f t="shared" ca="1" si="1424"/>
        <v>'0'!B47</v>
      </c>
    </row>
    <row r="4905" spans="1:16" x14ac:dyDescent="0.25">
      <c r="A4905" s="3" t="str">
        <f t="shared" ca="1" si="1406"/>
        <v/>
      </c>
      <c r="G4905" s="15">
        <f t="shared" ca="1" si="1415"/>
        <v>48</v>
      </c>
      <c r="H4905" s="15">
        <v>1</v>
      </c>
      <c r="I4905" s="15">
        <f t="shared" ca="1" si="1416"/>
        <v>0</v>
      </c>
      <c r="J4905" s="15" t="str">
        <f t="shared" ca="1" si="1423"/>
        <v>'0'!A48</v>
      </c>
      <c r="K4905" s="15" t="str">
        <f t="shared" ca="1" si="1424"/>
        <v>'0'!B48</v>
      </c>
    </row>
    <row r="4906" spans="1:16" x14ac:dyDescent="0.25">
      <c r="A4906" s="3" t="str">
        <f t="shared" ca="1" si="1406"/>
        <v/>
      </c>
      <c r="G4906" s="15">
        <f t="shared" ca="1" si="1415"/>
        <v>49</v>
      </c>
      <c r="H4906" s="15">
        <v>1</v>
      </c>
      <c r="I4906" s="15">
        <f t="shared" ca="1" si="1416"/>
        <v>0</v>
      </c>
      <c r="J4906" s="15" t="str">
        <f t="shared" ca="1" si="1423"/>
        <v>'0'!A49</v>
      </c>
      <c r="K4906" s="15" t="str">
        <f t="shared" ca="1" si="1424"/>
        <v>'0'!B49</v>
      </c>
    </row>
    <row r="4907" spans="1:16" x14ac:dyDescent="0.25">
      <c r="A4907" s="3" t="str">
        <f t="shared" ca="1" si="1406"/>
        <v/>
      </c>
      <c r="G4907" s="15">
        <f t="shared" ca="1" si="1415"/>
        <v>50</v>
      </c>
      <c r="H4907" s="15">
        <v>1</v>
      </c>
      <c r="I4907" s="15">
        <f t="shared" ca="1" si="1416"/>
        <v>0</v>
      </c>
      <c r="J4907" s="15" t="str">
        <f t="shared" ca="1" si="1423"/>
        <v>'0'!A50</v>
      </c>
      <c r="K4907" s="15" t="str">
        <f t="shared" ca="1" si="1424"/>
        <v>'0'!B50</v>
      </c>
    </row>
    <row r="4908" spans="1:16" x14ac:dyDescent="0.25">
      <c r="A4908" s="3" t="str">
        <f t="shared" ref="A4908:A4971" ca="1" si="1425">IFERROR(IF(INDIRECT(J4908)&lt;&gt;"",CONCATENATE(INDIRECT(J4908)," = ",INDIRECT(K4908)," "),""),"")</f>
        <v/>
      </c>
      <c r="G4908" s="15">
        <f t="shared" ref="G4908" ca="1" si="1426">INDIRECT(M4908)</f>
        <v>31</v>
      </c>
      <c r="H4908" s="15">
        <v>1</v>
      </c>
      <c r="I4908" s="15">
        <f t="shared" ref="I4908" ca="1" si="1427">INDIRECT(N4908)</f>
        <v>0</v>
      </c>
      <c r="J4908" s="15" t="str">
        <f t="shared" ca="1" si="1423"/>
        <v>'0'!A31</v>
      </c>
      <c r="K4908" s="15" t="str">
        <f t="shared" ca="1" si="1424"/>
        <v>'0'!B31</v>
      </c>
      <c r="M4908" s="15" t="str">
        <f t="shared" ref="M4908" si="1428">ADDRESS(O4908,3,4,1,$R$1)</f>
        <v>konfig!C247</v>
      </c>
      <c r="N4908" s="15" t="str">
        <f t="shared" ref="N4908" si="1429">ADDRESS(O4908,1,4,1,$R$1)</f>
        <v>konfig!A247</v>
      </c>
      <c r="O4908" s="15">
        <v>247</v>
      </c>
      <c r="P4908" s="15">
        <v>4</v>
      </c>
    </row>
    <row r="4909" spans="1:16" x14ac:dyDescent="0.25">
      <c r="A4909" s="3" t="str">
        <f t="shared" ca="1" si="1425"/>
        <v/>
      </c>
      <c r="G4909" s="15">
        <f t="shared" ref="G4909:G4949" ca="1" si="1430">G4908+1</f>
        <v>32</v>
      </c>
      <c r="H4909" s="15">
        <v>1</v>
      </c>
      <c r="I4909" s="15">
        <f t="shared" ref="I4909:I4949" ca="1" si="1431">I4908</f>
        <v>0</v>
      </c>
      <c r="J4909" s="15" t="str">
        <f t="shared" ca="1" si="1423"/>
        <v>'0'!A32</v>
      </c>
      <c r="K4909" s="15" t="str">
        <f t="shared" ca="1" si="1424"/>
        <v>'0'!B32</v>
      </c>
    </row>
    <row r="4910" spans="1:16" x14ac:dyDescent="0.25">
      <c r="A4910" s="3" t="str">
        <f t="shared" ca="1" si="1425"/>
        <v/>
      </c>
      <c r="G4910" s="15">
        <f t="shared" ca="1" si="1415"/>
        <v>33</v>
      </c>
      <c r="H4910" s="15">
        <v>1</v>
      </c>
      <c r="I4910" s="15">
        <f t="shared" ca="1" si="1416"/>
        <v>0</v>
      </c>
      <c r="J4910" s="15" t="str">
        <f t="shared" ca="1" si="1423"/>
        <v>'0'!A33</v>
      </c>
      <c r="K4910" s="15" t="str">
        <f t="shared" ca="1" si="1424"/>
        <v>'0'!B33</v>
      </c>
    </row>
    <row r="4911" spans="1:16" x14ac:dyDescent="0.25">
      <c r="A4911" s="3" t="str">
        <f t="shared" ca="1" si="1425"/>
        <v/>
      </c>
      <c r="C4911" s="16"/>
      <c r="G4911" s="15">
        <f t="shared" ca="1" si="1415"/>
        <v>34</v>
      </c>
      <c r="H4911" s="15">
        <v>1</v>
      </c>
      <c r="I4911" s="15">
        <f t="shared" ca="1" si="1416"/>
        <v>0</v>
      </c>
      <c r="J4911" s="15" t="str">
        <f t="shared" ca="1" si="1423"/>
        <v>'0'!A34</v>
      </c>
      <c r="K4911" s="15" t="str">
        <f t="shared" ca="1" si="1424"/>
        <v>'0'!B34</v>
      </c>
    </row>
    <row r="4912" spans="1:16" x14ac:dyDescent="0.25">
      <c r="A4912" s="3" t="str">
        <f t="shared" ca="1" si="1425"/>
        <v/>
      </c>
      <c r="G4912" s="15">
        <f t="shared" ca="1" si="1415"/>
        <v>35</v>
      </c>
      <c r="H4912" s="15">
        <v>1</v>
      </c>
      <c r="I4912" s="15">
        <f t="shared" ca="1" si="1416"/>
        <v>0</v>
      </c>
      <c r="J4912" s="15" t="str">
        <f t="shared" ca="1" si="1423"/>
        <v>'0'!A35</v>
      </c>
      <c r="K4912" s="15" t="str">
        <f t="shared" ca="1" si="1424"/>
        <v>'0'!B35</v>
      </c>
    </row>
    <row r="4913" spans="1:16" x14ac:dyDescent="0.25">
      <c r="A4913" s="3" t="str">
        <f t="shared" ca="1" si="1425"/>
        <v/>
      </c>
      <c r="G4913" s="15">
        <f t="shared" ca="1" si="1415"/>
        <v>36</v>
      </c>
      <c r="H4913" s="15">
        <v>1</v>
      </c>
      <c r="I4913" s="15">
        <f t="shared" ca="1" si="1416"/>
        <v>0</v>
      </c>
      <c r="J4913" s="15" t="str">
        <f t="shared" ca="1" si="1423"/>
        <v>'0'!A36</v>
      </c>
      <c r="K4913" s="15" t="str">
        <f t="shared" ca="1" si="1424"/>
        <v>'0'!B36</v>
      </c>
    </row>
    <row r="4914" spans="1:16" x14ac:dyDescent="0.25">
      <c r="A4914" s="3" t="str">
        <f t="shared" ca="1" si="1425"/>
        <v/>
      </c>
      <c r="G4914" s="15">
        <f t="shared" ca="1" si="1415"/>
        <v>37</v>
      </c>
      <c r="H4914" s="15">
        <v>1</v>
      </c>
      <c r="I4914" s="15">
        <f t="shared" ca="1" si="1416"/>
        <v>0</v>
      </c>
      <c r="J4914" s="15" t="str">
        <f t="shared" ca="1" si="1423"/>
        <v>'0'!A37</v>
      </c>
      <c r="K4914" s="15" t="str">
        <f t="shared" ca="1" si="1424"/>
        <v>'0'!B37</v>
      </c>
    </row>
    <row r="4915" spans="1:16" x14ac:dyDescent="0.25">
      <c r="A4915" s="3" t="str">
        <f t="shared" ca="1" si="1425"/>
        <v/>
      </c>
      <c r="G4915" s="15">
        <f t="shared" ca="1" si="1415"/>
        <v>38</v>
      </c>
      <c r="H4915" s="15">
        <v>1</v>
      </c>
      <c r="I4915" s="15">
        <f t="shared" ca="1" si="1416"/>
        <v>0</v>
      </c>
      <c r="J4915" s="15" t="str">
        <f t="shared" ca="1" si="1423"/>
        <v>'0'!A38</v>
      </c>
      <c r="K4915" s="15" t="str">
        <f t="shared" ca="1" si="1424"/>
        <v>'0'!B38</v>
      </c>
    </row>
    <row r="4916" spans="1:16" x14ac:dyDescent="0.25">
      <c r="A4916" s="3" t="str">
        <f t="shared" ca="1" si="1425"/>
        <v/>
      </c>
      <c r="G4916" s="15">
        <f t="shared" ca="1" si="1415"/>
        <v>39</v>
      </c>
      <c r="H4916" s="15">
        <v>1</v>
      </c>
      <c r="I4916" s="15">
        <f t="shared" ca="1" si="1416"/>
        <v>0</v>
      </c>
      <c r="J4916" s="15" t="str">
        <f t="shared" ca="1" si="1423"/>
        <v>'0'!A39</v>
      </c>
      <c r="K4916" s="15" t="str">
        <f t="shared" ca="1" si="1424"/>
        <v>'0'!B39</v>
      </c>
    </row>
    <row r="4917" spans="1:16" x14ac:dyDescent="0.25">
      <c r="A4917" s="3" t="str">
        <f t="shared" ca="1" si="1425"/>
        <v/>
      </c>
      <c r="G4917" s="15">
        <f t="shared" ca="1" si="1415"/>
        <v>40</v>
      </c>
      <c r="H4917" s="15">
        <v>1</v>
      </c>
      <c r="I4917" s="15">
        <f t="shared" ca="1" si="1416"/>
        <v>0</v>
      </c>
      <c r="J4917" s="15" t="str">
        <f t="shared" ca="1" si="1423"/>
        <v>'0'!A40</v>
      </c>
      <c r="K4917" s="15" t="str">
        <f t="shared" ca="1" si="1424"/>
        <v>'0'!B40</v>
      </c>
    </row>
    <row r="4918" spans="1:16" x14ac:dyDescent="0.25">
      <c r="A4918" s="3" t="str">
        <f t="shared" ca="1" si="1425"/>
        <v/>
      </c>
      <c r="G4918" s="15">
        <f t="shared" ca="1" si="1415"/>
        <v>41</v>
      </c>
      <c r="H4918" s="15">
        <v>1</v>
      </c>
      <c r="I4918" s="15">
        <f t="shared" ca="1" si="1416"/>
        <v>0</v>
      </c>
      <c r="J4918" s="15" t="str">
        <f t="shared" ca="1" si="1423"/>
        <v>'0'!A41</v>
      </c>
      <c r="K4918" s="15" t="str">
        <f t="shared" ca="1" si="1424"/>
        <v>'0'!B41</v>
      </c>
    </row>
    <row r="4919" spans="1:16" x14ac:dyDescent="0.25">
      <c r="A4919" s="3" t="str">
        <f t="shared" ca="1" si="1425"/>
        <v/>
      </c>
      <c r="C4919" s="16"/>
      <c r="G4919" s="15">
        <f t="shared" ca="1" si="1415"/>
        <v>42</v>
      </c>
      <c r="H4919" s="15">
        <v>1</v>
      </c>
      <c r="I4919" s="15">
        <f t="shared" ca="1" si="1416"/>
        <v>0</v>
      </c>
      <c r="J4919" s="15" t="str">
        <f t="shared" ca="1" si="1423"/>
        <v>'0'!A42</v>
      </c>
      <c r="K4919" s="15" t="str">
        <f t="shared" ca="1" si="1424"/>
        <v>'0'!B42</v>
      </c>
    </row>
    <row r="4920" spans="1:16" x14ac:dyDescent="0.25">
      <c r="A4920" s="3" t="str">
        <f t="shared" ca="1" si="1425"/>
        <v/>
      </c>
      <c r="G4920" s="15">
        <f t="shared" ca="1" si="1415"/>
        <v>43</v>
      </c>
      <c r="H4920" s="15">
        <v>1</v>
      </c>
      <c r="I4920" s="15">
        <f t="shared" ca="1" si="1416"/>
        <v>0</v>
      </c>
      <c r="J4920" s="15" t="str">
        <f t="shared" ca="1" si="1423"/>
        <v>'0'!A43</v>
      </c>
      <c r="K4920" s="15" t="str">
        <f t="shared" ca="1" si="1424"/>
        <v>'0'!B43</v>
      </c>
    </row>
    <row r="4921" spans="1:16" x14ac:dyDescent="0.25">
      <c r="A4921" s="3" t="str">
        <f t="shared" ca="1" si="1425"/>
        <v/>
      </c>
      <c r="G4921" s="15">
        <f t="shared" ca="1" si="1415"/>
        <v>44</v>
      </c>
      <c r="H4921" s="15">
        <v>1</v>
      </c>
      <c r="I4921" s="15">
        <f t="shared" ca="1" si="1416"/>
        <v>0</v>
      </c>
      <c r="J4921" s="15" t="str">
        <f t="shared" ca="1" si="1423"/>
        <v>'0'!A44</v>
      </c>
      <c r="K4921" s="15" t="str">
        <f t="shared" ca="1" si="1424"/>
        <v>'0'!B44</v>
      </c>
    </row>
    <row r="4922" spans="1:16" x14ac:dyDescent="0.25">
      <c r="A4922" s="3" t="str">
        <f t="shared" ca="1" si="1425"/>
        <v/>
      </c>
      <c r="G4922" s="15">
        <f t="shared" ca="1" si="1415"/>
        <v>45</v>
      </c>
      <c r="H4922" s="15">
        <v>1</v>
      </c>
      <c r="I4922" s="15">
        <f t="shared" ca="1" si="1416"/>
        <v>0</v>
      </c>
      <c r="J4922" s="15" t="str">
        <f t="shared" ca="1" si="1423"/>
        <v>'0'!A45</v>
      </c>
      <c r="K4922" s="15" t="str">
        <f t="shared" ca="1" si="1424"/>
        <v>'0'!B45</v>
      </c>
    </row>
    <row r="4923" spans="1:16" x14ac:dyDescent="0.25">
      <c r="A4923" s="3" t="str">
        <f t="shared" ca="1" si="1425"/>
        <v/>
      </c>
      <c r="G4923" s="15">
        <f t="shared" ca="1" si="1415"/>
        <v>46</v>
      </c>
      <c r="H4923" s="15">
        <v>1</v>
      </c>
      <c r="I4923" s="15">
        <f t="shared" ca="1" si="1416"/>
        <v>0</v>
      </c>
      <c r="J4923" s="15" t="str">
        <f t="shared" ca="1" si="1423"/>
        <v>'0'!A46</v>
      </c>
      <c r="K4923" s="15" t="str">
        <f t="shared" ca="1" si="1424"/>
        <v>'0'!B46</v>
      </c>
    </row>
    <row r="4924" spans="1:16" x14ac:dyDescent="0.25">
      <c r="A4924" s="3" t="str">
        <f t="shared" ca="1" si="1425"/>
        <v/>
      </c>
      <c r="G4924" s="15">
        <f t="shared" ca="1" si="1415"/>
        <v>47</v>
      </c>
      <c r="H4924" s="15">
        <v>1</v>
      </c>
      <c r="I4924" s="15">
        <f t="shared" ca="1" si="1416"/>
        <v>0</v>
      </c>
      <c r="J4924" s="15" t="str">
        <f t="shared" ca="1" si="1423"/>
        <v>'0'!A47</v>
      </c>
      <c r="K4924" s="15" t="str">
        <f t="shared" ca="1" si="1424"/>
        <v>'0'!B47</v>
      </c>
    </row>
    <row r="4925" spans="1:16" x14ac:dyDescent="0.25">
      <c r="A4925" s="3" t="str">
        <f t="shared" ca="1" si="1425"/>
        <v/>
      </c>
      <c r="G4925" s="15">
        <f t="shared" ca="1" si="1415"/>
        <v>48</v>
      </c>
      <c r="H4925" s="15">
        <v>1</v>
      </c>
      <c r="I4925" s="15">
        <f t="shared" ca="1" si="1416"/>
        <v>0</v>
      </c>
      <c r="J4925" s="15" t="str">
        <f t="shared" ca="1" si="1423"/>
        <v>'0'!A48</v>
      </c>
      <c r="K4925" s="15" t="str">
        <f t="shared" ca="1" si="1424"/>
        <v>'0'!B48</v>
      </c>
    </row>
    <row r="4926" spans="1:16" x14ac:dyDescent="0.25">
      <c r="A4926" s="3" t="str">
        <f t="shared" ca="1" si="1425"/>
        <v/>
      </c>
      <c r="G4926" s="15">
        <f t="shared" ca="1" si="1415"/>
        <v>49</v>
      </c>
      <c r="H4926" s="15">
        <v>1</v>
      </c>
      <c r="I4926" s="15">
        <f t="shared" ca="1" si="1416"/>
        <v>0</v>
      </c>
      <c r="J4926" s="15" t="str">
        <f t="shared" ca="1" si="1423"/>
        <v>'0'!A49</v>
      </c>
      <c r="K4926" s="15" t="str">
        <f t="shared" ca="1" si="1424"/>
        <v>'0'!B49</v>
      </c>
    </row>
    <row r="4927" spans="1:16" x14ac:dyDescent="0.25">
      <c r="A4927" s="3" t="str">
        <f t="shared" ca="1" si="1425"/>
        <v/>
      </c>
      <c r="G4927" s="15">
        <f t="shared" ca="1" si="1415"/>
        <v>50</v>
      </c>
      <c r="H4927" s="15">
        <v>1</v>
      </c>
      <c r="I4927" s="15">
        <f t="shared" ca="1" si="1416"/>
        <v>0</v>
      </c>
      <c r="J4927" s="15" t="str">
        <f t="shared" ca="1" si="1423"/>
        <v>'0'!A50</v>
      </c>
      <c r="K4927" s="15" t="str">
        <f t="shared" ca="1" si="1424"/>
        <v>'0'!B50</v>
      </c>
    </row>
    <row r="4928" spans="1:16" x14ac:dyDescent="0.25">
      <c r="A4928" s="3" t="str">
        <f t="shared" ca="1" si="1425"/>
        <v/>
      </c>
      <c r="G4928" s="15">
        <f t="shared" ref="G4928" ca="1" si="1432">INDIRECT(M4928)</f>
        <v>31</v>
      </c>
      <c r="H4928" s="15">
        <v>1</v>
      </c>
      <c r="I4928" s="15">
        <f t="shared" ref="I4928" ca="1" si="1433">INDIRECT(N4928)</f>
        <v>0</v>
      </c>
      <c r="J4928" s="15" t="str">
        <f t="shared" ca="1" si="1423"/>
        <v>'0'!A31</v>
      </c>
      <c r="K4928" s="15" t="str">
        <f t="shared" ca="1" si="1424"/>
        <v>'0'!B31</v>
      </c>
      <c r="M4928" s="15" t="str">
        <f t="shared" ref="M4928" si="1434">ADDRESS(O4928,3,4,1,$R$1)</f>
        <v>konfig!C248</v>
      </c>
      <c r="N4928" s="15" t="str">
        <f t="shared" ref="N4928" si="1435">ADDRESS(O4928,1,4,1,$R$1)</f>
        <v>konfig!A248</v>
      </c>
      <c r="O4928" s="15">
        <v>248</v>
      </c>
      <c r="P4928" s="15">
        <v>4</v>
      </c>
    </row>
    <row r="4929" spans="1:11" x14ac:dyDescent="0.25">
      <c r="A4929" s="3" t="str">
        <f t="shared" ca="1" si="1425"/>
        <v/>
      </c>
      <c r="G4929" s="15">
        <f t="shared" ca="1" si="1421"/>
        <v>32</v>
      </c>
      <c r="H4929" s="15">
        <v>1</v>
      </c>
      <c r="I4929" s="15">
        <f t="shared" ca="1" si="1422"/>
        <v>0</v>
      </c>
      <c r="J4929" s="15" t="str">
        <f t="shared" ca="1" si="1423"/>
        <v>'0'!A32</v>
      </c>
      <c r="K4929" s="15" t="str">
        <f t="shared" ca="1" si="1424"/>
        <v>'0'!B32</v>
      </c>
    </row>
    <row r="4930" spans="1:11" x14ac:dyDescent="0.25">
      <c r="A4930" s="3" t="str">
        <f t="shared" ca="1" si="1425"/>
        <v/>
      </c>
      <c r="G4930" s="15">
        <f t="shared" ca="1" si="1421"/>
        <v>33</v>
      </c>
      <c r="H4930" s="15">
        <v>1</v>
      </c>
      <c r="I4930" s="15">
        <f t="shared" ca="1" si="1422"/>
        <v>0</v>
      </c>
      <c r="J4930" s="15" t="str">
        <f t="shared" ca="1" si="1423"/>
        <v>'0'!A33</v>
      </c>
      <c r="K4930" s="15" t="str">
        <f t="shared" ca="1" si="1424"/>
        <v>'0'!B33</v>
      </c>
    </row>
    <row r="4931" spans="1:11" x14ac:dyDescent="0.25">
      <c r="A4931" s="3" t="str">
        <f t="shared" ca="1" si="1425"/>
        <v/>
      </c>
      <c r="C4931" s="16"/>
      <c r="G4931" s="15">
        <f t="shared" ca="1" si="1421"/>
        <v>34</v>
      </c>
      <c r="H4931" s="15">
        <v>1</v>
      </c>
      <c r="I4931" s="15">
        <f t="shared" ca="1" si="1422"/>
        <v>0</v>
      </c>
      <c r="J4931" s="15" t="str">
        <f t="shared" ca="1" si="1423"/>
        <v>'0'!A34</v>
      </c>
      <c r="K4931" s="15" t="str">
        <f t="shared" ca="1" si="1424"/>
        <v>'0'!B34</v>
      </c>
    </row>
    <row r="4932" spans="1:11" x14ac:dyDescent="0.25">
      <c r="A4932" s="3" t="str">
        <f t="shared" ca="1" si="1425"/>
        <v/>
      </c>
      <c r="G4932" s="15">
        <f t="shared" ca="1" si="1421"/>
        <v>35</v>
      </c>
      <c r="H4932" s="15">
        <v>1</v>
      </c>
      <c r="I4932" s="15">
        <f t="shared" ca="1" si="1422"/>
        <v>0</v>
      </c>
      <c r="J4932" s="15" t="str">
        <f t="shared" ca="1" si="1423"/>
        <v>'0'!A35</v>
      </c>
      <c r="K4932" s="15" t="str">
        <f t="shared" ca="1" si="1424"/>
        <v>'0'!B35</v>
      </c>
    </row>
    <row r="4933" spans="1:11" x14ac:dyDescent="0.25">
      <c r="A4933" s="3" t="str">
        <f t="shared" ca="1" si="1425"/>
        <v/>
      </c>
      <c r="G4933" s="15">
        <f t="shared" ca="1" si="1415"/>
        <v>36</v>
      </c>
      <c r="H4933" s="15">
        <v>1</v>
      </c>
      <c r="I4933" s="15">
        <f t="shared" ca="1" si="1416"/>
        <v>0</v>
      </c>
      <c r="J4933" s="15" t="str">
        <f t="shared" ca="1" si="1423"/>
        <v>'0'!A36</v>
      </c>
      <c r="K4933" s="15" t="str">
        <f t="shared" ca="1" si="1424"/>
        <v>'0'!B36</v>
      </c>
    </row>
    <row r="4934" spans="1:11" x14ac:dyDescent="0.25">
      <c r="A4934" s="3" t="str">
        <f t="shared" ca="1" si="1425"/>
        <v/>
      </c>
      <c r="G4934" s="15">
        <f t="shared" ca="1" si="1415"/>
        <v>37</v>
      </c>
      <c r="H4934" s="15">
        <v>1</v>
      </c>
      <c r="I4934" s="15">
        <f t="shared" ca="1" si="1416"/>
        <v>0</v>
      </c>
      <c r="J4934" s="15" t="str">
        <f t="shared" ca="1" si="1423"/>
        <v>'0'!A37</v>
      </c>
      <c r="K4934" s="15" t="str">
        <f t="shared" ca="1" si="1424"/>
        <v>'0'!B37</v>
      </c>
    </row>
    <row r="4935" spans="1:11" x14ac:dyDescent="0.25">
      <c r="A4935" s="3" t="str">
        <f t="shared" ca="1" si="1425"/>
        <v/>
      </c>
      <c r="G4935" s="15">
        <f t="shared" ca="1" si="1415"/>
        <v>38</v>
      </c>
      <c r="H4935" s="15">
        <v>1</v>
      </c>
      <c r="I4935" s="15">
        <f t="shared" ca="1" si="1416"/>
        <v>0</v>
      </c>
      <c r="J4935" s="15" t="str">
        <f t="shared" ca="1" si="1423"/>
        <v>'0'!A38</v>
      </c>
      <c r="K4935" s="15" t="str">
        <f t="shared" ca="1" si="1424"/>
        <v>'0'!B38</v>
      </c>
    </row>
    <row r="4936" spans="1:11" x14ac:dyDescent="0.25">
      <c r="A4936" s="3" t="str">
        <f t="shared" ca="1" si="1425"/>
        <v/>
      </c>
      <c r="G4936" s="15">
        <f t="shared" ca="1" si="1415"/>
        <v>39</v>
      </c>
      <c r="H4936" s="15">
        <v>1</v>
      </c>
      <c r="I4936" s="15">
        <f t="shared" ca="1" si="1416"/>
        <v>0</v>
      </c>
      <c r="J4936" s="15" t="str">
        <f t="shared" ca="1" si="1423"/>
        <v>'0'!A39</v>
      </c>
      <c r="K4936" s="15" t="str">
        <f t="shared" ca="1" si="1424"/>
        <v>'0'!B39</v>
      </c>
    </row>
    <row r="4937" spans="1:11" x14ac:dyDescent="0.25">
      <c r="A4937" s="3" t="str">
        <f t="shared" ca="1" si="1425"/>
        <v/>
      </c>
      <c r="G4937" s="15">
        <f t="shared" ref="G4937:G5000" ca="1" si="1436">G4936+1</f>
        <v>40</v>
      </c>
      <c r="H4937" s="15">
        <v>1</v>
      </c>
      <c r="I4937" s="15">
        <f t="shared" ref="I4937:I5000" ca="1" si="1437">I4936</f>
        <v>0</v>
      </c>
      <c r="J4937" s="15" t="str">
        <f t="shared" ca="1" si="1423"/>
        <v>'0'!A40</v>
      </c>
      <c r="K4937" s="15" t="str">
        <f t="shared" ca="1" si="1424"/>
        <v>'0'!B40</v>
      </c>
    </row>
    <row r="4938" spans="1:11" x14ac:dyDescent="0.25">
      <c r="A4938" s="3" t="str">
        <f t="shared" ca="1" si="1425"/>
        <v/>
      </c>
      <c r="G4938" s="15">
        <f t="shared" ca="1" si="1436"/>
        <v>41</v>
      </c>
      <c r="H4938" s="15">
        <v>1</v>
      </c>
      <c r="I4938" s="15">
        <f t="shared" ca="1" si="1437"/>
        <v>0</v>
      </c>
      <c r="J4938" s="15" t="str">
        <f t="shared" ca="1" si="1423"/>
        <v>'0'!A41</v>
      </c>
      <c r="K4938" s="15" t="str">
        <f t="shared" ca="1" si="1424"/>
        <v>'0'!B41</v>
      </c>
    </row>
    <row r="4939" spans="1:11" x14ac:dyDescent="0.25">
      <c r="A4939" s="3" t="str">
        <f t="shared" ca="1" si="1425"/>
        <v/>
      </c>
      <c r="C4939" s="16"/>
      <c r="G4939" s="15">
        <f t="shared" ca="1" si="1436"/>
        <v>42</v>
      </c>
      <c r="H4939" s="15">
        <v>1</v>
      </c>
      <c r="I4939" s="15">
        <f t="shared" ca="1" si="1437"/>
        <v>0</v>
      </c>
      <c r="J4939" s="15" t="str">
        <f t="shared" ca="1" si="1423"/>
        <v>'0'!A42</v>
      </c>
      <c r="K4939" s="15" t="str">
        <f t="shared" ca="1" si="1424"/>
        <v>'0'!B42</v>
      </c>
    </row>
    <row r="4940" spans="1:11" x14ac:dyDescent="0.25">
      <c r="A4940" s="3" t="str">
        <f t="shared" ca="1" si="1425"/>
        <v/>
      </c>
      <c r="G4940" s="15">
        <f t="shared" ca="1" si="1436"/>
        <v>43</v>
      </c>
      <c r="H4940" s="15">
        <v>1</v>
      </c>
      <c r="I4940" s="15">
        <f t="shared" ca="1" si="1437"/>
        <v>0</v>
      </c>
      <c r="J4940" s="15" t="str">
        <f t="shared" ca="1" si="1423"/>
        <v>'0'!A43</v>
      </c>
      <c r="K4940" s="15" t="str">
        <f t="shared" ca="1" si="1424"/>
        <v>'0'!B43</v>
      </c>
    </row>
    <row r="4941" spans="1:11" x14ac:dyDescent="0.25">
      <c r="A4941" s="3" t="str">
        <f t="shared" ca="1" si="1425"/>
        <v/>
      </c>
      <c r="G4941" s="15">
        <f t="shared" ca="1" si="1436"/>
        <v>44</v>
      </c>
      <c r="H4941" s="15">
        <v>1</v>
      </c>
      <c r="I4941" s="15">
        <f t="shared" ca="1" si="1437"/>
        <v>0</v>
      </c>
      <c r="J4941" s="15" t="str">
        <f t="shared" ca="1" si="1423"/>
        <v>'0'!A44</v>
      </c>
      <c r="K4941" s="15" t="str">
        <f t="shared" ca="1" si="1424"/>
        <v>'0'!B44</v>
      </c>
    </row>
    <row r="4942" spans="1:11" x14ac:dyDescent="0.25">
      <c r="A4942" s="3" t="str">
        <f t="shared" ca="1" si="1425"/>
        <v/>
      </c>
      <c r="G4942" s="15">
        <f t="shared" ca="1" si="1436"/>
        <v>45</v>
      </c>
      <c r="H4942" s="15">
        <v>1</v>
      </c>
      <c r="I4942" s="15">
        <f t="shared" ca="1" si="1437"/>
        <v>0</v>
      </c>
      <c r="J4942" s="15" t="str">
        <f t="shared" ca="1" si="1423"/>
        <v>'0'!A45</v>
      </c>
      <c r="K4942" s="15" t="str">
        <f t="shared" ca="1" si="1424"/>
        <v>'0'!B45</v>
      </c>
    </row>
    <row r="4943" spans="1:11" x14ac:dyDescent="0.25">
      <c r="A4943" s="3" t="str">
        <f t="shared" ca="1" si="1425"/>
        <v/>
      </c>
      <c r="G4943" s="15">
        <f t="shared" ca="1" si="1436"/>
        <v>46</v>
      </c>
      <c r="H4943" s="15">
        <v>1</v>
      </c>
      <c r="I4943" s="15">
        <f t="shared" ca="1" si="1437"/>
        <v>0</v>
      </c>
      <c r="J4943" s="15" t="str">
        <f t="shared" ca="1" si="1423"/>
        <v>'0'!A46</v>
      </c>
      <c r="K4943" s="15" t="str">
        <f t="shared" ca="1" si="1424"/>
        <v>'0'!B46</v>
      </c>
    </row>
    <row r="4944" spans="1:11" x14ac:dyDescent="0.25">
      <c r="A4944" s="3" t="str">
        <f t="shared" ca="1" si="1425"/>
        <v/>
      </c>
      <c r="G4944" s="15">
        <f t="shared" ca="1" si="1436"/>
        <v>47</v>
      </c>
      <c r="H4944" s="15">
        <v>1</v>
      </c>
      <c r="I4944" s="15">
        <f t="shared" ca="1" si="1437"/>
        <v>0</v>
      </c>
      <c r="J4944" s="15" t="str">
        <f t="shared" ca="1" si="1423"/>
        <v>'0'!A47</v>
      </c>
      <c r="K4944" s="15" t="str">
        <f t="shared" ca="1" si="1424"/>
        <v>'0'!B47</v>
      </c>
    </row>
    <row r="4945" spans="1:16" x14ac:dyDescent="0.25">
      <c r="A4945" s="3" t="str">
        <f t="shared" ca="1" si="1425"/>
        <v/>
      </c>
      <c r="G4945" s="15">
        <f t="shared" ca="1" si="1436"/>
        <v>48</v>
      </c>
      <c r="H4945" s="15">
        <v>1</v>
      </c>
      <c r="I4945" s="15">
        <f t="shared" ca="1" si="1437"/>
        <v>0</v>
      </c>
      <c r="J4945" s="15" t="str">
        <f t="shared" ca="1" si="1423"/>
        <v>'0'!A48</v>
      </c>
      <c r="K4945" s="15" t="str">
        <f t="shared" ca="1" si="1424"/>
        <v>'0'!B48</v>
      </c>
    </row>
    <row r="4946" spans="1:16" x14ac:dyDescent="0.25">
      <c r="A4946" s="3" t="str">
        <f t="shared" ca="1" si="1425"/>
        <v/>
      </c>
      <c r="G4946" s="15">
        <f t="shared" ca="1" si="1436"/>
        <v>49</v>
      </c>
      <c r="H4946" s="15">
        <v>1</v>
      </c>
      <c r="I4946" s="15">
        <f t="shared" ca="1" si="1437"/>
        <v>0</v>
      </c>
      <c r="J4946" s="15" t="str">
        <f t="shared" ca="1" si="1423"/>
        <v>'0'!A49</v>
      </c>
      <c r="K4946" s="15" t="str">
        <f t="shared" ca="1" si="1424"/>
        <v>'0'!B49</v>
      </c>
    </row>
    <row r="4947" spans="1:16" x14ac:dyDescent="0.25">
      <c r="A4947" s="3" t="str">
        <f t="shared" ca="1" si="1425"/>
        <v/>
      </c>
      <c r="G4947" s="15">
        <f t="shared" ca="1" si="1436"/>
        <v>50</v>
      </c>
      <c r="H4947" s="15">
        <v>1</v>
      </c>
      <c r="I4947" s="15">
        <f t="shared" ca="1" si="1437"/>
        <v>0</v>
      </c>
      <c r="J4947" s="15" t="str">
        <f t="shared" ca="1" si="1423"/>
        <v>'0'!A50</v>
      </c>
      <c r="K4947" s="15" t="str">
        <f t="shared" ca="1" si="1424"/>
        <v>'0'!B50</v>
      </c>
    </row>
    <row r="4948" spans="1:16" x14ac:dyDescent="0.25">
      <c r="A4948" s="3" t="str">
        <f t="shared" ca="1" si="1425"/>
        <v/>
      </c>
      <c r="G4948" s="15">
        <f t="shared" ref="G4948" ca="1" si="1438">INDIRECT(M4948)</f>
        <v>31</v>
      </c>
      <c r="H4948" s="15">
        <v>1</v>
      </c>
      <c r="I4948" s="15">
        <f t="shared" ref="I4948" ca="1" si="1439">INDIRECT(N4948)</f>
        <v>0</v>
      </c>
      <c r="J4948" s="15" t="str">
        <f t="shared" ca="1" si="1423"/>
        <v>'0'!A31</v>
      </c>
      <c r="K4948" s="15" t="str">
        <f t="shared" ca="1" si="1424"/>
        <v>'0'!B31</v>
      </c>
      <c r="M4948" s="15" t="str">
        <f t="shared" ref="M4948" si="1440">ADDRESS(O4948,3,4,1,$R$1)</f>
        <v>konfig!C249</v>
      </c>
      <c r="N4948" s="15" t="str">
        <f t="shared" ref="N4948" si="1441">ADDRESS(O4948,1,4,1,$R$1)</f>
        <v>konfig!A249</v>
      </c>
      <c r="O4948" s="15">
        <v>249</v>
      </c>
      <c r="P4948" s="15">
        <v>4</v>
      </c>
    </row>
    <row r="4949" spans="1:16" x14ac:dyDescent="0.25">
      <c r="A4949" s="3" t="str">
        <f t="shared" ca="1" si="1425"/>
        <v/>
      </c>
      <c r="G4949" s="15">
        <f t="shared" ca="1" si="1430"/>
        <v>32</v>
      </c>
      <c r="H4949" s="15">
        <v>1</v>
      </c>
      <c r="I4949" s="15">
        <f t="shared" ca="1" si="1431"/>
        <v>0</v>
      </c>
      <c r="J4949" s="15" t="str">
        <f t="shared" ca="1" si="1423"/>
        <v>'0'!A32</v>
      </c>
      <c r="K4949" s="15" t="str">
        <f t="shared" ca="1" si="1424"/>
        <v>'0'!B32</v>
      </c>
    </row>
    <row r="4950" spans="1:16" x14ac:dyDescent="0.25">
      <c r="A4950" s="3" t="str">
        <f t="shared" ca="1" si="1425"/>
        <v/>
      </c>
      <c r="G4950" s="15">
        <f t="shared" ca="1" si="1436"/>
        <v>33</v>
      </c>
      <c r="H4950" s="15">
        <v>1</v>
      </c>
      <c r="I4950" s="15">
        <f t="shared" ca="1" si="1437"/>
        <v>0</v>
      </c>
      <c r="J4950" s="15" t="str">
        <f t="shared" ca="1" si="1423"/>
        <v>'0'!A33</v>
      </c>
      <c r="K4950" s="15" t="str">
        <f t="shared" ca="1" si="1424"/>
        <v>'0'!B33</v>
      </c>
    </row>
    <row r="4951" spans="1:16" x14ac:dyDescent="0.25">
      <c r="A4951" s="3" t="str">
        <f t="shared" ca="1" si="1425"/>
        <v/>
      </c>
      <c r="C4951" s="16"/>
      <c r="G4951" s="15">
        <f t="shared" ca="1" si="1436"/>
        <v>34</v>
      </c>
      <c r="H4951" s="15">
        <v>1</v>
      </c>
      <c r="I4951" s="15">
        <f t="shared" ca="1" si="1437"/>
        <v>0</v>
      </c>
      <c r="J4951" s="15" t="str">
        <f t="shared" ca="1" si="1423"/>
        <v>'0'!A34</v>
      </c>
      <c r="K4951" s="15" t="str">
        <f t="shared" ca="1" si="1424"/>
        <v>'0'!B34</v>
      </c>
    </row>
    <row r="4952" spans="1:16" x14ac:dyDescent="0.25">
      <c r="A4952" s="3" t="str">
        <f t="shared" ca="1" si="1425"/>
        <v/>
      </c>
      <c r="G4952" s="15">
        <f t="shared" ca="1" si="1436"/>
        <v>35</v>
      </c>
      <c r="H4952" s="15">
        <v>1</v>
      </c>
      <c r="I4952" s="15">
        <f t="shared" ca="1" si="1437"/>
        <v>0</v>
      </c>
      <c r="J4952" s="15" t="str">
        <f t="shared" ca="1" si="1423"/>
        <v>'0'!A35</v>
      </c>
      <c r="K4952" s="15" t="str">
        <f t="shared" ca="1" si="1424"/>
        <v>'0'!B35</v>
      </c>
    </row>
    <row r="4953" spans="1:16" x14ac:dyDescent="0.25">
      <c r="A4953" s="3" t="str">
        <f t="shared" ca="1" si="1425"/>
        <v/>
      </c>
      <c r="G4953" s="15">
        <f t="shared" ca="1" si="1436"/>
        <v>36</v>
      </c>
      <c r="H4953" s="15">
        <v>1</v>
      </c>
      <c r="I4953" s="15">
        <f t="shared" ca="1" si="1437"/>
        <v>0</v>
      </c>
      <c r="J4953" s="15" t="str">
        <f t="shared" ca="1" si="1423"/>
        <v>'0'!A36</v>
      </c>
      <c r="K4953" s="15" t="str">
        <f t="shared" ca="1" si="1424"/>
        <v>'0'!B36</v>
      </c>
    </row>
    <row r="4954" spans="1:16" x14ac:dyDescent="0.25">
      <c r="A4954" s="3" t="str">
        <f t="shared" ca="1" si="1425"/>
        <v/>
      </c>
      <c r="G4954" s="15">
        <f t="shared" ca="1" si="1436"/>
        <v>37</v>
      </c>
      <c r="H4954" s="15">
        <v>1</v>
      </c>
      <c r="I4954" s="15">
        <f t="shared" ca="1" si="1437"/>
        <v>0</v>
      </c>
      <c r="J4954" s="15" t="str">
        <f t="shared" ca="1" si="1423"/>
        <v>'0'!A37</v>
      </c>
      <c r="K4954" s="15" t="str">
        <f t="shared" ca="1" si="1424"/>
        <v>'0'!B37</v>
      </c>
    </row>
    <row r="4955" spans="1:16" x14ac:dyDescent="0.25">
      <c r="A4955" s="3" t="str">
        <f t="shared" ca="1" si="1425"/>
        <v/>
      </c>
      <c r="G4955" s="15">
        <f t="shared" ca="1" si="1436"/>
        <v>38</v>
      </c>
      <c r="H4955" s="15">
        <v>1</v>
      </c>
      <c r="I4955" s="15">
        <f t="shared" ca="1" si="1437"/>
        <v>0</v>
      </c>
      <c r="J4955" s="15" t="str">
        <f t="shared" ca="1" si="1423"/>
        <v>'0'!A38</v>
      </c>
      <c r="K4955" s="15" t="str">
        <f t="shared" ca="1" si="1424"/>
        <v>'0'!B38</v>
      </c>
    </row>
    <row r="4956" spans="1:16" x14ac:dyDescent="0.25">
      <c r="A4956" s="3" t="str">
        <f t="shared" ca="1" si="1425"/>
        <v/>
      </c>
      <c r="G4956" s="15">
        <f t="shared" ca="1" si="1436"/>
        <v>39</v>
      </c>
      <c r="H4956" s="15">
        <v>1</v>
      </c>
      <c r="I4956" s="15">
        <f t="shared" ca="1" si="1437"/>
        <v>0</v>
      </c>
      <c r="J4956" s="15" t="str">
        <f t="shared" ca="1" si="1423"/>
        <v>'0'!A39</v>
      </c>
      <c r="K4956" s="15" t="str">
        <f t="shared" ca="1" si="1424"/>
        <v>'0'!B39</v>
      </c>
    </row>
    <row r="4957" spans="1:16" x14ac:dyDescent="0.25">
      <c r="A4957" s="3" t="str">
        <f t="shared" ca="1" si="1425"/>
        <v/>
      </c>
      <c r="G4957" s="15">
        <f t="shared" ca="1" si="1436"/>
        <v>40</v>
      </c>
      <c r="H4957" s="15">
        <v>1</v>
      </c>
      <c r="I4957" s="15">
        <f t="shared" ca="1" si="1437"/>
        <v>0</v>
      </c>
      <c r="J4957" s="15" t="str">
        <f t="shared" ca="1" si="1423"/>
        <v>'0'!A40</v>
      </c>
      <c r="K4957" s="15" t="str">
        <f t="shared" ca="1" si="1424"/>
        <v>'0'!B40</v>
      </c>
    </row>
    <row r="4958" spans="1:16" x14ac:dyDescent="0.25">
      <c r="A4958" s="3" t="str">
        <f t="shared" ca="1" si="1425"/>
        <v/>
      </c>
      <c r="G4958" s="15">
        <f t="shared" ca="1" si="1436"/>
        <v>41</v>
      </c>
      <c r="H4958" s="15">
        <v>1</v>
      </c>
      <c r="I4958" s="15">
        <f t="shared" ca="1" si="1437"/>
        <v>0</v>
      </c>
      <c r="J4958" s="15" t="str">
        <f t="shared" ca="1" si="1423"/>
        <v>'0'!A41</v>
      </c>
      <c r="K4958" s="15" t="str">
        <f t="shared" ca="1" si="1424"/>
        <v>'0'!B41</v>
      </c>
    </row>
    <row r="4959" spans="1:16" x14ac:dyDescent="0.25">
      <c r="A4959" s="3" t="str">
        <f t="shared" ca="1" si="1425"/>
        <v/>
      </c>
      <c r="C4959" s="16"/>
      <c r="G4959" s="15">
        <f t="shared" ca="1" si="1436"/>
        <v>42</v>
      </c>
      <c r="H4959" s="15">
        <v>1</v>
      </c>
      <c r="I4959" s="15">
        <f t="shared" ca="1" si="1437"/>
        <v>0</v>
      </c>
      <c r="J4959" s="15" t="str">
        <f t="shared" ca="1" si="1423"/>
        <v>'0'!A42</v>
      </c>
      <c r="K4959" s="15" t="str">
        <f t="shared" ca="1" si="1424"/>
        <v>'0'!B42</v>
      </c>
    </row>
    <row r="4960" spans="1:16" x14ac:dyDescent="0.25">
      <c r="A4960" s="3" t="str">
        <f t="shared" ca="1" si="1425"/>
        <v/>
      </c>
      <c r="G4960" s="15">
        <f t="shared" ca="1" si="1436"/>
        <v>43</v>
      </c>
      <c r="H4960" s="15">
        <v>1</v>
      </c>
      <c r="I4960" s="15">
        <f t="shared" ca="1" si="1437"/>
        <v>0</v>
      </c>
      <c r="J4960" s="15" t="str">
        <f t="shared" ca="1" si="1423"/>
        <v>'0'!A43</v>
      </c>
      <c r="K4960" s="15" t="str">
        <f t="shared" ca="1" si="1424"/>
        <v>'0'!B43</v>
      </c>
    </row>
    <row r="4961" spans="1:16" x14ac:dyDescent="0.25">
      <c r="A4961" s="3" t="str">
        <f t="shared" ca="1" si="1425"/>
        <v/>
      </c>
      <c r="G4961" s="15">
        <f t="shared" ca="1" si="1436"/>
        <v>44</v>
      </c>
      <c r="H4961" s="15">
        <v>1</v>
      </c>
      <c r="I4961" s="15">
        <f t="shared" ca="1" si="1437"/>
        <v>0</v>
      </c>
      <c r="J4961" s="15" t="str">
        <f t="shared" ca="1" si="1423"/>
        <v>'0'!A44</v>
      </c>
      <c r="K4961" s="15" t="str">
        <f t="shared" ca="1" si="1424"/>
        <v>'0'!B44</v>
      </c>
    </row>
    <row r="4962" spans="1:16" x14ac:dyDescent="0.25">
      <c r="A4962" s="3" t="str">
        <f t="shared" ca="1" si="1425"/>
        <v/>
      </c>
      <c r="G4962" s="15">
        <f t="shared" ca="1" si="1436"/>
        <v>45</v>
      </c>
      <c r="H4962" s="15">
        <v>1</v>
      </c>
      <c r="I4962" s="15">
        <f t="shared" ca="1" si="1437"/>
        <v>0</v>
      </c>
      <c r="J4962" s="15" t="str">
        <f t="shared" ca="1" si="1423"/>
        <v>'0'!A45</v>
      </c>
      <c r="K4962" s="15" t="str">
        <f t="shared" ca="1" si="1424"/>
        <v>'0'!B45</v>
      </c>
    </row>
    <row r="4963" spans="1:16" x14ac:dyDescent="0.25">
      <c r="A4963" s="3" t="str">
        <f t="shared" ca="1" si="1425"/>
        <v/>
      </c>
      <c r="G4963" s="15">
        <f t="shared" ca="1" si="1436"/>
        <v>46</v>
      </c>
      <c r="H4963" s="15">
        <v>1</v>
      </c>
      <c r="I4963" s="15">
        <f t="shared" ca="1" si="1437"/>
        <v>0</v>
      </c>
      <c r="J4963" s="15" t="str">
        <f t="shared" ca="1" si="1423"/>
        <v>'0'!A46</v>
      </c>
      <c r="K4963" s="15" t="str">
        <f t="shared" ca="1" si="1424"/>
        <v>'0'!B46</v>
      </c>
    </row>
    <row r="4964" spans="1:16" x14ac:dyDescent="0.25">
      <c r="A4964" s="3" t="str">
        <f t="shared" ca="1" si="1425"/>
        <v/>
      </c>
      <c r="G4964" s="15">
        <f t="shared" ca="1" si="1436"/>
        <v>47</v>
      </c>
      <c r="H4964" s="15">
        <v>1</v>
      </c>
      <c r="I4964" s="15">
        <f t="shared" ca="1" si="1437"/>
        <v>0</v>
      </c>
      <c r="J4964" s="15" t="str">
        <f t="shared" ref="J4964:J5027" ca="1" si="1442">ADDRESS(G4964,H4964,4,1,I4964)</f>
        <v>'0'!A47</v>
      </c>
      <c r="K4964" s="15" t="str">
        <f t="shared" ref="K4964:K5027" ca="1" si="1443">ADDRESS(G4964,H4964+1,4,1,I4964)</f>
        <v>'0'!B47</v>
      </c>
    </row>
    <row r="4965" spans="1:16" x14ac:dyDescent="0.25">
      <c r="A4965" s="3" t="str">
        <f t="shared" ca="1" si="1425"/>
        <v/>
      </c>
      <c r="G4965" s="15">
        <f t="shared" ca="1" si="1436"/>
        <v>48</v>
      </c>
      <c r="H4965" s="15">
        <v>1</v>
      </c>
      <c r="I4965" s="15">
        <f t="shared" ca="1" si="1437"/>
        <v>0</v>
      </c>
      <c r="J4965" s="15" t="str">
        <f t="shared" ca="1" si="1442"/>
        <v>'0'!A48</v>
      </c>
      <c r="K4965" s="15" t="str">
        <f t="shared" ca="1" si="1443"/>
        <v>'0'!B48</v>
      </c>
    </row>
    <row r="4966" spans="1:16" x14ac:dyDescent="0.25">
      <c r="A4966" s="3" t="str">
        <f t="shared" ca="1" si="1425"/>
        <v/>
      </c>
      <c r="G4966" s="15">
        <f t="shared" ca="1" si="1436"/>
        <v>49</v>
      </c>
      <c r="H4966" s="15">
        <v>1</v>
      </c>
      <c r="I4966" s="15">
        <f t="shared" ca="1" si="1437"/>
        <v>0</v>
      </c>
      <c r="J4966" s="15" t="str">
        <f t="shared" ca="1" si="1442"/>
        <v>'0'!A49</v>
      </c>
      <c r="K4966" s="15" t="str">
        <f t="shared" ca="1" si="1443"/>
        <v>'0'!B49</v>
      </c>
    </row>
    <row r="4967" spans="1:16" x14ac:dyDescent="0.25">
      <c r="A4967" s="3" t="str">
        <f t="shared" ca="1" si="1425"/>
        <v/>
      </c>
      <c r="G4967" s="15">
        <f t="shared" ca="1" si="1436"/>
        <v>50</v>
      </c>
      <c r="H4967" s="15">
        <v>1</v>
      </c>
      <c r="I4967" s="15">
        <f t="shared" ca="1" si="1437"/>
        <v>0</v>
      </c>
      <c r="J4967" s="15" t="str">
        <f t="shared" ca="1" si="1442"/>
        <v>'0'!A50</v>
      </c>
      <c r="K4967" s="15" t="str">
        <f t="shared" ca="1" si="1443"/>
        <v>'0'!B50</v>
      </c>
    </row>
    <row r="4968" spans="1:16" x14ac:dyDescent="0.25">
      <c r="A4968" s="3" t="str">
        <f t="shared" ca="1" si="1425"/>
        <v/>
      </c>
      <c r="G4968" s="15">
        <f t="shared" ref="G4968" ca="1" si="1444">INDIRECT(M4968)</f>
        <v>31</v>
      </c>
      <c r="H4968" s="15">
        <v>1</v>
      </c>
      <c r="I4968" s="15">
        <f t="shared" ref="I4968" ca="1" si="1445">INDIRECT(N4968)</f>
        <v>0</v>
      </c>
      <c r="J4968" s="15" t="str">
        <f t="shared" ca="1" si="1442"/>
        <v>'0'!A31</v>
      </c>
      <c r="K4968" s="15" t="str">
        <f t="shared" ca="1" si="1443"/>
        <v>'0'!B31</v>
      </c>
      <c r="M4968" s="15" t="str">
        <f t="shared" ref="M4968" si="1446">ADDRESS(O4968,3,4,1,$R$1)</f>
        <v>konfig!C250</v>
      </c>
      <c r="N4968" s="15" t="str">
        <f t="shared" ref="N4968" si="1447">ADDRESS(O4968,1,4,1,$R$1)</f>
        <v>konfig!A250</v>
      </c>
      <c r="O4968" s="15">
        <v>250</v>
      </c>
      <c r="P4968" s="15">
        <v>4</v>
      </c>
    </row>
    <row r="4969" spans="1:16" x14ac:dyDescent="0.25">
      <c r="A4969" s="3" t="str">
        <f t="shared" ca="1" si="1425"/>
        <v/>
      </c>
      <c r="G4969" s="15">
        <f t="shared" ref="G4969:G5012" ca="1" si="1448">G4968+1</f>
        <v>32</v>
      </c>
      <c r="H4969" s="15">
        <v>1</v>
      </c>
      <c r="I4969" s="15">
        <f t="shared" ref="I4969:I5012" ca="1" si="1449">I4968</f>
        <v>0</v>
      </c>
      <c r="J4969" s="15" t="str">
        <f t="shared" ca="1" si="1442"/>
        <v>'0'!A32</v>
      </c>
      <c r="K4969" s="15" t="str">
        <f t="shared" ca="1" si="1443"/>
        <v>'0'!B32</v>
      </c>
    </row>
    <row r="4970" spans="1:16" x14ac:dyDescent="0.25">
      <c r="A4970" s="3" t="str">
        <f t="shared" ca="1" si="1425"/>
        <v/>
      </c>
      <c r="G4970" s="15">
        <f t="shared" ca="1" si="1448"/>
        <v>33</v>
      </c>
      <c r="H4970" s="15">
        <v>1</v>
      </c>
      <c r="I4970" s="15">
        <f t="shared" ca="1" si="1449"/>
        <v>0</v>
      </c>
      <c r="J4970" s="15" t="str">
        <f t="shared" ca="1" si="1442"/>
        <v>'0'!A33</v>
      </c>
      <c r="K4970" s="15" t="str">
        <f t="shared" ca="1" si="1443"/>
        <v>'0'!B33</v>
      </c>
    </row>
    <row r="4971" spans="1:16" x14ac:dyDescent="0.25">
      <c r="A4971" s="3" t="str">
        <f t="shared" ca="1" si="1425"/>
        <v/>
      </c>
      <c r="C4971" s="16"/>
      <c r="G4971" s="15">
        <f t="shared" ca="1" si="1448"/>
        <v>34</v>
      </c>
      <c r="H4971" s="15">
        <v>1</v>
      </c>
      <c r="I4971" s="15">
        <f t="shared" ca="1" si="1449"/>
        <v>0</v>
      </c>
      <c r="J4971" s="15" t="str">
        <f t="shared" ca="1" si="1442"/>
        <v>'0'!A34</v>
      </c>
      <c r="K4971" s="15" t="str">
        <f t="shared" ca="1" si="1443"/>
        <v>'0'!B34</v>
      </c>
    </row>
    <row r="4972" spans="1:16" x14ac:dyDescent="0.25">
      <c r="A4972" s="3" t="str">
        <f t="shared" ref="A4972:A5035" ca="1" si="1450">IFERROR(IF(INDIRECT(J4972)&lt;&gt;"",CONCATENATE(INDIRECT(J4972)," = ",INDIRECT(K4972)," "),""),"")</f>
        <v/>
      </c>
      <c r="G4972" s="15">
        <f t="shared" ca="1" si="1448"/>
        <v>35</v>
      </c>
      <c r="H4972" s="15">
        <v>1</v>
      </c>
      <c r="I4972" s="15">
        <f t="shared" ca="1" si="1449"/>
        <v>0</v>
      </c>
      <c r="J4972" s="15" t="str">
        <f t="shared" ca="1" si="1442"/>
        <v>'0'!A35</v>
      </c>
      <c r="K4972" s="15" t="str">
        <f t="shared" ca="1" si="1443"/>
        <v>'0'!B35</v>
      </c>
    </row>
    <row r="4973" spans="1:16" x14ac:dyDescent="0.25">
      <c r="A4973" s="3" t="str">
        <f t="shared" ca="1" si="1450"/>
        <v/>
      </c>
      <c r="G4973" s="15">
        <f t="shared" ca="1" si="1436"/>
        <v>36</v>
      </c>
      <c r="H4973" s="15">
        <v>1</v>
      </c>
      <c r="I4973" s="15">
        <f t="shared" ca="1" si="1437"/>
        <v>0</v>
      </c>
      <c r="J4973" s="15" t="str">
        <f t="shared" ca="1" si="1442"/>
        <v>'0'!A36</v>
      </c>
      <c r="K4973" s="15" t="str">
        <f t="shared" ca="1" si="1443"/>
        <v>'0'!B36</v>
      </c>
    </row>
    <row r="4974" spans="1:16" x14ac:dyDescent="0.25">
      <c r="A4974" s="3" t="str">
        <f t="shared" ca="1" si="1450"/>
        <v/>
      </c>
      <c r="G4974" s="15">
        <f t="shared" ca="1" si="1436"/>
        <v>37</v>
      </c>
      <c r="H4974" s="15">
        <v>1</v>
      </c>
      <c r="I4974" s="15">
        <f t="shared" ca="1" si="1437"/>
        <v>0</v>
      </c>
      <c r="J4974" s="15" t="str">
        <f t="shared" ca="1" si="1442"/>
        <v>'0'!A37</v>
      </c>
      <c r="K4974" s="15" t="str">
        <f t="shared" ca="1" si="1443"/>
        <v>'0'!B37</v>
      </c>
    </row>
    <row r="4975" spans="1:16" x14ac:dyDescent="0.25">
      <c r="A4975" s="3" t="str">
        <f t="shared" ca="1" si="1450"/>
        <v/>
      </c>
      <c r="G4975" s="15">
        <f t="shared" ca="1" si="1436"/>
        <v>38</v>
      </c>
      <c r="H4975" s="15">
        <v>1</v>
      </c>
      <c r="I4975" s="15">
        <f t="shared" ca="1" si="1437"/>
        <v>0</v>
      </c>
      <c r="J4975" s="15" t="str">
        <f t="shared" ca="1" si="1442"/>
        <v>'0'!A38</v>
      </c>
      <c r="K4975" s="15" t="str">
        <f t="shared" ca="1" si="1443"/>
        <v>'0'!B38</v>
      </c>
    </row>
    <row r="4976" spans="1:16" x14ac:dyDescent="0.25">
      <c r="A4976" s="3" t="str">
        <f t="shared" ca="1" si="1450"/>
        <v/>
      </c>
      <c r="G4976" s="15">
        <f t="shared" ca="1" si="1436"/>
        <v>39</v>
      </c>
      <c r="H4976" s="15">
        <v>1</v>
      </c>
      <c r="I4976" s="15">
        <f t="shared" ca="1" si="1437"/>
        <v>0</v>
      </c>
      <c r="J4976" s="15" t="str">
        <f t="shared" ca="1" si="1442"/>
        <v>'0'!A39</v>
      </c>
      <c r="K4976" s="15" t="str">
        <f t="shared" ca="1" si="1443"/>
        <v>'0'!B39</v>
      </c>
    </row>
    <row r="4977" spans="1:16" x14ac:dyDescent="0.25">
      <c r="A4977" s="3" t="str">
        <f t="shared" ca="1" si="1450"/>
        <v/>
      </c>
      <c r="G4977" s="15">
        <f t="shared" ca="1" si="1436"/>
        <v>40</v>
      </c>
      <c r="H4977" s="15">
        <v>1</v>
      </c>
      <c r="I4977" s="15">
        <f t="shared" ca="1" si="1437"/>
        <v>0</v>
      </c>
      <c r="J4977" s="15" t="str">
        <f t="shared" ca="1" si="1442"/>
        <v>'0'!A40</v>
      </c>
      <c r="K4977" s="15" t="str">
        <f t="shared" ca="1" si="1443"/>
        <v>'0'!B40</v>
      </c>
    </row>
    <row r="4978" spans="1:16" x14ac:dyDescent="0.25">
      <c r="A4978" s="3" t="str">
        <f t="shared" ca="1" si="1450"/>
        <v/>
      </c>
      <c r="G4978" s="15">
        <f t="shared" ca="1" si="1436"/>
        <v>41</v>
      </c>
      <c r="H4978" s="15">
        <v>1</v>
      </c>
      <c r="I4978" s="15">
        <f t="shared" ca="1" si="1437"/>
        <v>0</v>
      </c>
      <c r="J4978" s="15" t="str">
        <f t="shared" ca="1" si="1442"/>
        <v>'0'!A41</v>
      </c>
      <c r="K4978" s="15" t="str">
        <f t="shared" ca="1" si="1443"/>
        <v>'0'!B41</v>
      </c>
    </row>
    <row r="4979" spans="1:16" x14ac:dyDescent="0.25">
      <c r="A4979" s="3" t="str">
        <f t="shared" ca="1" si="1450"/>
        <v/>
      </c>
      <c r="C4979" s="16"/>
      <c r="G4979" s="15">
        <f t="shared" ca="1" si="1436"/>
        <v>42</v>
      </c>
      <c r="H4979" s="15">
        <v>1</v>
      </c>
      <c r="I4979" s="15">
        <f t="shared" ca="1" si="1437"/>
        <v>0</v>
      </c>
      <c r="J4979" s="15" t="str">
        <f t="shared" ca="1" si="1442"/>
        <v>'0'!A42</v>
      </c>
      <c r="K4979" s="15" t="str">
        <f t="shared" ca="1" si="1443"/>
        <v>'0'!B42</v>
      </c>
    </row>
    <row r="4980" spans="1:16" x14ac:dyDescent="0.25">
      <c r="A4980" s="3" t="str">
        <f t="shared" ca="1" si="1450"/>
        <v/>
      </c>
      <c r="G4980" s="15">
        <f t="shared" ca="1" si="1436"/>
        <v>43</v>
      </c>
      <c r="H4980" s="15">
        <v>1</v>
      </c>
      <c r="I4980" s="15">
        <f t="shared" ca="1" si="1437"/>
        <v>0</v>
      </c>
      <c r="J4980" s="15" t="str">
        <f t="shared" ca="1" si="1442"/>
        <v>'0'!A43</v>
      </c>
      <c r="K4980" s="15" t="str">
        <f t="shared" ca="1" si="1443"/>
        <v>'0'!B43</v>
      </c>
    </row>
    <row r="4981" spans="1:16" x14ac:dyDescent="0.25">
      <c r="A4981" s="3" t="str">
        <f t="shared" ca="1" si="1450"/>
        <v/>
      </c>
      <c r="G4981" s="15">
        <f t="shared" ca="1" si="1436"/>
        <v>44</v>
      </c>
      <c r="H4981" s="15">
        <v>1</v>
      </c>
      <c r="I4981" s="15">
        <f t="shared" ca="1" si="1437"/>
        <v>0</v>
      </c>
      <c r="J4981" s="15" t="str">
        <f t="shared" ca="1" si="1442"/>
        <v>'0'!A44</v>
      </c>
      <c r="K4981" s="15" t="str">
        <f t="shared" ca="1" si="1443"/>
        <v>'0'!B44</v>
      </c>
    </row>
    <row r="4982" spans="1:16" x14ac:dyDescent="0.25">
      <c r="A4982" s="3" t="str">
        <f t="shared" ca="1" si="1450"/>
        <v/>
      </c>
      <c r="G4982" s="15">
        <f t="shared" ca="1" si="1436"/>
        <v>45</v>
      </c>
      <c r="H4982" s="15">
        <v>1</v>
      </c>
      <c r="I4982" s="15">
        <f t="shared" ca="1" si="1437"/>
        <v>0</v>
      </c>
      <c r="J4982" s="15" t="str">
        <f t="shared" ca="1" si="1442"/>
        <v>'0'!A45</v>
      </c>
      <c r="K4982" s="15" t="str">
        <f t="shared" ca="1" si="1443"/>
        <v>'0'!B45</v>
      </c>
    </row>
    <row r="4983" spans="1:16" x14ac:dyDescent="0.25">
      <c r="A4983" s="3" t="str">
        <f t="shared" ca="1" si="1450"/>
        <v/>
      </c>
      <c r="G4983" s="15">
        <f t="shared" ca="1" si="1436"/>
        <v>46</v>
      </c>
      <c r="H4983" s="15">
        <v>1</v>
      </c>
      <c r="I4983" s="15">
        <f t="shared" ca="1" si="1437"/>
        <v>0</v>
      </c>
      <c r="J4983" s="15" t="str">
        <f t="shared" ca="1" si="1442"/>
        <v>'0'!A46</v>
      </c>
      <c r="K4983" s="15" t="str">
        <f t="shared" ca="1" si="1443"/>
        <v>'0'!B46</v>
      </c>
    </row>
    <row r="4984" spans="1:16" x14ac:dyDescent="0.25">
      <c r="A4984" s="3" t="str">
        <f t="shared" ca="1" si="1450"/>
        <v/>
      </c>
      <c r="G4984" s="15">
        <f t="shared" ca="1" si="1436"/>
        <v>47</v>
      </c>
      <c r="H4984" s="15">
        <v>1</v>
      </c>
      <c r="I4984" s="15">
        <f t="shared" ca="1" si="1437"/>
        <v>0</v>
      </c>
      <c r="J4984" s="15" t="str">
        <f t="shared" ca="1" si="1442"/>
        <v>'0'!A47</v>
      </c>
      <c r="K4984" s="15" t="str">
        <f t="shared" ca="1" si="1443"/>
        <v>'0'!B47</v>
      </c>
    </row>
    <row r="4985" spans="1:16" x14ac:dyDescent="0.25">
      <c r="A4985" s="3" t="str">
        <f t="shared" ca="1" si="1450"/>
        <v/>
      </c>
      <c r="G4985" s="15">
        <f t="shared" ca="1" si="1436"/>
        <v>48</v>
      </c>
      <c r="H4985" s="15">
        <v>1</v>
      </c>
      <c r="I4985" s="15">
        <f t="shared" ca="1" si="1437"/>
        <v>0</v>
      </c>
      <c r="J4985" s="15" t="str">
        <f t="shared" ca="1" si="1442"/>
        <v>'0'!A48</v>
      </c>
      <c r="K4985" s="15" t="str">
        <f t="shared" ca="1" si="1443"/>
        <v>'0'!B48</v>
      </c>
    </row>
    <row r="4986" spans="1:16" x14ac:dyDescent="0.25">
      <c r="A4986" s="3" t="str">
        <f t="shared" ca="1" si="1450"/>
        <v/>
      </c>
      <c r="G4986" s="15">
        <f t="shared" ca="1" si="1436"/>
        <v>49</v>
      </c>
      <c r="H4986" s="15">
        <v>1</v>
      </c>
      <c r="I4986" s="15">
        <f t="shared" ca="1" si="1437"/>
        <v>0</v>
      </c>
      <c r="J4986" s="15" t="str">
        <f t="shared" ca="1" si="1442"/>
        <v>'0'!A49</v>
      </c>
      <c r="K4986" s="15" t="str">
        <f t="shared" ca="1" si="1443"/>
        <v>'0'!B49</v>
      </c>
    </row>
    <row r="4987" spans="1:16" x14ac:dyDescent="0.25">
      <c r="A4987" s="3" t="str">
        <f t="shared" ca="1" si="1450"/>
        <v/>
      </c>
      <c r="G4987" s="15">
        <f t="shared" ca="1" si="1436"/>
        <v>50</v>
      </c>
      <c r="H4987" s="15">
        <v>1</v>
      </c>
      <c r="I4987" s="15">
        <f t="shared" ca="1" si="1437"/>
        <v>0</v>
      </c>
      <c r="J4987" s="15" t="str">
        <f t="shared" ca="1" si="1442"/>
        <v>'0'!A50</v>
      </c>
      <c r="K4987" s="15" t="str">
        <f t="shared" ca="1" si="1443"/>
        <v>'0'!B50</v>
      </c>
    </row>
    <row r="4988" spans="1:16" x14ac:dyDescent="0.25">
      <c r="A4988" s="3" t="str">
        <f t="shared" ca="1" si="1450"/>
        <v/>
      </c>
      <c r="G4988" s="15">
        <f t="shared" ref="G4988" ca="1" si="1451">INDIRECT(M4988)</f>
        <v>31</v>
      </c>
      <c r="H4988" s="15">
        <v>1</v>
      </c>
      <c r="I4988" s="15">
        <f t="shared" ref="I4988" ca="1" si="1452">INDIRECT(N4988)</f>
        <v>0</v>
      </c>
      <c r="J4988" s="15" t="str">
        <f t="shared" ca="1" si="1442"/>
        <v>'0'!A31</v>
      </c>
      <c r="K4988" s="15" t="str">
        <f t="shared" ca="1" si="1443"/>
        <v>'0'!B31</v>
      </c>
      <c r="M4988" s="15" t="str">
        <f t="shared" ref="M4988" si="1453">ADDRESS(O4988,3,4,1,$R$1)</f>
        <v>konfig!C251</v>
      </c>
      <c r="N4988" s="15" t="str">
        <f t="shared" ref="N4988" si="1454">ADDRESS(O4988,1,4,1,$R$1)</f>
        <v>konfig!A251</v>
      </c>
      <c r="O4988" s="15">
        <v>251</v>
      </c>
      <c r="P4988" s="15">
        <v>4</v>
      </c>
    </row>
    <row r="4989" spans="1:16" x14ac:dyDescent="0.25">
      <c r="A4989" s="3" t="str">
        <f t="shared" ca="1" si="1450"/>
        <v/>
      </c>
      <c r="G4989" s="15">
        <f t="shared" ref="G4989:G5029" ca="1" si="1455">G4988+1</f>
        <v>32</v>
      </c>
      <c r="H4989" s="15">
        <v>1</v>
      </c>
      <c r="I4989" s="15">
        <f t="shared" ref="I4989:I5029" ca="1" si="1456">I4988</f>
        <v>0</v>
      </c>
      <c r="J4989" s="15" t="str">
        <f t="shared" ca="1" si="1442"/>
        <v>'0'!A32</v>
      </c>
      <c r="K4989" s="15" t="str">
        <f t="shared" ca="1" si="1443"/>
        <v>'0'!B32</v>
      </c>
    </row>
    <row r="4990" spans="1:16" x14ac:dyDescent="0.25">
      <c r="A4990" s="3" t="str">
        <f t="shared" ca="1" si="1450"/>
        <v/>
      </c>
      <c r="G4990" s="15">
        <f t="shared" ca="1" si="1436"/>
        <v>33</v>
      </c>
      <c r="H4990" s="15">
        <v>1</v>
      </c>
      <c r="I4990" s="15">
        <f t="shared" ca="1" si="1437"/>
        <v>0</v>
      </c>
      <c r="J4990" s="15" t="str">
        <f t="shared" ca="1" si="1442"/>
        <v>'0'!A33</v>
      </c>
      <c r="K4990" s="15" t="str">
        <f t="shared" ca="1" si="1443"/>
        <v>'0'!B33</v>
      </c>
    </row>
    <row r="4991" spans="1:16" x14ac:dyDescent="0.25">
      <c r="A4991" s="3" t="str">
        <f t="shared" ca="1" si="1450"/>
        <v/>
      </c>
      <c r="C4991" s="16"/>
      <c r="G4991" s="15">
        <f t="shared" ca="1" si="1436"/>
        <v>34</v>
      </c>
      <c r="H4991" s="15">
        <v>1</v>
      </c>
      <c r="I4991" s="15">
        <f t="shared" ca="1" si="1437"/>
        <v>0</v>
      </c>
      <c r="J4991" s="15" t="str">
        <f t="shared" ca="1" si="1442"/>
        <v>'0'!A34</v>
      </c>
      <c r="K4991" s="15" t="str">
        <f t="shared" ca="1" si="1443"/>
        <v>'0'!B34</v>
      </c>
    </row>
    <row r="4992" spans="1:16" x14ac:dyDescent="0.25">
      <c r="A4992" s="3" t="str">
        <f t="shared" ca="1" si="1450"/>
        <v/>
      </c>
      <c r="G4992" s="15">
        <f t="shared" ca="1" si="1436"/>
        <v>35</v>
      </c>
      <c r="H4992" s="15">
        <v>1</v>
      </c>
      <c r="I4992" s="15">
        <f t="shared" ca="1" si="1437"/>
        <v>0</v>
      </c>
      <c r="J4992" s="15" t="str">
        <f t="shared" ca="1" si="1442"/>
        <v>'0'!A35</v>
      </c>
      <c r="K4992" s="15" t="str">
        <f t="shared" ca="1" si="1443"/>
        <v>'0'!B35</v>
      </c>
    </row>
    <row r="4993" spans="1:16" x14ac:dyDescent="0.25">
      <c r="A4993" s="3" t="str">
        <f t="shared" ca="1" si="1450"/>
        <v/>
      </c>
      <c r="G4993" s="15">
        <f t="shared" ca="1" si="1436"/>
        <v>36</v>
      </c>
      <c r="H4993" s="15">
        <v>1</v>
      </c>
      <c r="I4993" s="15">
        <f t="shared" ca="1" si="1437"/>
        <v>0</v>
      </c>
      <c r="J4993" s="15" t="str">
        <f t="shared" ca="1" si="1442"/>
        <v>'0'!A36</v>
      </c>
      <c r="K4993" s="15" t="str">
        <f t="shared" ca="1" si="1443"/>
        <v>'0'!B36</v>
      </c>
    </row>
    <row r="4994" spans="1:16" x14ac:dyDescent="0.25">
      <c r="A4994" s="3" t="str">
        <f t="shared" ca="1" si="1450"/>
        <v/>
      </c>
      <c r="G4994" s="15">
        <f t="shared" ca="1" si="1436"/>
        <v>37</v>
      </c>
      <c r="H4994" s="15">
        <v>1</v>
      </c>
      <c r="I4994" s="15">
        <f t="shared" ca="1" si="1437"/>
        <v>0</v>
      </c>
      <c r="J4994" s="15" t="str">
        <f t="shared" ca="1" si="1442"/>
        <v>'0'!A37</v>
      </c>
      <c r="K4994" s="15" t="str">
        <f t="shared" ca="1" si="1443"/>
        <v>'0'!B37</v>
      </c>
    </row>
    <row r="4995" spans="1:16" x14ac:dyDescent="0.25">
      <c r="A4995" s="3" t="str">
        <f t="shared" ca="1" si="1450"/>
        <v/>
      </c>
      <c r="G4995" s="15">
        <f t="shared" ca="1" si="1436"/>
        <v>38</v>
      </c>
      <c r="H4995" s="15">
        <v>1</v>
      </c>
      <c r="I4995" s="15">
        <f t="shared" ca="1" si="1437"/>
        <v>0</v>
      </c>
      <c r="J4995" s="15" t="str">
        <f t="shared" ca="1" si="1442"/>
        <v>'0'!A38</v>
      </c>
      <c r="K4995" s="15" t="str">
        <f t="shared" ca="1" si="1443"/>
        <v>'0'!B38</v>
      </c>
    </row>
    <row r="4996" spans="1:16" x14ac:dyDescent="0.25">
      <c r="A4996" s="3" t="str">
        <f t="shared" ca="1" si="1450"/>
        <v/>
      </c>
      <c r="G4996" s="15">
        <f t="shared" ca="1" si="1436"/>
        <v>39</v>
      </c>
      <c r="H4996" s="15">
        <v>1</v>
      </c>
      <c r="I4996" s="15">
        <f t="shared" ca="1" si="1437"/>
        <v>0</v>
      </c>
      <c r="J4996" s="15" t="str">
        <f t="shared" ca="1" si="1442"/>
        <v>'0'!A39</v>
      </c>
      <c r="K4996" s="15" t="str">
        <f t="shared" ca="1" si="1443"/>
        <v>'0'!B39</v>
      </c>
    </row>
    <row r="4997" spans="1:16" x14ac:dyDescent="0.25">
      <c r="A4997" s="3" t="str">
        <f t="shared" ca="1" si="1450"/>
        <v/>
      </c>
      <c r="G4997" s="15">
        <f t="shared" ca="1" si="1436"/>
        <v>40</v>
      </c>
      <c r="H4997" s="15">
        <v>1</v>
      </c>
      <c r="I4997" s="15">
        <f t="shared" ca="1" si="1437"/>
        <v>0</v>
      </c>
      <c r="J4997" s="15" t="str">
        <f t="shared" ca="1" si="1442"/>
        <v>'0'!A40</v>
      </c>
      <c r="K4997" s="15" t="str">
        <f t="shared" ca="1" si="1443"/>
        <v>'0'!B40</v>
      </c>
    </row>
    <row r="4998" spans="1:16" x14ac:dyDescent="0.25">
      <c r="A4998" s="3" t="str">
        <f t="shared" ca="1" si="1450"/>
        <v/>
      </c>
      <c r="G4998" s="15">
        <f t="shared" ca="1" si="1436"/>
        <v>41</v>
      </c>
      <c r="H4998" s="15">
        <v>1</v>
      </c>
      <c r="I4998" s="15">
        <f t="shared" ca="1" si="1437"/>
        <v>0</v>
      </c>
      <c r="J4998" s="15" t="str">
        <f t="shared" ca="1" si="1442"/>
        <v>'0'!A41</v>
      </c>
      <c r="K4998" s="15" t="str">
        <f t="shared" ca="1" si="1443"/>
        <v>'0'!B41</v>
      </c>
    </row>
    <row r="4999" spans="1:16" x14ac:dyDescent="0.25">
      <c r="A4999" s="3" t="str">
        <f t="shared" ca="1" si="1450"/>
        <v/>
      </c>
      <c r="C4999" s="16"/>
      <c r="G4999" s="15">
        <f t="shared" ca="1" si="1436"/>
        <v>42</v>
      </c>
      <c r="H4999" s="15">
        <v>1</v>
      </c>
      <c r="I4999" s="15">
        <f t="shared" ca="1" si="1437"/>
        <v>0</v>
      </c>
      <c r="J4999" s="15" t="str">
        <f t="shared" ca="1" si="1442"/>
        <v>'0'!A42</v>
      </c>
      <c r="K4999" s="15" t="str">
        <f t="shared" ca="1" si="1443"/>
        <v>'0'!B42</v>
      </c>
    </row>
    <row r="5000" spans="1:16" x14ac:dyDescent="0.25">
      <c r="A5000" s="3" t="str">
        <f t="shared" ca="1" si="1450"/>
        <v/>
      </c>
      <c r="G5000" s="15">
        <f t="shared" ca="1" si="1436"/>
        <v>43</v>
      </c>
      <c r="H5000" s="15">
        <v>1</v>
      </c>
      <c r="I5000" s="15">
        <f t="shared" ca="1" si="1437"/>
        <v>0</v>
      </c>
      <c r="J5000" s="15" t="str">
        <f t="shared" ca="1" si="1442"/>
        <v>'0'!A43</v>
      </c>
      <c r="K5000" s="15" t="str">
        <f t="shared" ca="1" si="1443"/>
        <v>'0'!B43</v>
      </c>
    </row>
    <row r="5001" spans="1:16" x14ac:dyDescent="0.25">
      <c r="A5001" s="3" t="str">
        <f t="shared" ca="1" si="1450"/>
        <v/>
      </c>
      <c r="G5001" s="15">
        <f t="shared" ref="G5001:G5064" ca="1" si="1457">G5000+1</f>
        <v>44</v>
      </c>
      <c r="H5001" s="15">
        <v>1</v>
      </c>
      <c r="I5001" s="15">
        <f t="shared" ref="I5001:I5064" ca="1" si="1458">I5000</f>
        <v>0</v>
      </c>
      <c r="J5001" s="15" t="str">
        <f t="shared" ca="1" si="1442"/>
        <v>'0'!A44</v>
      </c>
      <c r="K5001" s="15" t="str">
        <f t="shared" ca="1" si="1443"/>
        <v>'0'!B44</v>
      </c>
    </row>
    <row r="5002" spans="1:16" x14ac:dyDescent="0.25">
      <c r="A5002" s="3" t="str">
        <f t="shared" ca="1" si="1450"/>
        <v/>
      </c>
      <c r="G5002" s="15">
        <f t="shared" ca="1" si="1457"/>
        <v>45</v>
      </c>
      <c r="H5002" s="15">
        <v>1</v>
      </c>
      <c r="I5002" s="15">
        <f t="shared" ca="1" si="1458"/>
        <v>0</v>
      </c>
      <c r="J5002" s="15" t="str">
        <f t="shared" ca="1" si="1442"/>
        <v>'0'!A45</v>
      </c>
      <c r="K5002" s="15" t="str">
        <f t="shared" ca="1" si="1443"/>
        <v>'0'!B45</v>
      </c>
    </row>
    <row r="5003" spans="1:16" x14ac:dyDescent="0.25">
      <c r="A5003" s="3" t="str">
        <f t="shared" ca="1" si="1450"/>
        <v/>
      </c>
      <c r="G5003" s="15">
        <f t="shared" ca="1" si="1457"/>
        <v>46</v>
      </c>
      <c r="H5003" s="15">
        <v>1</v>
      </c>
      <c r="I5003" s="15">
        <f t="shared" ca="1" si="1458"/>
        <v>0</v>
      </c>
      <c r="J5003" s="15" t="str">
        <f t="shared" ca="1" si="1442"/>
        <v>'0'!A46</v>
      </c>
      <c r="K5003" s="15" t="str">
        <f t="shared" ca="1" si="1443"/>
        <v>'0'!B46</v>
      </c>
    </row>
    <row r="5004" spans="1:16" x14ac:dyDescent="0.25">
      <c r="A5004" s="3" t="str">
        <f t="shared" ca="1" si="1450"/>
        <v/>
      </c>
      <c r="G5004" s="15">
        <f t="shared" ca="1" si="1457"/>
        <v>47</v>
      </c>
      <c r="H5004" s="15">
        <v>1</v>
      </c>
      <c r="I5004" s="15">
        <f t="shared" ca="1" si="1458"/>
        <v>0</v>
      </c>
      <c r="J5004" s="15" t="str">
        <f t="shared" ca="1" si="1442"/>
        <v>'0'!A47</v>
      </c>
      <c r="K5004" s="15" t="str">
        <f t="shared" ca="1" si="1443"/>
        <v>'0'!B47</v>
      </c>
    </row>
    <row r="5005" spans="1:16" x14ac:dyDescent="0.25">
      <c r="A5005" s="3" t="str">
        <f t="shared" ca="1" si="1450"/>
        <v/>
      </c>
      <c r="G5005" s="15">
        <f t="shared" ca="1" si="1457"/>
        <v>48</v>
      </c>
      <c r="H5005" s="15">
        <v>1</v>
      </c>
      <c r="I5005" s="15">
        <f t="shared" ca="1" si="1458"/>
        <v>0</v>
      </c>
      <c r="J5005" s="15" t="str">
        <f t="shared" ca="1" si="1442"/>
        <v>'0'!A48</v>
      </c>
      <c r="K5005" s="15" t="str">
        <f t="shared" ca="1" si="1443"/>
        <v>'0'!B48</v>
      </c>
    </row>
    <row r="5006" spans="1:16" x14ac:dyDescent="0.25">
      <c r="A5006" s="3" t="str">
        <f t="shared" ca="1" si="1450"/>
        <v/>
      </c>
      <c r="G5006" s="15">
        <f t="shared" ca="1" si="1457"/>
        <v>49</v>
      </c>
      <c r="H5006" s="15">
        <v>1</v>
      </c>
      <c r="I5006" s="15">
        <f t="shared" ca="1" si="1458"/>
        <v>0</v>
      </c>
      <c r="J5006" s="15" t="str">
        <f t="shared" ca="1" si="1442"/>
        <v>'0'!A49</v>
      </c>
      <c r="K5006" s="15" t="str">
        <f t="shared" ca="1" si="1443"/>
        <v>'0'!B49</v>
      </c>
    </row>
    <row r="5007" spans="1:16" x14ac:dyDescent="0.25">
      <c r="A5007" s="3" t="str">
        <f t="shared" ca="1" si="1450"/>
        <v/>
      </c>
      <c r="G5007" s="15">
        <f t="shared" ca="1" si="1457"/>
        <v>50</v>
      </c>
      <c r="H5007" s="15">
        <v>1</v>
      </c>
      <c r="I5007" s="15">
        <f t="shared" ca="1" si="1458"/>
        <v>0</v>
      </c>
      <c r="J5007" s="15" t="str">
        <f t="shared" ca="1" si="1442"/>
        <v>'0'!A50</v>
      </c>
      <c r="K5007" s="15" t="str">
        <f t="shared" ca="1" si="1443"/>
        <v>'0'!B50</v>
      </c>
    </row>
    <row r="5008" spans="1:16" x14ac:dyDescent="0.25">
      <c r="A5008" s="3" t="str">
        <f t="shared" ca="1" si="1450"/>
        <v/>
      </c>
      <c r="G5008" s="15">
        <f t="shared" ref="G5008" ca="1" si="1459">INDIRECT(M5008)</f>
        <v>31</v>
      </c>
      <c r="H5008" s="15">
        <v>1</v>
      </c>
      <c r="I5008" s="15">
        <f t="shared" ref="I5008" ca="1" si="1460">INDIRECT(N5008)</f>
        <v>0</v>
      </c>
      <c r="J5008" s="15" t="str">
        <f t="shared" ca="1" si="1442"/>
        <v>'0'!A31</v>
      </c>
      <c r="K5008" s="15" t="str">
        <f t="shared" ca="1" si="1443"/>
        <v>'0'!B31</v>
      </c>
      <c r="M5008" s="15" t="str">
        <f t="shared" ref="M5008" si="1461">ADDRESS(O5008,3,4,1,$R$1)</f>
        <v>konfig!C252</v>
      </c>
      <c r="N5008" s="15" t="str">
        <f t="shared" ref="N5008" si="1462">ADDRESS(O5008,1,4,1,$R$1)</f>
        <v>konfig!A252</v>
      </c>
      <c r="O5008" s="15">
        <v>252</v>
      </c>
      <c r="P5008" s="15">
        <v>4</v>
      </c>
    </row>
    <row r="5009" spans="1:11" x14ac:dyDescent="0.25">
      <c r="A5009" s="3" t="str">
        <f t="shared" ca="1" si="1450"/>
        <v/>
      </c>
      <c r="G5009" s="15">
        <f t="shared" ca="1" si="1448"/>
        <v>32</v>
      </c>
      <c r="H5009" s="15">
        <v>1</v>
      </c>
      <c r="I5009" s="15">
        <f t="shared" ca="1" si="1449"/>
        <v>0</v>
      </c>
      <c r="J5009" s="15" t="str">
        <f t="shared" ca="1" si="1442"/>
        <v>'0'!A32</v>
      </c>
      <c r="K5009" s="15" t="str">
        <f t="shared" ca="1" si="1443"/>
        <v>'0'!B32</v>
      </c>
    </row>
    <row r="5010" spans="1:11" x14ac:dyDescent="0.25">
      <c r="A5010" s="3" t="str">
        <f t="shared" ca="1" si="1450"/>
        <v/>
      </c>
      <c r="G5010" s="15">
        <f t="shared" ca="1" si="1448"/>
        <v>33</v>
      </c>
      <c r="H5010" s="15">
        <v>1</v>
      </c>
      <c r="I5010" s="15">
        <f t="shared" ca="1" si="1449"/>
        <v>0</v>
      </c>
      <c r="J5010" s="15" t="str">
        <f t="shared" ca="1" si="1442"/>
        <v>'0'!A33</v>
      </c>
      <c r="K5010" s="15" t="str">
        <f t="shared" ca="1" si="1443"/>
        <v>'0'!B33</v>
      </c>
    </row>
    <row r="5011" spans="1:11" x14ac:dyDescent="0.25">
      <c r="A5011" s="3" t="str">
        <f t="shared" ca="1" si="1450"/>
        <v/>
      </c>
      <c r="C5011" s="16"/>
      <c r="G5011" s="15">
        <f t="shared" ca="1" si="1448"/>
        <v>34</v>
      </c>
      <c r="H5011" s="15">
        <v>1</v>
      </c>
      <c r="I5011" s="15">
        <f t="shared" ca="1" si="1449"/>
        <v>0</v>
      </c>
      <c r="J5011" s="15" t="str">
        <f t="shared" ca="1" si="1442"/>
        <v>'0'!A34</v>
      </c>
      <c r="K5011" s="15" t="str">
        <f t="shared" ca="1" si="1443"/>
        <v>'0'!B34</v>
      </c>
    </row>
    <row r="5012" spans="1:11" x14ac:dyDescent="0.25">
      <c r="A5012" s="3" t="str">
        <f t="shared" ca="1" si="1450"/>
        <v/>
      </c>
      <c r="G5012" s="15">
        <f t="shared" ca="1" si="1448"/>
        <v>35</v>
      </c>
      <c r="H5012" s="15">
        <v>1</v>
      </c>
      <c r="I5012" s="15">
        <f t="shared" ca="1" si="1449"/>
        <v>0</v>
      </c>
      <c r="J5012" s="15" t="str">
        <f t="shared" ca="1" si="1442"/>
        <v>'0'!A35</v>
      </c>
      <c r="K5012" s="15" t="str">
        <f t="shared" ca="1" si="1443"/>
        <v>'0'!B35</v>
      </c>
    </row>
    <row r="5013" spans="1:11" x14ac:dyDescent="0.25">
      <c r="A5013" s="3" t="str">
        <f t="shared" ca="1" si="1450"/>
        <v/>
      </c>
      <c r="G5013" s="15">
        <f t="shared" ca="1" si="1457"/>
        <v>36</v>
      </c>
      <c r="H5013" s="15">
        <v>1</v>
      </c>
      <c r="I5013" s="15">
        <f t="shared" ca="1" si="1458"/>
        <v>0</v>
      </c>
      <c r="J5013" s="15" t="str">
        <f t="shared" ca="1" si="1442"/>
        <v>'0'!A36</v>
      </c>
      <c r="K5013" s="15" t="str">
        <f t="shared" ca="1" si="1443"/>
        <v>'0'!B36</v>
      </c>
    </row>
    <row r="5014" spans="1:11" x14ac:dyDescent="0.25">
      <c r="A5014" s="3" t="str">
        <f t="shared" ca="1" si="1450"/>
        <v/>
      </c>
      <c r="G5014" s="15">
        <f t="shared" ca="1" si="1457"/>
        <v>37</v>
      </c>
      <c r="H5014" s="15">
        <v>1</v>
      </c>
      <c r="I5014" s="15">
        <f t="shared" ca="1" si="1458"/>
        <v>0</v>
      </c>
      <c r="J5014" s="15" t="str">
        <f t="shared" ca="1" si="1442"/>
        <v>'0'!A37</v>
      </c>
      <c r="K5014" s="15" t="str">
        <f t="shared" ca="1" si="1443"/>
        <v>'0'!B37</v>
      </c>
    </row>
    <row r="5015" spans="1:11" x14ac:dyDescent="0.25">
      <c r="A5015" s="3" t="str">
        <f t="shared" ca="1" si="1450"/>
        <v/>
      </c>
      <c r="G5015" s="15">
        <f t="shared" ca="1" si="1457"/>
        <v>38</v>
      </c>
      <c r="H5015" s="15">
        <v>1</v>
      </c>
      <c r="I5015" s="15">
        <f t="shared" ca="1" si="1458"/>
        <v>0</v>
      </c>
      <c r="J5015" s="15" t="str">
        <f t="shared" ca="1" si="1442"/>
        <v>'0'!A38</v>
      </c>
      <c r="K5015" s="15" t="str">
        <f t="shared" ca="1" si="1443"/>
        <v>'0'!B38</v>
      </c>
    </row>
    <row r="5016" spans="1:11" x14ac:dyDescent="0.25">
      <c r="A5016" s="3" t="str">
        <f t="shared" ca="1" si="1450"/>
        <v/>
      </c>
      <c r="G5016" s="15">
        <f t="shared" ca="1" si="1457"/>
        <v>39</v>
      </c>
      <c r="H5016" s="15">
        <v>1</v>
      </c>
      <c r="I5016" s="15">
        <f t="shared" ca="1" si="1458"/>
        <v>0</v>
      </c>
      <c r="J5016" s="15" t="str">
        <f t="shared" ca="1" si="1442"/>
        <v>'0'!A39</v>
      </c>
      <c r="K5016" s="15" t="str">
        <f t="shared" ca="1" si="1443"/>
        <v>'0'!B39</v>
      </c>
    </row>
    <row r="5017" spans="1:11" x14ac:dyDescent="0.25">
      <c r="A5017" s="3" t="str">
        <f t="shared" ca="1" si="1450"/>
        <v/>
      </c>
      <c r="G5017" s="15">
        <f t="shared" ca="1" si="1457"/>
        <v>40</v>
      </c>
      <c r="H5017" s="15">
        <v>1</v>
      </c>
      <c r="I5017" s="15">
        <f t="shared" ca="1" si="1458"/>
        <v>0</v>
      </c>
      <c r="J5017" s="15" t="str">
        <f t="shared" ca="1" si="1442"/>
        <v>'0'!A40</v>
      </c>
      <c r="K5017" s="15" t="str">
        <f t="shared" ca="1" si="1443"/>
        <v>'0'!B40</v>
      </c>
    </row>
    <row r="5018" spans="1:11" x14ac:dyDescent="0.25">
      <c r="A5018" s="3" t="str">
        <f t="shared" ca="1" si="1450"/>
        <v/>
      </c>
      <c r="G5018" s="15">
        <f t="shared" ca="1" si="1457"/>
        <v>41</v>
      </c>
      <c r="H5018" s="15">
        <v>1</v>
      </c>
      <c r="I5018" s="15">
        <f t="shared" ca="1" si="1458"/>
        <v>0</v>
      </c>
      <c r="J5018" s="15" t="str">
        <f t="shared" ca="1" si="1442"/>
        <v>'0'!A41</v>
      </c>
      <c r="K5018" s="15" t="str">
        <f t="shared" ca="1" si="1443"/>
        <v>'0'!B41</v>
      </c>
    </row>
    <row r="5019" spans="1:11" x14ac:dyDescent="0.25">
      <c r="A5019" s="3" t="str">
        <f t="shared" ca="1" si="1450"/>
        <v/>
      </c>
      <c r="C5019" s="16"/>
      <c r="G5019" s="15">
        <f t="shared" ca="1" si="1457"/>
        <v>42</v>
      </c>
      <c r="H5019" s="15">
        <v>1</v>
      </c>
      <c r="I5019" s="15">
        <f t="shared" ca="1" si="1458"/>
        <v>0</v>
      </c>
      <c r="J5019" s="15" t="str">
        <f t="shared" ca="1" si="1442"/>
        <v>'0'!A42</v>
      </c>
      <c r="K5019" s="15" t="str">
        <f t="shared" ca="1" si="1443"/>
        <v>'0'!B42</v>
      </c>
    </row>
    <row r="5020" spans="1:11" x14ac:dyDescent="0.25">
      <c r="A5020" s="3" t="str">
        <f t="shared" ca="1" si="1450"/>
        <v/>
      </c>
      <c r="G5020" s="15">
        <f t="shared" ca="1" si="1457"/>
        <v>43</v>
      </c>
      <c r="H5020" s="15">
        <v>1</v>
      </c>
      <c r="I5020" s="15">
        <f t="shared" ca="1" si="1458"/>
        <v>0</v>
      </c>
      <c r="J5020" s="15" t="str">
        <f t="shared" ca="1" si="1442"/>
        <v>'0'!A43</v>
      </c>
      <c r="K5020" s="15" t="str">
        <f t="shared" ca="1" si="1443"/>
        <v>'0'!B43</v>
      </c>
    </row>
    <row r="5021" spans="1:11" x14ac:dyDescent="0.25">
      <c r="A5021" s="3" t="str">
        <f t="shared" ca="1" si="1450"/>
        <v/>
      </c>
      <c r="G5021" s="15">
        <f t="shared" ca="1" si="1457"/>
        <v>44</v>
      </c>
      <c r="H5021" s="15">
        <v>1</v>
      </c>
      <c r="I5021" s="15">
        <f t="shared" ca="1" si="1458"/>
        <v>0</v>
      </c>
      <c r="J5021" s="15" t="str">
        <f t="shared" ca="1" si="1442"/>
        <v>'0'!A44</v>
      </c>
      <c r="K5021" s="15" t="str">
        <f t="shared" ca="1" si="1443"/>
        <v>'0'!B44</v>
      </c>
    </row>
    <row r="5022" spans="1:11" x14ac:dyDescent="0.25">
      <c r="A5022" s="3" t="str">
        <f t="shared" ca="1" si="1450"/>
        <v/>
      </c>
      <c r="G5022" s="15">
        <f t="shared" ca="1" si="1457"/>
        <v>45</v>
      </c>
      <c r="H5022" s="15">
        <v>1</v>
      </c>
      <c r="I5022" s="15">
        <f t="shared" ca="1" si="1458"/>
        <v>0</v>
      </c>
      <c r="J5022" s="15" t="str">
        <f t="shared" ca="1" si="1442"/>
        <v>'0'!A45</v>
      </c>
      <c r="K5022" s="15" t="str">
        <f t="shared" ca="1" si="1443"/>
        <v>'0'!B45</v>
      </c>
    </row>
    <row r="5023" spans="1:11" x14ac:dyDescent="0.25">
      <c r="A5023" s="3" t="str">
        <f t="shared" ca="1" si="1450"/>
        <v/>
      </c>
      <c r="G5023" s="15">
        <f t="shared" ca="1" si="1457"/>
        <v>46</v>
      </c>
      <c r="H5023" s="15">
        <v>1</v>
      </c>
      <c r="I5023" s="15">
        <f t="shared" ca="1" si="1458"/>
        <v>0</v>
      </c>
      <c r="J5023" s="15" t="str">
        <f t="shared" ca="1" si="1442"/>
        <v>'0'!A46</v>
      </c>
      <c r="K5023" s="15" t="str">
        <f t="shared" ca="1" si="1443"/>
        <v>'0'!B46</v>
      </c>
    </row>
    <row r="5024" spans="1:11" x14ac:dyDescent="0.25">
      <c r="A5024" s="3" t="str">
        <f t="shared" ca="1" si="1450"/>
        <v/>
      </c>
      <c r="G5024" s="15">
        <f t="shared" ca="1" si="1457"/>
        <v>47</v>
      </c>
      <c r="H5024" s="15">
        <v>1</v>
      </c>
      <c r="I5024" s="15">
        <f t="shared" ca="1" si="1458"/>
        <v>0</v>
      </c>
      <c r="J5024" s="15" t="str">
        <f t="shared" ca="1" si="1442"/>
        <v>'0'!A47</v>
      </c>
      <c r="K5024" s="15" t="str">
        <f t="shared" ca="1" si="1443"/>
        <v>'0'!B47</v>
      </c>
    </row>
    <row r="5025" spans="1:16" x14ac:dyDescent="0.25">
      <c r="A5025" s="3" t="str">
        <f t="shared" ca="1" si="1450"/>
        <v/>
      </c>
      <c r="G5025" s="15">
        <f t="shared" ca="1" si="1457"/>
        <v>48</v>
      </c>
      <c r="H5025" s="15">
        <v>1</v>
      </c>
      <c r="I5025" s="15">
        <f t="shared" ca="1" si="1458"/>
        <v>0</v>
      </c>
      <c r="J5025" s="15" t="str">
        <f t="shared" ca="1" si="1442"/>
        <v>'0'!A48</v>
      </c>
      <c r="K5025" s="15" t="str">
        <f t="shared" ca="1" si="1443"/>
        <v>'0'!B48</v>
      </c>
    </row>
    <row r="5026" spans="1:16" x14ac:dyDescent="0.25">
      <c r="A5026" s="3" t="str">
        <f t="shared" ca="1" si="1450"/>
        <v/>
      </c>
      <c r="G5026" s="15">
        <f t="shared" ca="1" si="1457"/>
        <v>49</v>
      </c>
      <c r="H5026" s="15">
        <v>1</v>
      </c>
      <c r="I5026" s="15">
        <f t="shared" ca="1" si="1458"/>
        <v>0</v>
      </c>
      <c r="J5026" s="15" t="str">
        <f t="shared" ca="1" si="1442"/>
        <v>'0'!A49</v>
      </c>
      <c r="K5026" s="15" t="str">
        <f t="shared" ca="1" si="1443"/>
        <v>'0'!B49</v>
      </c>
    </row>
    <row r="5027" spans="1:16" x14ac:dyDescent="0.25">
      <c r="A5027" s="3" t="str">
        <f t="shared" ca="1" si="1450"/>
        <v/>
      </c>
      <c r="G5027" s="15">
        <f t="shared" ca="1" si="1457"/>
        <v>50</v>
      </c>
      <c r="H5027" s="15">
        <v>1</v>
      </c>
      <c r="I5027" s="15">
        <f t="shared" ca="1" si="1458"/>
        <v>0</v>
      </c>
      <c r="J5027" s="15" t="str">
        <f t="shared" ca="1" si="1442"/>
        <v>'0'!A50</v>
      </c>
      <c r="K5027" s="15" t="str">
        <f t="shared" ca="1" si="1443"/>
        <v>'0'!B50</v>
      </c>
    </row>
    <row r="5028" spans="1:16" x14ac:dyDescent="0.25">
      <c r="A5028" s="3" t="str">
        <f t="shared" ca="1" si="1450"/>
        <v/>
      </c>
      <c r="G5028" s="15">
        <f t="shared" ref="G5028" ca="1" si="1463">INDIRECT(M5028)</f>
        <v>31</v>
      </c>
      <c r="H5028" s="15">
        <v>1</v>
      </c>
      <c r="I5028" s="15">
        <f t="shared" ref="I5028" ca="1" si="1464">INDIRECT(N5028)</f>
        <v>0</v>
      </c>
      <c r="J5028" s="15" t="str">
        <f t="shared" ref="J5028:J5091" ca="1" si="1465">ADDRESS(G5028,H5028,4,1,I5028)</f>
        <v>'0'!A31</v>
      </c>
      <c r="K5028" s="15" t="str">
        <f t="shared" ref="K5028:K5091" ca="1" si="1466">ADDRESS(G5028,H5028+1,4,1,I5028)</f>
        <v>'0'!B31</v>
      </c>
      <c r="M5028" s="15" t="str">
        <f t="shared" ref="M5028" si="1467">ADDRESS(O5028,3,4,1,$R$1)</f>
        <v>konfig!C253</v>
      </c>
      <c r="N5028" s="15" t="str">
        <f t="shared" ref="N5028" si="1468">ADDRESS(O5028,1,4,1,$R$1)</f>
        <v>konfig!A253</v>
      </c>
      <c r="O5028" s="15">
        <v>253</v>
      </c>
      <c r="P5028" s="15">
        <v>4</v>
      </c>
    </row>
    <row r="5029" spans="1:16" x14ac:dyDescent="0.25">
      <c r="A5029" s="3" t="str">
        <f t="shared" ca="1" si="1450"/>
        <v/>
      </c>
      <c r="G5029" s="15">
        <f t="shared" ca="1" si="1455"/>
        <v>32</v>
      </c>
      <c r="H5029" s="15">
        <v>1</v>
      </c>
      <c r="I5029" s="15">
        <f t="shared" ca="1" si="1456"/>
        <v>0</v>
      </c>
      <c r="J5029" s="15" t="str">
        <f t="shared" ca="1" si="1465"/>
        <v>'0'!A32</v>
      </c>
      <c r="K5029" s="15" t="str">
        <f t="shared" ca="1" si="1466"/>
        <v>'0'!B32</v>
      </c>
    </row>
    <row r="5030" spans="1:16" x14ac:dyDescent="0.25">
      <c r="A5030" s="3" t="str">
        <f t="shared" ca="1" si="1450"/>
        <v/>
      </c>
      <c r="G5030" s="15">
        <f t="shared" ca="1" si="1457"/>
        <v>33</v>
      </c>
      <c r="H5030" s="15">
        <v>1</v>
      </c>
      <c r="I5030" s="15">
        <f t="shared" ca="1" si="1458"/>
        <v>0</v>
      </c>
      <c r="J5030" s="15" t="str">
        <f t="shared" ca="1" si="1465"/>
        <v>'0'!A33</v>
      </c>
      <c r="K5030" s="15" t="str">
        <f t="shared" ca="1" si="1466"/>
        <v>'0'!B33</v>
      </c>
    </row>
    <row r="5031" spans="1:16" x14ac:dyDescent="0.25">
      <c r="A5031" s="3" t="str">
        <f t="shared" ca="1" si="1450"/>
        <v/>
      </c>
      <c r="C5031" s="16"/>
      <c r="G5031" s="15">
        <f t="shared" ca="1" si="1457"/>
        <v>34</v>
      </c>
      <c r="H5031" s="15">
        <v>1</v>
      </c>
      <c r="I5031" s="15">
        <f t="shared" ca="1" si="1458"/>
        <v>0</v>
      </c>
      <c r="J5031" s="15" t="str">
        <f t="shared" ca="1" si="1465"/>
        <v>'0'!A34</v>
      </c>
      <c r="K5031" s="15" t="str">
        <f t="shared" ca="1" si="1466"/>
        <v>'0'!B34</v>
      </c>
    </row>
    <row r="5032" spans="1:16" x14ac:dyDescent="0.25">
      <c r="A5032" s="3" t="str">
        <f t="shared" ca="1" si="1450"/>
        <v/>
      </c>
      <c r="G5032" s="15">
        <f t="shared" ca="1" si="1457"/>
        <v>35</v>
      </c>
      <c r="H5032" s="15">
        <v>1</v>
      </c>
      <c r="I5032" s="15">
        <f t="shared" ca="1" si="1458"/>
        <v>0</v>
      </c>
      <c r="J5032" s="15" t="str">
        <f t="shared" ca="1" si="1465"/>
        <v>'0'!A35</v>
      </c>
      <c r="K5032" s="15" t="str">
        <f t="shared" ca="1" si="1466"/>
        <v>'0'!B35</v>
      </c>
    </row>
    <row r="5033" spans="1:16" x14ac:dyDescent="0.25">
      <c r="A5033" s="3" t="str">
        <f t="shared" ca="1" si="1450"/>
        <v/>
      </c>
      <c r="G5033" s="15">
        <f t="shared" ca="1" si="1457"/>
        <v>36</v>
      </c>
      <c r="H5033" s="15">
        <v>1</v>
      </c>
      <c r="I5033" s="15">
        <f t="shared" ca="1" si="1458"/>
        <v>0</v>
      </c>
      <c r="J5033" s="15" t="str">
        <f t="shared" ca="1" si="1465"/>
        <v>'0'!A36</v>
      </c>
      <c r="K5033" s="15" t="str">
        <f t="shared" ca="1" si="1466"/>
        <v>'0'!B36</v>
      </c>
    </row>
    <row r="5034" spans="1:16" x14ac:dyDescent="0.25">
      <c r="A5034" s="3" t="str">
        <f t="shared" ca="1" si="1450"/>
        <v/>
      </c>
      <c r="G5034" s="15">
        <f t="shared" ca="1" si="1457"/>
        <v>37</v>
      </c>
      <c r="H5034" s="15">
        <v>1</v>
      </c>
      <c r="I5034" s="15">
        <f t="shared" ca="1" si="1458"/>
        <v>0</v>
      </c>
      <c r="J5034" s="15" t="str">
        <f t="shared" ca="1" si="1465"/>
        <v>'0'!A37</v>
      </c>
      <c r="K5034" s="15" t="str">
        <f t="shared" ca="1" si="1466"/>
        <v>'0'!B37</v>
      </c>
    </row>
    <row r="5035" spans="1:16" x14ac:dyDescent="0.25">
      <c r="A5035" s="3" t="str">
        <f t="shared" ca="1" si="1450"/>
        <v/>
      </c>
      <c r="G5035" s="15">
        <f t="shared" ca="1" si="1457"/>
        <v>38</v>
      </c>
      <c r="H5035" s="15">
        <v>1</v>
      </c>
      <c r="I5035" s="15">
        <f t="shared" ca="1" si="1458"/>
        <v>0</v>
      </c>
      <c r="J5035" s="15" t="str">
        <f t="shared" ca="1" si="1465"/>
        <v>'0'!A38</v>
      </c>
      <c r="K5035" s="15" t="str">
        <f t="shared" ca="1" si="1466"/>
        <v>'0'!B38</v>
      </c>
    </row>
    <row r="5036" spans="1:16" x14ac:dyDescent="0.25">
      <c r="A5036" s="3" t="str">
        <f t="shared" ref="A5036:A5099" ca="1" si="1469">IFERROR(IF(INDIRECT(J5036)&lt;&gt;"",CONCATENATE(INDIRECT(J5036)," = ",INDIRECT(K5036)," "),""),"")</f>
        <v/>
      </c>
      <c r="G5036" s="15">
        <f t="shared" ca="1" si="1457"/>
        <v>39</v>
      </c>
      <c r="H5036" s="15">
        <v>1</v>
      </c>
      <c r="I5036" s="15">
        <f t="shared" ca="1" si="1458"/>
        <v>0</v>
      </c>
      <c r="J5036" s="15" t="str">
        <f t="shared" ca="1" si="1465"/>
        <v>'0'!A39</v>
      </c>
      <c r="K5036" s="15" t="str">
        <f t="shared" ca="1" si="1466"/>
        <v>'0'!B39</v>
      </c>
    </row>
    <row r="5037" spans="1:16" x14ac:dyDescent="0.25">
      <c r="A5037" s="3" t="str">
        <f t="shared" ca="1" si="1469"/>
        <v/>
      </c>
      <c r="G5037" s="15">
        <f t="shared" ca="1" si="1457"/>
        <v>40</v>
      </c>
      <c r="H5037" s="15">
        <v>1</v>
      </c>
      <c r="I5037" s="15">
        <f t="shared" ca="1" si="1458"/>
        <v>0</v>
      </c>
      <c r="J5037" s="15" t="str">
        <f t="shared" ca="1" si="1465"/>
        <v>'0'!A40</v>
      </c>
      <c r="K5037" s="15" t="str">
        <f t="shared" ca="1" si="1466"/>
        <v>'0'!B40</v>
      </c>
    </row>
    <row r="5038" spans="1:16" x14ac:dyDescent="0.25">
      <c r="A5038" s="3" t="str">
        <f t="shared" ca="1" si="1469"/>
        <v/>
      </c>
      <c r="G5038" s="15">
        <f t="shared" ca="1" si="1457"/>
        <v>41</v>
      </c>
      <c r="H5038" s="15">
        <v>1</v>
      </c>
      <c r="I5038" s="15">
        <f t="shared" ca="1" si="1458"/>
        <v>0</v>
      </c>
      <c r="J5038" s="15" t="str">
        <f t="shared" ca="1" si="1465"/>
        <v>'0'!A41</v>
      </c>
      <c r="K5038" s="15" t="str">
        <f t="shared" ca="1" si="1466"/>
        <v>'0'!B41</v>
      </c>
    </row>
    <row r="5039" spans="1:16" x14ac:dyDescent="0.25">
      <c r="A5039" s="3" t="str">
        <f t="shared" ca="1" si="1469"/>
        <v/>
      </c>
      <c r="C5039" s="16"/>
      <c r="G5039" s="15">
        <f t="shared" ca="1" si="1457"/>
        <v>42</v>
      </c>
      <c r="H5039" s="15">
        <v>1</v>
      </c>
      <c r="I5039" s="15">
        <f t="shared" ca="1" si="1458"/>
        <v>0</v>
      </c>
      <c r="J5039" s="15" t="str">
        <f t="shared" ca="1" si="1465"/>
        <v>'0'!A42</v>
      </c>
      <c r="K5039" s="15" t="str">
        <f t="shared" ca="1" si="1466"/>
        <v>'0'!B42</v>
      </c>
    </row>
    <row r="5040" spans="1:16" x14ac:dyDescent="0.25">
      <c r="A5040" s="3" t="str">
        <f t="shared" ca="1" si="1469"/>
        <v/>
      </c>
      <c r="G5040" s="15">
        <f t="shared" ca="1" si="1457"/>
        <v>43</v>
      </c>
      <c r="H5040" s="15">
        <v>1</v>
      </c>
      <c r="I5040" s="15">
        <f t="shared" ca="1" si="1458"/>
        <v>0</v>
      </c>
      <c r="J5040" s="15" t="str">
        <f t="shared" ca="1" si="1465"/>
        <v>'0'!A43</v>
      </c>
      <c r="K5040" s="15" t="str">
        <f t="shared" ca="1" si="1466"/>
        <v>'0'!B43</v>
      </c>
    </row>
    <row r="5041" spans="1:16" x14ac:dyDescent="0.25">
      <c r="A5041" s="3" t="str">
        <f t="shared" ca="1" si="1469"/>
        <v/>
      </c>
      <c r="G5041" s="15">
        <f t="shared" ca="1" si="1457"/>
        <v>44</v>
      </c>
      <c r="H5041" s="15">
        <v>1</v>
      </c>
      <c r="I5041" s="15">
        <f t="shared" ca="1" si="1458"/>
        <v>0</v>
      </c>
      <c r="J5041" s="15" t="str">
        <f t="shared" ca="1" si="1465"/>
        <v>'0'!A44</v>
      </c>
      <c r="K5041" s="15" t="str">
        <f t="shared" ca="1" si="1466"/>
        <v>'0'!B44</v>
      </c>
    </row>
    <row r="5042" spans="1:16" x14ac:dyDescent="0.25">
      <c r="A5042" s="3" t="str">
        <f t="shared" ca="1" si="1469"/>
        <v/>
      </c>
      <c r="G5042" s="15">
        <f t="shared" ca="1" si="1457"/>
        <v>45</v>
      </c>
      <c r="H5042" s="15">
        <v>1</v>
      </c>
      <c r="I5042" s="15">
        <f t="shared" ca="1" si="1458"/>
        <v>0</v>
      </c>
      <c r="J5042" s="15" t="str">
        <f t="shared" ca="1" si="1465"/>
        <v>'0'!A45</v>
      </c>
      <c r="K5042" s="15" t="str">
        <f t="shared" ca="1" si="1466"/>
        <v>'0'!B45</v>
      </c>
    </row>
    <row r="5043" spans="1:16" x14ac:dyDescent="0.25">
      <c r="A5043" s="3" t="str">
        <f t="shared" ca="1" si="1469"/>
        <v/>
      </c>
      <c r="G5043" s="15">
        <f t="shared" ca="1" si="1457"/>
        <v>46</v>
      </c>
      <c r="H5043" s="15">
        <v>1</v>
      </c>
      <c r="I5043" s="15">
        <f t="shared" ca="1" si="1458"/>
        <v>0</v>
      </c>
      <c r="J5043" s="15" t="str">
        <f t="shared" ca="1" si="1465"/>
        <v>'0'!A46</v>
      </c>
      <c r="K5043" s="15" t="str">
        <f t="shared" ca="1" si="1466"/>
        <v>'0'!B46</v>
      </c>
    </row>
    <row r="5044" spans="1:16" x14ac:dyDescent="0.25">
      <c r="A5044" s="3" t="str">
        <f t="shared" ca="1" si="1469"/>
        <v/>
      </c>
      <c r="G5044" s="15">
        <f t="shared" ca="1" si="1457"/>
        <v>47</v>
      </c>
      <c r="H5044" s="15">
        <v>1</v>
      </c>
      <c r="I5044" s="15">
        <f t="shared" ca="1" si="1458"/>
        <v>0</v>
      </c>
      <c r="J5044" s="15" t="str">
        <f t="shared" ca="1" si="1465"/>
        <v>'0'!A47</v>
      </c>
      <c r="K5044" s="15" t="str">
        <f t="shared" ca="1" si="1466"/>
        <v>'0'!B47</v>
      </c>
    </row>
    <row r="5045" spans="1:16" x14ac:dyDescent="0.25">
      <c r="A5045" s="3" t="str">
        <f t="shared" ca="1" si="1469"/>
        <v/>
      </c>
      <c r="G5045" s="15">
        <f t="shared" ca="1" si="1457"/>
        <v>48</v>
      </c>
      <c r="H5045" s="15">
        <v>1</v>
      </c>
      <c r="I5045" s="15">
        <f t="shared" ca="1" si="1458"/>
        <v>0</v>
      </c>
      <c r="J5045" s="15" t="str">
        <f t="shared" ca="1" si="1465"/>
        <v>'0'!A48</v>
      </c>
      <c r="K5045" s="15" t="str">
        <f t="shared" ca="1" si="1466"/>
        <v>'0'!B48</v>
      </c>
    </row>
    <row r="5046" spans="1:16" x14ac:dyDescent="0.25">
      <c r="A5046" s="3" t="str">
        <f t="shared" ca="1" si="1469"/>
        <v/>
      </c>
      <c r="G5046" s="15">
        <f t="shared" ca="1" si="1457"/>
        <v>49</v>
      </c>
      <c r="H5046" s="15">
        <v>1</v>
      </c>
      <c r="I5046" s="15">
        <f t="shared" ca="1" si="1458"/>
        <v>0</v>
      </c>
      <c r="J5046" s="15" t="str">
        <f t="shared" ca="1" si="1465"/>
        <v>'0'!A49</v>
      </c>
      <c r="K5046" s="15" t="str">
        <f t="shared" ca="1" si="1466"/>
        <v>'0'!B49</v>
      </c>
    </row>
    <row r="5047" spans="1:16" x14ac:dyDescent="0.25">
      <c r="A5047" s="3" t="str">
        <f t="shared" ca="1" si="1469"/>
        <v/>
      </c>
      <c r="G5047" s="15">
        <f t="shared" ca="1" si="1457"/>
        <v>50</v>
      </c>
      <c r="H5047" s="15">
        <v>1</v>
      </c>
      <c r="I5047" s="15">
        <f t="shared" ca="1" si="1458"/>
        <v>0</v>
      </c>
      <c r="J5047" s="15" t="str">
        <f t="shared" ca="1" si="1465"/>
        <v>'0'!A50</v>
      </c>
      <c r="K5047" s="15" t="str">
        <f t="shared" ca="1" si="1466"/>
        <v>'0'!B50</v>
      </c>
    </row>
    <row r="5048" spans="1:16" x14ac:dyDescent="0.25">
      <c r="A5048" s="3" t="str">
        <f t="shared" ca="1" si="1469"/>
        <v/>
      </c>
      <c r="G5048" s="15">
        <f t="shared" ref="G5048" ca="1" si="1470">INDIRECT(M5048)</f>
        <v>31</v>
      </c>
      <c r="H5048" s="15">
        <v>1</v>
      </c>
      <c r="I5048" s="15">
        <f t="shared" ref="I5048" ca="1" si="1471">INDIRECT(N5048)</f>
        <v>0</v>
      </c>
      <c r="J5048" s="15" t="str">
        <f t="shared" ca="1" si="1465"/>
        <v>'0'!A31</v>
      </c>
      <c r="K5048" s="15" t="str">
        <f t="shared" ca="1" si="1466"/>
        <v>'0'!B31</v>
      </c>
      <c r="M5048" s="15" t="str">
        <f t="shared" ref="M5048" si="1472">ADDRESS(O5048,3,4,1,$R$1)</f>
        <v>konfig!C254</v>
      </c>
      <c r="N5048" s="15" t="str">
        <f t="shared" ref="N5048" si="1473">ADDRESS(O5048,1,4,1,$R$1)</f>
        <v>konfig!A254</v>
      </c>
      <c r="O5048" s="15">
        <v>254</v>
      </c>
      <c r="P5048" s="15">
        <v>4</v>
      </c>
    </row>
    <row r="5049" spans="1:16" x14ac:dyDescent="0.25">
      <c r="A5049" s="3" t="str">
        <f t="shared" ca="1" si="1469"/>
        <v/>
      </c>
      <c r="G5049" s="15">
        <f t="shared" ref="G5049:G5092" ca="1" si="1474">G5048+1</f>
        <v>32</v>
      </c>
      <c r="H5049" s="15">
        <v>1</v>
      </c>
      <c r="I5049" s="15">
        <f t="shared" ref="I5049:I5092" ca="1" si="1475">I5048</f>
        <v>0</v>
      </c>
      <c r="J5049" s="15" t="str">
        <f t="shared" ca="1" si="1465"/>
        <v>'0'!A32</v>
      </c>
      <c r="K5049" s="15" t="str">
        <f t="shared" ca="1" si="1466"/>
        <v>'0'!B32</v>
      </c>
    </row>
    <row r="5050" spans="1:16" x14ac:dyDescent="0.25">
      <c r="A5050" s="3" t="str">
        <f t="shared" ca="1" si="1469"/>
        <v/>
      </c>
      <c r="G5050" s="15">
        <f t="shared" ca="1" si="1474"/>
        <v>33</v>
      </c>
      <c r="H5050" s="15">
        <v>1</v>
      </c>
      <c r="I5050" s="15">
        <f t="shared" ca="1" si="1475"/>
        <v>0</v>
      </c>
      <c r="J5050" s="15" t="str">
        <f t="shared" ca="1" si="1465"/>
        <v>'0'!A33</v>
      </c>
      <c r="K5050" s="15" t="str">
        <f t="shared" ca="1" si="1466"/>
        <v>'0'!B33</v>
      </c>
    </row>
    <row r="5051" spans="1:16" x14ac:dyDescent="0.25">
      <c r="A5051" s="3" t="str">
        <f t="shared" ca="1" si="1469"/>
        <v/>
      </c>
      <c r="C5051" s="16"/>
      <c r="G5051" s="15">
        <f t="shared" ca="1" si="1474"/>
        <v>34</v>
      </c>
      <c r="H5051" s="15">
        <v>1</v>
      </c>
      <c r="I5051" s="15">
        <f t="shared" ca="1" si="1475"/>
        <v>0</v>
      </c>
      <c r="J5051" s="15" t="str">
        <f t="shared" ca="1" si="1465"/>
        <v>'0'!A34</v>
      </c>
      <c r="K5051" s="15" t="str">
        <f t="shared" ca="1" si="1466"/>
        <v>'0'!B34</v>
      </c>
    </row>
    <row r="5052" spans="1:16" x14ac:dyDescent="0.25">
      <c r="A5052" s="3" t="str">
        <f t="shared" ca="1" si="1469"/>
        <v/>
      </c>
      <c r="G5052" s="15">
        <f t="shared" ca="1" si="1474"/>
        <v>35</v>
      </c>
      <c r="H5052" s="15">
        <v>1</v>
      </c>
      <c r="I5052" s="15">
        <f t="shared" ca="1" si="1475"/>
        <v>0</v>
      </c>
      <c r="J5052" s="15" t="str">
        <f t="shared" ca="1" si="1465"/>
        <v>'0'!A35</v>
      </c>
      <c r="K5052" s="15" t="str">
        <f t="shared" ca="1" si="1466"/>
        <v>'0'!B35</v>
      </c>
    </row>
    <row r="5053" spans="1:16" x14ac:dyDescent="0.25">
      <c r="A5053" s="3" t="str">
        <f t="shared" ca="1" si="1469"/>
        <v/>
      </c>
      <c r="G5053" s="15">
        <f t="shared" ca="1" si="1457"/>
        <v>36</v>
      </c>
      <c r="H5053" s="15">
        <v>1</v>
      </c>
      <c r="I5053" s="15">
        <f t="shared" ca="1" si="1458"/>
        <v>0</v>
      </c>
      <c r="J5053" s="15" t="str">
        <f t="shared" ca="1" si="1465"/>
        <v>'0'!A36</v>
      </c>
      <c r="K5053" s="15" t="str">
        <f t="shared" ca="1" si="1466"/>
        <v>'0'!B36</v>
      </c>
    </row>
    <row r="5054" spans="1:16" x14ac:dyDescent="0.25">
      <c r="A5054" s="3" t="str">
        <f t="shared" ca="1" si="1469"/>
        <v/>
      </c>
      <c r="G5054" s="15">
        <f t="shared" ca="1" si="1457"/>
        <v>37</v>
      </c>
      <c r="H5054" s="15">
        <v>1</v>
      </c>
      <c r="I5054" s="15">
        <f t="shared" ca="1" si="1458"/>
        <v>0</v>
      </c>
      <c r="J5054" s="15" t="str">
        <f t="shared" ca="1" si="1465"/>
        <v>'0'!A37</v>
      </c>
      <c r="K5054" s="15" t="str">
        <f t="shared" ca="1" si="1466"/>
        <v>'0'!B37</v>
      </c>
    </row>
    <row r="5055" spans="1:16" x14ac:dyDescent="0.25">
      <c r="A5055" s="3" t="str">
        <f t="shared" ca="1" si="1469"/>
        <v/>
      </c>
      <c r="G5055" s="15">
        <f t="shared" ca="1" si="1457"/>
        <v>38</v>
      </c>
      <c r="H5055" s="15">
        <v>1</v>
      </c>
      <c r="I5055" s="15">
        <f t="shared" ca="1" si="1458"/>
        <v>0</v>
      </c>
      <c r="J5055" s="15" t="str">
        <f t="shared" ca="1" si="1465"/>
        <v>'0'!A38</v>
      </c>
      <c r="K5055" s="15" t="str">
        <f t="shared" ca="1" si="1466"/>
        <v>'0'!B38</v>
      </c>
    </row>
    <row r="5056" spans="1:16" x14ac:dyDescent="0.25">
      <c r="A5056" s="3" t="str">
        <f t="shared" ca="1" si="1469"/>
        <v/>
      </c>
      <c r="G5056" s="15">
        <f t="shared" ca="1" si="1457"/>
        <v>39</v>
      </c>
      <c r="H5056" s="15">
        <v>1</v>
      </c>
      <c r="I5056" s="15">
        <f t="shared" ca="1" si="1458"/>
        <v>0</v>
      </c>
      <c r="J5056" s="15" t="str">
        <f t="shared" ca="1" si="1465"/>
        <v>'0'!A39</v>
      </c>
      <c r="K5056" s="15" t="str">
        <f t="shared" ca="1" si="1466"/>
        <v>'0'!B39</v>
      </c>
    </row>
    <row r="5057" spans="1:16" x14ac:dyDescent="0.25">
      <c r="A5057" s="3" t="str">
        <f t="shared" ca="1" si="1469"/>
        <v/>
      </c>
      <c r="G5057" s="15">
        <f t="shared" ca="1" si="1457"/>
        <v>40</v>
      </c>
      <c r="H5057" s="15">
        <v>1</v>
      </c>
      <c r="I5057" s="15">
        <f t="shared" ca="1" si="1458"/>
        <v>0</v>
      </c>
      <c r="J5057" s="15" t="str">
        <f t="shared" ca="1" si="1465"/>
        <v>'0'!A40</v>
      </c>
      <c r="K5057" s="15" t="str">
        <f t="shared" ca="1" si="1466"/>
        <v>'0'!B40</v>
      </c>
    </row>
    <row r="5058" spans="1:16" x14ac:dyDescent="0.25">
      <c r="A5058" s="3" t="str">
        <f t="shared" ca="1" si="1469"/>
        <v/>
      </c>
      <c r="G5058" s="15">
        <f t="shared" ca="1" si="1457"/>
        <v>41</v>
      </c>
      <c r="H5058" s="15">
        <v>1</v>
      </c>
      <c r="I5058" s="15">
        <f t="shared" ca="1" si="1458"/>
        <v>0</v>
      </c>
      <c r="J5058" s="15" t="str">
        <f t="shared" ca="1" si="1465"/>
        <v>'0'!A41</v>
      </c>
      <c r="K5058" s="15" t="str">
        <f t="shared" ca="1" si="1466"/>
        <v>'0'!B41</v>
      </c>
    </row>
    <row r="5059" spans="1:16" x14ac:dyDescent="0.25">
      <c r="A5059" s="3" t="str">
        <f t="shared" ca="1" si="1469"/>
        <v/>
      </c>
      <c r="C5059" s="16"/>
      <c r="G5059" s="15">
        <f t="shared" ca="1" si="1457"/>
        <v>42</v>
      </c>
      <c r="H5059" s="15">
        <v>1</v>
      </c>
      <c r="I5059" s="15">
        <f t="shared" ca="1" si="1458"/>
        <v>0</v>
      </c>
      <c r="J5059" s="15" t="str">
        <f t="shared" ca="1" si="1465"/>
        <v>'0'!A42</v>
      </c>
      <c r="K5059" s="15" t="str">
        <f t="shared" ca="1" si="1466"/>
        <v>'0'!B42</v>
      </c>
    </row>
    <row r="5060" spans="1:16" x14ac:dyDescent="0.25">
      <c r="A5060" s="3" t="str">
        <f t="shared" ca="1" si="1469"/>
        <v/>
      </c>
      <c r="G5060" s="15">
        <f t="shared" ca="1" si="1457"/>
        <v>43</v>
      </c>
      <c r="H5060" s="15">
        <v>1</v>
      </c>
      <c r="I5060" s="15">
        <f t="shared" ca="1" si="1458"/>
        <v>0</v>
      </c>
      <c r="J5060" s="15" t="str">
        <f t="shared" ca="1" si="1465"/>
        <v>'0'!A43</v>
      </c>
      <c r="K5060" s="15" t="str">
        <f t="shared" ca="1" si="1466"/>
        <v>'0'!B43</v>
      </c>
    </row>
    <row r="5061" spans="1:16" x14ac:dyDescent="0.25">
      <c r="A5061" s="3" t="str">
        <f t="shared" ca="1" si="1469"/>
        <v/>
      </c>
      <c r="G5061" s="15">
        <f t="shared" ca="1" si="1457"/>
        <v>44</v>
      </c>
      <c r="H5061" s="15">
        <v>1</v>
      </c>
      <c r="I5061" s="15">
        <f t="shared" ca="1" si="1458"/>
        <v>0</v>
      </c>
      <c r="J5061" s="15" t="str">
        <f t="shared" ca="1" si="1465"/>
        <v>'0'!A44</v>
      </c>
      <c r="K5061" s="15" t="str">
        <f t="shared" ca="1" si="1466"/>
        <v>'0'!B44</v>
      </c>
    </row>
    <row r="5062" spans="1:16" x14ac:dyDescent="0.25">
      <c r="A5062" s="3" t="str">
        <f t="shared" ca="1" si="1469"/>
        <v/>
      </c>
      <c r="G5062" s="15">
        <f t="shared" ca="1" si="1457"/>
        <v>45</v>
      </c>
      <c r="H5062" s="15">
        <v>1</v>
      </c>
      <c r="I5062" s="15">
        <f t="shared" ca="1" si="1458"/>
        <v>0</v>
      </c>
      <c r="J5062" s="15" t="str">
        <f t="shared" ca="1" si="1465"/>
        <v>'0'!A45</v>
      </c>
      <c r="K5062" s="15" t="str">
        <f t="shared" ca="1" si="1466"/>
        <v>'0'!B45</v>
      </c>
    </row>
    <row r="5063" spans="1:16" x14ac:dyDescent="0.25">
      <c r="A5063" s="3" t="str">
        <f t="shared" ca="1" si="1469"/>
        <v/>
      </c>
      <c r="G5063" s="15">
        <f t="shared" ca="1" si="1457"/>
        <v>46</v>
      </c>
      <c r="H5063" s="15">
        <v>1</v>
      </c>
      <c r="I5063" s="15">
        <f t="shared" ca="1" si="1458"/>
        <v>0</v>
      </c>
      <c r="J5063" s="15" t="str">
        <f t="shared" ca="1" si="1465"/>
        <v>'0'!A46</v>
      </c>
      <c r="K5063" s="15" t="str">
        <f t="shared" ca="1" si="1466"/>
        <v>'0'!B46</v>
      </c>
    </row>
    <row r="5064" spans="1:16" x14ac:dyDescent="0.25">
      <c r="A5064" s="3" t="str">
        <f t="shared" ca="1" si="1469"/>
        <v/>
      </c>
      <c r="G5064" s="15">
        <f t="shared" ca="1" si="1457"/>
        <v>47</v>
      </c>
      <c r="H5064" s="15">
        <v>1</v>
      </c>
      <c r="I5064" s="15">
        <f t="shared" ca="1" si="1458"/>
        <v>0</v>
      </c>
      <c r="J5064" s="15" t="str">
        <f t="shared" ca="1" si="1465"/>
        <v>'0'!A47</v>
      </c>
      <c r="K5064" s="15" t="str">
        <f t="shared" ca="1" si="1466"/>
        <v>'0'!B47</v>
      </c>
    </row>
    <row r="5065" spans="1:16" x14ac:dyDescent="0.25">
      <c r="A5065" s="3" t="str">
        <f t="shared" ca="1" si="1469"/>
        <v/>
      </c>
      <c r="G5065" s="15">
        <f t="shared" ref="G5065:G5127" ca="1" si="1476">G5064+1</f>
        <v>48</v>
      </c>
      <c r="H5065" s="15">
        <v>1</v>
      </c>
      <c r="I5065" s="15">
        <f t="shared" ref="I5065:I5127" ca="1" si="1477">I5064</f>
        <v>0</v>
      </c>
      <c r="J5065" s="15" t="str">
        <f t="shared" ca="1" si="1465"/>
        <v>'0'!A48</v>
      </c>
      <c r="K5065" s="15" t="str">
        <f t="shared" ca="1" si="1466"/>
        <v>'0'!B48</v>
      </c>
    </row>
    <row r="5066" spans="1:16" x14ac:dyDescent="0.25">
      <c r="A5066" s="3" t="str">
        <f t="shared" ca="1" si="1469"/>
        <v/>
      </c>
      <c r="G5066" s="15">
        <f t="shared" ca="1" si="1476"/>
        <v>49</v>
      </c>
      <c r="H5066" s="15">
        <v>1</v>
      </c>
      <c r="I5066" s="15">
        <f t="shared" ca="1" si="1477"/>
        <v>0</v>
      </c>
      <c r="J5066" s="15" t="str">
        <f t="shared" ca="1" si="1465"/>
        <v>'0'!A49</v>
      </c>
      <c r="K5066" s="15" t="str">
        <f t="shared" ca="1" si="1466"/>
        <v>'0'!B49</v>
      </c>
    </row>
    <row r="5067" spans="1:16" x14ac:dyDescent="0.25">
      <c r="A5067" s="3" t="str">
        <f t="shared" ca="1" si="1469"/>
        <v/>
      </c>
      <c r="G5067" s="15">
        <f t="shared" ca="1" si="1476"/>
        <v>50</v>
      </c>
      <c r="H5067" s="15">
        <v>1</v>
      </c>
      <c r="I5067" s="15">
        <f t="shared" ca="1" si="1477"/>
        <v>0</v>
      </c>
      <c r="J5067" s="15" t="str">
        <f t="shared" ca="1" si="1465"/>
        <v>'0'!A50</v>
      </c>
      <c r="K5067" s="15" t="str">
        <f t="shared" ca="1" si="1466"/>
        <v>'0'!B50</v>
      </c>
    </row>
    <row r="5068" spans="1:16" x14ac:dyDescent="0.25">
      <c r="A5068" s="3" t="str">
        <f t="shared" ca="1" si="1469"/>
        <v/>
      </c>
      <c r="G5068" s="15">
        <f t="shared" ref="G5068" ca="1" si="1478">INDIRECT(M5068)</f>
        <v>31</v>
      </c>
      <c r="H5068" s="15">
        <v>1</v>
      </c>
      <c r="I5068" s="15">
        <f t="shared" ref="I5068" ca="1" si="1479">INDIRECT(N5068)</f>
        <v>0</v>
      </c>
      <c r="J5068" s="15" t="str">
        <f t="shared" ca="1" si="1465"/>
        <v>'0'!A31</v>
      </c>
      <c r="K5068" s="15" t="str">
        <f t="shared" ca="1" si="1466"/>
        <v>'0'!B31</v>
      </c>
      <c r="M5068" s="15" t="str">
        <f t="shared" ref="M5068" si="1480">ADDRESS(O5068,3,4,1,$R$1)</f>
        <v>konfig!C255</v>
      </c>
      <c r="N5068" s="15" t="str">
        <f t="shared" ref="N5068" si="1481">ADDRESS(O5068,1,4,1,$R$1)</f>
        <v>konfig!A255</v>
      </c>
      <c r="O5068" s="15">
        <v>255</v>
      </c>
      <c r="P5068" s="15">
        <v>4</v>
      </c>
    </row>
    <row r="5069" spans="1:16" x14ac:dyDescent="0.25">
      <c r="A5069" s="3" t="str">
        <f t="shared" ca="1" si="1469"/>
        <v/>
      </c>
      <c r="G5069" s="15">
        <f t="shared" ref="G5069:G5109" ca="1" si="1482">G5068+1</f>
        <v>32</v>
      </c>
      <c r="H5069" s="15">
        <v>1</v>
      </c>
      <c r="I5069" s="15">
        <f t="shared" ref="I5069:I5109" ca="1" si="1483">I5068</f>
        <v>0</v>
      </c>
      <c r="J5069" s="15" t="str">
        <f t="shared" ca="1" si="1465"/>
        <v>'0'!A32</v>
      </c>
      <c r="K5069" s="15" t="str">
        <f t="shared" ca="1" si="1466"/>
        <v>'0'!B32</v>
      </c>
    </row>
    <row r="5070" spans="1:16" x14ac:dyDescent="0.25">
      <c r="A5070" s="3" t="str">
        <f t="shared" ca="1" si="1469"/>
        <v/>
      </c>
      <c r="G5070" s="15">
        <f t="shared" ca="1" si="1476"/>
        <v>33</v>
      </c>
      <c r="H5070" s="15">
        <v>1</v>
      </c>
      <c r="I5070" s="15">
        <f t="shared" ca="1" si="1477"/>
        <v>0</v>
      </c>
      <c r="J5070" s="15" t="str">
        <f t="shared" ca="1" si="1465"/>
        <v>'0'!A33</v>
      </c>
      <c r="K5070" s="15" t="str">
        <f t="shared" ca="1" si="1466"/>
        <v>'0'!B33</v>
      </c>
    </row>
    <row r="5071" spans="1:16" x14ac:dyDescent="0.25">
      <c r="A5071" s="3" t="str">
        <f t="shared" ca="1" si="1469"/>
        <v/>
      </c>
      <c r="C5071" s="16"/>
      <c r="G5071" s="15">
        <f t="shared" ca="1" si="1476"/>
        <v>34</v>
      </c>
      <c r="H5071" s="15">
        <v>1</v>
      </c>
      <c r="I5071" s="15">
        <f t="shared" ca="1" si="1477"/>
        <v>0</v>
      </c>
      <c r="J5071" s="15" t="str">
        <f t="shared" ca="1" si="1465"/>
        <v>'0'!A34</v>
      </c>
      <c r="K5071" s="15" t="str">
        <f t="shared" ca="1" si="1466"/>
        <v>'0'!B34</v>
      </c>
    </row>
    <row r="5072" spans="1:16" x14ac:dyDescent="0.25">
      <c r="A5072" s="3" t="str">
        <f t="shared" ca="1" si="1469"/>
        <v/>
      </c>
      <c r="G5072" s="15">
        <f t="shared" ca="1" si="1476"/>
        <v>35</v>
      </c>
      <c r="H5072" s="15">
        <v>1</v>
      </c>
      <c r="I5072" s="15">
        <f t="shared" ca="1" si="1477"/>
        <v>0</v>
      </c>
      <c r="J5072" s="15" t="str">
        <f t="shared" ca="1" si="1465"/>
        <v>'0'!A35</v>
      </c>
      <c r="K5072" s="15" t="str">
        <f t="shared" ca="1" si="1466"/>
        <v>'0'!B35</v>
      </c>
    </row>
    <row r="5073" spans="1:16" x14ac:dyDescent="0.25">
      <c r="A5073" s="3" t="str">
        <f t="shared" ca="1" si="1469"/>
        <v/>
      </c>
      <c r="G5073" s="15">
        <f t="shared" ca="1" si="1476"/>
        <v>36</v>
      </c>
      <c r="H5073" s="15">
        <v>1</v>
      </c>
      <c r="I5073" s="15">
        <f t="shared" ca="1" si="1477"/>
        <v>0</v>
      </c>
      <c r="J5073" s="15" t="str">
        <f t="shared" ca="1" si="1465"/>
        <v>'0'!A36</v>
      </c>
      <c r="K5073" s="15" t="str">
        <f t="shared" ca="1" si="1466"/>
        <v>'0'!B36</v>
      </c>
    </row>
    <row r="5074" spans="1:16" x14ac:dyDescent="0.25">
      <c r="A5074" s="3" t="str">
        <f t="shared" ca="1" si="1469"/>
        <v/>
      </c>
      <c r="G5074" s="15">
        <f t="shared" ca="1" si="1476"/>
        <v>37</v>
      </c>
      <c r="H5074" s="15">
        <v>1</v>
      </c>
      <c r="I5074" s="15">
        <f t="shared" ca="1" si="1477"/>
        <v>0</v>
      </c>
      <c r="J5074" s="15" t="str">
        <f t="shared" ca="1" si="1465"/>
        <v>'0'!A37</v>
      </c>
      <c r="K5074" s="15" t="str">
        <f t="shared" ca="1" si="1466"/>
        <v>'0'!B37</v>
      </c>
    </row>
    <row r="5075" spans="1:16" x14ac:dyDescent="0.25">
      <c r="A5075" s="3" t="str">
        <f t="shared" ca="1" si="1469"/>
        <v/>
      </c>
      <c r="G5075" s="15">
        <f t="shared" ca="1" si="1476"/>
        <v>38</v>
      </c>
      <c r="H5075" s="15">
        <v>1</v>
      </c>
      <c r="I5075" s="15">
        <f t="shared" ca="1" si="1477"/>
        <v>0</v>
      </c>
      <c r="J5075" s="15" t="str">
        <f t="shared" ca="1" si="1465"/>
        <v>'0'!A38</v>
      </c>
      <c r="K5075" s="15" t="str">
        <f t="shared" ca="1" si="1466"/>
        <v>'0'!B38</v>
      </c>
    </row>
    <row r="5076" spans="1:16" x14ac:dyDescent="0.25">
      <c r="A5076" s="3" t="str">
        <f t="shared" ca="1" si="1469"/>
        <v/>
      </c>
      <c r="G5076" s="15">
        <f t="shared" ca="1" si="1476"/>
        <v>39</v>
      </c>
      <c r="H5076" s="15">
        <v>1</v>
      </c>
      <c r="I5076" s="15">
        <f t="shared" ca="1" si="1477"/>
        <v>0</v>
      </c>
      <c r="J5076" s="15" t="str">
        <f t="shared" ca="1" si="1465"/>
        <v>'0'!A39</v>
      </c>
      <c r="K5076" s="15" t="str">
        <f t="shared" ca="1" si="1466"/>
        <v>'0'!B39</v>
      </c>
    </row>
    <row r="5077" spans="1:16" x14ac:dyDescent="0.25">
      <c r="A5077" s="3" t="str">
        <f t="shared" ca="1" si="1469"/>
        <v/>
      </c>
      <c r="G5077" s="15">
        <f t="shared" ca="1" si="1476"/>
        <v>40</v>
      </c>
      <c r="H5077" s="15">
        <v>1</v>
      </c>
      <c r="I5077" s="15">
        <f t="shared" ca="1" si="1477"/>
        <v>0</v>
      </c>
      <c r="J5077" s="15" t="str">
        <f t="shared" ca="1" si="1465"/>
        <v>'0'!A40</v>
      </c>
      <c r="K5077" s="15" t="str">
        <f t="shared" ca="1" si="1466"/>
        <v>'0'!B40</v>
      </c>
    </row>
    <row r="5078" spans="1:16" x14ac:dyDescent="0.25">
      <c r="A5078" s="3" t="str">
        <f t="shared" ca="1" si="1469"/>
        <v/>
      </c>
      <c r="G5078" s="15">
        <f t="shared" ca="1" si="1476"/>
        <v>41</v>
      </c>
      <c r="H5078" s="15">
        <v>1</v>
      </c>
      <c r="I5078" s="15">
        <f t="shared" ca="1" si="1477"/>
        <v>0</v>
      </c>
      <c r="J5078" s="15" t="str">
        <f t="shared" ca="1" si="1465"/>
        <v>'0'!A41</v>
      </c>
      <c r="K5078" s="15" t="str">
        <f t="shared" ca="1" si="1466"/>
        <v>'0'!B41</v>
      </c>
    </row>
    <row r="5079" spans="1:16" x14ac:dyDescent="0.25">
      <c r="A5079" s="3" t="str">
        <f t="shared" ca="1" si="1469"/>
        <v/>
      </c>
      <c r="C5079" s="16"/>
      <c r="G5079" s="15">
        <f t="shared" ca="1" si="1476"/>
        <v>42</v>
      </c>
      <c r="H5079" s="15">
        <v>1</v>
      </c>
      <c r="I5079" s="15">
        <f t="shared" ca="1" si="1477"/>
        <v>0</v>
      </c>
      <c r="J5079" s="15" t="str">
        <f t="shared" ca="1" si="1465"/>
        <v>'0'!A42</v>
      </c>
      <c r="K5079" s="15" t="str">
        <f t="shared" ca="1" si="1466"/>
        <v>'0'!B42</v>
      </c>
    </row>
    <row r="5080" spans="1:16" x14ac:dyDescent="0.25">
      <c r="A5080" s="3" t="str">
        <f t="shared" ca="1" si="1469"/>
        <v/>
      </c>
      <c r="G5080" s="15">
        <f t="shared" ca="1" si="1476"/>
        <v>43</v>
      </c>
      <c r="H5080" s="15">
        <v>1</v>
      </c>
      <c r="I5080" s="15">
        <f t="shared" ca="1" si="1477"/>
        <v>0</v>
      </c>
      <c r="J5080" s="15" t="str">
        <f t="shared" ca="1" si="1465"/>
        <v>'0'!A43</v>
      </c>
      <c r="K5080" s="15" t="str">
        <f t="shared" ca="1" si="1466"/>
        <v>'0'!B43</v>
      </c>
    </row>
    <row r="5081" spans="1:16" x14ac:dyDescent="0.25">
      <c r="A5081" s="3" t="str">
        <f t="shared" ca="1" si="1469"/>
        <v/>
      </c>
      <c r="G5081" s="15">
        <f t="shared" ca="1" si="1476"/>
        <v>44</v>
      </c>
      <c r="H5081" s="15">
        <v>1</v>
      </c>
      <c r="I5081" s="15">
        <f t="shared" ca="1" si="1477"/>
        <v>0</v>
      </c>
      <c r="J5081" s="15" t="str">
        <f t="shared" ca="1" si="1465"/>
        <v>'0'!A44</v>
      </c>
      <c r="K5081" s="15" t="str">
        <f t="shared" ca="1" si="1466"/>
        <v>'0'!B44</v>
      </c>
    </row>
    <row r="5082" spans="1:16" x14ac:dyDescent="0.25">
      <c r="A5082" s="3" t="str">
        <f t="shared" ca="1" si="1469"/>
        <v/>
      </c>
      <c r="G5082" s="15">
        <f t="shared" ca="1" si="1476"/>
        <v>45</v>
      </c>
      <c r="H5082" s="15">
        <v>1</v>
      </c>
      <c r="I5082" s="15">
        <f t="shared" ca="1" si="1477"/>
        <v>0</v>
      </c>
      <c r="J5082" s="15" t="str">
        <f t="shared" ca="1" si="1465"/>
        <v>'0'!A45</v>
      </c>
      <c r="K5082" s="15" t="str">
        <f t="shared" ca="1" si="1466"/>
        <v>'0'!B45</v>
      </c>
    </row>
    <row r="5083" spans="1:16" x14ac:dyDescent="0.25">
      <c r="A5083" s="3" t="str">
        <f t="shared" ca="1" si="1469"/>
        <v/>
      </c>
      <c r="G5083" s="15">
        <f t="shared" ca="1" si="1476"/>
        <v>46</v>
      </c>
      <c r="H5083" s="15">
        <v>1</v>
      </c>
      <c r="I5083" s="15">
        <f t="shared" ca="1" si="1477"/>
        <v>0</v>
      </c>
      <c r="J5083" s="15" t="str">
        <f t="shared" ca="1" si="1465"/>
        <v>'0'!A46</v>
      </c>
      <c r="K5083" s="15" t="str">
        <f t="shared" ca="1" si="1466"/>
        <v>'0'!B46</v>
      </c>
    </row>
    <row r="5084" spans="1:16" x14ac:dyDescent="0.25">
      <c r="A5084" s="3" t="str">
        <f t="shared" ca="1" si="1469"/>
        <v/>
      </c>
      <c r="G5084" s="15">
        <f t="shared" ca="1" si="1476"/>
        <v>47</v>
      </c>
      <c r="H5084" s="15">
        <v>1</v>
      </c>
      <c r="I5084" s="15">
        <f t="shared" ca="1" si="1477"/>
        <v>0</v>
      </c>
      <c r="J5084" s="15" t="str">
        <f t="shared" ca="1" si="1465"/>
        <v>'0'!A47</v>
      </c>
      <c r="K5084" s="15" t="str">
        <f t="shared" ca="1" si="1466"/>
        <v>'0'!B47</v>
      </c>
    </row>
    <row r="5085" spans="1:16" x14ac:dyDescent="0.25">
      <c r="A5085" s="3" t="str">
        <f t="shared" ca="1" si="1469"/>
        <v/>
      </c>
      <c r="G5085" s="15">
        <f t="shared" ca="1" si="1476"/>
        <v>48</v>
      </c>
      <c r="H5085" s="15">
        <v>1</v>
      </c>
      <c r="I5085" s="15">
        <f t="shared" ca="1" si="1477"/>
        <v>0</v>
      </c>
      <c r="J5085" s="15" t="str">
        <f t="shared" ca="1" si="1465"/>
        <v>'0'!A48</v>
      </c>
      <c r="K5085" s="15" t="str">
        <f t="shared" ca="1" si="1466"/>
        <v>'0'!B48</v>
      </c>
    </row>
    <row r="5086" spans="1:16" x14ac:dyDescent="0.25">
      <c r="A5086" s="3" t="str">
        <f t="shared" ca="1" si="1469"/>
        <v/>
      </c>
      <c r="G5086" s="15">
        <f t="shared" ca="1" si="1476"/>
        <v>49</v>
      </c>
      <c r="H5086" s="15">
        <v>1</v>
      </c>
      <c r="I5086" s="15">
        <f t="shared" ca="1" si="1477"/>
        <v>0</v>
      </c>
      <c r="J5086" s="15" t="str">
        <f t="shared" ca="1" si="1465"/>
        <v>'0'!A49</v>
      </c>
      <c r="K5086" s="15" t="str">
        <f t="shared" ca="1" si="1466"/>
        <v>'0'!B49</v>
      </c>
    </row>
    <row r="5087" spans="1:16" x14ac:dyDescent="0.25">
      <c r="A5087" s="3" t="str">
        <f t="shared" ca="1" si="1469"/>
        <v/>
      </c>
      <c r="G5087" s="15">
        <f t="shared" ca="1" si="1476"/>
        <v>50</v>
      </c>
      <c r="H5087" s="15">
        <v>1</v>
      </c>
      <c r="I5087" s="15">
        <f t="shared" ca="1" si="1477"/>
        <v>0</v>
      </c>
      <c r="J5087" s="15" t="str">
        <f t="shared" ca="1" si="1465"/>
        <v>'0'!A50</v>
      </c>
      <c r="K5087" s="15" t="str">
        <f t="shared" ca="1" si="1466"/>
        <v>'0'!B50</v>
      </c>
    </row>
    <row r="5088" spans="1:16" x14ac:dyDescent="0.25">
      <c r="A5088" s="3" t="str">
        <f t="shared" ca="1" si="1469"/>
        <v/>
      </c>
      <c r="G5088" s="15">
        <f t="shared" ref="G5088" ca="1" si="1484">INDIRECT(M5088)</f>
        <v>31</v>
      </c>
      <c r="H5088" s="15">
        <v>1</v>
      </c>
      <c r="I5088" s="15">
        <f t="shared" ref="I5088" ca="1" si="1485">INDIRECT(N5088)</f>
        <v>0</v>
      </c>
      <c r="J5088" s="15" t="str">
        <f t="shared" ca="1" si="1465"/>
        <v>'0'!A31</v>
      </c>
      <c r="K5088" s="15" t="str">
        <f t="shared" ca="1" si="1466"/>
        <v>'0'!B31</v>
      </c>
      <c r="M5088" s="15" t="str">
        <f t="shared" ref="M5088" si="1486">ADDRESS(O5088,3,4,1,$R$1)</f>
        <v>konfig!C256</v>
      </c>
      <c r="N5088" s="15" t="str">
        <f t="shared" ref="N5088" si="1487">ADDRESS(O5088,1,4,1,$R$1)</f>
        <v>konfig!A256</v>
      </c>
      <c r="O5088" s="15">
        <v>256</v>
      </c>
      <c r="P5088" s="15">
        <v>4</v>
      </c>
    </row>
    <row r="5089" spans="1:11" x14ac:dyDescent="0.25">
      <c r="A5089" s="3" t="str">
        <f t="shared" ca="1" si="1469"/>
        <v/>
      </c>
      <c r="G5089" s="15">
        <f t="shared" ca="1" si="1474"/>
        <v>32</v>
      </c>
      <c r="H5089" s="15">
        <v>1</v>
      </c>
      <c r="I5089" s="15">
        <f t="shared" ca="1" si="1475"/>
        <v>0</v>
      </c>
      <c r="J5089" s="15" t="str">
        <f t="shared" ca="1" si="1465"/>
        <v>'0'!A32</v>
      </c>
      <c r="K5089" s="15" t="str">
        <f t="shared" ca="1" si="1466"/>
        <v>'0'!B32</v>
      </c>
    </row>
    <row r="5090" spans="1:11" x14ac:dyDescent="0.25">
      <c r="A5090" s="3" t="str">
        <f t="shared" ca="1" si="1469"/>
        <v/>
      </c>
      <c r="G5090" s="15">
        <f t="shared" ca="1" si="1474"/>
        <v>33</v>
      </c>
      <c r="H5090" s="15">
        <v>1</v>
      </c>
      <c r="I5090" s="15">
        <f t="shared" ca="1" si="1475"/>
        <v>0</v>
      </c>
      <c r="J5090" s="15" t="str">
        <f t="shared" ca="1" si="1465"/>
        <v>'0'!A33</v>
      </c>
      <c r="K5090" s="15" t="str">
        <f t="shared" ca="1" si="1466"/>
        <v>'0'!B33</v>
      </c>
    </row>
    <row r="5091" spans="1:11" x14ac:dyDescent="0.25">
      <c r="A5091" s="3" t="str">
        <f t="shared" ca="1" si="1469"/>
        <v/>
      </c>
      <c r="C5091" s="16"/>
      <c r="G5091" s="15">
        <f t="shared" ca="1" si="1474"/>
        <v>34</v>
      </c>
      <c r="H5091" s="15">
        <v>1</v>
      </c>
      <c r="I5091" s="15">
        <f t="shared" ca="1" si="1475"/>
        <v>0</v>
      </c>
      <c r="J5091" s="15" t="str">
        <f t="shared" ca="1" si="1465"/>
        <v>'0'!A34</v>
      </c>
      <c r="K5091" s="15" t="str">
        <f t="shared" ca="1" si="1466"/>
        <v>'0'!B34</v>
      </c>
    </row>
    <row r="5092" spans="1:11" x14ac:dyDescent="0.25">
      <c r="A5092" s="3" t="str">
        <f t="shared" ca="1" si="1469"/>
        <v/>
      </c>
      <c r="G5092" s="15">
        <f t="shared" ca="1" si="1474"/>
        <v>35</v>
      </c>
      <c r="H5092" s="15">
        <v>1</v>
      </c>
      <c r="I5092" s="15">
        <f t="shared" ca="1" si="1475"/>
        <v>0</v>
      </c>
      <c r="J5092" s="15" t="str">
        <f t="shared" ref="J5092:J5155" ca="1" si="1488">ADDRESS(G5092,H5092,4,1,I5092)</f>
        <v>'0'!A35</v>
      </c>
      <c r="K5092" s="15" t="str">
        <f t="shared" ref="K5092:K5155" ca="1" si="1489">ADDRESS(G5092,H5092+1,4,1,I5092)</f>
        <v>'0'!B35</v>
      </c>
    </row>
    <row r="5093" spans="1:11" x14ac:dyDescent="0.25">
      <c r="A5093" s="3" t="str">
        <f t="shared" ca="1" si="1469"/>
        <v/>
      </c>
      <c r="G5093" s="15">
        <f t="shared" ca="1" si="1476"/>
        <v>36</v>
      </c>
      <c r="H5093" s="15">
        <v>1</v>
      </c>
      <c r="I5093" s="15">
        <f t="shared" ca="1" si="1477"/>
        <v>0</v>
      </c>
      <c r="J5093" s="15" t="str">
        <f t="shared" ca="1" si="1488"/>
        <v>'0'!A36</v>
      </c>
      <c r="K5093" s="15" t="str">
        <f t="shared" ca="1" si="1489"/>
        <v>'0'!B36</v>
      </c>
    </row>
    <row r="5094" spans="1:11" x14ac:dyDescent="0.25">
      <c r="A5094" s="3" t="str">
        <f t="shared" ca="1" si="1469"/>
        <v/>
      </c>
      <c r="G5094" s="15">
        <f t="shared" ca="1" si="1476"/>
        <v>37</v>
      </c>
      <c r="H5094" s="15">
        <v>1</v>
      </c>
      <c r="I5094" s="15">
        <f t="shared" ca="1" si="1477"/>
        <v>0</v>
      </c>
      <c r="J5094" s="15" t="str">
        <f t="shared" ca="1" si="1488"/>
        <v>'0'!A37</v>
      </c>
      <c r="K5094" s="15" t="str">
        <f t="shared" ca="1" si="1489"/>
        <v>'0'!B37</v>
      </c>
    </row>
    <row r="5095" spans="1:11" x14ac:dyDescent="0.25">
      <c r="A5095" s="3" t="str">
        <f t="shared" ca="1" si="1469"/>
        <v/>
      </c>
      <c r="G5095" s="15">
        <f t="shared" ca="1" si="1476"/>
        <v>38</v>
      </c>
      <c r="H5095" s="15">
        <v>1</v>
      </c>
      <c r="I5095" s="15">
        <f t="shared" ca="1" si="1477"/>
        <v>0</v>
      </c>
      <c r="J5095" s="15" t="str">
        <f t="shared" ca="1" si="1488"/>
        <v>'0'!A38</v>
      </c>
      <c r="K5095" s="15" t="str">
        <f t="shared" ca="1" si="1489"/>
        <v>'0'!B38</v>
      </c>
    </row>
    <row r="5096" spans="1:11" x14ac:dyDescent="0.25">
      <c r="A5096" s="3" t="str">
        <f t="shared" ca="1" si="1469"/>
        <v/>
      </c>
      <c r="G5096" s="15">
        <f t="shared" ca="1" si="1476"/>
        <v>39</v>
      </c>
      <c r="H5096" s="15">
        <v>1</v>
      </c>
      <c r="I5096" s="15">
        <f t="shared" ca="1" si="1477"/>
        <v>0</v>
      </c>
      <c r="J5096" s="15" t="str">
        <f t="shared" ca="1" si="1488"/>
        <v>'0'!A39</v>
      </c>
      <c r="K5096" s="15" t="str">
        <f t="shared" ca="1" si="1489"/>
        <v>'0'!B39</v>
      </c>
    </row>
    <row r="5097" spans="1:11" x14ac:dyDescent="0.25">
      <c r="A5097" s="3" t="str">
        <f t="shared" ca="1" si="1469"/>
        <v/>
      </c>
      <c r="G5097" s="15">
        <f t="shared" ca="1" si="1476"/>
        <v>40</v>
      </c>
      <c r="H5097" s="15">
        <v>1</v>
      </c>
      <c r="I5097" s="15">
        <f t="shared" ca="1" si="1477"/>
        <v>0</v>
      </c>
      <c r="J5097" s="15" t="str">
        <f t="shared" ca="1" si="1488"/>
        <v>'0'!A40</v>
      </c>
      <c r="K5097" s="15" t="str">
        <f t="shared" ca="1" si="1489"/>
        <v>'0'!B40</v>
      </c>
    </row>
    <row r="5098" spans="1:11" x14ac:dyDescent="0.25">
      <c r="A5098" s="3" t="str">
        <f t="shared" ca="1" si="1469"/>
        <v/>
      </c>
      <c r="G5098" s="15">
        <f t="shared" ca="1" si="1476"/>
        <v>41</v>
      </c>
      <c r="H5098" s="15">
        <v>1</v>
      </c>
      <c r="I5098" s="15">
        <f t="shared" ca="1" si="1477"/>
        <v>0</v>
      </c>
      <c r="J5098" s="15" t="str">
        <f t="shared" ca="1" si="1488"/>
        <v>'0'!A41</v>
      </c>
      <c r="K5098" s="15" t="str">
        <f t="shared" ca="1" si="1489"/>
        <v>'0'!B41</v>
      </c>
    </row>
    <row r="5099" spans="1:11" x14ac:dyDescent="0.25">
      <c r="A5099" s="3" t="str">
        <f t="shared" ca="1" si="1469"/>
        <v/>
      </c>
      <c r="C5099" s="16"/>
      <c r="G5099" s="15">
        <f t="shared" ca="1" si="1476"/>
        <v>42</v>
      </c>
      <c r="H5099" s="15">
        <v>1</v>
      </c>
      <c r="I5099" s="15">
        <f t="shared" ca="1" si="1477"/>
        <v>0</v>
      </c>
      <c r="J5099" s="15" t="str">
        <f t="shared" ca="1" si="1488"/>
        <v>'0'!A42</v>
      </c>
      <c r="K5099" s="15" t="str">
        <f t="shared" ca="1" si="1489"/>
        <v>'0'!B42</v>
      </c>
    </row>
    <row r="5100" spans="1:11" x14ac:dyDescent="0.25">
      <c r="A5100" s="3" t="str">
        <f t="shared" ref="A5100:A5163" ca="1" si="1490">IFERROR(IF(INDIRECT(J5100)&lt;&gt;"",CONCATENATE(INDIRECT(J5100)," = ",INDIRECT(K5100)," "),""),"")</f>
        <v/>
      </c>
      <c r="G5100" s="15">
        <f t="shared" ca="1" si="1476"/>
        <v>43</v>
      </c>
      <c r="H5100" s="15">
        <v>1</v>
      </c>
      <c r="I5100" s="15">
        <f t="shared" ca="1" si="1477"/>
        <v>0</v>
      </c>
      <c r="J5100" s="15" t="str">
        <f t="shared" ca="1" si="1488"/>
        <v>'0'!A43</v>
      </c>
      <c r="K5100" s="15" t="str">
        <f t="shared" ca="1" si="1489"/>
        <v>'0'!B43</v>
      </c>
    </row>
    <row r="5101" spans="1:11" x14ac:dyDescent="0.25">
      <c r="A5101" s="3" t="str">
        <f t="shared" ca="1" si="1490"/>
        <v/>
      </c>
      <c r="G5101" s="15">
        <f t="shared" ca="1" si="1476"/>
        <v>44</v>
      </c>
      <c r="H5101" s="15">
        <v>1</v>
      </c>
      <c r="I5101" s="15">
        <f t="shared" ca="1" si="1477"/>
        <v>0</v>
      </c>
      <c r="J5101" s="15" t="str">
        <f t="shared" ca="1" si="1488"/>
        <v>'0'!A44</v>
      </c>
      <c r="K5101" s="15" t="str">
        <f t="shared" ca="1" si="1489"/>
        <v>'0'!B44</v>
      </c>
    </row>
    <row r="5102" spans="1:11" x14ac:dyDescent="0.25">
      <c r="A5102" s="3" t="str">
        <f t="shared" ca="1" si="1490"/>
        <v/>
      </c>
      <c r="G5102" s="15">
        <f t="shared" ca="1" si="1476"/>
        <v>45</v>
      </c>
      <c r="H5102" s="15">
        <v>1</v>
      </c>
      <c r="I5102" s="15">
        <f t="shared" ca="1" si="1477"/>
        <v>0</v>
      </c>
      <c r="J5102" s="15" t="str">
        <f t="shared" ca="1" si="1488"/>
        <v>'0'!A45</v>
      </c>
      <c r="K5102" s="15" t="str">
        <f t="shared" ca="1" si="1489"/>
        <v>'0'!B45</v>
      </c>
    </row>
    <row r="5103" spans="1:11" x14ac:dyDescent="0.25">
      <c r="A5103" s="3" t="str">
        <f t="shared" ca="1" si="1490"/>
        <v/>
      </c>
      <c r="G5103" s="15">
        <f t="shared" ca="1" si="1476"/>
        <v>46</v>
      </c>
      <c r="H5103" s="15">
        <v>1</v>
      </c>
      <c r="I5103" s="15">
        <f t="shared" ca="1" si="1477"/>
        <v>0</v>
      </c>
      <c r="J5103" s="15" t="str">
        <f t="shared" ca="1" si="1488"/>
        <v>'0'!A46</v>
      </c>
      <c r="K5103" s="15" t="str">
        <f t="shared" ca="1" si="1489"/>
        <v>'0'!B46</v>
      </c>
    </row>
    <row r="5104" spans="1:11" x14ac:dyDescent="0.25">
      <c r="A5104" s="3" t="str">
        <f t="shared" ca="1" si="1490"/>
        <v/>
      </c>
      <c r="G5104" s="15">
        <f t="shared" ca="1" si="1476"/>
        <v>47</v>
      </c>
      <c r="H5104" s="15">
        <v>1</v>
      </c>
      <c r="I5104" s="15">
        <f t="shared" ca="1" si="1477"/>
        <v>0</v>
      </c>
      <c r="J5104" s="15" t="str">
        <f t="shared" ca="1" si="1488"/>
        <v>'0'!A47</v>
      </c>
      <c r="K5104" s="15" t="str">
        <f t="shared" ca="1" si="1489"/>
        <v>'0'!B47</v>
      </c>
    </row>
    <row r="5105" spans="1:16" x14ac:dyDescent="0.25">
      <c r="A5105" s="3" t="str">
        <f t="shared" ca="1" si="1490"/>
        <v/>
      </c>
      <c r="G5105" s="15">
        <f t="shared" ca="1" si="1476"/>
        <v>48</v>
      </c>
      <c r="H5105" s="15">
        <v>1</v>
      </c>
      <c r="I5105" s="15">
        <f t="shared" ca="1" si="1477"/>
        <v>0</v>
      </c>
      <c r="J5105" s="15" t="str">
        <f t="shared" ca="1" si="1488"/>
        <v>'0'!A48</v>
      </c>
      <c r="K5105" s="15" t="str">
        <f t="shared" ca="1" si="1489"/>
        <v>'0'!B48</v>
      </c>
    </row>
    <row r="5106" spans="1:16" x14ac:dyDescent="0.25">
      <c r="A5106" s="3" t="str">
        <f t="shared" ca="1" si="1490"/>
        <v/>
      </c>
      <c r="G5106" s="15">
        <f t="shared" ca="1" si="1476"/>
        <v>49</v>
      </c>
      <c r="H5106" s="15">
        <v>1</v>
      </c>
      <c r="I5106" s="15">
        <f t="shared" ca="1" si="1477"/>
        <v>0</v>
      </c>
      <c r="J5106" s="15" t="str">
        <f t="shared" ca="1" si="1488"/>
        <v>'0'!A49</v>
      </c>
      <c r="K5106" s="15" t="str">
        <f t="shared" ca="1" si="1489"/>
        <v>'0'!B49</v>
      </c>
    </row>
    <row r="5107" spans="1:16" x14ac:dyDescent="0.25">
      <c r="A5107" s="3" t="str">
        <f t="shared" ca="1" si="1490"/>
        <v/>
      </c>
      <c r="G5107" s="15">
        <f t="shared" ca="1" si="1476"/>
        <v>50</v>
      </c>
      <c r="H5107" s="15">
        <v>1</v>
      </c>
      <c r="I5107" s="15">
        <f t="shared" ca="1" si="1477"/>
        <v>0</v>
      </c>
      <c r="J5107" s="15" t="str">
        <f t="shared" ca="1" si="1488"/>
        <v>'0'!A50</v>
      </c>
      <c r="K5107" s="15" t="str">
        <f t="shared" ca="1" si="1489"/>
        <v>'0'!B50</v>
      </c>
    </row>
    <row r="5108" spans="1:16" x14ac:dyDescent="0.25">
      <c r="A5108" s="3" t="str">
        <f t="shared" ca="1" si="1490"/>
        <v/>
      </c>
      <c r="G5108" s="15">
        <f t="shared" ref="G5108" ca="1" si="1491">INDIRECT(M5108)</f>
        <v>31</v>
      </c>
      <c r="H5108" s="15">
        <v>1</v>
      </c>
      <c r="I5108" s="15">
        <f t="shared" ref="I5108" ca="1" si="1492">INDIRECT(N5108)</f>
        <v>0</v>
      </c>
      <c r="J5108" s="15" t="str">
        <f t="shared" ca="1" si="1488"/>
        <v>'0'!A31</v>
      </c>
      <c r="K5108" s="15" t="str">
        <f t="shared" ca="1" si="1489"/>
        <v>'0'!B31</v>
      </c>
      <c r="M5108" s="15" t="str">
        <f t="shared" ref="M5108" si="1493">ADDRESS(O5108,3,4,1,$R$1)</f>
        <v>konfig!C257</v>
      </c>
      <c r="N5108" s="15" t="str">
        <f t="shared" ref="N5108" si="1494">ADDRESS(O5108,1,4,1,$R$1)</f>
        <v>konfig!A257</v>
      </c>
      <c r="O5108" s="15">
        <v>257</v>
      </c>
      <c r="P5108" s="15">
        <v>4</v>
      </c>
    </row>
    <row r="5109" spans="1:16" x14ac:dyDescent="0.25">
      <c r="A5109" s="3" t="str">
        <f t="shared" ca="1" si="1490"/>
        <v/>
      </c>
      <c r="G5109" s="15">
        <f t="shared" ca="1" si="1482"/>
        <v>32</v>
      </c>
      <c r="H5109" s="15">
        <v>1</v>
      </c>
      <c r="I5109" s="15">
        <f t="shared" ca="1" si="1483"/>
        <v>0</v>
      </c>
      <c r="J5109" s="15" t="str">
        <f t="shared" ca="1" si="1488"/>
        <v>'0'!A32</v>
      </c>
      <c r="K5109" s="15" t="str">
        <f t="shared" ca="1" si="1489"/>
        <v>'0'!B32</v>
      </c>
    </row>
    <row r="5110" spans="1:16" x14ac:dyDescent="0.25">
      <c r="A5110" s="3" t="str">
        <f t="shared" ca="1" si="1490"/>
        <v/>
      </c>
      <c r="G5110" s="15">
        <f t="shared" ca="1" si="1476"/>
        <v>33</v>
      </c>
      <c r="H5110" s="15">
        <v>1</v>
      </c>
      <c r="I5110" s="15">
        <f t="shared" ca="1" si="1477"/>
        <v>0</v>
      </c>
      <c r="J5110" s="15" t="str">
        <f t="shared" ca="1" si="1488"/>
        <v>'0'!A33</v>
      </c>
      <c r="K5110" s="15" t="str">
        <f t="shared" ca="1" si="1489"/>
        <v>'0'!B33</v>
      </c>
    </row>
    <row r="5111" spans="1:16" x14ac:dyDescent="0.25">
      <c r="A5111" s="3" t="str">
        <f t="shared" ca="1" si="1490"/>
        <v/>
      </c>
      <c r="C5111" s="16"/>
      <c r="G5111" s="15">
        <f t="shared" ca="1" si="1476"/>
        <v>34</v>
      </c>
      <c r="H5111" s="15">
        <v>1</v>
      </c>
      <c r="I5111" s="15">
        <f t="shared" ca="1" si="1477"/>
        <v>0</v>
      </c>
      <c r="J5111" s="15" t="str">
        <f t="shared" ca="1" si="1488"/>
        <v>'0'!A34</v>
      </c>
      <c r="K5111" s="15" t="str">
        <f t="shared" ca="1" si="1489"/>
        <v>'0'!B34</v>
      </c>
    </row>
    <row r="5112" spans="1:16" x14ac:dyDescent="0.25">
      <c r="A5112" s="3" t="str">
        <f t="shared" ca="1" si="1490"/>
        <v/>
      </c>
      <c r="G5112" s="15">
        <f t="shared" ca="1" si="1476"/>
        <v>35</v>
      </c>
      <c r="H5112" s="15">
        <v>1</v>
      </c>
      <c r="I5112" s="15">
        <f t="shared" ca="1" si="1477"/>
        <v>0</v>
      </c>
      <c r="J5112" s="15" t="str">
        <f t="shared" ca="1" si="1488"/>
        <v>'0'!A35</v>
      </c>
      <c r="K5112" s="15" t="str">
        <f t="shared" ca="1" si="1489"/>
        <v>'0'!B35</v>
      </c>
    </row>
    <row r="5113" spans="1:16" x14ac:dyDescent="0.25">
      <c r="A5113" s="3" t="str">
        <f t="shared" ca="1" si="1490"/>
        <v/>
      </c>
      <c r="G5113" s="15">
        <f t="shared" ca="1" si="1476"/>
        <v>36</v>
      </c>
      <c r="H5113" s="15">
        <v>1</v>
      </c>
      <c r="I5113" s="15">
        <f t="shared" ca="1" si="1477"/>
        <v>0</v>
      </c>
      <c r="J5113" s="15" t="str">
        <f t="shared" ca="1" si="1488"/>
        <v>'0'!A36</v>
      </c>
      <c r="K5113" s="15" t="str">
        <f t="shared" ca="1" si="1489"/>
        <v>'0'!B36</v>
      </c>
    </row>
    <row r="5114" spans="1:16" x14ac:dyDescent="0.25">
      <c r="A5114" s="3" t="str">
        <f t="shared" ca="1" si="1490"/>
        <v/>
      </c>
      <c r="G5114" s="15">
        <f t="shared" ca="1" si="1476"/>
        <v>37</v>
      </c>
      <c r="H5114" s="15">
        <v>1</v>
      </c>
      <c r="I5114" s="15">
        <f t="shared" ca="1" si="1477"/>
        <v>0</v>
      </c>
      <c r="J5114" s="15" t="str">
        <f t="shared" ca="1" si="1488"/>
        <v>'0'!A37</v>
      </c>
      <c r="K5114" s="15" t="str">
        <f t="shared" ca="1" si="1489"/>
        <v>'0'!B37</v>
      </c>
    </row>
    <row r="5115" spans="1:16" x14ac:dyDescent="0.25">
      <c r="A5115" s="3" t="str">
        <f t="shared" ca="1" si="1490"/>
        <v/>
      </c>
      <c r="G5115" s="15">
        <f t="shared" ca="1" si="1476"/>
        <v>38</v>
      </c>
      <c r="H5115" s="15">
        <v>1</v>
      </c>
      <c r="I5115" s="15">
        <f t="shared" ca="1" si="1477"/>
        <v>0</v>
      </c>
      <c r="J5115" s="15" t="str">
        <f t="shared" ca="1" si="1488"/>
        <v>'0'!A38</v>
      </c>
      <c r="K5115" s="15" t="str">
        <f t="shared" ca="1" si="1489"/>
        <v>'0'!B38</v>
      </c>
    </row>
    <row r="5116" spans="1:16" x14ac:dyDescent="0.25">
      <c r="A5116" s="3" t="str">
        <f t="shared" ca="1" si="1490"/>
        <v/>
      </c>
      <c r="G5116" s="15">
        <f t="shared" ca="1" si="1476"/>
        <v>39</v>
      </c>
      <c r="H5116" s="15">
        <v>1</v>
      </c>
      <c r="I5116" s="15">
        <f t="shared" ca="1" si="1477"/>
        <v>0</v>
      </c>
      <c r="J5116" s="15" t="str">
        <f t="shared" ca="1" si="1488"/>
        <v>'0'!A39</v>
      </c>
      <c r="K5116" s="15" t="str">
        <f t="shared" ca="1" si="1489"/>
        <v>'0'!B39</v>
      </c>
    </row>
    <row r="5117" spans="1:16" x14ac:dyDescent="0.25">
      <c r="A5117" s="3" t="str">
        <f t="shared" ca="1" si="1490"/>
        <v/>
      </c>
      <c r="G5117" s="15">
        <f t="shared" ca="1" si="1476"/>
        <v>40</v>
      </c>
      <c r="H5117" s="15">
        <v>1</v>
      </c>
      <c r="I5117" s="15">
        <f t="shared" ca="1" si="1477"/>
        <v>0</v>
      </c>
      <c r="J5117" s="15" t="str">
        <f t="shared" ca="1" si="1488"/>
        <v>'0'!A40</v>
      </c>
      <c r="K5117" s="15" t="str">
        <f t="shared" ca="1" si="1489"/>
        <v>'0'!B40</v>
      </c>
    </row>
    <row r="5118" spans="1:16" x14ac:dyDescent="0.25">
      <c r="A5118" s="3" t="str">
        <f t="shared" ca="1" si="1490"/>
        <v/>
      </c>
      <c r="G5118" s="15">
        <f t="shared" ca="1" si="1476"/>
        <v>41</v>
      </c>
      <c r="H5118" s="15">
        <v>1</v>
      </c>
      <c r="I5118" s="15">
        <f t="shared" ca="1" si="1477"/>
        <v>0</v>
      </c>
      <c r="J5118" s="15" t="str">
        <f t="shared" ca="1" si="1488"/>
        <v>'0'!A41</v>
      </c>
      <c r="K5118" s="15" t="str">
        <f t="shared" ca="1" si="1489"/>
        <v>'0'!B41</v>
      </c>
    </row>
    <row r="5119" spans="1:16" x14ac:dyDescent="0.25">
      <c r="A5119" s="3" t="str">
        <f t="shared" ca="1" si="1490"/>
        <v/>
      </c>
      <c r="C5119" s="16"/>
      <c r="G5119" s="15">
        <f t="shared" ca="1" si="1476"/>
        <v>42</v>
      </c>
      <c r="H5119" s="15">
        <v>1</v>
      </c>
      <c r="I5119" s="15">
        <f t="shared" ca="1" si="1477"/>
        <v>0</v>
      </c>
      <c r="J5119" s="15" t="str">
        <f t="shared" ca="1" si="1488"/>
        <v>'0'!A42</v>
      </c>
      <c r="K5119" s="15" t="str">
        <f t="shared" ca="1" si="1489"/>
        <v>'0'!B42</v>
      </c>
    </row>
    <row r="5120" spans="1:16" x14ac:dyDescent="0.25">
      <c r="A5120" s="3" t="str">
        <f t="shared" ca="1" si="1490"/>
        <v/>
      </c>
      <c r="G5120" s="15">
        <f t="shared" ca="1" si="1476"/>
        <v>43</v>
      </c>
      <c r="H5120" s="15">
        <v>1</v>
      </c>
      <c r="I5120" s="15">
        <f t="shared" ca="1" si="1477"/>
        <v>0</v>
      </c>
      <c r="J5120" s="15" t="str">
        <f t="shared" ca="1" si="1488"/>
        <v>'0'!A43</v>
      </c>
      <c r="K5120" s="15" t="str">
        <f t="shared" ca="1" si="1489"/>
        <v>'0'!B43</v>
      </c>
    </row>
    <row r="5121" spans="1:16" x14ac:dyDescent="0.25">
      <c r="A5121" s="3" t="str">
        <f t="shared" ca="1" si="1490"/>
        <v/>
      </c>
      <c r="G5121" s="15">
        <f t="shared" ca="1" si="1476"/>
        <v>44</v>
      </c>
      <c r="H5121" s="15">
        <v>1</v>
      </c>
      <c r="I5121" s="15">
        <f t="shared" ca="1" si="1477"/>
        <v>0</v>
      </c>
      <c r="J5121" s="15" t="str">
        <f t="shared" ca="1" si="1488"/>
        <v>'0'!A44</v>
      </c>
      <c r="K5121" s="15" t="str">
        <f t="shared" ca="1" si="1489"/>
        <v>'0'!B44</v>
      </c>
    </row>
    <row r="5122" spans="1:16" x14ac:dyDescent="0.25">
      <c r="A5122" s="3" t="str">
        <f t="shared" ca="1" si="1490"/>
        <v/>
      </c>
      <c r="G5122" s="15">
        <f t="shared" ca="1" si="1476"/>
        <v>45</v>
      </c>
      <c r="H5122" s="15">
        <v>1</v>
      </c>
      <c r="I5122" s="15">
        <f t="shared" ca="1" si="1477"/>
        <v>0</v>
      </c>
      <c r="J5122" s="15" t="str">
        <f t="shared" ca="1" si="1488"/>
        <v>'0'!A45</v>
      </c>
      <c r="K5122" s="15" t="str">
        <f t="shared" ca="1" si="1489"/>
        <v>'0'!B45</v>
      </c>
    </row>
    <row r="5123" spans="1:16" x14ac:dyDescent="0.25">
      <c r="A5123" s="3" t="str">
        <f t="shared" ca="1" si="1490"/>
        <v/>
      </c>
      <c r="G5123" s="15">
        <f t="shared" ca="1" si="1476"/>
        <v>46</v>
      </c>
      <c r="H5123" s="15">
        <v>1</v>
      </c>
      <c r="I5123" s="15">
        <f t="shared" ca="1" si="1477"/>
        <v>0</v>
      </c>
      <c r="J5123" s="15" t="str">
        <f t="shared" ca="1" si="1488"/>
        <v>'0'!A46</v>
      </c>
      <c r="K5123" s="15" t="str">
        <f t="shared" ca="1" si="1489"/>
        <v>'0'!B46</v>
      </c>
    </row>
    <row r="5124" spans="1:16" x14ac:dyDescent="0.25">
      <c r="A5124" s="3" t="str">
        <f t="shared" ca="1" si="1490"/>
        <v/>
      </c>
      <c r="G5124" s="15">
        <f t="shared" ca="1" si="1476"/>
        <v>47</v>
      </c>
      <c r="H5124" s="15">
        <v>1</v>
      </c>
      <c r="I5124" s="15">
        <f t="shared" ca="1" si="1477"/>
        <v>0</v>
      </c>
      <c r="J5124" s="15" t="str">
        <f t="shared" ca="1" si="1488"/>
        <v>'0'!A47</v>
      </c>
      <c r="K5124" s="15" t="str">
        <f t="shared" ca="1" si="1489"/>
        <v>'0'!B47</v>
      </c>
    </row>
    <row r="5125" spans="1:16" x14ac:dyDescent="0.25">
      <c r="A5125" s="3" t="str">
        <f t="shared" ca="1" si="1490"/>
        <v/>
      </c>
      <c r="G5125" s="15">
        <f t="shared" ca="1" si="1476"/>
        <v>48</v>
      </c>
      <c r="H5125" s="15">
        <v>1</v>
      </c>
      <c r="I5125" s="15">
        <f t="shared" ca="1" si="1477"/>
        <v>0</v>
      </c>
      <c r="J5125" s="15" t="str">
        <f t="shared" ca="1" si="1488"/>
        <v>'0'!A48</v>
      </c>
      <c r="K5125" s="15" t="str">
        <f t="shared" ca="1" si="1489"/>
        <v>'0'!B48</v>
      </c>
    </row>
    <row r="5126" spans="1:16" x14ac:dyDescent="0.25">
      <c r="A5126" s="3" t="str">
        <f t="shared" ca="1" si="1490"/>
        <v/>
      </c>
      <c r="G5126" s="15">
        <f t="shared" ca="1" si="1476"/>
        <v>49</v>
      </c>
      <c r="H5126" s="15">
        <v>1</v>
      </c>
      <c r="I5126" s="15">
        <f t="shared" ca="1" si="1477"/>
        <v>0</v>
      </c>
      <c r="J5126" s="15" t="str">
        <f t="shared" ca="1" si="1488"/>
        <v>'0'!A49</v>
      </c>
      <c r="K5126" s="15" t="str">
        <f t="shared" ca="1" si="1489"/>
        <v>'0'!B49</v>
      </c>
    </row>
    <row r="5127" spans="1:16" x14ac:dyDescent="0.25">
      <c r="A5127" s="3" t="str">
        <f t="shared" ca="1" si="1490"/>
        <v/>
      </c>
      <c r="G5127" s="15">
        <f t="shared" ca="1" si="1476"/>
        <v>50</v>
      </c>
      <c r="H5127" s="15">
        <v>1</v>
      </c>
      <c r="I5127" s="15">
        <f t="shared" ca="1" si="1477"/>
        <v>0</v>
      </c>
      <c r="J5127" s="15" t="str">
        <f t="shared" ca="1" si="1488"/>
        <v>'0'!A50</v>
      </c>
      <c r="K5127" s="15" t="str">
        <f t="shared" ca="1" si="1489"/>
        <v>'0'!B50</v>
      </c>
    </row>
    <row r="5128" spans="1:16" x14ac:dyDescent="0.25">
      <c r="A5128" s="3" t="str">
        <f t="shared" ca="1" si="1490"/>
        <v/>
      </c>
      <c r="G5128" s="15">
        <f t="shared" ref="G5128" ca="1" si="1495">INDIRECT(M5128)</f>
        <v>31</v>
      </c>
      <c r="H5128" s="15">
        <v>1</v>
      </c>
      <c r="I5128" s="15">
        <f t="shared" ref="I5128" ca="1" si="1496">INDIRECT(N5128)</f>
        <v>0</v>
      </c>
      <c r="J5128" s="15" t="str">
        <f t="shared" ca="1" si="1488"/>
        <v>'0'!A31</v>
      </c>
      <c r="K5128" s="15" t="str">
        <f t="shared" ca="1" si="1489"/>
        <v>'0'!B31</v>
      </c>
      <c r="M5128" s="15" t="str">
        <f t="shared" ref="M5128" si="1497">ADDRESS(O5128,3,4,1,$R$1)</f>
        <v>konfig!C258</v>
      </c>
      <c r="N5128" s="15" t="str">
        <f t="shared" ref="N5128" si="1498">ADDRESS(O5128,1,4,1,$R$1)</f>
        <v>konfig!A258</v>
      </c>
      <c r="O5128" s="15">
        <v>258</v>
      </c>
      <c r="P5128" s="15">
        <v>4</v>
      </c>
    </row>
    <row r="5129" spans="1:16" x14ac:dyDescent="0.25">
      <c r="A5129" s="3" t="str">
        <f t="shared" ca="1" si="1490"/>
        <v/>
      </c>
      <c r="G5129" s="15">
        <f t="shared" ref="G5129:G5192" ca="1" si="1499">G5128+1</f>
        <v>32</v>
      </c>
      <c r="H5129" s="15">
        <v>1</v>
      </c>
      <c r="I5129" s="15">
        <f t="shared" ref="I5129:I5192" ca="1" si="1500">I5128</f>
        <v>0</v>
      </c>
      <c r="J5129" s="15" t="str">
        <f t="shared" ca="1" si="1488"/>
        <v>'0'!A32</v>
      </c>
      <c r="K5129" s="15" t="str">
        <f t="shared" ca="1" si="1489"/>
        <v>'0'!B32</v>
      </c>
    </row>
    <row r="5130" spans="1:16" x14ac:dyDescent="0.25">
      <c r="A5130" s="3" t="str">
        <f t="shared" ca="1" si="1490"/>
        <v/>
      </c>
      <c r="G5130" s="15">
        <f t="shared" ca="1" si="1499"/>
        <v>33</v>
      </c>
      <c r="H5130" s="15">
        <v>1</v>
      </c>
      <c r="I5130" s="15">
        <f t="shared" ca="1" si="1500"/>
        <v>0</v>
      </c>
      <c r="J5130" s="15" t="str">
        <f t="shared" ca="1" si="1488"/>
        <v>'0'!A33</v>
      </c>
      <c r="K5130" s="15" t="str">
        <f t="shared" ca="1" si="1489"/>
        <v>'0'!B33</v>
      </c>
    </row>
    <row r="5131" spans="1:16" x14ac:dyDescent="0.25">
      <c r="A5131" s="3" t="str">
        <f t="shared" ca="1" si="1490"/>
        <v/>
      </c>
      <c r="C5131" s="16"/>
      <c r="G5131" s="15">
        <f t="shared" ca="1" si="1499"/>
        <v>34</v>
      </c>
      <c r="H5131" s="15">
        <v>1</v>
      </c>
      <c r="I5131" s="15">
        <f t="shared" ca="1" si="1500"/>
        <v>0</v>
      </c>
      <c r="J5131" s="15" t="str">
        <f t="shared" ca="1" si="1488"/>
        <v>'0'!A34</v>
      </c>
      <c r="K5131" s="15" t="str">
        <f t="shared" ca="1" si="1489"/>
        <v>'0'!B34</v>
      </c>
    </row>
    <row r="5132" spans="1:16" x14ac:dyDescent="0.25">
      <c r="A5132" s="3" t="str">
        <f t="shared" ca="1" si="1490"/>
        <v/>
      </c>
      <c r="G5132" s="15">
        <f t="shared" ca="1" si="1499"/>
        <v>35</v>
      </c>
      <c r="H5132" s="15">
        <v>1</v>
      </c>
      <c r="I5132" s="15">
        <f t="shared" ca="1" si="1500"/>
        <v>0</v>
      </c>
      <c r="J5132" s="15" t="str">
        <f t="shared" ca="1" si="1488"/>
        <v>'0'!A35</v>
      </c>
      <c r="K5132" s="15" t="str">
        <f t="shared" ca="1" si="1489"/>
        <v>'0'!B35</v>
      </c>
    </row>
    <row r="5133" spans="1:16" x14ac:dyDescent="0.25">
      <c r="A5133" s="3" t="str">
        <f t="shared" ca="1" si="1490"/>
        <v/>
      </c>
      <c r="G5133" s="15">
        <f t="shared" ca="1" si="1499"/>
        <v>36</v>
      </c>
      <c r="H5133" s="15">
        <v>1</v>
      </c>
      <c r="I5133" s="15">
        <f t="shared" ca="1" si="1500"/>
        <v>0</v>
      </c>
      <c r="J5133" s="15" t="str">
        <f t="shared" ca="1" si="1488"/>
        <v>'0'!A36</v>
      </c>
      <c r="K5133" s="15" t="str">
        <f t="shared" ca="1" si="1489"/>
        <v>'0'!B36</v>
      </c>
    </row>
    <row r="5134" spans="1:16" x14ac:dyDescent="0.25">
      <c r="A5134" s="3" t="str">
        <f t="shared" ca="1" si="1490"/>
        <v/>
      </c>
      <c r="G5134" s="15">
        <f t="shared" ca="1" si="1499"/>
        <v>37</v>
      </c>
      <c r="H5134" s="15">
        <v>1</v>
      </c>
      <c r="I5134" s="15">
        <f t="shared" ca="1" si="1500"/>
        <v>0</v>
      </c>
      <c r="J5134" s="15" t="str">
        <f t="shared" ca="1" si="1488"/>
        <v>'0'!A37</v>
      </c>
      <c r="K5134" s="15" t="str">
        <f t="shared" ca="1" si="1489"/>
        <v>'0'!B37</v>
      </c>
    </row>
    <row r="5135" spans="1:16" x14ac:dyDescent="0.25">
      <c r="A5135" s="3" t="str">
        <f t="shared" ca="1" si="1490"/>
        <v/>
      </c>
      <c r="G5135" s="15">
        <f t="shared" ca="1" si="1499"/>
        <v>38</v>
      </c>
      <c r="H5135" s="15">
        <v>1</v>
      </c>
      <c r="I5135" s="15">
        <f t="shared" ca="1" si="1500"/>
        <v>0</v>
      </c>
      <c r="J5135" s="15" t="str">
        <f t="shared" ca="1" si="1488"/>
        <v>'0'!A38</v>
      </c>
      <c r="K5135" s="15" t="str">
        <f t="shared" ca="1" si="1489"/>
        <v>'0'!B38</v>
      </c>
    </row>
    <row r="5136" spans="1:16" x14ac:dyDescent="0.25">
      <c r="A5136" s="3" t="str">
        <f t="shared" ca="1" si="1490"/>
        <v/>
      </c>
      <c r="G5136" s="15">
        <f t="shared" ca="1" si="1499"/>
        <v>39</v>
      </c>
      <c r="H5136" s="15">
        <v>1</v>
      </c>
      <c r="I5136" s="15">
        <f t="shared" ca="1" si="1500"/>
        <v>0</v>
      </c>
      <c r="J5136" s="15" t="str">
        <f t="shared" ca="1" si="1488"/>
        <v>'0'!A39</v>
      </c>
      <c r="K5136" s="15" t="str">
        <f t="shared" ca="1" si="1489"/>
        <v>'0'!B39</v>
      </c>
    </row>
    <row r="5137" spans="1:16" x14ac:dyDescent="0.25">
      <c r="A5137" s="3" t="str">
        <f t="shared" ca="1" si="1490"/>
        <v/>
      </c>
      <c r="G5137" s="15">
        <f t="shared" ca="1" si="1499"/>
        <v>40</v>
      </c>
      <c r="H5137" s="15">
        <v>1</v>
      </c>
      <c r="I5137" s="15">
        <f t="shared" ca="1" si="1500"/>
        <v>0</v>
      </c>
      <c r="J5137" s="15" t="str">
        <f t="shared" ca="1" si="1488"/>
        <v>'0'!A40</v>
      </c>
      <c r="K5137" s="15" t="str">
        <f t="shared" ca="1" si="1489"/>
        <v>'0'!B40</v>
      </c>
    </row>
    <row r="5138" spans="1:16" x14ac:dyDescent="0.25">
      <c r="A5138" s="3" t="str">
        <f t="shared" ca="1" si="1490"/>
        <v/>
      </c>
      <c r="G5138" s="15">
        <f t="shared" ca="1" si="1499"/>
        <v>41</v>
      </c>
      <c r="H5138" s="15">
        <v>1</v>
      </c>
      <c r="I5138" s="15">
        <f t="shared" ca="1" si="1500"/>
        <v>0</v>
      </c>
      <c r="J5138" s="15" t="str">
        <f t="shared" ca="1" si="1488"/>
        <v>'0'!A41</v>
      </c>
      <c r="K5138" s="15" t="str">
        <f t="shared" ca="1" si="1489"/>
        <v>'0'!B41</v>
      </c>
    </row>
    <row r="5139" spans="1:16" x14ac:dyDescent="0.25">
      <c r="A5139" s="3" t="str">
        <f t="shared" ca="1" si="1490"/>
        <v/>
      </c>
      <c r="C5139" s="16"/>
      <c r="G5139" s="15">
        <f t="shared" ca="1" si="1499"/>
        <v>42</v>
      </c>
      <c r="H5139" s="15">
        <v>1</v>
      </c>
      <c r="I5139" s="15">
        <f t="shared" ca="1" si="1500"/>
        <v>0</v>
      </c>
      <c r="J5139" s="15" t="str">
        <f t="shared" ca="1" si="1488"/>
        <v>'0'!A42</v>
      </c>
      <c r="K5139" s="15" t="str">
        <f t="shared" ca="1" si="1489"/>
        <v>'0'!B42</v>
      </c>
    </row>
    <row r="5140" spans="1:16" x14ac:dyDescent="0.25">
      <c r="A5140" s="3" t="str">
        <f t="shared" ca="1" si="1490"/>
        <v/>
      </c>
      <c r="G5140" s="15">
        <f t="shared" ca="1" si="1499"/>
        <v>43</v>
      </c>
      <c r="H5140" s="15">
        <v>1</v>
      </c>
      <c r="I5140" s="15">
        <f t="shared" ca="1" si="1500"/>
        <v>0</v>
      </c>
      <c r="J5140" s="15" t="str">
        <f t="shared" ca="1" si="1488"/>
        <v>'0'!A43</v>
      </c>
      <c r="K5140" s="15" t="str">
        <f t="shared" ca="1" si="1489"/>
        <v>'0'!B43</v>
      </c>
    </row>
    <row r="5141" spans="1:16" x14ac:dyDescent="0.25">
      <c r="A5141" s="3" t="str">
        <f t="shared" ca="1" si="1490"/>
        <v/>
      </c>
      <c r="G5141" s="15">
        <f t="shared" ca="1" si="1499"/>
        <v>44</v>
      </c>
      <c r="H5141" s="15">
        <v>1</v>
      </c>
      <c r="I5141" s="15">
        <f t="shared" ca="1" si="1500"/>
        <v>0</v>
      </c>
      <c r="J5141" s="15" t="str">
        <f t="shared" ca="1" si="1488"/>
        <v>'0'!A44</v>
      </c>
      <c r="K5141" s="15" t="str">
        <f t="shared" ca="1" si="1489"/>
        <v>'0'!B44</v>
      </c>
    </row>
    <row r="5142" spans="1:16" x14ac:dyDescent="0.25">
      <c r="A5142" s="3" t="str">
        <f t="shared" ca="1" si="1490"/>
        <v/>
      </c>
      <c r="G5142" s="15">
        <f t="shared" ca="1" si="1499"/>
        <v>45</v>
      </c>
      <c r="H5142" s="15">
        <v>1</v>
      </c>
      <c r="I5142" s="15">
        <f t="shared" ca="1" si="1500"/>
        <v>0</v>
      </c>
      <c r="J5142" s="15" t="str">
        <f t="shared" ca="1" si="1488"/>
        <v>'0'!A45</v>
      </c>
      <c r="K5142" s="15" t="str">
        <f t="shared" ca="1" si="1489"/>
        <v>'0'!B45</v>
      </c>
    </row>
    <row r="5143" spans="1:16" x14ac:dyDescent="0.25">
      <c r="A5143" s="3" t="str">
        <f t="shared" ca="1" si="1490"/>
        <v/>
      </c>
      <c r="G5143" s="15">
        <f t="shared" ca="1" si="1499"/>
        <v>46</v>
      </c>
      <c r="H5143" s="15">
        <v>1</v>
      </c>
      <c r="I5143" s="15">
        <f t="shared" ca="1" si="1500"/>
        <v>0</v>
      </c>
      <c r="J5143" s="15" t="str">
        <f t="shared" ca="1" si="1488"/>
        <v>'0'!A46</v>
      </c>
      <c r="K5143" s="15" t="str">
        <f t="shared" ca="1" si="1489"/>
        <v>'0'!B46</v>
      </c>
    </row>
    <row r="5144" spans="1:16" x14ac:dyDescent="0.25">
      <c r="A5144" s="3" t="str">
        <f t="shared" ca="1" si="1490"/>
        <v/>
      </c>
      <c r="G5144" s="15">
        <f t="shared" ca="1" si="1499"/>
        <v>47</v>
      </c>
      <c r="H5144" s="15">
        <v>1</v>
      </c>
      <c r="I5144" s="15">
        <f t="shared" ca="1" si="1500"/>
        <v>0</v>
      </c>
      <c r="J5144" s="15" t="str">
        <f t="shared" ca="1" si="1488"/>
        <v>'0'!A47</v>
      </c>
      <c r="K5144" s="15" t="str">
        <f t="shared" ca="1" si="1489"/>
        <v>'0'!B47</v>
      </c>
    </row>
    <row r="5145" spans="1:16" x14ac:dyDescent="0.25">
      <c r="A5145" s="3" t="str">
        <f t="shared" ca="1" si="1490"/>
        <v/>
      </c>
      <c r="G5145" s="15">
        <f t="shared" ca="1" si="1499"/>
        <v>48</v>
      </c>
      <c r="H5145" s="15">
        <v>1</v>
      </c>
      <c r="I5145" s="15">
        <f t="shared" ca="1" si="1500"/>
        <v>0</v>
      </c>
      <c r="J5145" s="15" t="str">
        <f t="shared" ca="1" si="1488"/>
        <v>'0'!A48</v>
      </c>
      <c r="K5145" s="15" t="str">
        <f t="shared" ca="1" si="1489"/>
        <v>'0'!B48</v>
      </c>
    </row>
    <row r="5146" spans="1:16" x14ac:dyDescent="0.25">
      <c r="A5146" s="3" t="str">
        <f t="shared" ca="1" si="1490"/>
        <v/>
      </c>
      <c r="G5146" s="15">
        <f t="shared" ca="1" si="1499"/>
        <v>49</v>
      </c>
      <c r="H5146" s="15">
        <v>1</v>
      </c>
      <c r="I5146" s="15">
        <f t="shared" ca="1" si="1500"/>
        <v>0</v>
      </c>
      <c r="J5146" s="15" t="str">
        <f t="shared" ca="1" si="1488"/>
        <v>'0'!A49</v>
      </c>
      <c r="K5146" s="15" t="str">
        <f t="shared" ca="1" si="1489"/>
        <v>'0'!B49</v>
      </c>
    </row>
    <row r="5147" spans="1:16" x14ac:dyDescent="0.25">
      <c r="A5147" s="3" t="str">
        <f t="shared" ca="1" si="1490"/>
        <v/>
      </c>
      <c r="G5147" s="15">
        <f t="shared" ca="1" si="1499"/>
        <v>50</v>
      </c>
      <c r="H5147" s="15">
        <v>1</v>
      </c>
      <c r="I5147" s="15">
        <f t="shared" ca="1" si="1500"/>
        <v>0</v>
      </c>
      <c r="J5147" s="15" t="str">
        <f t="shared" ca="1" si="1488"/>
        <v>'0'!A50</v>
      </c>
      <c r="K5147" s="15" t="str">
        <f t="shared" ca="1" si="1489"/>
        <v>'0'!B50</v>
      </c>
    </row>
    <row r="5148" spans="1:16" x14ac:dyDescent="0.25">
      <c r="A5148" s="3" t="str">
        <f t="shared" ca="1" si="1490"/>
        <v/>
      </c>
      <c r="G5148" s="15">
        <f t="shared" ref="G5148" ca="1" si="1501">INDIRECT(M5148)</f>
        <v>31</v>
      </c>
      <c r="H5148" s="15">
        <v>1</v>
      </c>
      <c r="I5148" s="15">
        <f t="shared" ref="I5148" ca="1" si="1502">INDIRECT(N5148)</f>
        <v>0</v>
      </c>
      <c r="J5148" s="15" t="str">
        <f t="shared" ca="1" si="1488"/>
        <v>'0'!A31</v>
      </c>
      <c r="K5148" s="15" t="str">
        <f t="shared" ca="1" si="1489"/>
        <v>'0'!B31</v>
      </c>
      <c r="M5148" s="15" t="str">
        <f t="shared" ref="M5148" si="1503">ADDRESS(O5148,3,4,1,$R$1)</f>
        <v>konfig!C259</v>
      </c>
      <c r="N5148" s="15" t="str">
        <f t="shared" ref="N5148" si="1504">ADDRESS(O5148,1,4,1,$R$1)</f>
        <v>konfig!A259</v>
      </c>
      <c r="O5148" s="15">
        <v>259</v>
      </c>
      <c r="P5148" s="15">
        <v>4</v>
      </c>
    </row>
    <row r="5149" spans="1:16" x14ac:dyDescent="0.25">
      <c r="A5149" s="3" t="str">
        <f t="shared" ca="1" si="1490"/>
        <v/>
      </c>
      <c r="G5149" s="15">
        <f t="shared" ref="G5149:G5189" ca="1" si="1505">G5148+1</f>
        <v>32</v>
      </c>
      <c r="H5149" s="15">
        <v>1</v>
      </c>
      <c r="I5149" s="15">
        <f t="shared" ref="I5149:I5189" ca="1" si="1506">I5148</f>
        <v>0</v>
      </c>
      <c r="J5149" s="15" t="str">
        <f t="shared" ca="1" si="1488"/>
        <v>'0'!A32</v>
      </c>
      <c r="K5149" s="15" t="str">
        <f t="shared" ca="1" si="1489"/>
        <v>'0'!B32</v>
      </c>
    </row>
    <row r="5150" spans="1:16" x14ac:dyDescent="0.25">
      <c r="A5150" s="3" t="str">
        <f t="shared" ca="1" si="1490"/>
        <v/>
      </c>
      <c r="G5150" s="15">
        <f t="shared" ca="1" si="1499"/>
        <v>33</v>
      </c>
      <c r="H5150" s="15">
        <v>1</v>
      </c>
      <c r="I5150" s="15">
        <f t="shared" ca="1" si="1500"/>
        <v>0</v>
      </c>
      <c r="J5150" s="15" t="str">
        <f t="shared" ca="1" si="1488"/>
        <v>'0'!A33</v>
      </c>
      <c r="K5150" s="15" t="str">
        <f t="shared" ca="1" si="1489"/>
        <v>'0'!B33</v>
      </c>
    </row>
    <row r="5151" spans="1:16" x14ac:dyDescent="0.25">
      <c r="A5151" s="3" t="str">
        <f t="shared" ca="1" si="1490"/>
        <v/>
      </c>
      <c r="C5151" s="16"/>
      <c r="G5151" s="15">
        <f t="shared" ca="1" si="1499"/>
        <v>34</v>
      </c>
      <c r="H5151" s="15">
        <v>1</v>
      </c>
      <c r="I5151" s="15">
        <f t="shared" ca="1" si="1500"/>
        <v>0</v>
      </c>
      <c r="J5151" s="15" t="str">
        <f t="shared" ca="1" si="1488"/>
        <v>'0'!A34</v>
      </c>
      <c r="K5151" s="15" t="str">
        <f t="shared" ca="1" si="1489"/>
        <v>'0'!B34</v>
      </c>
    </row>
    <row r="5152" spans="1:16" x14ac:dyDescent="0.25">
      <c r="A5152" s="3" t="str">
        <f t="shared" ca="1" si="1490"/>
        <v/>
      </c>
      <c r="G5152" s="15">
        <f t="shared" ca="1" si="1499"/>
        <v>35</v>
      </c>
      <c r="H5152" s="15">
        <v>1</v>
      </c>
      <c r="I5152" s="15">
        <f t="shared" ca="1" si="1500"/>
        <v>0</v>
      </c>
      <c r="J5152" s="15" t="str">
        <f t="shared" ca="1" si="1488"/>
        <v>'0'!A35</v>
      </c>
      <c r="K5152" s="15" t="str">
        <f t="shared" ca="1" si="1489"/>
        <v>'0'!B35</v>
      </c>
    </row>
    <row r="5153" spans="1:16" x14ac:dyDescent="0.25">
      <c r="A5153" s="3" t="str">
        <f t="shared" ca="1" si="1490"/>
        <v/>
      </c>
      <c r="G5153" s="15">
        <f t="shared" ca="1" si="1499"/>
        <v>36</v>
      </c>
      <c r="H5153" s="15">
        <v>1</v>
      </c>
      <c r="I5153" s="15">
        <f t="shared" ca="1" si="1500"/>
        <v>0</v>
      </c>
      <c r="J5153" s="15" t="str">
        <f t="shared" ca="1" si="1488"/>
        <v>'0'!A36</v>
      </c>
      <c r="K5153" s="15" t="str">
        <f t="shared" ca="1" si="1489"/>
        <v>'0'!B36</v>
      </c>
    </row>
    <row r="5154" spans="1:16" x14ac:dyDescent="0.25">
      <c r="A5154" s="3" t="str">
        <f t="shared" ca="1" si="1490"/>
        <v/>
      </c>
      <c r="G5154" s="15">
        <f t="shared" ca="1" si="1499"/>
        <v>37</v>
      </c>
      <c r="H5154" s="15">
        <v>1</v>
      </c>
      <c r="I5154" s="15">
        <f t="shared" ca="1" si="1500"/>
        <v>0</v>
      </c>
      <c r="J5154" s="15" t="str">
        <f t="shared" ca="1" si="1488"/>
        <v>'0'!A37</v>
      </c>
      <c r="K5154" s="15" t="str">
        <f t="shared" ca="1" si="1489"/>
        <v>'0'!B37</v>
      </c>
    </row>
    <row r="5155" spans="1:16" x14ac:dyDescent="0.25">
      <c r="A5155" s="3" t="str">
        <f t="shared" ca="1" si="1490"/>
        <v/>
      </c>
      <c r="G5155" s="15">
        <f t="shared" ca="1" si="1499"/>
        <v>38</v>
      </c>
      <c r="H5155" s="15">
        <v>1</v>
      </c>
      <c r="I5155" s="15">
        <f t="shared" ca="1" si="1500"/>
        <v>0</v>
      </c>
      <c r="J5155" s="15" t="str">
        <f t="shared" ca="1" si="1488"/>
        <v>'0'!A38</v>
      </c>
      <c r="K5155" s="15" t="str">
        <f t="shared" ca="1" si="1489"/>
        <v>'0'!B38</v>
      </c>
    </row>
    <row r="5156" spans="1:16" x14ac:dyDescent="0.25">
      <c r="A5156" s="3" t="str">
        <f t="shared" ca="1" si="1490"/>
        <v/>
      </c>
      <c r="G5156" s="15">
        <f t="shared" ca="1" si="1499"/>
        <v>39</v>
      </c>
      <c r="H5156" s="15">
        <v>1</v>
      </c>
      <c r="I5156" s="15">
        <f t="shared" ca="1" si="1500"/>
        <v>0</v>
      </c>
      <c r="J5156" s="15" t="str">
        <f t="shared" ref="J5156:J5219" ca="1" si="1507">ADDRESS(G5156,H5156,4,1,I5156)</f>
        <v>'0'!A39</v>
      </c>
      <c r="K5156" s="15" t="str">
        <f t="shared" ref="K5156:K5219" ca="1" si="1508">ADDRESS(G5156,H5156+1,4,1,I5156)</f>
        <v>'0'!B39</v>
      </c>
    </row>
    <row r="5157" spans="1:16" x14ac:dyDescent="0.25">
      <c r="A5157" s="3" t="str">
        <f t="shared" ca="1" si="1490"/>
        <v/>
      </c>
      <c r="G5157" s="15">
        <f t="shared" ca="1" si="1499"/>
        <v>40</v>
      </c>
      <c r="H5157" s="15">
        <v>1</v>
      </c>
      <c r="I5157" s="15">
        <f t="shared" ca="1" si="1500"/>
        <v>0</v>
      </c>
      <c r="J5157" s="15" t="str">
        <f t="shared" ca="1" si="1507"/>
        <v>'0'!A40</v>
      </c>
      <c r="K5157" s="15" t="str">
        <f t="shared" ca="1" si="1508"/>
        <v>'0'!B40</v>
      </c>
    </row>
    <row r="5158" spans="1:16" x14ac:dyDescent="0.25">
      <c r="A5158" s="3" t="str">
        <f t="shared" ca="1" si="1490"/>
        <v/>
      </c>
      <c r="G5158" s="15">
        <f t="shared" ca="1" si="1499"/>
        <v>41</v>
      </c>
      <c r="H5158" s="15">
        <v>1</v>
      </c>
      <c r="I5158" s="15">
        <f t="shared" ca="1" si="1500"/>
        <v>0</v>
      </c>
      <c r="J5158" s="15" t="str">
        <f t="shared" ca="1" si="1507"/>
        <v>'0'!A41</v>
      </c>
      <c r="K5158" s="15" t="str">
        <f t="shared" ca="1" si="1508"/>
        <v>'0'!B41</v>
      </c>
    </row>
    <row r="5159" spans="1:16" x14ac:dyDescent="0.25">
      <c r="A5159" s="3" t="str">
        <f t="shared" ca="1" si="1490"/>
        <v/>
      </c>
      <c r="C5159" s="16"/>
      <c r="G5159" s="15">
        <f t="shared" ca="1" si="1499"/>
        <v>42</v>
      </c>
      <c r="H5159" s="15">
        <v>1</v>
      </c>
      <c r="I5159" s="15">
        <f t="shared" ca="1" si="1500"/>
        <v>0</v>
      </c>
      <c r="J5159" s="15" t="str">
        <f t="shared" ca="1" si="1507"/>
        <v>'0'!A42</v>
      </c>
      <c r="K5159" s="15" t="str">
        <f t="shared" ca="1" si="1508"/>
        <v>'0'!B42</v>
      </c>
    </row>
    <row r="5160" spans="1:16" x14ac:dyDescent="0.25">
      <c r="A5160" s="3" t="str">
        <f t="shared" ca="1" si="1490"/>
        <v/>
      </c>
      <c r="G5160" s="15">
        <f t="shared" ca="1" si="1499"/>
        <v>43</v>
      </c>
      <c r="H5160" s="15">
        <v>1</v>
      </c>
      <c r="I5160" s="15">
        <f t="shared" ca="1" si="1500"/>
        <v>0</v>
      </c>
      <c r="J5160" s="15" t="str">
        <f t="shared" ca="1" si="1507"/>
        <v>'0'!A43</v>
      </c>
      <c r="K5160" s="15" t="str">
        <f t="shared" ca="1" si="1508"/>
        <v>'0'!B43</v>
      </c>
    </row>
    <row r="5161" spans="1:16" x14ac:dyDescent="0.25">
      <c r="A5161" s="3" t="str">
        <f t="shared" ca="1" si="1490"/>
        <v/>
      </c>
      <c r="G5161" s="15">
        <f t="shared" ca="1" si="1499"/>
        <v>44</v>
      </c>
      <c r="H5161" s="15">
        <v>1</v>
      </c>
      <c r="I5161" s="15">
        <f t="shared" ca="1" si="1500"/>
        <v>0</v>
      </c>
      <c r="J5161" s="15" t="str">
        <f t="shared" ca="1" si="1507"/>
        <v>'0'!A44</v>
      </c>
      <c r="K5161" s="15" t="str">
        <f t="shared" ca="1" si="1508"/>
        <v>'0'!B44</v>
      </c>
    </row>
    <row r="5162" spans="1:16" x14ac:dyDescent="0.25">
      <c r="A5162" s="3" t="str">
        <f t="shared" ca="1" si="1490"/>
        <v/>
      </c>
      <c r="G5162" s="15">
        <f t="shared" ca="1" si="1499"/>
        <v>45</v>
      </c>
      <c r="H5162" s="15">
        <v>1</v>
      </c>
      <c r="I5162" s="15">
        <f t="shared" ca="1" si="1500"/>
        <v>0</v>
      </c>
      <c r="J5162" s="15" t="str">
        <f t="shared" ca="1" si="1507"/>
        <v>'0'!A45</v>
      </c>
      <c r="K5162" s="15" t="str">
        <f t="shared" ca="1" si="1508"/>
        <v>'0'!B45</v>
      </c>
    </row>
    <row r="5163" spans="1:16" x14ac:dyDescent="0.25">
      <c r="A5163" s="3" t="str">
        <f t="shared" ca="1" si="1490"/>
        <v/>
      </c>
      <c r="G5163" s="15">
        <f t="shared" ca="1" si="1499"/>
        <v>46</v>
      </c>
      <c r="H5163" s="15">
        <v>1</v>
      </c>
      <c r="I5163" s="15">
        <f t="shared" ca="1" si="1500"/>
        <v>0</v>
      </c>
      <c r="J5163" s="15" t="str">
        <f t="shared" ca="1" si="1507"/>
        <v>'0'!A46</v>
      </c>
      <c r="K5163" s="15" t="str">
        <f t="shared" ca="1" si="1508"/>
        <v>'0'!B46</v>
      </c>
    </row>
    <row r="5164" spans="1:16" x14ac:dyDescent="0.25">
      <c r="A5164" s="3" t="str">
        <f t="shared" ref="A5164:A5227" ca="1" si="1509">IFERROR(IF(INDIRECT(J5164)&lt;&gt;"",CONCATENATE(INDIRECT(J5164)," = ",INDIRECT(K5164)," "),""),"")</f>
        <v/>
      </c>
      <c r="G5164" s="15">
        <f t="shared" ca="1" si="1499"/>
        <v>47</v>
      </c>
      <c r="H5164" s="15">
        <v>1</v>
      </c>
      <c r="I5164" s="15">
        <f t="shared" ca="1" si="1500"/>
        <v>0</v>
      </c>
      <c r="J5164" s="15" t="str">
        <f t="shared" ca="1" si="1507"/>
        <v>'0'!A47</v>
      </c>
      <c r="K5164" s="15" t="str">
        <f t="shared" ca="1" si="1508"/>
        <v>'0'!B47</v>
      </c>
    </row>
    <row r="5165" spans="1:16" x14ac:dyDescent="0.25">
      <c r="A5165" s="3" t="str">
        <f t="shared" ca="1" si="1509"/>
        <v/>
      </c>
      <c r="G5165" s="15">
        <f t="shared" ca="1" si="1499"/>
        <v>48</v>
      </c>
      <c r="H5165" s="15">
        <v>1</v>
      </c>
      <c r="I5165" s="15">
        <f t="shared" ca="1" si="1500"/>
        <v>0</v>
      </c>
      <c r="J5165" s="15" t="str">
        <f t="shared" ca="1" si="1507"/>
        <v>'0'!A48</v>
      </c>
      <c r="K5165" s="15" t="str">
        <f t="shared" ca="1" si="1508"/>
        <v>'0'!B48</v>
      </c>
    </row>
    <row r="5166" spans="1:16" x14ac:dyDescent="0.25">
      <c r="A5166" s="3" t="str">
        <f t="shared" ca="1" si="1509"/>
        <v/>
      </c>
      <c r="G5166" s="15">
        <f t="shared" ca="1" si="1499"/>
        <v>49</v>
      </c>
      <c r="H5166" s="15">
        <v>1</v>
      </c>
      <c r="I5166" s="15">
        <f t="shared" ca="1" si="1500"/>
        <v>0</v>
      </c>
      <c r="J5166" s="15" t="str">
        <f t="shared" ca="1" si="1507"/>
        <v>'0'!A49</v>
      </c>
      <c r="K5166" s="15" t="str">
        <f t="shared" ca="1" si="1508"/>
        <v>'0'!B49</v>
      </c>
    </row>
    <row r="5167" spans="1:16" x14ac:dyDescent="0.25">
      <c r="A5167" s="3" t="str">
        <f t="shared" ca="1" si="1509"/>
        <v/>
      </c>
      <c r="G5167" s="15">
        <f t="shared" ca="1" si="1499"/>
        <v>50</v>
      </c>
      <c r="H5167" s="15">
        <v>1</v>
      </c>
      <c r="I5167" s="15">
        <f t="shared" ca="1" si="1500"/>
        <v>0</v>
      </c>
      <c r="J5167" s="15" t="str">
        <f t="shared" ca="1" si="1507"/>
        <v>'0'!A50</v>
      </c>
      <c r="K5167" s="15" t="str">
        <f t="shared" ca="1" si="1508"/>
        <v>'0'!B50</v>
      </c>
    </row>
    <row r="5168" spans="1:16" x14ac:dyDescent="0.25">
      <c r="A5168" s="3" t="str">
        <f t="shared" ca="1" si="1509"/>
        <v/>
      </c>
      <c r="G5168" s="15">
        <f t="shared" ref="G5168" ca="1" si="1510">INDIRECT(M5168)</f>
        <v>31</v>
      </c>
      <c r="H5168" s="15">
        <v>1</v>
      </c>
      <c r="I5168" s="15">
        <f t="shared" ref="I5168" ca="1" si="1511">INDIRECT(N5168)</f>
        <v>0</v>
      </c>
      <c r="J5168" s="15" t="str">
        <f t="shared" ca="1" si="1507"/>
        <v>'0'!A31</v>
      </c>
      <c r="K5168" s="15" t="str">
        <f t="shared" ca="1" si="1508"/>
        <v>'0'!B31</v>
      </c>
      <c r="M5168" s="15" t="str">
        <f t="shared" ref="M5168" si="1512">ADDRESS(O5168,3,4,1,$R$1)</f>
        <v>konfig!C260</v>
      </c>
      <c r="N5168" s="15" t="str">
        <f t="shared" ref="N5168" si="1513">ADDRESS(O5168,1,4,1,$R$1)</f>
        <v>konfig!A260</v>
      </c>
      <c r="O5168" s="15">
        <v>260</v>
      </c>
      <c r="P5168" s="15">
        <v>4</v>
      </c>
    </row>
    <row r="5169" spans="1:11" x14ac:dyDescent="0.25">
      <c r="A5169" s="3" t="str">
        <f t="shared" ca="1" si="1509"/>
        <v/>
      </c>
      <c r="G5169" s="15">
        <f t="shared" ca="1" si="1499"/>
        <v>32</v>
      </c>
      <c r="H5169" s="15">
        <v>1</v>
      </c>
      <c r="I5169" s="15">
        <f t="shared" ca="1" si="1500"/>
        <v>0</v>
      </c>
      <c r="J5169" s="15" t="str">
        <f t="shared" ca="1" si="1507"/>
        <v>'0'!A32</v>
      </c>
      <c r="K5169" s="15" t="str">
        <f t="shared" ca="1" si="1508"/>
        <v>'0'!B32</v>
      </c>
    </row>
    <row r="5170" spans="1:11" x14ac:dyDescent="0.25">
      <c r="A5170" s="3" t="str">
        <f t="shared" ca="1" si="1509"/>
        <v/>
      </c>
      <c r="G5170" s="15">
        <f t="shared" ca="1" si="1499"/>
        <v>33</v>
      </c>
      <c r="H5170" s="15">
        <v>1</v>
      </c>
      <c r="I5170" s="15">
        <f t="shared" ca="1" si="1500"/>
        <v>0</v>
      </c>
      <c r="J5170" s="15" t="str">
        <f t="shared" ca="1" si="1507"/>
        <v>'0'!A33</v>
      </c>
      <c r="K5170" s="15" t="str">
        <f t="shared" ca="1" si="1508"/>
        <v>'0'!B33</v>
      </c>
    </row>
    <row r="5171" spans="1:11" x14ac:dyDescent="0.25">
      <c r="A5171" s="3" t="str">
        <f t="shared" ca="1" si="1509"/>
        <v/>
      </c>
      <c r="C5171" s="16"/>
      <c r="G5171" s="15">
        <f t="shared" ca="1" si="1499"/>
        <v>34</v>
      </c>
      <c r="H5171" s="15">
        <v>1</v>
      </c>
      <c r="I5171" s="15">
        <f t="shared" ca="1" si="1500"/>
        <v>0</v>
      </c>
      <c r="J5171" s="15" t="str">
        <f t="shared" ca="1" si="1507"/>
        <v>'0'!A34</v>
      </c>
      <c r="K5171" s="15" t="str">
        <f t="shared" ca="1" si="1508"/>
        <v>'0'!B34</v>
      </c>
    </row>
    <row r="5172" spans="1:11" x14ac:dyDescent="0.25">
      <c r="A5172" s="3" t="str">
        <f t="shared" ca="1" si="1509"/>
        <v/>
      </c>
      <c r="G5172" s="15">
        <f t="shared" ca="1" si="1499"/>
        <v>35</v>
      </c>
      <c r="H5172" s="15">
        <v>1</v>
      </c>
      <c r="I5172" s="15">
        <f t="shared" ca="1" si="1500"/>
        <v>0</v>
      </c>
      <c r="J5172" s="15" t="str">
        <f t="shared" ca="1" si="1507"/>
        <v>'0'!A35</v>
      </c>
      <c r="K5172" s="15" t="str">
        <f t="shared" ca="1" si="1508"/>
        <v>'0'!B35</v>
      </c>
    </row>
    <row r="5173" spans="1:11" x14ac:dyDescent="0.25">
      <c r="A5173" s="3" t="str">
        <f t="shared" ca="1" si="1509"/>
        <v/>
      </c>
      <c r="G5173" s="15">
        <f t="shared" ca="1" si="1499"/>
        <v>36</v>
      </c>
      <c r="H5173" s="15">
        <v>1</v>
      </c>
      <c r="I5173" s="15">
        <f t="shared" ca="1" si="1500"/>
        <v>0</v>
      </c>
      <c r="J5173" s="15" t="str">
        <f t="shared" ca="1" si="1507"/>
        <v>'0'!A36</v>
      </c>
      <c r="K5173" s="15" t="str">
        <f t="shared" ca="1" si="1508"/>
        <v>'0'!B36</v>
      </c>
    </row>
    <row r="5174" spans="1:11" x14ac:dyDescent="0.25">
      <c r="A5174" s="3" t="str">
        <f t="shared" ca="1" si="1509"/>
        <v/>
      </c>
      <c r="G5174" s="15">
        <f t="shared" ca="1" si="1499"/>
        <v>37</v>
      </c>
      <c r="H5174" s="15">
        <v>1</v>
      </c>
      <c r="I5174" s="15">
        <f t="shared" ca="1" si="1500"/>
        <v>0</v>
      </c>
      <c r="J5174" s="15" t="str">
        <f t="shared" ca="1" si="1507"/>
        <v>'0'!A37</v>
      </c>
      <c r="K5174" s="15" t="str">
        <f t="shared" ca="1" si="1508"/>
        <v>'0'!B37</v>
      </c>
    </row>
    <row r="5175" spans="1:11" x14ac:dyDescent="0.25">
      <c r="A5175" s="3" t="str">
        <f t="shared" ca="1" si="1509"/>
        <v/>
      </c>
      <c r="G5175" s="15">
        <f t="shared" ca="1" si="1499"/>
        <v>38</v>
      </c>
      <c r="H5175" s="15">
        <v>1</v>
      </c>
      <c r="I5175" s="15">
        <f t="shared" ca="1" si="1500"/>
        <v>0</v>
      </c>
      <c r="J5175" s="15" t="str">
        <f t="shared" ca="1" si="1507"/>
        <v>'0'!A38</v>
      </c>
      <c r="K5175" s="15" t="str">
        <f t="shared" ca="1" si="1508"/>
        <v>'0'!B38</v>
      </c>
    </row>
    <row r="5176" spans="1:11" x14ac:dyDescent="0.25">
      <c r="A5176" s="3" t="str">
        <f t="shared" ca="1" si="1509"/>
        <v/>
      </c>
      <c r="G5176" s="15">
        <f t="shared" ca="1" si="1499"/>
        <v>39</v>
      </c>
      <c r="H5176" s="15">
        <v>1</v>
      </c>
      <c r="I5176" s="15">
        <f t="shared" ca="1" si="1500"/>
        <v>0</v>
      </c>
      <c r="J5176" s="15" t="str">
        <f t="shared" ca="1" si="1507"/>
        <v>'0'!A39</v>
      </c>
      <c r="K5176" s="15" t="str">
        <f t="shared" ca="1" si="1508"/>
        <v>'0'!B39</v>
      </c>
    </row>
    <row r="5177" spans="1:11" x14ac:dyDescent="0.25">
      <c r="A5177" s="3" t="str">
        <f t="shared" ca="1" si="1509"/>
        <v/>
      </c>
      <c r="G5177" s="15">
        <f t="shared" ca="1" si="1499"/>
        <v>40</v>
      </c>
      <c r="H5177" s="15">
        <v>1</v>
      </c>
      <c r="I5177" s="15">
        <f t="shared" ca="1" si="1500"/>
        <v>0</v>
      </c>
      <c r="J5177" s="15" t="str">
        <f t="shared" ca="1" si="1507"/>
        <v>'0'!A40</v>
      </c>
      <c r="K5177" s="15" t="str">
        <f t="shared" ca="1" si="1508"/>
        <v>'0'!B40</v>
      </c>
    </row>
    <row r="5178" spans="1:11" x14ac:dyDescent="0.25">
      <c r="A5178" s="3" t="str">
        <f t="shared" ca="1" si="1509"/>
        <v/>
      </c>
      <c r="G5178" s="15">
        <f t="shared" ca="1" si="1499"/>
        <v>41</v>
      </c>
      <c r="H5178" s="15">
        <v>1</v>
      </c>
      <c r="I5178" s="15">
        <f t="shared" ca="1" si="1500"/>
        <v>0</v>
      </c>
      <c r="J5178" s="15" t="str">
        <f t="shared" ca="1" si="1507"/>
        <v>'0'!A41</v>
      </c>
      <c r="K5178" s="15" t="str">
        <f t="shared" ca="1" si="1508"/>
        <v>'0'!B41</v>
      </c>
    </row>
    <row r="5179" spans="1:11" x14ac:dyDescent="0.25">
      <c r="A5179" s="3" t="str">
        <f t="shared" ca="1" si="1509"/>
        <v/>
      </c>
      <c r="C5179" s="16"/>
      <c r="G5179" s="15">
        <f t="shared" ca="1" si="1499"/>
        <v>42</v>
      </c>
      <c r="H5179" s="15">
        <v>1</v>
      </c>
      <c r="I5179" s="15">
        <f t="shared" ca="1" si="1500"/>
        <v>0</v>
      </c>
      <c r="J5179" s="15" t="str">
        <f t="shared" ca="1" si="1507"/>
        <v>'0'!A42</v>
      </c>
      <c r="K5179" s="15" t="str">
        <f t="shared" ca="1" si="1508"/>
        <v>'0'!B42</v>
      </c>
    </row>
    <row r="5180" spans="1:11" x14ac:dyDescent="0.25">
      <c r="A5180" s="3" t="str">
        <f t="shared" ca="1" si="1509"/>
        <v/>
      </c>
      <c r="G5180" s="15">
        <f t="shared" ca="1" si="1499"/>
        <v>43</v>
      </c>
      <c r="H5180" s="15">
        <v>1</v>
      </c>
      <c r="I5180" s="15">
        <f t="shared" ca="1" si="1500"/>
        <v>0</v>
      </c>
      <c r="J5180" s="15" t="str">
        <f t="shared" ca="1" si="1507"/>
        <v>'0'!A43</v>
      </c>
      <c r="K5180" s="15" t="str">
        <f t="shared" ca="1" si="1508"/>
        <v>'0'!B43</v>
      </c>
    </row>
    <row r="5181" spans="1:11" x14ac:dyDescent="0.25">
      <c r="A5181" s="3" t="str">
        <f t="shared" ca="1" si="1509"/>
        <v/>
      </c>
      <c r="G5181" s="15">
        <f t="shared" ca="1" si="1499"/>
        <v>44</v>
      </c>
      <c r="H5181" s="15">
        <v>1</v>
      </c>
      <c r="I5181" s="15">
        <f t="shared" ca="1" si="1500"/>
        <v>0</v>
      </c>
      <c r="J5181" s="15" t="str">
        <f t="shared" ca="1" si="1507"/>
        <v>'0'!A44</v>
      </c>
      <c r="K5181" s="15" t="str">
        <f t="shared" ca="1" si="1508"/>
        <v>'0'!B44</v>
      </c>
    </row>
    <row r="5182" spans="1:11" x14ac:dyDescent="0.25">
      <c r="A5182" s="3" t="str">
        <f t="shared" ca="1" si="1509"/>
        <v/>
      </c>
      <c r="G5182" s="15">
        <f t="shared" ca="1" si="1499"/>
        <v>45</v>
      </c>
      <c r="H5182" s="15">
        <v>1</v>
      </c>
      <c r="I5182" s="15">
        <f t="shared" ca="1" si="1500"/>
        <v>0</v>
      </c>
      <c r="J5182" s="15" t="str">
        <f t="shared" ca="1" si="1507"/>
        <v>'0'!A45</v>
      </c>
      <c r="K5182" s="15" t="str">
        <f t="shared" ca="1" si="1508"/>
        <v>'0'!B45</v>
      </c>
    </row>
    <row r="5183" spans="1:11" x14ac:dyDescent="0.25">
      <c r="A5183" s="3" t="str">
        <f t="shared" ca="1" si="1509"/>
        <v/>
      </c>
      <c r="G5183" s="15">
        <f t="shared" ca="1" si="1499"/>
        <v>46</v>
      </c>
      <c r="H5183" s="15">
        <v>1</v>
      </c>
      <c r="I5183" s="15">
        <f t="shared" ca="1" si="1500"/>
        <v>0</v>
      </c>
      <c r="J5183" s="15" t="str">
        <f t="shared" ca="1" si="1507"/>
        <v>'0'!A46</v>
      </c>
      <c r="K5183" s="15" t="str">
        <f t="shared" ca="1" si="1508"/>
        <v>'0'!B46</v>
      </c>
    </row>
    <row r="5184" spans="1:11" x14ac:dyDescent="0.25">
      <c r="A5184" s="3" t="str">
        <f t="shared" ca="1" si="1509"/>
        <v/>
      </c>
      <c r="G5184" s="15">
        <f t="shared" ca="1" si="1499"/>
        <v>47</v>
      </c>
      <c r="H5184" s="15">
        <v>1</v>
      </c>
      <c r="I5184" s="15">
        <f t="shared" ca="1" si="1500"/>
        <v>0</v>
      </c>
      <c r="J5184" s="15" t="str">
        <f t="shared" ca="1" si="1507"/>
        <v>'0'!A47</v>
      </c>
      <c r="K5184" s="15" t="str">
        <f t="shared" ca="1" si="1508"/>
        <v>'0'!B47</v>
      </c>
    </row>
    <row r="5185" spans="1:16" x14ac:dyDescent="0.25">
      <c r="A5185" s="3" t="str">
        <f t="shared" ca="1" si="1509"/>
        <v/>
      </c>
      <c r="G5185" s="15">
        <f t="shared" ca="1" si="1499"/>
        <v>48</v>
      </c>
      <c r="H5185" s="15">
        <v>1</v>
      </c>
      <c r="I5185" s="15">
        <f t="shared" ca="1" si="1500"/>
        <v>0</v>
      </c>
      <c r="J5185" s="15" t="str">
        <f t="shared" ca="1" si="1507"/>
        <v>'0'!A48</v>
      </c>
      <c r="K5185" s="15" t="str">
        <f t="shared" ca="1" si="1508"/>
        <v>'0'!B48</v>
      </c>
    </row>
    <row r="5186" spans="1:16" x14ac:dyDescent="0.25">
      <c r="A5186" s="3" t="str">
        <f t="shared" ca="1" si="1509"/>
        <v/>
      </c>
      <c r="G5186" s="15">
        <f t="shared" ca="1" si="1499"/>
        <v>49</v>
      </c>
      <c r="H5186" s="15">
        <v>1</v>
      </c>
      <c r="I5186" s="15">
        <f t="shared" ca="1" si="1500"/>
        <v>0</v>
      </c>
      <c r="J5186" s="15" t="str">
        <f t="shared" ca="1" si="1507"/>
        <v>'0'!A49</v>
      </c>
      <c r="K5186" s="15" t="str">
        <f t="shared" ca="1" si="1508"/>
        <v>'0'!B49</v>
      </c>
    </row>
    <row r="5187" spans="1:16" x14ac:dyDescent="0.25">
      <c r="A5187" s="3" t="str">
        <f t="shared" ca="1" si="1509"/>
        <v/>
      </c>
      <c r="G5187" s="15">
        <f t="shared" ca="1" si="1499"/>
        <v>50</v>
      </c>
      <c r="H5187" s="15">
        <v>1</v>
      </c>
      <c r="I5187" s="15">
        <f t="shared" ca="1" si="1500"/>
        <v>0</v>
      </c>
      <c r="J5187" s="15" t="str">
        <f t="shared" ca="1" si="1507"/>
        <v>'0'!A50</v>
      </c>
      <c r="K5187" s="15" t="str">
        <f t="shared" ca="1" si="1508"/>
        <v>'0'!B50</v>
      </c>
    </row>
    <row r="5188" spans="1:16" x14ac:dyDescent="0.25">
      <c r="A5188" s="3" t="str">
        <f t="shared" ca="1" si="1509"/>
        <v/>
      </c>
      <c r="G5188" s="15">
        <f t="shared" ref="G5188" ca="1" si="1514">INDIRECT(M5188)</f>
        <v>31</v>
      </c>
      <c r="H5188" s="15">
        <v>1</v>
      </c>
      <c r="I5188" s="15">
        <f t="shared" ref="I5188" ca="1" si="1515">INDIRECT(N5188)</f>
        <v>0</v>
      </c>
      <c r="J5188" s="15" t="str">
        <f t="shared" ca="1" si="1507"/>
        <v>'0'!A31</v>
      </c>
      <c r="K5188" s="15" t="str">
        <f t="shared" ca="1" si="1508"/>
        <v>'0'!B31</v>
      </c>
      <c r="M5188" s="15" t="str">
        <f t="shared" ref="M5188" si="1516">ADDRESS(O5188,3,4,1,$R$1)</f>
        <v>konfig!C261</v>
      </c>
      <c r="N5188" s="15" t="str">
        <f t="shared" ref="N5188" si="1517">ADDRESS(O5188,1,4,1,$R$1)</f>
        <v>konfig!A261</v>
      </c>
      <c r="O5188" s="15">
        <v>261</v>
      </c>
      <c r="P5188" s="15">
        <v>4</v>
      </c>
    </row>
    <row r="5189" spans="1:16" x14ac:dyDescent="0.25">
      <c r="A5189" s="3" t="str">
        <f t="shared" ca="1" si="1509"/>
        <v/>
      </c>
      <c r="G5189" s="15">
        <f t="shared" ca="1" si="1505"/>
        <v>32</v>
      </c>
      <c r="H5189" s="15">
        <v>1</v>
      </c>
      <c r="I5189" s="15">
        <f t="shared" ca="1" si="1506"/>
        <v>0</v>
      </c>
      <c r="J5189" s="15" t="str">
        <f t="shared" ca="1" si="1507"/>
        <v>'0'!A32</v>
      </c>
      <c r="K5189" s="15" t="str">
        <f t="shared" ca="1" si="1508"/>
        <v>'0'!B32</v>
      </c>
    </row>
    <row r="5190" spans="1:16" x14ac:dyDescent="0.25">
      <c r="A5190" s="3" t="str">
        <f t="shared" ca="1" si="1509"/>
        <v/>
      </c>
      <c r="G5190" s="15">
        <f t="shared" ca="1" si="1499"/>
        <v>33</v>
      </c>
      <c r="H5190" s="15">
        <v>1</v>
      </c>
      <c r="I5190" s="15">
        <f t="shared" ca="1" si="1500"/>
        <v>0</v>
      </c>
      <c r="J5190" s="15" t="str">
        <f t="shared" ca="1" si="1507"/>
        <v>'0'!A33</v>
      </c>
      <c r="K5190" s="15" t="str">
        <f t="shared" ca="1" si="1508"/>
        <v>'0'!B33</v>
      </c>
    </row>
    <row r="5191" spans="1:16" x14ac:dyDescent="0.25">
      <c r="A5191" s="3" t="str">
        <f t="shared" ca="1" si="1509"/>
        <v/>
      </c>
      <c r="C5191" s="16"/>
      <c r="G5191" s="15">
        <f t="shared" ca="1" si="1499"/>
        <v>34</v>
      </c>
      <c r="H5191" s="15">
        <v>1</v>
      </c>
      <c r="I5191" s="15">
        <f t="shared" ca="1" si="1500"/>
        <v>0</v>
      </c>
      <c r="J5191" s="15" t="str">
        <f t="shared" ca="1" si="1507"/>
        <v>'0'!A34</v>
      </c>
      <c r="K5191" s="15" t="str">
        <f t="shared" ca="1" si="1508"/>
        <v>'0'!B34</v>
      </c>
    </row>
    <row r="5192" spans="1:16" x14ac:dyDescent="0.25">
      <c r="A5192" s="3" t="str">
        <f t="shared" ca="1" si="1509"/>
        <v/>
      </c>
      <c r="G5192" s="15">
        <f t="shared" ca="1" si="1499"/>
        <v>35</v>
      </c>
      <c r="H5192" s="15">
        <v>1</v>
      </c>
      <c r="I5192" s="15">
        <f t="shared" ca="1" si="1500"/>
        <v>0</v>
      </c>
      <c r="J5192" s="15" t="str">
        <f t="shared" ca="1" si="1507"/>
        <v>'0'!A35</v>
      </c>
      <c r="K5192" s="15" t="str">
        <f t="shared" ca="1" si="1508"/>
        <v>'0'!B35</v>
      </c>
    </row>
    <row r="5193" spans="1:16" x14ac:dyDescent="0.25">
      <c r="A5193" s="3" t="str">
        <f t="shared" ca="1" si="1509"/>
        <v/>
      </c>
      <c r="G5193" s="15">
        <f t="shared" ref="G5193:G5256" ca="1" si="1518">G5192+1</f>
        <v>36</v>
      </c>
      <c r="H5193" s="15">
        <v>1</v>
      </c>
      <c r="I5193" s="15">
        <f t="shared" ref="I5193:I5256" ca="1" si="1519">I5192</f>
        <v>0</v>
      </c>
      <c r="J5193" s="15" t="str">
        <f t="shared" ca="1" si="1507"/>
        <v>'0'!A36</v>
      </c>
      <c r="K5193" s="15" t="str">
        <f t="shared" ca="1" si="1508"/>
        <v>'0'!B36</v>
      </c>
    </row>
    <row r="5194" spans="1:16" x14ac:dyDescent="0.25">
      <c r="A5194" s="3" t="str">
        <f t="shared" ca="1" si="1509"/>
        <v/>
      </c>
      <c r="G5194" s="15">
        <f t="shared" ca="1" si="1518"/>
        <v>37</v>
      </c>
      <c r="H5194" s="15">
        <v>1</v>
      </c>
      <c r="I5194" s="15">
        <f t="shared" ca="1" si="1519"/>
        <v>0</v>
      </c>
      <c r="J5194" s="15" t="str">
        <f t="shared" ca="1" si="1507"/>
        <v>'0'!A37</v>
      </c>
      <c r="K5194" s="15" t="str">
        <f t="shared" ca="1" si="1508"/>
        <v>'0'!B37</v>
      </c>
    </row>
    <row r="5195" spans="1:16" x14ac:dyDescent="0.25">
      <c r="A5195" s="3" t="str">
        <f t="shared" ca="1" si="1509"/>
        <v/>
      </c>
      <c r="G5195" s="15">
        <f t="shared" ca="1" si="1518"/>
        <v>38</v>
      </c>
      <c r="H5195" s="15">
        <v>1</v>
      </c>
      <c r="I5195" s="15">
        <f t="shared" ca="1" si="1519"/>
        <v>0</v>
      </c>
      <c r="J5195" s="15" t="str">
        <f t="shared" ca="1" si="1507"/>
        <v>'0'!A38</v>
      </c>
      <c r="K5195" s="15" t="str">
        <f t="shared" ca="1" si="1508"/>
        <v>'0'!B38</v>
      </c>
    </row>
    <row r="5196" spans="1:16" x14ac:dyDescent="0.25">
      <c r="A5196" s="3" t="str">
        <f t="shared" ca="1" si="1509"/>
        <v/>
      </c>
      <c r="G5196" s="15">
        <f t="shared" ca="1" si="1518"/>
        <v>39</v>
      </c>
      <c r="H5196" s="15">
        <v>1</v>
      </c>
      <c r="I5196" s="15">
        <f t="shared" ca="1" si="1519"/>
        <v>0</v>
      </c>
      <c r="J5196" s="15" t="str">
        <f t="shared" ca="1" si="1507"/>
        <v>'0'!A39</v>
      </c>
      <c r="K5196" s="15" t="str">
        <f t="shared" ca="1" si="1508"/>
        <v>'0'!B39</v>
      </c>
    </row>
    <row r="5197" spans="1:16" x14ac:dyDescent="0.25">
      <c r="A5197" s="3" t="str">
        <f t="shared" ca="1" si="1509"/>
        <v/>
      </c>
      <c r="G5197" s="15">
        <f t="shared" ca="1" si="1518"/>
        <v>40</v>
      </c>
      <c r="H5197" s="15">
        <v>1</v>
      </c>
      <c r="I5197" s="15">
        <f t="shared" ca="1" si="1519"/>
        <v>0</v>
      </c>
      <c r="J5197" s="15" t="str">
        <f t="shared" ca="1" si="1507"/>
        <v>'0'!A40</v>
      </c>
      <c r="K5197" s="15" t="str">
        <f t="shared" ca="1" si="1508"/>
        <v>'0'!B40</v>
      </c>
    </row>
    <row r="5198" spans="1:16" x14ac:dyDescent="0.25">
      <c r="A5198" s="3" t="str">
        <f t="shared" ca="1" si="1509"/>
        <v/>
      </c>
      <c r="G5198" s="15">
        <f t="shared" ca="1" si="1518"/>
        <v>41</v>
      </c>
      <c r="H5198" s="15">
        <v>1</v>
      </c>
      <c r="I5198" s="15">
        <f t="shared" ca="1" si="1519"/>
        <v>0</v>
      </c>
      <c r="J5198" s="15" t="str">
        <f t="shared" ca="1" si="1507"/>
        <v>'0'!A41</v>
      </c>
      <c r="K5198" s="15" t="str">
        <f t="shared" ca="1" si="1508"/>
        <v>'0'!B41</v>
      </c>
    </row>
    <row r="5199" spans="1:16" x14ac:dyDescent="0.25">
      <c r="A5199" s="3" t="str">
        <f t="shared" ca="1" si="1509"/>
        <v/>
      </c>
      <c r="C5199" s="16"/>
      <c r="G5199" s="15">
        <f t="shared" ca="1" si="1518"/>
        <v>42</v>
      </c>
      <c r="H5199" s="15">
        <v>1</v>
      </c>
      <c r="I5199" s="15">
        <f t="shared" ca="1" si="1519"/>
        <v>0</v>
      </c>
      <c r="J5199" s="15" t="str">
        <f t="shared" ca="1" si="1507"/>
        <v>'0'!A42</v>
      </c>
      <c r="K5199" s="15" t="str">
        <f t="shared" ca="1" si="1508"/>
        <v>'0'!B42</v>
      </c>
    </row>
    <row r="5200" spans="1:16" x14ac:dyDescent="0.25">
      <c r="A5200" s="3" t="str">
        <f t="shared" ca="1" si="1509"/>
        <v/>
      </c>
      <c r="G5200" s="15">
        <f t="shared" ca="1" si="1518"/>
        <v>43</v>
      </c>
      <c r="H5200" s="15">
        <v>1</v>
      </c>
      <c r="I5200" s="15">
        <f t="shared" ca="1" si="1519"/>
        <v>0</v>
      </c>
      <c r="J5200" s="15" t="str">
        <f t="shared" ca="1" si="1507"/>
        <v>'0'!A43</v>
      </c>
      <c r="K5200" s="15" t="str">
        <f t="shared" ca="1" si="1508"/>
        <v>'0'!B43</v>
      </c>
    </row>
    <row r="5201" spans="1:16" x14ac:dyDescent="0.25">
      <c r="A5201" s="3" t="str">
        <f t="shared" ca="1" si="1509"/>
        <v/>
      </c>
      <c r="G5201" s="15">
        <f t="shared" ca="1" si="1518"/>
        <v>44</v>
      </c>
      <c r="H5201" s="15">
        <v>1</v>
      </c>
      <c r="I5201" s="15">
        <f t="shared" ca="1" si="1519"/>
        <v>0</v>
      </c>
      <c r="J5201" s="15" t="str">
        <f t="shared" ca="1" si="1507"/>
        <v>'0'!A44</v>
      </c>
      <c r="K5201" s="15" t="str">
        <f t="shared" ca="1" si="1508"/>
        <v>'0'!B44</v>
      </c>
    </row>
    <row r="5202" spans="1:16" x14ac:dyDescent="0.25">
      <c r="A5202" s="3" t="str">
        <f t="shared" ca="1" si="1509"/>
        <v/>
      </c>
      <c r="G5202" s="15">
        <f t="shared" ca="1" si="1518"/>
        <v>45</v>
      </c>
      <c r="H5202" s="15">
        <v>1</v>
      </c>
      <c r="I5202" s="15">
        <f t="shared" ca="1" si="1519"/>
        <v>0</v>
      </c>
      <c r="J5202" s="15" t="str">
        <f t="shared" ca="1" si="1507"/>
        <v>'0'!A45</v>
      </c>
      <c r="K5202" s="15" t="str">
        <f t="shared" ca="1" si="1508"/>
        <v>'0'!B45</v>
      </c>
    </row>
    <row r="5203" spans="1:16" x14ac:dyDescent="0.25">
      <c r="A5203" s="3" t="str">
        <f t="shared" ca="1" si="1509"/>
        <v/>
      </c>
      <c r="G5203" s="15">
        <f t="shared" ca="1" si="1518"/>
        <v>46</v>
      </c>
      <c r="H5203" s="15">
        <v>1</v>
      </c>
      <c r="I5203" s="15">
        <f t="shared" ca="1" si="1519"/>
        <v>0</v>
      </c>
      <c r="J5203" s="15" t="str">
        <f t="shared" ca="1" si="1507"/>
        <v>'0'!A46</v>
      </c>
      <c r="K5203" s="15" t="str">
        <f t="shared" ca="1" si="1508"/>
        <v>'0'!B46</v>
      </c>
    </row>
    <row r="5204" spans="1:16" x14ac:dyDescent="0.25">
      <c r="A5204" s="3" t="str">
        <f t="shared" ca="1" si="1509"/>
        <v/>
      </c>
      <c r="G5204" s="15">
        <f t="shared" ca="1" si="1518"/>
        <v>47</v>
      </c>
      <c r="H5204" s="15">
        <v>1</v>
      </c>
      <c r="I5204" s="15">
        <f t="shared" ca="1" si="1519"/>
        <v>0</v>
      </c>
      <c r="J5204" s="15" t="str">
        <f t="shared" ca="1" si="1507"/>
        <v>'0'!A47</v>
      </c>
      <c r="K5204" s="15" t="str">
        <f t="shared" ca="1" si="1508"/>
        <v>'0'!B47</v>
      </c>
    </row>
    <row r="5205" spans="1:16" x14ac:dyDescent="0.25">
      <c r="A5205" s="3" t="str">
        <f t="shared" ca="1" si="1509"/>
        <v/>
      </c>
      <c r="G5205" s="15">
        <f t="shared" ca="1" si="1518"/>
        <v>48</v>
      </c>
      <c r="H5205" s="15">
        <v>1</v>
      </c>
      <c r="I5205" s="15">
        <f t="shared" ca="1" si="1519"/>
        <v>0</v>
      </c>
      <c r="J5205" s="15" t="str">
        <f t="shared" ca="1" si="1507"/>
        <v>'0'!A48</v>
      </c>
      <c r="K5205" s="15" t="str">
        <f t="shared" ca="1" si="1508"/>
        <v>'0'!B48</v>
      </c>
    </row>
    <row r="5206" spans="1:16" x14ac:dyDescent="0.25">
      <c r="A5206" s="3" t="str">
        <f t="shared" ca="1" si="1509"/>
        <v/>
      </c>
      <c r="G5206" s="15">
        <f t="shared" ca="1" si="1518"/>
        <v>49</v>
      </c>
      <c r="H5206" s="15">
        <v>1</v>
      </c>
      <c r="I5206" s="15">
        <f t="shared" ca="1" si="1519"/>
        <v>0</v>
      </c>
      <c r="J5206" s="15" t="str">
        <f t="shared" ca="1" si="1507"/>
        <v>'0'!A49</v>
      </c>
      <c r="K5206" s="15" t="str">
        <f t="shared" ca="1" si="1508"/>
        <v>'0'!B49</v>
      </c>
    </row>
    <row r="5207" spans="1:16" x14ac:dyDescent="0.25">
      <c r="A5207" s="3" t="str">
        <f t="shared" ca="1" si="1509"/>
        <v/>
      </c>
      <c r="G5207" s="15">
        <f t="shared" ca="1" si="1518"/>
        <v>50</v>
      </c>
      <c r="H5207" s="15">
        <v>1</v>
      </c>
      <c r="I5207" s="15">
        <f t="shared" ca="1" si="1519"/>
        <v>0</v>
      </c>
      <c r="J5207" s="15" t="str">
        <f t="shared" ca="1" si="1507"/>
        <v>'0'!A50</v>
      </c>
      <c r="K5207" s="15" t="str">
        <f t="shared" ca="1" si="1508"/>
        <v>'0'!B50</v>
      </c>
    </row>
    <row r="5208" spans="1:16" x14ac:dyDescent="0.25">
      <c r="A5208" s="3" t="str">
        <f t="shared" ca="1" si="1509"/>
        <v/>
      </c>
      <c r="G5208" s="15">
        <f t="shared" ref="G5208" ca="1" si="1520">INDIRECT(M5208)</f>
        <v>31</v>
      </c>
      <c r="H5208" s="15">
        <v>1</v>
      </c>
      <c r="I5208" s="15">
        <f t="shared" ref="I5208" ca="1" si="1521">INDIRECT(N5208)</f>
        <v>0</v>
      </c>
      <c r="J5208" s="15" t="str">
        <f t="shared" ca="1" si="1507"/>
        <v>'0'!A31</v>
      </c>
      <c r="K5208" s="15" t="str">
        <f t="shared" ca="1" si="1508"/>
        <v>'0'!B31</v>
      </c>
      <c r="M5208" s="15" t="str">
        <f t="shared" ref="M5208" si="1522">ADDRESS(O5208,3,4,1,$R$1)</f>
        <v>konfig!C262</v>
      </c>
      <c r="N5208" s="15" t="str">
        <f t="shared" ref="N5208" si="1523">ADDRESS(O5208,1,4,1,$R$1)</f>
        <v>konfig!A262</v>
      </c>
      <c r="O5208" s="15">
        <v>262</v>
      </c>
      <c r="P5208" s="15">
        <v>4</v>
      </c>
    </row>
    <row r="5209" spans="1:16" x14ac:dyDescent="0.25">
      <c r="A5209" s="3" t="str">
        <f t="shared" ca="1" si="1509"/>
        <v/>
      </c>
      <c r="G5209" s="15">
        <f t="shared" ref="G5209:G5252" ca="1" si="1524">G5208+1</f>
        <v>32</v>
      </c>
      <c r="H5209" s="15">
        <v>1</v>
      </c>
      <c r="I5209" s="15">
        <f t="shared" ref="I5209:I5252" ca="1" si="1525">I5208</f>
        <v>0</v>
      </c>
      <c r="J5209" s="15" t="str">
        <f t="shared" ca="1" si="1507"/>
        <v>'0'!A32</v>
      </c>
      <c r="K5209" s="15" t="str">
        <f t="shared" ca="1" si="1508"/>
        <v>'0'!B32</v>
      </c>
    </row>
    <row r="5210" spans="1:16" x14ac:dyDescent="0.25">
      <c r="A5210" s="3" t="str">
        <f t="shared" ca="1" si="1509"/>
        <v/>
      </c>
      <c r="G5210" s="15">
        <f t="shared" ca="1" si="1524"/>
        <v>33</v>
      </c>
      <c r="H5210" s="15">
        <v>1</v>
      </c>
      <c r="I5210" s="15">
        <f t="shared" ca="1" si="1525"/>
        <v>0</v>
      </c>
      <c r="J5210" s="15" t="str">
        <f t="shared" ca="1" si="1507"/>
        <v>'0'!A33</v>
      </c>
      <c r="K5210" s="15" t="str">
        <f t="shared" ca="1" si="1508"/>
        <v>'0'!B33</v>
      </c>
    </row>
    <row r="5211" spans="1:16" x14ac:dyDescent="0.25">
      <c r="A5211" s="3" t="str">
        <f t="shared" ca="1" si="1509"/>
        <v/>
      </c>
      <c r="C5211" s="16"/>
      <c r="G5211" s="15">
        <f t="shared" ca="1" si="1524"/>
        <v>34</v>
      </c>
      <c r="H5211" s="15">
        <v>1</v>
      </c>
      <c r="I5211" s="15">
        <f t="shared" ca="1" si="1525"/>
        <v>0</v>
      </c>
      <c r="J5211" s="15" t="str">
        <f t="shared" ca="1" si="1507"/>
        <v>'0'!A34</v>
      </c>
      <c r="K5211" s="15" t="str">
        <f t="shared" ca="1" si="1508"/>
        <v>'0'!B34</v>
      </c>
    </row>
    <row r="5212" spans="1:16" x14ac:dyDescent="0.25">
      <c r="A5212" s="3" t="str">
        <f t="shared" ca="1" si="1509"/>
        <v/>
      </c>
      <c r="G5212" s="15">
        <f t="shared" ca="1" si="1524"/>
        <v>35</v>
      </c>
      <c r="H5212" s="15">
        <v>1</v>
      </c>
      <c r="I5212" s="15">
        <f t="shared" ca="1" si="1525"/>
        <v>0</v>
      </c>
      <c r="J5212" s="15" t="str">
        <f t="shared" ca="1" si="1507"/>
        <v>'0'!A35</v>
      </c>
      <c r="K5212" s="15" t="str">
        <f t="shared" ca="1" si="1508"/>
        <v>'0'!B35</v>
      </c>
    </row>
    <row r="5213" spans="1:16" x14ac:dyDescent="0.25">
      <c r="A5213" s="3" t="str">
        <f t="shared" ca="1" si="1509"/>
        <v/>
      </c>
      <c r="G5213" s="15">
        <f t="shared" ca="1" si="1518"/>
        <v>36</v>
      </c>
      <c r="H5213" s="15">
        <v>1</v>
      </c>
      <c r="I5213" s="15">
        <f t="shared" ca="1" si="1519"/>
        <v>0</v>
      </c>
      <c r="J5213" s="15" t="str">
        <f t="shared" ca="1" si="1507"/>
        <v>'0'!A36</v>
      </c>
      <c r="K5213" s="15" t="str">
        <f t="shared" ca="1" si="1508"/>
        <v>'0'!B36</v>
      </c>
    </row>
    <row r="5214" spans="1:16" x14ac:dyDescent="0.25">
      <c r="A5214" s="3" t="str">
        <f t="shared" ca="1" si="1509"/>
        <v/>
      </c>
      <c r="G5214" s="15">
        <f t="shared" ca="1" si="1518"/>
        <v>37</v>
      </c>
      <c r="H5214" s="15">
        <v>1</v>
      </c>
      <c r="I5214" s="15">
        <f t="shared" ca="1" si="1519"/>
        <v>0</v>
      </c>
      <c r="J5214" s="15" t="str">
        <f t="shared" ca="1" si="1507"/>
        <v>'0'!A37</v>
      </c>
      <c r="K5214" s="15" t="str">
        <f t="shared" ca="1" si="1508"/>
        <v>'0'!B37</v>
      </c>
    </row>
    <row r="5215" spans="1:16" x14ac:dyDescent="0.25">
      <c r="A5215" s="3" t="str">
        <f t="shared" ca="1" si="1509"/>
        <v/>
      </c>
      <c r="G5215" s="15">
        <f t="shared" ca="1" si="1518"/>
        <v>38</v>
      </c>
      <c r="H5215" s="15">
        <v>1</v>
      </c>
      <c r="I5215" s="15">
        <f t="shared" ca="1" si="1519"/>
        <v>0</v>
      </c>
      <c r="J5215" s="15" t="str">
        <f t="shared" ca="1" si="1507"/>
        <v>'0'!A38</v>
      </c>
      <c r="K5215" s="15" t="str">
        <f t="shared" ca="1" si="1508"/>
        <v>'0'!B38</v>
      </c>
    </row>
    <row r="5216" spans="1:16" x14ac:dyDescent="0.25">
      <c r="A5216" s="3" t="str">
        <f t="shared" ca="1" si="1509"/>
        <v/>
      </c>
      <c r="G5216" s="15">
        <f t="shared" ca="1" si="1518"/>
        <v>39</v>
      </c>
      <c r="H5216" s="15">
        <v>1</v>
      </c>
      <c r="I5216" s="15">
        <f t="shared" ca="1" si="1519"/>
        <v>0</v>
      </c>
      <c r="J5216" s="15" t="str">
        <f t="shared" ca="1" si="1507"/>
        <v>'0'!A39</v>
      </c>
      <c r="K5216" s="15" t="str">
        <f t="shared" ca="1" si="1508"/>
        <v>'0'!B39</v>
      </c>
    </row>
    <row r="5217" spans="1:16" x14ac:dyDescent="0.25">
      <c r="A5217" s="3" t="str">
        <f t="shared" ca="1" si="1509"/>
        <v/>
      </c>
      <c r="G5217" s="15">
        <f t="shared" ca="1" si="1518"/>
        <v>40</v>
      </c>
      <c r="H5217" s="15">
        <v>1</v>
      </c>
      <c r="I5217" s="15">
        <f t="shared" ca="1" si="1519"/>
        <v>0</v>
      </c>
      <c r="J5217" s="15" t="str">
        <f t="shared" ca="1" si="1507"/>
        <v>'0'!A40</v>
      </c>
      <c r="K5217" s="15" t="str">
        <f t="shared" ca="1" si="1508"/>
        <v>'0'!B40</v>
      </c>
    </row>
    <row r="5218" spans="1:16" x14ac:dyDescent="0.25">
      <c r="A5218" s="3" t="str">
        <f t="shared" ca="1" si="1509"/>
        <v/>
      </c>
      <c r="G5218" s="15">
        <f t="shared" ca="1" si="1518"/>
        <v>41</v>
      </c>
      <c r="H5218" s="15">
        <v>1</v>
      </c>
      <c r="I5218" s="15">
        <f t="shared" ca="1" si="1519"/>
        <v>0</v>
      </c>
      <c r="J5218" s="15" t="str">
        <f t="shared" ca="1" si="1507"/>
        <v>'0'!A41</v>
      </c>
      <c r="K5218" s="15" t="str">
        <f t="shared" ca="1" si="1508"/>
        <v>'0'!B41</v>
      </c>
    </row>
    <row r="5219" spans="1:16" x14ac:dyDescent="0.25">
      <c r="A5219" s="3" t="str">
        <f t="shared" ca="1" si="1509"/>
        <v/>
      </c>
      <c r="C5219" s="16"/>
      <c r="G5219" s="15">
        <f t="shared" ca="1" si="1518"/>
        <v>42</v>
      </c>
      <c r="H5219" s="15">
        <v>1</v>
      </c>
      <c r="I5219" s="15">
        <f t="shared" ca="1" si="1519"/>
        <v>0</v>
      </c>
      <c r="J5219" s="15" t="str">
        <f t="shared" ca="1" si="1507"/>
        <v>'0'!A42</v>
      </c>
      <c r="K5219" s="15" t="str">
        <f t="shared" ca="1" si="1508"/>
        <v>'0'!B42</v>
      </c>
    </row>
    <row r="5220" spans="1:16" x14ac:dyDescent="0.25">
      <c r="A5220" s="3" t="str">
        <f t="shared" ca="1" si="1509"/>
        <v/>
      </c>
      <c r="G5220" s="15">
        <f t="shared" ca="1" si="1518"/>
        <v>43</v>
      </c>
      <c r="H5220" s="15">
        <v>1</v>
      </c>
      <c r="I5220" s="15">
        <f t="shared" ca="1" si="1519"/>
        <v>0</v>
      </c>
      <c r="J5220" s="15" t="str">
        <f t="shared" ref="J5220:J5283" ca="1" si="1526">ADDRESS(G5220,H5220,4,1,I5220)</f>
        <v>'0'!A43</v>
      </c>
      <c r="K5220" s="15" t="str">
        <f t="shared" ref="K5220:K5283" ca="1" si="1527">ADDRESS(G5220,H5220+1,4,1,I5220)</f>
        <v>'0'!B43</v>
      </c>
    </row>
    <row r="5221" spans="1:16" x14ac:dyDescent="0.25">
      <c r="A5221" s="3" t="str">
        <f t="shared" ca="1" si="1509"/>
        <v/>
      </c>
      <c r="G5221" s="15">
        <f t="shared" ca="1" si="1518"/>
        <v>44</v>
      </c>
      <c r="H5221" s="15">
        <v>1</v>
      </c>
      <c r="I5221" s="15">
        <f t="shared" ca="1" si="1519"/>
        <v>0</v>
      </c>
      <c r="J5221" s="15" t="str">
        <f t="shared" ca="1" si="1526"/>
        <v>'0'!A44</v>
      </c>
      <c r="K5221" s="15" t="str">
        <f t="shared" ca="1" si="1527"/>
        <v>'0'!B44</v>
      </c>
    </row>
    <row r="5222" spans="1:16" x14ac:dyDescent="0.25">
      <c r="A5222" s="3" t="str">
        <f t="shared" ca="1" si="1509"/>
        <v/>
      </c>
      <c r="G5222" s="15">
        <f t="shared" ca="1" si="1518"/>
        <v>45</v>
      </c>
      <c r="H5222" s="15">
        <v>1</v>
      </c>
      <c r="I5222" s="15">
        <f t="shared" ca="1" si="1519"/>
        <v>0</v>
      </c>
      <c r="J5222" s="15" t="str">
        <f t="shared" ca="1" si="1526"/>
        <v>'0'!A45</v>
      </c>
      <c r="K5222" s="15" t="str">
        <f t="shared" ca="1" si="1527"/>
        <v>'0'!B45</v>
      </c>
    </row>
    <row r="5223" spans="1:16" x14ac:dyDescent="0.25">
      <c r="A5223" s="3" t="str">
        <f t="shared" ca="1" si="1509"/>
        <v/>
      </c>
      <c r="G5223" s="15">
        <f t="shared" ca="1" si="1518"/>
        <v>46</v>
      </c>
      <c r="H5223" s="15">
        <v>1</v>
      </c>
      <c r="I5223" s="15">
        <f t="shared" ca="1" si="1519"/>
        <v>0</v>
      </c>
      <c r="J5223" s="15" t="str">
        <f t="shared" ca="1" si="1526"/>
        <v>'0'!A46</v>
      </c>
      <c r="K5223" s="15" t="str">
        <f t="shared" ca="1" si="1527"/>
        <v>'0'!B46</v>
      </c>
    </row>
    <row r="5224" spans="1:16" x14ac:dyDescent="0.25">
      <c r="A5224" s="3" t="str">
        <f t="shared" ca="1" si="1509"/>
        <v/>
      </c>
      <c r="G5224" s="15">
        <f t="shared" ca="1" si="1518"/>
        <v>47</v>
      </c>
      <c r="H5224" s="15">
        <v>1</v>
      </c>
      <c r="I5224" s="15">
        <f t="shared" ca="1" si="1519"/>
        <v>0</v>
      </c>
      <c r="J5224" s="15" t="str">
        <f t="shared" ca="1" si="1526"/>
        <v>'0'!A47</v>
      </c>
      <c r="K5224" s="15" t="str">
        <f t="shared" ca="1" si="1527"/>
        <v>'0'!B47</v>
      </c>
    </row>
    <row r="5225" spans="1:16" x14ac:dyDescent="0.25">
      <c r="A5225" s="3" t="str">
        <f t="shared" ca="1" si="1509"/>
        <v/>
      </c>
      <c r="G5225" s="15">
        <f t="shared" ca="1" si="1518"/>
        <v>48</v>
      </c>
      <c r="H5225" s="15">
        <v>1</v>
      </c>
      <c r="I5225" s="15">
        <f t="shared" ca="1" si="1519"/>
        <v>0</v>
      </c>
      <c r="J5225" s="15" t="str">
        <f t="shared" ca="1" si="1526"/>
        <v>'0'!A48</v>
      </c>
      <c r="K5225" s="15" t="str">
        <f t="shared" ca="1" si="1527"/>
        <v>'0'!B48</v>
      </c>
    </row>
    <row r="5226" spans="1:16" x14ac:dyDescent="0.25">
      <c r="A5226" s="3" t="str">
        <f t="shared" ca="1" si="1509"/>
        <v/>
      </c>
      <c r="G5226" s="15">
        <f t="shared" ca="1" si="1518"/>
        <v>49</v>
      </c>
      <c r="H5226" s="15">
        <v>1</v>
      </c>
      <c r="I5226" s="15">
        <f t="shared" ca="1" si="1519"/>
        <v>0</v>
      </c>
      <c r="J5226" s="15" t="str">
        <f t="shared" ca="1" si="1526"/>
        <v>'0'!A49</v>
      </c>
      <c r="K5226" s="15" t="str">
        <f t="shared" ca="1" si="1527"/>
        <v>'0'!B49</v>
      </c>
    </row>
    <row r="5227" spans="1:16" x14ac:dyDescent="0.25">
      <c r="A5227" s="3" t="str">
        <f t="shared" ca="1" si="1509"/>
        <v/>
      </c>
      <c r="G5227" s="15">
        <f t="shared" ca="1" si="1518"/>
        <v>50</v>
      </c>
      <c r="H5227" s="15">
        <v>1</v>
      </c>
      <c r="I5227" s="15">
        <f t="shared" ca="1" si="1519"/>
        <v>0</v>
      </c>
      <c r="J5227" s="15" t="str">
        <f t="shared" ca="1" si="1526"/>
        <v>'0'!A50</v>
      </c>
      <c r="K5227" s="15" t="str">
        <f t="shared" ca="1" si="1527"/>
        <v>'0'!B50</v>
      </c>
    </row>
    <row r="5228" spans="1:16" x14ac:dyDescent="0.25">
      <c r="A5228" s="3" t="str">
        <f t="shared" ref="A5228:A5291" ca="1" si="1528">IFERROR(IF(INDIRECT(J5228)&lt;&gt;"",CONCATENATE(INDIRECT(J5228)," = ",INDIRECT(K5228)," "),""),"")</f>
        <v/>
      </c>
      <c r="G5228" s="15">
        <f t="shared" ref="G5228" ca="1" si="1529">INDIRECT(M5228)</f>
        <v>31</v>
      </c>
      <c r="H5228" s="15">
        <v>1</v>
      </c>
      <c r="I5228" s="15">
        <f t="shared" ref="I5228" ca="1" si="1530">INDIRECT(N5228)</f>
        <v>0</v>
      </c>
      <c r="J5228" s="15" t="str">
        <f t="shared" ca="1" si="1526"/>
        <v>'0'!A31</v>
      </c>
      <c r="K5228" s="15" t="str">
        <f t="shared" ca="1" si="1527"/>
        <v>'0'!B31</v>
      </c>
      <c r="M5228" s="15" t="str">
        <f t="shared" ref="M5228" si="1531">ADDRESS(O5228,3,4,1,$R$1)</f>
        <v>konfig!C263</v>
      </c>
      <c r="N5228" s="15" t="str">
        <f t="shared" ref="N5228" si="1532">ADDRESS(O5228,1,4,1,$R$1)</f>
        <v>konfig!A263</v>
      </c>
      <c r="O5228" s="15">
        <v>263</v>
      </c>
      <c r="P5228" s="15">
        <v>4</v>
      </c>
    </row>
    <row r="5229" spans="1:16" x14ac:dyDescent="0.25">
      <c r="A5229" s="3" t="str">
        <f t="shared" ca="1" si="1528"/>
        <v/>
      </c>
      <c r="G5229" s="15">
        <f t="shared" ref="G5229:G5269" ca="1" si="1533">G5228+1</f>
        <v>32</v>
      </c>
      <c r="H5229" s="15">
        <v>1</v>
      </c>
      <c r="I5229" s="15">
        <f t="shared" ref="I5229:I5269" ca="1" si="1534">I5228</f>
        <v>0</v>
      </c>
      <c r="J5229" s="15" t="str">
        <f t="shared" ca="1" si="1526"/>
        <v>'0'!A32</v>
      </c>
      <c r="K5229" s="15" t="str">
        <f t="shared" ca="1" si="1527"/>
        <v>'0'!B32</v>
      </c>
    </row>
    <row r="5230" spans="1:16" x14ac:dyDescent="0.25">
      <c r="A5230" s="3" t="str">
        <f t="shared" ca="1" si="1528"/>
        <v/>
      </c>
      <c r="G5230" s="15">
        <f t="shared" ca="1" si="1518"/>
        <v>33</v>
      </c>
      <c r="H5230" s="15">
        <v>1</v>
      </c>
      <c r="I5230" s="15">
        <f t="shared" ca="1" si="1519"/>
        <v>0</v>
      </c>
      <c r="J5230" s="15" t="str">
        <f t="shared" ca="1" si="1526"/>
        <v>'0'!A33</v>
      </c>
      <c r="K5230" s="15" t="str">
        <f t="shared" ca="1" si="1527"/>
        <v>'0'!B33</v>
      </c>
    </row>
    <row r="5231" spans="1:16" x14ac:dyDescent="0.25">
      <c r="A5231" s="3" t="str">
        <f t="shared" ca="1" si="1528"/>
        <v/>
      </c>
      <c r="C5231" s="16"/>
      <c r="G5231" s="15">
        <f t="shared" ca="1" si="1518"/>
        <v>34</v>
      </c>
      <c r="H5231" s="15">
        <v>1</v>
      </c>
      <c r="I5231" s="15">
        <f t="shared" ca="1" si="1519"/>
        <v>0</v>
      </c>
      <c r="J5231" s="15" t="str">
        <f t="shared" ca="1" si="1526"/>
        <v>'0'!A34</v>
      </c>
      <c r="K5231" s="15" t="str">
        <f t="shared" ca="1" si="1527"/>
        <v>'0'!B34</v>
      </c>
    </row>
    <row r="5232" spans="1:16" x14ac:dyDescent="0.25">
      <c r="A5232" s="3" t="str">
        <f t="shared" ca="1" si="1528"/>
        <v/>
      </c>
      <c r="G5232" s="15">
        <f t="shared" ca="1" si="1518"/>
        <v>35</v>
      </c>
      <c r="H5232" s="15">
        <v>1</v>
      </c>
      <c r="I5232" s="15">
        <f t="shared" ca="1" si="1519"/>
        <v>0</v>
      </c>
      <c r="J5232" s="15" t="str">
        <f t="shared" ca="1" si="1526"/>
        <v>'0'!A35</v>
      </c>
      <c r="K5232" s="15" t="str">
        <f t="shared" ca="1" si="1527"/>
        <v>'0'!B35</v>
      </c>
    </row>
    <row r="5233" spans="1:16" x14ac:dyDescent="0.25">
      <c r="A5233" s="3" t="str">
        <f t="shared" ca="1" si="1528"/>
        <v/>
      </c>
      <c r="G5233" s="15">
        <f t="shared" ca="1" si="1518"/>
        <v>36</v>
      </c>
      <c r="H5233" s="15">
        <v>1</v>
      </c>
      <c r="I5233" s="15">
        <f t="shared" ca="1" si="1519"/>
        <v>0</v>
      </c>
      <c r="J5233" s="15" t="str">
        <f t="shared" ca="1" si="1526"/>
        <v>'0'!A36</v>
      </c>
      <c r="K5233" s="15" t="str">
        <f t="shared" ca="1" si="1527"/>
        <v>'0'!B36</v>
      </c>
    </row>
    <row r="5234" spans="1:16" x14ac:dyDescent="0.25">
      <c r="A5234" s="3" t="str">
        <f t="shared" ca="1" si="1528"/>
        <v/>
      </c>
      <c r="G5234" s="15">
        <f t="shared" ca="1" si="1518"/>
        <v>37</v>
      </c>
      <c r="H5234" s="15">
        <v>1</v>
      </c>
      <c r="I5234" s="15">
        <f t="shared" ca="1" si="1519"/>
        <v>0</v>
      </c>
      <c r="J5234" s="15" t="str">
        <f t="shared" ca="1" si="1526"/>
        <v>'0'!A37</v>
      </c>
      <c r="K5234" s="15" t="str">
        <f t="shared" ca="1" si="1527"/>
        <v>'0'!B37</v>
      </c>
    </row>
    <row r="5235" spans="1:16" x14ac:dyDescent="0.25">
      <c r="A5235" s="3" t="str">
        <f t="shared" ca="1" si="1528"/>
        <v/>
      </c>
      <c r="G5235" s="15">
        <f t="shared" ca="1" si="1518"/>
        <v>38</v>
      </c>
      <c r="H5235" s="15">
        <v>1</v>
      </c>
      <c r="I5235" s="15">
        <f t="shared" ca="1" si="1519"/>
        <v>0</v>
      </c>
      <c r="J5235" s="15" t="str">
        <f t="shared" ca="1" si="1526"/>
        <v>'0'!A38</v>
      </c>
      <c r="K5235" s="15" t="str">
        <f t="shared" ca="1" si="1527"/>
        <v>'0'!B38</v>
      </c>
    </row>
    <row r="5236" spans="1:16" x14ac:dyDescent="0.25">
      <c r="A5236" s="3" t="str">
        <f t="shared" ca="1" si="1528"/>
        <v/>
      </c>
      <c r="G5236" s="15">
        <f t="shared" ca="1" si="1518"/>
        <v>39</v>
      </c>
      <c r="H5236" s="15">
        <v>1</v>
      </c>
      <c r="I5236" s="15">
        <f t="shared" ca="1" si="1519"/>
        <v>0</v>
      </c>
      <c r="J5236" s="15" t="str">
        <f t="shared" ca="1" si="1526"/>
        <v>'0'!A39</v>
      </c>
      <c r="K5236" s="15" t="str">
        <f t="shared" ca="1" si="1527"/>
        <v>'0'!B39</v>
      </c>
    </row>
    <row r="5237" spans="1:16" x14ac:dyDescent="0.25">
      <c r="A5237" s="3" t="str">
        <f t="shared" ca="1" si="1528"/>
        <v/>
      </c>
      <c r="G5237" s="15">
        <f t="shared" ca="1" si="1518"/>
        <v>40</v>
      </c>
      <c r="H5237" s="15">
        <v>1</v>
      </c>
      <c r="I5237" s="15">
        <f t="shared" ca="1" si="1519"/>
        <v>0</v>
      </c>
      <c r="J5237" s="15" t="str">
        <f t="shared" ca="1" si="1526"/>
        <v>'0'!A40</v>
      </c>
      <c r="K5237" s="15" t="str">
        <f t="shared" ca="1" si="1527"/>
        <v>'0'!B40</v>
      </c>
    </row>
    <row r="5238" spans="1:16" x14ac:dyDescent="0.25">
      <c r="A5238" s="3" t="str">
        <f t="shared" ca="1" si="1528"/>
        <v/>
      </c>
      <c r="G5238" s="15">
        <f t="shared" ca="1" si="1518"/>
        <v>41</v>
      </c>
      <c r="H5238" s="15">
        <v>1</v>
      </c>
      <c r="I5238" s="15">
        <f t="shared" ca="1" si="1519"/>
        <v>0</v>
      </c>
      <c r="J5238" s="15" t="str">
        <f t="shared" ca="1" si="1526"/>
        <v>'0'!A41</v>
      </c>
      <c r="K5238" s="15" t="str">
        <f t="shared" ca="1" si="1527"/>
        <v>'0'!B41</v>
      </c>
    </row>
    <row r="5239" spans="1:16" x14ac:dyDescent="0.25">
      <c r="A5239" s="3" t="str">
        <f t="shared" ca="1" si="1528"/>
        <v/>
      </c>
      <c r="C5239" s="16"/>
      <c r="G5239" s="15">
        <f t="shared" ca="1" si="1518"/>
        <v>42</v>
      </c>
      <c r="H5239" s="15">
        <v>1</v>
      </c>
      <c r="I5239" s="15">
        <f t="shared" ca="1" si="1519"/>
        <v>0</v>
      </c>
      <c r="J5239" s="15" t="str">
        <f t="shared" ca="1" si="1526"/>
        <v>'0'!A42</v>
      </c>
      <c r="K5239" s="15" t="str">
        <f t="shared" ca="1" si="1527"/>
        <v>'0'!B42</v>
      </c>
    </row>
    <row r="5240" spans="1:16" x14ac:dyDescent="0.25">
      <c r="A5240" s="3" t="str">
        <f t="shared" ca="1" si="1528"/>
        <v/>
      </c>
      <c r="G5240" s="15">
        <f t="shared" ca="1" si="1518"/>
        <v>43</v>
      </c>
      <c r="H5240" s="15">
        <v>1</v>
      </c>
      <c r="I5240" s="15">
        <f t="shared" ca="1" si="1519"/>
        <v>0</v>
      </c>
      <c r="J5240" s="15" t="str">
        <f t="shared" ca="1" si="1526"/>
        <v>'0'!A43</v>
      </c>
      <c r="K5240" s="15" t="str">
        <f t="shared" ca="1" si="1527"/>
        <v>'0'!B43</v>
      </c>
    </row>
    <row r="5241" spans="1:16" x14ac:dyDescent="0.25">
      <c r="A5241" s="3" t="str">
        <f t="shared" ca="1" si="1528"/>
        <v/>
      </c>
      <c r="G5241" s="15">
        <f t="shared" ca="1" si="1518"/>
        <v>44</v>
      </c>
      <c r="H5241" s="15">
        <v>1</v>
      </c>
      <c r="I5241" s="15">
        <f t="shared" ca="1" si="1519"/>
        <v>0</v>
      </c>
      <c r="J5241" s="15" t="str">
        <f t="shared" ca="1" si="1526"/>
        <v>'0'!A44</v>
      </c>
      <c r="K5241" s="15" t="str">
        <f t="shared" ca="1" si="1527"/>
        <v>'0'!B44</v>
      </c>
    </row>
    <row r="5242" spans="1:16" x14ac:dyDescent="0.25">
      <c r="A5242" s="3" t="str">
        <f t="shared" ca="1" si="1528"/>
        <v/>
      </c>
      <c r="G5242" s="15">
        <f t="shared" ca="1" si="1518"/>
        <v>45</v>
      </c>
      <c r="H5242" s="15">
        <v>1</v>
      </c>
      <c r="I5242" s="15">
        <f t="shared" ca="1" si="1519"/>
        <v>0</v>
      </c>
      <c r="J5242" s="15" t="str">
        <f t="shared" ca="1" si="1526"/>
        <v>'0'!A45</v>
      </c>
      <c r="K5242" s="15" t="str">
        <f t="shared" ca="1" si="1527"/>
        <v>'0'!B45</v>
      </c>
    </row>
    <row r="5243" spans="1:16" x14ac:dyDescent="0.25">
      <c r="A5243" s="3" t="str">
        <f t="shared" ca="1" si="1528"/>
        <v/>
      </c>
      <c r="G5243" s="15">
        <f t="shared" ca="1" si="1518"/>
        <v>46</v>
      </c>
      <c r="H5243" s="15">
        <v>1</v>
      </c>
      <c r="I5243" s="15">
        <f t="shared" ca="1" si="1519"/>
        <v>0</v>
      </c>
      <c r="J5243" s="15" t="str">
        <f t="shared" ca="1" si="1526"/>
        <v>'0'!A46</v>
      </c>
      <c r="K5243" s="15" t="str">
        <f t="shared" ca="1" si="1527"/>
        <v>'0'!B46</v>
      </c>
    </row>
    <row r="5244" spans="1:16" x14ac:dyDescent="0.25">
      <c r="A5244" s="3" t="str">
        <f t="shared" ca="1" si="1528"/>
        <v/>
      </c>
      <c r="G5244" s="15">
        <f t="shared" ca="1" si="1518"/>
        <v>47</v>
      </c>
      <c r="H5244" s="15">
        <v>1</v>
      </c>
      <c r="I5244" s="15">
        <f t="shared" ca="1" si="1519"/>
        <v>0</v>
      </c>
      <c r="J5244" s="15" t="str">
        <f t="shared" ca="1" si="1526"/>
        <v>'0'!A47</v>
      </c>
      <c r="K5244" s="15" t="str">
        <f t="shared" ca="1" si="1527"/>
        <v>'0'!B47</v>
      </c>
    </row>
    <row r="5245" spans="1:16" x14ac:dyDescent="0.25">
      <c r="A5245" s="3" t="str">
        <f t="shared" ca="1" si="1528"/>
        <v/>
      </c>
      <c r="G5245" s="15">
        <f t="shared" ca="1" si="1518"/>
        <v>48</v>
      </c>
      <c r="H5245" s="15">
        <v>1</v>
      </c>
      <c r="I5245" s="15">
        <f t="shared" ca="1" si="1519"/>
        <v>0</v>
      </c>
      <c r="J5245" s="15" t="str">
        <f t="shared" ca="1" si="1526"/>
        <v>'0'!A48</v>
      </c>
      <c r="K5245" s="15" t="str">
        <f t="shared" ca="1" si="1527"/>
        <v>'0'!B48</v>
      </c>
    </row>
    <row r="5246" spans="1:16" x14ac:dyDescent="0.25">
      <c r="A5246" s="3" t="str">
        <f t="shared" ca="1" si="1528"/>
        <v/>
      </c>
      <c r="G5246" s="15">
        <f t="shared" ca="1" si="1518"/>
        <v>49</v>
      </c>
      <c r="H5246" s="15">
        <v>1</v>
      </c>
      <c r="I5246" s="15">
        <f t="shared" ca="1" si="1519"/>
        <v>0</v>
      </c>
      <c r="J5246" s="15" t="str">
        <f t="shared" ca="1" si="1526"/>
        <v>'0'!A49</v>
      </c>
      <c r="K5246" s="15" t="str">
        <f t="shared" ca="1" si="1527"/>
        <v>'0'!B49</v>
      </c>
    </row>
    <row r="5247" spans="1:16" x14ac:dyDescent="0.25">
      <c r="A5247" s="3" t="str">
        <f t="shared" ca="1" si="1528"/>
        <v/>
      </c>
      <c r="G5247" s="15">
        <f t="shared" ca="1" si="1518"/>
        <v>50</v>
      </c>
      <c r="H5247" s="15">
        <v>1</v>
      </c>
      <c r="I5247" s="15">
        <f t="shared" ca="1" si="1519"/>
        <v>0</v>
      </c>
      <c r="J5247" s="15" t="str">
        <f t="shared" ca="1" si="1526"/>
        <v>'0'!A50</v>
      </c>
      <c r="K5247" s="15" t="str">
        <f t="shared" ca="1" si="1527"/>
        <v>'0'!B50</v>
      </c>
    </row>
    <row r="5248" spans="1:16" x14ac:dyDescent="0.25">
      <c r="A5248" s="3" t="str">
        <f t="shared" ca="1" si="1528"/>
        <v/>
      </c>
      <c r="G5248" s="15">
        <f t="shared" ref="G5248" ca="1" si="1535">INDIRECT(M5248)</f>
        <v>31</v>
      </c>
      <c r="H5248" s="15">
        <v>1</v>
      </c>
      <c r="I5248" s="15">
        <f t="shared" ref="I5248" ca="1" si="1536">INDIRECT(N5248)</f>
        <v>0</v>
      </c>
      <c r="J5248" s="15" t="str">
        <f t="shared" ca="1" si="1526"/>
        <v>'0'!A31</v>
      </c>
      <c r="K5248" s="15" t="str">
        <f t="shared" ca="1" si="1527"/>
        <v>'0'!B31</v>
      </c>
      <c r="M5248" s="15" t="str">
        <f t="shared" ref="M5248" si="1537">ADDRESS(O5248,3,4,1,$R$1)</f>
        <v>konfig!C264</v>
      </c>
      <c r="N5248" s="15" t="str">
        <f t="shared" ref="N5248" si="1538">ADDRESS(O5248,1,4,1,$R$1)</f>
        <v>konfig!A264</v>
      </c>
      <c r="O5248" s="15">
        <v>264</v>
      </c>
      <c r="P5248" s="15">
        <v>4</v>
      </c>
    </row>
    <row r="5249" spans="1:11" x14ac:dyDescent="0.25">
      <c r="A5249" s="3" t="str">
        <f t="shared" ca="1" si="1528"/>
        <v/>
      </c>
      <c r="G5249" s="15">
        <f t="shared" ca="1" si="1524"/>
        <v>32</v>
      </c>
      <c r="H5249" s="15">
        <v>1</v>
      </c>
      <c r="I5249" s="15">
        <f t="shared" ca="1" si="1525"/>
        <v>0</v>
      </c>
      <c r="J5249" s="15" t="str">
        <f t="shared" ca="1" si="1526"/>
        <v>'0'!A32</v>
      </c>
      <c r="K5249" s="15" t="str">
        <f t="shared" ca="1" si="1527"/>
        <v>'0'!B32</v>
      </c>
    </row>
    <row r="5250" spans="1:11" x14ac:dyDescent="0.25">
      <c r="A5250" s="3" t="str">
        <f t="shared" ca="1" si="1528"/>
        <v/>
      </c>
      <c r="G5250" s="15">
        <f t="shared" ca="1" si="1524"/>
        <v>33</v>
      </c>
      <c r="H5250" s="15">
        <v>1</v>
      </c>
      <c r="I5250" s="15">
        <f t="shared" ca="1" si="1525"/>
        <v>0</v>
      </c>
      <c r="J5250" s="15" t="str">
        <f t="shared" ca="1" si="1526"/>
        <v>'0'!A33</v>
      </c>
      <c r="K5250" s="15" t="str">
        <f t="shared" ca="1" si="1527"/>
        <v>'0'!B33</v>
      </c>
    </row>
    <row r="5251" spans="1:11" x14ac:dyDescent="0.25">
      <c r="A5251" s="3" t="str">
        <f t="shared" ca="1" si="1528"/>
        <v/>
      </c>
      <c r="C5251" s="16"/>
      <c r="G5251" s="15">
        <f t="shared" ca="1" si="1524"/>
        <v>34</v>
      </c>
      <c r="H5251" s="15">
        <v>1</v>
      </c>
      <c r="I5251" s="15">
        <f t="shared" ca="1" si="1525"/>
        <v>0</v>
      </c>
      <c r="J5251" s="15" t="str">
        <f t="shared" ca="1" si="1526"/>
        <v>'0'!A34</v>
      </c>
      <c r="K5251" s="15" t="str">
        <f t="shared" ca="1" si="1527"/>
        <v>'0'!B34</v>
      </c>
    </row>
    <row r="5252" spans="1:11" x14ac:dyDescent="0.25">
      <c r="A5252" s="3" t="str">
        <f t="shared" ca="1" si="1528"/>
        <v/>
      </c>
      <c r="G5252" s="15">
        <f t="shared" ca="1" si="1524"/>
        <v>35</v>
      </c>
      <c r="H5252" s="15">
        <v>1</v>
      </c>
      <c r="I5252" s="15">
        <f t="shared" ca="1" si="1525"/>
        <v>0</v>
      </c>
      <c r="J5252" s="15" t="str">
        <f t="shared" ca="1" si="1526"/>
        <v>'0'!A35</v>
      </c>
      <c r="K5252" s="15" t="str">
        <f t="shared" ca="1" si="1527"/>
        <v>'0'!B35</v>
      </c>
    </row>
    <row r="5253" spans="1:11" x14ac:dyDescent="0.25">
      <c r="A5253" s="3" t="str">
        <f t="shared" ca="1" si="1528"/>
        <v/>
      </c>
      <c r="G5253" s="15">
        <f t="shared" ca="1" si="1518"/>
        <v>36</v>
      </c>
      <c r="H5253" s="15">
        <v>1</v>
      </c>
      <c r="I5253" s="15">
        <f t="shared" ca="1" si="1519"/>
        <v>0</v>
      </c>
      <c r="J5253" s="15" t="str">
        <f t="shared" ca="1" si="1526"/>
        <v>'0'!A36</v>
      </c>
      <c r="K5253" s="15" t="str">
        <f t="shared" ca="1" si="1527"/>
        <v>'0'!B36</v>
      </c>
    </row>
    <row r="5254" spans="1:11" x14ac:dyDescent="0.25">
      <c r="A5254" s="3" t="str">
        <f t="shared" ca="1" si="1528"/>
        <v/>
      </c>
      <c r="G5254" s="15">
        <f t="shared" ca="1" si="1518"/>
        <v>37</v>
      </c>
      <c r="H5254" s="15">
        <v>1</v>
      </c>
      <c r="I5254" s="15">
        <f t="shared" ca="1" si="1519"/>
        <v>0</v>
      </c>
      <c r="J5254" s="15" t="str">
        <f t="shared" ca="1" si="1526"/>
        <v>'0'!A37</v>
      </c>
      <c r="K5254" s="15" t="str">
        <f t="shared" ca="1" si="1527"/>
        <v>'0'!B37</v>
      </c>
    </row>
    <row r="5255" spans="1:11" x14ac:dyDescent="0.25">
      <c r="A5255" s="3" t="str">
        <f t="shared" ca="1" si="1528"/>
        <v/>
      </c>
      <c r="G5255" s="15">
        <f t="shared" ca="1" si="1518"/>
        <v>38</v>
      </c>
      <c r="H5255" s="15">
        <v>1</v>
      </c>
      <c r="I5255" s="15">
        <f t="shared" ca="1" si="1519"/>
        <v>0</v>
      </c>
      <c r="J5255" s="15" t="str">
        <f t="shared" ca="1" si="1526"/>
        <v>'0'!A38</v>
      </c>
      <c r="K5255" s="15" t="str">
        <f t="shared" ca="1" si="1527"/>
        <v>'0'!B38</v>
      </c>
    </row>
    <row r="5256" spans="1:11" x14ac:dyDescent="0.25">
      <c r="A5256" s="3" t="str">
        <f t="shared" ca="1" si="1528"/>
        <v/>
      </c>
      <c r="G5256" s="15">
        <f t="shared" ca="1" si="1518"/>
        <v>39</v>
      </c>
      <c r="H5256" s="15">
        <v>1</v>
      </c>
      <c r="I5256" s="15">
        <f t="shared" ca="1" si="1519"/>
        <v>0</v>
      </c>
      <c r="J5256" s="15" t="str">
        <f t="shared" ca="1" si="1526"/>
        <v>'0'!A39</v>
      </c>
      <c r="K5256" s="15" t="str">
        <f t="shared" ca="1" si="1527"/>
        <v>'0'!B39</v>
      </c>
    </row>
    <row r="5257" spans="1:11" x14ac:dyDescent="0.25">
      <c r="A5257" s="3" t="str">
        <f t="shared" ca="1" si="1528"/>
        <v/>
      </c>
      <c r="G5257" s="15">
        <f t="shared" ref="G5257:G5320" ca="1" si="1539">G5256+1</f>
        <v>40</v>
      </c>
      <c r="H5257" s="15">
        <v>1</v>
      </c>
      <c r="I5257" s="15">
        <f t="shared" ref="I5257:I5320" ca="1" si="1540">I5256</f>
        <v>0</v>
      </c>
      <c r="J5257" s="15" t="str">
        <f t="shared" ca="1" si="1526"/>
        <v>'0'!A40</v>
      </c>
      <c r="K5257" s="15" t="str">
        <f t="shared" ca="1" si="1527"/>
        <v>'0'!B40</v>
      </c>
    </row>
    <row r="5258" spans="1:11" x14ac:dyDescent="0.25">
      <c r="A5258" s="3" t="str">
        <f t="shared" ca="1" si="1528"/>
        <v/>
      </c>
      <c r="G5258" s="15">
        <f t="shared" ca="1" si="1539"/>
        <v>41</v>
      </c>
      <c r="H5258" s="15">
        <v>1</v>
      </c>
      <c r="I5258" s="15">
        <f t="shared" ca="1" si="1540"/>
        <v>0</v>
      </c>
      <c r="J5258" s="15" t="str">
        <f t="shared" ca="1" si="1526"/>
        <v>'0'!A41</v>
      </c>
      <c r="K5258" s="15" t="str">
        <f t="shared" ca="1" si="1527"/>
        <v>'0'!B41</v>
      </c>
    </row>
    <row r="5259" spans="1:11" x14ac:dyDescent="0.25">
      <c r="A5259" s="3" t="str">
        <f t="shared" ca="1" si="1528"/>
        <v/>
      </c>
      <c r="C5259" s="16"/>
      <c r="G5259" s="15">
        <f t="shared" ca="1" si="1539"/>
        <v>42</v>
      </c>
      <c r="H5259" s="15">
        <v>1</v>
      </c>
      <c r="I5259" s="15">
        <f t="shared" ca="1" si="1540"/>
        <v>0</v>
      </c>
      <c r="J5259" s="15" t="str">
        <f t="shared" ca="1" si="1526"/>
        <v>'0'!A42</v>
      </c>
      <c r="K5259" s="15" t="str">
        <f t="shared" ca="1" si="1527"/>
        <v>'0'!B42</v>
      </c>
    </row>
    <row r="5260" spans="1:11" x14ac:dyDescent="0.25">
      <c r="A5260" s="3" t="str">
        <f t="shared" ca="1" si="1528"/>
        <v/>
      </c>
      <c r="G5260" s="15">
        <f t="shared" ca="1" si="1539"/>
        <v>43</v>
      </c>
      <c r="H5260" s="15">
        <v>1</v>
      </c>
      <c r="I5260" s="15">
        <f t="shared" ca="1" si="1540"/>
        <v>0</v>
      </c>
      <c r="J5260" s="15" t="str">
        <f t="shared" ca="1" si="1526"/>
        <v>'0'!A43</v>
      </c>
      <c r="K5260" s="15" t="str">
        <f t="shared" ca="1" si="1527"/>
        <v>'0'!B43</v>
      </c>
    </row>
    <row r="5261" spans="1:11" x14ac:dyDescent="0.25">
      <c r="A5261" s="3" t="str">
        <f t="shared" ca="1" si="1528"/>
        <v/>
      </c>
      <c r="G5261" s="15">
        <f t="shared" ca="1" si="1539"/>
        <v>44</v>
      </c>
      <c r="H5261" s="15">
        <v>1</v>
      </c>
      <c r="I5261" s="15">
        <f t="shared" ca="1" si="1540"/>
        <v>0</v>
      </c>
      <c r="J5261" s="15" t="str">
        <f t="shared" ca="1" si="1526"/>
        <v>'0'!A44</v>
      </c>
      <c r="K5261" s="15" t="str">
        <f t="shared" ca="1" si="1527"/>
        <v>'0'!B44</v>
      </c>
    </row>
    <row r="5262" spans="1:11" x14ac:dyDescent="0.25">
      <c r="A5262" s="3" t="str">
        <f t="shared" ca="1" si="1528"/>
        <v/>
      </c>
      <c r="G5262" s="15">
        <f t="shared" ca="1" si="1539"/>
        <v>45</v>
      </c>
      <c r="H5262" s="15">
        <v>1</v>
      </c>
      <c r="I5262" s="15">
        <f t="shared" ca="1" si="1540"/>
        <v>0</v>
      </c>
      <c r="J5262" s="15" t="str">
        <f t="shared" ca="1" si="1526"/>
        <v>'0'!A45</v>
      </c>
      <c r="K5262" s="15" t="str">
        <f t="shared" ca="1" si="1527"/>
        <v>'0'!B45</v>
      </c>
    </row>
    <row r="5263" spans="1:11" x14ac:dyDescent="0.25">
      <c r="A5263" s="3" t="str">
        <f t="shared" ca="1" si="1528"/>
        <v/>
      </c>
      <c r="G5263" s="15">
        <f t="shared" ca="1" si="1539"/>
        <v>46</v>
      </c>
      <c r="H5263" s="15">
        <v>1</v>
      </c>
      <c r="I5263" s="15">
        <f t="shared" ca="1" si="1540"/>
        <v>0</v>
      </c>
      <c r="J5263" s="15" t="str">
        <f t="shared" ca="1" si="1526"/>
        <v>'0'!A46</v>
      </c>
      <c r="K5263" s="15" t="str">
        <f t="shared" ca="1" si="1527"/>
        <v>'0'!B46</v>
      </c>
    </row>
    <row r="5264" spans="1:11" x14ac:dyDescent="0.25">
      <c r="A5264" s="3" t="str">
        <f t="shared" ca="1" si="1528"/>
        <v/>
      </c>
      <c r="G5264" s="15">
        <f t="shared" ca="1" si="1539"/>
        <v>47</v>
      </c>
      <c r="H5264" s="15">
        <v>1</v>
      </c>
      <c r="I5264" s="15">
        <f t="shared" ca="1" si="1540"/>
        <v>0</v>
      </c>
      <c r="J5264" s="15" t="str">
        <f t="shared" ca="1" si="1526"/>
        <v>'0'!A47</v>
      </c>
      <c r="K5264" s="15" t="str">
        <f t="shared" ca="1" si="1527"/>
        <v>'0'!B47</v>
      </c>
    </row>
    <row r="5265" spans="1:16" x14ac:dyDescent="0.25">
      <c r="A5265" s="3" t="str">
        <f t="shared" ca="1" si="1528"/>
        <v/>
      </c>
      <c r="G5265" s="15">
        <f t="shared" ca="1" si="1539"/>
        <v>48</v>
      </c>
      <c r="H5265" s="15">
        <v>1</v>
      </c>
      <c r="I5265" s="15">
        <f t="shared" ca="1" si="1540"/>
        <v>0</v>
      </c>
      <c r="J5265" s="15" t="str">
        <f t="shared" ca="1" si="1526"/>
        <v>'0'!A48</v>
      </c>
      <c r="K5265" s="15" t="str">
        <f t="shared" ca="1" si="1527"/>
        <v>'0'!B48</v>
      </c>
    </row>
    <row r="5266" spans="1:16" x14ac:dyDescent="0.25">
      <c r="A5266" s="3" t="str">
        <f t="shared" ca="1" si="1528"/>
        <v/>
      </c>
      <c r="G5266" s="15">
        <f t="shared" ca="1" si="1539"/>
        <v>49</v>
      </c>
      <c r="H5266" s="15">
        <v>1</v>
      </c>
      <c r="I5266" s="15">
        <f t="shared" ca="1" si="1540"/>
        <v>0</v>
      </c>
      <c r="J5266" s="15" t="str">
        <f t="shared" ca="1" si="1526"/>
        <v>'0'!A49</v>
      </c>
      <c r="K5266" s="15" t="str">
        <f t="shared" ca="1" si="1527"/>
        <v>'0'!B49</v>
      </c>
    </row>
    <row r="5267" spans="1:16" x14ac:dyDescent="0.25">
      <c r="A5267" s="3" t="str">
        <f t="shared" ca="1" si="1528"/>
        <v/>
      </c>
      <c r="G5267" s="15">
        <f t="shared" ca="1" si="1539"/>
        <v>50</v>
      </c>
      <c r="H5267" s="15">
        <v>1</v>
      </c>
      <c r="I5267" s="15">
        <f t="shared" ca="1" si="1540"/>
        <v>0</v>
      </c>
      <c r="J5267" s="15" t="str">
        <f t="shared" ca="1" si="1526"/>
        <v>'0'!A50</v>
      </c>
      <c r="K5267" s="15" t="str">
        <f t="shared" ca="1" si="1527"/>
        <v>'0'!B50</v>
      </c>
    </row>
    <row r="5268" spans="1:16" x14ac:dyDescent="0.25">
      <c r="A5268" s="3" t="str">
        <f t="shared" ca="1" si="1528"/>
        <v/>
      </c>
      <c r="G5268" s="15">
        <f t="shared" ref="G5268" ca="1" si="1541">INDIRECT(M5268)</f>
        <v>31</v>
      </c>
      <c r="H5268" s="15">
        <v>1</v>
      </c>
      <c r="I5268" s="15">
        <f t="shared" ref="I5268" ca="1" si="1542">INDIRECT(N5268)</f>
        <v>0</v>
      </c>
      <c r="J5268" s="15" t="str">
        <f t="shared" ca="1" si="1526"/>
        <v>'0'!A31</v>
      </c>
      <c r="K5268" s="15" t="str">
        <f t="shared" ca="1" si="1527"/>
        <v>'0'!B31</v>
      </c>
      <c r="M5268" s="15" t="str">
        <f t="shared" ref="M5268" si="1543">ADDRESS(O5268,3,4,1,$R$1)</f>
        <v>konfig!C265</v>
      </c>
      <c r="N5268" s="15" t="str">
        <f t="shared" ref="N5268" si="1544">ADDRESS(O5268,1,4,1,$R$1)</f>
        <v>konfig!A265</v>
      </c>
      <c r="O5268" s="15">
        <v>265</v>
      </c>
      <c r="P5268" s="15">
        <v>4</v>
      </c>
    </row>
    <row r="5269" spans="1:16" x14ac:dyDescent="0.25">
      <c r="A5269" s="3" t="str">
        <f t="shared" ca="1" si="1528"/>
        <v/>
      </c>
      <c r="G5269" s="15">
        <f t="shared" ca="1" si="1533"/>
        <v>32</v>
      </c>
      <c r="H5269" s="15">
        <v>1</v>
      </c>
      <c r="I5269" s="15">
        <f t="shared" ca="1" si="1534"/>
        <v>0</v>
      </c>
      <c r="J5269" s="15" t="str">
        <f t="shared" ca="1" si="1526"/>
        <v>'0'!A32</v>
      </c>
      <c r="K5269" s="15" t="str">
        <f t="shared" ca="1" si="1527"/>
        <v>'0'!B32</v>
      </c>
    </row>
    <row r="5270" spans="1:16" x14ac:dyDescent="0.25">
      <c r="A5270" s="3" t="str">
        <f t="shared" ca="1" si="1528"/>
        <v/>
      </c>
      <c r="G5270" s="15">
        <f t="shared" ca="1" si="1539"/>
        <v>33</v>
      </c>
      <c r="H5270" s="15">
        <v>1</v>
      </c>
      <c r="I5270" s="15">
        <f t="shared" ca="1" si="1540"/>
        <v>0</v>
      </c>
      <c r="J5270" s="15" t="str">
        <f t="shared" ca="1" si="1526"/>
        <v>'0'!A33</v>
      </c>
      <c r="K5270" s="15" t="str">
        <f t="shared" ca="1" si="1527"/>
        <v>'0'!B33</v>
      </c>
    </row>
    <row r="5271" spans="1:16" x14ac:dyDescent="0.25">
      <c r="A5271" s="3" t="str">
        <f t="shared" ca="1" si="1528"/>
        <v/>
      </c>
      <c r="C5271" s="16"/>
      <c r="G5271" s="15">
        <f t="shared" ca="1" si="1539"/>
        <v>34</v>
      </c>
      <c r="H5271" s="15">
        <v>1</v>
      </c>
      <c r="I5271" s="15">
        <f t="shared" ca="1" si="1540"/>
        <v>0</v>
      </c>
      <c r="J5271" s="15" t="str">
        <f t="shared" ca="1" si="1526"/>
        <v>'0'!A34</v>
      </c>
      <c r="K5271" s="15" t="str">
        <f t="shared" ca="1" si="1527"/>
        <v>'0'!B34</v>
      </c>
    </row>
    <row r="5272" spans="1:16" x14ac:dyDescent="0.25">
      <c r="A5272" s="3" t="str">
        <f t="shared" ca="1" si="1528"/>
        <v/>
      </c>
      <c r="G5272" s="15">
        <f t="shared" ca="1" si="1539"/>
        <v>35</v>
      </c>
      <c r="H5272" s="15">
        <v>1</v>
      </c>
      <c r="I5272" s="15">
        <f t="shared" ca="1" si="1540"/>
        <v>0</v>
      </c>
      <c r="J5272" s="15" t="str">
        <f t="shared" ca="1" si="1526"/>
        <v>'0'!A35</v>
      </c>
      <c r="K5272" s="15" t="str">
        <f t="shared" ca="1" si="1527"/>
        <v>'0'!B35</v>
      </c>
    </row>
    <row r="5273" spans="1:16" x14ac:dyDescent="0.25">
      <c r="A5273" s="3" t="str">
        <f t="shared" ca="1" si="1528"/>
        <v/>
      </c>
      <c r="G5273" s="15">
        <f t="shared" ca="1" si="1539"/>
        <v>36</v>
      </c>
      <c r="H5273" s="15">
        <v>1</v>
      </c>
      <c r="I5273" s="15">
        <f t="shared" ca="1" si="1540"/>
        <v>0</v>
      </c>
      <c r="J5273" s="15" t="str">
        <f t="shared" ca="1" si="1526"/>
        <v>'0'!A36</v>
      </c>
      <c r="K5273" s="15" t="str">
        <f t="shared" ca="1" si="1527"/>
        <v>'0'!B36</v>
      </c>
    </row>
    <row r="5274" spans="1:16" x14ac:dyDescent="0.25">
      <c r="A5274" s="3" t="str">
        <f t="shared" ca="1" si="1528"/>
        <v/>
      </c>
      <c r="G5274" s="15">
        <f t="shared" ca="1" si="1539"/>
        <v>37</v>
      </c>
      <c r="H5274" s="15">
        <v>1</v>
      </c>
      <c r="I5274" s="15">
        <f t="shared" ca="1" si="1540"/>
        <v>0</v>
      </c>
      <c r="J5274" s="15" t="str">
        <f t="shared" ca="1" si="1526"/>
        <v>'0'!A37</v>
      </c>
      <c r="K5274" s="15" t="str">
        <f t="shared" ca="1" si="1527"/>
        <v>'0'!B37</v>
      </c>
    </row>
    <row r="5275" spans="1:16" x14ac:dyDescent="0.25">
      <c r="A5275" s="3" t="str">
        <f t="shared" ca="1" si="1528"/>
        <v/>
      </c>
      <c r="G5275" s="15">
        <f t="shared" ca="1" si="1539"/>
        <v>38</v>
      </c>
      <c r="H5275" s="15">
        <v>1</v>
      </c>
      <c r="I5275" s="15">
        <f t="shared" ca="1" si="1540"/>
        <v>0</v>
      </c>
      <c r="J5275" s="15" t="str">
        <f t="shared" ca="1" si="1526"/>
        <v>'0'!A38</v>
      </c>
      <c r="K5275" s="15" t="str">
        <f t="shared" ca="1" si="1527"/>
        <v>'0'!B38</v>
      </c>
    </row>
    <row r="5276" spans="1:16" x14ac:dyDescent="0.25">
      <c r="A5276" s="3" t="str">
        <f t="shared" ca="1" si="1528"/>
        <v/>
      </c>
      <c r="G5276" s="15">
        <f t="shared" ca="1" si="1539"/>
        <v>39</v>
      </c>
      <c r="H5276" s="15">
        <v>1</v>
      </c>
      <c r="I5276" s="15">
        <f t="shared" ca="1" si="1540"/>
        <v>0</v>
      </c>
      <c r="J5276" s="15" t="str">
        <f t="shared" ca="1" si="1526"/>
        <v>'0'!A39</v>
      </c>
      <c r="K5276" s="15" t="str">
        <f t="shared" ca="1" si="1527"/>
        <v>'0'!B39</v>
      </c>
    </row>
    <row r="5277" spans="1:16" x14ac:dyDescent="0.25">
      <c r="A5277" s="3" t="str">
        <f t="shared" ca="1" si="1528"/>
        <v/>
      </c>
      <c r="G5277" s="15">
        <f t="shared" ca="1" si="1539"/>
        <v>40</v>
      </c>
      <c r="H5277" s="15">
        <v>1</v>
      </c>
      <c r="I5277" s="15">
        <f t="shared" ca="1" si="1540"/>
        <v>0</v>
      </c>
      <c r="J5277" s="15" t="str">
        <f t="shared" ca="1" si="1526"/>
        <v>'0'!A40</v>
      </c>
      <c r="K5277" s="15" t="str">
        <f t="shared" ca="1" si="1527"/>
        <v>'0'!B40</v>
      </c>
    </row>
    <row r="5278" spans="1:16" x14ac:dyDescent="0.25">
      <c r="A5278" s="3" t="str">
        <f t="shared" ca="1" si="1528"/>
        <v/>
      </c>
      <c r="G5278" s="15">
        <f t="shared" ca="1" si="1539"/>
        <v>41</v>
      </c>
      <c r="H5278" s="15">
        <v>1</v>
      </c>
      <c r="I5278" s="15">
        <f t="shared" ca="1" si="1540"/>
        <v>0</v>
      </c>
      <c r="J5278" s="15" t="str">
        <f t="shared" ca="1" si="1526"/>
        <v>'0'!A41</v>
      </c>
      <c r="K5278" s="15" t="str">
        <f t="shared" ca="1" si="1527"/>
        <v>'0'!B41</v>
      </c>
    </row>
    <row r="5279" spans="1:16" x14ac:dyDescent="0.25">
      <c r="A5279" s="3" t="str">
        <f t="shared" ca="1" si="1528"/>
        <v/>
      </c>
      <c r="C5279" s="16"/>
      <c r="G5279" s="15">
        <f t="shared" ca="1" si="1539"/>
        <v>42</v>
      </c>
      <c r="H5279" s="15">
        <v>1</v>
      </c>
      <c r="I5279" s="15">
        <f t="shared" ca="1" si="1540"/>
        <v>0</v>
      </c>
      <c r="J5279" s="15" t="str">
        <f t="shared" ca="1" si="1526"/>
        <v>'0'!A42</v>
      </c>
      <c r="K5279" s="15" t="str">
        <f t="shared" ca="1" si="1527"/>
        <v>'0'!B42</v>
      </c>
    </row>
    <row r="5280" spans="1:16" x14ac:dyDescent="0.25">
      <c r="A5280" s="3" t="str">
        <f t="shared" ca="1" si="1528"/>
        <v/>
      </c>
      <c r="G5280" s="15">
        <f t="shared" ca="1" si="1539"/>
        <v>43</v>
      </c>
      <c r="H5280" s="15">
        <v>1</v>
      </c>
      <c r="I5280" s="15">
        <f t="shared" ca="1" si="1540"/>
        <v>0</v>
      </c>
      <c r="J5280" s="15" t="str">
        <f t="shared" ca="1" si="1526"/>
        <v>'0'!A43</v>
      </c>
      <c r="K5280" s="15" t="str">
        <f t="shared" ca="1" si="1527"/>
        <v>'0'!B43</v>
      </c>
    </row>
    <row r="5281" spans="1:16" x14ac:dyDescent="0.25">
      <c r="A5281" s="3" t="str">
        <f t="shared" ca="1" si="1528"/>
        <v/>
      </c>
      <c r="G5281" s="15">
        <f t="shared" ca="1" si="1539"/>
        <v>44</v>
      </c>
      <c r="H5281" s="15">
        <v>1</v>
      </c>
      <c r="I5281" s="15">
        <f t="shared" ca="1" si="1540"/>
        <v>0</v>
      </c>
      <c r="J5281" s="15" t="str">
        <f t="shared" ca="1" si="1526"/>
        <v>'0'!A44</v>
      </c>
      <c r="K5281" s="15" t="str">
        <f t="shared" ca="1" si="1527"/>
        <v>'0'!B44</v>
      </c>
    </row>
    <row r="5282" spans="1:16" x14ac:dyDescent="0.25">
      <c r="A5282" s="3" t="str">
        <f t="shared" ca="1" si="1528"/>
        <v/>
      </c>
      <c r="G5282" s="15">
        <f t="shared" ca="1" si="1539"/>
        <v>45</v>
      </c>
      <c r="H5282" s="15">
        <v>1</v>
      </c>
      <c r="I5282" s="15">
        <f t="shared" ca="1" si="1540"/>
        <v>0</v>
      </c>
      <c r="J5282" s="15" t="str">
        <f t="shared" ca="1" si="1526"/>
        <v>'0'!A45</v>
      </c>
      <c r="K5282" s="15" t="str">
        <f t="shared" ca="1" si="1527"/>
        <v>'0'!B45</v>
      </c>
    </row>
    <row r="5283" spans="1:16" x14ac:dyDescent="0.25">
      <c r="A5283" s="3" t="str">
        <f t="shared" ca="1" si="1528"/>
        <v/>
      </c>
      <c r="G5283" s="15">
        <f t="shared" ca="1" si="1539"/>
        <v>46</v>
      </c>
      <c r="H5283" s="15">
        <v>1</v>
      </c>
      <c r="I5283" s="15">
        <f t="shared" ca="1" si="1540"/>
        <v>0</v>
      </c>
      <c r="J5283" s="15" t="str">
        <f t="shared" ca="1" si="1526"/>
        <v>'0'!A46</v>
      </c>
      <c r="K5283" s="15" t="str">
        <f t="shared" ca="1" si="1527"/>
        <v>'0'!B46</v>
      </c>
    </row>
    <row r="5284" spans="1:16" x14ac:dyDescent="0.25">
      <c r="A5284" s="3" t="str">
        <f t="shared" ca="1" si="1528"/>
        <v/>
      </c>
      <c r="G5284" s="15">
        <f t="shared" ca="1" si="1539"/>
        <v>47</v>
      </c>
      <c r="H5284" s="15">
        <v>1</v>
      </c>
      <c r="I5284" s="15">
        <f t="shared" ca="1" si="1540"/>
        <v>0</v>
      </c>
      <c r="J5284" s="15" t="str">
        <f t="shared" ref="J5284:J5347" ca="1" si="1545">ADDRESS(G5284,H5284,4,1,I5284)</f>
        <v>'0'!A47</v>
      </c>
      <c r="K5284" s="15" t="str">
        <f t="shared" ref="K5284:K5347" ca="1" si="1546">ADDRESS(G5284,H5284+1,4,1,I5284)</f>
        <v>'0'!B47</v>
      </c>
    </row>
    <row r="5285" spans="1:16" x14ac:dyDescent="0.25">
      <c r="A5285" s="3" t="str">
        <f t="shared" ca="1" si="1528"/>
        <v/>
      </c>
      <c r="G5285" s="15">
        <f t="shared" ca="1" si="1539"/>
        <v>48</v>
      </c>
      <c r="H5285" s="15">
        <v>1</v>
      </c>
      <c r="I5285" s="15">
        <f t="shared" ca="1" si="1540"/>
        <v>0</v>
      </c>
      <c r="J5285" s="15" t="str">
        <f t="shared" ca="1" si="1545"/>
        <v>'0'!A48</v>
      </c>
      <c r="K5285" s="15" t="str">
        <f t="shared" ca="1" si="1546"/>
        <v>'0'!B48</v>
      </c>
    </row>
    <row r="5286" spans="1:16" x14ac:dyDescent="0.25">
      <c r="A5286" s="3" t="str">
        <f t="shared" ca="1" si="1528"/>
        <v/>
      </c>
      <c r="G5286" s="15">
        <f t="shared" ca="1" si="1539"/>
        <v>49</v>
      </c>
      <c r="H5286" s="15">
        <v>1</v>
      </c>
      <c r="I5286" s="15">
        <f t="shared" ca="1" si="1540"/>
        <v>0</v>
      </c>
      <c r="J5286" s="15" t="str">
        <f t="shared" ca="1" si="1545"/>
        <v>'0'!A49</v>
      </c>
      <c r="K5286" s="15" t="str">
        <f t="shared" ca="1" si="1546"/>
        <v>'0'!B49</v>
      </c>
    </row>
    <row r="5287" spans="1:16" x14ac:dyDescent="0.25">
      <c r="A5287" s="3" t="str">
        <f t="shared" ca="1" si="1528"/>
        <v/>
      </c>
      <c r="G5287" s="15">
        <f t="shared" ca="1" si="1539"/>
        <v>50</v>
      </c>
      <c r="H5287" s="15">
        <v>1</v>
      </c>
      <c r="I5287" s="15">
        <f t="shared" ca="1" si="1540"/>
        <v>0</v>
      </c>
      <c r="J5287" s="15" t="str">
        <f t="shared" ca="1" si="1545"/>
        <v>'0'!A50</v>
      </c>
      <c r="K5287" s="15" t="str">
        <f t="shared" ca="1" si="1546"/>
        <v>'0'!B50</v>
      </c>
    </row>
    <row r="5288" spans="1:16" x14ac:dyDescent="0.25">
      <c r="A5288" s="3" t="str">
        <f t="shared" ca="1" si="1528"/>
        <v/>
      </c>
      <c r="G5288" s="15">
        <f t="shared" ref="G5288" ca="1" si="1547">INDIRECT(M5288)</f>
        <v>31</v>
      </c>
      <c r="H5288" s="15">
        <v>1</v>
      </c>
      <c r="I5288" s="15">
        <f t="shared" ref="I5288" ca="1" si="1548">INDIRECT(N5288)</f>
        <v>0</v>
      </c>
      <c r="J5288" s="15" t="str">
        <f t="shared" ca="1" si="1545"/>
        <v>'0'!A31</v>
      </c>
      <c r="K5288" s="15" t="str">
        <f t="shared" ca="1" si="1546"/>
        <v>'0'!B31</v>
      </c>
      <c r="M5288" s="15" t="str">
        <f t="shared" ref="M5288" si="1549">ADDRESS(O5288,3,4,1,$R$1)</f>
        <v>konfig!C266</v>
      </c>
      <c r="N5288" s="15" t="str">
        <f t="shared" ref="N5288" si="1550">ADDRESS(O5288,1,4,1,$R$1)</f>
        <v>konfig!A266</v>
      </c>
      <c r="O5288" s="15">
        <v>266</v>
      </c>
      <c r="P5288" s="15">
        <v>4</v>
      </c>
    </row>
    <row r="5289" spans="1:16" x14ac:dyDescent="0.25">
      <c r="A5289" s="3" t="str">
        <f t="shared" ca="1" si="1528"/>
        <v/>
      </c>
      <c r="G5289" s="15">
        <f t="shared" ref="G5289:G5332" ca="1" si="1551">G5288+1</f>
        <v>32</v>
      </c>
      <c r="H5289" s="15">
        <v>1</v>
      </c>
      <c r="I5289" s="15">
        <f t="shared" ref="I5289:I5332" ca="1" si="1552">I5288</f>
        <v>0</v>
      </c>
      <c r="J5289" s="15" t="str">
        <f t="shared" ca="1" si="1545"/>
        <v>'0'!A32</v>
      </c>
      <c r="K5289" s="15" t="str">
        <f t="shared" ca="1" si="1546"/>
        <v>'0'!B32</v>
      </c>
    </row>
    <row r="5290" spans="1:16" x14ac:dyDescent="0.25">
      <c r="A5290" s="3" t="str">
        <f t="shared" ca="1" si="1528"/>
        <v/>
      </c>
      <c r="G5290" s="15">
        <f t="shared" ca="1" si="1551"/>
        <v>33</v>
      </c>
      <c r="H5290" s="15">
        <v>1</v>
      </c>
      <c r="I5290" s="15">
        <f t="shared" ca="1" si="1552"/>
        <v>0</v>
      </c>
      <c r="J5290" s="15" t="str">
        <f t="shared" ca="1" si="1545"/>
        <v>'0'!A33</v>
      </c>
      <c r="K5290" s="15" t="str">
        <f t="shared" ca="1" si="1546"/>
        <v>'0'!B33</v>
      </c>
    </row>
    <row r="5291" spans="1:16" x14ac:dyDescent="0.25">
      <c r="A5291" s="3" t="str">
        <f t="shared" ca="1" si="1528"/>
        <v/>
      </c>
      <c r="C5291" s="16"/>
      <c r="G5291" s="15">
        <f t="shared" ca="1" si="1551"/>
        <v>34</v>
      </c>
      <c r="H5291" s="15">
        <v>1</v>
      </c>
      <c r="I5291" s="15">
        <f t="shared" ca="1" si="1552"/>
        <v>0</v>
      </c>
      <c r="J5291" s="15" t="str">
        <f t="shared" ca="1" si="1545"/>
        <v>'0'!A34</v>
      </c>
      <c r="K5291" s="15" t="str">
        <f t="shared" ca="1" si="1546"/>
        <v>'0'!B34</v>
      </c>
    </row>
    <row r="5292" spans="1:16" x14ac:dyDescent="0.25">
      <c r="A5292" s="3" t="str">
        <f t="shared" ref="A5292:A5355" ca="1" si="1553">IFERROR(IF(INDIRECT(J5292)&lt;&gt;"",CONCATENATE(INDIRECT(J5292)," = ",INDIRECT(K5292)," "),""),"")</f>
        <v/>
      </c>
      <c r="G5292" s="15">
        <f t="shared" ca="1" si="1551"/>
        <v>35</v>
      </c>
      <c r="H5292" s="15">
        <v>1</v>
      </c>
      <c r="I5292" s="15">
        <f t="shared" ca="1" si="1552"/>
        <v>0</v>
      </c>
      <c r="J5292" s="15" t="str">
        <f t="shared" ca="1" si="1545"/>
        <v>'0'!A35</v>
      </c>
      <c r="K5292" s="15" t="str">
        <f t="shared" ca="1" si="1546"/>
        <v>'0'!B35</v>
      </c>
    </row>
    <row r="5293" spans="1:16" x14ac:dyDescent="0.25">
      <c r="A5293" s="3" t="str">
        <f t="shared" ca="1" si="1553"/>
        <v/>
      </c>
      <c r="G5293" s="15">
        <f t="shared" ca="1" si="1539"/>
        <v>36</v>
      </c>
      <c r="H5293" s="15">
        <v>1</v>
      </c>
      <c r="I5293" s="15">
        <f t="shared" ca="1" si="1540"/>
        <v>0</v>
      </c>
      <c r="J5293" s="15" t="str">
        <f t="shared" ca="1" si="1545"/>
        <v>'0'!A36</v>
      </c>
      <c r="K5293" s="15" t="str">
        <f t="shared" ca="1" si="1546"/>
        <v>'0'!B36</v>
      </c>
    </row>
    <row r="5294" spans="1:16" x14ac:dyDescent="0.25">
      <c r="A5294" s="3" t="str">
        <f t="shared" ca="1" si="1553"/>
        <v/>
      </c>
      <c r="G5294" s="15">
        <f t="shared" ca="1" si="1539"/>
        <v>37</v>
      </c>
      <c r="H5294" s="15">
        <v>1</v>
      </c>
      <c r="I5294" s="15">
        <f t="shared" ca="1" si="1540"/>
        <v>0</v>
      </c>
      <c r="J5294" s="15" t="str">
        <f t="shared" ca="1" si="1545"/>
        <v>'0'!A37</v>
      </c>
      <c r="K5294" s="15" t="str">
        <f t="shared" ca="1" si="1546"/>
        <v>'0'!B37</v>
      </c>
    </row>
    <row r="5295" spans="1:16" x14ac:dyDescent="0.25">
      <c r="A5295" s="3" t="str">
        <f t="shared" ca="1" si="1553"/>
        <v/>
      </c>
      <c r="G5295" s="15">
        <f t="shared" ca="1" si="1539"/>
        <v>38</v>
      </c>
      <c r="H5295" s="15">
        <v>1</v>
      </c>
      <c r="I5295" s="15">
        <f t="shared" ca="1" si="1540"/>
        <v>0</v>
      </c>
      <c r="J5295" s="15" t="str">
        <f t="shared" ca="1" si="1545"/>
        <v>'0'!A38</v>
      </c>
      <c r="K5295" s="15" t="str">
        <f t="shared" ca="1" si="1546"/>
        <v>'0'!B38</v>
      </c>
    </row>
    <row r="5296" spans="1:16" x14ac:dyDescent="0.25">
      <c r="A5296" s="3" t="str">
        <f t="shared" ca="1" si="1553"/>
        <v/>
      </c>
      <c r="G5296" s="15">
        <f t="shared" ca="1" si="1539"/>
        <v>39</v>
      </c>
      <c r="H5296" s="15">
        <v>1</v>
      </c>
      <c r="I5296" s="15">
        <f t="shared" ca="1" si="1540"/>
        <v>0</v>
      </c>
      <c r="J5296" s="15" t="str">
        <f t="shared" ca="1" si="1545"/>
        <v>'0'!A39</v>
      </c>
      <c r="K5296" s="15" t="str">
        <f t="shared" ca="1" si="1546"/>
        <v>'0'!B39</v>
      </c>
    </row>
    <row r="5297" spans="1:16" x14ac:dyDescent="0.25">
      <c r="A5297" s="3" t="str">
        <f t="shared" ca="1" si="1553"/>
        <v/>
      </c>
      <c r="G5297" s="15">
        <f t="shared" ca="1" si="1539"/>
        <v>40</v>
      </c>
      <c r="H5297" s="15">
        <v>1</v>
      </c>
      <c r="I5297" s="15">
        <f t="shared" ca="1" si="1540"/>
        <v>0</v>
      </c>
      <c r="J5297" s="15" t="str">
        <f t="shared" ca="1" si="1545"/>
        <v>'0'!A40</v>
      </c>
      <c r="K5297" s="15" t="str">
        <f t="shared" ca="1" si="1546"/>
        <v>'0'!B40</v>
      </c>
    </row>
    <row r="5298" spans="1:16" x14ac:dyDescent="0.25">
      <c r="A5298" s="3" t="str">
        <f t="shared" ca="1" si="1553"/>
        <v/>
      </c>
      <c r="G5298" s="15">
        <f t="shared" ca="1" si="1539"/>
        <v>41</v>
      </c>
      <c r="H5298" s="15">
        <v>1</v>
      </c>
      <c r="I5298" s="15">
        <f t="shared" ca="1" si="1540"/>
        <v>0</v>
      </c>
      <c r="J5298" s="15" t="str">
        <f t="shared" ca="1" si="1545"/>
        <v>'0'!A41</v>
      </c>
      <c r="K5298" s="15" t="str">
        <f t="shared" ca="1" si="1546"/>
        <v>'0'!B41</v>
      </c>
    </row>
    <row r="5299" spans="1:16" x14ac:dyDescent="0.25">
      <c r="A5299" s="3" t="str">
        <f t="shared" ca="1" si="1553"/>
        <v/>
      </c>
      <c r="C5299" s="16"/>
      <c r="G5299" s="15">
        <f t="shared" ca="1" si="1539"/>
        <v>42</v>
      </c>
      <c r="H5299" s="15">
        <v>1</v>
      </c>
      <c r="I5299" s="15">
        <f t="shared" ca="1" si="1540"/>
        <v>0</v>
      </c>
      <c r="J5299" s="15" t="str">
        <f t="shared" ca="1" si="1545"/>
        <v>'0'!A42</v>
      </c>
      <c r="K5299" s="15" t="str">
        <f t="shared" ca="1" si="1546"/>
        <v>'0'!B42</v>
      </c>
    </row>
    <row r="5300" spans="1:16" x14ac:dyDescent="0.25">
      <c r="A5300" s="3" t="str">
        <f t="shared" ca="1" si="1553"/>
        <v/>
      </c>
      <c r="G5300" s="15">
        <f t="shared" ca="1" si="1539"/>
        <v>43</v>
      </c>
      <c r="H5300" s="15">
        <v>1</v>
      </c>
      <c r="I5300" s="15">
        <f t="shared" ca="1" si="1540"/>
        <v>0</v>
      </c>
      <c r="J5300" s="15" t="str">
        <f t="shared" ca="1" si="1545"/>
        <v>'0'!A43</v>
      </c>
      <c r="K5300" s="15" t="str">
        <f t="shared" ca="1" si="1546"/>
        <v>'0'!B43</v>
      </c>
    </row>
    <row r="5301" spans="1:16" x14ac:dyDescent="0.25">
      <c r="A5301" s="3" t="str">
        <f t="shared" ca="1" si="1553"/>
        <v/>
      </c>
      <c r="G5301" s="15">
        <f t="shared" ca="1" si="1539"/>
        <v>44</v>
      </c>
      <c r="H5301" s="15">
        <v>1</v>
      </c>
      <c r="I5301" s="15">
        <f t="shared" ca="1" si="1540"/>
        <v>0</v>
      </c>
      <c r="J5301" s="15" t="str">
        <f t="shared" ca="1" si="1545"/>
        <v>'0'!A44</v>
      </c>
      <c r="K5301" s="15" t="str">
        <f t="shared" ca="1" si="1546"/>
        <v>'0'!B44</v>
      </c>
    </row>
    <row r="5302" spans="1:16" x14ac:dyDescent="0.25">
      <c r="A5302" s="3" t="str">
        <f t="shared" ca="1" si="1553"/>
        <v/>
      </c>
      <c r="G5302" s="15">
        <f t="shared" ca="1" si="1539"/>
        <v>45</v>
      </c>
      <c r="H5302" s="15">
        <v>1</v>
      </c>
      <c r="I5302" s="15">
        <f t="shared" ca="1" si="1540"/>
        <v>0</v>
      </c>
      <c r="J5302" s="15" t="str">
        <f t="shared" ca="1" si="1545"/>
        <v>'0'!A45</v>
      </c>
      <c r="K5302" s="15" t="str">
        <f t="shared" ca="1" si="1546"/>
        <v>'0'!B45</v>
      </c>
    </row>
    <row r="5303" spans="1:16" x14ac:dyDescent="0.25">
      <c r="A5303" s="3" t="str">
        <f t="shared" ca="1" si="1553"/>
        <v/>
      </c>
      <c r="G5303" s="15">
        <f t="shared" ca="1" si="1539"/>
        <v>46</v>
      </c>
      <c r="H5303" s="15">
        <v>1</v>
      </c>
      <c r="I5303" s="15">
        <f t="shared" ca="1" si="1540"/>
        <v>0</v>
      </c>
      <c r="J5303" s="15" t="str">
        <f t="shared" ca="1" si="1545"/>
        <v>'0'!A46</v>
      </c>
      <c r="K5303" s="15" t="str">
        <f t="shared" ca="1" si="1546"/>
        <v>'0'!B46</v>
      </c>
    </row>
    <row r="5304" spans="1:16" x14ac:dyDescent="0.25">
      <c r="A5304" s="3" t="str">
        <f t="shared" ca="1" si="1553"/>
        <v/>
      </c>
      <c r="G5304" s="15">
        <f t="shared" ca="1" si="1539"/>
        <v>47</v>
      </c>
      <c r="H5304" s="15">
        <v>1</v>
      </c>
      <c r="I5304" s="15">
        <f t="shared" ca="1" si="1540"/>
        <v>0</v>
      </c>
      <c r="J5304" s="15" t="str">
        <f t="shared" ca="1" si="1545"/>
        <v>'0'!A47</v>
      </c>
      <c r="K5304" s="15" t="str">
        <f t="shared" ca="1" si="1546"/>
        <v>'0'!B47</v>
      </c>
    </row>
    <row r="5305" spans="1:16" x14ac:dyDescent="0.25">
      <c r="A5305" s="3" t="str">
        <f t="shared" ca="1" si="1553"/>
        <v/>
      </c>
      <c r="G5305" s="15">
        <f t="shared" ca="1" si="1539"/>
        <v>48</v>
      </c>
      <c r="H5305" s="15">
        <v>1</v>
      </c>
      <c r="I5305" s="15">
        <f t="shared" ca="1" si="1540"/>
        <v>0</v>
      </c>
      <c r="J5305" s="15" t="str">
        <f t="shared" ca="1" si="1545"/>
        <v>'0'!A48</v>
      </c>
      <c r="K5305" s="15" t="str">
        <f t="shared" ca="1" si="1546"/>
        <v>'0'!B48</v>
      </c>
    </row>
    <row r="5306" spans="1:16" x14ac:dyDescent="0.25">
      <c r="A5306" s="3" t="str">
        <f t="shared" ca="1" si="1553"/>
        <v/>
      </c>
      <c r="G5306" s="15">
        <f t="shared" ca="1" si="1539"/>
        <v>49</v>
      </c>
      <c r="H5306" s="15">
        <v>1</v>
      </c>
      <c r="I5306" s="15">
        <f t="shared" ca="1" si="1540"/>
        <v>0</v>
      </c>
      <c r="J5306" s="15" t="str">
        <f t="shared" ca="1" si="1545"/>
        <v>'0'!A49</v>
      </c>
      <c r="K5306" s="15" t="str">
        <f t="shared" ca="1" si="1546"/>
        <v>'0'!B49</v>
      </c>
    </row>
    <row r="5307" spans="1:16" x14ac:dyDescent="0.25">
      <c r="A5307" s="3" t="str">
        <f t="shared" ca="1" si="1553"/>
        <v/>
      </c>
      <c r="G5307" s="15">
        <f t="shared" ca="1" si="1539"/>
        <v>50</v>
      </c>
      <c r="H5307" s="15">
        <v>1</v>
      </c>
      <c r="I5307" s="15">
        <f t="shared" ca="1" si="1540"/>
        <v>0</v>
      </c>
      <c r="J5307" s="15" t="str">
        <f t="shared" ca="1" si="1545"/>
        <v>'0'!A50</v>
      </c>
      <c r="K5307" s="15" t="str">
        <f t="shared" ca="1" si="1546"/>
        <v>'0'!B50</v>
      </c>
    </row>
    <row r="5308" spans="1:16" x14ac:dyDescent="0.25">
      <c r="A5308" s="3" t="str">
        <f t="shared" ca="1" si="1553"/>
        <v/>
      </c>
      <c r="G5308" s="15">
        <f t="shared" ref="G5308" ca="1" si="1554">INDIRECT(M5308)</f>
        <v>31</v>
      </c>
      <c r="H5308" s="15">
        <v>1</v>
      </c>
      <c r="I5308" s="15">
        <f t="shared" ref="I5308" ca="1" si="1555">INDIRECT(N5308)</f>
        <v>0</v>
      </c>
      <c r="J5308" s="15" t="str">
        <f t="shared" ca="1" si="1545"/>
        <v>'0'!A31</v>
      </c>
      <c r="K5308" s="15" t="str">
        <f t="shared" ca="1" si="1546"/>
        <v>'0'!B31</v>
      </c>
      <c r="M5308" s="15" t="str">
        <f t="shared" ref="M5308" si="1556">ADDRESS(O5308,3,4,1,$R$1)</f>
        <v>konfig!C267</v>
      </c>
      <c r="N5308" s="15" t="str">
        <f t="shared" ref="N5308" si="1557">ADDRESS(O5308,1,4,1,$R$1)</f>
        <v>konfig!A267</v>
      </c>
      <c r="O5308" s="15">
        <v>267</v>
      </c>
      <c r="P5308" s="15">
        <v>4</v>
      </c>
    </row>
    <row r="5309" spans="1:16" x14ac:dyDescent="0.25">
      <c r="A5309" s="3" t="str">
        <f t="shared" ca="1" si="1553"/>
        <v/>
      </c>
      <c r="G5309" s="15">
        <f t="shared" ref="G5309:G5349" ca="1" si="1558">G5308+1</f>
        <v>32</v>
      </c>
      <c r="H5309" s="15">
        <v>1</v>
      </c>
      <c r="I5309" s="15">
        <f t="shared" ref="I5309:I5349" ca="1" si="1559">I5308</f>
        <v>0</v>
      </c>
      <c r="J5309" s="15" t="str">
        <f t="shared" ca="1" si="1545"/>
        <v>'0'!A32</v>
      </c>
      <c r="K5309" s="15" t="str">
        <f t="shared" ca="1" si="1546"/>
        <v>'0'!B32</v>
      </c>
    </row>
    <row r="5310" spans="1:16" x14ac:dyDescent="0.25">
      <c r="A5310" s="3" t="str">
        <f t="shared" ca="1" si="1553"/>
        <v/>
      </c>
      <c r="G5310" s="15">
        <f t="shared" ca="1" si="1539"/>
        <v>33</v>
      </c>
      <c r="H5310" s="15">
        <v>1</v>
      </c>
      <c r="I5310" s="15">
        <f t="shared" ca="1" si="1540"/>
        <v>0</v>
      </c>
      <c r="J5310" s="15" t="str">
        <f t="shared" ca="1" si="1545"/>
        <v>'0'!A33</v>
      </c>
      <c r="K5310" s="15" t="str">
        <f t="shared" ca="1" si="1546"/>
        <v>'0'!B33</v>
      </c>
    </row>
    <row r="5311" spans="1:16" x14ac:dyDescent="0.25">
      <c r="A5311" s="3" t="str">
        <f t="shared" ca="1" si="1553"/>
        <v/>
      </c>
      <c r="C5311" s="16"/>
      <c r="G5311" s="15">
        <f t="shared" ca="1" si="1539"/>
        <v>34</v>
      </c>
      <c r="H5311" s="15">
        <v>1</v>
      </c>
      <c r="I5311" s="15">
        <f t="shared" ca="1" si="1540"/>
        <v>0</v>
      </c>
      <c r="J5311" s="15" t="str">
        <f t="shared" ca="1" si="1545"/>
        <v>'0'!A34</v>
      </c>
      <c r="K5311" s="15" t="str">
        <f t="shared" ca="1" si="1546"/>
        <v>'0'!B34</v>
      </c>
    </row>
    <row r="5312" spans="1:16" x14ac:dyDescent="0.25">
      <c r="A5312" s="3" t="str">
        <f t="shared" ca="1" si="1553"/>
        <v/>
      </c>
      <c r="G5312" s="15">
        <f t="shared" ca="1" si="1539"/>
        <v>35</v>
      </c>
      <c r="H5312" s="15">
        <v>1</v>
      </c>
      <c r="I5312" s="15">
        <f t="shared" ca="1" si="1540"/>
        <v>0</v>
      </c>
      <c r="J5312" s="15" t="str">
        <f t="shared" ca="1" si="1545"/>
        <v>'0'!A35</v>
      </c>
      <c r="K5312" s="15" t="str">
        <f t="shared" ca="1" si="1546"/>
        <v>'0'!B35</v>
      </c>
    </row>
    <row r="5313" spans="1:16" x14ac:dyDescent="0.25">
      <c r="A5313" s="3" t="str">
        <f t="shared" ca="1" si="1553"/>
        <v/>
      </c>
      <c r="G5313" s="15">
        <f t="shared" ca="1" si="1539"/>
        <v>36</v>
      </c>
      <c r="H5313" s="15">
        <v>1</v>
      </c>
      <c r="I5313" s="15">
        <f t="shared" ca="1" si="1540"/>
        <v>0</v>
      </c>
      <c r="J5313" s="15" t="str">
        <f t="shared" ca="1" si="1545"/>
        <v>'0'!A36</v>
      </c>
      <c r="K5313" s="15" t="str">
        <f t="shared" ca="1" si="1546"/>
        <v>'0'!B36</v>
      </c>
    </row>
    <row r="5314" spans="1:16" x14ac:dyDescent="0.25">
      <c r="A5314" s="3" t="str">
        <f t="shared" ca="1" si="1553"/>
        <v/>
      </c>
      <c r="G5314" s="15">
        <f t="shared" ca="1" si="1539"/>
        <v>37</v>
      </c>
      <c r="H5314" s="15">
        <v>1</v>
      </c>
      <c r="I5314" s="15">
        <f t="shared" ca="1" si="1540"/>
        <v>0</v>
      </c>
      <c r="J5314" s="15" t="str">
        <f t="shared" ca="1" si="1545"/>
        <v>'0'!A37</v>
      </c>
      <c r="K5314" s="15" t="str">
        <f t="shared" ca="1" si="1546"/>
        <v>'0'!B37</v>
      </c>
    </row>
    <row r="5315" spans="1:16" x14ac:dyDescent="0.25">
      <c r="A5315" s="3" t="str">
        <f t="shared" ca="1" si="1553"/>
        <v/>
      </c>
      <c r="G5315" s="15">
        <f t="shared" ca="1" si="1539"/>
        <v>38</v>
      </c>
      <c r="H5315" s="15">
        <v>1</v>
      </c>
      <c r="I5315" s="15">
        <f t="shared" ca="1" si="1540"/>
        <v>0</v>
      </c>
      <c r="J5315" s="15" t="str">
        <f t="shared" ca="1" si="1545"/>
        <v>'0'!A38</v>
      </c>
      <c r="K5315" s="15" t="str">
        <f t="shared" ca="1" si="1546"/>
        <v>'0'!B38</v>
      </c>
    </row>
    <row r="5316" spans="1:16" x14ac:dyDescent="0.25">
      <c r="A5316" s="3" t="str">
        <f t="shared" ca="1" si="1553"/>
        <v/>
      </c>
      <c r="G5316" s="15">
        <f t="shared" ca="1" si="1539"/>
        <v>39</v>
      </c>
      <c r="H5316" s="15">
        <v>1</v>
      </c>
      <c r="I5316" s="15">
        <f t="shared" ca="1" si="1540"/>
        <v>0</v>
      </c>
      <c r="J5316" s="15" t="str">
        <f t="shared" ca="1" si="1545"/>
        <v>'0'!A39</v>
      </c>
      <c r="K5316" s="15" t="str">
        <f t="shared" ca="1" si="1546"/>
        <v>'0'!B39</v>
      </c>
    </row>
    <row r="5317" spans="1:16" x14ac:dyDescent="0.25">
      <c r="A5317" s="3" t="str">
        <f t="shared" ca="1" si="1553"/>
        <v/>
      </c>
      <c r="G5317" s="15">
        <f t="shared" ca="1" si="1539"/>
        <v>40</v>
      </c>
      <c r="H5317" s="15">
        <v>1</v>
      </c>
      <c r="I5317" s="15">
        <f t="shared" ca="1" si="1540"/>
        <v>0</v>
      </c>
      <c r="J5317" s="15" t="str">
        <f t="shared" ca="1" si="1545"/>
        <v>'0'!A40</v>
      </c>
      <c r="K5317" s="15" t="str">
        <f t="shared" ca="1" si="1546"/>
        <v>'0'!B40</v>
      </c>
    </row>
    <row r="5318" spans="1:16" x14ac:dyDescent="0.25">
      <c r="A5318" s="3" t="str">
        <f t="shared" ca="1" si="1553"/>
        <v/>
      </c>
      <c r="G5318" s="15">
        <f t="shared" ca="1" si="1539"/>
        <v>41</v>
      </c>
      <c r="H5318" s="15">
        <v>1</v>
      </c>
      <c r="I5318" s="15">
        <f t="shared" ca="1" si="1540"/>
        <v>0</v>
      </c>
      <c r="J5318" s="15" t="str">
        <f t="shared" ca="1" si="1545"/>
        <v>'0'!A41</v>
      </c>
      <c r="K5318" s="15" t="str">
        <f t="shared" ca="1" si="1546"/>
        <v>'0'!B41</v>
      </c>
    </row>
    <row r="5319" spans="1:16" x14ac:dyDescent="0.25">
      <c r="A5319" s="3" t="str">
        <f t="shared" ca="1" si="1553"/>
        <v/>
      </c>
      <c r="C5319" s="16"/>
      <c r="G5319" s="15">
        <f t="shared" ca="1" si="1539"/>
        <v>42</v>
      </c>
      <c r="H5319" s="15">
        <v>1</v>
      </c>
      <c r="I5319" s="15">
        <f t="shared" ca="1" si="1540"/>
        <v>0</v>
      </c>
      <c r="J5319" s="15" t="str">
        <f t="shared" ca="1" si="1545"/>
        <v>'0'!A42</v>
      </c>
      <c r="K5319" s="15" t="str">
        <f t="shared" ca="1" si="1546"/>
        <v>'0'!B42</v>
      </c>
    </row>
    <row r="5320" spans="1:16" x14ac:dyDescent="0.25">
      <c r="A5320" s="3" t="str">
        <f t="shared" ca="1" si="1553"/>
        <v/>
      </c>
      <c r="G5320" s="15">
        <f t="shared" ca="1" si="1539"/>
        <v>43</v>
      </c>
      <c r="H5320" s="15">
        <v>1</v>
      </c>
      <c r="I5320" s="15">
        <f t="shared" ca="1" si="1540"/>
        <v>0</v>
      </c>
      <c r="J5320" s="15" t="str">
        <f t="shared" ca="1" si="1545"/>
        <v>'0'!A43</v>
      </c>
      <c r="K5320" s="15" t="str">
        <f t="shared" ca="1" si="1546"/>
        <v>'0'!B43</v>
      </c>
    </row>
    <row r="5321" spans="1:16" x14ac:dyDescent="0.25">
      <c r="A5321" s="3" t="str">
        <f t="shared" ca="1" si="1553"/>
        <v/>
      </c>
      <c r="G5321" s="15">
        <f t="shared" ref="G5321:G5384" ca="1" si="1560">G5320+1</f>
        <v>44</v>
      </c>
      <c r="H5321" s="15">
        <v>1</v>
      </c>
      <c r="I5321" s="15">
        <f t="shared" ref="I5321:I5384" ca="1" si="1561">I5320</f>
        <v>0</v>
      </c>
      <c r="J5321" s="15" t="str">
        <f t="shared" ca="1" si="1545"/>
        <v>'0'!A44</v>
      </c>
      <c r="K5321" s="15" t="str">
        <f t="shared" ca="1" si="1546"/>
        <v>'0'!B44</v>
      </c>
    </row>
    <row r="5322" spans="1:16" x14ac:dyDescent="0.25">
      <c r="A5322" s="3" t="str">
        <f t="shared" ca="1" si="1553"/>
        <v/>
      </c>
      <c r="G5322" s="15">
        <f t="shared" ca="1" si="1560"/>
        <v>45</v>
      </c>
      <c r="H5322" s="15">
        <v>1</v>
      </c>
      <c r="I5322" s="15">
        <f t="shared" ca="1" si="1561"/>
        <v>0</v>
      </c>
      <c r="J5322" s="15" t="str">
        <f t="shared" ca="1" si="1545"/>
        <v>'0'!A45</v>
      </c>
      <c r="K5322" s="15" t="str">
        <f t="shared" ca="1" si="1546"/>
        <v>'0'!B45</v>
      </c>
    </row>
    <row r="5323" spans="1:16" x14ac:dyDescent="0.25">
      <c r="A5323" s="3" t="str">
        <f t="shared" ca="1" si="1553"/>
        <v/>
      </c>
      <c r="G5323" s="15">
        <f t="shared" ca="1" si="1560"/>
        <v>46</v>
      </c>
      <c r="H5323" s="15">
        <v>1</v>
      </c>
      <c r="I5323" s="15">
        <f t="shared" ca="1" si="1561"/>
        <v>0</v>
      </c>
      <c r="J5323" s="15" t="str">
        <f t="shared" ca="1" si="1545"/>
        <v>'0'!A46</v>
      </c>
      <c r="K5323" s="15" t="str">
        <f t="shared" ca="1" si="1546"/>
        <v>'0'!B46</v>
      </c>
    </row>
    <row r="5324" spans="1:16" x14ac:dyDescent="0.25">
      <c r="A5324" s="3" t="str">
        <f t="shared" ca="1" si="1553"/>
        <v/>
      </c>
      <c r="G5324" s="15">
        <f t="shared" ca="1" si="1560"/>
        <v>47</v>
      </c>
      <c r="H5324" s="15">
        <v>1</v>
      </c>
      <c r="I5324" s="15">
        <f t="shared" ca="1" si="1561"/>
        <v>0</v>
      </c>
      <c r="J5324" s="15" t="str">
        <f t="shared" ca="1" si="1545"/>
        <v>'0'!A47</v>
      </c>
      <c r="K5324" s="15" t="str">
        <f t="shared" ca="1" si="1546"/>
        <v>'0'!B47</v>
      </c>
    </row>
    <row r="5325" spans="1:16" x14ac:dyDescent="0.25">
      <c r="A5325" s="3" t="str">
        <f t="shared" ca="1" si="1553"/>
        <v/>
      </c>
      <c r="G5325" s="15">
        <f t="shared" ca="1" si="1560"/>
        <v>48</v>
      </c>
      <c r="H5325" s="15">
        <v>1</v>
      </c>
      <c r="I5325" s="15">
        <f t="shared" ca="1" si="1561"/>
        <v>0</v>
      </c>
      <c r="J5325" s="15" t="str">
        <f t="shared" ca="1" si="1545"/>
        <v>'0'!A48</v>
      </c>
      <c r="K5325" s="15" t="str">
        <f t="shared" ca="1" si="1546"/>
        <v>'0'!B48</v>
      </c>
    </row>
    <row r="5326" spans="1:16" x14ac:dyDescent="0.25">
      <c r="A5326" s="3" t="str">
        <f t="shared" ca="1" si="1553"/>
        <v/>
      </c>
      <c r="G5326" s="15">
        <f t="shared" ca="1" si="1560"/>
        <v>49</v>
      </c>
      <c r="H5326" s="15">
        <v>1</v>
      </c>
      <c r="I5326" s="15">
        <f t="shared" ca="1" si="1561"/>
        <v>0</v>
      </c>
      <c r="J5326" s="15" t="str">
        <f t="shared" ca="1" si="1545"/>
        <v>'0'!A49</v>
      </c>
      <c r="K5326" s="15" t="str">
        <f t="shared" ca="1" si="1546"/>
        <v>'0'!B49</v>
      </c>
    </row>
    <row r="5327" spans="1:16" x14ac:dyDescent="0.25">
      <c r="A5327" s="3" t="str">
        <f t="shared" ca="1" si="1553"/>
        <v/>
      </c>
      <c r="G5327" s="15">
        <f t="shared" ca="1" si="1560"/>
        <v>50</v>
      </c>
      <c r="H5327" s="15">
        <v>1</v>
      </c>
      <c r="I5327" s="15">
        <f t="shared" ca="1" si="1561"/>
        <v>0</v>
      </c>
      <c r="J5327" s="15" t="str">
        <f t="shared" ca="1" si="1545"/>
        <v>'0'!A50</v>
      </c>
      <c r="K5327" s="15" t="str">
        <f t="shared" ca="1" si="1546"/>
        <v>'0'!B50</v>
      </c>
    </row>
    <row r="5328" spans="1:16" x14ac:dyDescent="0.25">
      <c r="A5328" s="3" t="str">
        <f t="shared" ca="1" si="1553"/>
        <v/>
      </c>
      <c r="G5328" s="15">
        <f t="shared" ref="G5328" ca="1" si="1562">INDIRECT(M5328)</f>
        <v>31</v>
      </c>
      <c r="H5328" s="15">
        <v>1</v>
      </c>
      <c r="I5328" s="15">
        <f t="shared" ref="I5328" ca="1" si="1563">INDIRECT(N5328)</f>
        <v>0</v>
      </c>
      <c r="J5328" s="15" t="str">
        <f t="shared" ca="1" si="1545"/>
        <v>'0'!A31</v>
      </c>
      <c r="K5328" s="15" t="str">
        <f t="shared" ca="1" si="1546"/>
        <v>'0'!B31</v>
      </c>
      <c r="M5328" s="15" t="str">
        <f t="shared" ref="M5328" si="1564">ADDRESS(O5328,3,4,1,$R$1)</f>
        <v>konfig!C268</v>
      </c>
      <c r="N5328" s="15" t="str">
        <f t="shared" ref="N5328" si="1565">ADDRESS(O5328,1,4,1,$R$1)</f>
        <v>konfig!A268</v>
      </c>
      <c r="O5328" s="15">
        <v>268</v>
      </c>
      <c r="P5328" s="15">
        <v>4</v>
      </c>
    </row>
    <row r="5329" spans="1:11" x14ac:dyDescent="0.25">
      <c r="A5329" s="3" t="str">
        <f t="shared" ca="1" si="1553"/>
        <v/>
      </c>
      <c r="G5329" s="15">
        <f t="shared" ca="1" si="1551"/>
        <v>32</v>
      </c>
      <c r="H5329" s="15">
        <v>1</v>
      </c>
      <c r="I5329" s="15">
        <f t="shared" ca="1" si="1552"/>
        <v>0</v>
      </c>
      <c r="J5329" s="15" t="str">
        <f t="shared" ca="1" si="1545"/>
        <v>'0'!A32</v>
      </c>
      <c r="K5329" s="15" t="str">
        <f t="shared" ca="1" si="1546"/>
        <v>'0'!B32</v>
      </c>
    </row>
    <row r="5330" spans="1:11" x14ac:dyDescent="0.25">
      <c r="A5330" s="3" t="str">
        <f t="shared" ca="1" si="1553"/>
        <v/>
      </c>
      <c r="G5330" s="15">
        <f t="shared" ca="1" si="1551"/>
        <v>33</v>
      </c>
      <c r="H5330" s="15">
        <v>1</v>
      </c>
      <c r="I5330" s="15">
        <f t="shared" ca="1" si="1552"/>
        <v>0</v>
      </c>
      <c r="J5330" s="15" t="str">
        <f t="shared" ca="1" si="1545"/>
        <v>'0'!A33</v>
      </c>
      <c r="K5330" s="15" t="str">
        <f t="shared" ca="1" si="1546"/>
        <v>'0'!B33</v>
      </c>
    </row>
    <row r="5331" spans="1:11" x14ac:dyDescent="0.25">
      <c r="A5331" s="3" t="str">
        <f t="shared" ca="1" si="1553"/>
        <v/>
      </c>
      <c r="C5331" s="16"/>
      <c r="G5331" s="15">
        <f t="shared" ca="1" si="1551"/>
        <v>34</v>
      </c>
      <c r="H5331" s="15">
        <v>1</v>
      </c>
      <c r="I5331" s="15">
        <f t="shared" ca="1" si="1552"/>
        <v>0</v>
      </c>
      <c r="J5331" s="15" t="str">
        <f t="shared" ca="1" si="1545"/>
        <v>'0'!A34</v>
      </c>
      <c r="K5331" s="15" t="str">
        <f t="shared" ca="1" si="1546"/>
        <v>'0'!B34</v>
      </c>
    </row>
    <row r="5332" spans="1:11" x14ac:dyDescent="0.25">
      <c r="A5332" s="3" t="str">
        <f t="shared" ca="1" si="1553"/>
        <v/>
      </c>
      <c r="G5332" s="15">
        <f t="shared" ca="1" si="1551"/>
        <v>35</v>
      </c>
      <c r="H5332" s="15">
        <v>1</v>
      </c>
      <c r="I5332" s="15">
        <f t="shared" ca="1" si="1552"/>
        <v>0</v>
      </c>
      <c r="J5332" s="15" t="str">
        <f t="shared" ca="1" si="1545"/>
        <v>'0'!A35</v>
      </c>
      <c r="K5332" s="15" t="str">
        <f t="shared" ca="1" si="1546"/>
        <v>'0'!B35</v>
      </c>
    </row>
    <row r="5333" spans="1:11" x14ac:dyDescent="0.25">
      <c r="A5333" s="3" t="str">
        <f t="shared" ca="1" si="1553"/>
        <v/>
      </c>
      <c r="G5333" s="15">
        <f t="shared" ca="1" si="1560"/>
        <v>36</v>
      </c>
      <c r="H5333" s="15">
        <v>1</v>
      </c>
      <c r="I5333" s="15">
        <f t="shared" ca="1" si="1561"/>
        <v>0</v>
      </c>
      <c r="J5333" s="15" t="str">
        <f t="shared" ca="1" si="1545"/>
        <v>'0'!A36</v>
      </c>
      <c r="K5333" s="15" t="str">
        <f t="shared" ca="1" si="1546"/>
        <v>'0'!B36</v>
      </c>
    </row>
    <row r="5334" spans="1:11" x14ac:dyDescent="0.25">
      <c r="A5334" s="3" t="str">
        <f t="shared" ca="1" si="1553"/>
        <v/>
      </c>
      <c r="G5334" s="15">
        <f t="shared" ca="1" si="1560"/>
        <v>37</v>
      </c>
      <c r="H5334" s="15">
        <v>1</v>
      </c>
      <c r="I5334" s="15">
        <f t="shared" ca="1" si="1561"/>
        <v>0</v>
      </c>
      <c r="J5334" s="15" t="str">
        <f t="shared" ca="1" si="1545"/>
        <v>'0'!A37</v>
      </c>
      <c r="K5334" s="15" t="str">
        <f t="shared" ca="1" si="1546"/>
        <v>'0'!B37</v>
      </c>
    </row>
    <row r="5335" spans="1:11" x14ac:dyDescent="0.25">
      <c r="A5335" s="3" t="str">
        <f t="shared" ca="1" si="1553"/>
        <v/>
      </c>
      <c r="G5335" s="15">
        <f t="shared" ca="1" si="1560"/>
        <v>38</v>
      </c>
      <c r="H5335" s="15">
        <v>1</v>
      </c>
      <c r="I5335" s="15">
        <f t="shared" ca="1" si="1561"/>
        <v>0</v>
      </c>
      <c r="J5335" s="15" t="str">
        <f t="shared" ca="1" si="1545"/>
        <v>'0'!A38</v>
      </c>
      <c r="K5335" s="15" t="str">
        <f t="shared" ca="1" si="1546"/>
        <v>'0'!B38</v>
      </c>
    </row>
    <row r="5336" spans="1:11" x14ac:dyDescent="0.25">
      <c r="A5336" s="3" t="str">
        <f t="shared" ca="1" si="1553"/>
        <v/>
      </c>
      <c r="G5336" s="15">
        <f t="shared" ca="1" si="1560"/>
        <v>39</v>
      </c>
      <c r="H5336" s="15">
        <v>1</v>
      </c>
      <c r="I5336" s="15">
        <f t="shared" ca="1" si="1561"/>
        <v>0</v>
      </c>
      <c r="J5336" s="15" t="str">
        <f t="shared" ca="1" si="1545"/>
        <v>'0'!A39</v>
      </c>
      <c r="K5336" s="15" t="str">
        <f t="shared" ca="1" si="1546"/>
        <v>'0'!B39</v>
      </c>
    </row>
    <row r="5337" spans="1:11" x14ac:dyDescent="0.25">
      <c r="A5337" s="3" t="str">
        <f t="shared" ca="1" si="1553"/>
        <v/>
      </c>
      <c r="G5337" s="15">
        <f t="shared" ca="1" si="1560"/>
        <v>40</v>
      </c>
      <c r="H5337" s="15">
        <v>1</v>
      </c>
      <c r="I5337" s="15">
        <f t="shared" ca="1" si="1561"/>
        <v>0</v>
      </c>
      <c r="J5337" s="15" t="str">
        <f t="shared" ca="1" si="1545"/>
        <v>'0'!A40</v>
      </c>
      <c r="K5337" s="15" t="str">
        <f t="shared" ca="1" si="1546"/>
        <v>'0'!B40</v>
      </c>
    </row>
    <row r="5338" spans="1:11" x14ac:dyDescent="0.25">
      <c r="A5338" s="3" t="str">
        <f t="shared" ca="1" si="1553"/>
        <v/>
      </c>
      <c r="G5338" s="15">
        <f t="shared" ca="1" si="1560"/>
        <v>41</v>
      </c>
      <c r="H5338" s="15">
        <v>1</v>
      </c>
      <c r="I5338" s="15">
        <f t="shared" ca="1" si="1561"/>
        <v>0</v>
      </c>
      <c r="J5338" s="15" t="str">
        <f t="shared" ca="1" si="1545"/>
        <v>'0'!A41</v>
      </c>
      <c r="K5338" s="15" t="str">
        <f t="shared" ca="1" si="1546"/>
        <v>'0'!B41</v>
      </c>
    </row>
    <row r="5339" spans="1:11" x14ac:dyDescent="0.25">
      <c r="A5339" s="3" t="str">
        <f t="shared" ca="1" si="1553"/>
        <v/>
      </c>
      <c r="C5339" s="16"/>
      <c r="G5339" s="15">
        <f t="shared" ca="1" si="1560"/>
        <v>42</v>
      </c>
      <c r="H5339" s="15">
        <v>1</v>
      </c>
      <c r="I5339" s="15">
        <f t="shared" ca="1" si="1561"/>
        <v>0</v>
      </c>
      <c r="J5339" s="15" t="str">
        <f t="shared" ca="1" si="1545"/>
        <v>'0'!A42</v>
      </c>
      <c r="K5339" s="15" t="str">
        <f t="shared" ca="1" si="1546"/>
        <v>'0'!B42</v>
      </c>
    </row>
    <row r="5340" spans="1:11" x14ac:dyDescent="0.25">
      <c r="A5340" s="3" t="str">
        <f t="shared" ca="1" si="1553"/>
        <v/>
      </c>
      <c r="G5340" s="15">
        <f t="shared" ca="1" si="1560"/>
        <v>43</v>
      </c>
      <c r="H5340" s="15">
        <v>1</v>
      </c>
      <c r="I5340" s="15">
        <f t="shared" ca="1" si="1561"/>
        <v>0</v>
      </c>
      <c r="J5340" s="15" t="str">
        <f t="shared" ca="1" si="1545"/>
        <v>'0'!A43</v>
      </c>
      <c r="K5340" s="15" t="str">
        <f t="shared" ca="1" si="1546"/>
        <v>'0'!B43</v>
      </c>
    </row>
    <row r="5341" spans="1:11" x14ac:dyDescent="0.25">
      <c r="A5341" s="3" t="str">
        <f t="shared" ca="1" si="1553"/>
        <v/>
      </c>
      <c r="G5341" s="15">
        <f t="shared" ca="1" si="1560"/>
        <v>44</v>
      </c>
      <c r="H5341" s="15">
        <v>1</v>
      </c>
      <c r="I5341" s="15">
        <f t="shared" ca="1" si="1561"/>
        <v>0</v>
      </c>
      <c r="J5341" s="15" t="str">
        <f t="shared" ca="1" si="1545"/>
        <v>'0'!A44</v>
      </c>
      <c r="K5341" s="15" t="str">
        <f t="shared" ca="1" si="1546"/>
        <v>'0'!B44</v>
      </c>
    </row>
    <row r="5342" spans="1:11" x14ac:dyDescent="0.25">
      <c r="A5342" s="3" t="str">
        <f t="shared" ca="1" si="1553"/>
        <v/>
      </c>
      <c r="G5342" s="15">
        <f t="shared" ca="1" si="1560"/>
        <v>45</v>
      </c>
      <c r="H5342" s="15">
        <v>1</v>
      </c>
      <c r="I5342" s="15">
        <f t="shared" ca="1" si="1561"/>
        <v>0</v>
      </c>
      <c r="J5342" s="15" t="str">
        <f t="shared" ca="1" si="1545"/>
        <v>'0'!A45</v>
      </c>
      <c r="K5342" s="15" t="str">
        <f t="shared" ca="1" si="1546"/>
        <v>'0'!B45</v>
      </c>
    </row>
    <row r="5343" spans="1:11" x14ac:dyDescent="0.25">
      <c r="A5343" s="3" t="str">
        <f t="shared" ca="1" si="1553"/>
        <v/>
      </c>
      <c r="G5343" s="15">
        <f t="shared" ca="1" si="1560"/>
        <v>46</v>
      </c>
      <c r="H5343" s="15">
        <v>1</v>
      </c>
      <c r="I5343" s="15">
        <f t="shared" ca="1" si="1561"/>
        <v>0</v>
      </c>
      <c r="J5343" s="15" t="str">
        <f t="shared" ca="1" si="1545"/>
        <v>'0'!A46</v>
      </c>
      <c r="K5343" s="15" t="str">
        <f t="shared" ca="1" si="1546"/>
        <v>'0'!B46</v>
      </c>
    </row>
    <row r="5344" spans="1:11" x14ac:dyDescent="0.25">
      <c r="A5344" s="3" t="str">
        <f t="shared" ca="1" si="1553"/>
        <v/>
      </c>
      <c r="G5344" s="15">
        <f t="shared" ca="1" si="1560"/>
        <v>47</v>
      </c>
      <c r="H5344" s="15">
        <v>1</v>
      </c>
      <c r="I5344" s="15">
        <f t="shared" ca="1" si="1561"/>
        <v>0</v>
      </c>
      <c r="J5344" s="15" t="str">
        <f t="shared" ca="1" si="1545"/>
        <v>'0'!A47</v>
      </c>
      <c r="K5344" s="15" t="str">
        <f t="shared" ca="1" si="1546"/>
        <v>'0'!B47</v>
      </c>
    </row>
    <row r="5345" spans="1:16" x14ac:dyDescent="0.25">
      <c r="A5345" s="3" t="str">
        <f t="shared" ca="1" si="1553"/>
        <v/>
      </c>
      <c r="G5345" s="15">
        <f t="shared" ca="1" si="1560"/>
        <v>48</v>
      </c>
      <c r="H5345" s="15">
        <v>1</v>
      </c>
      <c r="I5345" s="15">
        <f t="shared" ca="1" si="1561"/>
        <v>0</v>
      </c>
      <c r="J5345" s="15" t="str">
        <f t="shared" ca="1" si="1545"/>
        <v>'0'!A48</v>
      </c>
      <c r="K5345" s="15" t="str">
        <f t="shared" ca="1" si="1546"/>
        <v>'0'!B48</v>
      </c>
    </row>
    <row r="5346" spans="1:16" x14ac:dyDescent="0.25">
      <c r="A5346" s="3" t="str">
        <f t="shared" ca="1" si="1553"/>
        <v/>
      </c>
      <c r="G5346" s="15">
        <f t="shared" ca="1" si="1560"/>
        <v>49</v>
      </c>
      <c r="H5346" s="15">
        <v>1</v>
      </c>
      <c r="I5346" s="15">
        <f t="shared" ca="1" si="1561"/>
        <v>0</v>
      </c>
      <c r="J5346" s="15" t="str">
        <f t="shared" ca="1" si="1545"/>
        <v>'0'!A49</v>
      </c>
      <c r="K5346" s="15" t="str">
        <f t="shared" ca="1" si="1546"/>
        <v>'0'!B49</v>
      </c>
    </row>
    <row r="5347" spans="1:16" x14ac:dyDescent="0.25">
      <c r="A5347" s="3" t="str">
        <f t="shared" ca="1" si="1553"/>
        <v/>
      </c>
      <c r="G5347" s="15">
        <f t="shared" ca="1" si="1560"/>
        <v>50</v>
      </c>
      <c r="H5347" s="15">
        <v>1</v>
      </c>
      <c r="I5347" s="15">
        <f t="shared" ca="1" si="1561"/>
        <v>0</v>
      </c>
      <c r="J5347" s="15" t="str">
        <f t="shared" ca="1" si="1545"/>
        <v>'0'!A50</v>
      </c>
      <c r="K5347" s="15" t="str">
        <f t="shared" ca="1" si="1546"/>
        <v>'0'!B50</v>
      </c>
    </row>
    <row r="5348" spans="1:16" x14ac:dyDescent="0.25">
      <c r="A5348" s="3" t="str">
        <f t="shared" ca="1" si="1553"/>
        <v/>
      </c>
      <c r="G5348" s="15">
        <f t="shared" ref="G5348" ca="1" si="1566">INDIRECT(M5348)</f>
        <v>31</v>
      </c>
      <c r="H5348" s="15">
        <v>1</v>
      </c>
      <c r="I5348" s="15">
        <f t="shared" ref="I5348" ca="1" si="1567">INDIRECT(N5348)</f>
        <v>0</v>
      </c>
      <c r="J5348" s="15" t="str">
        <f t="shared" ref="J5348:J5411" ca="1" si="1568">ADDRESS(G5348,H5348,4,1,I5348)</f>
        <v>'0'!A31</v>
      </c>
      <c r="K5348" s="15" t="str">
        <f t="shared" ref="K5348:K5411" ca="1" si="1569">ADDRESS(G5348,H5348+1,4,1,I5348)</f>
        <v>'0'!B31</v>
      </c>
      <c r="M5348" s="15" t="str">
        <f t="shared" ref="M5348" si="1570">ADDRESS(O5348,3,4,1,$R$1)</f>
        <v>konfig!C269</v>
      </c>
      <c r="N5348" s="15" t="str">
        <f t="shared" ref="N5348" si="1571">ADDRESS(O5348,1,4,1,$R$1)</f>
        <v>konfig!A269</v>
      </c>
      <c r="O5348" s="15">
        <v>269</v>
      </c>
      <c r="P5348" s="15">
        <v>4</v>
      </c>
    </row>
    <row r="5349" spans="1:16" x14ac:dyDescent="0.25">
      <c r="A5349" s="3" t="str">
        <f t="shared" ca="1" si="1553"/>
        <v/>
      </c>
      <c r="G5349" s="15">
        <f t="shared" ca="1" si="1558"/>
        <v>32</v>
      </c>
      <c r="H5349" s="15">
        <v>1</v>
      </c>
      <c r="I5349" s="15">
        <f t="shared" ca="1" si="1559"/>
        <v>0</v>
      </c>
      <c r="J5349" s="15" t="str">
        <f t="shared" ca="1" si="1568"/>
        <v>'0'!A32</v>
      </c>
      <c r="K5349" s="15" t="str">
        <f t="shared" ca="1" si="1569"/>
        <v>'0'!B32</v>
      </c>
    </row>
    <row r="5350" spans="1:16" x14ac:dyDescent="0.25">
      <c r="A5350" s="3" t="str">
        <f t="shared" ca="1" si="1553"/>
        <v/>
      </c>
      <c r="G5350" s="15">
        <f t="shared" ca="1" si="1560"/>
        <v>33</v>
      </c>
      <c r="H5350" s="15">
        <v>1</v>
      </c>
      <c r="I5350" s="15">
        <f t="shared" ca="1" si="1561"/>
        <v>0</v>
      </c>
      <c r="J5350" s="15" t="str">
        <f t="shared" ca="1" si="1568"/>
        <v>'0'!A33</v>
      </c>
      <c r="K5350" s="15" t="str">
        <f t="shared" ca="1" si="1569"/>
        <v>'0'!B33</v>
      </c>
    </row>
    <row r="5351" spans="1:16" x14ac:dyDescent="0.25">
      <c r="A5351" s="3" t="str">
        <f t="shared" ca="1" si="1553"/>
        <v/>
      </c>
      <c r="C5351" s="16"/>
      <c r="G5351" s="15">
        <f t="shared" ca="1" si="1560"/>
        <v>34</v>
      </c>
      <c r="H5351" s="15">
        <v>1</v>
      </c>
      <c r="I5351" s="15">
        <f t="shared" ca="1" si="1561"/>
        <v>0</v>
      </c>
      <c r="J5351" s="15" t="str">
        <f t="shared" ca="1" si="1568"/>
        <v>'0'!A34</v>
      </c>
      <c r="K5351" s="15" t="str">
        <f t="shared" ca="1" si="1569"/>
        <v>'0'!B34</v>
      </c>
    </row>
    <row r="5352" spans="1:16" x14ac:dyDescent="0.25">
      <c r="A5352" s="3" t="str">
        <f t="shared" ca="1" si="1553"/>
        <v/>
      </c>
      <c r="G5352" s="15">
        <f t="shared" ca="1" si="1560"/>
        <v>35</v>
      </c>
      <c r="H5352" s="15">
        <v>1</v>
      </c>
      <c r="I5352" s="15">
        <f t="shared" ca="1" si="1561"/>
        <v>0</v>
      </c>
      <c r="J5352" s="15" t="str">
        <f t="shared" ca="1" si="1568"/>
        <v>'0'!A35</v>
      </c>
      <c r="K5352" s="15" t="str">
        <f t="shared" ca="1" si="1569"/>
        <v>'0'!B35</v>
      </c>
    </row>
    <row r="5353" spans="1:16" x14ac:dyDescent="0.25">
      <c r="A5353" s="3" t="str">
        <f t="shared" ca="1" si="1553"/>
        <v/>
      </c>
      <c r="G5353" s="15">
        <f t="shared" ca="1" si="1560"/>
        <v>36</v>
      </c>
      <c r="H5353" s="15">
        <v>1</v>
      </c>
      <c r="I5353" s="15">
        <f t="shared" ca="1" si="1561"/>
        <v>0</v>
      </c>
      <c r="J5353" s="15" t="str">
        <f t="shared" ca="1" si="1568"/>
        <v>'0'!A36</v>
      </c>
      <c r="K5353" s="15" t="str">
        <f t="shared" ca="1" si="1569"/>
        <v>'0'!B36</v>
      </c>
    </row>
    <row r="5354" spans="1:16" x14ac:dyDescent="0.25">
      <c r="A5354" s="3" t="str">
        <f t="shared" ca="1" si="1553"/>
        <v/>
      </c>
      <c r="G5354" s="15">
        <f t="shared" ca="1" si="1560"/>
        <v>37</v>
      </c>
      <c r="H5354" s="15">
        <v>1</v>
      </c>
      <c r="I5354" s="15">
        <f t="shared" ca="1" si="1561"/>
        <v>0</v>
      </c>
      <c r="J5354" s="15" t="str">
        <f t="shared" ca="1" si="1568"/>
        <v>'0'!A37</v>
      </c>
      <c r="K5354" s="15" t="str">
        <f t="shared" ca="1" si="1569"/>
        <v>'0'!B37</v>
      </c>
    </row>
    <row r="5355" spans="1:16" x14ac:dyDescent="0.25">
      <c r="A5355" s="3" t="str">
        <f t="shared" ca="1" si="1553"/>
        <v/>
      </c>
      <c r="G5355" s="15">
        <f t="shared" ca="1" si="1560"/>
        <v>38</v>
      </c>
      <c r="H5355" s="15">
        <v>1</v>
      </c>
      <c r="I5355" s="15">
        <f t="shared" ca="1" si="1561"/>
        <v>0</v>
      </c>
      <c r="J5355" s="15" t="str">
        <f t="shared" ca="1" si="1568"/>
        <v>'0'!A38</v>
      </c>
      <c r="K5355" s="15" t="str">
        <f t="shared" ca="1" si="1569"/>
        <v>'0'!B38</v>
      </c>
    </row>
    <row r="5356" spans="1:16" x14ac:dyDescent="0.25">
      <c r="A5356" s="3" t="str">
        <f t="shared" ref="A5356:A5419" ca="1" si="1572">IFERROR(IF(INDIRECT(J5356)&lt;&gt;"",CONCATENATE(INDIRECT(J5356)," = ",INDIRECT(K5356)," "),""),"")</f>
        <v/>
      </c>
      <c r="G5356" s="15">
        <f t="shared" ca="1" si="1560"/>
        <v>39</v>
      </c>
      <c r="H5356" s="15">
        <v>1</v>
      </c>
      <c r="I5356" s="15">
        <f t="shared" ca="1" si="1561"/>
        <v>0</v>
      </c>
      <c r="J5356" s="15" t="str">
        <f t="shared" ca="1" si="1568"/>
        <v>'0'!A39</v>
      </c>
      <c r="K5356" s="15" t="str">
        <f t="shared" ca="1" si="1569"/>
        <v>'0'!B39</v>
      </c>
    </row>
    <row r="5357" spans="1:16" x14ac:dyDescent="0.25">
      <c r="A5357" s="3" t="str">
        <f t="shared" ca="1" si="1572"/>
        <v/>
      </c>
      <c r="G5357" s="15">
        <f t="shared" ca="1" si="1560"/>
        <v>40</v>
      </c>
      <c r="H5357" s="15">
        <v>1</v>
      </c>
      <c r="I5357" s="15">
        <f t="shared" ca="1" si="1561"/>
        <v>0</v>
      </c>
      <c r="J5357" s="15" t="str">
        <f t="shared" ca="1" si="1568"/>
        <v>'0'!A40</v>
      </c>
      <c r="K5357" s="15" t="str">
        <f t="shared" ca="1" si="1569"/>
        <v>'0'!B40</v>
      </c>
    </row>
    <row r="5358" spans="1:16" x14ac:dyDescent="0.25">
      <c r="A5358" s="3" t="str">
        <f t="shared" ca="1" si="1572"/>
        <v/>
      </c>
      <c r="G5358" s="15">
        <f t="shared" ca="1" si="1560"/>
        <v>41</v>
      </c>
      <c r="H5358" s="15">
        <v>1</v>
      </c>
      <c r="I5358" s="15">
        <f t="shared" ca="1" si="1561"/>
        <v>0</v>
      </c>
      <c r="J5358" s="15" t="str">
        <f t="shared" ca="1" si="1568"/>
        <v>'0'!A41</v>
      </c>
      <c r="K5358" s="15" t="str">
        <f t="shared" ca="1" si="1569"/>
        <v>'0'!B41</v>
      </c>
    </row>
    <row r="5359" spans="1:16" x14ac:dyDescent="0.25">
      <c r="A5359" s="3" t="str">
        <f t="shared" ca="1" si="1572"/>
        <v/>
      </c>
      <c r="C5359" s="16"/>
      <c r="G5359" s="15">
        <f t="shared" ca="1" si="1560"/>
        <v>42</v>
      </c>
      <c r="H5359" s="15">
        <v>1</v>
      </c>
      <c r="I5359" s="15">
        <f t="shared" ca="1" si="1561"/>
        <v>0</v>
      </c>
      <c r="J5359" s="15" t="str">
        <f t="shared" ca="1" si="1568"/>
        <v>'0'!A42</v>
      </c>
      <c r="K5359" s="15" t="str">
        <f t="shared" ca="1" si="1569"/>
        <v>'0'!B42</v>
      </c>
    </row>
    <row r="5360" spans="1:16" x14ac:dyDescent="0.25">
      <c r="A5360" s="3" t="str">
        <f t="shared" ca="1" si="1572"/>
        <v/>
      </c>
      <c r="G5360" s="15">
        <f t="shared" ca="1" si="1560"/>
        <v>43</v>
      </c>
      <c r="H5360" s="15">
        <v>1</v>
      </c>
      <c r="I5360" s="15">
        <f t="shared" ca="1" si="1561"/>
        <v>0</v>
      </c>
      <c r="J5360" s="15" t="str">
        <f t="shared" ca="1" si="1568"/>
        <v>'0'!A43</v>
      </c>
      <c r="K5360" s="15" t="str">
        <f t="shared" ca="1" si="1569"/>
        <v>'0'!B43</v>
      </c>
    </row>
    <row r="5361" spans="1:16" x14ac:dyDescent="0.25">
      <c r="A5361" s="3" t="str">
        <f t="shared" ca="1" si="1572"/>
        <v/>
      </c>
      <c r="G5361" s="15">
        <f t="shared" ca="1" si="1560"/>
        <v>44</v>
      </c>
      <c r="H5361" s="15">
        <v>1</v>
      </c>
      <c r="I5361" s="15">
        <f t="shared" ca="1" si="1561"/>
        <v>0</v>
      </c>
      <c r="J5361" s="15" t="str">
        <f t="shared" ca="1" si="1568"/>
        <v>'0'!A44</v>
      </c>
      <c r="K5361" s="15" t="str">
        <f t="shared" ca="1" si="1569"/>
        <v>'0'!B44</v>
      </c>
    </row>
    <row r="5362" spans="1:16" x14ac:dyDescent="0.25">
      <c r="A5362" s="3" t="str">
        <f t="shared" ca="1" si="1572"/>
        <v/>
      </c>
      <c r="G5362" s="15">
        <f t="shared" ca="1" si="1560"/>
        <v>45</v>
      </c>
      <c r="H5362" s="15">
        <v>1</v>
      </c>
      <c r="I5362" s="15">
        <f t="shared" ca="1" si="1561"/>
        <v>0</v>
      </c>
      <c r="J5362" s="15" t="str">
        <f t="shared" ca="1" si="1568"/>
        <v>'0'!A45</v>
      </c>
      <c r="K5362" s="15" t="str">
        <f t="shared" ca="1" si="1569"/>
        <v>'0'!B45</v>
      </c>
    </row>
    <row r="5363" spans="1:16" x14ac:dyDescent="0.25">
      <c r="A5363" s="3" t="str">
        <f t="shared" ca="1" si="1572"/>
        <v/>
      </c>
      <c r="G5363" s="15">
        <f t="shared" ca="1" si="1560"/>
        <v>46</v>
      </c>
      <c r="H5363" s="15">
        <v>1</v>
      </c>
      <c r="I5363" s="15">
        <f t="shared" ca="1" si="1561"/>
        <v>0</v>
      </c>
      <c r="J5363" s="15" t="str">
        <f t="shared" ca="1" si="1568"/>
        <v>'0'!A46</v>
      </c>
      <c r="K5363" s="15" t="str">
        <f t="shared" ca="1" si="1569"/>
        <v>'0'!B46</v>
      </c>
    </row>
    <row r="5364" spans="1:16" x14ac:dyDescent="0.25">
      <c r="A5364" s="3" t="str">
        <f t="shared" ca="1" si="1572"/>
        <v/>
      </c>
      <c r="G5364" s="15">
        <f t="shared" ca="1" si="1560"/>
        <v>47</v>
      </c>
      <c r="H5364" s="15">
        <v>1</v>
      </c>
      <c r="I5364" s="15">
        <f t="shared" ca="1" si="1561"/>
        <v>0</v>
      </c>
      <c r="J5364" s="15" t="str">
        <f t="shared" ca="1" si="1568"/>
        <v>'0'!A47</v>
      </c>
      <c r="K5364" s="15" t="str">
        <f t="shared" ca="1" si="1569"/>
        <v>'0'!B47</v>
      </c>
    </row>
    <row r="5365" spans="1:16" x14ac:dyDescent="0.25">
      <c r="A5365" s="3" t="str">
        <f t="shared" ca="1" si="1572"/>
        <v/>
      </c>
      <c r="G5365" s="15">
        <f t="shared" ca="1" si="1560"/>
        <v>48</v>
      </c>
      <c r="H5365" s="15">
        <v>1</v>
      </c>
      <c r="I5365" s="15">
        <f t="shared" ca="1" si="1561"/>
        <v>0</v>
      </c>
      <c r="J5365" s="15" t="str">
        <f t="shared" ca="1" si="1568"/>
        <v>'0'!A48</v>
      </c>
      <c r="K5365" s="15" t="str">
        <f t="shared" ca="1" si="1569"/>
        <v>'0'!B48</v>
      </c>
    </row>
    <row r="5366" spans="1:16" x14ac:dyDescent="0.25">
      <c r="A5366" s="3" t="str">
        <f t="shared" ca="1" si="1572"/>
        <v/>
      </c>
      <c r="G5366" s="15">
        <f t="shared" ca="1" si="1560"/>
        <v>49</v>
      </c>
      <c r="H5366" s="15">
        <v>1</v>
      </c>
      <c r="I5366" s="15">
        <f t="shared" ca="1" si="1561"/>
        <v>0</v>
      </c>
      <c r="J5366" s="15" t="str">
        <f t="shared" ca="1" si="1568"/>
        <v>'0'!A49</v>
      </c>
      <c r="K5366" s="15" t="str">
        <f t="shared" ca="1" si="1569"/>
        <v>'0'!B49</v>
      </c>
    </row>
    <row r="5367" spans="1:16" x14ac:dyDescent="0.25">
      <c r="A5367" s="3" t="str">
        <f t="shared" ca="1" si="1572"/>
        <v/>
      </c>
      <c r="G5367" s="15">
        <f t="shared" ca="1" si="1560"/>
        <v>50</v>
      </c>
      <c r="H5367" s="15">
        <v>1</v>
      </c>
      <c r="I5367" s="15">
        <f t="shared" ca="1" si="1561"/>
        <v>0</v>
      </c>
      <c r="J5367" s="15" t="str">
        <f t="shared" ca="1" si="1568"/>
        <v>'0'!A50</v>
      </c>
      <c r="K5367" s="15" t="str">
        <f t="shared" ca="1" si="1569"/>
        <v>'0'!B50</v>
      </c>
    </row>
    <row r="5368" spans="1:16" x14ac:dyDescent="0.25">
      <c r="A5368" s="3" t="str">
        <f t="shared" ca="1" si="1572"/>
        <v/>
      </c>
      <c r="G5368" s="15">
        <f t="shared" ref="G5368" ca="1" si="1573">INDIRECT(M5368)</f>
        <v>31</v>
      </c>
      <c r="H5368" s="15">
        <v>1</v>
      </c>
      <c r="I5368" s="15">
        <f t="shared" ref="I5368" ca="1" si="1574">INDIRECT(N5368)</f>
        <v>0</v>
      </c>
      <c r="J5368" s="15" t="str">
        <f t="shared" ca="1" si="1568"/>
        <v>'0'!A31</v>
      </c>
      <c r="K5368" s="15" t="str">
        <f t="shared" ca="1" si="1569"/>
        <v>'0'!B31</v>
      </c>
      <c r="M5368" s="15" t="str">
        <f t="shared" ref="M5368" si="1575">ADDRESS(O5368,3,4,1,$R$1)</f>
        <v>konfig!C270</v>
      </c>
      <c r="N5368" s="15" t="str">
        <f t="shared" ref="N5368" si="1576">ADDRESS(O5368,1,4,1,$R$1)</f>
        <v>konfig!A270</v>
      </c>
      <c r="O5368" s="15">
        <v>270</v>
      </c>
      <c r="P5368" s="15">
        <v>4</v>
      </c>
    </row>
    <row r="5369" spans="1:16" x14ac:dyDescent="0.25">
      <c r="A5369" s="3" t="str">
        <f t="shared" ca="1" si="1572"/>
        <v/>
      </c>
      <c r="G5369" s="15">
        <f t="shared" ref="G5369:G5412" ca="1" si="1577">G5368+1</f>
        <v>32</v>
      </c>
      <c r="H5369" s="15">
        <v>1</v>
      </c>
      <c r="I5369" s="15">
        <f t="shared" ref="I5369:I5412" ca="1" si="1578">I5368</f>
        <v>0</v>
      </c>
      <c r="J5369" s="15" t="str">
        <f t="shared" ca="1" si="1568"/>
        <v>'0'!A32</v>
      </c>
      <c r="K5369" s="15" t="str">
        <f t="shared" ca="1" si="1569"/>
        <v>'0'!B32</v>
      </c>
    </row>
    <row r="5370" spans="1:16" x14ac:dyDescent="0.25">
      <c r="A5370" s="3" t="str">
        <f t="shared" ca="1" si="1572"/>
        <v/>
      </c>
      <c r="G5370" s="15">
        <f t="shared" ca="1" si="1577"/>
        <v>33</v>
      </c>
      <c r="H5370" s="15">
        <v>1</v>
      </c>
      <c r="I5370" s="15">
        <f t="shared" ca="1" si="1578"/>
        <v>0</v>
      </c>
      <c r="J5370" s="15" t="str">
        <f t="shared" ca="1" si="1568"/>
        <v>'0'!A33</v>
      </c>
      <c r="K5370" s="15" t="str">
        <f t="shared" ca="1" si="1569"/>
        <v>'0'!B33</v>
      </c>
    </row>
    <row r="5371" spans="1:16" x14ac:dyDescent="0.25">
      <c r="A5371" s="3" t="str">
        <f t="shared" ca="1" si="1572"/>
        <v/>
      </c>
      <c r="C5371" s="16"/>
      <c r="G5371" s="15">
        <f t="shared" ca="1" si="1577"/>
        <v>34</v>
      </c>
      <c r="H5371" s="15">
        <v>1</v>
      </c>
      <c r="I5371" s="15">
        <f t="shared" ca="1" si="1578"/>
        <v>0</v>
      </c>
      <c r="J5371" s="15" t="str">
        <f t="shared" ca="1" si="1568"/>
        <v>'0'!A34</v>
      </c>
      <c r="K5371" s="15" t="str">
        <f t="shared" ca="1" si="1569"/>
        <v>'0'!B34</v>
      </c>
    </row>
    <row r="5372" spans="1:16" x14ac:dyDescent="0.25">
      <c r="A5372" s="3" t="str">
        <f t="shared" ca="1" si="1572"/>
        <v/>
      </c>
      <c r="G5372" s="15">
        <f t="shared" ca="1" si="1577"/>
        <v>35</v>
      </c>
      <c r="H5372" s="15">
        <v>1</v>
      </c>
      <c r="I5372" s="15">
        <f t="shared" ca="1" si="1578"/>
        <v>0</v>
      </c>
      <c r="J5372" s="15" t="str">
        <f t="shared" ca="1" si="1568"/>
        <v>'0'!A35</v>
      </c>
      <c r="K5372" s="15" t="str">
        <f t="shared" ca="1" si="1569"/>
        <v>'0'!B35</v>
      </c>
    </row>
    <row r="5373" spans="1:16" x14ac:dyDescent="0.25">
      <c r="A5373" s="3" t="str">
        <f t="shared" ca="1" si="1572"/>
        <v/>
      </c>
      <c r="G5373" s="15">
        <f t="shared" ca="1" si="1560"/>
        <v>36</v>
      </c>
      <c r="H5373" s="15">
        <v>1</v>
      </c>
      <c r="I5373" s="15">
        <f t="shared" ca="1" si="1561"/>
        <v>0</v>
      </c>
      <c r="J5373" s="15" t="str">
        <f t="shared" ca="1" si="1568"/>
        <v>'0'!A36</v>
      </c>
      <c r="K5373" s="15" t="str">
        <f t="shared" ca="1" si="1569"/>
        <v>'0'!B36</v>
      </c>
    </row>
    <row r="5374" spans="1:16" x14ac:dyDescent="0.25">
      <c r="A5374" s="3" t="str">
        <f t="shared" ca="1" si="1572"/>
        <v/>
      </c>
      <c r="G5374" s="15">
        <f t="shared" ca="1" si="1560"/>
        <v>37</v>
      </c>
      <c r="H5374" s="15">
        <v>1</v>
      </c>
      <c r="I5374" s="15">
        <f t="shared" ca="1" si="1561"/>
        <v>0</v>
      </c>
      <c r="J5374" s="15" t="str">
        <f t="shared" ca="1" si="1568"/>
        <v>'0'!A37</v>
      </c>
      <c r="K5374" s="15" t="str">
        <f t="shared" ca="1" si="1569"/>
        <v>'0'!B37</v>
      </c>
    </row>
    <row r="5375" spans="1:16" x14ac:dyDescent="0.25">
      <c r="A5375" s="3" t="str">
        <f t="shared" ca="1" si="1572"/>
        <v/>
      </c>
      <c r="G5375" s="15">
        <f t="shared" ca="1" si="1560"/>
        <v>38</v>
      </c>
      <c r="H5375" s="15">
        <v>1</v>
      </c>
      <c r="I5375" s="15">
        <f t="shared" ca="1" si="1561"/>
        <v>0</v>
      </c>
      <c r="J5375" s="15" t="str">
        <f t="shared" ca="1" si="1568"/>
        <v>'0'!A38</v>
      </c>
      <c r="K5375" s="15" t="str">
        <f t="shared" ca="1" si="1569"/>
        <v>'0'!B38</v>
      </c>
    </row>
    <row r="5376" spans="1:16" x14ac:dyDescent="0.25">
      <c r="A5376" s="3" t="str">
        <f t="shared" ca="1" si="1572"/>
        <v/>
      </c>
      <c r="G5376" s="15">
        <f t="shared" ca="1" si="1560"/>
        <v>39</v>
      </c>
      <c r="H5376" s="15">
        <v>1</v>
      </c>
      <c r="I5376" s="15">
        <f t="shared" ca="1" si="1561"/>
        <v>0</v>
      </c>
      <c r="J5376" s="15" t="str">
        <f t="shared" ca="1" si="1568"/>
        <v>'0'!A39</v>
      </c>
      <c r="K5376" s="15" t="str">
        <f t="shared" ca="1" si="1569"/>
        <v>'0'!B39</v>
      </c>
    </row>
    <row r="5377" spans="1:16" x14ac:dyDescent="0.25">
      <c r="A5377" s="3" t="str">
        <f t="shared" ca="1" si="1572"/>
        <v/>
      </c>
      <c r="G5377" s="15">
        <f t="shared" ca="1" si="1560"/>
        <v>40</v>
      </c>
      <c r="H5377" s="15">
        <v>1</v>
      </c>
      <c r="I5377" s="15">
        <f t="shared" ca="1" si="1561"/>
        <v>0</v>
      </c>
      <c r="J5377" s="15" t="str">
        <f t="shared" ca="1" si="1568"/>
        <v>'0'!A40</v>
      </c>
      <c r="K5377" s="15" t="str">
        <f t="shared" ca="1" si="1569"/>
        <v>'0'!B40</v>
      </c>
    </row>
    <row r="5378" spans="1:16" x14ac:dyDescent="0.25">
      <c r="A5378" s="3" t="str">
        <f t="shared" ca="1" si="1572"/>
        <v/>
      </c>
      <c r="G5378" s="15">
        <f t="shared" ca="1" si="1560"/>
        <v>41</v>
      </c>
      <c r="H5378" s="15">
        <v>1</v>
      </c>
      <c r="I5378" s="15">
        <f t="shared" ca="1" si="1561"/>
        <v>0</v>
      </c>
      <c r="J5378" s="15" t="str">
        <f t="shared" ca="1" si="1568"/>
        <v>'0'!A41</v>
      </c>
      <c r="K5378" s="15" t="str">
        <f t="shared" ca="1" si="1569"/>
        <v>'0'!B41</v>
      </c>
    </row>
    <row r="5379" spans="1:16" x14ac:dyDescent="0.25">
      <c r="A5379" s="3" t="str">
        <f t="shared" ca="1" si="1572"/>
        <v/>
      </c>
      <c r="C5379" s="16"/>
      <c r="G5379" s="15">
        <f t="shared" ca="1" si="1560"/>
        <v>42</v>
      </c>
      <c r="H5379" s="15">
        <v>1</v>
      </c>
      <c r="I5379" s="15">
        <f t="shared" ca="1" si="1561"/>
        <v>0</v>
      </c>
      <c r="J5379" s="15" t="str">
        <f t="shared" ca="1" si="1568"/>
        <v>'0'!A42</v>
      </c>
      <c r="K5379" s="15" t="str">
        <f t="shared" ca="1" si="1569"/>
        <v>'0'!B42</v>
      </c>
    </row>
    <row r="5380" spans="1:16" x14ac:dyDescent="0.25">
      <c r="A5380" s="3" t="str">
        <f t="shared" ca="1" si="1572"/>
        <v/>
      </c>
      <c r="G5380" s="15">
        <f t="shared" ca="1" si="1560"/>
        <v>43</v>
      </c>
      <c r="H5380" s="15">
        <v>1</v>
      </c>
      <c r="I5380" s="15">
        <f t="shared" ca="1" si="1561"/>
        <v>0</v>
      </c>
      <c r="J5380" s="15" t="str">
        <f t="shared" ca="1" si="1568"/>
        <v>'0'!A43</v>
      </c>
      <c r="K5380" s="15" t="str">
        <f t="shared" ca="1" si="1569"/>
        <v>'0'!B43</v>
      </c>
    </row>
    <row r="5381" spans="1:16" x14ac:dyDescent="0.25">
      <c r="A5381" s="3" t="str">
        <f t="shared" ca="1" si="1572"/>
        <v/>
      </c>
      <c r="G5381" s="15">
        <f t="shared" ca="1" si="1560"/>
        <v>44</v>
      </c>
      <c r="H5381" s="15">
        <v>1</v>
      </c>
      <c r="I5381" s="15">
        <f t="shared" ca="1" si="1561"/>
        <v>0</v>
      </c>
      <c r="J5381" s="15" t="str">
        <f t="shared" ca="1" si="1568"/>
        <v>'0'!A44</v>
      </c>
      <c r="K5381" s="15" t="str">
        <f t="shared" ca="1" si="1569"/>
        <v>'0'!B44</v>
      </c>
    </row>
    <row r="5382" spans="1:16" x14ac:dyDescent="0.25">
      <c r="A5382" s="3" t="str">
        <f t="shared" ca="1" si="1572"/>
        <v/>
      </c>
      <c r="G5382" s="15">
        <f t="shared" ca="1" si="1560"/>
        <v>45</v>
      </c>
      <c r="H5382" s="15">
        <v>1</v>
      </c>
      <c r="I5382" s="15">
        <f t="shared" ca="1" si="1561"/>
        <v>0</v>
      </c>
      <c r="J5382" s="15" t="str">
        <f t="shared" ca="1" si="1568"/>
        <v>'0'!A45</v>
      </c>
      <c r="K5382" s="15" t="str">
        <f t="shared" ca="1" si="1569"/>
        <v>'0'!B45</v>
      </c>
    </row>
    <row r="5383" spans="1:16" x14ac:dyDescent="0.25">
      <c r="A5383" s="3" t="str">
        <f t="shared" ca="1" si="1572"/>
        <v/>
      </c>
      <c r="G5383" s="15">
        <f t="shared" ca="1" si="1560"/>
        <v>46</v>
      </c>
      <c r="H5383" s="15">
        <v>1</v>
      </c>
      <c r="I5383" s="15">
        <f t="shared" ca="1" si="1561"/>
        <v>0</v>
      </c>
      <c r="J5383" s="15" t="str">
        <f t="shared" ca="1" si="1568"/>
        <v>'0'!A46</v>
      </c>
      <c r="K5383" s="15" t="str">
        <f t="shared" ca="1" si="1569"/>
        <v>'0'!B46</v>
      </c>
    </row>
    <row r="5384" spans="1:16" x14ac:dyDescent="0.25">
      <c r="A5384" s="3" t="str">
        <f t="shared" ca="1" si="1572"/>
        <v/>
      </c>
      <c r="G5384" s="15">
        <f t="shared" ca="1" si="1560"/>
        <v>47</v>
      </c>
      <c r="H5384" s="15">
        <v>1</v>
      </c>
      <c r="I5384" s="15">
        <f t="shared" ca="1" si="1561"/>
        <v>0</v>
      </c>
      <c r="J5384" s="15" t="str">
        <f t="shared" ca="1" si="1568"/>
        <v>'0'!A47</v>
      </c>
      <c r="K5384" s="15" t="str">
        <f t="shared" ca="1" si="1569"/>
        <v>'0'!B47</v>
      </c>
    </row>
    <row r="5385" spans="1:16" x14ac:dyDescent="0.25">
      <c r="A5385" s="3" t="str">
        <f t="shared" ca="1" si="1572"/>
        <v/>
      </c>
      <c r="G5385" s="15">
        <f t="shared" ref="G5385:G5447" ca="1" si="1579">G5384+1</f>
        <v>48</v>
      </c>
      <c r="H5385" s="15">
        <v>1</v>
      </c>
      <c r="I5385" s="15">
        <f t="shared" ref="I5385:I5447" ca="1" si="1580">I5384</f>
        <v>0</v>
      </c>
      <c r="J5385" s="15" t="str">
        <f t="shared" ca="1" si="1568"/>
        <v>'0'!A48</v>
      </c>
      <c r="K5385" s="15" t="str">
        <f t="shared" ca="1" si="1569"/>
        <v>'0'!B48</v>
      </c>
    </row>
    <row r="5386" spans="1:16" x14ac:dyDescent="0.25">
      <c r="A5386" s="3" t="str">
        <f t="shared" ca="1" si="1572"/>
        <v/>
      </c>
      <c r="G5386" s="15">
        <f t="shared" ca="1" si="1579"/>
        <v>49</v>
      </c>
      <c r="H5386" s="15">
        <v>1</v>
      </c>
      <c r="I5386" s="15">
        <f t="shared" ca="1" si="1580"/>
        <v>0</v>
      </c>
      <c r="J5386" s="15" t="str">
        <f t="shared" ca="1" si="1568"/>
        <v>'0'!A49</v>
      </c>
      <c r="K5386" s="15" t="str">
        <f t="shared" ca="1" si="1569"/>
        <v>'0'!B49</v>
      </c>
    </row>
    <row r="5387" spans="1:16" x14ac:dyDescent="0.25">
      <c r="A5387" s="3" t="str">
        <f t="shared" ca="1" si="1572"/>
        <v/>
      </c>
      <c r="G5387" s="15">
        <f t="shared" ca="1" si="1579"/>
        <v>50</v>
      </c>
      <c r="H5387" s="15">
        <v>1</v>
      </c>
      <c r="I5387" s="15">
        <f t="shared" ca="1" si="1580"/>
        <v>0</v>
      </c>
      <c r="J5387" s="15" t="str">
        <f t="shared" ca="1" si="1568"/>
        <v>'0'!A50</v>
      </c>
      <c r="K5387" s="15" t="str">
        <f t="shared" ca="1" si="1569"/>
        <v>'0'!B50</v>
      </c>
    </row>
    <row r="5388" spans="1:16" x14ac:dyDescent="0.25">
      <c r="A5388" s="3" t="str">
        <f t="shared" ca="1" si="1572"/>
        <v/>
      </c>
      <c r="G5388" s="15">
        <f t="shared" ref="G5388" ca="1" si="1581">INDIRECT(M5388)</f>
        <v>31</v>
      </c>
      <c r="H5388" s="15">
        <v>1</v>
      </c>
      <c r="I5388" s="15">
        <f t="shared" ref="I5388" ca="1" si="1582">INDIRECT(N5388)</f>
        <v>0</v>
      </c>
      <c r="J5388" s="15" t="str">
        <f t="shared" ca="1" si="1568"/>
        <v>'0'!A31</v>
      </c>
      <c r="K5388" s="15" t="str">
        <f t="shared" ca="1" si="1569"/>
        <v>'0'!B31</v>
      </c>
      <c r="M5388" s="15" t="str">
        <f t="shared" ref="M5388" si="1583">ADDRESS(O5388,3,4,1,$R$1)</f>
        <v>konfig!C271</v>
      </c>
      <c r="N5388" s="15" t="str">
        <f t="shared" ref="N5388" si="1584">ADDRESS(O5388,1,4,1,$R$1)</f>
        <v>konfig!A271</v>
      </c>
      <c r="O5388" s="15">
        <v>271</v>
      </c>
      <c r="P5388" s="15">
        <v>4</v>
      </c>
    </row>
    <row r="5389" spans="1:16" x14ac:dyDescent="0.25">
      <c r="A5389" s="3" t="str">
        <f t="shared" ca="1" si="1572"/>
        <v/>
      </c>
      <c r="G5389" s="15">
        <f t="shared" ref="G5389:G5429" ca="1" si="1585">G5388+1</f>
        <v>32</v>
      </c>
      <c r="H5389" s="15">
        <v>1</v>
      </c>
      <c r="I5389" s="15">
        <f t="shared" ref="I5389:I5429" ca="1" si="1586">I5388</f>
        <v>0</v>
      </c>
      <c r="J5389" s="15" t="str">
        <f t="shared" ca="1" si="1568"/>
        <v>'0'!A32</v>
      </c>
      <c r="K5389" s="15" t="str">
        <f t="shared" ca="1" si="1569"/>
        <v>'0'!B32</v>
      </c>
    </row>
    <row r="5390" spans="1:16" x14ac:dyDescent="0.25">
      <c r="A5390" s="3" t="str">
        <f t="shared" ca="1" si="1572"/>
        <v/>
      </c>
      <c r="G5390" s="15">
        <f t="shared" ca="1" si="1579"/>
        <v>33</v>
      </c>
      <c r="H5390" s="15">
        <v>1</v>
      </c>
      <c r="I5390" s="15">
        <f t="shared" ca="1" si="1580"/>
        <v>0</v>
      </c>
      <c r="J5390" s="15" t="str">
        <f t="shared" ca="1" si="1568"/>
        <v>'0'!A33</v>
      </c>
      <c r="K5390" s="15" t="str">
        <f t="shared" ca="1" si="1569"/>
        <v>'0'!B33</v>
      </c>
    </row>
    <row r="5391" spans="1:16" x14ac:dyDescent="0.25">
      <c r="A5391" s="3" t="str">
        <f t="shared" ca="1" si="1572"/>
        <v/>
      </c>
      <c r="C5391" s="16"/>
      <c r="G5391" s="15">
        <f t="shared" ca="1" si="1579"/>
        <v>34</v>
      </c>
      <c r="H5391" s="15">
        <v>1</v>
      </c>
      <c r="I5391" s="15">
        <f t="shared" ca="1" si="1580"/>
        <v>0</v>
      </c>
      <c r="J5391" s="15" t="str">
        <f t="shared" ca="1" si="1568"/>
        <v>'0'!A34</v>
      </c>
      <c r="K5391" s="15" t="str">
        <f t="shared" ca="1" si="1569"/>
        <v>'0'!B34</v>
      </c>
    </row>
    <row r="5392" spans="1:16" x14ac:dyDescent="0.25">
      <c r="A5392" s="3" t="str">
        <f t="shared" ca="1" si="1572"/>
        <v/>
      </c>
      <c r="G5392" s="15">
        <f t="shared" ca="1" si="1579"/>
        <v>35</v>
      </c>
      <c r="H5392" s="15">
        <v>1</v>
      </c>
      <c r="I5392" s="15">
        <f t="shared" ca="1" si="1580"/>
        <v>0</v>
      </c>
      <c r="J5392" s="15" t="str">
        <f t="shared" ca="1" si="1568"/>
        <v>'0'!A35</v>
      </c>
      <c r="K5392" s="15" t="str">
        <f t="shared" ca="1" si="1569"/>
        <v>'0'!B35</v>
      </c>
    </row>
    <row r="5393" spans="1:16" x14ac:dyDescent="0.25">
      <c r="A5393" s="3" t="str">
        <f t="shared" ca="1" si="1572"/>
        <v/>
      </c>
      <c r="G5393" s="15">
        <f t="shared" ca="1" si="1579"/>
        <v>36</v>
      </c>
      <c r="H5393" s="15">
        <v>1</v>
      </c>
      <c r="I5393" s="15">
        <f t="shared" ca="1" si="1580"/>
        <v>0</v>
      </c>
      <c r="J5393" s="15" t="str">
        <f t="shared" ca="1" si="1568"/>
        <v>'0'!A36</v>
      </c>
      <c r="K5393" s="15" t="str">
        <f t="shared" ca="1" si="1569"/>
        <v>'0'!B36</v>
      </c>
    </row>
    <row r="5394" spans="1:16" x14ac:dyDescent="0.25">
      <c r="A5394" s="3" t="str">
        <f t="shared" ca="1" si="1572"/>
        <v/>
      </c>
      <c r="G5394" s="15">
        <f t="shared" ca="1" si="1579"/>
        <v>37</v>
      </c>
      <c r="H5394" s="15">
        <v>1</v>
      </c>
      <c r="I5394" s="15">
        <f t="shared" ca="1" si="1580"/>
        <v>0</v>
      </c>
      <c r="J5394" s="15" t="str">
        <f t="shared" ca="1" si="1568"/>
        <v>'0'!A37</v>
      </c>
      <c r="K5394" s="15" t="str">
        <f t="shared" ca="1" si="1569"/>
        <v>'0'!B37</v>
      </c>
    </row>
    <row r="5395" spans="1:16" x14ac:dyDescent="0.25">
      <c r="A5395" s="3" t="str">
        <f t="shared" ca="1" si="1572"/>
        <v/>
      </c>
      <c r="G5395" s="15">
        <f t="shared" ca="1" si="1579"/>
        <v>38</v>
      </c>
      <c r="H5395" s="15">
        <v>1</v>
      </c>
      <c r="I5395" s="15">
        <f t="shared" ca="1" si="1580"/>
        <v>0</v>
      </c>
      <c r="J5395" s="15" t="str">
        <f t="shared" ca="1" si="1568"/>
        <v>'0'!A38</v>
      </c>
      <c r="K5395" s="15" t="str">
        <f t="shared" ca="1" si="1569"/>
        <v>'0'!B38</v>
      </c>
    </row>
    <row r="5396" spans="1:16" x14ac:dyDescent="0.25">
      <c r="A5396" s="3" t="str">
        <f t="shared" ca="1" si="1572"/>
        <v/>
      </c>
      <c r="G5396" s="15">
        <f t="shared" ca="1" si="1579"/>
        <v>39</v>
      </c>
      <c r="H5396" s="15">
        <v>1</v>
      </c>
      <c r="I5396" s="15">
        <f t="shared" ca="1" si="1580"/>
        <v>0</v>
      </c>
      <c r="J5396" s="15" t="str">
        <f t="shared" ca="1" si="1568"/>
        <v>'0'!A39</v>
      </c>
      <c r="K5396" s="15" t="str">
        <f t="shared" ca="1" si="1569"/>
        <v>'0'!B39</v>
      </c>
    </row>
    <row r="5397" spans="1:16" x14ac:dyDescent="0.25">
      <c r="A5397" s="3" t="str">
        <f t="shared" ca="1" si="1572"/>
        <v/>
      </c>
      <c r="G5397" s="15">
        <f t="shared" ca="1" si="1579"/>
        <v>40</v>
      </c>
      <c r="H5397" s="15">
        <v>1</v>
      </c>
      <c r="I5397" s="15">
        <f t="shared" ca="1" si="1580"/>
        <v>0</v>
      </c>
      <c r="J5397" s="15" t="str">
        <f t="shared" ca="1" si="1568"/>
        <v>'0'!A40</v>
      </c>
      <c r="K5397" s="15" t="str">
        <f t="shared" ca="1" si="1569"/>
        <v>'0'!B40</v>
      </c>
    </row>
    <row r="5398" spans="1:16" x14ac:dyDescent="0.25">
      <c r="A5398" s="3" t="str">
        <f t="shared" ca="1" si="1572"/>
        <v/>
      </c>
      <c r="G5398" s="15">
        <f t="shared" ca="1" si="1579"/>
        <v>41</v>
      </c>
      <c r="H5398" s="15">
        <v>1</v>
      </c>
      <c r="I5398" s="15">
        <f t="shared" ca="1" si="1580"/>
        <v>0</v>
      </c>
      <c r="J5398" s="15" t="str">
        <f t="shared" ca="1" si="1568"/>
        <v>'0'!A41</v>
      </c>
      <c r="K5398" s="15" t="str">
        <f t="shared" ca="1" si="1569"/>
        <v>'0'!B41</v>
      </c>
    </row>
    <row r="5399" spans="1:16" x14ac:dyDescent="0.25">
      <c r="A5399" s="3" t="str">
        <f t="shared" ca="1" si="1572"/>
        <v/>
      </c>
      <c r="C5399" s="16"/>
      <c r="G5399" s="15">
        <f t="shared" ca="1" si="1579"/>
        <v>42</v>
      </c>
      <c r="H5399" s="15">
        <v>1</v>
      </c>
      <c r="I5399" s="15">
        <f t="shared" ca="1" si="1580"/>
        <v>0</v>
      </c>
      <c r="J5399" s="15" t="str">
        <f t="shared" ca="1" si="1568"/>
        <v>'0'!A42</v>
      </c>
      <c r="K5399" s="15" t="str">
        <f t="shared" ca="1" si="1569"/>
        <v>'0'!B42</v>
      </c>
    </row>
    <row r="5400" spans="1:16" x14ac:dyDescent="0.25">
      <c r="A5400" s="3" t="str">
        <f t="shared" ca="1" si="1572"/>
        <v/>
      </c>
      <c r="G5400" s="15">
        <f t="shared" ca="1" si="1579"/>
        <v>43</v>
      </c>
      <c r="H5400" s="15">
        <v>1</v>
      </c>
      <c r="I5400" s="15">
        <f t="shared" ca="1" si="1580"/>
        <v>0</v>
      </c>
      <c r="J5400" s="15" t="str">
        <f t="shared" ca="1" si="1568"/>
        <v>'0'!A43</v>
      </c>
      <c r="K5400" s="15" t="str">
        <f t="shared" ca="1" si="1569"/>
        <v>'0'!B43</v>
      </c>
    </row>
    <row r="5401" spans="1:16" x14ac:dyDescent="0.25">
      <c r="A5401" s="3" t="str">
        <f t="shared" ca="1" si="1572"/>
        <v/>
      </c>
      <c r="G5401" s="15">
        <f t="shared" ca="1" si="1579"/>
        <v>44</v>
      </c>
      <c r="H5401" s="15">
        <v>1</v>
      </c>
      <c r="I5401" s="15">
        <f t="shared" ca="1" si="1580"/>
        <v>0</v>
      </c>
      <c r="J5401" s="15" t="str">
        <f t="shared" ca="1" si="1568"/>
        <v>'0'!A44</v>
      </c>
      <c r="K5401" s="15" t="str">
        <f t="shared" ca="1" si="1569"/>
        <v>'0'!B44</v>
      </c>
    </row>
    <row r="5402" spans="1:16" x14ac:dyDescent="0.25">
      <c r="A5402" s="3" t="str">
        <f t="shared" ca="1" si="1572"/>
        <v/>
      </c>
      <c r="G5402" s="15">
        <f t="shared" ca="1" si="1579"/>
        <v>45</v>
      </c>
      <c r="H5402" s="15">
        <v>1</v>
      </c>
      <c r="I5402" s="15">
        <f t="shared" ca="1" si="1580"/>
        <v>0</v>
      </c>
      <c r="J5402" s="15" t="str">
        <f t="shared" ca="1" si="1568"/>
        <v>'0'!A45</v>
      </c>
      <c r="K5402" s="15" t="str">
        <f t="shared" ca="1" si="1569"/>
        <v>'0'!B45</v>
      </c>
    </row>
    <row r="5403" spans="1:16" x14ac:dyDescent="0.25">
      <c r="A5403" s="3" t="str">
        <f t="shared" ca="1" si="1572"/>
        <v/>
      </c>
      <c r="G5403" s="15">
        <f t="shared" ca="1" si="1579"/>
        <v>46</v>
      </c>
      <c r="H5403" s="15">
        <v>1</v>
      </c>
      <c r="I5403" s="15">
        <f t="shared" ca="1" si="1580"/>
        <v>0</v>
      </c>
      <c r="J5403" s="15" t="str">
        <f t="shared" ca="1" si="1568"/>
        <v>'0'!A46</v>
      </c>
      <c r="K5403" s="15" t="str">
        <f t="shared" ca="1" si="1569"/>
        <v>'0'!B46</v>
      </c>
    </row>
    <row r="5404" spans="1:16" x14ac:dyDescent="0.25">
      <c r="A5404" s="3" t="str">
        <f t="shared" ca="1" si="1572"/>
        <v/>
      </c>
      <c r="G5404" s="15">
        <f t="shared" ca="1" si="1579"/>
        <v>47</v>
      </c>
      <c r="H5404" s="15">
        <v>1</v>
      </c>
      <c r="I5404" s="15">
        <f t="shared" ca="1" si="1580"/>
        <v>0</v>
      </c>
      <c r="J5404" s="15" t="str">
        <f t="shared" ca="1" si="1568"/>
        <v>'0'!A47</v>
      </c>
      <c r="K5404" s="15" t="str">
        <f t="shared" ca="1" si="1569"/>
        <v>'0'!B47</v>
      </c>
    </row>
    <row r="5405" spans="1:16" x14ac:dyDescent="0.25">
      <c r="A5405" s="3" t="str">
        <f t="shared" ca="1" si="1572"/>
        <v/>
      </c>
      <c r="G5405" s="15">
        <f t="shared" ca="1" si="1579"/>
        <v>48</v>
      </c>
      <c r="H5405" s="15">
        <v>1</v>
      </c>
      <c r="I5405" s="15">
        <f t="shared" ca="1" si="1580"/>
        <v>0</v>
      </c>
      <c r="J5405" s="15" t="str">
        <f t="shared" ca="1" si="1568"/>
        <v>'0'!A48</v>
      </c>
      <c r="K5405" s="15" t="str">
        <f t="shared" ca="1" si="1569"/>
        <v>'0'!B48</v>
      </c>
    </row>
    <row r="5406" spans="1:16" x14ac:dyDescent="0.25">
      <c r="A5406" s="3" t="str">
        <f t="shared" ca="1" si="1572"/>
        <v/>
      </c>
      <c r="G5406" s="15">
        <f t="shared" ca="1" si="1579"/>
        <v>49</v>
      </c>
      <c r="H5406" s="15">
        <v>1</v>
      </c>
      <c r="I5406" s="15">
        <f t="shared" ca="1" si="1580"/>
        <v>0</v>
      </c>
      <c r="J5406" s="15" t="str">
        <f t="shared" ca="1" si="1568"/>
        <v>'0'!A49</v>
      </c>
      <c r="K5406" s="15" t="str">
        <f t="shared" ca="1" si="1569"/>
        <v>'0'!B49</v>
      </c>
    </row>
    <row r="5407" spans="1:16" x14ac:dyDescent="0.25">
      <c r="A5407" s="3" t="str">
        <f t="shared" ca="1" si="1572"/>
        <v/>
      </c>
      <c r="G5407" s="15">
        <f t="shared" ca="1" si="1579"/>
        <v>50</v>
      </c>
      <c r="H5407" s="15">
        <v>1</v>
      </c>
      <c r="I5407" s="15">
        <f t="shared" ca="1" si="1580"/>
        <v>0</v>
      </c>
      <c r="J5407" s="15" t="str">
        <f t="shared" ca="1" si="1568"/>
        <v>'0'!A50</v>
      </c>
      <c r="K5407" s="15" t="str">
        <f t="shared" ca="1" si="1569"/>
        <v>'0'!B50</v>
      </c>
    </row>
    <row r="5408" spans="1:16" x14ac:dyDescent="0.25">
      <c r="A5408" s="3" t="str">
        <f t="shared" ca="1" si="1572"/>
        <v/>
      </c>
      <c r="G5408" s="15">
        <f t="shared" ref="G5408" ca="1" si="1587">INDIRECT(M5408)</f>
        <v>31</v>
      </c>
      <c r="H5408" s="15">
        <v>1</v>
      </c>
      <c r="I5408" s="15">
        <f t="shared" ref="I5408" ca="1" si="1588">INDIRECT(N5408)</f>
        <v>0</v>
      </c>
      <c r="J5408" s="15" t="str">
        <f t="shared" ca="1" si="1568"/>
        <v>'0'!A31</v>
      </c>
      <c r="K5408" s="15" t="str">
        <f t="shared" ca="1" si="1569"/>
        <v>'0'!B31</v>
      </c>
      <c r="M5408" s="15" t="str">
        <f t="shared" ref="M5408" si="1589">ADDRESS(O5408,3,4,1,$R$1)</f>
        <v>konfig!C272</v>
      </c>
      <c r="N5408" s="15" t="str">
        <f t="shared" ref="N5408" si="1590">ADDRESS(O5408,1,4,1,$R$1)</f>
        <v>konfig!A272</v>
      </c>
      <c r="O5408" s="15">
        <v>272</v>
      </c>
      <c r="P5408" s="15">
        <v>4</v>
      </c>
    </row>
    <row r="5409" spans="1:11" x14ac:dyDescent="0.25">
      <c r="A5409" s="3" t="str">
        <f t="shared" ca="1" si="1572"/>
        <v/>
      </c>
      <c r="G5409" s="15">
        <f t="shared" ca="1" si="1577"/>
        <v>32</v>
      </c>
      <c r="H5409" s="15">
        <v>1</v>
      </c>
      <c r="I5409" s="15">
        <f t="shared" ca="1" si="1578"/>
        <v>0</v>
      </c>
      <c r="J5409" s="15" t="str">
        <f t="shared" ca="1" si="1568"/>
        <v>'0'!A32</v>
      </c>
      <c r="K5409" s="15" t="str">
        <f t="shared" ca="1" si="1569"/>
        <v>'0'!B32</v>
      </c>
    </row>
    <row r="5410" spans="1:11" x14ac:dyDescent="0.25">
      <c r="A5410" s="3" t="str">
        <f t="shared" ca="1" si="1572"/>
        <v/>
      </c>
      <c r="G5410" s="15">
        <f t="shared" ca="1" si="1577"/>
        <v>33</v>
      </c>
      <c r="H5410" s="15">
        <v>1</v>
      </c>
      <c r="I5410" s="15">
        <f t="shared" ca="1" si="1578"/>
        <v>0</v>
      </c>
      <c r="J5410" s="15" t="str">
        <f t="shared" ca="1" si="1568"/>
        <v>'0'!A33</v>
      </c>
      <c r="K5410" s="15" t="str">
        <f t="shared" ca="1" si="1569"/>
        <v>'0'!B33</v>
      </c>
    </row>
    <row r="5411" spans="1:11" x14ac:dyDescent="0.25">
      <c r="A5411" s="3" t="str">
        <f t="shared" ca="1" si="1572"/>
        <v/>
      </c>
      <c r="C5411" s="16"/>
      <c r="G5411" s="15">
        <f t="shared" ca="1" si="1577"/>
        <v>34</v>
      </c>
      <c r="H5411" s="15">
        <v>1</v>
      </c>
      <c r="I5411" s="15">
        <f t="shared" ca="1" si="1578"/>
        <v>0</v>
      </c>
      <c r="J5411" s="15" t="str">
        <f t="shared" ca="1" si="1568"/>
        <v>'0'!A34</v>
      </c>
      <c r="K5411" s="15" t="str">
        <f t="shared" ca="1" si="1569"/>
        <v>'0'!B34</v>
      </c>
    </row>
    <row r="5412" spans="1:11" x14ac:dyDescent="0.25">
      <c r="A5412" s="3" t="str">
        <f t="shared" ca="1" si="1572"/>
        <v/>
      </c>
      <c r="G5412" s="15">
        <f t="shared" ca="1" si="1577"/>
        <v>35</v>
      </c>
      <c r="H5412" s="15">
        <v>1</v>
      </c>
      <c r="I5412" s="15">
        <f t="shared" ca="1" si="1578"/>
        <v>0</v>
      </c>
      <c r="J5412" s="15" t="str">
        <f t="shared" ref="J5412:J5475" ca="1" si="1591">ADDRESS(G5412,H5412,4,1,I5412)</f>
        <v>'0'!A35</v>
      </c>
      <c r="K5412" s="15" t="str">
        <f t="shared" ref="K5412:K5475" ca="1" si="1592">ADDRESS(G5412,H5412+1,4,1,I5412)</f>
        <v>'0'!B35</v>
      </c>
    </row>
    <row r="5413" spans="1:11" x14ac:dyDescent="0.25">
      <c r="A5413" s="3" t="str">
        <f t="shared" ca="1" si="1572"/>
        <v/>
      </c>
      <c r="G5413" s="15">
        <f t="shared" ca="1" si="1579"/>
        <v>36</v>
      </c>
      <c r="H5413" s="15">
        <v>1</v>
      </c>
      <c r="I5413" s="15">
        <f t="shared" ca="1" si="1580"/>
        <v>0</v>
      </c>
      <c r="J5413" s="15" t="str">
        <f t="shared" ca="1" si="1591"/>
        <v>'0'!A36</v>
      </c>
      <c r="K5413" s="15" t="str">
        <f t="shared" ca="1" si="1592"/>
        <v>'0'!B36</v>
      </c>
    </row>
    <row r="5414" spans="1:11" x14ac:dyDescent="0.25">
      <c r="A5414" s="3" t="str">
        <f t="shared" ca="1" si="1572"/>
        <v/>
      </c>
      <c r="G5414" s="15">
        <f t="shared" ca="1" si="1579"/>
        <v>37</v>
      </c>
      <c r="H5414" s="15">
        <v>1</v>
      </c>
      <c r="I5414" s="15">
        <f t="shared" ca="1" si="1580"/>
        <v>0</v>
      </c>
      <c r="J5414" s="15" t="str">
        <f t="shared" ca="1" si="1591"/>
        <v>'0'!A37</v>
      </c>
      <c r="K5414" s="15" t="str">
        <f t="shared" ca="1" si="1592"/>
        <v>'0'!B37</v>
      </c>
    </row>
    <row r="5415" spans="1:11" x14ac:dyDescent="0.25">
      <c r="A5415" s="3" t="str">
        <f t="shared" ca="1" si="1572"/>
        <v/>
      </c>
      <c r="G5415" s="15">
        <f t="shared" ca="1" si="1579"/>
        <v>38</v>
      </c>
      <c r="H5415" s="15">
        <v>1</v>
      </c>
      <c r="I5415" s="15">
        <f t="shared" ca="1" si="1580"/>
        <v>0</v>
      </c>
      <c r="J5415" s="15" t="str">
        <f t="shared" ca="1" si="1591"/>
        <v>'0'!A38</v>
      </c>
      <c r="K5415" s="15" t="str">
        <f t="shared" ca="1" si="1592"/>
        <v>'0'!B38</v>
      </c>
    </row>
    <row r="5416" spans="1:11" x14ac:dyDescent="0.25">
      <c r="A5416" s="3" t="str">
        <f t="shared" ca="1" si="1572"/>
        <v/>
      </c>
      <c r="G5416" s="15">
        <f t="shared" ca="1" si="1579"/>
        <v>39</v>
      </c>
      <c r="H5416" s="15">
        <v>1</v>
      </c>
      <c r="I5416" s="15">
        <f t="shared" ca="1" si="1580"/>
        <v>0</v>
      </c>
      <c r="J5416" s="15" t="str">
        <f t="shared" ca="1" si="1591"/>
        <v>'0'!A39</v>
      </c>
      <c r="K5416" s="15" t="str">
        <f t="shared" ca="1" si="1592"/>
        <v>'0'!B39</v>
      </c>
    </row>
    <row r="5417" spans="1:11" x14ac:dyDescent="0.25">
      <c r="A5417" s="3" t="str">
        <f t="shared" ca="1" si="1572"/>
        <v/>
      </c>
      <c r="G5417" s="15">
        <f t="shared" ca="1" si="1579"/>
        <v>40</v>
      </c>
      <c r="H5417" s="15">
        <v>1</v>
      </c>
      <c r="I5417" s="15">
        <f t="shared" ca="1" si="1580"/>
        <v>0</v>
      </c>
      <c r="J5417" s="15" t="str">
        <f t="shared" ca="1" si="1591"/>
        <v>'0'!A40</v>
      </c>
      <c r="K5417" s="15" t="str">
        <f t="shared" ca="1" si="1592"/>
        <v>'0'!B40</v>
      </c>
    </row>
    <row r="5418" spans="1:11" x14ac:dyDescent="0.25">
      <c r="A5418" s="3" t="str">
        <f t="shared" ca="1" si="1572"/>
        <v/>
      </c>
      <c r="G5418" s="15">
        <f t="shared" ca="1" si="1579"/>
        <v>41</v>
      </c>
      <c r="H5418" s="15">
        <v>1</v>
      </c>
      <c r="I5418" s="15">
        <f t="shared" ca="1" si="1580"/>
        <v>0</v>
      </c>
      <c r="J5418" s="15" t="str">
        <f t="shared" ca="1" si="1591"/>
        <v>'0'!A41</v>
      </c>
      <c r="K5418" s="15" t="str">
        <f t="shared" ca="1" si="1592"/>
        <v>'0'!B41</v>
      </c>
    </row>
    <row r="5419" spans="1:11" x14ac:dyDescent="0.25">
      <c r="A5419" s="3" t="str">
        <f t="shared" ca="1" si="1572"/>
        <v/>
      </c>
      <c r="C5419" s="16"/>
      <c r="G5419" s="15">
        <f t="shared" ca="1" si="1579"/>
        <v>42</v>
      </c>
      <c r="H5419" s="15">
        <v>1</v>
      </c>
      <c r="I5419" s="15">
        <f t="shared" ca="1" si="1580"/>
        <v>0</v>
      </c>
      <c r="J5419" s="15" t="str">
        <f t="shared" ca="1" si="1591"/>
        <v>'0'!A42</v>
      </c>
      <c r="K5419" s="15" t="str">
        <f t="shared" ca="1" si="1592"/>
        <v>'0'!B42</v>
      </c>
    </row>
    <row r="5420" spans="1:11" x14ac:dyDescent="0.25">
      <c r="A5420" s="3" t="str">
        <f t="shared" ref="A5420:A5483" ca="1" si="1593">IFERROR(IF(INDIRECT(J5420)&lt;&gt;"",CONCATENATE(INDIRECT(J5420)," = ",INDIRECT(K5420)," "),""),"")</f>
        <v/>
      </c>
      <c r="G5420" s="15">
        <f t="shared" ca="1" si="1579"/>
        <v>43</v>
      </c>
      <c r="H5420" s="15">
        <v>1</v>
      </c>
      <c r="I5420" s="15">
        <f t="shared" ca="1" si="1580"/>
        <v>0</v>
      </c>
      <c r="J5420" s="15" t="str">
        <f t="shared" ca="1" si="1591"/>
        <v>'0'!A43</v>
      </c>
      <c r="K5420" s="15" t="str">
        <f t="shared" ca="1" si="1592"/>
        <v>'0'!B43</v>
      </c>
    </row>
    <row r="5421" spans="1:11" x14ac:dyDescent="0.25">
      <c r="A5421" s="3" t="str">
        <f t="shared" ca="1" si="1593"/>
        <v/>
      </c>
      <c r="G5421" s="15">
        <f t="shared" ca="1" si="1579"/>
        <v>44</v>
      </c>
      <c r="H5421" s="15">
        <v>1</v>
      </c>
      <c r="I5421" s="15">
        <f t="shared" ca="1" si="1580"/>
        <v>0</v>
      </c>
      <c r="J5421" s="15" t="str">
        <f t="shared" ca="1" si="1591"/>
        <v>'0'!A44</v>
      </c>
      <c r="K5421" s="15" t="str">
        <f t="shared" ca="1" si="1592"/>
        <v>'0'!B44</v>
      </c>
    </row>
    <row r="5422" spans="1:11" x14ac:dyDescent="0.25">
      <c r="A5422" s="3" t="str">
        <f t="shared" ca="1" si="1593"/>
        <v/>
      </c>
      <c r="G5422" s="15">
        <f t="shared" ca="1" si="1579"/>
        <v>45</v>
      </c>
      <c r="H5422" s="15">
        <v>1</v>
      </c>
      <c r="I5422" s="15">
        <f t="shared" ca="1" si="1580"/>
        <v>0</v>
      </c>
      <c r="J5422" s="15" t="str">
        <f t="shared" ca="1" si="1591"/>
        <v>'0'!A45</v>
      </c>
      <c r="K5422" s="15" t="str">
        <f t="shared" ca="1" si="1592"/>
        <v>'0'!B45</v>
      </c>
    </row>
    <row r="5423" spans="1:11" x14ac:dyDescent="0.25">
      <c r="A5423" s="3" t="str">
        <f t="shared" ca="1" si="1593"/>
        <v/>
      </c>
      <c r="G5423" s="15">
        <f t="shared" ca="1" si="1579"/>
        <v>46</v>
      </c>
      <c r="H5423" s="15">
        <v>1</v>
      </c>
      <c r="I5423" s="15">
        <f t="shared" ca="1" si="1580"/>
        <v>0</v>
      </c>
      <c r="J5423" s="15" t="str">
        <f t="shared" ca="1" si="1591"/>
        <v>'0'!A46</v>
      </c>
      <c r="K5423" s="15" t="str">
        <f t="shared" ca="1" si="1592"/>
        <v>'0'!B46</v>
      </c>
    </row>
    <row r="5424" spans="1:11" x14ac:dyDescent="0.25">
      <c r="A5424" s="3" t="str">
        <f t="shared" ca="1" si="1593"/>
        <v/>
      </c>
      <c r="G5424" s="15">
        <f t="shared" ca="1" si="1579"/>
        <v>47</v>
      </c>
      <c r="H5424" s="15">
        <v>1</v>
      </c>
      <c r="I5424" s="15">
        <f t="shared" ca="1" si="1580"/>
        <v>0</v>
      </c>
      <c r="J5424" s="15" t="str">
        <f t="shared" ca="1" si="1591"/>
        <v>'0'!A47</v>
      </c>
      <c r="K5424" s="15" t="str">
        <f t="shared" ca="1" si="1592"/>
        <v>'0'!B47</v>
      </c>
    </row>
    <row r="5425" spans="1:16" x14ac:dyDescent="0.25">
      <c r="A5425" s="3" t="str">
        <f t="shared" ca="1" si="1593"/>
        <v/>
      </c>
      <c r="G5425" s="15">
        <f t="shared" ca="1" si="1579"/>
        <v>48</v>
      </c>
      <c r="H5425" s="15">
        <v>1</v>
      </c>
      <c r="I5425" s="15">
        <f t="shared" ca="1" si="1580"/>
        <v>0</v>
      </c>
      <c r="J5425" s="15" t="str">
        <f t="shared" ca="1" si="1591"/>
        <v>'0'!A48</v>
      </c>
      <c r="K5425" s="15" t="str">
        <f t="shared" ca="1" si="1592"/>
        <v>'0'!B48</v>
      </c>
    </row>
    <row r="5426" spans="1:16" x14ac:dyDescent="0.25">
      <c r="A5426" s="3" t="str">
        <f t="shared" ca="1" si="1593"/>
        <v/>
      </c>
      <c r="G5426" s="15">
        <f t="shared" ca="1" si="1579"/>
        <v>49</v>
      </c>
      <c r="H5426" s="15">
        <v>1</v>
      </c>
      <c r="I5426" s="15">
        <f t="shared" ca="1" si="1580"/>
        <v>0</v>
      </c>
      <c r="J5426" s="15" t="str">
        <f t="shared" ca="1" si="1591"/>
        <v>'0'!A49</v>
      </c>
      <c r="K5426" s="15" t="str">
        <f t="shared" ca="1" si="1592"/>
        <v>'0'!B49</v>
      </c>
    </row>
    <row r="5427" spans="1:16" x14ac:dyDescent="0.25">
      <c r="A5427" s="3" t="str">
        <f t="shared" ca="1" si="1593"/>
        <v/>
      </c>
      <c r="G5427" s="15">
        <f t="shared" ca="1" si="1579"/>
        <v>50</v>
      </c>
      <c r="H5427" s="15">
        <v>1</v>
      </c>
      <c r="I5427" s="15">
        <f t="shared" ca="1" si="1580"/>
        <v>0</v>
      </c>
      <c r="J5427" s="15" t="str">
        <f t="shared" ca="1" si="1591"/>
        <v>'0'!A50</v>
      </c>
      <c r="K5427" s="15" t="str">
        <f t="shared" ca="1" si="1592"/>
        <v>'0'!B50</v>
      </c>
    </row>
    <row r="5428" spans="1:16" x14ac:dyDescent="0.25">
      <c r="A5428" s="3" t="str">
        <f t="shared" ca="1" si="1593"/>
        <v/>
      </c>
      <c r="G5428" s="15">
        <f t="shared" ref="G5428" ca="1" si="1594">INDIRECT(M5428)</f>
        <v>31</v>
      </c>
      <c r="H5428" s="15">
        <v>1</v>
      </c>
      <c r="I5428" s="15">
        <f t="shared" ref="I5428" ca="1" si="1595">INDIRECT(N5428)</f>
        <v>0</v>
      </c>
      <c r="J5428" s="15" t="str">
        <f t="shared" ca="1" si="1591"/>
        <v>'0'!A31</v>
      </c>
      <c r="K5428" s="15" t="str">
        <f t="shared" ca="1" si="1592"/>
        <v>'0'!B31</v>
      </c>
      <c r="M5428" s="15" t="str">
        <f t="shared" ref="M5428" si="1596">ADDRESS(O5428,3,4,1,$R$1)</f>
        <v>konfig!C273</v>
      </c>
      <c r="N5428" s="15" t="str">
        <f t="shared" ref="N5428" si="1597">ADDRESS(O5428,1,4,1,$R$1)</f>
        <v>konfig!A273</v>
      </c>
      <c r="O5428" s="15">
        <v>273</v>
      </c>
      <c r="P5428" s="15">
        <v>4</v>
      </c>
    </row>
    <row r="5429" spans="1:16" x14ac:dyDescent="0.25">
      <c r="A5429" s="3" t="str">
        <f t="shared" ca="1" si="1593"/>
        <v/>
      </c>
      <c r="G5429" s="15">
        <f t="shared" ca="1" si="1585"/>
        <v>32</v>
      </c>
      <c r="H5429" s="15">
        <v>1</v>
      </c>
      <c r="I5429" s="15">
        <f t="shared" ca="1" si="1586"/>
        <v>0</v>
      </c>
      <c r="J5429" s="15" t="str">
        <f t="shared" ca="1" si="1591"/>
        <v>'0'!A32</v>
      </c>
      <c r="K5429" s="15" t="str">
        <f t="shared" ca="1" si="1592"/>
        <v>'0'!B32</v>
      </c>
    </row>
    <row r="5430" spans="1:16" x14ac:dyDescent="0.25">
      <c r="A5430" s="3" t="str">
        <f t="shared" ca="1" si="1593"/>
        <v/>
      </c>
      <c r="G5430" s="15">
        <f t="shared" ca="1" si="1579"/>
        <v>33</v>
      </c>
      <c r="H5430" s="15">
        <v>1</v>
      </c>
      <c r="I5430" s="15">
        <f t="shared" ca="1" si="1580"/>
        <v>0</v>
      </c>
      <c r="J5430" s="15" t="str">
        <f t="shared" ca="1" si="1591"/>
        <v>'0'!A33</v>
      </c>
      <c r="K5430" s="15" t="str">
        <f t="shared" ca="1" si="1592"/>
        <v>'0'!B33</v>
      </c>
    </row>
    <row r="5431" spans="1:16" x14ac:dyDescent="0.25">
      <c r="A5431" s="3" t="str">
        <f t="shared" ca="1" si="1593"/>
        <v/>
      </c>
      <c r="C5431" s="16"/>
      <c r="G5431" s="15">
        <f t="shared" ca="1" si="1579"/>
        <v>34</v>
      </c>
      <c r="H5431" s="15">
        <v>1</v>
      </c>
      <c r="I5431" s="15">
        <f t="shared" ca="1" si="1580"/>
        <v>0</v>
      </c>
      <c r="J5431" s="15" t="str">
        <f t="shared" ca="1" si="1591"/>
        <v>'0'!A34</v>
      </c>
      <c r="K5431" s="15" t="str">
        <f t="shared" ca="1" si="1592"/>
        <v>'0'!B34</v>
      </c>
    </row>
    <row r="5432" spans="1:16" x14ac:dyDescent="0.25">
      <c r="A5432" s="3" t="str">
        <f t="shared" ca="1" si="1593"/>
        <v/>
      </c>
      <c r="G5432" s="15">
        <f t="shared" ca="1" si="1579"/>
        <v>35</v>
      </c>
      <c r="H5432" s="15">
        <v>1</v>
      </c>
      <c r="I5432" s="15">
        <f t="shared" ca="1" si="1580"/>
        <v>0</v>
      </c>
      <c r="J5432" s="15" t="str">
        <f t="shared" ca="1" si="1591"/>
        <v>'0'!A35</v>
      </c>
      <c r="K5432" s="15" t="str">
        <f t="shared" ca="1" si="1592"/>
        <v>'0'!B35</v>
      </c>
    </row>
    <row r="5433" spans="1:16" x14ac:dyDescent="0.25">
      <c r="A5433" s="3" t="str">
        <f t="shared" ca="1" si="1593"/>
        <v/>
      </c>
      <c r="G5433" s="15">
        <f t="shared" ca="1" si="1579"/>
        <v>36</v>
      </c>
      <c r="H5433" s="15">
        <v>1</v>
      </c>
      <c r="I5433" s="15">
        <f t="shared" ca="1" si="1580"/>
        <v>0</v>
      </c>
      <c r="J5433" s="15" t="str">
        <f t="shared" ca="1" si="1591"/>
        <v>'0'!A36</v>
      </c>
      <c r="K5433" s="15" t="str">
        <f t="shared" ca="1" si="1592"/>
        <v>'0'!B36</v>
      </c>
    </row>
    <row r="5434" spans="1:16" x14ac:dyDescent="0.25">
      <c r="A5434" s="3" t="str">
        <f t="shared" ca="1" si="1593"/>
        <v/>
      </c>
      <c r="G5434" s="15">
        <f t="shared" ca="1" si="1579"/>
        <v>37</v>
      </c>
      <c r="H5434" s="15">
        <v>1</v>
      </c>
      <c r="I5434" s="15">
        <f t="shared" ca="1" si="1580"/>
        <v>0</v>
      </c>
      <c r="J5434" s="15" t="str">
        <f t="shared" ca="1" si="1591"/>
        <v>'0'!A37</v>
      </c>
      <c r="K5434" s="15" t="str">
        <f t="shared" ca="1" si="1592"/>
        <v>'0'!B37</v>
      </c>
    </row>
    <row r="5435" spans="1:16" x14ac:dyDescent="0.25">
      <c r="A5435" s="3" t="str">
        <f t="shared" ca="1" si="1593"/>
        <v/>
      </c>
      <c r="G5435" s="15">
        <f t="shared" ca="1" si="1579"/>
        <v>38</v>
      </c>
      <c r="H5435" s="15">
        <v>1</v>
      </c>
      <c r="I5435" s="15">
        <f t="shared" ca="1" si="1580"/>
        <v>0</v>
      </c>
      <c r="J5435" s="15" t="str">
        <f t="shared" ca="1" si="1591"/>
        <v>'0'!A38</v>
      </c>
      <c r="K5435" s="15" t="str">
        <f t="shared" ca="1" si="1592"/>
        <v>'0'!B38</v>
      </c>
    </row>
    <row r="5436" spans="1:16" x14ac:dyDescent="0.25">
      <c r="A5436" s="3" t="str">
        <f t="shared" ca="1" si="1593"/>
        <v/>
      </c>
      <c r="G5436" s="15">
        <f t="shared" ca="1" si="1579"/>
        <v>39</v>
      </c>
      <c r="H5436" s="15">
        <v>1</v>
      </c>
      <c r="I5436" s="15">
        <f t="shared" ca="1" si="1580"/>
        <v>0</v>
      </c>
      <c r="J5436" s="15" t="str">
        <f t="shared" ca="1" si="1591"/>
        <v>'0'!A39</v>
      </c>
      <c r="K5436" s="15" t="str">
        <f t="shared" ca="1" si="1592"/>
        <v>'0'!B39</v>
      </c>
    </row>
    <row r="5437" spans="1:16" x14ac:dyDescent="0.25">
      <c r="A5437" s="3" t="str">
        <f t="shared" ca="1" si="1593"/>
        <v/>
      </c>
      <c r="G5437" s="15">
        <f t="shared" ca="1" si="1579"/>
        <v>40</v>
      </c>
      <c r="H5437" s="15">
        <v>1</v>
      </c>
      <c r="I5437" s="15">
        <f t="shared" ca="1" si="1580"/>
        <v>0</v>
      </c>
      <c r="J5437" s="15" t="str">
        <f t="shared" ca="1" si="1591"/>
        <v>'0'!A40</v>
      </c>
      <c r="K5437" s="15" t="str">
        <f t="shared" ca="1" si="1592"/>
        <v>'0'!B40</v>
      </c>
    </row>
    <row r="5438" spans="1:16" x14ac:dyDescent="0.25">
      <c r="A5438" s="3" t="str">
        <f t="shared" ca="1" si="1593"/>
        <v/>
      </c>
      <c r="G5438" s="15">
        <f t="shared" ca="1" si="1579"/>
        <v>41</v>
      </c>
      <c r="H5438" s="15">
        <v>1</v>
      </c>
      <c r="I5438" s="15">
        <f t="shared" ca="1" si="1580"/>
        <v>0</v>
      </c>
      <c r="J5438" s="15" t="str">
        <f t="shared" ca="1" si="1591"/>
        <v>'0'!A41</v>
      </c>
      <c r="K5438" s="15" t="str">
        <f t="shared" ca="1" si="1592"/>
        <v>'0'!B41</v>
      </c>
    </row>
    <row r="5439" spans="1:16" x14ac:dyDescent="0.25">
      <c r="A5439" s="3" t="str">
        <f t="shared" ca="1" si="1593"/>
        <v/>
      </c>
      <c r="C5439" s="16"/>
      <c r="G5439" s="15">
        <f t="shared" ca="1" si="1579"/>
        <v>42</v>
      </c>
      <c r="H5439" s="15">
        <v>1</v>
      </c>
      <c r="I5439" s="15">
        <f t="shared" ca="1" si="1580"/>
        <v>0</v>
      </c>
      <c r="J5439" s="15" t="str">
        <f t="shared" ca="1" si="1591"/>
        <v>'0'!A42</v>
      </c>
      <c r="K5439" s="15" t="str">
        <f t="shared" ca="1" si="1592"/>
        <v>'0'!B42</v>
      </c>
    </row>
    <row r="5440" spans="1:16" x14ac:dyDescent="0.25">
      <c r="A5440" s="3" t="str">
        <f t="shared" ca="1" si="1593"/>
        <v/>
      </c>
      <c r="G5440" s="15">
        <f t="shared" ca="1" si="1579"/>
        <v>43</v>
      </c>
      <c r="H5440" s="15">
        <v>1</v>
      </c>
      <c r="I5440" s="15">
        <f t="shared" ca="1" si="1580"/>
        <v>0</v>
      </c>
      <c r="J5440" s="15" t="str">
        <f t="shared" ca="1" si="1591"/>
        <v>'0'!A43</v>
      </c>
      <c r="K5440" s="15" t="str">
        <f t="shared" ca="1" si="1592"/>
        <v>'0'!B43</v>
      </c>
    </row>
    <row r="5441" spans="1:16" x14ac:dyDescent="0.25">
      <c r="A5441" s="3" t="str">
        <f t="shared" ca="1" si="1593"/>
        <v/>
      </c>
      <c r="G5441" s="15">
        <f t="shared" ca="1" si="1579"/>
        <v>44</v>
      </c>
      <c r="H5441" s="15">
        <v>1</v>
      </c>
      <c r="I5441" s="15">
        <f t="shared" ca="1" si="1580"/>
        <v>0</v>
      </c>
      <c r="J5441" s="15" t="str">
        <f t="shared" ca="1" si="1591"/>
        <v>'0'!A44</v>
      </c>
      <c r="K5441" s="15" t="str">
        <f t="shared" ca="1" si="1592"/>
        <v>'0'!B44</v>
      </c>
    </row>
    <row r="5442" spans="1:16" x14ac:dyDescent="0.25">
      <c r="A5442" s="3" t="str">
        <f t="shared" ca="1" si="1593"/>
        <v/>
      </c>
      <c r="G5442" s="15">
        <f t="shared" ca="1" si="1579"/>
        <v>45</v>
      </c>
      <c r="H5442" s="15">
        <v>1</v>
      </c>
      <c r="I5442" s="15">
        <f t="shared" ca="1" si="1580"/>
        <v>0</v>
      </c>
      <c r="J5442" s="15" t="str">
        <f t="shared" ca="1" si="1591"/>
        <v>'0'!A45</v>
      </c>
      <c r="K5442" s="15" t="str">
        <f t="shared" ca="1" si="1592"/>
        <v>'0'!B45</v>
      </c>
    </row>
    <row r="5443" spans="1:16" x14ac:dyDescent="0.25">
      <c r="A5443" s="3" t="str">
        <f t="shared" ca="1" si="1593"/>
        <v/>
      </c>
      <c r="G5443" s="15">
        <f t="shared" ca="1" si="1579"/>
        <v>46</v>
      </c>
      <c r="H5443" s="15">
        <v>1</v>
      </c>
      <c r="I5443" s="15">
        <f t="shared" ca="1" si="1580"/>
        <v>0</v>
      </c>
      <c r="J5443" s="15" t="str">
        <f t="shared" ca="1" si="1591"/>
        <v>'0'!A46</v>
      </c>
      <c r="K5443" s="15" t="str">
        <f t="shared" ca="1" si="1592"/>
        <v>'0'!B46</v>
      </c>
    </row>
    <row r="5444" spans="1:16" x14ac:dyDescent="0.25">
      <c r="A5444" s="3" t="str">
        <f t="shared" ca="1" si="1593"/>
        <v/>
      </c>
      <c r="G5444" s="15">
        <f t="shared" ca="1" si="1579"/>
        <v>47</v>
      </c>
      <c r="H5444" s="15">
        <v>1</v>
      </c>
      <c r="I5444" s="15">
        <f t="shared" ca="1" si="1580"/>
        <v>0</v>
      </c>
      <c r="J5444" s="15" t="str">
        <f t="shared" ca="1" si="1591"/>
        <v>'0'!A47</v>
      </c>
      <c r="K5444" s="15" t="str">
        <f t="shared" ca="1" si="1592"/>
        <v>'0'!B47</v>
      </c>
    </row>
    <row r="5445" spans="1:16" x14ac:dyDescent="0.25">
      <c r="A5445" s="3" t="str">
        <f t="shared" ca="1" si="1593"/>
        <v/>
      </c>
      <c r="G5445" s="15">
        <f t="shared" ca="1" si="1579"/>
        <v>48</v>
      </c>
      <c r="H5445" s="15">
        <v>1</v>
      </c>
      <c r="I5445" s="15">
        <f t="shared" ca="1" si="1580"/>
        <v>0</v>
      </c>
      <c r="J5445" s="15" t="str">
        <f t="shared" ca="1" si="1591"/>
        <v>'0'!A48</v>
      </c>
      <c r="K5445" s="15" t="str">
        <f t="shared" ca="1" si="1592"/>
        <v>'0'!B48</v>
      </c>
    </row>
    <row r="5446" spans="1:16" x14ac:dyDescent="0.25">
      <c r="A5446" s="3" t="str">
        <f t="shared" ca="1" si="1593"/>
        <v/>
      </c>
      <c r="G5446" s="15">
        <f t="shared" ca="1" si="1579"/>
        <v>49</v>
      </c>
      <c r="H5446" s="15">
        <v>1</v>
      </c>
      <c r="I5446" s="15">
        <f t="shared" ca="1" si="1580"/>
        <v>0</v>
      </c>
      <c r="J5446" s="15" t="str">
        <f t="shared" ca="1" si="1591"/>
        <v>'0'!A49</v>
      </c>
      <c r="K5446" s="15" t="str">
        <f t="shared" ca="1" si="1592"/>
        <v>'0'!B49</v>
      </c>
    </row>
    <row r="5447" spans="1:16" x14ac:dyDescent="0.25">
      <c r="A5447" s="3" t="str">
        <f t="shared" ca="1" si="1593"/>
        <v/>
      </c>
      <c r="G5447" s="15">
        <f t="shared" ca="1" si="1579"/>
        <v>50</v>
      </c>
      <c r="H5447" s="15">
        <v>1</v>
      </c>
      <c r="I5447" s="15">
        <f t="shared" ca="1" si="1580"/>
        <v>0</v>
      </c>
      <c r="J5447" s="15" t="str">
        <f t="shared" ca="1" si="1591"/>
        <v>'0'!A50</v>
      </c>
      <c r="K5447" s="15" t="str">
        <f t="shared" ca="1" si="1592"/>
        <v>'0'!B50</v>
      </c>
    </row>
    <row r="5448" spans="1:16" x14ac:dyDescent="0.25">
      <c r="A5448" s="3" t="str">
        <f t="shared" ca="1" si="1593"/>
        <v/>
      </c>
      <c r="G5448" s="15">
        <f t="shared" ref="G5448" ca="1" si="1598">INDIRECT(M5448)</f>
        <v>31</v>
      </c>
      <c r="H5448" s="15">
        <v>1</v>
      </c>
      <c r="I5448" s="15">
        <f t="shared" ref="I5448" ca="1" si="1599">INDIRECT(N5448)</f>
        <v>0</v>
      </c>
      <c r="J5448" s="15" t="str">
        <f t="shared" ca="1" si="1591"/>
        <v>'0'!A31</v>
      </c>
      <c r="K5448" s="15" t="str">
        <f t="shared" ca="1" si="1592"/>
        <v>'0'!B31</v>
      </c>
      <c r="M5448" s="15" t="str">
        <f t="shared" ref="M5448" si="1600">ADDRESS(O5448,3,4,1,$R$1)</f>
        <v>konfig!C274</v>
      </c>
      <c r="N5448" s="15" t="str">
        <f t="shared" ref="N5448" si="1601">ADDRESS(O5448,1,4,1,$R$1)</f>
        <v>konfig!A274</v>
      </c>
      <c r="O5448" s="15">
        <v>274</v>
      </c>
      <c r="P5448" s="15">
        <v>4</v>
      </c>
    </row>
    <row r="5449" spans="1:16" x14ac:dyDescent="0.25">
      <c r="A5449" s="3" t="str">
        <f t="shared" ca="1" si="1593"/>
        <v/>
      </c>
      <c r="G5449" s="15">
        <f t="shared" ref="G5449:G5512" ca="1" si="1602">G5448+1</f>
        <v>32</v>
      </c>
      <c r="H5449" s="15">
        <v>1</v>
      </c>
      <c r="I5449" s="15">
        <f t="shared" ref="I5449:I5512" ca="1" si="1603">I5448</f>
        <v>0</v>
      </c>
      <c r="J5449" s="15" t="str">
        <f t="shared" ca="1" si="1591"/>
        <v>'0'!A32</v>
      </c>
      <c r="K5449" s="15" t="str">
        <f t="shared" ca="1" si="1592"/>
        <v>'0'!B32</v>
      </c>
    </row>
    <row r="5450" spans="1:16" x14ac:dyDescent="0.25">
      <c r="A5450" s="3" t="str">
        <f t="shared" ca="1" si="1593"/>
        <v/>
      </c>
      <c r="G5450" s="15">
        <f t="shared" ca="1" si="1602"/>
        <v>33</v>
      </c>
      <c r="H5450" s="15">
        <v>1</v>
      </c>
      <c r="I5450" s="15">
        <f t="shared" ca="1" si="1603"/>
        <v>0</v>
      </c>
      <c r="J5450" s="15" t="str">
        <f t="shared" ca="1" si="1591"/>
        <v>'0'!A33</v>
      </c>
      <c r="K5450" s="15" t="str">
        <f t="shared" ca="1" si="1592"/>
        <v>'0'!B33</v>
      </c>
    </row>
    <row r="5451" spans="1:16" x14ac:dyDescent="0.25">
      <c r="A5451" s="3" t="str">
        <f t="shared" ca="1" si="1593"/>
        <v/>
      </c>
      <c r="C5451" s="16"/>
      <c r="G5451" s="15">
        <f t="shared" ca="1" si="1602"/>
        <v>34</v>
      </c>
      <c r="H5451" s="15">
        <v>1</v>
      </c>
      <c r="I5451" s="15">
        <f t="shared" ca="1" si="1603"/>
        <v>0</v>
      </c>
      <c r="J5451" s="15" t="str">
        <f t="shared" ca="1" si="1591"/>
        <v>'0'!A34</v>
      </c>
      <c r="K5451" s="15" t="str">
        <f t="shared" ca="1" si="1592"/>
        <v>'0'!B34</v>
      </c>
    </row>
    <row r="5452" spans="1:16" x14ac:dyDescent="0.25">
      <c r="A5452" s="3" t="str">
        <f t="shared" ca="1" si="1593"/>
        <v/>
      </c>
      <c r="G5452" s="15">
        <f t="shared" ca="1" si="1602"/>
        <v>35</v>
      </c>
      <c r="H5452" s="15">
        <v>1</v>
      </c>
      <c r="I5452" s="15">
        <f t="shared" ca="1" si="1603"/>
        <v>0</v>
      </c>
      <c r="J5452" s="15" t="str">
        <f t="shared" ca="1" si="1591"/>
        <v>'0'!A35</v>
      </c>
      <c r="K5452" s="15" t="str">
        <f t="shared" ca="1" si="1592"/>
        <v>'0'!B35</v>
      </c>
    </row>
    <row r="5453" spans="1:16" x14ac:dyDescent="0.25">
      <c r="A5453" s="3" t="str">
        <f t="shared" ca="1" si="1593"/>
        <v/>
      </c>
      <c r="G5453" s="15">
        <f t="shared" ca="1" si="1602"/>
        <v>36</v>
      </c>
      <c r="H5453" s="15">
        <v>1</v>
      </c>
      <c r="I5453" s="15">
        <f t="shared" ca="1" si="1603"/>
        <v>0</v>
      </c>
      <c r="J5453" s="15" t="str">
        <f t="shared" ca="1" si="1591"/>
        <v>'0'!A36</v>
      </c>
      <c r="K5453" s="15" t="str">
        <f t="shared" ca="1" si="1592"/>
        <v>'0'!B36</v>
      </c>
    </row>
    <row r="5454" spans="1:16" x14ac:dyDescent="0.25">
      <c r="A5454" s="3" t="str">
        <f t="shared" ca="1" si="1593"/>
        <v/>
      </c>
      <c r="G5454" s="15">
        <f t="shared" ca="1" si="1602"/>
        <v>37</v>
      </c>
      <c r="H5454" s="15">
        <v>1</v>
      </c>
      <c r="I5454" s="15">
        <f t="shared" ca="1" si="1603"/>
        <v>0</v>
      </c>
      <c r="J5454" s="15" t="str">
        <f t="shared" ca="1" si="1591"/>
        <v>'0'!A37</v>
      </c>
      <c r="K5454" s="15" t="str">
        <f t="shared" ca="1" si="1592"/>
        <v>'0'!B37</v>
      </c>
    </row>
    <row r="5455" spans="1:16" x14ac:dyDescent="0.25">
      <c r="A5455" s="3" t="str">
        <f t="shared" ca="1" si="1593"/>
        <v/>
      </c>
      <c r="G5455" s="15">
        <f t="shared" ca="1" si="1602"/>
        <v>38</v>
      </c>
      <c r="H5455" s="15">
        <v>1</v>
      </c>
      <c r="I5455" s="15">
        <f t="shared" ca="1" si="1603"/>
        <v>0</v>
      </c>
      <c r="J5455" s="15" t="str">
        <f t="shared" ca="1" si="1591"/>
        <v>'0'!A38</v>
      </c>
      <c r="K5455" s="15" t="str">
        <f t="shared" ca="1" si="1592"/>
        <v>'0'!B38</v>
      </c>
    </row>
    <row r="5456" spans="1:16" x14ac:dyDescent="0.25">
      <c r="A5456" s="3" t="str">
        <f t="shared" ca="1" si="1593"/>
        <v/>
      </c>
      <c r="G5456" s="15">
        <f t="shared" ca="1" si="1602"/>
        <v>39</v>
      </c>
      <c r="H5456" s="15">
        <v>1</v>
      </c>
      <c r="I5456" s="15">
        <f t="shared" ca="1" si="1603"/>
        <v>0</v>
      </c>
      <c r="J5456" s="15" t="str">
        <f t="shared" ca="1" si="1591"/>
        <v>'0'!A39</v>
      </c>
      <c r="K5456" s="15" t="str">
        <f t="shared" ca="1" si="1592"/>
        <v>'0'!B39</v>
      </c>
    </row>
    <row r="5457" spans="1:16" x14ac:dyDescent="0.25">
      <c r="A5457" s="3" t="str">
        <f t="shared" ca="1" si="1593"/>
        <v/>
      </c>
      <c r="G5457" s="15">
        <f t="shared" ca="1" si="1602"/>
        <v>40</v>
      </c>
      <c r="H5457" s="15">
        <v>1</v>
      </c>
      <c r="I5457" s="15">
        <f t="shared" ca="1" si="1603"/>
        <v>0</v>
      </c>
      <c r="J5457" s="15" t="str">
        <f t="shared" ca="1" si="1591"/>
        <v>'0'!A40</v>
      </c>
      <c r="K5457" s="15" t="str">
        <f t="shared" ca="1" si="1592"/>
        <v>'0'!B40</v>
      </c>
    </row>
    <row r="5458" spans="1:16" x14ac:dyDescent="0.25">
      <c r="A5458" s="3" t="str">
        <f t="shared" ca="1" si="1593"/>
        <v/>
      </c>
      <c r="G5458" s="15">
        <f t="shared" ca="1" si="1602"/>
        <v>41</v>
      </c>
      <c r="H5458" s="15">
        <v>1</v>
      </c>
      <c r="I5458" s="15">
        <f t="shared" ca="1" si="1603"/>
        <v>0</v>
      </c>
      <c r="J5458" s="15" t="str">
        <f t="shared" ca="1" si="1591"/>
        <v>'0'!A41</v>
      </c>
      <c r="K5458" s="15" t="str">
        <f t="shared" ca="1" si="1592"/>
        <v>'0'!B41</v>
      </c>
    </row>
    <row r="5459" spans="1:16" x14ac:dyDescent="0.25">
      <c r="A5459" s="3" t="str">
        <f t="shared" ca="1" si="1593"/>
        <v/>
      </c>
      <c r="C5459" s="16"/>
      <c r="G5459" s="15">
        <f t="shared" ca="1" si="1602"/>
        <v>42</v>
      </c>
      <c r="H5459" s="15">
        <v>1</v>
      </c>
      <c r="I5459" s="15">
        <f t="shared" ca="1" si="1603"/>
        <v>0</v>
      </c>
      <c r="J5459" s="15" t="str">
        <f t="shared" ca="1" si="1591"/>
        <v>'0'!A42</v>
      </c>
      <c r="K5459" s="15" t="str">
        <f t="shared" ca="1" si="1592"/>
        <v>'0'!B42</v>
      </c>
    </row>
    <row r="5460" spans="1:16" x14ac:dyDescent="0.25">
      <c r="A5460" s="3" t="str">
        <f t="shared" ca="1" si="1593"/>
        <v/>
      </c>
      <c r="G5460" s="15">
        <f t="shared" ca="1" si="1602"/>
        <v>43</v>
      </c>
      <c r="H5460" s="15">
        <v>1</v>
      </c>
      <c r="I5460" s="15">
        <f t="shared" ca="1" si="1603"/>
        <v>0</v>
      </c>
      <c r="J5460" s="15" t="str">
        <f t="shared" ca="1" si="1591"/>
        <v>'0'!A43</v>
      </c>
      <c r="K5460" s="15" t="str">
        <f t="shared" ca="1" si="1592"/>
        <v>'0'!B43</v>
      </c>
    </row>
    <row r="5461" spans="1:16" x14ac:dyDescent="0.25">
      <c r="A5461" s="3" t="str">
        <f t="shared" ca="1" si="1593"/>
        <v/>
      </c>
      <c r="G5461" s="15">
        <f t="shared" ca="1" si="1602"/>
        <v>44</v>
      </c>
      <c r="H5461" s="15">
        <v>1</v>
      </c>
      <c r="I5461" s="15">
        <f t="shared" ca="1" si="1603"/>
        <v>0</v>
      </c>
      <c r="J5461" s="15" t="str">
        <f t="shared" ca="1" si="1591"/>
        <v>'0'!A44</v>
      </c>
      <c r="K5461" s="15" t="str">
        <f t="shared" ca="1" si="1592"/>
        <v>'0'!B44</v>
      </c>
    </row>
    <row r="5462" spans="1:16" x14ac:dyDescent="0.25">
      <c r="A5462" s="3" t="str">
        <f t="shared" ca="1" si="1593"/>
        <v/>
      </c>
      <c r="G5462" s="15">
        <f t="shared" ca="1" si="1602"/>
        <v>45</v>
      </c>
      <c r="H5462" s="15">
        <v>1</v>
      </c>
      <c r="I5462" s="15">
        <f t="shared" ca="1" si="1603"/>
        <v>0</v>
      </c>
      <c r="J5462" s="15" t="str">
        <f t="shared" ca="1" si="1591"/>
        <v>'0'!A45</v>
      </c>
      <c r="K5462" s="15" t="str">
        <f t="shared" ca="1" si="1592"/>
        <v>'0'!B45</v>
      </c>
    </row>
    <row r="5463" spans="1:16" x14ac:dyDescent="0.25">
      <c r="A5463" s="3" t="str">
        <f t="shared" ca="1" si="1593"/>
        <v/>
      </c>
      <c r="G5463" s="15">
        <f t="shared" ca="1" si="1602"/>
        <v>46</v>
      </c>
      <c r="H5463" s="15">
        <v>1</v>
      </c>
      <c r="I5463" s="15">
        <f t="shared" ca="1" si="1603"/>
        <v>0</v>
      </c>
      <c r="J5463" s="15" t="str">
        <f t="shared" ca="1" si="1591"/>
        <v>'0'!A46</v>
      </c>
      <c r="K5463" s="15" t="str">
        <f t="shared" ca="1" si="1592"/>
        <v>'0'!B46</v>
      </c>
    </row>
    <row r="5464" spans="1:16" x14ac:dyDescent="0.25">
      <c r="A5464" s="3" t="str">
        <f t="shared" ca="1" si="1593"/>
        <v/>
      </c>
      <c r="G5464" s="15">
        <f t="shared" ca="1" si="1602"/>
        <v>47</v>
      </c>
      <c r="H5464" s="15">
        <v>1</v>
      </c>
      <c r="I5464" s="15">
        <f t="shared" ca="1" si="1603"/>
        <v>0</v>
      </c>
      <c r="J5464" s="15" t="str">
        <f t="shared" ca="1" si="1591"/>
        <v>'0'!A47</v>
      </c>
      <c r="K5464" s="15" t="str">
        <f t="shared" ca="1" si="1592"/>
        <v>'0'!B47</v>
      </c>
    </row>
    <row r="5465" spans="1:16" x14ac:dyDescent="0.25">
      <c r="A5465" s="3" t="str">
        <f t="shared" ca="1" si="1593"/>
        <v/>
      </c>
      <c r="G5465" s="15">
        <f t="shared" ca="1" si="1602"/>
        <v>48</v>
      </c>
      <c r="H5465" s="15">
        <v>1</v>
      </c>
      <c r="I5465" s="15">
        <f t="shared" ca="1" si="1603"/>
        <v>0</v>
      </c>
      <c r="J5465" s="15" t="str">
        <f t="shared" ca="1" si="1591"/>
        <v>'0'!A48</v>
      </c>
      <c r="K5465" s="15" t="str">
        <f t="shared" ca="1" si="1592"/>
        <v>'0'!B48</v>
      </c>
    </row>
    <row r="5466" spans="1:16" x14ac:dyDescent="0.25">
      <c r="A5466" s="3" t="str">
        <f t="shared" ca="1" si="1593"/>
        <v/>
      </c>
      <c r="G5466" s="15">
        <f t="shared" ca="1" si="1602"/>
        <v>49</v>
      </c>
      <c r="H5466" s="15">
        <v>1</v>
      </c>
      <c r="I5466" s="15">
        <f t="shared" ca="1" si="1603"/>
        <v>0</v>
      </c>
      <c r="J5466" s="15" t="str">
        <f t="shared" ca="1" si="1591"/>
        <v>'0'!A49</v>
      </c>
      <c r="K5466" s="15" t="str">
        <f t="shared" ca="1" si="1592"/>
        <v>'0'!B49</v>
      </c>
    </row>
    <row r="5467" spans="1:16" x14ac:dyDescent="0.25">
      <c r="A5467" s="3" t="str">
        <f t="shared" ca="1" si="1593"/>
        <v/>
      </c>
      <c r="G5467" s="15">
        <f t="shared" ca="1" si="1602"/>
        <v>50</v>
      </c>
      <c r="H5467" s="15">
        <v>1</v>
      </c>
      <c r="I5467" s="15">
        <f t="shared" ca="1" si="1603"/>
        <v>0</v>
      </c>
      <c r="J5467" s="15" t="str">
        <f t="shared" ca="1" si="1591"/>
        <v>'0'!A50</v>
      </c>
      <c r="K5467" s="15" t="str">
        <f t="shared" ca="1" si="1592"/>
        <v>'0'!B50</v>
      </c>
    </row>
    <row r="5468" spans="1:16" x14ac:dyDescent="0.25">
      <c r="A5468" s="3" t="str">
        <f t="shared" ca="1" si="1593"/>
        <v/>
      </c>
      <c r="G5468" s="15">
        <f t="shared" ref="G5468" ca="1" si="1604">INDIRECT(M5468)</f>
        <v>31</v>
      </c>
      <c r="H5468" s="15">
        <v>1</v>
      </c>
      <c r="I5468" s="15">
        <f t="shared" ref="I5468" ca="1" si="1605">INDIRECT(N5468)</f>
        <v>0</v>
      </c>
      <c r="J5468" s="15" t="str">
        <f t="shared" ca="1" si="1591"/>
        <v>'0'!A31</v>
      </c>
      <c r="K5468" s="15" t="str">
        <f t="shared" ca="1" si="1592"/>
        <v>'0'!B31</v>
      </c>
      <c r="M5468" s="15" t="str">
        <f t="shared" ref="M5468" si="1606">ADDRESS(O5468,3,4,1,$R$1)</f>
        <v>konfig!C275</v>
      </c>
      <c r="N5468" s="15" t="str">
        <f t="shared" ref="N5468" si="1607">ADDRESS(O5468,1,4,1,$R$1)</f>
        <v>konfig!A275</v>
      </c>
      <c r="O5468" s="15">
        <v>275</v>
      </c>
      <c r="P5468" s="15">
        <v>4</v>
      </c>
    </row>
    <row r="5469" spans="1:16" x14ac:dyDescent="0.25">
      <c r="A5469" s="3" t="str">
        <f t="shared" ca="1" si="1593"/>
        <v/>
      </c>
      <c r="G5469" s="15">
        <f t="shared" ref="G5469:G5509" ca="1" si="1608">G5468+1</f>
        <v>32</v>
      </c>
      <c r="H5469" s="15">
        <v>1</v>
      </c>
      <c r="I5469" s="15">
        <f t="shared" ref="I5469:I5509" ca="1" si="1609">I5468</f>
        <v>0</v>
      </c>
      <c r="J5469" s="15" t="str">
        <f t="shared" ca="1" si="1591"/>
        <v>'0'!A32</v>
      </c>
      <c r="K5469" s="15" t="str">
        <f t="shared" ca="1" si="1592"/>
        <v>'0'!B32</v>
      </c>
    </row>
    <row r="5470" spans="1:16" x14ac:dyDescent="0.25">
      <c r="A5470" s="3" t="str">
        <f t="shared" ca="1" si="1593"/>
        <v/>
      </c>
      <c r="G5470" s="15">
        <f t="shared" ca="1" si="1602"/>
        <v>33</v>
      </c>
      <c r="H5470" s="15">
        <v>1</v>
      </c>
      <c r="I5470" s="15">
        <f t="shared" ca="1" si="1603"/>
        <v>0</v>
      </c>
      <c r="J5470" s="15" t="str">
        <f t="shared" ca="1" si="1591"/>
        <v>'0'!A33</v>
      </c>
      <c r="K5470" s="15" t="str">
        <f t="shared" ca="1" si="1592"/>
        <v>'0'!B33</v>
      </c>
    </row>
    <row r="5471" spans="1:16" x14ac:dyDescent="0.25">
      <c r="A5471" s="3" t="str">
        <f t="shared" ca="1" si="1593"/>
        <v/>
      </c>
      <c r="C5471" s="16"/>
      <c r="G5471" s="15">
        <f t="shared" ca="1" si="1602"/>
        <v>34</v>
      </c>
      <c r="H5471" s="15">
        <v>1</v>
      </c>
      <c r="I5471" s="15">
        <f t="shared" ca="1" si="1603"/>
        <v>0</v>
      </c>
      <c r="J5471" s="15" t="str">
        <f t="shared" ca="1" si="1591"/>
        <v>'0'!A34</v>
      </c>
      <c r="K5471" s="15" t="str">
        <f t="shared" ca="1" si="1592"/>
        <v>'0'!B34</v>
      </c>
    </row>
    <row r="5472" spans="1:16" x14ac:dyDescent="0.25">
      <c r="A5472" s="3" t="str">
        <f t="shared" ca="1" si="1593"/>
        <v/>
      </c>
      <c r="G5472" s="15">
        <f t="shared" ca="1" si="1602"/>
        <v>35</v>
      </c>
      <c r="H5472" s="15">
        <v>1</v>
      </c>
      <c r="I5472" s="15">
        <f t="shared" ca="1" si="1603"/>
        <v>0</v>
      </c>
      <c r="J5472" s="15" t="str">
        <f t="shared" ca="1" si="1591"/>
        <v>'0'!A35</v>
      </c>
      <c r="K5472" s="15" t="str">
        <f t="shared" ca="1" si="1592"/>
        <v>'0'!B35</v>
      </c>
    </row>
    <row r="5473" spans="1:16" x14ac:dyDescent="0.25">
      <c r="A5473" s="3" t="str">
        <f t="shared" ca="1" si="1593"/>
        <v/>
      </c>
      <c r="G5473" s="15">
        <f t="shared" ca="1" si="1602"/>
        <v>36</v>
      </c>
      <c r="H5473" s="15">
        <v>1</v>
      </c>
      <c r="I5473" s="15">
        <f t="shared" ca="1" si="1603"/>
        <v>0</v>
      </c>
      <c r="J5473" s="15" t="str">
        <f t="shared" ca="1" si="1591"/>
        <v>'0'!A36</v>
      </c>
      <c r="K5473" s="15" t="str">
        <f t="shared" ca="1" si="1592"/>
        <v>'0'!B36</v>
      </c>
    </row>
    <row r="5474" spans="1:16" x14ac:dyDescent="0.25">
      <c r="A5474" s="3" t="str">
        <f t="shared" ca="1" si="1593"/>
        <v/>
      </c>
      <c r="G5474" s="15">
        <f t="shared" ca="1" si="1602"/>
        <v>37</v>
      </c>
      <c r="H5474" s="15">
        <v>1</v>
      </c>
      <c r="I5474" s="15">
        <f t="shared" ca="1" si="1603"/>
        <v>0</v>
      </c>
      <c r="J5474" s="15" t="str">
        <f t="shared" ca="1" si="1591"/>
        <v>'0'!A37</v>
      </c>
      <c r="K5474" s="15" t="str">
        <f t="shared" ca="1" si="1592"/>
        <v>'0'!B37</v>
      </c>
    </row>
    <row r="5475" spans="1:16" x14ac:dyDescent="0.25">
      <c r="A5475" s="3" t="str">
        <f t="shared" ca="1" si="1593"/>
        <v/>
      </c>
      <c r="G5475" s="15">
        <f t="shared" ca="1" si="1602"/>
        <v>38</v>
      </c>
      <c r="H5475" s="15">
        <v>1</v>
      </c>
      <c r="I5475" s="15">
        <f t="shared" ca="1" si="1603"/>
        <v>0</v>
      </c>
      <c r="J5475" s="15" t="str">
        <f t="shared" ca="1" si="1591"/>
        <v>'0'!A38</v>
      </c>
      <c r="K5475" s="15" t="str">
        <f t="shared" ca="1" si="1592"/>
        <v>'0'!B38</v>
      </c>
    </row>
    <row r="5476" spans="1:16" x14ac:dyDescent="0.25">
      <c r="A5476" s="3" t="str">
        <f t="shared" ca="1" si="1593"/>
        <v/>
      </c>
      <c r="G5476" s="15">
        <f t="shared" ca="1" si="1602"/>
        <v>39</v>
      </c>
      <c r="H5476" s="15">
        <v>1</v>
      </c>
      <c r="I5476" s="15">
        <f t="shared" ca="1" si="1603"/>
        <v>0</v>
      </c>
      <c r="J5476" s="15" t="str">
        <f t="shared" ref="J5476:J5539" ca="1" si="1610">ADDRESS(G5476,H5476,4,1,I5476)</f>
        <v>'0'!A39</v>
      </c>
      <c r="K5476" s="15" t="str">
        <f t="shared" ref="K5476:K5539" ca="1" si="1611">ADDRESS(G5476,H5476+1,4,1,I5476)</f>
        <v>'0'!B39</v>
      </c>
    </row>
    <row r="5477" spans="1:16" x14ac:dyDescent="0.25">
      <c r="A5477" s="3" t="str">
        <f t="shared" ca="1" si="1593"/>
        <v/>
      </c>
      <c r="G5477" s="15">
        <f t="shared" ca="1" si="1602"/>
        <v>40</v>
      </c>
      <c r="H5477" s="15">
        <v>1</v>
      </c>
      <c r="I5477" s="15">
        <f t="shared" ca="1" si="1603"/>
        <v>0</v>
      </c>
      <c r="J5477" s="15" t="str">
        <f t="shared" ca="1" si="1610"/>
        <v>'0'!A40</v>
      </c>
      <c r="K5477" s="15" t="str">
        <f t="shared" ca="1" si="1611"/>
        <v>'0'!B40</v>
      </c>
    </row>
    <row r="5478" spans="1:16" x14ac:dyDescent="0.25">
      <c r="A5478" s="3" t="str">
        <f t="shared" ca="1" si="1593"/>
        <v/>
      </c>
      <c r="G5478" s="15">
        <f t="shared" ca="1" si="1602"/>
        <v>41</v>
      </c>
      <c r="H5478" s="15">
        <v>1</v>
      </c>
      <c r="I5478" s="15">
        <f t="shared" ca="1" si="1603"/>
        <v>0</v>
      </c>
      <c r="J5478" s="15" t="str">
        <f t="shared" ca="1" si="1610"/>
        <v>'0'!A41</v>
      </c>
      <c r="K5478" s="15" t="str">
        <f t="shared" ca="1" si="1611"/>
        <v>'0'!B41</v>
      </c>
    </row>
    <row r="5479" spans="1:16" x14ac:dyDescent="0.25">
      <c r="A5479" s="3" t="str">
        <f t="shared" ca="1" si="1593"/>
        <v/>
      </c>
      <c r="C5479" s="16"/>
      <c r="G5479" s="15">
        <f t="shared" ca="1" si="1602"/>
        <v>42</v>
      </c>
      <c r="H5479" s="15">
        <v>1</v>
      </c>
      <c r="I5479" s="15">
        <f t="shared" ca="1" si="1603"/>
        <v>0</v>
      </c>
      <c r="J5479" s="15" t="str">
        <f t="shared" ca="1" si="1610"/>
        <v>'0'!A42</v>
      </c>
      <c r="K5479" s="15" t="str">
        <f t="shared" ca="1" si="1611"/>
        <v>'0'!B42</v>
      </c>
    </row>
    <row r="5480" spans="1:16" x14ac:dyDescent="0.25">
      <c r="A5480" s="3" t="str">
        <f t="shared" ca="1" si="1593"/>
        <v/>
      </c>
      <c r="G5480" s="15">
        <f t="shared" ca="1" si="1602"/>
        <v>43</v>
      </c>
      <c r="H5480" s="15">
        <v>1</v>
      </c>
      <c r="I5480" s="15">
        <f t="shared" ca="1" si="1603"/>
        <v>0</v>
      </c>
      <c r="J5480" s="15" t="str">
        <f t="shared" ca="1" si="1610"/>
        <v>'0'!A43</v>
      </c>
      <c r="K5480" s="15" t="str">
        <f t="shared" ca="1" si="1611"/>
        <v>'0'!B43</v>
      </c>
    </row>
    <row r="5481" spans="1:16" x14ac:dyDescent="0.25">
      <c r="A5481" s="3" t="str">
        <f t="shared" ca="1" si="1593"/>
        <v/>
      </c>
      <c r="G5481" s="15">
        <f t="shared" ca="1" si="1602"/>
        <v>44</v>
      </c>
      <c r="H5481" s="15">
        <v>1</v>
      </c>
      <c r="I5481" s="15">
        <f t="shared" ca="1" si="1603"/>
        <v>0</v>
      </c>
      <c r="J5481" s="15" t="str">
        <f t="shared" ca="1" si="1610"/>
        <v>'0'!A44</v>
      </c>
      <c r="K5481" s="15" t="str">
        <f t="shared" ca="1" si="1611"/>
        <v>'0'!B44</v>
      </c>
    </row>
    <row r="5482" spans="1:16" x14ac:dyDescent="0.25">
      <c r="A5482" s="3" t="str">
        <f t="shared" ca="1" si="1593"/>
        <v/>
      </c>
      <c r="G5482" s="15">
        <f t="shared" ca="1" si="1602"/>
        <v>45</v>
      </c>
      <c r="H5482" s="15">
        <v>1</v>
      </c>
      <c r="I5482" s="15">
        <f t="shared" ca="1" si="1603"/>
        <v>0</v>
      </c>
      <c r="J5482" s="15" t="str">
        <f t="shared" ca="1" si="1610"/>
        <v>'0'!A45</v>
      </c>
      <c r="K5482" s="15" t="str">
        <f t="shared" ca="1" si="1611"/>
        <v>'0'!B45</v>
      </c>
    </row>
    <row r="5483" spans="1:16" x14ac:dyDescent="0.25">
      <c r="A5483" s="3" t="str">
        <f t="shared" ca="1" si="1593"/>
        <v/>
      </c>
      <c r="G5483" s="15">
        <f t="shared" ca="1" si="1602"/>
        <v>46</v>
      </c>
      <c r="H5483" s="15">
        <v>1</v>
      </c>
      <c r="I5483" s="15">
        <f t="shared" ca="1" si="1603"/>
        <v>0</v>
      </c>
      <c r="J5483" s="15" t="str">
        <f t="shared" ca="1" si="1610"/>
        <v>'0'!A46</v>
      </c>
      <c r="K5483" s="15" t="str">
        <f t="shared" ca="1" si="1611"/>
        <v>'0'!B46</v>
      </c>
    </row>
    <row r="5484" spans="1:16" x14ac:dyDescent="0.25">
      <c r="A5484" s="3" t="str">
        <f t="shared" ref="A5484:A5547" ca="1" si="1612">IFERROR(IF(INDIRECT(J5484)&lt;&gt;"",CONCATENATE(INDIRECT(J5484)," = ",INDIRECT(K5484)," "),""),"")</f>
        <v/>
      </c>
      <c r="G5484" s="15">
        <f t="shared" ca="1" si="1602"/>
        <v>47</v>
      </c>
      <c r="H5484" s="15">
        <v>1</v>
      </c>
      <c r="I5484" s="15">
        <f t="shared" ca="1" si="1603"/>
        <v>0</v>
      </c>
      <c r="J5484" s="15" t="str">
        <f t="shared" ca="1" si="1610"/>
        <v>'0'!A47</v>
      </c>
      <c r="K5484" s="15" t="str">
        <f t="shared" ca="1" si="1611"/>
        <v>'0'!B47</v>
      </c>
    </row>
    <row r="5485" spans="1:16" x14ac:dyDescent="0.25">
      <c r="A5485" s="3" t="str">
        <f t="shared" ca="1" si="1612"/>
        <v/>
      </c>
      <c r="G5485" s="15">
        <f t="shared" ca="1" si="1602"/>
        <v>48</v>
      </c>
      <c r="H5485" s="15">
        <v>1</v>
      </c>
      <c r="I5485" s="15">
        <f t="shared" ca="1" si="1603"/>
        <v>0</v>
      </c>
      <c r="J5485" s="15" t="str">
        <f t="shared" ca="1" si="1610"/>
        <v>'0'!A48</v>
      </c>
      <c r="K5485" s="15" t="str">
        <f t="shared" ca="1" si="1611"/>
        <v>'0'!B48</v>
      </c>
    </row>
    <row r="5486" spans="1:16" x14ac:dyDescent="0.25">
      <c r="A5486" s="3" t="str">
        <f t="shared" ca="1" si="1612"/>
        <v/>
      </c>
      <c r="G5486" s="15">
        <f t="shared" ca="1" si="1602"/>
        <v>49</v>
      </c>
      <c r="H5486" s="15">
        <v>1</v>
      </c>
      <c r="I5486" s="15">
        <f t="shared" ca="1" si="1603"/>
        <v>0</v>
      </c>
      <c r="J5486" s="15" t="str">
        <f t="shared" ca="1" si="1610"/>
        <v>'0'!A49</v>
      </c>
      <c r="K5486" s="15" t="str">
        <f t="shared" ca="1" si="1611"/>
        <v>'0'!B49</v>
      </c>
    </row>
    <row r="5487" spans="1:16" x14ac:dyDescent="0.25">
      <c r="A5487" s="3" t="str">
        <f t="shared" ca="1" si="1612"/>
        <v/>
      </c>
      <c r="G5487" s="15">
        <f t="shared" ca="1" si="1602"/>
        <v>50</v>
      </c>
      <c r="H5487" s="15">
        <v>1</v>
      </c>
      <c r="I5487" s="15">
        <f t="shared" ca="1" si="1603"/>
        <v>0</v>
      </c>
      <c r="J5487" s="15" t="str">
        <f t="shared" ca="1" si="1610"/>
        <v>'0'!A50</v>
      </c>
      <c r="K5487" s="15" t="str">
        <f t="shared" ca="1" si="1611"/>
        <v>'0'!B50</v>
      </c>
    </row>
    <row r="5488" spans="1:16" x14ac:dyDescent="0.25">
      <c r="A5488" s="3" t="str">
        <f t="shared" ca="1" si="1612"/>
        <v/>
      </c>
      <c r="G5488" s="15">
        <f t="shared" ref="G5488" ca="1" si="1613">INDIRECT(M5488)</f>
        <v>31</v>
      </c>
      <c r="H5488" s="15">
        <v>1</v>
      </c>
      <c r="I5488" s="15">
        <f t="shared" ref="I5488" ca="1" si="1614">INDIRECT(N5488)</f>
        <v>0</v>
      </c>
      <c r="J5488" s="15" t="str">
        <f t="shared" ca="1" si="1610"/>
        <v>'0'!A31</v>
      </c>
      <c r="K5488" s="15" t="str">
        <f t="shared" ca="1" si="1611"/>
        <v>'0'!B31</v>
      </c>
      <c r="M5488" s="15" t="str">
        <f t="shared" ref="M5488" si="1615">ADDRESS(O5488,3,4,1,$R$1)</f>
        <v>konfig!C276</v>
      </c>
      <c r="N5488" s="15" t="str">
        <f t="shared" ref="N5488" si="1616">ADDRESS(O5488,1,4,1,$R$1)</f>
        <v>konfig!A276</v>
      </c>
      <c r="O5488" s="15">
        <v>276</v>
      </c>
      <c r="P5488" s="15">
        <v>4</v>
      </c>
    </row>
    <row r="5489" spans="1:11" x14ac:dyDescent="0.25">
      <c r="A5489" s="3" t="str">
        <f t="shared" ca="1" si="1612"/>
        <v/>
      </c>
      <c r="G5489" s="15">
        <f t="shared" ca="1" si="1602"/>
        <v>32</v>
      </c>
      <c r="H5489" s="15">
        <v>1</v>
      </c>
      <c r="I5489" s="15">
        <f t="shared" ca="1" si="1603"/>
        <v>0</v>
      </c>
      <c r="J5489" s="15" t="str">
        <f t="shared" ca="1" si="1610"/>
        <v>'0'!A32</v>
      </c>
      <c r="K5489" s="15" t="str">
        <f t="shared" ca="1" si="1611"/>
        <v>'0'!B32</v>
      </c>
    </row>
    <row r="5490" spans="1:11" x14ac:dyDescent="0.25">
      <c r="A5490" s="3" t="str">
        <f t="shared" ca="1" si="1612"/>
        <v/>
      </c>
      <c r="G5490" s="15">
        <f t="shared" ca="1" si="1602"/>
        <v>33</v>
      </c>
      <c r="H5490" s="15">
        <v>1</v>
      </c>
      <c r="I5490" s="15">
        <f t="shared" ca="1" si="1603"/>
        <v>0</v>
      </c>
      <c r="J5490" s="15" t="str">
        <f t="shared" ca="1" si="1610"/>
        <v>'0'!A33</v>
      </c>
      <c r="K5490" s="15" t="str">
        <f t="shared" ca="1" si="1611"/>
        <v>'0'!B33</v>
      </c>
    </row>
    <row r="5491" spans="1:11" x14ac:dyDescent="0.25">
      <c r="A5491" s="3" t="str">
        <f t="shared" ca="1" si="1612"/>
        <v/>
      </c>
      <c r="C5491" s="16"/>
      <c r="G5491" s="15">
        <f t="shared" ca="1" si="1602"/>
        <v>34</v>
      </c>
      <c r="H5491" s="15">
        <v>1</v>
      </c>
      <c r="I5491" s="15">
        <f t="shared" ca="1" si="1603"/>
        <v>0</v>
      </c>
      <c r="J5491" s="15" t="str">
        <f t="shared" ca="1" si="1610"/>
        <v>'0'!A34</v>
      </c>
      <c r="K5491" s="15" t="str">
        <f t="shared" ca="1" si="1611"/>
        <v>'0'!B34</v>
      </c>
    </row>
    <row r="5492" spans="1:11" x14ac:dyDescent="0.25">
      <c r="A5492" s="3" t="str">
        <f t="shared" ca="1" si="1612"/>
        <v/>
      </c>
      <c r="G5492" s="15">
        <f t="shared" ca="1" si="1602"/>
        <v>35</v>
      </c>
      <c r="H5492" s="15">
        <v>1</v>
      </c>
      <c r="I5492" s="15">
        <f t="shared" ca="1" si="1603"/>
        <v>0</v>
      </c>
      <c r="J5492" s="15" t="str">
        <f t="shared" ca="1" si="1610"/>
        <v>'0'!A35</v>
      </c>
      <c r="K5492" s="15" t="str">
        <f t="shared" ca="1" si="1611"/>
        <v>'0'!B35</v>
      </c>
    </row>
    <row r="5493" spans="1:11" x14ac:dyDescent="0.25">
      <c r="A5493" s="3" t="str">
        <f t="shared" ca="1" si="1612"/>
        <v/>
      </c>
      <c r="G5493" s="15">
        <f t="shared" ca="1" si="1602"/>
        <v>36</v>
      </c>
      <c r="H5493" s="15">
        <v>1</v>
      </c>
      <c r="I5493" s="15">
        <f t="shared" ca="1" si="1603"/>
        <v>0</v>
      </c>
      <c r="J5493" s="15" t="str">
        <f t="shared" ca="1" si="1610"/>
        <v>'0'!A36</v>
      </c>
      <c r="K5493" s="15" t="str">
        <f t="shared" ca="1" si="1611"/>
        <v>'0'!B36</v>
      </c>
    </row>
    <row r="5494" spans="1:11" x14ac:dyDescent="0.25">
      <c r="A5494" s="3" t="str">
        <f t="shared" ca="1" si="1612"/>
        <v/>
      </c>
      <c r="G5494" s="15">
        <f t="shared" ca="1" si="1602"/>
        <v>37</v>
      </c>
      <c r="H5494" s="15">
        <v>1</v>
      </c>
      <c r="I5494" s="15">
        <f t="shared" ca="1" si="1603"/>
        <v>0</v>
      </c>
      <c r="J5494" s="15" t="str">
        <f t="shared" ca="1" si="1610"/>
        <v>'0'!A37</v>
      </c>
      <c r="K5494" s="15" t="str">
        <f t="shared" ca="1" si="1611"/>
        <v>'0'!B37</v>
      </c>
    </row>
    <row r="5495" spans="1:11" x14ac:dyDescent="0.25">
      <c r="A5495" s="3" t="str">
        <f t="shared" ca="1" si="1612"/>
        <v/>
      </c>
      <c r="G5495" s="15">
        <f t="shared" ca="1" si="1602"/>
        <v>38</v>
      </c>
      <c r="H5495" s="15">
        <v>1</v>
      </c>
      <c r="I5495" s="15">
        <f t="shared" ca="1" si="1603"/>
        <v>0</v>
      </c>
      <c r="J5495" s="15" t="str">
        <f t="shared" ca="1" si="1610"/>
        <v>'0'!A38</v>
      </c>
      <c r="K5495" s="15" t="str">
        <f t="shared" ca="1" si="1611"/>
        <v>'0'!B38</v>
      </c>
    </row>
    <row r="5496" spans="1:11" x14ac:dyDescent="0.25">
      <c r="A5496" s="3" t="str">
        <f t="shared" ca="1" si="1612"/>
        <v/>
      </c>
      <c r="G5496" s="15">
        <f t="shared" ca="1" si="1602"/>
        <v>39</v>
      </c>
      <c r="H5496" s="15">
        <v>1</v>
      </c>
      <c r="I5496" s="15">
        <f t="shared" ca="1" si="1603"/>
        <v>0</v>
      </c>
      <c r="J5496" s="15" t="str">
        <f t="shared" ca="1" si="1610"/>
        <v>'0'!A39</v>
      </c>
      <c r="K5496" s="15" t="str">
        <f t="shared" ca="1" si="1611"/>
        <v>'0'!B39</v>
      </c>
    </row>
    <row r="5497" spans="1:11" x14ac:dyDescent="0.25">
      <c r="A5497" s="3" t="str">
        <f t="shared" ca="1" si="1612"/>
        <v/>
      </c>
      <c r="G5497" s="15">
        <f t="shared" ca="1" si="1602"/>
        <v>40</v>
      </c>
      <c r="H5497" s="15">
        <v>1</v>
      </c>
      <c r="I5497" s="15">
        <f t="shared" ca="1" si="1603"/>
        <v>0</v>
      </c>
      <c r="J5497" s="15" t="str">
        <f t="shared" ca="1" si="1610"/>
        <v>'0'!A40</v>
      </c>
      <c r="K5497" s="15" t="str">
        <f t="shared" ca="1" si="1611"/>
        <v>'0'!B40</v>
      </c>
    </row>
    <row r="5498" spans="1:11" x14ac:dyDescent="0.25">
      <c r="A5498" s="3" t="str">
        <f t="shared" ca="1" si="1612"/>
        <v/>
      </c>
      <c r="G5498" s="15">
        <f t="shared" ca="1" si="1602"/>
        <v>41</v>
      </c>
      <c r="H5498" s="15">
        <v>1</v>
      </c>
      <c r="I5498" s="15">
        <f t="shared" ca="1" si="1603"/>
        <v>0</v>
      </c>
      <c r="J5498" s="15" t="str">
        <f t="shared" ca="1" si="1610"/>
        <v>'0'!A41</v>
      </c>
      <c r="K5498" s="15" t="str">
        <f t="shared" ca="1" si="1611"/>
        <v>'0'!B41</v>
      </c>
    </row>
    <row r="5499" spans="1:11" x14ac:dyDescent="0.25">
      <c r="A5499" s="3" t="str">
        <f t="shared" ca="1" si="1612"/>
        <v/>
      </c>
      <c r="C5499" s="16"/>
      <c r="G5499" s="15">
        <f t="shared" ca="1" si="1602"/>
        <v>42</v>
      </c>
      <c r="H5499" s="15">
        <v>1</v>
      </c>
      <c r="I5499" s="15">
        <f t="shared" ca="1" si="1603"/>
        <v>0</v>
      </c>
      <c r="J5499" s="15" t="str">
        <f t="shared" ca="1" si="1610"/>
        <v>'0'!A42</v>
      </c>
      <c r="K5499" s="15" t="str">
        <f t="shared" ca="1" si="1611"/>
        <v>'0'!B42</v>
      </c>
    </row>
    <row r="5500" spans="1:11" x14ac:dyDescent="0.25">
      <c r="A5500" s="3" t="str">
        <f t="shared" ca="1" si="1612"/>
        <v/>
      </c>
      <c r="G5500" s="15">
        <f t="shared" ca="1" si="1602"/>
        <v>43</v>
      </c>
      <c r="H5500" s="15">
        <v>1</v>
      </c>
      <c r="I5500" s="15">
        <f t="shared" ca="1" si="1603"/>
        <v>0</v>
      </c>
      <c r="J5500" s="15" t="str">
        <f t="shared" ca="1" si="1610"/>
        <v>'0'!A43</v>
      </c>
      <c r="K5500" s="15" t="str">
        <f t="shared" ca="1" si="1611"/>
        <v>'0'!B43</v>
      </c>
    </row>
    <row r="5501" spans="1:11" x14ac:dyDescent="0.25">
      <c r="A5501" s="3" t="str">
        <f t="shared" ca="1" si="1612"/>
        <v/>
      </c>
      <c r="G5501" s="15">
        <f t="shared" ca="1" si="1602"/>
        <v>44</v>
      </c>
      <c r="H5501" s="15">
        <v>1</v>
      </c>
      <c r="I5501" s="15">
        <f t="shared" ca="1" si="1603"/>
        <v>0</v>
      </c>
      <c r="J5501" s="15" t="str">
        <f t="shared" ca="1" si="1610"/>
        <v>'0'!A44</v>
      </c>
      <c r="K5501" s="15" t="str">
        <f t="shared" ca="1" si="1611"/>
        <v>'0'!B44</v>
      </c>
    </row>
    <row r="5502" spans="1:11" x14ac:dyDescent="0.25">
      <c r="A5502" s="3" t="str">
        <f t="shared" ca="1" si="1612"/>
        <v/>
      </c>
      <c r="G5502" s="15">
        <f t="shared" ca="1" si="1602"/>
        <v>45</v>
      </c>
      <c r="H5502" s="15">
        <v>1</v>
      </c>
      <c r="I5502" s="15">
        <f t="shared" ca="1" si="1603"/>
        <v>0</v>
      </c>
      <c r="J5502" s="15" t="str">
        <f t="shared" ca="1" si="1610"/>
        <v>'0'!A45</v>
      </c>
      <c r="K5502" s="15" t="str">
        <f t="shared" ca="1" si="1611"/>
        <v>'0'!B45</v>
      </c>
    </row>
    <row r="5503" spans="1:11" x14ac:dyDescent="0.25">
      <c r="A5503" s="3" t="str">
        <f t="shared" ca="1" si="1612"/>
        <v/>
      </c>
      <c r="G5503" s="15">
        <f t="shared" ca="1" si="1602"/>
        <v>46</v>
      </c>
      <c r="H5503" s="15">
        <v>1</v>
      </c>
      <c r="I5503" s="15">
        <f t="shared" ca="1" si="1603"/>
        <v>0</v>
      </c>
      <c r="J5503" s="15" t="str">
        <f t="shared" ca="1" si="1610"/>
        <v>'0'!A46</v>
      </c>
      <c r="K5503" s="15" t="str">
        <f t="shared" ca="1" si="1611"/>
        <v>'0'!B46</v>
      </c>
    </row>
    <row r="5504" spans="1:11" x14ac:dyDescent="0.25">
      <c r="A5504" s="3" t="str">
        <f t="shared" ca="1" si="1612"/>
        <v/>
      </c>
      <c r="G5504" s="15">
        <f t="shared" ca="1" si="1602"/>
        <v>47</v>
      </c>
      <c r="H5504" s="15">
        <v>1</v>
      </c>
      <c r="I5504" s="15">
        <f t="shared" ca="1" si="1603"/>
        <v>0</v>
      </c>
      <c r="J5504" s="15" t="str">
        <f t="shared" ca="1" si="1610"/>
        <v>'0'!A47</v>
      </c>
      <c r="K5504" s="15" t="str">
        <f t="shared" ca="1" si="1611"/>
        <v>'0'!B47</v>
      </c>
    </row>
    <row r="5505" spans="1:16" x14ac:dyDescent="0.25">
      <c r="A5505" s="3" t="str">
        <f t="shared" ca="1" si="1612"/>
        <v/>
      </c>
      <c r="G5505" s="15">
        <f t="shared" ca="1" si="1602"/>
        <v>48</v>
      </c>
      <c r="H5505" s="15">
        <v>1</v>
      </c>
      <c r="I5505" s="15">
        <f t="shared" ca="1" si="1603"/>
        <v>0</v>
      </c>
      <c r="J5505" s="15" t="str">
        <f t="shared" ca="1" si="1610"/>
        <v>'0'!A48</v>
      </c>
      <c r="K5505" s="15" t="str">
        <f t="shared" ca="1" si="1611"/>
        <v>'0'!B48</v>
      </c>
    </row>
    <row r="5506" spans="1:16" x14ac:dyDescent="0.25">
      <c r="A5506" s="3" t="str">
        <f t="shared" ca="1" si="1612"/>
        <v/>
      </c>
      <c r="G5506" s="15">
        <f t="shared" ca="1" si="1602"/>
        <v>49</v>
      </c>
      <c r="H5506" s="15">
        <v>1</v>
      </c>
      <c r="I5506" s="15">
        <f t="shared" ca="1" si="1603"/>
        <v>0</v>
      </c>
      <c r="J5506" s="15" t="str">
        <f t="shared" ca="1" si="1610"/>
        <v>'0'!A49</v>
      </c>
      <c r="K5506" s="15" t="str">
        <f t="shared" ca="1" si="1611"/>
        <v>'0'!B49</v>
      </c>
    </row>
    <row r="5507" spans="1:16" x14ac:dyDescent="0.25">
      <c r="A5507" s="3" t="str">
        <f t="shared" ca="1" si="1612"/>
        <v/>
      </c>
      <c r="G5507" s="15">
        <f t="shared" ca="1" si="1602"/>
        <v>50</v>
      </c>
      <c r="H5507" s="15">
        <v>1</v>
      </c>
      <c r="I5507" s="15">
        <f t="shared" ca="1" si="1603"/>
        <v>0</v>
      </c>
      <c r="J5507" s="15" t="str">
        <f t="shared" ca="1" si="1610"/>
        <v>'0'!A50</v>
      </c>
      <c r="K5507" s="15" t="str">
        <f t="shared" ca="1" si="1611"/>
        <v>'0'!B50</v>
      </c>
    </row>
    <row r="5508" spans="1:16" x14ac:dyDescent="0.25">
      <c r="A5508" s="3" t="str">
        <f t="shared" ca="1" si="1612"/>
        <v/>
      </c>
      <c r="G5508" s="15">
        <f t="shared" ref="G5508" ca="1" si="1617">INDIRECT(M5508)</f>
        <v>31</v>
      </c>
      <c r="H5508" s="15">
        <v>1</v>
      </c>
      <c r="I5508" s="15">
        <f t="shared" ref="I5508" ca="1" si="1618">INDIRECT(N5508)</f>
        <v>0</v>
      </c>
      <c r="J5508" s="15" t="str">
        <f t="shared" ca="1" si="1610"/>
        <v>'0'!A31</v>
      </c>
      <c r="K5508" s="15" t="str">
        <f t="shared" ca="1" si="1611"/>
        <v>'0'!B31</v>
      </c>
      <c r="M5508" s="15" t="str">
        <f t="shared" ref="M5508" si="1619">ADDRESS(O5508,3,4,1,$R$1)</f>
        <v>konfig!C277</v>
      </c>
      <c r="N5508" s="15" t="str">
        <f t="shared" ref="N5508" si="1620">ADDRESS(O5508,1,4,1,$R$1)</f>
        <v>konfig!A277</v>
      </c>
      <c r="O5508" s="15">
        <v>277</v>
      </c>
      <c r="P5508" s="15">
        <v>4</v>
      </c>
    </row>
    <row r="5509" spans="1:16" x14ac:dyDescent="0.25">
      <c r="A5509" s="3" t="str">
        <f t="shared" ca="1" si="1612"/>
        <v/>
      </c>
      <c r="G5509" s="15">
        <f t="shared" ca="1" si="1608"/>
        <v>32</v>
      </c>
      <c r="H5509" s="15">
        <v>1</v>
      </c>
      <c r="I5509" s="15">
        <f t="shared" ca="1" si="1609"/>
        <v>0</v>
      </c>
      <c r="J5509" s="15" t="str">
        <f t="shared" ca="1" si="1610"/>
        <v>'0'!A32</v>
      </c>
      <c r="K5509" s="15" t="str">
        <f t="shared" ca="1" si="1611"/>
        <v>'0'!B32</v>
      </c>
    </row>
    <row r="5510" spans="1:16" x14ac:dyDescent="0.25">
      <c r="A5510" s="3" t="str">
        <f t="shared" ca="1" si="1612"/>
        <v/>
      </c>
      <c r="G5510" s="15">
        <f t="shared" ca="1" si="1602"/>
        <v>33</v>
      </c>
      <c r="H5510" s="15">
        <v>1</v>
      </c>
      <c r="I5510" s="15">
        <f t="shared" ca="1" si="1603"/>
        <v>0</v>
      </c>
      <c r="J5510" s="15" t="str">
        <f t="shared" ca="1" si="1610"/>
        <v>'0'!A33</v>
      </c>
      <c r="K5510" s="15" t="str">
        <f t="shared" ca="1" si="1611"/>
        <v>'0'!B33</v>
      </c>
    </row>
    <row r="5511" spans="1:16" x14ac:dyDescent="0.25">
      <c r="A5511" s="3" t="str">
        <f t="shared" ca="1" si="1612"/>
        <v/>
      </c>
      <c r="C5511" s="16"/>
      <c r="G5511" s="15">
        <f t="shared" ca="1" si="1602"/>
        <v>34</v>
      </c>
      <c r="H5511" s="15">
        <v>1</v>
      </c>
      <c r="I5511" s="15">
        <f t="shared" ca="1" si="1603"/>
        <v>0</v>
      </c>
      <c r="J5511" s="15" t="str">
        <f t="shared" ca="1" si="1610"/>
        <v>'0'!A34</v>
      </c>
      <c r="K5511" s="15" t="str">
        <f t="shared" ca="1" si="1611"/>
        <v>'0'!B34</v>
      </c>
    </row>
    <row r="5512" spans="1:16" x14ac:dyDescent="0.25">
      <c r="A5512" s="3" t="str">
        <f t="shared" ca="1" si="1612"/>
        <v/>
      </c>
      <c r="G5512" s="15">
        <f t="shared" ca="1" si="1602"/>
        <v>35</v>
      </c>
      <c r="H5512" s="15">
        <v>1</v>
      </c>
      <c r="I5512" s="15">
        <f t="shared" ca="1" si="1603"/>
        <v>0</v>
      </c>
      <c r="J5512" s="15" t="str">
        <f t="shared" ca="1" si="1610"/>
        <v>'0'!A35</v>
      </c>
      <c r="K5512" s="15" t="str">
        <f t="shared" ca="1" si="1611"/>
        <v>'0'!B35</v>
      </c>
    </row>
    <row r="5513" spans="1:16" x14ac:dyDescent="0.25">
      <c r="A5513" s="3" t="str">
        <f t="shared" ca="1" si="1612"/>
        <v/>
      </c>
      <c r="G5513" s="15">
        <f t="shared" ref="G5513:G5576" ca="1" si="1621">G5512+1</f>
        <v>36</v>
      </c>
      <c r="H5513" s="15">
        <v>1</v>
      </c>
      <c r="I5513" s="15">
        <f t="shared" ref="I5513:I5576" ca="1" si="1622">I5512</f>
        <v>0</v>
      </c>
      <c r="J5513" s="15" t="str">
        <f t="shared" ca="1" si="1610"/>
        <v>'0'!A36</v>
      </c>
      <c r="K5513" s="15" t="str">
        <f t="shared" ca="1" si="1611"/>
        <v>'0'!B36</v>
      </c>
    </row>
    <row r="5514" spans="1:16" x14ac:dyDescent="0.25">
      <c r="A5514" s="3" t="str">
        <f t="shared" ca="1" si="1612"/>
        <v/>
      </c>
      <c r="G5514" s="15">
        <f t="shared" ca="1" si="1621"/>
        <v>37</v>
      </c>
      <c r="H5514" s="15">
        <v>1</v>
      </c>
      <c r="I5514" s="15">
        <f t="shared" ca="1" si="1622"/>
        <v>0</v>
      </c>
      <c r="J5514" s="15" t="str">
        <f t="shared" ca="1" si="1610"/>
        <v>'0'!A37</v>
      </c>
      <c r="K5514" s="15" t="str">
        <f t="shared" ca="1" si="1611"/>
        <v>'0'!B37</v>
      </c>
    </row>
    <row r="5515" spans="1:16" x14ac:dyDescent="0.25">
      <c r="A5515" s="3" t="str">
        <f t="shared" ca="1" si="1612"/>
        <v/>
      </c>
      <c r="G5515" s="15">
        <f t="shared" ca="1" si="1621"/>
        <v>38</v>
      </c>
      <c r="H5515" s="15">
        <v>1</v>
      </c>
      <c r="I5515" s="15">
        <f t="shared" ca="1" si="1622"/>
        <v>0</v>
      </c>
      <c r="J5515" s="15" t="str">
        <f t="shared" ca="1" si="1610"/>
        <v>'0'!A38</v>
      </c>
      <c r="K5515" s="15" t="str">
        <f t="shared" ca="1" si="1611"/>
        <v>'0'!B38</v>
      </c>
    </row>
    <row r="5516" spans="1:16" x14ac:dyDescent="0.25">
      <c r="A5516" s="3" t="str">
        <f t="shared" ca="1" si="1612"/>
        <v/>
      </c>
      <c r="G5516" s="15">
        <f t="shared" ca="1" si="1621"/>
        <v>39</v>
      </c>
      <c r="H5516" s="15">
        <v>1</v>
      </c>
      <c r="I5516" s="15">
        <f t="shared" ca="1" si="1622"/>
        <v>0</v>
      </c>
      <c r="J5516" s="15" t="str">
        <f t="shared" ca="1" si="1610"/>
        <v>'0'!A39</v>
      </c>
      <c r="K5516" s="15" t="str">
        <f t="shared" ca="1" si="1611"/>
        <v>'0'!B39</v>
      </c>
    </row>
    <row r="5517" spans="1:16" x14ac:dyDescent="0.25">
      <c r="A5517" s="3" t="str">
        <f t="shared" ca="1" si="1612"/>
        <v/>
      </c>
      <c r="G5517" s="15">
        <f t="shared" ca="1" si="1621"/>
        <v>40</v>
      </c>
      <c r="H5517" s="15">
        <v>1</v>
      </c>
      <c r="I5517" s="15">
        <f t="shared" ca="1" si="1622"/>
        <v>0</v>
      </c>
      <c r="J5517" s="15" t="str">
        <f t="shared" ca="1" si="1610"/>
        <v>'0'!A40</v>
      </c>
      <c r="K5517" s="15" t="str">
        <f t="shared" ca="1" si="1611"/>
        <v>'0'!B40</v>
      </c>
    </row>
    <row r="5518" spans="1:16" x14ac:dyDescent="0.25">
      <c r="A5518" s="3" t="str">
        <f t="shared" ca="1" si="1612"/>
        <v/>
      </c>
      <c r="G5518" s="15">
        <f t="shared" ca="1" si="1621"/>
        <v>41</v>
      </c>
      <c r="H5518" s="15">
        <v>1</v>
      </c>
      <c r="I5518" s="15">
        <f t="shared" ca="1" si="1622"/>
        <v>0</v>
      </c>
      <c r="J5518" s="15" t="str">
        <f t="shared" ca="1" si="1610"/>
        <v>'0'!A41</v>
      </c>
      <c r="K5518" s="15" t="str">
        <f t="shared" ca="1" si="1611"/>
        <v>'0'!B41</v>
      </c>
    </row>
    <row r="5519" spans="1:16" x14ac:dyDescent="0.25">
      <c r="A5519" s="3" t="str">
        <f t="shared" ca="1" si="1612"/>
        <v/>
      </c>
      <c r="C5519" s="16"/>
      <c r="G5519" s="15">
        <f t="shared" ca="1" si="1621"/>
        <v>42</v>
      </c>
      <c r="H5519" s="15">
        <v>1</v>
      </c>
      <c r="I5519" s="15">
        <f t="shared" ca="1" si="1622"/>
        <v>0</v>
      </c>
      <c r="J5519" s="15" t="str">
        <f t="shared" ca="1" si="1610"/>
        <v>'0'!A42</v>
      </c>
      <c r="K5519" s="15" t="str">
        <f t="shared" ca="1" si="1611"/>
        <v>'0'!B42</v>
      </c>
    </row>
    <row r="5520" spans="1:16" x14ac:dyDescent="0.25">
      <c r="A5520" s="3" t="str">
        <f t="shared" ca="1" si="1612"/>
        <v/>
      </c>
      <c r="G5520" s="15">
        <f t="shared" ca="1" si="1621"/>
        <v>43</v>
      </c>
      <c r="H5520" s="15">
        <v>1</v>
      </c>
      <c r="I5520" s="15">
        <f t="shared" ca="1" si="1622"/>
        <v>0</v>
      </c>
      <c r="J5520" s="15" t="str">
        <f t="shared" ca="1" si="1610"/>
        <v>'0'!A43</v>
      </c>
      <c r="K5520" s="15" t="str">
        <f t="shared" ca="1" si="1611"/>
        <v>'0'!B43</v>
      </c>
    </row>
    <row r="5521" spans="1:16" x14ac:dyDescent="0.25">
      <c r="A5521" s="3" t="str">
        <f t="shared" ca="1" si="1612"/>
        <v/>
      </c>
      <c r="G5521" s="15">
        <f t="shared" ca="1" si="1621"/>
        <v>44</v>
      </c>
      <c r="H5521" s="15">
        <v>1</v>
      </c>
      <c r="I5521" s="15">
        <f t="shared" ca="1" si="1622"/>
        <v>0</v>
      </c>
      <c r="J5521" s="15" t="str">
        <f t="shared" ca="1" si="1610"/>
        <v>'0'!A44</v>
      </c>
      <c r="K5521" s="15" t="str">
        <f t="shared" ca="1" si="1611"/>
        <v>'0'!B44</v>
      </c>
    </row>
    <row r="5522" spans="1:16" x14ac:dyDescent="0.25">
      <c r="A5522" s="3" t="str">
        <f t="shared" ca="1" si="1612"/>
        <v/>
      </c>
      <c r="G5522" s="15">
        <f t="shared" ca="1" si="1621"/>
        <v>45</v>
      </c>
      <c r="H5522" s="15">
        <v>1</v>
      </c>
      <c r="I5522" s="15">
        <f t="shared" ca="1" si="1622"/>
        <v>0</v>
      </c>
      <c r="J5522" s="15" t="str">
        <f t="shared" ca="1" si="1610"/>
        <v>'0'!A45</v>
      </c>
      <c r="K5522" s="15" t="str">
        <f t="shared" ca="1" si="1611"/>
        <v>'0'!B45</v>
      </c>
    </row>
    <row r="5523" spans="1:16" x14ac:dyDescent="0.25">
      <c r="A5523" s="3" t="str">
        <f t="shared" ca="1" si="1612"/>
        <v/>
      </c>
      <c r="G5523" s="15">
        <f t="shared" ca="1" si="1621"/>
        <v>46</v>
      </c>
      <c r="H5523" s="15">
        <v>1</v>
      </c>
      <c r="I5523" s="15">
        <f t="shared" ca="1" si="1622"/>
        <v>0</v>
      </c>
      <c r="J5523" s="15" t="str">
        <f t="shared" ca="1" si="1610"/>
        <v>'0'!A46</v>
      </c>
      <c r="K5523" s="15" t="str">
        <f t="shared" ca="1" si="1611"/>
        <v>'0'!B46</v>
      </c>
    </row>
    <row r="5524" spans="1:16" x14ac:dyDescent="0.25">
      <c r="A5524" s="3" t="str">
        <f t="shared" ca="1" si="1612"/>
        <v/>
      </c>
      <c r="G5524" s="15">
        <f t="shared" ca="1" si="1621"/>
        <v>47</v>
      </c>
      <c r="H5524" s="15">
        <v>1</v>
      </c>
      <c r="I5524" s="15">
        <f t="shared" ca="1" si="1622"/>
        <v>0</v>
      </c>
      <c r="J5524" s="15" t="str">
        <f t="shared" ca="1" si="1610"/>
        <v>'0'!A47</v>
      </c>
      <c r="K5524" s="15" t="str">
        <f t="shared" ca="1" si="1611"/>
        <v>'0'!B47</v>
      </c>
    </row>
    <row r="5525" spans="1:16" x14ac:dyDescent="0.25">
      <c r="A5525" s="3" t="str">
        <f t="shared" ca="1" si="1612"/>
        <v/>
      </c>
      <c r="G5525" s="15">
        <f t="shared" ca="1" si="1621"/>
        <v>48</v>
      </c>
      <c r="H5525" s="15">
        <v>1</v>
      </c>
      <c r="I5525" s="15">
        <f t="shared" ca="1" si="1622"/>
        <v>0</v>
      </c>
      <c r="J5525" s="15" t="str">
        <f t="shared" ca="1" si="1610"/>
        <v>'0'!A48</v>
      </c>
      <c r="K5525" s="15" t="str">
        <f t="shared" ca="1" si="1611"/>
        <v>'0'!B48</v>
      </c>
    </row>
    <row r="5526" spans="1:16" x14ac:dyDescent="0.25">
      <c r="A5526" s="3" t="str">
        <f t="shared" ca="1" si="1612"/>
        <v/>
      </c>
      <c r="G5526" s="15">
        <f t="shared" ca="1" si="1621"/>
        <v>49</v>
      </c>
      <c r="H5526" s="15">
        <v>1</v>
      </c>
      <c r="I5526" s="15">
        <f t="shared" ca="1" si="1622"/>
        <v>0</v>
      </c>
      <c r="J5526" s="15" t="str">
        <f t="shared" ca="1" si="1610"/>
        <v>'0'!A49</v>
      </c>
      <c r="K5526" s="15" t="str">
        <f t="shared" ca="1" si="1611"/>
        <v>'0'!B49</v>
      </c>
    </row>
    <row r="5527" spans="1:16" x14ac:dyDescent="0.25">
      <c r="A5527" s="3" t="str">
        <f t="shared" ca="1" si="1612"/>
        <v/>
      </c>
      <c r="G5527" s="15">
        <f t="shared" ca="1" si="1621"/>
        <v>50</v>
      </c>
      <c r="H5527" s="15">
        <v>1</v>
      </c>
      <c r="I5527" s="15">
        <f t="shared" ca="1" si="1622"/>
        <v>0</v>
      </c>
      <c r="J5527" s="15" t="str">
        <f t="shared" ca="1" si="1610"/>
        <v>'0'!A50</v>
      </c>
      <c r="K5527" s="15" t="str">
        <f t="shared" ca="1" si="1611"/>
        <v>'0'!B50</v>
      </c>
    </row>
    <row r="5528" spans="1:16" x14ac:dyDescent="0.25">
      <c r="A5528" s="3" t="str">
        <f t="shared" ca="1" si="1612"/>
        <v/>
      </c>
      <c r="G5528" s="15">
        <f t="shared" ref="G5528" ca="1" si="1623">INDIRECT(M5528)</f>
        <v>31</v>
      </c>
      <c r="H5528" s="15">
        <v>1</v>
      </c>
      <c r="I5528" s="15">
        <f t="shared" ref="I5528" ca="1" si="1624">INDIRECT(N5528)</f>
        <v>0</v>
      </c>
      <c r="J5528" s="15" t="str">
        <f t="shared" ca="1" si="1610"/>
        <v>'0'!A31</v>
      </c>
      <c r="K5528" s="15" t="str">
        <f t="shared" ca="1" si="1611"/>
        <v>'0'!B31</v>
      </c>
      <c r="M5528" s="15" t="str">
        <f t="shared" ref="M5528" si="1625">ADDRESS(O5528,3,4,1,$R$1)</f>
        <v>konfig!C278</v>
      </c>
      <c r="N5528" s="15" t="str">
        <f t="shared" ref="N5528" si="1626">ADDRESS(O5528,1,4,1,$R$1)</f>
        <v>konfig!A278</v>
      </c>
      <c r="O5528" s="15">
        <v>278</v>
      </c>
      <c r="P5528" s="15">
        <v>4</v>
      </c>
    </row>
    <row r="5529" spans="1:16" x14ac:dyDescent="0.25">
      <c r="A5529" s="3" t="str">
        <f t="shared" ca="1" si="1612"/>
        <v/>
      </c>
      <c r="G5529" s="15">
        <f t="shared" ref="G5529:G5572" ca="1" si="1627">G5528+1</f>
        <v>32</v>
      </c>
      <c r="H5529" s="15">
        <v>1</v>
      </c>
      <c r="I5529" s="15">
        <f t="shared" ref="I5529:I5572" ca="1" si="1628">I5528</f>
        <v>0</v>
      </c>
      <c r="J5529" s="15" t="str">
        <f t="shared" ca="1" si="1610"/>
        <v>'0'!A32</v>
      </c>
      <c r="K5529" s="15" t="str">
        <f t="shared" ca="1" si="1611"/>
        <v>'0'!B32</v>
      </c>
    </row>
    <row r="5530" spans="1:16" x14ac:dyDescent="0.25">
      <c r="A5530" s="3" t="str">
        <f t="shared" ca="1" si="1612"/>
        <v/>
      </c>
      <c r="G5530" s="15">
        <f t="shared" ca="1" si="1627"/>
        <v>33</v>
      </c>
      <c r="H5530" s="15">
        <v>1</v>
      </c>
      <c r="I5530" s="15">
        <f t="shared" ca="1" si="1628"/>
        <v>0</v>
      </c>
      <c r="J5530" s="15" t="str">
        <f t="shared" ca="1" si="1610"/>
        <v>'0'!A33</v>
      </c>
      <c r="K5530" s="15" t="str">
        <f t="shared" ca="1" si="1611"/>
        <v>'0'!B33</v>
      </c>
    </row>
    <row r="5531" spans="1:16" x14ac:dyDescent="0.25">
      <c r="A5531" s="3" t="str">
        <f t="shared" ca="1" si="1612"/>
        <v/>
      </c>
      <c r="C5531" s="16"/>
      <c r="G5531" s="15">
        <f t="shared" ca="1" si="1627"/>
        <v>34</v>
      </c>
      <c r="H5531" s="15">
        <v>1</v>
      </c>
      <c r="I5531" s="15">
        <f t="shared" ca="1" si="1628"/>
        <v>0</v>
      </c>
      <c r="J5531" s="15" t="str">
        <f t="shared" ca="1" si="1610"/>
        <v>'0'!A34</v>
      </c>
      <c r="K5531" s="15" t="str">
        <f t="shared" ca="1" si="1611"/>
        <v>'0'!B34</v>
      </c>
    </row>
    <row r="5532" spans="1:16" x14ac:dyDescent="0.25">
      <c r="A5532" s="3" t="str">
        <f t="shared" ca="1" si="1612"/>
        <v/>
      </c>
      <c r="G5532" s="15">
        <f t="shared" ca="1" si="1627"/>
        <v>35</v>
      </c>
      <c r="H5532" s="15">
        <v>1</v>
      </c>
      <c r="I5532" s="15">
        <f t="shared" ca="1" si="1628"/>
        <v>0</v>
      </c>
      <c r="J5532" s="15" t="str">
        <f t="shared" ca="1" si="1610"/>
        <v>'0'!A35</v>
      </c>
      <c r="K5532" s="15" t="str">
        <f t="shared" ca="1" si="1611"/>
        <v>'0'!B35</v>
      </c>
    </row>
    <row r="5533" spans="1:16" x14ac:dyDescent="0.25">
      <c r="A5533" s="3" t="str">
        <f t="shared" ca="1" si="1612"/>
        <v/>
      </c>
      <c r="G5533" s="15">
        <f t="shared" ca="1" si="1621"/>
        <v>36</v>
      </c>
      <c r="H5533" s="15">
        <v>1</v>
      </c>
      <c r="I5533" s="15">
        <f t="shared" ca="1" si="1622"/>
        <v>0</v>
      </c>
      <c r="J5533" s="15" t="str">
        <f t="shared" ca="1" si="1610"/>
        <v>'0'!A36</v>
      </c>
      <c r="K5533" s="15" t="str">
        <f t="shared" ca="1" si="1611"/>
        <v>'0'!B36</v>
      </c>
    </row>
    <row r="5534" spans="1:16" x14ac:dyDescent="0.25">
      <c r="A5534" s="3" t="str">
        <f t="shared" ca="1" si="1612"/>
        <v/>
      </c>
      <c r="G5534" s="15">
        <f t="shared" ca="1" si="1621"/>
        <v>37</v>
      </c>
      <c r="H5534" s="15">
        <v>1</v>
      </c>
      <c r="I5534" s="15">
        <f t="shared" ca="1" si="1622"/>
        <v>0</v>
      </c>
      <c r="J5534" s="15" t="str">
        <f t="shared" ca="1" si="1610"/>
        <v>'0'!A37</v>
      </c>
      <c r="K5534" s="15" t="str">
        <f t="shared" ca="1" si="1611"/>
        <v>'0'!B37</v>
      </c>
    </row>
    <row r="5535" spans="1:16" x14ac:dyDescent="0.25">
      <c r="A5535" s="3" t="str">
        <f t="shared" ca="1" si="1612"/>
        <v/>
      </c>
      <c r="G5535" s="15">
        <f t="shared" ca="1" si="1621"/>
        <v>38</v>
      </c>
      <c r="H5535" s="15">
        <v>1</v>
      </c>
      <c r="I5535" s="15">
        <f t="shared" ca="1" si="1622"/>
        <v>0</v>
      </c>
      <c r="J5535" s="15" t="str">
        <f t="shared" ca="1" si="1610"/>
        <v>'0'!A38</v>
      </c>
      <c r="K5535" s="15" t="str">
        <f t="shared" ca="1" si="1611"/>
        <v>'0'!B38</v>
      </c>
    </row>
    <row r="5536" spans="1:16" x14ac:dyDescent="0.25">
      <c r="A5536" s="3" t="str">
        <f t="shared" ca="1" si="1612"/>
        <v/>
      </c>
      <c r="G5536" s="15">
        <f t="shared" ca="1" si="1621"/>
        <v>39</v>
      </c>
      <c r="H5536" s="15">
        <v>1</v>
      </c>
      <c r="I5536" s="15">
        <f t="shared" ca="1" si="1622"/>
        <v>0</v>
      </c>
      <c r="J5536" s="15" t="str">
        <f t="shared" ca="1" si="1610"/>
        <v>'0'!A39</v>
      </c>
      <c r="K5536" s="15" t="str">
        <f t="shared" ca="1" si="1611"/>
        <v>'0'!B39</v>
      </c>
    </row>
    <row r="5537" spans="1:16" x14ac:dyDescent="0.25">
      <c r="A5537" s="3" t="str">
        <f t="shared" ca="1" si="1612"/>
        <v/>
      </c>
      <c r="G5537" s="15">
        <f t="shared" ca="1" si="1621"/>
        <v>40</v>
      </c>
      <c r="H5537" s="15">
        <v>1</v>
      </c>
      <c r="I5537" s="15">
        <f t="shared" ca="1" si="1622"/>
        <v>0</v>
      </c>
      <c r="J5537" s="15" t="str">
        <f t="shared" ca="1" si="1610"/>
        <v>'0'!A40</v>
      </c>
      <c r="K5537" s="15" t="str">
        <f t="shared" ca="1" si="1611"/>
        <v>'0'!B40</v>
      </c>
    </row>
    <row r="5538" spans="1:16" x14ac:dyDescent="0.25">
      <c r="A5538" s="3" t="str">
        <f t="shared" ca="1" si="1612"/>
        <v/>
      </c>
      <c r="G5538" s="15">
        <f t="shared" ca="1" si="1621"/>
        <v>41</v>
      </c>
      <c r="H5538" s="15">
        <v>1</v>
      </c>
      <c r="I5538" s="15">
        <f t="shared" ca="1" si="1622"/>
        <v>0</v>
      </c>
      <c r="J5538" s="15" t="str">
        <f t="shared" ca="1" si="1610"/>
        <v>'0'!A41</v>
      </c>
      <c r="K5538" s="15" t="str">
        <f t="shared" ca="1" si="1611"/>
        <v>'0'!B41</v>
      </c>
    </row>
    <row r="5539" spans="1:16" x14ac:dyDescent="0.25">
      <c r="A5539" s="3" t="str">
        <f t="shared" ca="1" si="1612"/>
        <v/>
      </c>
      <c r="C5539" s="16"/>
      <c r="G5539" s="15">
        <f t="shared" ca="1" si="1621"/>
        <v>42</v>
      </c>
      <c r="H5539" s="15">
        <v>1</v>
      </c>
      <c r="I5539" s="15">
        <f t="shared" ca="1" si="1622"/>
        <v>0</v>
      </c>
      <c r="J5539" s="15" t="str">
        <f t="shared" ca="1" si="1610"/>
        <v>'0'!A42</v>
      </c>
      <c r="K5539" s="15" t="str">
        <f t="shared" ca="1" si="1611"/>
        <v>'0'!B42</v>
      </c>
    </row>
    <row r="5540" spans="1:16" x14ac:dyDescent="0.25">
      <c r="A5540" s="3" t="str">
        <f t="shared" ca="1" si="1612"/>
        <v/>
      </c>
      <c r="G5540" s="15">
        <f t="shared" ca="1" si="1621"/>
        <v>43</v>
      </c>
      <c r="H5540" s="15">
        <v>1</v>
      </c>
      <c r="I5540" s="15">
        <f t="shared" ca="1" si="1622"/>
        <v>0</v>
      </c>
      <c r="J5540" s="15" t="str">
        <f t="shared" ref="J5540:J5603" ca="1" si="1629">ADDRESS(G5540,H5540,4,1,I5540)</f>
        <v>'0'!A43</v>
      </c>
      <c r="K5540" s="15" t="str">
        <f t="shared" ref="K5540:K5603" ca="1" si="1630">ADDRESS(G5540,H5540+1,4,1,I5540)</f>
        <v>'0'!B43</v>
      </c>
    </row>
    <row r="5541" spans="1:16" x14ac:dyDescent="0.25">
      <c r="A5541" s="3" t="str">
        <f t="shared" ca="1" si="1612"/>
        <v/>
      </c>
      <c r="G5541" s="15">
        <f t="shared" ca="1" si="1621"/>
        <v>44</v>
      </c>
      <c r="H5541" s="15">
        <v>1</v>
      </c>
      <c r="I5541" s="15">
        <f t="shared" ca="1" si="1622"/>
        <v>0</v>
      </c>
      <c r="J5541" s="15" t="str">
        <f t="shared" ca="1" si="1629"/>
        <v>'0'!A44</v>
      </c>
      <c r="K5541" s="15" t="str">
        <f t="shared" ca="1" si="1630"/>
        <v>'0'!B44</v>
      </c>
    </row>
    <row r="5542" spans="1:16" x14ac:dyDescent="0.25">
      <c r="A5542" s="3" t="str">
        <f t="shared" ca="1" si="1612"/>
        <v/>
      </c>
      <c r="G5542" s="15">
        <f t="shared" ca="1" si="1621"/>
        <v>45</v>
      </c>
      <c r="H5542" s="15">
        <v>1</v>
      </c>
      <c r="I5542" s="15">
        <f t="shared" ca="1" si="1622"/>
        <v>0</v>
      </c>
      <c r="J5542" s="15" t="str">
        <f t="shared" ca="1" si="1629"/>
        <v>'0'!A45</v>
      </c>
      <c r="K5542" s="15" t="str">
        <f t="shared" ca="1" si="1630"/>
        <v>'0'!B45</v>
      </c>
    </row>
    <row r="5543" spans="1:16" x14ac:dyDescent="0.25">
      <c r="A5543" s="3" t="str">
        <f t="shared" ca="1" si="1612"/>
        <v/>
      </c>
      <c r="G5543" s="15">
        <f t="shared" ca="1" si="1621"/>
        <v>46</v>
      </c>
      <c r="H5543" s="15">
        <v>1</v>
      </c>
      <c r="I5543" s="15">
        <f t="shared" ca="1" si="1622"/>
        <v>0</v>
      </c>
      <c r="J5543" s="15" t="str">
        <f t="shared" ca="1" si="1629"/>
        <v>'0'!A46</v>
      </c>
      <c r="K5543" s="15" t="str">
        <f t="shared" ca="1" si="1630"/>
        <v>'0'!B46</v>
      </c>
    </row>
    <row r="5544" spans="1:16" x14ac:dyDescent="0.25">
      <c r="A5544" s="3" t="str">
        <f t="shared" ca="1" si="1612"/>
        <v/>
      </c>
      <c r="G5544" s="15">
        <f t="shared" ca="1" si="1621"/>
        <v>47</v>
      </c>
      <c r="H5544" s="15">
        <v>1</v>
      </c>
      <c r="I5544" s="15">
        <f t="shared" ca="1" si="1622"/>
        <v>0</v>
      </c>
      <c r="J5544" s="15" t="str">
        <f t="shared" ca="1" si="1629"/>
        <v>'0'!A47</v>
      </c>
      <c r="K5544" s="15" t="str">
        <f t="shared" ca="1" si="1630"/>
        <v>'0'!B47</v>
      </c>
    </row>
    <row r="5545" spans="1:16" x14ac:dyDescent="0.25">
      <c r="A5545" s="3" t="str">
        <f t="shared" ca="1" si="1612"/>
        <v/>
      </c>
      <c r="G5545" s="15">
        <f t="shared" ca="1" si="1621"/>
        <v>48</v>
      </c>
      <c r="H5545" s="15">
        <v>1</v>
      </c>
      <c r="I5545" s="15">
        <f t="shared" ca="1" si="1622"/>
        <v>0</v>
      </c>
      <c r="J5545" s="15" t="str">
        <f t="shared" ca="1" si="1629"/>
        <v>'0'!A48</v>
      </c>
      <c r="K5545" s="15" t="str">
        <f t="shared" ca="1" si="1630"/>
        <v>'0'!B48</v>
      </c>
    </row>
    <row r="5546" spans="1:16" x14ac:dyDescent="0.25">
      <c r="A5546" s="3" t="str">
        <f t="shared" ca="1" si="1612"/>
        <v/>
      </c>
      <c r="G5546" s="15">
        <f t="shared" ca="1" si="1621"/>
        <v>49</v>
      </c>
      <c r="H5546" s="15">
        <v>1</v>
      </c>
      <c r="I5546" s="15">
        <f t="shared" ca="1" si="1622"/>
        <v>0</v>
      </c>
      <c r="J5546" s="15" t="str">
        <f t="shared" ca="1" si="1629"/>
        <v>'0'!A49</v>
      </c>
      <c r="K5546" s="15" t="str">
        <f t="shared" ca="1" si="1630"/>
        <v>'0'!B49</v>
      </c>
    </row>
    <row r="5547" spans="1:16" x14ac:dyDescent="0.25">
      <c r="A5547" s="3" t="str">
        <f t="shared" ca="1" si="1612"/>
        <v/>
      </c>
      <c r="G5547" s="15">
        <f t="shared" ca="1" si="1621"/>
        <v>50</v>
      </c>
      <c r="H5547" s="15">
        <v>1</v>
      </c>
      <c r="I5547" s="15">
        <f t="shared" ca="1" si="1622"/>
        <v>0</v>
      </c>
      <c r="J5547" s="15" t="str">
        <f t="shared" ca="1" si="1629"/>
        <v>'0'!A50</v>
      </c>
      <c r="K5547" s="15" t="str">
        <f t="shared" ca="1" si="1630"/>
        <v>'0'!B50</v>
      </c>
    </row>
    <row r="5548" spans="1:16" x14ac:dyDescent="0.25">
      <c r="A5548" s="3" t="str">
        <f t="shared" ref="A5548:A5611" ca="1" si="1631">IFERROR(IF(INDIRECT(J5548)&lt;&gt;"",CONCATENATE(INDIRECT(J5548)," = ",INDIRECT(K5548)," "),""),"")</f>
        <v/>
      </c>
      <c r="G5548" s="15">
        <f t="shared" ref="G5548" ca="1" si="1632">INDIRECT(M5548)</f>
        <v>31</v>
      </c>
      <c r="H5548" s="15">
        <v>1</v>
      </c>
      <c r="I5548" s="15">
        <f t="shared" ref="I5548" ca="1" si="1633">INDIRECT(N5548)</f>
        <v>0</v>
      </c>
      <c r="J5548" s="15" t="str">
        <f t="shared" ca="1" si="1629"/>
        <v>'0'!A31</v>
      </c>
      <c r="K5548" s="15" t="str">
        <f t="shared" ca="1" si="1630"/>
        <v>'0'!B31</v>
      </c>
      <c r="M5548" s="15" t="str">
        <f t="shared" ref="M5548" si="1634">ADDRESS(O5548,3,4,1,$R$1)</f>
        <v>konfig!C279</v>
      </c>
      <c r="N5548" s="15" t="str">
        <f t="shared" ref="N5548" si="1635">ADDRESS(O5548,1,4,1,$R$1)</f>
        <v>konfig!A279</v>
      </c>
      <c r="O5548" s="15">
        <v>279</v>
      </c>
      <c r="P5548" s="15">
        <v>4</v>
      </c>
    </row>
    <row r="5549" spans="1:16" x14ac:dyDescent="0.25">
      <c r="A5549" s="3" t="str">
        <f t="shared" ca="1" si="1631"/>
        <v/>
      </c>
      <c r="G5549" s="15">
        <f t="shared" ref="G5549:G5589" ca="1" si="1636">G5548+1</f>
        <v>32</v>
      </c>
      <c r="H5549" s="15">
        <v>1</v>
      </c>
      <c r="I5549" s="15">
        <f t="shared" ref="I5549:I5589" ca="1" si="1637">I5548</f>
        <v>0</v>
      </c>
      <c r="J5549" s="15" t="str">
        <f t="shared" ca="1" si="1629"/>
        <v>'0'!A32</v>
      </c>
      <c r="K5549" s="15" t="str">
        <f t="shared" ca="1" si="1630"/>
        <v>'0'!B32</v>
      </c>
    </row>
    <row r="5550" spans="1:16" x14ac:dyDescent="0.25">
      <c r="A5550" s="3" t="str">
        <f t="shared" ca="1" si="1631"/>
        <v/>
      </c>
      <c r="G5550" s="15">
        <f t="shared" ca="1" si="1621"/>
        <v>33</v>
      </c>
      <c r="H5550" s="15">
        <v>1</v>
      </c>
      <c r="I5550" s="15">
        <f t="shared" ca="1" si="1622"/>
        <v>0</v>
      </c>
      <c r="J5550" s="15" t="str">
        <f t="shared" ca="1" si="1629"/>
        <v>'0'!A33</v>
      </c>
      <c r="K5550" s="15" t="str">
        <f t="shared" ca="1" si="1630"/>
        <v>'0'!B33</v>
      </c>
    </row>
    <row r="5551" spans="1:16" x14ac:dyDescent="0.25">
      <c r="A5551" s="3" t="str">
        <f t="shared" ca="1" si="1631"/>
        <v/>
      </c>
      <c r="C5551" s="16"/>
      <c r="G5551" s="15">
        <f t="shared" ca="1" si="1621"/>
        <v>34</v>
      </c>
      <c r="H5551" s="15">
        <v>1</v>
      </c>
      <c r="I5551" s="15">
        <f t="shared" ca="1" si="1622"/>
        <v>0</v>
      </c>
      <c r="J5551" s="15" t="str">
        <f t="shared" ca="1" si="1629"/>
        <v>'0'!A34</v>
      </c>
      <c r="K5551" s="15" t="str">
        <f t="shared" ca="1" si="1630"/>
        <v>'0'!B34</v>
      </c>
    </row>
    <row r="5552" spans="1:16" x14ac:dyDescent="0.25">
      <c r="A5552" s="3" t="str">
        <f t="shared" ca="1" si="1631"/>
        <v/>
      </c>
      <c r="G5552" s="15">
        <f t="shared" ca="1" si="1621"/>
        <v>35</v>
      </c>
      <c r="H5552" s="15">
        <v>1</v>
      </c>
      <c r="I5552" s="15">
        <f t="shared" ca="1" si="1622"/>
        <v>0</v>
      </c>
      <c r="J5552" s="15" t="str">
        <f t="shared" ca="1" si="1629"/>
        <v>'0'!A35</v>
      </c>
      <c r="K5552" s="15" t="str">
        <f t="shared" ca="1" si="1630"/>
        <v>'0'!B35</v>
      </c>
    </row>
    <row r="5553" spans="1:16" x14ac:dyDescent="0.25">
      <c r="A5553" s="3" t="str">
        <f t="shared" ca="1" si="1631"/>
        <v/>
      </c>
      <c r="G5553" s="15">
        <f t="shared" ca="1" si="1621"/>
        <v>36</v>
      </c>
      <c r="H5553" s="15">
        <v>1</v>
      </c>
      <c r="I5553" s="15">
        <f t="shared" ca="1" si="1622"/>
        <v>0</v>
      </c>
      <c r="J5553" s="15" t="str">
        <f t="shared" ca="1" si="1629"/>
        <v>'0'!A36</v>
      </c>
      <c r="K5553" s="15" t="str">
        <f t="shared" ca="1" si="1630"/>
        <v>'0'!B36</v>
      </c>
    </row>
    <row r="5554" spans="1:16" x14ac:dyDescent="0.25">
      <c r="A5554" s="3" t="str">
        <f t="shared" ca="1" si="1631"/>
        <v/>
      </c>
      <c r="G5554" s="15">
        <f t="shared" ca="1" si="1621"/>
        <v>37</v>
      </c>
      <c r="H5554" s="15">
        <v>1</v>
      </c>
      <c r="I5554" s="15">
        <f t="shared" ca="1" si="1622"/>
        <v>0</v>
      </c>
      <c r="J5554" s="15" t="str">
        <f t="shared" ca="1" si="1629"/>
        <v>'0'!A37</v>
      </c>
      <c r="K5554" s="15" t="str">
        <f t="shared" ca="1" si="1630"/>
        <v>'0'!B37</v>
      </c>
    </row>
    <row r="5555" spans="1:16" x14ac:dyDescent="0.25">
      <c r="A5555" s="3" t="str">
        <f t="shared" ca="1" si="1631"/>
        <v/>
      </c>
      <c r="G5555" s="15">
        <f t="shared" ca="1" si="1621"/>
        <v>38</v>
      </c>
      <c r="H5555" s="15">
        <v>1</v>
      </c>
      <c r="I5555" s="15">
        <f t="shared" ca="1" si="1622"/>
        <v>0</v>
      </c>
      <c r="J5555" s="15" t="str">
        <f t="shared" ca="1" si="1629"/>
        <v>'0'!A38</v>
      </c>
      <c r="K5555" s="15" t="str">
        <f t="shared" ca="1" si="1630"/>
        <v>'0'!B38</v>
      </c>
    </row>
    <row r="5556" spans="1:16" x14ac:dyDescent="0.25">
      <c r="A5556" s="3" t="str">
        <f t="shared" ca="1" si="1631"/>
        <v/>
      </c>
      <c r="G5556" s="15">
        <f t="shared" ca="1" si="1621"/>
        <v>39</v>
      </c>
      <c r="H5556" s="15">
        <v>1</v>
      </c>
      <c r="I5556" s="15">
        <f t="shared" ca="1" si="1622"/>
        <v>0</v>
      </c>
      <c r="J5556" s="15" t="str">
        <f t="shared" ca="1" si="1629"/>
        <v>'0'!A39</v>
      </c>
      <c r="K5556" s="15" t="str">
        <f t="shared" ca="1" si="1630"/>
        <v>'0'!B39</v>
      </c>
    </row>
    <row r="5557" spans="1:16" x14ac:dyDescent="0.25">
      <c r="A5557" s="3" t="str">
        <f t="shared" ca="1" si="1631"/>
        <v/>
      </c>
      <c r="G5557" s="15">
        <f t="shared" ca="1" si="1621"/>
        <v>40</v>
      </c>
      <c r="H5557" s="15">
        <v>1</v>
      </c>
      <c r="I5557" s="15">
        <f t="shared" ca="1" si="1622"/>
        <v>0</v>
      </c>
      <c r="J5557" s="15" t="str">
        <f t="shared" ca="1" si="1629"/>
        <v>'0'!A40</v>
      </c>
      <c r="K5557" s="15" t="str">
        <f t="shared" ca="1" si="1630"/>
        <v>'0'!B40</v>
      </c>
    </row>
    <row r="5558" spans="1:16" x14ac:dyDescent="0.25">
      <c r="A5558" s="3" t="str">
        <f t="shared" ca="1" si="1631"/>
        <v/>
      </c>
      <c r="G5558" s="15">
        <f t="shared" ca="1" si="1621"/>
        <v>41</v>
      </c>
      <c r="H5558" s="15">
        <v>1</v>
      </c>
      <c r="I5558" s="15">
        <f t="shared" ca="1" si="1622"/>
        <v>0</v>
      </c>
      <c r="J5558" s="15" t="str">
        <f t="shared" ca="1" si="1629"/>
        <v>'0'!A41</v>
      </c>
      <c r="K5558" s="15" t="str">
        <f t="shared" ca="1" si="1630"/>
        <v>'0'!B41</v>
      </c>
    </row>
    <row r="5559" spans="1:16" x14ac:dyDescent="0.25">
      <c r="A5559" s="3" t="str">
        <f t="shared" ca="1" si="1631"/>
        <v/>
      </c>
      <c r="C5559" s="16"/>
      <c r="G5559" s="15">
        <f t="shared" ca="1" si="1621"/>
        <v>42</v>
      </c>
      <c r="H5559" s="15">
        <v>1</v>
      </c>
      <c r="I5559" s="15">
        <f t="shared" ca="1" si="1622"/>
        <v>0</v>
      </c>
      <c r="J5559" s="15" t="str">
        <f t="shared" ca="1" si="1629"/>
        <v>'0'!A42</v>
      </c>
      <c r="K5559" s="15" t="str">
        <f t="shared" ca="1" si="1630"/>
        <v>'0'!B42</v>
      </c>
    </row>
    <row r="5560" spans="1:16" x14ac:dyDescent="0.25">
      <c r="A5560" s="3" t="str">
        <f t="shared" ca="1" si="1631"/>
        <v/>
      </c>
      <c r="G5560" s="15">
        <f t="shared" ca="1" si="1621"/>
        <v>43</v>
      </c>
      <c r="H5560" s="15">
        <v>1</v>
      </c>
      <c r="I5560" s="15">
        <f t="shared" ca="1" si="1622"/>
        <v>0</v>
      </c>
      <c r="J5560" s="15" t="str">
        <f t="shared" ca="1" si="1629"/>
        <v>'0'!A43</v>
      </c>
      <c r="K5560" s="15" t="str">
        <f t="shared" ca="1" si="1630"/>
        <v>'0'!B43</v>
      </c>
    </row>
    <row r="5561" spans="1:16" x14ac:dyDescent="0.25">
      <c r="A5561" s="3" t="str">
        <f t="shared" ca="1" si="1631"/>
        <v/>
      </c>
      <c r="G5561" s="15">
        <f t="shared" ca="1" si="1621"/>
        <v>44</v>
      </c>
      <c r="H5561" s="15">
        <v>1</v>
      </c>
      <c r="I5561" s="15">
        <f t="shared" ca="1" si="1622"/>
        <v>0</v>
      </c>
      <c r="J5561" s="15" t="str">
        <f t="shared" ca="1" si="1629"/>
        <v>'0'!A44</v>
      </c>
      <c r="K5561" s="15" t="str">
        <f t="shared" ca="1" si="1630"/>
        <v>'0'!B44</v>
      </c>
    </row>
    <row r="5562" spans="1:16" x14ac:dyDescent="0.25">
      <c r="A5562" s="3" t="str">
        <f t="shared" ca="1" si="1631"/>
        <v/>
      </c>
      <c r="G5562" s="15">
        <f t="shared" ca="1" si="1621"/>
        <v>45</v>
      </c>
      <c r="H5562" s="15">
        <v>1</v>
      </c>
      <c r="I5562" s="15">
        <f t="shared" ca="1" si="1622"/>
        <v>0</v>
      </c>
      <c r="J5562" s="15" t="str">
        <f t="shared" ca="1" si="1629"/>
        <v>'0'!A45</v>
      </c>
      <c r="K5562" s="15" t="str">
        <f t="shared" ca="1" si="1630"/>
        <v>'0'!B45</v>
      </c>
    </row>
    <row r="5563" spans="1:16" x14ac:dyDescent="0.25">
      <c r="A5563" s="3" t="str">
        <f t="shared" ca="1" si="1631"/>
        <v/>
      </c>
      <c r="G5563" s="15">
        <f t="shared" ca="1" si="1621"/>
        <v>46</v>
      </c>
      <c r="H5563" s="15">
        <v>1</v>
      </c>
      <c r="I5563" s="15">
        <f t="shared" ca="1" si="1622"/>
        <v>0</v>
      </c>
      <c r="J5563" s="15" t="str">
        <f t="shared" ca="1" si="1629"/>
        <v>'0'!A46</v>
      </c>
      <c r="K5563" s="15" t="str">
        <f t="shared" ca="1" si="1630"/>
        <v>'0'!B46</v>
      </c>
    </row>
    <row r="5564" spans="1:16" x14ac:dyDescent="0.25">
      <c r="A5564" s="3" t="str">
        <f t="shared" ca="1" si="1631"/>
        <v/>
      </c>
      <c r="G5564" s="15">
        <f t="shared" ca="1" si="1621"/>
        <v>47</v>
      </c>
      <c r="H5564" s="15">
        <v>1</v>
      </c>
      <c r="I5564" s="15">
        <f t="shared" ca="1" si="1622"/>
        <v>0</v>
      </c>
      <c r="J5564" s="15" t="str">
        <f t="shared" ca="1" si="1629"/>
        <v>'0'!A47</v>
      </c>
      <c r="K5564" s="15" t="str">
        <f t="shared" ca="1" si="1630"/>
        <v>'0'!B47</v>
      </c>
    </row>
    <row r="5565" spans="1:16" x14ac:dyDescent="0.25">
      <c r="A5565" s="3" t="str">
        <f t="shared" ca="1" si="1631"/>
        <v/>
      </c>
      <c r="G5565" s="15">
        <f t="shared" ca="1" si="1621"/>
        <v>48</v>
      </c>
      <c r="H5565" s="15">
        <v>1</v>
      </c>
      <c r="I5565" s="15">
        <f t="shared" ca="1" si="1622"/>
        <v>0</v>
      </c>
      <c r="J5565" s="15" t="str">
        <f t="shared" ca="1" si="1629"/>
        <v>'0'!A48</v>
      </c>
      <c r="K5565" s="15" t="str">
        <f t="shared" ca="1" si="1630"/>
        <v>'0'!B48</v>
      </c>
    </row>
    <row r="5566" spans="1:16" x14ac:dyDescent="0.25">
      <c r="A5566" s="3" t="str">
        <f t="shared" ca="1" si="1631"/>
        <v/>
      </c>
      <c r="G5566" s="15">
        <f t="shared" ca="1" si="1621"/>
        <v>49</v>
      </c>
      <c r="H5566" s="15">
        <v>1</v>
      </c>
      <c r="I5566" s="15">
        <f t="shared" ca="1" si="1622"/>
        <v>0</v>
      </c>
      <c r="J5566" s="15" t="str">
        <f t="shared" ca="1" si="1629"/>
        <v>'0'!A49</v>
      </c>
      <c r="K5566" s="15" t="str">
        <f t="shared" ca="1" si="1630"/>
        <v>'0'!B49</v>
      </c>
    </row>
    <row r="5567" spans="1:16" x14ac:dyDescent="0.25">
      <c r="A5567" s="3" t="str">
        <f t="shared" ca="1" si="1631"/>
        <v/>
      </c>
      <c r="G5567" s="15">
        <f t="shared" ca="1" si="1621"/>
        <v>50</v>
      </c>
      <c r="H5567" s="15">
        <v>1</v>
      </c>
      <c r="I5567" s="15">
        <f t="shared" ca="1" si="1622"/>
        <v>0</v>
      </c>
      <c r="J5567" s="15" t="str">
        <f t="shared" ca="1" si="1629"/>
        <v>'0'!A50</v>
      </c>
      <c r="K5567" s="15" t="str">
        <f t="shared" ca="1" si="1630"/>
        <v>'0'!B50</v>
      </c>
    </row>
    <row r="5568" spans="1:16" x14ac:dyDescent="0.25">
      <c r="A5568" s="3" t="str">
        <f t="shared" ca="1" si="1631"/>
        <v/>
      </c>
      <c r="G5568" s="15">
        <f t="shared" ref="G5568" ca="1" si="1638">INDIRECT(M5568)</f>
        <v>31</v>
      </c>
      <c r="H5568" s="15">
        <v>1</v>
      </c>
      <c r="I5568" s="15">
        <f t="shared" ref="I5568" ca="1" si="1639">INDIRECT(N5568)</f>
        <v>0</v>
      </c>
      <c r="J5568" s="15" t="str">
        <f t="shared" ca="1" si="1629"/>
        <v>'0'!A31</v>
      </c>
      <c r="K5568" s="15" t="str">
        <f t="shared" ca="1" si="1630"/>
        <v>'0'!B31</v>
      </c>
      <c r="M5568" s="15" t="str">
        <f t="shared" ref="M5568" si="1640">ADDRESS(O5568,3,4,1,$R$1)</f>
        <v>konfig!C280</v>
      </c>
      <c r="N5568" s="15" t="str">
        <f t="shared" ref="N5568" si="1641">ADDRESS(O5568,1,4,1,$R$1)</f>
        <v>konfig!A280</v>
      </c>
      <c r="O5568" s="15">
        <v>280</v>
      </c>
      <c r="P5568" s="15">
        <v>4</v>
      </c>
    </row>
    <row r="5569" spans="1:11" x14ac:dyDescent="0.25">
      <c r="A5569" s="3" t="str">
        <f t="shared" ca="1" si="1631"/>
        <v/>
      </c>
      <c r="G5569" s="15">
        <f t="shared" ca="1" si="1627"/>
        <v>32</v>
      </c>
      <c r="H5569" s="15">
        <v>1</v>
      </c>
      <c r="I5569" s="15">
        <f t="shared" ca="1" si="1628"/>
        <v>0</v>
      </c>
      <c r="J5569" s="15" t="str">
        <f t="shared" ca="1" si="1629"/>
        <v>'0'!A32</v>
      </c>
      <c r="K5569" s="15" t="str">
        <f t="shared" ca="1" si="1630"/>
        <v>'0'!B32</v>
      </c>
    </row>
    <row r="5570" spans="1:11" x14ac:dyDescent="0.25">
      <c r="A5570" s="3" t="str">
        <f t="shared" ca="1" si="1631"/>
        <v/>
      </c>
      <c r="G5570" s="15">
        <f t="shared" ca="1" si="1627"/>
        <v>33</v>
      </c>
      <c r="H5570" s="15">
        <v>1</v>
      </c>
      <c r="I5570" s="15">
        <f t="shared" ca="1" si="1628"/>
        <v>0</v>
      </c>
      <c r="J5570" s="15" t="str">
        <f t="shared" ca="1" si="1629"/>
        <v>'0'!A33</v>
      </c>
      <c r="K5570" s="15" t="str">
        <f t="shared" ca="1" si="1630"/>
        <v>'0'!B33</v>
      </c>
    </row>
    <row r="5571" spans="1:11" x14ac:dyDescent="0.25">
      <c r="A5571" s="3" t="str">
        <f t="shared" ca="1" si="1631"/>
        <v/>
      </c>
      <c r="C5571" s="16"/>
      <c r="G5571" s="15">
        <f t="shared" ca="1" si="1627"/>
        <v>34</v>
      </c>
      <c r="H5571" s="15">
        <v>1</v>
      </c>
      <c r="I5571" s="15">
        <f t="shared" ca="1" si="1628"/>
        <v>0</v>
      </c>
      <c r="J5571" s="15" t="str">
        <f t="shared" ca="1" si="1629"/>
        <v>'0'!A34</v>
      </c>
      <c r="K5571" s="15" t="str">
        <f t="shared" ca="1" si="1630"/>
        <v>'0'!B34</v>
      </c>
    </row>
    <row r="5572" spans="1:11" x14ac:dyDescent="0.25">
      <c r="A5572" s="3" t="str">
        <f t="shared" ca="1" si="1631"/>
        <v/>
      </c>
      <c r="G5572" s="15">
        <f t="shared" ca="1" si="1627"/>
        <v>35</v>
      </c>
      <c r="H5572" s="15">
        <v>1</v>
      </c>
      <c r="I5572" s="15">
        <f t="shared" ca="1" si="1628"/>
        <v>0</v>
      </c>
      <c r="J5572" s="15" t="str">
        <f t="shared" ca="1" si="1629"/>
        <v>'0'!A35</v>
      </c>
      <c r="K5572" s="15" t="str">
        <f t="shared" ca="1" si="1630"/>
        <v>'0'!B35</v>
      </c>
    </row>
    <row r="5573" spans="1:11" x14ac:dyDescent="0.25">
      <c r="A5573" s="3" t="str">
        <f t="shared" ca="1" si="1631"/>
        <v/>
      </c>
      <c r="G5573" s="15">
        <f t="shared" ca="1" si="1621"/>
        <v>36</v>
      </c>
      <c r="H5573" s="15">
        <v>1</v>
      </c>
      <c r="I5573" s="15">
        <f t="shared" ca="1" si="1622"/>
        <v>0</v>
      </c>
      <c r="J5573" s="15" t="str">
        <f t="shared" ca="1" si="1629"/>
        <v>'0'!A36</v>
      </c>
      <c r="K5573" s="15" t="str">
        <f t="shared" ca="1" si="1630"/>
        <v>'0'!B36</v>
      </c>
    </row>
    <row r="5574" spans="1:11" x14ac:dyDescent="0.25">
      <c r="A5574" s="3" t="str">
        <f t="shared" ca="1" si="1631"/>
        <v/>
      </c>
      <c r="G5574" s="15">
        <f t="shared" ca="1" si="1621"/>
        <v>37</v>
      </c>
      <c r="H5574" s="15">
        <v>1</v>
      </c>
      <c r="I5574" s="15">
        <f t="shared" ca="1" si="1622"/>
        <v>0</v>
      </c>
      <c r="J5574" s="15" t="str">
        <f t="shared" ca="1" si="1629"/>
        <v>'0'!A37</v>
      </c>
      <c r="K5574" s="15" t="str">
        <f t="shared" ca="1" si="1630"/>
        <v>'0'!B37</v>
      </c>
    </row>
    <row r="5575" spans="1:11" x14ac:dyDescent="0.25">
      <c r="A5575" s="3" t="str">
        <f t="shared" ca="1" si="1631"/>
        <v/>
      </c>
      <c r="G5575" s="15">
        <f t="shared" ca="1" si="1621"/>
        <v>38</v>
      </c>
      <c r="H5575" s="15">
        <v>1</v>
      </c>
      <c r="I5575" s="15">
        <f t="shared" ca="1" si="1622"/>
        <v>0</v>
      </c>
      <c r="J5575" s="15" t="str">
        <f t="shared" ca="1" si="1629"/>
        <v>'0'!A38</v>
      </c>
      <c r="K5575" s="15" t="str">
        <f t="shared" ca="1" si="1630"/>
        <v>'0'!B38</v>
      </c>
    </row>
    <row r="5576" spans="1:11" x14ac:dyDescent="0.25">
      <c r="A5576" s="3" t="str">
        <f t="shared" ca="1" si="1631"/>
        <v/>
      </c>
      <c r="G5576" s="15">
        <f t="shared" ca="1" si="1621"/>
        <v>39</v>
      </c>
      <c r="H5576" s="15">
        <v>1</v>
      </c>
      <c r="I5576" s="15">
        <f t="shared" ca="1" si="1622"/>
        <v>0</v>
      </c>
      <c r="J5576" s="15" t="str">
        <f t="shared" ca="1" si="1629"/>
        <v>'0'!A39</v>
      </c>
      <c r="K5576" s="15" t="str">
        <f t="shared" ca="1" si="1630"/>
        <v>'0'!B39</v>
      </c>
    </row>
    <row r="5577" spans="1:11" x14ac:dyDescent="0.25">
      <c r="A5577" s="3" t="str">
        <f t="shared" ca="1" si="1631"/>
        <v/>
      </c>
      <c r="G5577" s="15">
        <f t="shared" ref="G5577:G5640" ca="1" si="1642">G5576+1</f>
        <v>40</v>
      </c>
      <c r="H5577" s="15">
        <v>1</v>
      </c>
      <c r="I5577" s="15">
        <f t="shared" ref="I5577:I5640" ca="1" si="1643">I5576</f>
        <v>0</v>
      </c>
      <c r="J5577" s="15" t="str">
        <f t="shared" ca="1" si="1629"/>
        <v>'0'!A40</v>
      </c>
      <c r="K5577" s="15" t="str">
        <f t="shared" ca="1" si="1630"/>
        <v>'0'!B40</v>
      </c>
    </row>
    <row r="5578" spans="1:11" x14ac:dyDescent="0.25">
      <c r="A5578" s="3" t="str">
        <f t="shared" ca="1" si="1631"/>
        <v/>
      </c>
      <c r="G5578" s="15">
        <f t="shared" ca="1" si="1642"/>
        <v>41</v>
      </c>
      <c r="H5578" s="15">
        <v>1</v>
      </c>
      <c r="I5578" s="15">
        <f t="shared" ca="1" si="1643"/>
        <v>0</v>
      </c>
      <c r="J5578" s="15" t="str">
        <f t="shared" ca="1" si="1629"/>
        <v>'0'!A41</v>
      </c>
      <c r="K5578" s="15" t="str">
        <f t="shared" ca="1" si="1630"/>
        <v>'0'!B41</v>
      </c>
    </row>
    <row r="5579" spans="1:11" x14ac:dyDescent="0.25">
      <c r="A5579" s="3" t="str">
        <f t="shared" ca="1" si="1631"/>
        <v/>
      </c>
      <c r="C5579" s="16"/>
      <c r="G5579" s="15">
        <f t="shared" ca="1" si="1642"/>
        <v>42</v>
      </c>
      <c r="H5579" s="15">
        <v>1</v>
      </c>
      <c r="I5579" s="15">
        <f t="shared" ca="1" si="1643"/>
        <v>0</v>
      </c>
      <c r="J5579" s="15" t="str">
        <f t="shared" ca="1" si="1629"/>
        <v>'0'!A42</v>
      </c>
      <c r="K5579" s="15" t="str">
        <f t="shared" ca="1" si="1630"/>
        <v>'0'!B42</v>
      </c>
    </row>
    <row r="5580" spans="1:11" x14ac:dyDescent="0.25">
      <c r="A5580" s="3" t="str">
        <f t="shared" ca="1" si="1631"/>
        <v/>
      </c>
      <c r="G5580" s="15">
        <f t="shared" ca="1" si="1642"/>
        <v>43</v>
      </c>
      <c r="H5580" s="15">
        <v>1</v>
      </c>
      <c r="I5580" s="15">
        <f t="shared" ca="1" si="1643"/>
        <v>0</v>
      </c>
      <c r="J5580" s="15" t="str">
        <f t="shared" ca="1" si="1629"/>
        <v>'0'!A43</v>
      </c>
      <c r="K5580" s="15" t="str">
        <f t="shared" ca="1" si="1630"/>
        <v>'0'!B43</v>
      </c>
    </row>
    <row r="5581" spans="1:11" x14ac:dyDescent="0.25">
      <c r="A5581" s="3" t="str">
        <f t="shared" ca="1" si="1631"/>
        <v/>
      </c>
      <c r="G5581" s="15">
        <f t="shared" ca="1" si="1642"/>
        <v>44</v>
      </c>
      <c r="H5581" s="15">
        <v>1</v>
      </c>
      <c r="I5581" s="15">
        <f t="shared" ca="1" si="1643"/>
        <v>0</v>
      </c>
      <c r="J5581" s="15" t="str">
        <f t="shared" ca="1" si="1629"/>
        <v>'0'!A44</v>
      </c>
      <c r="K5581" s="15" t="str">
        <f t="shared" ca="1" si="1630"/>
        <v>'0'!B44</v>
      </c>
    </row>
    <row r="5582" spans="1:11" x14ac:dyDescent="0.25">
      <c r="A5582" s="3" t="str">
        <f t="shared" ca="1" si="1631"/>
        <v/>
      </c>
      <c r="G5582" s="15">
        <f t="shared" ca="1" si="1642"/>
        <v>45</v>
      </c>
      <c r="H5582" s="15">
        <v>1</v>
      </c>
      <c r="I5582" s="15">
        <f t="shared" ca="1" si="1643"/>
        <v>0</v>
      </c>
      <c r="J5582" s="15" t="str">
        <f t="shared" ca="1" si="1629"/>
        <v>'0'!A45</v>
      </c>
      <c r="K5582" s="15" t="str">
        <f t="shared" ca="1" si="1630"/>
        <v>'0'!B45</v>
      </c>
    </row>
    <row r="5583" spans="1:11" x14ac:dyDescent="0.25">
      <c r="A5583" s="3" t="str">
        <f t="shared" ca="1" si="1631"/>
        <v/>
      </c>
      <c r="G5583" s="15">
        <f t="shared" ca="1" si="1642"/>
        <v>46</v>
      </c>
      <c r="H5583" s="15">
        <v>1</v>
      </c>
      <c r="I5583" s="15">
        <f t="shared" ca="1" si="1643"/>
        <v>0</v>
      </c>
      <c r="J5583" s="15" t="str">
        <f t="shared" ca="1" si="1629"/>
        <v>'0'!A46</v>
      </c>
      <c r="K5583" s="15" t="str">
        <f t="shared" ca="1" si="1630"/>
        <v>'0'!B46</v>
      </c>
    </row>
    <row r="5584" spans="1:11" x14ac:dyDescent="0.25">
      <c r="A5584" s="3" t="str">
        <f t="shared" ca="1" si="1631"/>
        <v/>
      </c>
      <c r="G5584" s="15">
        <f t="shared" ca="1" si="1642"/>
        <v>47</v>
      </c>
      <c r="H5584" s="15">
        <v>1</v>
      </c>
      <c r="I5584" s="15">
        <f t="shared" ca="1" si="1643"/>
        <v>0</v>
      </c>
      <c r="J5584" s="15" t="str">
        <f t="shared" ca="1" si="1629"/>
        <v>'0'!A47</v>
      </c>
      <c r="K5584" s="15" t="str">
        <f t="shared" ca="1" si="1630"/>
        <v>'0'!B47</v>
      </c>
    </row>
    <row r="5585" spans="1:16" x14ac:dyDescent="0.25">
      <c r="A5585" s="3" t="str">
        <f t="shared" ca="1" si="1631"/>
        <v/>
      </c>
      <c r="G5585" s="15">
        <f t="shared" ca="1" si="1642"/>
        <v>48</v>
      </c>
      <c r="H5585" s="15">
        <v>1</v>
      </c>
      <c r="I5585" s="15">
        <f t="shared" ca="1" si="1643"/>
        <v>0</v>
      </c>
      <c r="J5585" s="15" t="str">
        <f t="shared" ca="1" si="1629"/>
        <v>'0'!A48</v>
      </c>
      <c r="K5585" s="15" t="str">
        <f t="shared" ca="1" si="1630"/>
        <v>'0'!B48</v>
      </c>
    </row>
    <row r="5586" spans="1:16" x14ac:dyDescent="0.25">
      <c r="A5586" s="3" t="str">
        <f t="shared" ca="1" si="1631"/>
        <v/>
      </c>
      <c r="G5586" s="15">
        <f t="shared" ca="1" si="1642"/>
        <v>49</v>
      </c>
      <c r="H5586" s="15">
        <v>1</v>
      </c>
      <c r="I5586" s="15">
        <f t="shared" ca="1" si="1643"/>
        <v>0</v>
      </c>
      <c r="J5586" s="15" t="str">
        <f t="shared" ca="1" si="1629"/>
        <v>'0'!A49</v>
      </c>
      <c r="K5586" s="15" t="str">
        <f t="shared" ca="1" si="1630"/>
        <v>'0'!B49</v>
      </c>
    </row>
    <row r="5587" spans="1:16" x14ac:dyDescent="0.25">
      <c r="A5587" s="3" t="str">
        <f t="shared" ca="1" si="1631"/>
        <v/>
      </c>
      <c r="G5587" s="15">
        <f t="shared" ca="1" si="1642"/>
        <v>50</v>
      </c>
      <c r="H5587" s="15">
        <v>1</v>
      </c>
      <c r="I5587" s="15">
        <f t="shared" ca="1" si="1643"/>
        <v>0</v>
      </c>
      <c r="J5587" s="15" t="str">
        <f t="shared" ca="1" si="1629"/>
        <v>'0'!A50</v>
      </c>
      <c r="K5587" s="15" t="str">
        <f t="shared" ca="1" si="1630"/>
        <v>'0'!B50</v>
      </c>
    </row>
    <row r="5588" spans="1:16" x14ac:dyDescent="0.25">
      <c r="A5588" s="3" t="str">
        <f t="shared" ca="1" si="1631"/>
        <v/>
      </c>
      <c r="G5588" s="15">
        <f t="shared" ref="G5588" ca="1" si="1644">INDIRECT(M5588)</f>
        <v>31</v>
      </c>
      <c r="H5588" s="15">
        <v>1</v>
      </c>
      <c r="I5588" s="15">
        <f t="shared" ref="I5588" ca="1" si="1645">INDIRECT(N5588)</f>
        <v>0</v>
      </c>
      <c r="J5588" s="15" t="str">
        <f t="shared" ca="1" si="1629"/>
        <v>'0'!A31</v>
      </c>
      <c r="K5588" s="15" t="str">
        <f t="shared" ca="1" si="1630"/>
        <v>'0'!B31</v>
      </c>
      <c r="M5588" s="15" t="str">
        <f t="shared" ref="M5588" si="1646">ADDRESS(O5588,3,4,1,$R$1)</f>
        <v>konfig!C281</v>
      </c>
      <c r="N5588" s="15" t="str">
        <f t="shared" ref="N5588" si="1647">ADDRESS(O5588,1,4,1,$R$1)</f>
        <v>konfig!A281</v>
      </c>
      <c r="O5588" s="15">
        <v>281</v>
      </c>
      <c r="P5588" s="15">
        <v>4</v>
      </c>
    </row>
    <row r="5589" spans="1:16" x14ac:dyDescent="0.25">
      <c r="A5589" s="3" t="str">
        <f t="shared" ca="1" si="1631"/>
        <v/>
      </c>
      <c r="G5589" s="15">
        <f t="shared" ca="1" si="1636"/>
        <v>32</v>
      </c>
      <c r="H5589" s="15">
        <v>1</v>
      </c>
      <c r="I5589" s="15">
        <f t="shared" ca="1" si="1637"/>
        <v>0</v>
      </c>
      <c r="J5589" s="15" t="str">
        <f t="shared" ca="1" si="1629"/>
        <v>'0'!A32</v>
      </c>
      <c r="K5589" s="15" t="str">
        <f t="shared" ca="1" si="1630"/>
        <v>'0'!B32</v>
      </c>
    </row>
    <row r="5590" spans="1:16" x14ac:dyDescent="0.25">
      <c r="A5590" s="3" t="str">
        <f t="shared" ca="1" si="1631"/>
        <v/>
      </c>
      <c r="G5590" s="15">
        <f t="shared" ca="1" si="1642"/>
        <v>33</v>
      </c>
      <c r="H5590" s="15">
        <v>1</v>
      </c>
      <c r="I5590" s="15">
        <f t="shared" ca="1" si="1643"/>
        <v>0</v>
      </c>
      <c r="J5590" s="15" t="str">
        <f t="shared" ca="1" si="1629"/>
        <v>'0'!A33</v>
      </c>
      <c r="K5590" s="15" t="str">
        <f t="shared" ca="1" si="1630"/>
        <v>'0'!B33</v>
      </c>
    </row>
    <row r="5591" spans="1:16" x14ac:dyDescent="0.25">
      <c r="A5591" s="3" t="str">
        <f t="shared" ca="1" si="1631"/>
        <v/>
      </c>
      <c r="C5591" s="16"/>
      <c r="G5591" s="15">
        <f t="shared" ca="1" si="1642"/>
        <v>34</v>
      </c>
      <c r="H5591" s="15">
        <v>1</v>
      </c>
      <c r="I5591" s="15">
        <f t="shared" ca="1" si="1643"/>
        <v>0</v>
      </c>
      <c r="J5591" s="15" t="str">
        <f t="shared" ca="1" si="1629"/>
        <v>'0'!A34</v>
      </c>
      <c r="K5591" s="15" t="str">
        <f t="shared" ca="1" si="1630"/>
        <v>'0'!B34</v>
      </c>
    </row>
    <row r="5592" spans="1:16" x14ac:dyDescent="0.25">
      <c r="A5592" s="3" t="str">
        <f t="shared" ca="1" si="1631"/>
        <v/>
      </c>
      <c r="G5592" s="15">
        <f t="shared" ca="1" si="1642"/>
        <v>35</v>
      </c>
      <c r="H5592" s="15">
        <v>1</v>
      </c>
      <c r="I5592" s="15">
        <f t="shared" ca="1" si="1643"/>
        <v>0</v>
      </c>
      <c r="J5592" s="15" t="str">
        <f t="shared" ca="1" si="1629"/>
        <v>'0'!A35</v>
      </c>
      <c r="K5592" s="15" t="str">
        <f t="shared" ca="1" si="1630"/>
        <v>'0'!B35</v>
      </c>
    </row>
    <row r="5593" spans="1:16" x14ac:dyDescent="0.25">
      <c r="A5593" s="3" t="str">
        <f t="shared" ca="1" si="1631"/>
        <v/>
      </c>
      <c r="G5593" s="15">
        <f t="shared" ca="1" si="1642"/>
        <v>36</v>
      </c>
      <c r="H5593" s="15">
        <v>1</v>
      </c>
      <c r="I5593" s="15">
        <f t="shared" ca="1" si="1643"/>
        <v>0</v>
      </c>
      <c r="J5593" s="15" t="str">
        <f t="shared" ca="1" si="1629"/>
        <v>'0'!A36</v>
      </c>
      <c r="K5593" s="15" t="str">
        <f t="shared" ca="1" si="1630"/>
        <v>'0'!B36</v>
      </c>
    </row>
    <row r="5594" spans="1:16" x14ac:dyDescent="0.25">
      <c r="A5594" s="3" t="str">
        <f t="shared" ca="1" si="1631"/>
        <v/>
      </c>
      <c r="G5594" s="15">
        <f t="shared" ca="1" si="1642"/>
        <v>37</v>
      </c>
      <c r="H5594" s="15">
        <v>1</v>
      </c>
      <c r="I5594" s="15">
        <f t="shared" ca="1" si="1643"/>
        <v>0</v>
      </c>
      <c r="J5594" s="15" t="str">
        <f t="shared" ca="1" si="1629"/>
        <v>'0'!A37</v>
      </c>
      <c r="K5594" s="15" t="str">
        <f t="shared" ca="1" si="1630"/>
        <v>'0'!B37</v>
      </c>
    </row>
    <row r="5595" spans="1:16" x14ac:dyDescent="0.25">
      <c r="A5595" s="3" t="str">
        <f t="shared" ca="1" si="1631"/>
        <v/>
      </c>
      <c r="G5595" s="15">
        <f t="shared" ca="1" si="1642"/>
        <v>38</v>
      </c>
      <c r="H5595" s="15">
        <v>1</v>
      </c>
      <c r="I5595" s="15">
        <f t="shared" ca="1" si="1643"/>
        <v>0</v>
      </c>
      <c r="J5595" s="15" t="str">
        <f t="shared" ca="1" si="1629"/>
        <v>'0'!A38</v>
      </c>
      <c r="K5595" s="15" t="str">
        <f t="shared" ca="1" si="1630"/>
        <v>'0'!B38</v>
      </c>
    </row>
    <row r="5596" spans="1:16" x14ac:dyDescent="0.25">
      <c r="A5596" s="3" t="str">
        <f t="shared" ca="1" si="1631"/>
        <v/>
      </c>
      <c r="G5596" s="15">
        <f t="shared" ca="1" si="1642"/>
        <v>39</v>
      </c>
      <c r="H5596" s="15">
        <v>1</v>
      </c>
      <c r="I5596" s="15">
        <f t="shared" ca="1" si="1643"/>
        <v>0</v>
      </c>
      <c r="J5596" s="15" t="str">
        <f t="shared" ca="1" si="1629"/>
        <v>'0'!A39</v>
      </c>
      <c r="K5596" s="15" t="str">
        <f t="shared" ca="1" si="1630"/>
        <v>'0'!B39</v>
      </c>
    </row>
    <row r="5597" spans="1:16" x14ac:dyDescent="0.25">
      <c r="A5597" s="3" t="str">
        <f t="shared" ca="1" si="1631"/>
        <v/>
      </c>
      <c r="G5597" s="15">
        <f t="shared" ca="1" si="1642"/>
        <v>40</v>
      </c>
      <c r="H5597" s="15">
        <v>1</v>
      </c>
      <c r="I5597" s="15">
        <f t="shared" ca="1" si="1643"/>
        <v>0</v>
      </c>
      <c r="J5597" s="15" t="str">
        <f t="shared" ca="1" si="1629"/>
        <v>'0'!A40</v>
      </c>
      <c r="K5597" s="15" t="str">
        <f t="shared" ca="1" si="1630"/>
        <v>'0'!B40</v>
      </c>
    </row>
    <row r="5598" spans="1:16" x14ac:dyDescent="0.25">
      <c r="A5598" s="3" t="str">
        <f t="shared" ca="1" si="1631"/>
        <v/>
      </c>
      <c r="G5598" s="15">
        <f t="shared" ca="1" si="1642"/>
        <v>41</v>
      </c>
      <c r="H5598" s="15">
        <v>1</v>
      </c>
      <c r="I5598" s="15">
        <f t="shared" ca="1" si="1643"/>
        <v>0</v>
      </c>
      <c r="J5598" s="15" t="str">
        <f t="shared" ca="1" si="1629"/>
        <v>'0'!A41</v>
      </c>
      <c r="K5598" s="15" t="str">
        <f t="shared" ca="1" si="1630"/>
        <v>'0'!B41</v>
      </c>
    </row>
    <row r="5599" spans="1:16" x14ac:dyDescent="0.25">
      <c r="A5599" s="3" t="str">
        <f t="shared" ca="1" si="1631"/>
        <v/>
      </c>
      <c r="C5599" s="16"/>
      <c r="G5599" s="15">
        <f t="shared" ca="1" si="1642"/>
        <v>42</v>
      </c>
      <c r="H5599" s="15">
        <v>1</v>
      </c>
      <c r="I5599" s="15">
        <f t="shared" ca="1" si="1643"/>
        <v>0</v>
      </c>
      <c r="J5599" s="15" t="str">
        <f t="shared" ca="1" si="1629"/>
        <v>'0'!A42</v>
      </c>
      <c r="K5599" s="15" t="str">
        <f t="shared" ca="1" si="1630"/>
        <v>'0'!B42</v>
      </c>
    </row>
    <row r="5600" spans="1:16" x14ac:dyDescent="0.25">
      <c r="A5600" s="3" t="str">
        <f t="shared" ca="1" si="1631"/>
        <v/>
      </c>
      <c r="G5600" s="15">
        <f t="shared" ca="1" si="1642"/>
        <v>43</v>
      </c>
      <c r="H5600" s="15">
        <v>1</v>
      </c>
      <c r="I5600" s="15">
        <f t="shared" ca="1" si="1643"/>
        <v>0</v>
      </c>
      <c r="J5600" s="15" t="str">
        <f t="shared" ca="1" si="1629"/>
        <v>'0'!A43</v>
      </c>
      <c r="K5600" s="15" t="str">
        <f t="shared" ca="1" si="1630"/>
        <v>'0'!B43</v>
      </c>
    </row>
    <row r="5601" spans="1:16" x14ac:dyDescent="0.25">
      <c r="A5601" s="3" t="str">
        <f t="shared" ca="1" si="1631"/>
        <v/>
      </c>
      <c r="G5601" s="15">
        <f t="shared" ca="1" si="1642"/>
        <v>44</v>
      </c>
      <c r="H5601" s="15">
        <v>1</v>
      </c>
      <c r="I5601" s="15">
        <f t="shared" ca="1" si="1643"/>
        <v>0</v>
      </c>
      <c r="J5601" s="15" t="str">
        <f t="shared" ca="1" si="1629"/>
        <v>'0'!A44</v>
      </c>
      <c r="K5601" s="15" t="str">
        <f t="shared" ca="1" si="1630"/>
        <v>'0'!B44</v>
      </c>
    </row>
    <row r="5602" spans="1:16" x14ac:dyDescent="0.25">
      <c r="A5602" s="3" t="str">
        <f t="shared" ca="1" si="1631"/>
        <v/>
      </c>
      <c r="G5602" s="15">
        <f t="shared" ca="1" si="1642"/>
        <v>45</v>
      </c>
      <c r="H5602" s="15">
        <v>1</v>
      </c>
      <c r="I5602" s="15">
        <f t="shared" ca="1" si="1643"/>
        <v>0</v>
      </c>
      <c r="J5602" s="15" t="str">
        <f t="shared" ca="1" si="1629"/>
        <v>'0'!A45</v>
      </c>
      <c r="K5602" s="15" t="str">
        <f t="shared" ca="1" si="1630"/>
        <v>'0'!B45</v>
      </c>
    </row>
    <row r="5603" spans="1:16" x14ac:dyDescent="0.25">
      <c r="A5603" s="3" t="str">
        <f t="shared" ca="1" si="1631"/>
        <v/>
      </c>
      <c r="G5603" s="15">
        <f t="shared" ca="1" si="1642"/>
        <v>46</v>
      </c>
      <c r="H5603" s="15">
        <v>1</v>
      </c>
      <c r="I5603" s="15">
        <f t="shared" ca="1" si="1643"/>
        <v>0</v>
      </c>
      <c r="J5603" s="15" t="str">
        <f t="shared" ca="1" si="1629"/>
        <v>'0'!A46</v>
      </c>
      <c r="K5603" s="15" t="str">
        <f t="shared" ca="1" si="1630"/>
        <v>'0'!B46</v>
      </c>
    </row>
    <row r="5604" spans="1:16" x14ac:dyDescent="0.25">
      <c r="A5604" s="3" t="str">
        <f t="shared" ca="1" si="1631"/>
        <v/>
      </c>
      <c r="G5604" s="15">
        <f t="shared" ca="1" si="1642"/>
        <v>47</v>
      </c>
      <c r="H5604" s="15">
        <v>1</v>
      </c>
      <c r="I5604" s="15">
        <f t="shared" ca="1" si="1643"/>
        <v>0</v>
      </c>
      <c r="J5604" s="15" t="str">
        <f t="shared" ref="J5604:J5667" ca="1" si="1648">ADDRESS(G5604,H5604,4,1,I5604)</f>
        <v>'0'!A47</v>
      </c>
      <c r="K5604" s="15" t="str">
        <f t="shared" ref="K5604:K5667" ca="1" si="1649">ADDRESS(G5604,H5604+1,4,1,I5604)</f>
        <v>'0'!B47</v>
      </c>
    </row>
    <row r="5605" spans="1:16" x14ac:dyDescent="0.25">
      <c r="A5605" s="3" t="str">
        <f t="shared" ca="1" si="1631"/>
        <v/>
      </c>
      <c r="G5605" s="15">
        <f t="shared" ca="1" si="1642"/>
        <v>48</v>
      </c>
      <c r="H5605" s="15">
        <v>1</v>
      </c>
      <c r="I5605" s="15">
        <f t="shared" ca="1" si="1643"/>
        <v>0</v>
      </c>
      <c r="J5605" s="15" t="str">
        <f t="shared" ca="1" si="1648"/>
        <v>'0'!A48</v>
      </c>
      <c r="K5605" s="15" t="str">
        <f t="shared" ca="1" si="1649"/>
        <v>'0'!B48</v>
      </c>
    </row>
    <row r="5606" spans="1:16" x14ac:dyDescent="0.25">
      <c r="A5606" s="3" t="str">
        <f t="shared" ca="1" si="1631"/>
        <v/>
      </c>
      <c r="G5606" s="15">
        <f t="shared" ca="1" si="1642"/>
        <v>49</v>
      </c>
      <c r="H5606" s="15">
        <v>1</v>
      </c>
      <c r="I5606" s="15">
        <f t="shared" ca="1" si="1643"/>
        <v>0</v>
      </c>
      <c r="J5606" s="15" t="str">
        <f t="shared" ca="1" si="1648"/>
        <v>'0'!A49</v>
      </c>
      <c r="K5606" s="15" t="str">
        <f t="shared" ca="1" si="1649"/>
        <v>'0'!B49</v>
      </c>
    </row>
    <row r="5607" spans="1:16" x14ac:dyDescent="0.25">
      <c r="A5607" s="3" t="str">
        <f t="shared" ca="1" si="1631"/>
        <v/>
      </c>
      <c r="G5607" s="15">
        <f t="shared" ca="1" si="1642"/>
        <v>50</v>
      </c>
      <c r="H5607" s="15">
        <v>1</v>
      </c>
      <c r="I5607" s="15">
        <f t="shared" ca="1" si="1643"/>
        <v>0</v>
      </c>
      <c r="J5607" s="15" t="str">
        <f t="shared" ca="1" si="1648"/>
        <v>'0'!A50</v>
      </c>
      <c r="K5607" s="15" t="str">
        <f t="shared" ca="1" si="1649"/>
        <v>'0'!B50</v>
      </c>
    </row>
    <row r="5608" spans="1:16" x14ac:dyDescent="0.25">
      <c r="A5608" s="3" t="str">
        <f t="shared" ca="1" si="1631"/>
        <v/>
      </c>
      <c r="G5608" s="15">
        <f t="shared" ref="G5608" ca="1" si="1650">INDIRECT(M5608)</f>
        <v>31</v>
      </c>
      <c r="H5608" s="15">
        <v>1</v>
      </c>
      <c r="I5608" s="15">
        <f t="shared" ref="I5608" ca="1" si="1651">INDIRECT(N5608)</f>
        <v>0</v>
      </c>
      <c r="J5608" s="15" t="str">
        <f t="shared" ca="1" si="1648"/>
        <v>'0'!A31</v>
      </c>
      <c r="K5608" s="15" t="str">
        <f t="shared" ca="1" si="1649"/>
        <v>'0'!B31</v>
      </c>
      <c r="M5608" s="15" t="str">
        <f t="shared" ref="M5608" si="1652">ADDRESS(O5608,3,4,1,$R$1)</f>
        <v>konfig!C282</v>
      </c>
      <c r="N5608" s="15" t="str">
        <f t="shared" ref="N5608" si="1653">ADDRESS(O5608,1,4,1,$R$1)</f>
        <v>konfig!A282</v>
      </c>
      <c r="O5608" s="15">
        <v>282</v>
      </c>
      <c r="P5608" s="15">
        <v>4</v>
      </c>
    </row>
    <row r="5609" spans="1:16" x14ac:dyDescent="0.25">
      <c r="A5609" s="3" t="str">
        <f t="shared" ca="1" si="1631"/>
        <v/>
      </c>
      <c r="G5609" s="15">
        <f t="shared" ref="G5609:G5652" ca="1" si="1654">G5608+1</f>
        <v>32</v>
      </c>
      <c r="H5609" s="15">
        <v>1</v>
      </c>
      <c r="I5609" s="15">
        <f t="shared" ref="I5609:I5652" ca="1" si="1655">I5608</f>
        <v>0</v>
      </c>
      <c r="J5609" s="15" t="str">
        <f t="shared" ca="1" si="1648"/>
        <v>'0'!A32</v>
      </c>
      <c r="K5609" s="15" t="str">
        <f t="shared" ca="1" si="1649"/>
        <v>'0'!B32</v>
      </c>
    </row>
    <row r="5610" spans="1:16" x14ac:dyDescent="0.25">
      <c r="A5610" s="3" t="str">
        <f t="shared" ca="1" si="1631"/>
        <v/>
      </c>
      <c r="G5610" s="15">
        <f t="shared" ca="1" si="1654"/>
        <v>33</v>
      </c>
      <c r="H5610" s="15">
        <v>1</v>
      </c>
      <c r="I5610" s="15">
        <f t="shared" ca="1" si="1655"/>
        <v>0</v>
      </c>
      <c r="J5610" s="15" t="str">
        <f t="shared" ca="1" si="1648"/>
        <v>'0'!A33</v>
      </c>
      <c r="K5610" s="15" t="str">
        <f t="shared" ca="1" si="1649"/>
        <v>'0'!B33</v>
      </c>
    </row>
    <row r="5611" spans="1:16" x14ac:dyDescent="0.25">
      <c r="A5611" s="3" t="str">
        <f t="shared" ca="1" si="1631"/>
        <v/>
      </c>
      <c r="C5611" s="16"/>
      <c r="G5611" s="15">
        <f t="shared" ca="1" si="1654"/>
        <v>34</v>
      </c>
      <c r="H5611" s="15">
        <v>1</v>
      </c>
      <c r="I5611" s="15">
        <f t="shared" ca="1" si="1655"/>
        <v>0</v>
      </c>
      <c r="J5611" s="15" t="str">
        <f t="shared" ca="1" si="1648"/>
        <v>'0'!A34</v>
      </c>
      <c r="K5611" s="15" t="str">
        <f t="shared" ca="1" si="1649"/>
        <v>'0'!B34</v>
      </c>
    </row>
    <row r="5612" spans="1:16" x14ac:dyDescent="0.25">
      <c r="A5612" s="3" t="str">
        <f t="shared" ref="A5612:A5675" ca="1" si="1656">IFERROR(IF(INDIRECT(J5612)&lt;&gt;"",CONCATENATE(INDIRECT(J5612)," = ",INDIRECT(K5612)," "),""),"")</f>
        <v/>
      </c>
      <c r="G5612" s="15">
        <f t="shared" ca="1" si="1654"/>
        <v>35</v>
      </c>
      <c r="H5612" s="15">
        <v>1</v>
      </c>
      <c r="I5612" s="15">
        <f t="shared" ca="1" si="1655"/>
        <v>0</v>
      </c>
      <c r="J5612" s="15" t="str">
        <f t="shared" ca="1" si="1648"/>
        <v>'0'!A35</v>
      </c>
      <c r="K5612" s="15" t="str">
        <f t="shared" ca="1" si="1649"/>
        <v>'0'!B35</v>
      </c>
    </row>
    <row r="5613" spans="1:16" x14ac:dyDescent="0.25">
      <c r="A5613" s="3" t="str">
        <f t="shared" ca="1" si="1656"/>
        <v/>
      </c>
      <c r="G5613" s="15">
        <f t="shared" ca="1" si="1642"/>
        <v>36</v>
      </c>
      <c r="H5613" s="15">
        <v>1</v>
      </c>
      <c r="I5613" s="15">
        <f t="shared" ca="1" si="1643"/>
        <v>0</v>
      </c>
      <c r="J5613" s="15" t="str">
        <f t="shared" ca="1" si="1648"/>
        <v>'0'!A36</v>
      </c>
      <c r="K5613" s="15" t="str">
        <f t="shared" ca="1" si="1649"/>
        <v>'0'!B36</v>
      </c>
    </row>
    <row r="5614" spans="1:16" x14ac:dyDescent="0.25">
      <c r="A5614" s="3" t="str">
        <f t="shared" ca="1" si="1656"/>
        <v/>
      </c>
      <c r="G5614" s="15">
        <f t="shared" ca="1" si="1642"/>
        <v>37</v>
      </c>
      <c r="H5614" s="15">
        <v>1</v>
      </c>
      <c r="I5614" s="15">
        <f t="shared" ca="1" si="1643"/>
        <v>0</v>
      </c>
      <c r="J5614" s="15" t="str">
        <f t="shared" ca="1" si="1648"/>
        <v>'0'!A37</v>
      </c>
      <c r="K5614" s="15" t="str">
        <f t="shared" ca="1" si="1649"/>
        <v>'0'!B37</v>
      </c>
    </row>
    <row r="5615" spans="1:16" x14ac:dyDescent="0.25">
      <c r="A5615" s="3" t="str">
        <f t="shared" ca="1" si="1656"/>
        <v/>
      </c>
      <c r="G5615" s="15">
        <f t="shared" ca="1" si="1642"/>
        <v>38</v>
      </c>
      <c r="H5615" s="15">
        <v>1</v>
      </c>
      <c r="I5615" s="15">
        <f t="shared" ca="1" si="1643"/>
        <v>0</v>
      </c>
      <c r="J5615" s="15" t="str">
        <f t="shared" ca="1" si="1648"/>
        <v>'0'!A38</v>
      </c>
      <c r="K5615" s="15" t="str">
        <f t="shared" ca="1" si="1649"/>
        <v>'0'!B38</v>
      </c>
    </row>
    <row r="5616" spans="1:16" x14ac:dyDescent="0.25">
      <c r="A5616" s="3" t="str">
        <f t="shared" ca="1" si="1656"/>
        <v/>
      </c>
      <c r="G5616" s="15">
        <f t="shared" ca="1" si="1642"/>
        <v>39</v>
      </c>
      <c r="H5616" s="15">
        <v>1</v>
      </c>
      <c r="I5616" s="15">
        <f t="shared" ca="1" si="1643"/>
        <v>0</v>
      </c>
      <c r="J5616" s="15" t="str">
        <f t="shared" ca="1" si="1648"/>
        <v>'0'!A39</v>
      </c>
      <c r="K5616" s="15" t="str">
        <f t="shared" ca="1" si="1649"/>
        <v>'0'!B39</v>
      </c>
    </row>
    <row r="5617" spans="1:16" x14ac:dyDescent="0.25">
      <c r="A5617" s="3" t="str">
        <f t="shared" ca="1" si="1656"/>
        <v/>
      </c>
      <c r="G5617" s="15">
        <f t="shared" ca="1" si="1642"/>
        <v>40</v>
      </c>
      <c r="H5617" s="15">
        <v>1</v>
      </c>
      <c r="I5617" s="15">
        <f t="shared" ca="1" si="1643"/>
        <v>0</v>
      </c>
      <c r="J5617" s="15" t="str">
        <f t="shared" ca="1" si="1648"/>
        <v>'0'!A40</v>
      </c>
      <c r="K5617" s="15" t="str">
        <f t="shared" ca="1" si="1649"/>
        <v>'0'!B40</v>
      </c>
    </row>
    <row r="5618" spans="1:16" x14ac:dyDescent="0.25">
      <c r="A5618" s="3" t="str">
        <f t="shared" ca="1" si="1656"/>
        <v/>
      </c>
      <c r="G5618" s="15">
        <f t="shared" ca="1" si="1642"/>
        <v>41</v>
      </c>
      <c r="H5618" s="15">
        <v>1</v>
      </c>
      <c r="I5618" s="15">
        <f t="shared" ca="1" si="1643"/>
        <v>0</v>
      </c>
      <c r="J5618" s="15" t="str">
        <f t="shared" ca="1" si="1648"/>
        <v>'0'!A41</v>
      </c>
      <c r="K5618" s="15" t="str">
        <f t="shared" ca="1" si="1649"/>
        <v>'0'!B41</v>
      </c>
    </row>
    <row r="5619" spans="1:16" x14ac:dyDescent="0.25">
      <c r="A5619" s="3" t="str">
        <f t="shared" ca="1" si="1656"/>
        <v/>
      </c>
      <c r="C5619" s="16"/>
      <c r="G5619" s="15">
        <f t="shared" ca="1" si="1642"/>
        <v>42</v>
      </c>
      <c r="H5619" s="15">
        <v>1</v>
      </c>
      <c r="I5619" s="15">
        <f t="shared" ca="1" si="1643"/>
        <v>0</v>
      </c>
      <c r="J5619" s="15" t="str">
        <f t="shared" ca="1" si="1648"/>
        <v>'0'!A42</v>
      </c>
      <c r="K5619" s="15" t="str">
        <f t="shared" ca="1" si="1649"/>
        <v>'0'!B42</v>
      </c>
    </row>
    <row r="5620" spans="1:16" x14ac:dyDescent="0.25">
      <c r="A5620" s="3" t="str">
        <f t="shared" ca="1" si="1656"/>
        <v/>
      </c>
      <c r="G5620" s="15">
        <f t="shared" ca="1" si="1642"/>
        <v>43</v>
      </c>
      <c r="H5620" s="15">
        <v>1</v>
      </c>
      <c r="I5620" s="15">
        <f t="shared" ca="1" si="1643"/>
        <v>0</v>
      </c>
      <c r="J5620" s="15" t="str">
        <f t="shared" ca="1" si="1648"/>
        <v>'0'!A43</v>
      </c>
      <c r="K5620" s="15" t="str">
        <f t="shared" ca="1" si="1649"/>
        <v>'0'!B43</v>
      </c>
    </row>
    <row r="5621" spans="1:16" x14ac:dyDescent="0.25">
      <c r="A5621" s="3" t="str">
        <f t="shared" ca="1" si="1656"/>
        <v/>
      </c>
      <c r="G5621" s="15">
        <f t="shared" ca="1" si="1642"/>
        <v>44</v>
      </c>
      <c r="H5621" s="15">
        <v>1</v>
      </c>
      <c r="I5621" s="15">
        <f t="shared" ca="1" si="1643"/>
        <v>0</v>
      </c>
      <c r="J5621" s="15" t="str">
        <f t="shared" ca="1" si="1648"/>
        <v>'0'!A44</v>
      </c>
      <c r="K5621" s="15" t="str">
        <f t="shared" ca="1" si="1649"/>
        <v>'0'!B44</v>
      </c>
    </row>
    <row r="5622" spans="1:16" x14ac:dyDescent="0.25">
      <c r="A5622" s="3" t="str">
        <f t="shared" ca="1" si="1656"/>
        <v/>
      </c>
      <c r="G5622" s="15">
        <f t="shared" ca="1" si="1642"/>
        <v>45</v>
      </c>
      <c r="H5622" s="15">
        <v>1</v>
      </c>
      <c r="I5622" s="15">
        <f t="shared" ca="1" si="1643"/>
        <v>0</v>
      </c>
      <c r="J5622" s="15" t="str">
        <f t="shared" ca="1" si="1648"/>
        <v>'0'!A45</v>
      </c>
      <c r="K5622" s="15" t="str">
        <f t="shared" ca="1" si="1649"/>
        <v>'0'!B45</v>
      </c>
    </row>
    <row r="5623" spans="1:16" x14ac:dyDescent="0.25">
      <c r="A5623" s="3" t="str">
        <f t="shared" ca="1" si="1656"/>
        <v/>
      </c>
      <c r="G5623" s="15">
        <f t="shared" ca="1" si="1642"/>
        <v>46</v>
      </c>
      <c r="H5623" s="15">
        <v>1</v>
      </c>
      <c r="I5623" s="15">
        <f t="shared" ca="1" si="1643"/>
        <v>0</v>
      </c>
      <c r="J5623" s="15" t="str">
        <f t="shared" ca="1" si="1648"/>
        <v>'0'!A46</v>
      </c>
      <c r="K5623" s="15" t="str">
        <f t="shared" ca="1" si="1649"/>
        <v>'0'!B46</v>
      </c>
    </row>
    <row r="5624" spans="1:16" x14ac:dyDescent="0.25">
      <c r="A5624" s="3" t="str">
        <f t="shared" ca="1" si="1656"/>
        <v/>
      </c>
      <c r="G5624" s="15">
        <f t="shared" ca="1" si="1642"/>
        <v>47</v>
      </c>
      <c r="H5624" s="15">
        <v>1</v>
      </c>
      <c r="I5624" s="15">
        <f t="shared" ca="1" si="1643"/>
        <v>0</v>
      </c>
      <c r="J5624" s="15" t="str">
        <f t="shared" ca="1" si="1648"/>
        <v>'0'!A47</v>
      </c>
      <c r="K5624" s="15" t="str">
        <f t="shared" ca="1" si="1649"/>
        <v>'0'!B47</v>
      </c>
    </row>
    <row r="5625" spans="1:16" x14ac:dyDescent="0.25">
      <c r="A5625" s="3" t="str">
        <f t="shared" ca="1" si="1656"/>
        <v/>
      </c>
      <c r="G5625" s="15">
        <f t="shared" ca="1" si="1642"/>
        <v>48</v>
      </c>
      <c r="H5625" s="15">
        <v>1</v>
      </c>
      <c r="I5625" s="15">
        <f t="shared" ca="1" si="1643"/>
        <v>0</v>
      </c>
      <c r="J5625" s="15" t="str">
        <f t="shared" ca="1" si="1648"/>
        <v>'0'!A48</v>
      </c>
      <c r="K5625" s="15" t="str">
        <f t="shared" ca="1" si="1649"/>
        <v>'0'!B48</v>
      </c>
    </row>
    <row r="5626" spans="1:16" x14ac:dyDescent="0.25">
      <c r="A5626" s="3" t="str">
        <f t="shared" ca="1" si="1656"/>
        <v/>
      </c>
      <c r="G5626" s="15">
        <f t="shared" ca="1" si="1642"/>
        <v>49</v>
      </c>
      <c r="H5626" s="15">
        <v>1</v>
      </c>
      <c r="I5626" s="15">
        <f t="shared" ca="1" si="1643"/>
        <v>0</v>
      </c>
      <c r="J5626" s="15" t="str">
        <f t="shared" ca="1" si="1648"/>
        <v>'0'!A49</v>
      </c>
      <c r="K5626" s="15" t="str">
        <f t="shared" ca="1" si="1649"/>
        <v>'0'!B49</v>
      </c>
    </row>
    <row r="5627" spans="1:16" x14ac:dyDescent="0.25">
      <c r="A5627" s="3" t="str">
        <f t="shared" ca="1" si="1656"/>
        <v/>
      </c>
      <c r="G5627" s="15">
        <f t="shared" ca="1" si="1642"/>
        <v>50</v>
      </c>
      <c r="H5627" s="15">
        <v>1</v>
      </c>
      <c r="I5627" s="15">
        <f t="shared" ca="1" si="1643"/>
        <v>0</v>
      </c>
      <c r="J5627" s="15" t="str">
        <f t="shared" ca="1" si="1648"/>
        <v>'0'!A50</v>
      </c>
      <c r="K5627" s="15" t="str">
        <f t="shared" ca="1" si="1649"/>
        <v>'0'!B50</v>
      </c>
    </row>
    <row r="5628" spans="1:16" x14ac:dyDescent="0.25">
      <c r="A5628" s="3" t="str">
        <f t="shared" ca="1" si="1656"/>
        <v/>
      </c>
      <c r="G5628" s="15">
        <f t="shared" ref="G5628" ca="1" si="1657">INDIRECT(M5628)</f>
        <v>31</v>
      </c>
      <c r="H5628" s="15">
        <v>1</v>
      </c>
      <c r="I5628" s="15">
        <f t="shared" ref="I5628" ca="1" si="1658">INDIRECT(N5628)</f>
        <v>0</v>
      </c>
      <c r="J5628" s="15" t="str">
        <f t="shared" ca="1" si="1648"/>
        <v>'0'!A31</v>
      </c>
      <c r="K5628" s="15" t="str">
        <f t="shared" ca="1" si="1649"/>
        <v>'0'!B31</v>
      </c>
      <c r="M5628" s="15" t="str">
        <f t="shared" ref="M5628" si="1659">ADDRESS(O5628,3,4,1,$R$1)</f>
        <v>konfig!C283</v>
      </c>
      <c r="N5628" s="15" t="str">
        <f t="shared" ref="N5628" si="1660">ADDRESS(O5628,1,4,1,$R$1)</f>
        <v>konfig!A283</v>
      </c>
      <c r="O5628" s="15">
        <v>283</v>
      </c>
      <c r="P5628" s="15">
        <v>4</v>
      </c>
    </row>
    <row r="5629" spans="1:16" x14ac:dyDescent="0.25">
      <c r="A5629" s="3" t="str">
        <f t="shared" ca="1" si="1656"/>
        <v/>
      </c>
      <c r="G5629" s="15">
        <f t="shared" ref="G5629:G5669" ca="1" si="1661">G5628+1</f>
        <v>32</v>
      </c>
      <c r="H5629" s="15">
        <v>1</v>
      </c>
      <c r="I5629" s="15">
        <f t="shared" ref="I5629:I5669" ca="1" si="1662">I5628</f>
        <v>0</v>
      </c>
      <c r="J5629" s="15" t="str">
        <f t="shared" ca="1" si="1648"/>
        <v>'0'!A32</v>
      </c>
      <c r="K5629" s="15" t="str">
        <f t="shared" ca="1" si="1649"/>
        <v>'0'!B32</v>
      </c>
    </row>
    <row r="5630" spans="1:16" x14ac:dyDescent="0.25">
      <c r="A5630" s="3" t="str">
        <f t="shared" ca="1" si="1656"/>
        <v/>
      </c>
      <c r="G5630" s="15">
        <f t="shared" ca="1" si="1642"/>
        <v>33</v>
      </c>
      <c r="H5630" s="15">
        <v>1</v>
      </c>
      <c r="I5630" s="15">
        <f t="shared" ca="1" si="1643"/>
        <v>0</v>
      </c>
      <c r="J5630" s="15" t="str">
        <f t="shared" ca="1" si="1648"/>
        <v>'0'!A33</v>
      </c>
      <c r="K5630" s="15" t="str">
        <f t="shared" ca="1" si="1649"/>
        <v>'0'!B33</v>
      </c>
    </row>
    <row r="5631" spans="1:16" x14ac:dyDescent="0.25">
      <c r="A5631" s="3" t="str">
        <f t="shared" ca="1" si="1656"/>
        <v/>
      </c>
      <c r="C5631" s="16"/>
      <c r="G5631" s="15">
        <f t="shared" ca="1" si="1642"/>
        <v>34</v>
      </c>
      <c r="H5631" s="15">
        <v>1</v>
      </c>
      <c r="I5631" s="15">
        <f t="shared" ca="1" si="1643"/>
        <v>0</v>
      </c>
      <c r="J5631" s="15" t="str">
        <f t="shared" ca="1" si="1648"/>
        <v>'0'!A34</v>
      </c>
      <c r="K5631" s="15" t="str">
        <f t="shared" ca="1" si="1649"/>
        <v>'0'!B34</v>
      </c>
    </row>
    <row r="5632" spans="1:16" x14ac:dyDescent="0.25">
      <c r="A5632" s="3" t="str">
        <f t="shared" ca="1" si="1656"/>
        <v/>
      </c>
      <c r="G5632" s="15">
        <f t="shared" ca="1" si="1642"/>
        <v>35</v>
      </c>
      <c r="H5632" s="15">
        <v>1</v>
      </c>
      <c r="I5632" s="15">
        <f t="shared" ca="1" si="1643"/>
        <v>0</v>
      </c>
      <c r="J5632" s="15" t="str">
        <f t="shared" ca="1" si="1648"/>
        <v>'0'!A35</v>
      </c>
      <c r="K5632" s="15" t="str">
        <f t="shared" ca="1" si="1649"/>
        <v>'0'!B35</v>
      </c>
    </row>
    <row r="5633" spans="1:16" x14ac:dyDescent="0.25">
      <c r="A5633" s="3" t="str">
        <f t="shared" ca="1" si="1656"/>
        <v/>
      </c>
      <c r="G5633" s="15">
        <f t="shared" ca="1" si="1642"/>
        <v>36</v>
      </c>
      <c r="H5633" s="15">
        <v>1</v>
      </c>
      <c r="I5633" s="15">
        <f t="shared" ca="1" si="1643"/>
        <v>0</v>
      </c>
      <c r="J5633" s="15" t="str">
        <f t="shared" ca="1" si="1648"/>
        <v>'0'!A36</v>
      </c>
      <c r="K5633" s="15" t="str">
        <f t="shared" ca="1" si="1649"/>
        <v>'0'!B36</v>
      </c>
    </row>
    <row r="5634" spans="1:16" x14ac:dyDescent="0.25">
      <c r="A5634" s="3" t="str">
        <f t="shared" ca="1" si="1656"/>
        <v/>
      </c>
      <c r="G5634" s="15">
        <f t="shared" ca="1" si="1642"/>
        <v>37</v>
      </c>
      <c r="H5634" s="15">
        <v>1</v>
      </c>
      <c r="I5634" s="15">
        <f t="shared" ca="1" si="1643"/>
        <v>0</v>
      </c>
      <c r="J5634" s="15" t="str">
        <f t="shared" ca="1" si="1648"/>
        <v>'0'!A37</v>
      </c>
      <c r="K5634" s="15" t="str">
        <f t="shared" ca="1" si="1649"/>
        <v>'0'!B37</v>
      </c>
    </row>
    <row r="5635" spans="1:16" x14ac:dyDescent="0.25">
      <c r="A5635" s="3" t="str">
        <f t="shared" ca="1" si="1656"/>
        <v/>
      </c>
      <c r="G5635" s="15">
        <f t="shared" ca="1" si="1642"/>
        <v>38</v>
      </c>
      <c r="H5635" s="15">
        <v>1</v>
      </c>
      <c r="I5635" s="15">
        <f t="shared" ca="1" si="1643"/>
        <v>0</v>
      </c>
      <c r="J5635" s="15" t="str">
        <f t="shared" ca="1" si="1648"/>
        <v>'0'!A38</v>
      </c>
      <c r="K5635" s="15" t="str">
        <f t="shared" ca="1" si="1649"/>
        <v>'0'!B38</v>
      </c>
    </row>
    <row r="5636" spans="1:16" x14ac:dyDescent="0.25">
      <c r="A5636" s="3" t="str">
        <f t="shared" ca="1" si="1656"/>
        <v/>
      </c>
      <c r="G5636" s="15">
        <f t="shared" ca="1" si="1642"/>
        <v>39</v>
      </c>
      <c r="H5636" s="15">
        <v>1</v>
      </c>
      <c r="I5636" s="15">
        <f t="shared" ca="1" si="1643"/>
        <v>0</v>
      </c>
      <c r="J5636" s="15" t="str">
        <f t="shared" ca="1" si="1648"/>
        <v>'0'!A39</v>
      </c>
      <c r="K5636" s="15" t="str">
        <f t="shared" ca="1" si="1649"/>
        <v>'0'!B39</v>
      </c>
    </row>
    <row r="5637" spans="1:16" x14ac:dyDescent="0.25">
      <c r="A5637" s="3" t="str">
        <f t="shared" ca="1" si="1656"/>
        <v/>
      </c>
      <c r="G5637" s="15">
        <f t="shared" ca="1" si="1642"/>
        <v>40</v>
      </c>
      <c r="H5637" s="15">
        <v>1</v>
      </c>
      <c r="I5637" s="15">
        <f t="shared" ca="1" si="1643"/>
        <v>0</v>
      </c>
      <c r="J5637" s="15" t="str">
        <f t="shared" ca="1" si="1648"/>
        <v>'0'!A40</v>
      </c>
      <c r="K5637" s="15" t="str">
        <f t="shared" ca="1" si="1649"/>
        <v>'0'!B40</v>
      </c>
    </row>
    <row r="5638" spans="1:16" x14ac:dyDescent="0.25">
      <c r="A5638" s="3" t="str">
        <f t="shared" ca="1" si="1656"/>
        <v/>
      </c>
      <c r="G5638" s="15">
        <f t="shared" ca="1" si="1642"/>
        <v>41</v>
      </c>
      <c r="H5638" s="15">
        <v>1</v>
      </c>
      <c r="I5638" s="15">
        <f t="shared" ca="1" si="1643"/>
        <v>0</v>
      </c>
      <c r="J5638" s="15" t="str">
        <f t="shared" ca="1" si="1648"/>
        <v>'0'!A41</v>
      </c>
      <c r="K5638" s="15" t="str">
        <f t="shared" ca="1" si="1649"/>
        <v>'0'!B41</v>
      </c>
    </row>
    <row r="5639" spans="1:16" x14ac:dyDescent="0.25">
      <c r="A5639" s="3" t="str">
        <f t="shared" ca="1" si="1656"/>
        <v/>
      </c>
      <c r="C5639" s="16"/>
      <c r="G5639" s="15">
        <f t="shared" ca="1" si="1642"/>
        <v>42</v>
      </c>
      <c r="H5639" s="15">
        <v>1</v>
      </c>
      <c r="I5639" s="15">
        <f t="shared" ca="1" si="1643"/>
        <v>0</v>
      </c>
      <c r="J5639" s="15" t="str">
        <f t="shared" ca="1" si="1648"/>
        <v>'0'!A42</v>
      </c>
      <c r="K5639" s="15" t="str">
        <f t="shared" ca="1" si="1649"/>
        <v>'0'!B42</v>
      </c>
    </row>
    <row r="5640" spans="1:16" x14ac:dyDescent="0.25">
      <c r="A5640" s="3" t="str">
        <f t="shared" ca="1" si="1656"/>
        <v/>
      </c>
      <c r="G5640" s="15">
        <f t="shared" ca="1" si="1642"/>
        <v>43</v>
      </c>
      <c r="H5640" s="15">
        <v>1</v>
      </c>
      <c r="I5640" s="15">
        <f t="shared" ca="1" si="1643"/>
        <v>0</v>
      </c>
      <c r="J5640" s="15" t="str">
        <f t="shared" ca="1" si="1648"/>
        <v>'0'!A43</v>
      </c>
      <c r="K5640" s="15" t="str">
        <f t="shared" ca="1" si="1649"/>
        <v>'0'!B43</v>
      </c>
    </row>
    <row r="5641" spans="1:16" x14ac:dyDescent="0.25">
      <c r="A5641" s="3" t="str">
        <f t="shared" ca="1" si="1656"/>
        <v/>
      </c>
      <c r="G5641" s="15">
        <f t="shared" ref="G5641:G5704" ca="1" si="1663">G5640+1</f>
        <v>44</v>
      </c>
      <c r="H5641" s="15">
        <v>1</v>
      </c>
      <c r="I5641" s="15">
        <f t="shared" ref="I5641:I5704" ca="1" si="1664">I5640</f>
        <v>0</v>
      </c>
      <c r="J5641" s="15" t="str">
        <f t="shared" ca="1" si="1648"/>
        <v>'0'!A44</v>
      </c>
      <c r="K5641" s="15" t="str">
        <f t="shared" ca="1" si="1649"/>
        <v>'0'!B44</v>
      </c>
    </row>
    <row r="5642" spans="1:16" x14ac:dyDescent="0.25">
      <c r="A5642" s="3" t="str">
        <f t="shared" ca="1" si="1656"/>
        <v/>
      </c>
      <c r="G5642" s="15">
        <f t="shared" ca="1" si="1663"/>
        <v>45</v>
      </c>
      <c r="H5642" s="15">
        <v>1</v>
      </c>
      <c r="I5642" s="15">
        <f t="shared" ca="1" si="1664"/>
        <v>0</v>
      </c>
      <c r="J5642" s="15" t="str">
        <f t="shared" ca="1" si="1648"/>
        <v>'0'!A45</v>
      </c>
      <c r="K5642" s="15" t="str">
        <f t="shared" ca="1" si="1649"/>
        <v>'0'!B45</v>
      </c>
    </row>
    <row r="5643" spans="1:16" x14ac:dyDescent="0.25">
      <c r="A5643" s="3" t="str">
        <f t="shared" ca="1" si="1656"/>
        <v/>
      </c>
      <c r="G5643" s="15">
        <f t="shared" ca="1" si="1663"/>
        <v>46</v>
      </c>
      <c r="H5643" s="15">
        <v>1</v>
      </c>
      <c r="I5643" s="15">
        <f t="shared" ca="1" si="1664"/>
        <v>0</v>
      </c>
      <c r="J5643" s="15" t="str">
        <f t="shared" ca="1" si="1648"/>
        <v>'0'!A46</v>
      </c>
      <c r="K5643" s="15" t="str">
        <f t="shared" ca="1" si="1649"/>
        <v>'0'!B46</v>
      </c>
    </row>
    <row r="5644" spans="1:16" x14ac:dyDescent="0.25">
      <c r="A5644" s="3" t="str">
        <f t="shared" ca="1" si="1656"/>
        <v/>
      </c>
      <c r="G5644" s="15">
        <f t="shared" ca="1" si="1663"/>
        <v>47</v>
      </c>
      <c r="H5644" s="15">
        <v>1</v>
      </c>
      <c r="I5644" s="15">
        <f t="shared" ca="1" si="1664"/>
        <v>0</v>
      </c>
      <c r="J5644" s="15" t="str">
        <f t="shared" ca="1" si="1648"/>
        <v>'0'!A47</v>
      </c>
      <c r="K5644" s="15" t="str">
        <f t="shared" ca="1" si="1649"/>
        <v>'0'!B47</v>
      </c>
    </row>
    <row r="5645" spans="1:16" x14ac:dyDescent="0.25">
      <c r="A5645" s="3" t="str">
        <f t="shared" ca="1" si="1656"/>
        <v/>
      </c>
      <c r="G5645" s="15">
        <f t="shared" ca="1" si="1663"/>
        <v>48</v>
      </c>
      <c r="H5645" s="15">
        <v>1</v>
      </c>
      <c r="I5645" s="15">
        <f t="shared" ca="1" si="1664"/>
        <v>0</v>
      </c>
      <c r="J5645" s="15" t="str">
        <f t="shared" ca="1" si="1648"/>
        <v>'0'!A48</v>
      </c>
      <c r="K5645" s="15" t="str">
        <f t="shared" ca="1" si="1649"/>
        <v>'0'!B48</v>
      </c>
    </row>
    <row r="5646" spans="1:16" x14ac:dyDescent="0.25">
      <c r="A5646" s="3" t="str">
        <f t="shared" ca="1" si="1656"/>
        <v/>
      </c>
      <c r="G5646" s="15">
        <f t="shared" ca="1" si="1663"/>
        <v>49</v>
      </c>
      <c r="H5646" s="15">
        <v>1</v>
      </c>
      <c r="I5646" s="15">
        <f t="shared" ca="1" si="1664"/>
        <v>0</v>
      </c>
      <c r="J5646" s="15" t="str">
        <f t="shared" ca="1" si="1648"/>
        <v>'0'!A49</v>
      </c>
      <c r="K5646" s="15" t="str">
        <f t="shared" ca="1" si="1649"/>
        <v>'0'!B49</v>
      </c>
    </row>
    <row r="5647" spans="1:16" x14ac:dyDescent="0.25">
      <c r="A5647" s="3" t="str">
        <f t="shared" ca="1" si="1656"/>
        <v/>
      </c>
      <c r="G5647" s="15">
        <f t="shared" ca="1" si="1663"/>
        <v>50</v>
      </c>
      <c r="H5647" s="15">
        <v>1</v>
      </c>
      <c r="I5647" s="15">
        <f t="shared" ca="1" si="1664"/>
        <v>0</v>
      </c>
      <c r="J5647" s="15" t="str">
        <f t="shared" ca="1" si="1648"/>
        <v>'0'!A50</v>
      </c>
      <c r="K5647" s="15" t="str">
        <f t="shared" ca="1" si="1649"/>
        <v>'0'!B50</v>
      </c>
    </row>
    <row r="5648" spans="1:16" x14ac:dyDescent="0.25">
      <c r="A5648" s="3" t="str">
        <f t="shared" ca="1" si="1656"/>
        <v/>
      </c>
      <c r="G5648" s="15">
        <f t="shared" ref="G5648" ca="1" si="1665">INDIRECT(M5648)</f>
        <v>31</v>
      </c>
      <c r="H5648" s="15">
        <v>1</v>
      </c>
      <c r="I5648" s="15">
        <f t="shared" ref="I5648" ca="1" si="1666">INDIRECT(N5648)</f>
        <v>0</v>
      </c>
      <c r="J5648" s="15" t="str">
        <f t="shared" ca="1" si="1648"/>
        <v>'0'!A31</v>
      </c>
      <c r="K5648" s="15" t="str">
        <f t="shared" ca="1" si="1649"/>
        <v>'0'!B31</v>
      </c>
      <c r="M5648" s="15" t="str">
        <f t="shared" ref="M5648" si="1667">ADDRESS(O5648,3,4,1,$R$1)</f>
        <v>konfig!C284</v>
      </c>
      <c r="N5648" s="15" t="str">
        <f t="shared" ref="N5648" si="1668">ADDRESS(O5648,1,4,1,$R$1)</f>
        <v>konfig!A284</v>
      </c>
      <c r="O5648" s="15">
        <v>284</v>
      </c>
      <c r="P5648" s="15">
        <v>4</v>
      </c>
    </row>
    <row r="5649" spans="1:11" x14ac:dyDescent="0.25">
      <c r="A5649" s="3" t="str">
        <f t="shared" ca="1" si="1656"/>
        <v/>
      </c>
      <c r="G5649" s="15">
        <f t="shared" ca="1" si="1654"/>
        <v>32</v>
      </c>
      <c r="H5649" s="15">
        <v>1</v>
      </c>
      <c r="I5649" s="15">
        <f t="shared" ca="1" si="1655"/>
        <v>0</v>
      </c>
      <c r="J5649" s="15" t="str">
        <f t="shared" ca="1" si="1648"/>
        <v>'0'!A32</v>
      </c>
      <c r="K5649" s="15" t="str">
        <f t="shared" ca="1" si="1649"/>
        <v>'0'!B32</v>
      </c>
    </row>
    <row r="5650" spans="1:11" x14ac:dyDescent="0.25">
      <c r="A5650" s="3" t="str">
        <f t="shared" ca="1" si="1656"/>
        <v/>
      </c>
      <c r="G5650" s="15">
        <f t="shared" ca="1" si="1654"/>
        <v>33</v>
      </c>
      <c r="H5650" s="15">
        <v>1</v>
      </c>
      <c r="I5650" s="15">
        <f t="shared" ca="1" si="1655"/>
        <v>0</v>
      </c>
      <c r="J5650" s="15" t="str">
        <f t="shared" ca="1" si="1648"/>
        <v>'0'!A33</v>
      </c>
      <c r="K5650" s="15" t="str">
        <f t="shared" ca="1" si="1649"/>
        <v>'0'!B33</v>
      </c>
    </row>
    <row r="5651" spans="1:11" x14ac:dyDescent="0.25">
      <c r="A5651" s="3" t="str">
        <f t="shared" ca="1" si="1656"/>
        <v/>
      </c>
      <c r="C5651" s="16"/>
      <c r="G5651" s="15">
        <f t="shared" ca="1" si="1654"/>
        <v>34</v>
      </c>
      <c r="H5651" s="15">
        <v>1</v>
      </c>
      <c r="I5651" s="15">
        <f t="shared" ca="1" si="1655"/>
        <v>0</v>
      </c>
      <c r="J5651" s="15" t="str">
        <f t="shared" ca="1" si="1648"/>
        <v>'0'!A34</v>
      </c>
      <c r="K5651" s="15" t="str">
        <f t="shared" ca="1" si="1649"/>
        <v>'0'!B34</v>
      </c>
    </row>
    <row r="5652" spans="1:11" x14ac:dyDescent="0.25">
      <c r="A5652" s="3" t="str">
        <f t="shared" ca="1" si="1656"/>
        <v/>
      </c>
      <c r="G5652" s="15">
        <f t="shared" ca="1" si="1654"/>
        <v>35</v>
      </c>
      <c r="H5652" s="15">
        <v>1</v>
      </c>
      <c r="I5652" s="15">
        <f t="shared" ca="1" si="1655"/>
        <v>0</v>
      </c>
      <c r="J5652" s="15" t="str">
        <f t="shared" ca="1" si="1648"/>
        <v>'0'!A35</v>
      </c>
      <c r="K5652" s="15" t="str">
        <f t="shared" ca="1" si="1649"/>
        <v>'0'!B35</v>
      </c>
    </row>
    <row r="5653" spans="1:11" x14ac:dyDescent="0.25">
      <c r="A5653" s="3" t="str">
        <f t="shared" ca="1" si="1656"/>
        <v/>
      </c>
      <c r="G5653" s="15">
        <f t="shared" ca="1" si="1663"/>
        <v>36</v>
      </c>
      <c r="H5653" s="15">
        <v>1</v>
      </c>
      <c r="I5653" s="15">
        <f t="shared" ca="1" si="1664"/>
        <v>0</v>
      </c>
      <c r="J5653" s="15" t="str">
        <f t="shared" ca="1" si="1648"/>
        <v>'0'!A36</v>
      </c>
      <c r="K5653" s="15" t="str">
        <f t="shared" ca="1" si="1649"/>
        <v>'0'!B36</v>
      </c>
    </row>
    <row r="5654" spans="1:11" x14ac:dyDescent="0.25">
      <c r="A5654" s="3" t="str">
        <f t="shared" ca="1" si="1656"/>
        <v/>
      </c>
      <c r="G5654" s="15">
        <f t="shared" ca="1" si="1663"/>
        <v>37</v>
      </c>
      <c r="H5654" s="15">
        <v>1</v>
      </c>
      <c r="I5654" s="15">
        <f t="shared" ca="1" si="1664"/>
        <v>0</v>
      </c>
      <c r="J5654" s="15" t="str">
        <f t="shared" ca="1" si="1648"/>
        <v>'0'!A37</v>
      </c>
      <c r="K5654" s="15" t="str">
        <f t="shared" ca="1" si="1649"/>
        <v>'0'!B37</v>
      </c>
    </row>
    <row r="5655" spans="1:11" x14ac:dyDescent="0.25">
      <c r="A5655" s="3" t="str">
        <f t="shared" ca="1" si="1656"/>
        <v/>
      </c>
      <c r="G5655" s="15">
        <f t="shared" ca="1" si="1663"/>
        <v>38</v>
      </c>
      <c r="H5655" s="15">
        <v>1</v>
      </c>
      <c r="I5655" s="15">
        <f t="shared" ca="1" si="1664"/>
        <v>0</v>
      </c>
      <c r="J5655" s="15" t="str">
        <f t="shared" ca="1" si="1648"/>
        <v>'0'!A38</v>
      </c>
      <c r="K5655" s="15" t="str">
        <f t="shared" ca="1" si="1649"/>
        <v>'0'!B38</v>
      </c>
    </row>
    <row r="5656" spans="1:11" x14ac:dyDescent="0.25">
      <c r="A5656" s="3" t="str">
        <f t="shared" ca="1" si="1656"/>
        <v/>
      </c>
      <c r="G5656" s="15">
        <f t="shared" ca="1" si="1663"/>
        <v>39</v>
      </c>
      <c r="H5656" s="15">
        <v>1</v>
      </c>
      <c r="I5656" s="15">
        <f t="shared" ca="1" si="1664"/>
        <v>0</v>
      </c>
      <c r="J5656" s="15" t="str">
        <f t="shared" ca="1" si="1648"/>
        <v>'0'!A39</v>
      </c>
      <c r="K5656" s="15" t="str">
        <f t="shared" ca="1" si="1649"/>
        <v>'0'!B39</v>
      </c>
    </row>
    <row r="5657" spans="1:11" x14ac:dyDescent="0.25">
      <c r="A5657" s="3" t="str">
        <f t="shared" ca="1" si="1656"/>
        <v/>
      </c>
      <c r="G5657" s="15">
        <f t="shared" ca="1" si="1663"/>
        <v>40</v>
      </c>
      <c r="H5657" s="15">
        <v>1</v>
      </c>
      <c r="I5657" s="15">
        <f t="shared" ca="1" si="1664"/>
        <v>0</v>
      </c>
      <c r="J5657" s="15" t="str">
        <f t="shared" ca="1" si="1648"/>
        <v>'0'!A40</v>
      </c>
      <c r="K5657" s="15" t="str">
        <f t="shared" ca="1" si="1649"/>
        <v>'0'!B40</v>
      </c>
    </row>
    <row r="5658" spans="1:11" x14ac:dyDescent="0.25">
      <c r="A5658" s="3" t="str">
        <f t="shared" ca="1" si="1656"/>
        <v/>
      </c>
      <c r="G5658" s="15">
        <f t="shared" ca="1" si="1663"/>
        <v>41</v>
      </c>
      <c r="H5658" s="15">
        <v>1</v>
      </c>
      <c r="I5658" s="15">
        <f t="shared" ca="1" si="1664"/>
        <v>0</v>
      </c>
      <c r="J5658" s="15" t="str">
        <f t="shared" ca="1" si="1648"/>
        <v>'0'!A41</v>
      </c>
      <c r="K5658" s="15" t="str">
        <f t="shared" ca="1" si="1649"/>
        <v>'0'!B41</v>
      </c>
    </row>
    <row r="5659" spans="1:11" x14ac:dyDescent="0.25">
      <c r="A5659" s="3" t="str">
        <f t="shared" ca="1" si="1656"/>
        <v/>
      </c>
      <c r="C5659" s="16"/>
      <c r="G5659" s="15">
        <f t="shared" ca="1" si="1663"/>
        <v>42</v>
      </c>
      <c r="H5659" s="15">
        <v>1</v>
      </c>
      <c r="I5659" s="15">
        <f t="shared" ca="1" si="1664"/>
        <v>0</v>
      </c>
      <c r="J5659" s="15" t="str">
        <f t="shared" ca="1" si="1648"/>
        <v>'0'!A42</v>
      </c>
      <c r="K5659" s="15" t="str">
        <f t="shared" ca="1" si="1649"/>
        <v>'0'!B42</v>
      </c>
    </row>
    <row r="5660" spans="1:11" x14ac:dyDescent="0.25">
      <c r="A5660" s="3" t="str">
        <f t="shared" ca="1" si="1656"/>
        <v/>
      </c>
      <c r="G5660" s="15">
        <f t="shared" ca="1" si="1663"/>
        <v>43</v>
      </c>
      <c r="H5660" s="15">
        <v>1</v>
      </c>
      <c r="I5660" s="15">
        <f t="shared" ca="1" si="1664"/>
        <v>0</v>
      </c>
      <c r="J5660" s="15" t="str">
        <f t="shared" ca="1" si="1648"/>
        <v>'0'!A43</v>
      </c>
      <c r="K5660" s="15" t="str">
        <f t="shared" ca="1" si="1649"/>
        <v>'0'!B43</v>
      </c>
    </row>
    <row r="5661" spans="1:11" x14ac:dyDescent="0.25">
      <c r="A5661" s="3" t="str">
        <f t="shared" ca="1" si="1656"/>
        <v/>
      </c>
      <c r="G5661" s="15">
        <f t="shared" ca="1" si="1663"/>
        <v>44</v>
      </c>
      <c r="H5661" s="15">
        <v>1</v>
      </c>
      <c r="I5661" s="15">
        <f t="shared" ca="1" si="1664"/>
        <v>0</v>
      </c>
      <c r="J5661" s="15" t="str">
        <f t="shared" ca="1" si="1648"/>
        <v>'0'!A44</v>
      </c>
      <c r="K5661" s="15" t="str">
        <f t="shared" ca="1" si="1649"/>
        <v>'0'!B44</v>
      </c>
    </row>
    <row r="5662" spans="1:11" x14ac:dyDescent="0.25">
      <c r="A5662" s="3" t="str">
        <f t="shared" ca="1" si="1656"/>
        <v/>
      </c>
      <c r="G5662" s="15">
        <f t="shared" ca="1" si="1663"/>
        <v>45</v>
      </c>
      <c r="H5662" s="15">
        <v>1</v>
      </c>
      <c r="I5662" s="15">
        <f t="shared" ca="1" si="1664"/>
        <v>0</v>
      </c>
      <c r="J5662" s="15" t="str">
        <f t="shared" ca="1" si="1648"/>
        <v>'0'!A45</v>
      </c>
      <c r="K5662" s="15" t="str">
        <f t="shared" ca="1" si="1649"/>
        <v>'0'!B45</v>
      </c>
    </row>
    <row r="5663" spans="1:11" x14ac:dyDescent="0.25">
      <c r="A5663" s="3" t="str">
        <f t="shared" ca="1" si="1656"/>
        <v/>
      </c>
      <c r="G5663" s="15">
        <f t="shared" ca="1" si="1663"/>
        <v>46</v>
      </c>
      <c r="H5663" s="15">
        <v>1</v>
      </c>
      <c r="I5663" s="15">
        <f t="shared" ca="1" si="1664"/>
        <v>0</v>
      </c>
      <c r="J5663" s="15" t="str">
        <f t="shared" ca="1" si="1648"/>
        <v>'0'!A46</v>
      </c>
      <c r="K5663" s="15" t="str">
        <f t="shared" ca="1" si="1649"/>
        <v>'0'!B46</v>
      </c>
    </row>
    <row r="5664" spans="1:11" x14ac:dyDescent="0.25">
      <c r="A5664" s="3" t="str">
        <f t="shared" ca="1" si="1656"/>
        <v/>
      </c>
      <c r="G5664" s="15">
        <f t="shared" ca="1" si="1663"/>
        <v>47</v>
      </c>
      <c r="H5664" s="15">
        <v>1</v>
      </c>
      <c r="I5664" s="15">
        <f t="shared" ca="1" si="1664"/>
        <v>0</v>
      </c>
      <c r="J5664" s="15" t="str">
        <f t="shared" ca="1" si="1648"/>
        <v>'0'!A47</v>
      </c>
      <c r="K5664" s="15" t="str">
        <f t="shared" ca="1" si="1649"/>
        <v>'0'!B47</v>
      </c>
    </row>
    <row r="5665" spans="1:16" x14ac:dyDescent="0.25">
      <c r="A5665" s="3" t="str">
        <f t="shared" ca="1" si="1656"/>
        <v/>
      </c>
      <c r="G5665" s="15">
        <f t="shared" ca="1" si="1663"/>
        <v>48</v>
      </c>
      <c r="H5665" s="15">
        <v>1</v>
      </c>
      <c r="I5665" s="15">
        <f t="shared" ca="1" si="1664"/>
        <v>0</v>
      </c>
      <c r="J5665" s="15" t="str">
        <f t="shared" ca="1" si="1648"/>
        <v>'0'!A48</v>
      </c>
      <c r="K5665" s="15" t="str">
        <f t="shared" ca="1" si="1649"/>
        <v>'0'!B48</v>
      </c>
    </row>
    <row r="5666" spans="1:16" x14ac:dyDescent="0.25">
      <c r="A5666" s="3" t="str">
        <f t="shared" ca="1" si="1656"/>
        <v/>
      </c>
      <c r="G5666" s="15">
        <f t="shared" ca="1" si="1663"/>
        <v>49</v>
      </c>
      <c r="H5666" s="15">
        <v>1</v>
      </c>
      <c r="I5666" s="15">
        <f t="shared" ca="1" si="1664"/>
        <v>0</v>
      </c>
      <c r="J5666" s="15" t="str">
        <f t="shared" ca="1" si="1648"/>
        <v>'0'!A49</v>
      </c>
      <c r="K5666" s="15" t="str">
        <f t="shared" ca="1" si="1649"/>
        <v>'0'!B49</v>
      </c>
    </row>
    <row r="5667" spans="1:16" x14ac:dyDescent="0.25">
      <c r="A5667" s="3" t="str">
        <f t="shared" ca="1" si="1656"/>
        <v/>
      </c>
      <c r="G5667" s="15">
        <f t="shared" ca="1" si="1663"/>
        <v>50</v>
      </c>
      <c r="H5667" s="15">
        <v>1</v>
      </c>
      <c r="I5667" s="15">
        <f t="shared" ca="1" si="1664"/>
        <v>0</v>
      </c>
      <c r="J5667" s="15" t="str">
        <f t="shared" ca="1" si="1648"/>
        <v>'0'!A50</v>
      </c>
      <c r="K5667" s="15" t="str">
        <f t="shared" ca="1" si="1649"/>
        <v>'0'!B50</v>
      </c>
    </row>
    <row r="5668" spans="1:16" x14ac:dyDescent="0.25">
      <c r="A5668" s="3" t="str">
        <f t="shared" ca="1" si="1656"/>
        <v/>
      </c>
      <c r="G5668" s="15">
        <f t="shared" ref="G5668" ca="1" si="1669">INDIRECT(M5668)</f>
        <v>31</v>
      </c>
      <c r="H5668" s="15">
        <v>1</v>
      </c>
      <c r="I5668" s="15">
        <f t="shared" ref="I5668" ca="1" si="1670">INDIRECT(N5668)</f>
        <v>0</v>
      </c>
      <c r="J5668" s="15" t="str">
        <f t="shared" ref="J5668:J5731" ca="1" si="1671">ADDRESS(G5668,H5668,4,1,I5668)</f>
        <v>'0'!A31</v>
      </c>
      <c r="K5668" s="15" t="str">
        <f t="shared" ref="K5668:K5731" ca="1" si="1672">ADDRESS(G5668,H5668+1,4,1,I5668)</f>
        <v>'0'!B31</v>
      </c>
      <c r="M5668" s="15" t="str">
        <f t="shared" ref="M5668" si="1673">ADDRESS(O5668,3,4,1,$R$1)</f>
        <v>konfig!C285</v>
      </c>
      <c r="N5668" s="15" t="str">
        <f t="shared" ref="N5668" si="1674">ADDRESS(O5668,1,4,1,$R$1)</f>
        <v>konfig!A285</v>
      </c>
      <c r="O5668" s="15">
        <v>285</v>
      </c>
      <c r="P5668" s="15">
        <v>4</v>
      </c>
    </row>
    <row r="5669" spans="1:16" x14ac:dyDescent="0.25">
      <c r="A5669" s="3" t="str">
        <f t="shared" ca="1" si="1656"/>
        <v/>
      </c>
      <c r="G5669" s="15">
        <f t="shared" ca="1" si="1661"/>
        <v>32</v>
      </c>
      <c r="H5669" s="15">
        <v>1</v>
      </c>
      <c r="I5669" s="15">
        <f t="shared" ca="1" si="1662"/>
        <v>0</v>
      </c>
      <c r="J5669" s="15" t="str">
        <f t="shared" ca="1" si="1671"/>
        <v>'0'!A32</v>
      </c>
      <c r="K5669" s="15" t="str">
        <f t="shared" ca="1" si="1672"/>
        <v>'0'!B32</v>
      </c>
    </row>
    <row r="5670" spans="1:16" x14ac:dyDescent="0.25">
      <c r="A5670" s="3" t="str">
        <f t="shared" ca="1" si="1656"/>
        <v/>
      </c>
      <c r="G5670" s="15">
        <f t="shared" ca="1" si="1663"/>
        <v>33</v>
      </c>
      <c r="H5670" s="15">
        <v>1</v>
      </c>
      <c r="I5670" s="15">
        <f t="shared" ca="1" si="1664"/>
        <v>0</v>
      </c>
      <c r="J5670" s="15" t="str">
        <f t="shared" ca="1" si="1671"/>
        <v>'0'!A33</v>
      </c>
      <c r="K5670" s="15" t="str">
        <f t="shared" ca="1" si="1672"/>
        <v>'0'!B33</v>
      </c>
    </row>
    <row r="5671" spans="1:16" x14ac:dyDescent="0.25">
      <c r="A5671" s="3" t="str">
        <f t="shared" ca="1" si="1656"/>
        <v/>
      </c>
      <c r="C5671" s="16"/>
      <c r="G5671" s="15">
        <f t="shared" ca="1" si="1663"/>
        <v>34</v>
      </c>
      <c r="H5671" s="15">
        <v>1</v>
      </c>
      <c r="I5671" s="15">
        <f t="shared" ca="1" si="1664"/>
        <v>0</v>
      </c>
      <c r="J5671" s="15" t="str">
        <f t="shared" ca="1" si="1671"/>
        <v>'0'!A34</v>
      </c>
      <c r="K5671" s="15" t="str">
        <f t="shared" ca="1" si="1672"/>
        <v>'0'!B34</v>
      </c>
    </row>
    <row r="5672" spans="1:16" x14ac:dyDescent="0.25">
      <c r="A5672" s="3" t="str">
        <f t="shared" ca="1" si="1656"/>
        <v/>
      </c>
      <c r="G5672" s="15">
        <f t="shared" ca="1" si="1663"/>
        <v>35</v>
      </c>
      <c r="H5672" s="15">
        <v>1</v>
      </c>
      <c r="I5672" s="15">
        <f t="shared" ca="1" si="1664"/>
        <v>0</v>
      </c>
      <c r="J5672" s="15" t="str">
        <f t="shared" ca="1" si="1671"/>
        <v>'0'!A35</v>
      </c>
      <c r="K5672" s="15" t="str">
        <f t="shared" ca="1" si="1672"/>
        <v>'0'!B35</v>
      </c>
    </row>
    <row r="5673" spans="1:16" x14ac:dyDescent="0.25">
      <c r="A5673" s="3" t="str">
        <f t="shared" ca="1" si="1656"/>
        <v/>
      </c>
      <c r="G5673" s="15">
        <f t="shared" ca="1" si="1663"/>
        <v>36</v>
      </c>
      <c r="H5673" s="15">
        <v>1</v>
      </c>
      <c r="I5673" s="15">
        <f t="shared" ca="1" si="1664"/>
        <v>0</v>
      </c>
      <c r="J5673" s="15" t="str">
        <f t="shared" ca="1" si="1671"/>
        <v>'0'!A36</v>
      </c>
      <c r="K5673" s="15" t="str">
        <f t="shared" ca="1" si="1672"/>
        <v>'0'!B36</v>
      </c>
    </row>
    <row r="5674" spans="1:16" x14ac:dyDescent="0.25">
      <c r="A5674" s="3" t="str">
        <f t="shared" ca="1" si="1656"/>
        <v/>
      </c>
      <c r="G5674" s="15">
        <f t="shared" ca="1" si="1663"/>
        <v>37</v>
      </c>
      <c r="H5674" s="15">
        <v>1</v>
      </c>
      <c r="I5674" s="15">
        <f t="shared" ca="1" si="1664"/>
        <v>0</v>
      </c>
      <c r="J5674" s="15" t="str">
        <f t="shared" ca="1" si="1671"/>
        <v>'0'!A37</v>
      </c>
      <c r="K5674" s="15" t="str">
        <f t="shared" ca="1" si="1672"/>
        <v>'0'!B37</v>
      </c>
    </row>
    <row r="5675" spans="1:16" x14ac:dyDescent="0.25">
      <c r="A5675" s="3" t="str">
        <f t="shared" ca="1" si="1656"/>
        <v/>
      </c>
      <c r="G5675" s="15">
        <f t="shared" ca="1" si="1663"/>
        <v>38</v>
      </c>
      <c r="H5675" s="15">
        <v>1</v>
      </c>
      <c r="I5675" s="15">
        <f t="shared" ca="1" si="1664"/>
        <v>0</v>
      </c>
      <c r="J5675" s="15" t="str">
        <f t="shared" ca="1" si="1671"/>
        <v>'0'!A38</v>
      </c>
      <c r="K5675" s="15" t="str">
        <f t="shared" ca="1" si="1672"/>
        <v>'0'!B38</v>
      </c>
    </row>
    <row r="5676" spans="1:16" x14ac:dyDescent="0.25">
      <c r="A5676" s="3" t="str">
        <f t="shared" ref="A5676:A5739" ca="1" si="1675">IFERROR(IF(INDIRECT(J5676)&lt;&gt;"",CONCATENATE(INDIRECT(J5676)," = ",INDIRECT(K5676)," "),""),"")</f>
        <v/>
      </c>
      <c r="G5676" s="15">
        <f t="shared" ca="1" si="1663"/>
        <v>39</v>
      </c>
      <c r="H5676" s="15">
        <v>1</v>
      </c>
      <c r="I5676" s="15">
        <f t="shared" ca="1" si="1664"/>
        <v>0</v>
      </c>
      <c r="J5676" s="15" t="str">
        <f t="shared" ca="1" si="1671"/>
        <v>'0'!A39</v>
      </c>
      <c r="K5676" s="15" t="str">
        <f t="shared" ca="1" si="1672"/>
        <v>'0'!B39</v>
      </c>
    </row>
    <row r="5677" spans="1:16" x14ac:dyDescent="0.25">
      <c r="A5677" s="3" t="str">
        <f t="shared" ca="1" si="1675"/>
        <v/>
      </c>
      <c r="G5677" s="15">
        <f t="shared" ca="1" si="1663"/>
        <v>40</v>
      </c>
      <c r="H5677" s="15">
        <v>1</v>
      </c>
      <c r="I5677" s="15">
        <f t="shared" ca="1" si="1664"/>
        <v>0</v>
      </c>
      <c r="J5677" s="15" t="str">
        <f t="shared" ca="1" si="1671"/>
        <v>'0'!A40</v>
      </c>
      <c r="K5677" s="15" t="str">
        <f t="shared" ca="1" si="1672"/>
        <v>'0'!B40</v>
      </c>
    </row>
    <row r="5678" spans="1:16" x14ac:dyDescent="0.25">
      <c r="A5678" s="3" t="str">
        <f t="shared" ca="1" si="1675"/>
        <v/>
      </c>
      <c r="G5678" s="15">
        <f t="shared" ca="1" si="1663"/>
        <v>41</v>
      </c>
      <c r="H5678" s="15">
        <v>1</v>
      </c>
      <c r="I5678" s="15">
        <f t="shared" ca="1" si="1664"/>
        <v>0</v>
      </c>
      <c r="J5678" s="15" t="str">
        <f t="shared" ca="1" si="1671"/>
        <v>'0'!A41</v>
      </c>
      <c r="K5678" s="15" t="str">
        <f t="shared" ca="1" si="1672"/>
        <v>'0'!B41</v>
      </c>
    </row>
    <row r="5679" spans="1:16" x14ac:dyDescent="0.25">
      <c r="A5679" s="3" t="str">
        <f t="shared" ca="1" si="1675"/>
        <v/>
      </c>
      <c r="C5679" s="16"/>
      <c r="G5679" s="15">
        <f t="shared" ca="1" si="1663"/>
        <v>42</v>
      </c>
      <c r="H5679" s="15">
        <v>1</v>
      </c>
      <c r="I5679" s="15">
        <f t="shared" ca="1" si="1664"/>
        <v>0</v>
      </c>
      <c r="J5679" s="15" t="str">
        <f t="shared" ca="1" si="1671"/>
        <v>'0'!A42</v>
      </c>
      <c r="K5679" s="15" t="str">
        <f t="shared" ca="1" si="1672"/>
        <v>'0'!B42</v>
      </c>
    </row>
    <row r="5680" spans="1:16" x14ac:dyDescent="0.25">
      <c r="A5680" s="3" t="str">
        <f t="shared" ca="1" si="1675"/>
        <v/>
      </c>
      <c r="G5680" s="15">
        <f t="shared" ca="1" si="1663"/>
        <v>43</v>
      </c>
      <c r="H5680" s="15">
        <v>1</v>
      </c>
      <c r="I5680" s="15">
        <f t="shared" ca="1" si="1664"/>
        <v>0</v>
      </c>
      <c r="J5680" s="15" t="str">
        <f t="shared" ca="1" si="1671"/>
        <v>'0'!A43</v>
      </c>
      <c r="K5680" s="15" t="str">
        <f t="shared" ca="1" si="1672"/>
        <v>'0'!B43</v>
      </c>
    </row>
    <row r="5681" spans="1:16" x14ac:dyDescent="0.25">
      <c r="A5681" s="3" t="str">
        <f t="shared" ca="1" si="1675"/>
        <v/>
      </c>
      <c r="G5681" s="15">
        <f t="shared" ca="1" si="1663"/>
        <v>44</v>
      </c>
      <c r="H5681" s="15">
        <v>1</v>
      </c>
      <c r="I5681" s="15">
        <f t="shared" ca="1" si="1664"/>
        <v>0</v>
      </c>
      <c r="J5681" s="15" t="str">
        <f t="shared" ca="1" si="1671"/>
        <v>'0'!A44</v>
      </c>
      <c r="K5681" s="15" t="str">
        <f t="shared" ca="1" si="1672"/>
        <v>'0'!B44</v>
      </c>
    </row>
    <row r="5682" spans="1:16" x14ac:dyDescent="0.25">
      <c r="A5682" s="3" t="str">
        <f t="shared" ca="1" si="1675"/>
        <v/>
      </c>
      <c r="G5682" s="15">
        <f t="shared" ca="1" si="1663"/>
        <v>45</v>
      </c>
      <c r="H5682" s="15">
        <v>1</v>
      </c>
      <c r="I5682" s="15">
        <f t="shared" ca="1" si="1664"/>
        <v>0</v>
      </c>
      <c r="J5682" s="15" t="str">
        <f t="shared" ca="1" si="1671"/>
        <v>'0'!A45</v>
      </c>
      <c r="K5682" s="15" t="str">
        <f t="shared" ca="1" si="1672"/>
        <v>'0'!B45</v>
      </c>
    </row>
    <row r="5683" spans="1:16" x14ac:dyDescent="0.25">
      <c r="A5683" s="3" t="str">
        <f t="shared" ca="1" si="1675"/>
        <v/>
      </c>
      <c r="G5683" s="15">
        <f t="shared" ca="1" si="1663"/>
        <v>46</v>
      </c>
      <c r="H5683" s="15">
        <v>1</v>
      </c>
      <c r="I5683" s="15">
        <f t="shared" ca="1" si="1664"/>
        <v>0</v>
      </c>
      <c r="J5683" s="15" t="str">
        <f t="shared" ca="1" si="1671"/>
        <v>'0'!A46</v>
      </c>
      <c r="K5683" s="15" t="str">
        <f t="shared" ca="1" si="1672"/>
        <v>'0'!B46</v>
      </c>
    </row>
    <row r="5684" spans="1:16" x14ac:dyDescent="0.25">
      <c r="A5684" s="3" t="str">
        <f t="shared" ca="1" si="1675"/>
        <v/>
      </c>
      <c r="G5684" s="15">
        <f t="shared" ca="1" si="1663"/>
        <v>47</v>
      </c>
      <c r="H5684" s="15">
        <v>1</v>
      </c>
      <c r="I5684" s="15">
        <f t="shared" ca="1" si="1664"/>
        <v>0</v>
      </c>
      <c r="J5684" s="15" t="str">
        <f t="shared" ca="1" si="1671"/>
        <v>'0'!A47</v>
      </c>
      <c r="K5684" s="15" t="str">
        <f t="shared" ca="1" si="1672"/>
        <v>'0'!B47</v>
      </c>
    </row>
    <row r="5685" spans="1:16" x14ac:dyDescent="0.25">
      <c r="A5685" s="3" t="str">
        <f t="shared" ca="1" si="1675"/>
        <v/>
      </c>
      <c r="G5685" s="15">
        <f t="shared" ca="1" si="1663"/>
        <v>48</v>
      </c>
      <c r="H5685" s="15">
        <v>1</v>
      </c>
      <c r="I5685" s="15">
        <f t="shared" ca="1" si="1664"/>
        <v>0</v>
      </c>
      <c r="J5685" s="15" t="str">
        <f t="shared" ca="1" si="1671"/>
        <v>'0'!A48</v>
      </c>
      <c r="K5685" s="15" t="str">
        <f t="shared" ca="1" si="1672"/>
        <v>'0'!B48</v>
      </c>
    </row>
    <row r="5686" spans="1:16" x14ac:dyDescent="0.25">
      <c r="A5686" s="3" t="str">
        <f t="shared" ca="1" si="1675"/>
        <v/>
      </c>
      <c r="G5686" s="15">
        <f t="shared" ca="1" si="1663"/>
        <v>49</v>
      </c>
      <c r="H5686" s="15">
        <v>1</v>
      </c>
      <c r="I5686" s="15">
        <f t="shared" ca="1" si="1664"/>
        <v>0</v>
      </c>
      <c r="J5686" s="15" t="str">
        <f t="shared" ca="1" si="1671"/>
        <v>'0'!A49</v>
      </c>
      <c r="K5686" s="15" t="str">
        <f t="shared" ca="1" si="1672"/>
        <v>'0'!B49</v>
      </c>
    </row>
    <row r="5687" spans="1:16" x14ac:dyDescent="0.25">
      <c r="A5687" s="3" t="str">
        <f t="shared" ca="1" si="1675"/>
        <v/>
      </c>
      <c r="G5687" s="15">
        <f t="shared" ca="1" si="1663"/>
        <v>50</v>
      </c>
      <c r="H5687" s="15">
        <v>1</v>
      </c>
      <c r="I5687" s="15">
        <f t="shared" ca="1" si="1664"/>
        <v>0</v>
      </c>
      <c r="J5687" s="15" t="str">
        <f t="shared" ca="1" si="1671"/>
        <v>'0'!A50</v>
      </c>
      <c r="K5687" s="15" t="str">
        <f t="shared" ca="1" si="1672"/>
        <v>'0'!B50</v>
      </c>
    </row>
    <row r="5688" spans="1:16" x14ac:dyDescent="0.25">
      <c r="A5688" s="3" t="str">
        <f t="shared" ca="1" si="1675"/>
        <v/>
      </c>
      <c r="G5688" s="15">
        <f t="shared" ref="G5688" ca="1" si="1676">INDIRECT(M5688)</f>
        <v>31</v>
      </c>
      <c r="H5688" s="15">
        <v>1</v>
      </c>
      <c r="I5688" s="15">
        <f t="shared" ref="I5688" ca="1" si="1677">INDIRECT(N5688)</f>
        <v>0</v>
      </c>
      <c r="J5688" s="15" t="str">
        <f t="shared" ca="1" si="1671"/>
        <v>'0'!A31</v>
      </c>
      <c r="K5688" s="15" t="str">
        <f t="shared" ca="1" si="1672"/>
        <v>'0'!B31</v>
      </c>
      <c r="M5688" s="15" t="str">
        <f t="shared" ref="M5688" si="1678">ADDRESS(O5688,3,4,1,$R$1)</f>
        <v>konfig!C286</v>
      </c>
      <c r="N5688" s="15" t="str">
        <f t="shared" ref="N5688" si="1679">ADDRESS(O5688,1,4,1,$R$1)</f>
        <v>konfig!A286</v>
      </c>
      <c r="O5688" s="15">
        <v>286</v>
      </c>
      <c r="P5688" s="15">
        <v>4</v>
      </c>
    </row>
    <row r="5689" spans="1:16" x14ac:dyDescent="0.25">
      <c r="A5689" s="3" t="str">
        <f t="shared" ca="1" si="1675"/>
        <v/>
      </c>
      <c r="G5689" s="15">
        <f t="shared" ref="G5689:G5732" ca="1" si="1680">G5688+1</f>
        <v>32</v>
      </c>
      <c r="H5689" s="15">
        <v>1</v>
      </c>
      <c r="I5689" s="15">
        <f t="shared" ref="I5689:I5732" ca="1" si="1681">I5688</f>
        <v>0</v>
      </c>
      <c r="J5689" s="15" t="str">
        <f t="shared" ca="1" si="1671"/>
        <v>'0'!A32</v>
      </c>
      <c r="K5689" s="15" t="str">
        <f t="shared" ca="1" si="1672"/>
        <v>'0'!B32</v>
      </c>
    </row>
    <row r="5690" spans="1:16" x14ac:dyDescent="0.25">
      <c r="A5690" s="3" t="str">
        <f t="shared" ca="1" si="1675"/>
        <v/>
      </c>
      <c r="G5690" s="15">
        <f t="shared" ca="1" si="1680"/>
        <v>33</v>
      </c>
      <c r="H5690" s="15">
        <v>1</v>
      </c>
      <c r="I5690" s="15">
        <f t="shared" ca="1" si="1681"/>
        <v>0</v>
      </c>
      <c r="J5690" s="15" t="str">
        <f t="shared" ca="1" si="1671"/>
        <v>'0'!A33</v>
      </c>
      <c r="K5690" s="15" t="str">
        <f t="shared" ca="1" si="1672"/>
        <v>'0'!B33</v>
      </c>
    </row>
    <row r="5691" spans="1:16" x14ac:dyDescent="0.25">
      <c r="A5691" s="3" t="str">
        <f t="shared" ca="1" si="1675"/>
        <v/>
      </c>
      <c r="C5691" s="16"/>
      <c r="G5691" s="15">
        <f t="shared" ca="1" si="1680"/>
        <v>34</v>
      </c>
      <c r="H5691" s="15">
        <v>1</v>
      </c>
      <c r="I5691" s="15">
        <f t="shared" ca="1" si="1681"/>
        <v>0</v>
      </c>
      <c r="J5691" s="15" t="str">
        <f t="shared" ca="1" si="1671"/>
        <v>'0'!A34</v>
      </c>
      <c r="K5691" s="15" t="str">
        <f t="shared" ca="1" si="1672"/>
        <v>'0'!B34</v>
      </c>
    </row>
    <row r="5692" spans="1:16" x14ac:dyDescent="0.25">
      <c r="A5692" s="3" t="str">
        <f t="shared" ca="1" si="1675"/>
        <v/>
      </c>
      <c r="G5692" s="15">
        <f t="shared" ca="1" si="1680"/>
        <v>35</v>
      </c>
      <c r="H5692" s="15">
        <v>1</v>
      </c>
      <c r="I5692" s="15">
        <f t="shared" ca="1" si="1681"/>
        <v>0</v>
      </c>
      <c r="J5692" s="15" t="str">
        <f t="shared" ca="1" si="1671"/>
        <v>'0'!A35</v>
      </c>
      <c r="K5692" s="15" t="str">
        <f t="shared" ca="1" si="1672"/>
        <v>'0'!B35</v>
      </c>
    </row>
    <row r="5693" spans="1:16" x14ac:dyDescent="0.25">
      <c r="A5693" s="3" t="str">
        <f t="shared" ca="1" si="1675"/>
        <v/>
      </c>
      <c r="G5693" s="15">
        <f t="shared" ca="1" si="1663"/>
        <v>36</v>
      </c>
      <c r="H5693" s="15">
        <v>1</v>
      </c>
      <c r="I5693" s="15">
        <f t="shared" ca="1" si="1664"/>
        <v>0</v>
      </c>
      <c r="J5693" s="15" t="str">
        <f t="shared" ca="1" si="1671"/>
        <v>'0'!A36</v>
      </c>
      <c r="K5693" s="15" t="str">
        <f t="shared" ca="1" si="1672"/>
        <v>'0'!B36</v>
      </c>
    </row>
    <row r="5694" spans="1:16" x14ac:dyDescent="0.25">
      <c r="A5694" s="3" t="str">
        <f t="shared" ca="1" si="1675"/>
        <v/>
      </c>
      <c r="G5694" s="15">
        <f t="shared" ca="1" si="1663"/>
        <v>37</v>
      </c>
      <c r="H5694" s="15">
        <v>1</v>
      </c>
      <c r="I5694" s="15">
        <f t="shared" ca="1" si="1664"/>
        <v>0</v>
      </c>
      <c r="J5694" s="15" t="str">
        <f t="shared" ca="1" si="1671"/>
        <v>'0'!A37</v>
      </c>
      <c r="K5694" s="15" t="str">
        <f t="shared" ca="1" si="1672"/>
        <v>'0'!B37</v>
      </c>
    </row>
    <row r="5695" spans="1:16" x14ac:dyDescent="0.25">
      <c r="A5695" s="3" t="str">
        <f t="shared" ca="1" si="1675"/>
        <v/>
      </c>
      <c r="G5695" s="15">
        <f t="shared" ca="1" si="1663"/>
        <v>38</v>
      </c>
      <c r="H5695" s="15">
        <v>1</v>
      </c>
      <c r="I5695" s="15">
        <f t="shared" ca="1" si="1664"/>
        <v>0</v>
      </c>
      <c r="J5695" s="15" t="str">
        <f t="shared" ca="1" si="1671"/>
        <v>'0'!A38</v>
      </c>
      <c r="K5695" s="15" t="str">
        <f t="shared" ca="1" si="1672"/>
        <v>'0'!B38</v>
      </c>
    </row>
    <row r="5696" spans="1:16" x14ac:dyDescent="0.25">
      <c r="A5696" s="3" t="str">
        <f t="shared" ca="1" si="1675"/>
        <v/>
      </c>
      <c r="G5696" s="15">
        <f t="shared" ca="1" si="1663"/>
        <v>39</v>
      </c>
      <c r="H5696" s="15">
        <v>1</v>
      </c>
      <c r="I5696" s="15">
        <f t="shared" ca="1" si="1664"/>
        <v>0</v>
      </c>
      <c r="J5696" s="15" t="str">
        <f t="shared" ca="1" si="1671"/>
        <v>'0'!A39</v>
      </c>
      <c r="K5696" s="15" t="str">
        <f t="shared" ca="1" si="1672"/>
        <v>'0'!B39</v>
      </c>
    </row>
    <row r="5697" spans="1:16" x14ac:dyDescent="0.25">
      <c r="A5697" s="3" t="str">
        <f t="shared" ca="1" si="1675"/>
        <v/>
      </c>
      <c r="G5697" s="15">
        <f t="shared" ca="1" si="1663"/>
        <v>40</v>
      </c>
      <c r="H5697" s="15">
        <v>1</v>
      </c>
      <c r="I5697" s="15">
        <f t="shared" ca="1" si="1664"/>
        <v>0</v>
      </c>
      <c r="J5697" s="15" t="str">
        <f t="shared" ca="1" si="1671"/>
        <v>'0'!A40</v>
      </c>
      <c r="K5697" s="15" t="str">
        <f t="shared" ca="1" si="1672"/>
        <v>'0'!B40</v>
      </c>
    </row>
    <row r="5698" spans="1:16" x14ac:dyDescent="0.25">
      <c r="A5698" s="3" t="str">
        <f t="shared" ca="1" si="1675"/>
        <v/>
      </c>
      <c r="G5698" s="15">
        <f t="shared" ca="1" si="1663"/>
        <v>41</v>
      </c>
      <c r="H5698" s="15">
        <v>1</v>
      </c>
      <c r="I5698" s="15">
        <f t="shared" ca="1" si="1664"/>
        <v>0</v>
      </c>
      <c r="J5698" s="15" t="str">
        <f t="shared" ca="1" si="1671"/>
        <v>'0'!A41</v>
      </c>
      <c r="K5698" s="15" t="str">
        <f t="shared" ca="1" si="1672"/>
        <v>'0'!B41</v>
      </c>
    </row>
    <row r="5699" spans="1:16" x14ac:dyDescent="0.25">
      <c r="A5699" s="3" t="str">
        <f t="shared" ca="1" si="1675"/>
        <v/>
      </c>
      <c r="C5699" s="16"/>
      <c r="G5699" s="15">
        <f t="shared" ca="1" si="1663"/>
        <v>42</v>
      </c>
      <c r="H5699" s="15">
        <v>1</v>
      </c>
      <c r="I5699" s="15">
        <f t="shared" ca="1" si="1664"/>
        <v>0</v>
      </c>
      <c r="J5699" s="15" t="str">
        <f t="shared" ca="1" si="1671"/>
        <v>'0'!A42</v>
      </c>
      <c r="K5699" s="15" t="str">
        <f t="shared" ca="1" si="1672"/>
        <v>'0'!B42</v>
      </c>
    </row>
    <row r="5700" spans="1:16" x14ac:dyDescent="0.25">
      <c r="A5700" s="3" t="str">
        <f t="shared" ca="1" si="1675"/>
        <v/>
      </c>
      <c r="G5700" s="15">
        <f t="shared" ca="1" si="1663"/>
        <v>43</v>
      </c>
      <c r="H5700" s="15">
        <v>1</v>
      </c>
      <c r="I5700" s="15">
        <f t="shared" ca="1" si="1664"/>
        <v>0</v>
      </c>
      <c r="J5700" s="15" t="str">
        <f t="shared" ca="1" si="1671"/>
        <v>'0'!A43</v>
      </c>
      <c r="K5700" s="15" t="str">
        <f t="shared" ca="1" si="1672"/>
        <v>'0'!B43</v>
      </c>
    </row>
    <row r="5701" spans="1:16" x14ac:dyDescent="0.25">
      <c r="A5701" s="3" t="str">
        <f t="shared" ca="1" si="1675"/>
        <v/>
      </c>
      <c r="G5701" s="15">
        <f t="shared" ca="1" si="1663"/>
        <v>44</v>
      </c>
      <c r="H5701" s="15">
        <v>1</v>
      </c>
      <c r="I5701" s="15">
        <f t="shared" ca="1" si="1664"/>
        <v>0</v>
      </c>
      <c r="J5701" s="15" t="str">
        <f t="shared" ca="1" si="1671"/>
        <v>'0'!A44</v>
      </c>
      <c r="K5701" s="15" t="str">
        <f t="shared" ca="1" si="1672"/>
        <v>'0'!B44</v>
      </c>
    </row>
    <row r="5702" spans="1:16" x14ac:dyDescent="0.25">
      <c r="A5702" s="3" t="str">
        <f t="shared" ca="1" si="1675"/>
        <v/>
      </c>
      <c r="G5702" s="15">
        <f t="shared" ca="1" si="1663"/>
        <v>45</v>
      </c>
      <c r="H5702" s="15">
        <v>1</v>
      </c>
      <c r="I5702" s="15">
        <f t="shared" ca="1" si="1664"/>
        <v>0</v>
      </c>
      <c r="J5702" s="15" t="str">
        <f t="shared" ca="1" si="1671"/>
        <v>'0'!A45</v>
      </c>
      <c r="K5702" s="15" t="str">
        <f t="shared" ca="1" si="1672"/>
        <v>'0'!B45</v>
      </c>
    </row>
    <row r="5703" spans="1:16" x14ac:dyDescent="0.25">
      <c r="A5703" s="3" t="str">
        <f t="shared" ca="1" si="1675"/>
        <v/>
      </c>
      <c r="G5703" s="15">
        <f t="shared" ca="1" si="1663"/>
        <v>46</v>
      </c>
      <c r="H5703" s="15">
        <v>1</v>
      </c>
      <c r="I5703" s="15">
        <f t="shared" ca="1" si="1664"/>
        <v>0</v>
      </c>
      <c r="J5703" s="15" t="str">
        <f t="shared" ca="1" si="1671"/>
        <v>'0'!A46</v>
      </c>
      <c r="K5703" s="15" t="str">
        <f t="shared" ca="1" si="1672"/>
        <v>'0'!B46</v>
      </c>
    </row>
    <row r="5704" spans="1:16" x14ac:dyDescent="0.25">
      <c r="A5704" s="3" t="str">
        <f t="shared" ca="1" si="1675"/>
        <v/>
      </c>
      <c r="G5704" s="15">
        <f t="shared" ca="1" si="1663"/>
        <v>47</v>
      </c>
      <c r="H5704" s="15">
        <v>1</v>
      </c>
      <c r="I5704" s="15">
        <f t="shared" ca="1" si="1664"/>
        <v>0</v>
      </c>
      <c r="J5704" s="15" t="str">
        <f t="shared" ca="1" si="1671"/>
        <v>'0'!A47</v>
      </c>
      <c r="K5704" s="15" t="str">
        <f t="shared" ca="1" si="1672"/>
        <v>'0'!B47</v>
      </c>
    </row>
    <row r="5705" spans="1:16" x14ac:dyDescent="0.25">
      <c r="A5705" s="3" t="str">
        <f t="shared" ca="1" si="1675"/>
        <v/>
      </c>
      <c r="G5705" s="15">
        <f t="shared" ref="G5705:G5767" ca="1" si="1682">G5704+1</f>
        <v>48</v>
      </c>
      <c r="H5705" s="15">
        <v>1</v>
      </c>
      <c r="I5705" s="15">
        <f t="shared" ref="I5705:I5767" ca="1" si="1683">I5704</f>
        <v>0</v>
      </c>
      <c r="J5705" s="15" t="str">
        <f t="shared" ca="1" si="1671"/>
        <v>'0'!A48</v>
      </c>
      <c r="K5705" s="15" t="str">
        <f t="shared" ca="1" si="1672"/>
        <v>'0'!B48</v>
      </c>
    </row>
    <row r="5706" spans="1:16" x14ac:dyDescent="0.25">
      <c r="A5706" s="3" t="str">
        <f t="shared" ca="1" si="1675"/>
        <v/>
      </c>
      <c r="G5706" s="15">
        <f t="shared" ca="1" si="1682"/>
        <v>49</v>
      </c>
      <c r="H5706" s="15">
        <v>1</v>
      </c>
      <c r="I5706" s="15">
        <f t="shared" ca="1" si="1683"/>
        <v>0</v>
      </c>
      <c r="J5706" s="15" t="str">
        <f t="shared" ca="1" si="1671"/>
        <v>'0'!A49</v>
      </c>
      <c r="K5706" s="15" t="str">
        <f t="shared" ca="1" si="1672"/>
        <v>'0'!B49</v>
      </c>
    </row>
    <row r="5707" spans="1:16" x14ac:dyDescent="0.25">
      <c r="A5707" s="3" t="str">
        <f t="shared" ca="1" si="1675"/>
        <v/>
      </c>
      <c r="G5707" s="15">
        <f t="shared" ca="1" si="1682"/>
        <v>50</v>
      </c>
      <c r="H5707" s="15">
        <v>1</v>
      </c>
      <c r="I5707" s="15">
        <f t="shared" ca="1" si="1683"/>
        <v>0</v>
      </c>
      <c r="J5707" s="15" t="str">
        <f t="shared" ca="1" si="1671"/>
        <v>'0'!A50</v>
      </c>
      <c r="K5707" s="15" t="str">
        <f t="shared" ca="1" si="1672"/>
        <v>'0'!B50</v>
      </c>
    </row>
    <row r="5708" spans="1:16" x14ac:dyDescent="0.25">
      <c r="A5708" s="3" t="str">
        <f t="shared" ca="1" si="1675"/>
        <v/>
      </c>
      <c r="G5708" s="15">
        <f t="shared" ref="G5708" ca="1" si="1684">INDIRECT(M5708)</f>
        <v>31</v>
      </c>
      <c r="H5708" s="15">
        <v>1</v>
      </c>
      <c r="I5708" s="15">
        <f t="shared" ref="I5708" ca="1" si="1685">INDIRECT(N5708)</f>
        <v>0</v>
      </c>
      <c r="J5708" s="15" t="str">
        <f t="shared" ca="1" si="1671"/>
        <v>'0'!A31</v>
      </c>
      <c r="K5708" s="15" t="str">
        <f t="shared" ca="1" si="1672"/>
        <v>'0'!B31</v>
      </c>
      <c r="M5708" s="15" t="str">
        <f t="shared" ref="M5708" si="1686">ADDRESS(O5708,3,4,1,$R$1)</f>
        <v>konfig!C287</v>
      </c>
      <c r="N5708" s="15" t="str">
        <f t="shared" ref="N5708" si="1687">ADDRESS(O5708,1,4,1,$R$1)</f>
        <v>konfig!A287</v>
      </c>
      <c r="O5708" s="15">
        <v>287</v>
      </c>
      <c r="P5708" s="15">
        <v>4</v>
      </c>
    </row>
    <row r="5709" spans="1:16" x14ac:dyDescent="0.25">
      <c r="A5709" s="3" t="str">
        <f t="shared" ca="1" si="1675"/>
        <v/>
      </c>
      <c r="G5709" s="15">
        <f t="shared" ref="G5709:G5749" ca="1" si="1688">G5708+1</f>
        <v>32</v>
      </c>
      <c r="H5709" s="15">
        <v>1</v>
      </c>
      <c r="I5709" s="15">
        <f t="shared" ref="I5709:I5749" ca="1" si="1689">I5708</f>
        <v>0</v>
      </c>
      <c r="J5709" s="15" t="str">
        <f t="shared" ca="1" si="1671"/>
        <v>'0'!A32</v>
      </c>
      <c r="K5709" s="15" t="str">
        <f t="shared" ca="1" si="1672"/>
        <v>'0'!B32</v>
      </c>
    </row>
    <row r="5710" spans="1:16" x14ac:dyDescent="0.25">
      <c r="A5710" s="3" t="str">
        <f t="shared" ca="1" si="1675"/>
        <v/>
      </c>
      <c r="G5710" s="15">
        <f t="shared" ca="1" si="1682"/>
        <v>33</v>
      </c>
      <c r="H5710" s="15">
        <v>1</v>
      </c>
      <c r="I5710" s="15">
        <f t="shared" ca="1" si="1683"/>
        <v>0</v>
      </c>
      <c r="J5710" s="15" t="str">
        <f t="shared" ca="1" si="1671"/>
        <v>'0'!A33</v>
      </c>
      <c r="K5710" s="15" t="str">
        <f t="shared" ca="1" si="1672"/>
        <v>'0'!B33</v>
      </c>
    </row>
    <row r="5711" spans="1:16" x14ac:dyDescent="0.25">
      <c r="A5711" s="3" t="str">
        <f t="shared" ca="1" si="1675"/>
        <v/>
      </c>
      <c r="C5711" s="16"/>
      <c r="G5711" s="15">
        <f t="shared" ca="1" si="1682"/>
        <v>34</v>
      </c>
      <c r="H5711" s="15">
        <v>1</v>
      </c>
      <c r="I5711" s="15">
        <f t="shared" ca="1" si="1683"/>
        <v>0</v>
      </c>
      <c r="J5711" s="15" t="str">
        <f t="shared" ca="1" si="1671"/>
        <v>'0'!A34</v>
      </c>
      <c r="K5711" s="15" t="str">
        <f t="shared" ca="1" si="1672"/>
        <v>'0'!B34</v>
      </c>
    </row>
    <row r="5712" spans="1:16" x14ac:dyDescent="0.25">
      <c r="A5712" s="3" t="str">
        <f t="shared" ca="1" si="1675"/>
        <v/>
      </c>
      <c r="G5712" s="15">
        <f t="shared" ca="1" si="1682"/>
        <v>35</v>
      </c>
      <c r="H5712" s="15">
        <v>1</v>
      </c>
      <c r="I5712" s="15">
        <f t="shared" ca="1" si="1683"/>
        <v>0</v>
      </c>
      <c r="J5712" s="15" t="str">
        <f t="shared" ca="1" si="1671"/>
        <v>'0'!A35</v>
      </c>
      <c r="K5712" s="15" t="str">
        <f t="shared" ca="1" si="1672"/>
        <v>'0'!B35</v>
      </c>
    </row>
    <row r="5713" spans="1:16" x14ac:dyDescent="0.25">
      <c r="A5713" s="3" t="str">
        <f t="shared" ca="1" si="1675"/>
        <v/>
      </c>
      <c r="G5713" s="15">
        <f t="shared" ca="1" si="1682"/>
        <v>36</v>
      </c>
      <c r="H5713" s="15">
        <v>1</v>
      </c>
      <c r="I5713" s="15">
        <f t="shared" ca="1" si="1683"/>
        <v>0</v>
      </c>
      <c r="J5713" s="15" t="str">
        <f t="shared" ca="1" si="1671"/>
        <v>'0'!A36</v>
      </c>
      <c r="K5713" s="15" t="str">
        <f t="shared" ca="1" si="1672"/>
        <v>'0'!B36</v>
      </c>
    </row>
    <row r="5714" spans="1:16" x14ac:dyDescent="0.25">
      <c r="A5714" s="3" t="str">
        <f t="shared" ca="1" si="1675"/>
        <v/>
      </c>
      <c r="G5714" s="15">
        <f t="shared" ca="1" si="1682"/>
        <v>37</v>
      </c>
      <c r="H5714" s="15">
        <v>1</v>
      </c>
      <c r="I5714" s="15">
        <f t="shared" ca="1" si="1683"/>
        <v>0</v>
      </c>
      <c r="J5714" s="15" t="str">
        <f t="shared" ca="1" si="1671"/>
        <v>'0'!A37</v>
      </c>
      <c r="K5714" s="15" t="str">
        <f t="shared" ca="1" si="1672"/>
        <v>'0'!B37</v>
      </c>
    </row>
    <row r="5715" spans="1:16" x14ac:dyDescent="0.25">
      <c r="A5715" s="3" t="str">
        <f t="shared" ca="1" si="1675"/>
        <v/>
      </c>
      <c r="G5715" s="15">
        <f t="shared" ca="1" si="1682"/>
        <v>38</v>
      </c>
      <c r="H5715" s="15">
        <v>1</v>
      </c>
      <c r="I5715" s="15">
        <f t="shared" ca="1" si="1683"/>
        <v>0</v>
      </c>
      <c r="J5715" s="15" t="str">
        <f t="shared" ca="1" si="1671"/>
        <v>'0'!A38</v>
      </c>
      <c r="K5715" s="15" t="str">
        <f t="shared" ca="1" si="1672"/>
        <v>'0'!B38</v>
      </c>
    </row>
    <row r="5716" spans="1:16" x14ac:dyDescent="0.25">
      <c r="A5716" s="3" t="str">
        <f t="shared" ca="1" si="1675"/>
        <v/>
      </c>
      <c r="G5716" s="15">
        <f t="shared" ca="1" si="1682"/>
        <v>39</v>
      </c>
      <c r="H5716" s="15">
        <v>1</v>
      </c>
      <c r="I5716" s="15">
        <f t="shared" ca="1" si="1683"/>
        <v>0</v>
      </c>
      <c r="J5716" s="15" t="str">
        <f t="shared" ca="1" si="1671"/>
        <v>'0'!A39</v>
      </c>
      <c r="K5716" s="15" t="str">
        <f t="shared" ca="1" si="1672"/>
        <v>'0'!B39</v>
      </c>
    </row>
    <row r="5717" spans="1:16" x14ac:dyDescent="0.25">
      <c r="A5717" s="3" t="str">
        <f t="shared" ca="1" si="1675"/>
        <v/>
      </c>
      <c r="G5717" s="15">
        <f t="shared" ca="1" si="1682"/>
        <v>40</v>
      </c>
      <c r="H5717" s="15">
        <v>1</v>
      </c>
      <c r="I5717" s="15">
        <f t="shared" ca="1" si="1683"/>
        <v>0</v>
      </c>
      <c r="J5717" s="15" t="str">
        <f t="shared" ca="1" si="1671"/>
        <v>'0'!A40</v>
      </c>
      <c r="K5717" s="15" t="str">
        <f t="shared" ca="1" si="1672"/>
        <v>'0'!B40</v>
      </c>
    </row>
    <row r="5718" spans="1:16" x14ac:dyDescent="0.25">
      <c r="A5718" s="3" t="str">
        <f t="shared" ca="1" si="1675"/>
        <v/>
      </c>
      <c r="G5718" s="15">
        <f t="shared" ca="1" si="1682"/>
        <v>41</v>
      </c>
      <c r="H5718" s="15">
        <v>1</v>
      </c>
      <c r="I5718" s="15">
        <f t="shared" ca="1" si="1683"/>
        <v>0</v>
      </c>
      <c r="J5718" s="15" t="str">
        <f t="shared" ca="1" si="1671"/>
        <v>'0'!A41</v>
      </c>
      <c r="K5718" s="15" t="str">
        <f t="shared" ca="1" si="1672"/>
        <v>'0'!B41</v>
      </c>
    </row>
    <row r="5719" spans="1:16" x14ac:dyDescent="0.25">
      <c r="A5719" s="3" t="str">
        <f t="shared" ca="1" si="1675"/>
        <v/>
      </c>
      <c r="C5719" s="16"/>
      <c r="G5719" s="15">
        <f t="shared" ca="1" si="1682"/>
        <v>42</v>
      </c>
      <c r="H5719" s="15">
        <v>1</v>
      </c>
      <c r="I5719" s="15">
        <f t="shared" ca="1" si="1683"/>
        <v>0</v>
      </c>
      <c r="J5719" s="15" t="str">
        <f t="shared" ca="1" si="1671"/>
        <v>'0'!A42</v>
      </c>
      <c r="K5719" s="15" t="str">
        <f t="shared" ca="1" si="1672"/>
        <v>'0'!B42</v>
      </c>
    </row>
    <row r="5720" spans="1:16" x14ac:dyDescent="0.25">
      <c r="A5720" s="3" t="str">
        <f t="shared" ca="1" si="1675"/>
        <v/>
      </c>
      <c r="G5720" s="15">
        <f t="shared" ca="1" si="1682"/>
        <v>43</v>
      </c>
      <c r="H5720" s="15">
        <v>1</v>
      </c>
      <c r="I5720" s="15">
        <f t="shared" ca="1" si="1683"/>
        <v>0</v>
      </c>
      <c r="J5720" s="15" t="str">
        <f t="shared" ca="1" si="1671"/>
        <v>'0'!A43</v>
      </c>
      <c r="K5720" s="15" t="str">
        <f t="shared" ca="1" si="1672"/>
        <v>'0'!B43</v>
      </c>
    </row>
    <row r="5721" spans="1:16" x14ac:dyDescent="0.25">
      <c r="A5721" s="3" t="str">
        <f t="shared" ca="1" si="1675"/>
        <v/>
      </c>
      <c r="G5721" s="15">
        <f t="shared" ca="1" si="1682"/>
        <v>44</v>
      </c>
      <c r="H5721" s="15">
        <v>1</v>
      </c>
      <c r="I5721" s="15">
        <f t="shared" ca="1" si="1683"/>
        <v>0</v>
      </c>
      <c r="J5721" s="15" t="str">
        <f t="shared" ca="1" si="1671"/>
        <v>'0'!A44</v>
      </c>
      <c r="K5721" s="15" t="str">
        <f t="shared" ca="1" si="1672"/>
        <v>'0'!B44</v>
      </c>
    </row>
    <row r="5722" spans="1:16" x14ac:dyDescent="0.25">
      <c r="A5722" s="3" t="str">
        <f t="shared" ca="1" si="1675"/>
        <v/>
      </c>
      <c r="G5722" s="15">
        <f t="shared" ca="1" si="1682"/>
        <v>45</v>
      </c>
      <c r="H5722" s="15">
        <v>1</v>
      </c>
      <c r="I5722" s="15">
        <f t="shared" ca="1" si="1683"/>
        <v>0</v>
      </c>
      <c r="J5722" s="15" t="str">
        <f t="shared" ca="1" si="1671"/>
        <v>'0'!A45</v>
      </c>
      <c r="K5722" s="15" t="str">
        <f t="shared" ca="1" si="1672"/>
        <v>'0'!B45</v>
      </c>
    </row>
    <row r="5723" spans="1:16" x14ac:dyDescent="0.25">
      <c r="A5723" s="3" t="str">
        <f t="shared" ca="1" si="1675"/>
        <v/>
      </c>
      <c r="G5723" s="15">
        <f t="shared" ca="1" si="1682"/>
        <v>46</v>
      </c>
      <c r="H5723" s="15">
        <v>1</v>
      </c>
      <c r="I5723" s="15">
        <f t="shared" ca="1" si="1683"/>
        <v>0</v>
      </c>
      <c r="J5723" s="15" t="str">
        <f t="shared" ca="1" si="1671"/>
        <v>'0'!A46</v>
      </c>
      <c r="K5723" s="15" t="str">
        <f t="shared" ca="1" si="1672"/>
        <v>'0'!B46</v>
      </c>
    </row>
    <row r="5724" spans="1:16" x14ac:dyDescent="0.25">
      <c r="A5724" s="3" t="str">
        <f t="shared" ca="1" si="1675"/>
        <v/>
      </c>
      <c r="G5724" s="15">
        <f t="shared" ca="1" si="1682"/>
        <v>47</v>
      </c>
      <c r="H5724" s="15">
        <v>1</v>
      </c>
      <c r="I5724" s="15">
        <f t="shared" ca="1" si="1683"/>
        <v>0</v>
      </c>
      <c r="J5724" s="15" t="str">
        <f t="shared" ca="1" si="1671"/>
        <v>'0'!A47</v>
      </c>
      <c r="K5724" s="15" t="str">
        <f t="shared" ca="1" si="1672"/>
        <v>'0'!B47</v>
      </c>
    </row>
    <row r="5725" spans="1:16" x14ac:dyDescent="0.25">
      <c r="A5725" s="3" t="str">
        <f t="shared" ca="1" si="1675"/>
        <v/>
      </c>
      <c r="G5725" s="15">
        <f t="shared" ca="1" si="1682"/>
        <v>48</v>
      </c>
      <c r="H5725" s="15">
        <v>1</v>
      </c>
      <c r="I5725" s="15">
        <f t="shared" ca="1" si="1683"/>
        <v>0</v>
      </c>
      <c r="J5725" s="15" t="str">
        <f t="shared" ca="1" si="1671"/>
        <v>'0'!A48</v>
      </c>
      <c r="K5725" s="15" t="str">
        <f t="shared" ca="1" si="1672"/>
        <v>'0'!B48</v>
      </c>
    </row>
    <row r="5726" spans="1:16" x14ac:dyDescent="0.25">
      <c r="A5726" s="3" t="str">
        <f t="shared" ca="1" si="1675"/>
        <v/>
      </c>
      <c r="G5726" s="15">
        <f t="shared" ca="1" si="1682"/>
        <v>49</v>
      </c>
      <c r="H5726" s="15">
        <v>1</v>
      </c>
      <c r="I5726" s="15">
        <f t="shared" ca="1" si="1683"/>
        <v>0</v>
      </c>
      <c r="J5726" s="15" t="str">
        <f t="shared" ca="1" si="1671"/>
        <v>'0'!A49</v>
      </c>
      <c r="K5726" s="15" t="str">
        <f t="shared" ca="1" si="1672"/>
        <v>'0'!B49</v>
      </c>
    </row>
    <row r="5727" spans="1:16" x14ac:dyDescent="0.25">
      <c r="A5727" s="3" t="str">
        <f t="shared" ca="1" si="1675"/>
        <v/>
      </c>
      <c r="G5727" s="15">
        <f t="shared" ca="1" si="1682"/>
        <v>50</v>
      </c>
      <c r="H5727" s="15">
        <v>1</v>
      </c>
      <c r="I5727" s="15">
        <f t="shared" ca="1" si="1683"/>
        <v>0</v>
      </c>
      <c r="J5727" s="15" t="str">
        <f t="shared" ca="1" si="1671"/>
        <v>'0'!A50</v>
      </c>
      <c r="K5727" s="15" t="str">
        <f t="shared" ca="1" si="1672"/>
        <v>'0'!B50</v>
      </c>
    </row>
    <row r="5728" spans="1:16" x14ac:dyDescent="0.25">
      <c r="A5728" s="3" t="str">
        <f t="shared" ca="1" si="1675"/>
        <v/>
      </c>
      <c r="G5728" s="15">
        <f t="shared" ref="G5728" ca="1" si="1690">INDIRECT(M5728)</f>
        <v>31</v>
      </c>
      <c r="H5728" s="15">
        <v>1</v>
      </c>
      <c r="I5728" s="15">
        <f t="shared" ref="I5728" ca="1" si="1691">INDIRECT(N5728)</f>
        <v>0</v>
      </c>
      <c r="J5728" s="15" t="str">
        <f t="shared" ca="1" si="1671"/>
        <v>'0'!A31</v>
      </c>
      <c r="K5728" s="15" t="str">
        <f t="shared" ca="1" si="1672"/>
        <v>'0'!B31</v>
      </c>
      <c r="M5728" s="15" t="str">
        <f t="shared" ref="M5728" si="1692">ADDRESS(O5728,3,4,1,$R$1)</f>
        <v>konfig!C288</v>
      </c>
      <c r="N5728" s="15" t="str">
        <f t="shared" ref="N5728" si="1693">ADDRESS(O5728,1,4,1,$R$1)</f>
        <v>konfig!A288</v>
      </c>
      <c r="O5728" s="15">
        <v>288</v>
      </c>
      <c r="P5728" s="15">
        <v>4</v>
      </c>
    </row>
    <row r="5729" spans="1:11" x14ac:dyDescent="0.25">
      <c r="A5729" s="3" t="str">
        <f t="shared" ca="1" si="1675"/>
        <v/>
      </c>
      <c r="G5729" s="15">
        <f t="shared" ca="1" si="1680"/>
        <v>32</v>
      </c>
      <c r="H5729" s="15">
        <v>1</v>
      </c>
      <c r="I5729" s="15">
        <f t="shared" ca="1" si="1681"/>
        <v>0</v>
      </c>
      <c r="J5729" s="15" t="str">
        <f t="shared" ca="1" si="1671"/>
        <v>'0'!A32</v>
      </c>
      <c r="K5729" s="15" t="str">
        <f t="shared" ca="1" si="1672"/>
        <v>'0'!B32</v>
      </c>
    </row>
    <row r="5730" spans="1:11" x14ac:dyDescent="0.25">
      <c r="A5730" s="3" t="str">
        <f t="shared" ca="1" si="1675"/>
        <v/>
      </c>
      <c r="G5730" s="15">
        <f t="shared" ca="1" si="1680"/>
        <v>33</v>
      </c>
      <c r="H5730" s="15">
        <v>1</v>
      </c>
      <c r="I5730" s="15">
        <f t="shared" ca="1" si="1681"/>
        <v>0</v>
      </c>
      <c r="J5730" s="15" t="str">
        <f t="shared" ca="1" si="1671"/>
        <v>'0'!A33</v>
      </c>
      <c r="K5730" s="15" t="str">
        <f t="shared" ca="1" si="1672"/>
        <v>'0'!B33</v>
      </c>
    </row>
    <row r="5731" spans="1:11" x14ac:dyDescent="0.25">
      <c r="A5731" s="3" t="str">
        <f t="shared" ca="1" si="1675"/>
        <v/>
      </c>
      <c r="C5731" s="16"/>
      <c r="G5731" s="15">
        <f t="shared" ca="1" si="1680"/>
        <v>34</v>
      </c>
      <c r="H5731" s="15">
        <v>1</v>
      </c>
      <c r="I5731" s="15">
        <f t="shared" ca="1" si="1681"/>
        <v>0</v>
      </c>
      <c r="J5731" s="15" t="str">
        <f t="shared" ca="1" si="1671"/>
        <v>'0'!A34</v>
      </c>
      <c r="K5731" s="15" t="str">
        <f t="shared" ca="1" si="1672"/>
        <v>'0'!B34</v>
      </c>
    </row>
    <row r="5732" spans="1:11" x14ac:dyDescent="0.25">
      <c r="A5732" s="3" t="str">
        <f t="shared" ca="1" si="1675"/>
        <v/>
      </c>
      <c r="G5732" s="15">
        <f t="shared" ca="1" si="1680"/>
        <v>35</v>
      </c>
      <c r="H5732" s="15">
        <v>1</v>
      </c>
      <c r="I5732" s="15">
        <f t="shared" ca="1" si="1681"/>
        <v>0</v>
      </c>
      <c r="J5732" s="15" t="str">
        <f t="shared" ref="J5732:J5795" ca="1" si="1694">ADDRESS(G5732,H5732,4,1,I5732)</f>
        <v>'0'!A35</v>
      </c>
      <c r="K5732" s="15" t="str">
        <f t="shared" ref="K5732:K5795" ca="1" si="1695">ADDRESS(G5732,H5732+1,4,1,I5732)</f>
        <v>'0'!B35</v>
      </c>
    </row>
    <row r="5733" spans="1:11" x14ac:dyDescent="0.25">
      <c r="A5733" s="3" t="str">
        <f t="shared" ca="1" si="1675"/>
        <v/>
      </c>
      <c r="G5733" s="15">
        <f t="shared" ca="1" si="1682"/>
        <v>36</v>
      </c>
      <c r="H5733" s="15">
        <v>1</v>
      </c>
      <c r="I5733" s="15">
        <f t="shared" ca="1" si="1683"/>
        <v>0</v>
      </c>
      <c r="J5733" s="15" t="str">
        <f t="shared" ca="1" si="1694"/>
        <v>'0'!A36</v>
      </c>
      <c r="K5733" s="15" t="str">
        <f t="shared" ca="1" si="1695"/>
        <v>'0'!B36</v>
      </c>
    </row>
    <row r="5734" spans="1:11" x14ac:dyDescent="0.25">
      <c r="A5734" s="3" t="str">
        <f t="shared" ca="1" si="1675"/>
        <v/>
      </c>
      <c r="G5734" s="15">
        <f t="shared" ca="1" si="1682"/>
        <v>37</v>
      </c>
      <c r="H5734" s="15">
        <v>1</v>
      </c>
      <c r="I5734" s="15">
        <f t="shared" ca="1" si="1683"/>
        <v>0</v>
      </c>
      <c r="J5734" s="15" t="str">
        <f t="shared" ca="1" si="1694"/>
        <v>'0'!A37</v>
      </c>
      <c r="K5734" s="15" t="str">
        <f t="shared" ca="1" si="1695"/>
        <v>'0'!B37</v>
      </c>
    </row>
    <row r="5735" spans="1:11" x14ac:dyDescent="0.25">
      <c r="A5735" s="3" t="str">
        <f t="shared" ca="1" si="1675"/>
        <v/>
      </c>
      <c r="G5735" s="15">
        <f t="shared" ca="1" si="1682"/>
        <v>38</v>
      </c>
      <c r="H5735" s="15">
        <v>1</v>
      </c>
      <c r="I5735" s="15">
        <f t="shared" ca="1" si="1683"/>
        <v>0</v>
      </c>
      <c r="J5735" s="15" t="str">
        <f t="shared" ca="1" si="1694"/>
        <v>'0'!A38</v>
      </c>
      <c r="K5735" s="15" t="str">
        <f t="shared" ca="1" si="1695"/>
        <v>'0'!B38</v>
      </c>
    </row>
    <row r="5736" spans="1:11" x14ac:dyDescent="0.25">
      <c r="A5736" s="3" t="str">
        <f t="shared" ca="1" si="1675"/>
        <v/>
      </c>
      <c r="G5736" s="15">
        <f t="shared" ca="1" si="1682"/>
        <v>39</v>
      </c>
      <c r="H5736" s="15">
        <v>1</v>
      </c>
      <c r="I5736" s="15">
        <f t="shared" ca="1" si="1683"/>
        <v>0</v>
      </c>
      <c r="J5736" s="15" t="str">
        <f t="shared" ca="1" si="1694"/>
        <v>'0'!A39</v>
      </c>
      <c r="K5736" s="15" t="str">
        <f t="shared" ca="1" si="1695"/>
        <v>'0'!B39</v>
      </c>
    </row>
    <row r="5737" spans="1:11" x14ac:dyDescent="0.25">
      <c r="A5737" s="3" t="str">
        <f t="shared" ca="1" si="1675"/>
        <v/>
      </c>
      <c r="G5737" s="15">
        <f t="shared" ca="1" si="1682"/>
        <v>40</v>
      </c>
      <c r="H5737" s="15">
        <v>1</v>
      </c>
      <c r="I5737" s="15">
        <f t="shared" ca="1" si="1683"/>
        <v>0</v>
      </c>
      <c r="J5737" s="15" t="str">
        <f t="shared" ca="1" si="1694"/>
        <v>'0'!A40</v>
      </c>
      <c r="K5737" s="15" t="str">
        <f t="shared" ca="1" si="1695"/>
        <v>'0'!B40</v>
      </c>
    </row>
    <row r="5738" spans="1:11" x14ac:dyDescent="0.25">
      <c r="A5738" s="3" t="str">
        <f t="shared" ca="1" si="1675"/>
        <v/>
      </c>
      <c r="G5738" s="15">
        <f t="shared" ca="1" si="1682"/>
        <v>41</v>
      </c>
      <c r="H5738" s="15">
        <v>1</v>
      </c>
      <c r="I5738" s="15">
        <f t="shared" ca="1" si="1683"/>
        <v>0</v>
      </c>
      <c r="J5738" s="15" t="str">
        <f t="shared" ca="1" si="1694"/>
        <v>'0'!A41</v>
      </c>
      <c r="K5738" s="15" t="str">
        <f t="shared" ca="1" si="1695"/>
        <v>'0'!B41</v>
      </c>
    </row>
    <row r="5739" spans="1:11" x14ac:dyDescent="0.25">
      <c r="A5739" s="3" t="str">
        <f t="shared" ca="1" si="1675"/>
        <v/>
      </c>
      <c r="C5739" s="16"/>
      <c r="G5739" s="15">
        <f t="shared" ca="1" si="1682"/>
        <v>42</v>
      </c>
      <c r="H5739" s="15">
        <v>1</v>
      </c>
      <c r="I5739" s="15">
        <f t="shared" ca="1" si="1683"/>
        <v>0</v>
      </c>
      <c r="J5739" s="15" t="str">
        <f t="shared" ca="1" si="1694"/>
        <v>'0'!A42</v>
      </c>
      <c r="K5739" s="15" t="str">
        <f t="shared" ca="1" si="1695"/>
        <v>'0'!B42</v>
      </c>
    </row>
    <row r="5740" spans="1:11" x14ac:dyDescent="0.25">
      <c r="A5740" s="3" t="str">
        <f t="shared" ref="A5740:A5803" ca="1" si="1696">IFERROR(IF(INDIRECT(J5740)&lt;&gt;"",CONCATENATE(INDIRECT(J5740)," = ",INDIRECT(K5740)," "),""),"")</f>
        <v/>
      </c>
      <c r="G5740" s="15">
        <f t="shared" ca="1" si="1682"/>
        <v>43</v>
      </c>
      <c r="H5740" s="15">
        <v>1</v>
      </c>
      <c r="I5740" s="15">
        <f t="shared" ca="1" si="1683"/>
        <v>0</v>
      </c>
      <c r="J5740" s="15" t="str">
        <f t="shared" ca="1" si="1694"/>
        <v>'0'!A43</v>
      </c>
      <c r="K5740" s="15" t="str">
        <f t="shared" ca="1" si="1695"/>
        <v>'0'!B43</v>
      </c>
    </row>
    <row r="5741" spans="1:11" x14ac:dyDescent="0.25">
      <c r="A5741" s="3" t="str">
        <f t="shared" ca="1" si="1696"/>
        <v/>
      </c>
      <c r="G5741" s="15">
        <f t="shared" ca="1" si="1682"/>
        <v>44</v>
      </c>
      <c r="H5741" s="15">
        <v>1</v>
      </c>
      <c r="I5741" s="15">
        <f t="shared" ca="1" si="1683"/>
        <v>0</v>
      </c>
      <c r="J5741" s="15" t="str">
        <f t="shared" ca="1" si="1694"/>
        <v>'0'!A44</v>
      </c>
      <c r="K5741" s="15" t="str">
        <f t="shared" ca="1" si="1695"/>
        <v>'0'!B44</v>
      </c>
    </row>
    <row r="5742" spans="1:11" x14ac:dyDescent="0.25">
      <c r="A5742" s="3" t="str">
        <f t="shared" ca="1" si="1696"/>
        <v/>
      </c>
      <c r="G5742" s="15">
        <f t="shared" ca="1" si="1682"/>
        <v>45</v>
      </c>
      <c r="H5742" s="15">
        <v>1</v>
      </c>
      <c r="I5742" s="15">
        <f t="shared" ca="1" si="1683"/>
        <v>0</v>
      </c>
      <c r="J5742" s="15" t="str">
        <f t="shared" ca="1" si="1694"/>
        <v>'0'!A45</v>
      </c>
      <c r="K5742" s="15" t="str">
        <f t="shared" ca="1" si="1695"/>
        <v>'0'!B45</v>
      </c>
    </row>
    <row r="5743" spans="1:11" x14ac:dyDescent="0.25">
      <c r="A5743" s="3" t="str">
        <f t="shared" ca="1" si="1696"/>
        <v/>
      </c>
      <c r="G5743" s="15">
        <f t="shared" ca="1" si="1682"/>
        <v>46</v>
      </c>
      <c r="H5743" s="15">
        <v>1</v>
      </c>
      <c r="I5743" s="15">
        <f t="shared" ca="1" si="1683"/>
        <v>0</v>
      </c>
      <c r="J5743" s="15" t="str">
        <f t="shared" ca="1" si="1694"/>
        <v>'0'!A46</v>
      </c>
      <c r="K5743" s="15" t="str">
        <f t="shared" ca="1" si="1695"/>
        <v>'0'!B46</v>
      </c>
    </row>
    <row r="5744" spans="1:11" x14ac:dyDescent="0.25">
      <c r="A5744" s="3" t="str">
        <f t="shared" ca="1" si="1696"/>
        <v/>
      </c>
      <c r="G5744" s="15">
        <f t="shared" ca="1" si="1682"/>
        <v>47</v>
      </c>
      <c r="H5744" s="15">
        <v>1</v>
      </c>
      <c r="I5744" s="15">
        <f t="shared" ca="1" si="1683"/>
        <v>0</v>
      </c>
      <c r="J5744" s="15" t="str">
        <f t="shared" ca="1" si="1694"/>
        <v>'0'!A47</v>
      </c>
      <c r="K5744" s="15" t="str">
        <f t="shared" ca="1" si="1695"/>
        <v>'0'!B47</v>
      </c>
    </row>
    <row r="5745" spans="1:16" x14ac:dyDescent="0.25">
      <c r="A5745" s="3" t="str">
        <f t="shared" ca="1" si="1696"/>
        <v/>
      </c>
      <c r="G5745" s="15">
        <f t="shared" ca="1" si="1682"/>
        <v>48</v>
      </c>
      <c r="H5745" s="15">
        <v>1</v>
      </c>
      <c r="I5745" s="15">
        <f t="shared" ca="1" si="1683"/>
        <v>0</v>
      </c>
      <c r="J5745" s="15" t="str">
        <f t="shared" ca="1" si="1694"/>
        <v>'0'!A48</v>
      </c>
      <c r="K5745" s="15" t="str">
        <f t="shared" ca="1" si="1695"/>
        <v>'0'!B48</v>
      </c>
    </row>
    <row r="5746" spans="1:16" x14ac:dyDescent="0.25">
      <c r="A5746" s="3" t="str">
        <f t="shared" ca="1" si="1696"/>
        <v/>
      </c>
      <c r="G5746" s="15">
        <f t="shared" ca="1" si="1682"/>
        <v>49</v>
      </c>
      <c r="H5746" s="15">
        <v>1</v>
      </c>
      <c r="I5746" s="15">
        <f t="shared" ca="1" si="1683"/>
        <v>0</v>
      </c>
      <c r="J5746" s="15" t="str">
        <f t="shared" ca="1" si="1694"/>
        <v>'0'!A49</v>
      </c>
      <c r="K5746" s="15" t="str">
        <f t="shared" ca="1" si="1695"/>
        <v>'0'!B49</v>
      </c>
    </row>
    <row r="5747" spans="1:16" x14ac:dyDescent="0.25">
      <c r="A5747" s="3" t="str">
        <f t="shared" ca="1" si="1696"/>
        <v/>
      </c>
      <c r="G5747" s="15">
        <f t="shared" ca="1" si="1682"/>
        <v>50</v>
      </c>
      <c r="H5747" s="15">
        <v>1</v>
      </c>
      <c r="I5747" s="15">
        <f t="shared" ca="1" si="1683"/>
        <v>0</v>
      </c>
      <c r="J5747" s="15" t="str">
        <f t="shared" ca="1" si="1694"/>
        <v>'0'!A50</v>
      </c>
      <c r="K5747" s="15" t="str">
        <f t="shared" ca="1" si="1695"/>
        <v>'0'!B50</v>
      </c>
    </row>
    <row r="5748" spans="1:16" x14ac:dyDescent="0.25">
      <c r="A5748" s="3" t="str">
        <f t="shared" ca="1" si="1696"/>
        <v/>
      </c>
      <c r="G5748" s="15">
        <f t="shared" ref="G5748" ca="1" si="1697">INDIRECT(M5748)</f>
        <v>31</v>
      </c>
      <c r="H5748" s="15">
        <v>1</v>
      </c>
      <c r="I5748" s="15">
        <f t="shared" ref="I5748" ca="1" si="1698">INDIRECT(N5748)</f>
        <v>0</v>
      </c>
      <c r="J5748" s="15" t="str">
        <f t="shared" ca="1" si="1694"/>
        <v>'0'!A31</v>
      </c>
      <c r="K5748" s="15" t="str">
        <f t="shared" ca="1" si="1695"/>
        <v>'0'!B31</v>
      </c>
      <c r="M5748" s="15" t="str">
        <f t="shared" ref="M5748" si="1699">ADDRESS(O5748,3,4,1,$R$1)</f>
        <v>konfig!C289</v>
      </c>
      <c r="N5748" s="15" t="str">
        <f t="shared" ref="N5748" si="1700">ADDRESS(O5748,1,4,1,$R$1)</f>
        <v>konfig!A289</v>
      </c>
      <c r="O5748" s="15">
        <v>289</v>
      </c>
      <c r="P5748" s="15">
        <v>4</v>
      </c>
    </row>
    <row r="5749" spans="1:16" x14ac:dyDescent="0.25">
      <c r="A5749" s="3" t="str">
        <f t="shared" ca="1" si="1696"/>
        <v/>
      </c>
      <c r="G5749" s="15">
        <f t="shared" ca="1" si="1688"/>
        <v>32</v>
      </c>
      <c r="H5749" s="15">
        <v>1</v>
      </c>
      <c r="I5749" s="15">
        <f t="shared" ca="1" si="1689"/>
        <v>0</v>
      </c>
      <c r="J5749" s="15" t="str">
        <f t="shared" ca="1" si="1694"/>
        <v>'0'!A32</v>
      </c>
      <c r="K5749" s="15" t="str">
        <f t="shared" ca="1" si="1695"/>
        <v>'0'!B32</v>
      </c>
    </row>
    <row r="5750" spans="1:16" x14ac:dyDescent="0.25">
      <c r="A5750" s="3" t="str">
        <f t="shared" ca="1" si="1696"/>
        <v/>
      </c>
      <c r="G5750" s="15">
        <f t="shared" ca="1" si="1682"/>
        <v>33</v>
      </c>
      <c r="H5750" s="15">
        <v>1</v>
      </c>
      <c r="I5750" s="15">
        <f t="shared" ca="1" si="1683"/>
        <v>0</v>
      </c>
      <c r="J5750" s="15" t="str">
        <f t="shared" ca="1" si="1694"/>
        <v>'0'!A33</v>
      </c>
      <c r="K5750" s="15" t="str">
        <f t="shared" ca="1" si="1695"/>
        <v>'0'!B33</v>
      </c>
    </row>
    <row r="5751" spans="1:16" x14ac:dyDescent="0.25">
      <c r="A5751" s="3" t="str">
        <f t="shared" ca="1" si="1696"/>
        <v/>
      </c>
      <c r="C5751" s="16"/>
      <c r="G5751" s="15">
        <f t="shared" ca="1" si="1682"/>
        <v>34</v>
      </c>
      <c r="H5751" s="15">
        <v>1</v>
      </c>
      <c r="I5751" s="15">
        <f t="shared" ca="1" si="1683"/>
        <v>0</v>
      </c>
      <c r="J5751" s="15" t="str">
        <f t="shared" ca="1" si="1694"/>
        <v>'0'!A34</v>
      </c>
      <c r="K5751" s="15" t="str">
        <f t="shared" ca="1" si="1695"/>
        <v>'0'!B34</v>
      </c>
    </row>
    <row r="5752" spans="1:16" x14ac:dyDescent="0.25">
      <c r="A5752" s="3" t="str">
        <f t="shared" ca="1" si="1696"/>
        <v/>
      </c>
      <c r="G5752" s="15">
        <f t="shared" ca="1" si="1682"/>
        <v>35</v>
      </c>
      <c r="H5752" s="15">
        <v>1</v>
      </c>
      <c r="I5752" s="15">
        <f t="shared" ca="1" si="1683"/>
        <v>0</v>
      </c>
      <c r="J5752" s="15" t="str">
        <f t="shared" ca="1" si="1694"/>
        <v>'0'!A35</v>
      </c>
      <c r="K5752" s="15" t="str">
        <f t="shared" ca="1" si="1695"/>
        <v>'0'!B35</v>
      </c>
    </row>
    <row r="5753" spans="1:16" x14ac:dyDescent="0.25">
      <c r="A5753" s="3" t="str">
        <f t="shared" ca="1" si="1696"/>
        <v/>
      </c>
      <c r="G5753" s="15">
        <f t="shared" ca="1" si="1682"/>
        <v>36</v>
      </c>
      <c r="H5753" s="15">
        <v>1</v>
      </c>
      <c r="I5753" s="15">
        <f t="shared" ca="1" si="1683"/>
        <v>0</v>
      </c>
      <c r="J5753" s="15" t="str">
        <f t="shared" ca="1" si="1694"/>
        <v>'0'!A36</v>
      </c>
      <c r="K5753" s="15" t="str">
        <f t="shared" ca="1" si="1695"/>
        <v>'0'!B36</v>
      </c>
    </row>
    <row r="5754" spans="1:16" x14ac:dyDescent="0.25">
      <c r="A5754" s="3" t="str">
        <f t="shared" ca="1" si="1696"/>
        <v/>
      </c>
      <c r="G5754" s="15">
        <f t="shared" ca="1" si="1682"/>
        <v>37</v>
      </c>
      <c r="H5754" s="15">
        <v>1</v>
      </c>
      <c r="I5754" s="15">
        <f t="shared" ca="1" si="1683"/>
        <v>0</v>
      </c>
      <c r="J5754" s="15" t="str">
        <f t="shared" ca="1" si="1694"/>
        <v>'0'!A37</v>
      </c>
      <c r="K5754" s="15" t="str">
        <f t="shared" ca="1" si="1695"/>
        <v>'0'!B37</v>
      </c>
    </row>
    <row r="5755" spans="1:16" x14ac:dyDescent="0.25">
      <c r="A5755" s="3" t="str">
        <f t="shared" ca="1" si="1696"/>
        <v/>
      </c>
      <c r="G5755" s="15">
        <f t="shared" ca="1" si="1682"/>
        <v>38</v>
      </c>
      <c r="H5755" s="15">
        <v>1</v>
      </c>
      <c r="I5755" s="15">
        <f t="shared" ca="1" si="1683"/>
        <v>0</v>
      </c>
      <c r="J5755" s="15" t="str">
        <f t="shared" ca="1" si="1694"/>
        <v>'0'!A38</v>
      </c>
      <c r="K5755" s="15" t="str">
        <f t="shared" ca="1" si="1695"/>
        <v>'0'!B38</v>
      </c>
    </row>
    <row r="5756" spans="1:16" x14ac:dyDescent="0.25">
      <c r="A5756" s="3" t="str">
        <f t="shared" ca="1" si="1696"/>
        <v/>
      </c>
      <c r="G5756" s="15">
        <f t="shared" ca="1" si="1682"/>
        <v>39</v>
      </c>
      <c r="H5756" s="15">
        <v>1</v>
      </c>
      <c r="I5756" s="15">
        <f t="shared" ca="1" si="1683"/>
        <v>0</v>
      </c>
      <c r="J5756" s="15" t="str">
        <f t="shared" ca="1" si="1694"/>
        <v>'0'!A39</v>
      </c>
      <c r="K5756" s="15" t="str">
        <f t="shared" ca="1" si="1695"/>
        <v>'0'!B39</v>
      </c>
    </row>
    <row r="5757" spans="1:16" x14ac:dyDescent="0.25">
      <c r="A5757" s="3" t="str">
        <f t="shared" ca="1" si="1696"/>
        <v/>
      </c>
      <c r="G5757" s="15">
        <f t="shared" ca="1" si="1682"/>
        <v>40</v>
      </c>
      <c r="H5757" s="15">
        <v>1</v>
      </c>
      <c r="I5757" s="15">
        <f t="shared" ca="1" si="1683"/>
        <v>0</v>
      </c>
      <c r="J5757" s="15" t="str">
        <f t="shared" ca="1" si="1694"/>
        <v>'0'!A40</v>
      </c>
      <c r="K5757" s="15" t="str">
        <f t="shared" ca="1" si="1695"/>
        <v>'0'!B40</v>
      </c>
    </row>
    <row r="5758" spans="1:16" x14ac:dyDescent="0.25">
      <c r="A5758" s="3" t="str">
        <f t="shared" ca="1" si="1696"/>
        <v/>
      </c>
      <c r="G5758" s="15">
        <f t="shared" ca="1" si="1682"/>
        <v>41</v>
      </c>
      <c r="H5758" s="15">
        <v>1</v>
      </c>
      <c r="I5758" s="15">
        <f t="shared" ca="1" si="1683"/>
        <v>0</v>
      </c>
      <c r="J5758" s="15" t="str">
        <f t="shared" ca="1" si="1694"/>
        <v>'0'!A41</v>
      </c>
      <c r="K5758" s="15" t="str">
        <f t="shared" ca="1" si="1695"/>
        <v>'0'!B41</v>
      </c>
    </row>
    <row r="5759" spans="1:16" x14ac:dyDescent="0.25">
      <c r="A5759" s="3" t="str">
        <f t="shared" ca="1" si="1696"/>
        <v/>
      </c>
      <c r="C5759" s="16"/>
      <c r="G5759" s="15">
        <f t="shared" ca="1" si="1682"/>
        <v>42</v>
      </c>
      <c r="H5759" s="15">
        <v>1</v>
      </c>
      <c r="I5759" s="15">
        <f t="shared" ca="1" si="1683"/>
        <v>0</v>
      </c>
      <c r="J5759" s="15" t="str">
        <f t="shared" ca="1" si="1694"/>
        <v>'0'!A42</v>
      </c>
      <c r="K5759" s="15" t="str">
        <f t="shared" ca="1" si="1695"/>
        <v>'0'!B42</v>
      </c>
    </row>
    <row r="5760" spans="1:16" x14ac:dyDescent="0.25">
      <c r="A5760" s="3" t="str">
        <f t="shared" ca="1" si="1696"/>
        <v/>
      </c>
      <c r="G5760" s="15">
        <f t="shared" ca="1" si="1682"/>
        <v>43</v>
      </c>
      <c r="H5760" s="15">
        <v>1</v>
      </c>
      <c r="I5760" s="15">
        <f t="shared" ca="1" si="1683"/>
        <v>0</v>
      </c>
      <c r="J5760" s="15" t="str">
        <f t="shared" ca="1" si="1694"/>
        <v>'0'!A43</v>
      </c>
      <c r="K5760" s="15" t="str">
        <f t="shared" ca="1" si="1695"/>
        <v>'0'!B43</v>
      </c>
    </row>
    <row r="5761" spans="1:16" x14ac:dyDescent="0.25">
      <c r="A5761" s="3" t="str">
        <f t="shared" ca="1" si="1696"/>
        <v/>
      </c>
      <c r="G5761" s="15">
        <f t="shared" ca="1" si="1682"/>
        <v>44</v>
      </c>
      <c r="H5761" s="15">
        <v>1</v>
      </c>
      <c r="I5761" s="15">
        <f t="shared" ca="1" si="1683"/>
        <v>0</v>
      </c>
      <c r="J5761" s="15" t="str">
        <f t="shared" ca="1" si="1694"/>
        <v>'0'!A44</v>
      </c>
      <c r="K5761" s="15" t="str">
        <f t="shared" ca="1" si="1695"/>
        <v>'0'!B44</v>
      </c>
    </row>
    <row r="5762" spans="1:16" x14ac:dyDescent="0.25">
      <c r="A5762" s="3" t="str">
        <f t="shared" ca="1" si="1696"/>
        <v/>
      </c>
      <c r="G5762" s="15">
        <f t="shared" ca="1" si="1682"/>
        <v>45</v>
      </c>
      <c r="H5762" s="15">
        <v>1</v>
      </c>
      <c r="I5762" s="15">
        <f t="shared" ca="1" si="1683"/>
        <v>0</v>
      </c>
      <c r="J5762" s="15" t="str">
        <f t="shared" ca="1" si="1694"/>
        <v>'0'!A45</v>
      </c>
      <c r="K5762" s="15" t="str">
        <f t="shared" ca="1" si="1695"/>
        <v>'0'!B45</v>
      </c>
    </row>
    <row r="5763" spans="1:16" x14ac:dyDescent="0.25">
      <c r="A5763" s="3" t="str">
        <f t="shared" ca="1" si="1696"/>
        <v/>
      </c>
      <c r="G5763" s="15">
        <f t="shared" ca="1" si="1682"/>
        <v>46</v>
      </c>
      <c r="H5763" s="15">
        <v>1</v>
      </c>
      <c r="I5763" s="15">
        <f t="shared" ca="1" si="1683"/>
        <v>0</v>
      </c>
      <c r="J5763" s="15" t="str">
        <f t="shared" ca="1" si="1694"/>
        <v>'0'!A46</v>
      </c>
      <c r="K5763" s="15" t="str">
        <f t="shared" ca="1" si="1695"/>
        <v>'0'!B46</v>
      </c>
    </row>
    <row r="5764" spans="1:16" x14ac:dyDescent="0.25">
      <c r="A5764" s="3" t="str">
        <f t="shared" ca="1" si="1696"/>
        <v/>
      </c>
      <c r="G5764" s="15">
        <f t="shared" ca="1" si="1682"/>
        <v>47</v>
      </c>
      <c r="H5764" s="15">
        <v>1</v>
      </c>
      <c r="I5764" s="15">
        <f t="shared" ca="1" si="1683"/>
        <v>0</v>
      </c>
      <c r="J5764" s="15" t="str">
        <f t="shared" ca="1" si="1694"/>
        <v>'0'!A47</v>
      </c>
      <c r="K5764" s="15" t="str">
        <f t="shared" ca="1" si="1695"/>
        <v>'0'!B47</v>
      </c>
    </row>
    <row r="5765" spans="1:16" x14ac:dyDescent="0.25">
      <c r="A5765" s="3" t="str">
        <f t="shared" ca="1" si="1696"/>
        <v/>
      </c>
      <c r="G5765" s="15">
        <f t="shared" ca="1" si="1682"/>
        <v>48</v>
      </c>
      <c r="H5765" s="15">
        <v>1</v>
      </c>
      <c r="I5765" s="15">
        <f t="shared" ca="1" si="1683"/>
        <v>0</v>
      </c>
      <c r="J5765" s="15" t="str">
        <f t="shared" ca="1" si="1694"/>
        <v>'0'!A48</v>
      </c>
      <c r="K5765" s="15" t="str">
        <f t="shared" ca="1" si="1695"/>
        <v>'0'!B48</v>
      </c>
    </row>
    <row r="5766" spans="1:16" x14ac:dyDescent="0.25">
      <c r="A5766" s="3" t="str">
        <f t="shared" ca="1" si="1696"/>
        <v/>
      </c>
      <c r="G5766" s="15">
        <f t="shared" ca="1" si="1682"/>
        <v>49</v>
      </c>
      <c r="H5766" s="15">
        <v>1</v>
      </c>
      <c r="I5766" s="15">
        <f t="shared" ca="1" si="1683"/>
        <v>0</v>
      </c>
      <c r="J5766" s="15" t="str">
        <f t="shared" ca="1" si="1694"/>
        <v>'0'!A49</v>
      </c>
      <c r="K5766" s="15" t="str">
        <f t="shared" ca="1" si="1695"/>
        <v>'0'!B49</v>
      </c>
    </row>
    <row r="5767" spans="1:16" x14ac:dyDescent="0.25">
      <c r="A5767" s="3" t="str">
        <f t="shared" ca="1" si="1696"/>
        <v/>
      </c>
      <c r="G5767" s="15">
        <f t="shared" ca="1" si="1682"/>
        <v>50</v>
      </c>
      <c r="H5767" s="15">
        <v>1</v>
      </c>
      <c r="I5767" s="15">
        <f t="shared" ca="1" si="1683"/>
        <v>0</v>
      </c>
      <c r="J5767" s="15" t="str">
        <f t="shared" ca="1" si="1694"/>
        <v>'0'!A50</v>
      </c>
      <c r="K5767" s="15" t="str">
        <f t="shared" ca="1" si="1695"/>
        <v>'0'!B50</v>
      </c>
    </row>
    <row r="5768" spans="1:16" x14ac:dyDescent="0.25">
      <c r="A5768" s="3" t="str">
        <f t="shared" ca="1" si="1696"/>
        <v/>
      </c>
      <c r="G5768" s="15">
        <f t="shared" ref="G5768" ca="1" si="1701">INDIRECT(M5768)</f>
        <v>31</v>
      </c>
      <c r="H5768" s="15">
        <v>1</v>
      </c>
      <c r="I5768" s="15">
        <f t="shared" ref="I5768" ca="1" si="1702">INDIRECT(N5768)</f>
        <v>0</v>
      </c>
      <c r="J5768" s="15" t="str">
        <f t="shared" ca="1" si="1694"/>
        <v>'0'!A31</v>
      </c>
      <c r="K5768" s="15" t="str">
        <f t="shared" ca="1" si="1695"/>
        <v>'0'!B31</v>
      </c>
      <c r="M5768" s="15" t="str">
        <f t="shared" ref="M5768" si="1703">ADDRESS(O5768,3,4,1,$R$1)</f>
        <v>konfig!C290</v>
      </c>
      <c r="N5768" s="15" t="str">
        <f t="shared" ref="N5768" si="1704">ADDRESS(O5768,1,4,1,$R$1)</f>
        <v>konfig!A290</v>
      </c>
      <c r="O5768" s="15">
        <v>290</v>
      </c>
      <c r="P5768" s="15">
        <v>4</v>
      </c>
    </row>
    <row r="5769" spans="1:16" x14ac:dyDescent="0.25">
      <c r="A5769" s="3" t="str">
        <f t="shared" ca="1" si="1696"/>
        <v/>
      </c>
      <c r="G5769" s="15">
        <f t="shared" ref="G5769:G5832" ca="1" si="1705">G5768+1</f>
        <v>32</v>
      </c>
      <c r="H5769" s="15">
        <v>1</v>
      </c>
      <c r="I5769" s="15">
        <f t="shared" ref="I5769:I5832" ca="1" si="1706">I5768</f>
        <v>0</v>
      </c>
      <c r="J5769" s="15" t="str">
        <f t="shared" ca="1" si="1694"/>
        <v>'0'!A32</v>
      </c>
      <c r="K5769" s="15" t="str">
        <f t="shared" ca="1" si="1695"/>
        <v>'0'!B32</v>
      </c>
    </row>
    <row r="5770" spans="1:16" x14ac:dyDescent="0.25">
      <c r="A5770" s="3" t="str">
        <f t="shared" ca="1" si="1696"/>
        <v/>
      </c>
      <c r="G5770" s="15">
        <f t="shared" ca="1" si="1705"/>
        <v>33</v>
      </c>
      <c r="H5770" s="15">
        <v>1</v>
      </c>
      <c r="I5770" s="15">
        <f t="shared" ca="1" si="1706"/>
        <v>0</v>
      </c>
      <c r="J5770" s="15" t="str">
        <f t="shared" ca="1" si="1694"/>
        <v>'0'!A33</v>
      </c>
      <c r="K5770" s="15" t="str">
        <f t="shared" ca="1" si="1695"/>
        <v>'0'!B33</v>
      </c>
    </row>
    <row r="5771" spans="1:16" x14ac:dyDescent="0.25">
      <c r="A5771" s="3" t="str">
        <f t="shared" ca="1" si="1696"/>
        <v/>
      </c>
      <c r="C5771" s="16"/>
      <c r="G5771" s="15">
        <f t="shared" ca="1" si="1705"/>
        <v>34</v>
      </c>
      <c r="H5771" s="15">
        <v>1</v>
      </c>
      <c r="I5771" s="15">
        <f t="shared" ca="1" si="1706"/>
        <v>0</v>
      </c>
      <c r="J5771" s="15" t="str">
        <f t="shared" ca="1" si="1694"/>
        <v>'0'!A34</v>
      </c>
      <c r="K5771" s="15" t="str">
        <f t="shared" ca="1" si="1695"/>
        <v>'0'!B34</v>
      </c>
    </row>
    <row r="5772" spans="1:16" x14ac:dyDescent="0.25">
      <c r="A5772" s="3" t="str">
        <f t="shared" ca="1" si="1696"/>
        <v/>
      </c>
      <c r="G5772" s="15">
        <f t="shared" ca="1" si="1705"/>
        <v>35</v>
      </c>
      <c r="H5772" s="15">
        <v>1</v>
      </c>
      <c r="I5772" s="15">
        <f t="shared" ca="1" si="1706"/>
        <v>0</v>
      </c>
      <c r="J5772" s="15" t="str">
        <f t="shared" ca="1" si="1694"/>
        <v>'0'!A35</v>
      </c>
      <c r="K5772" s="15" t="str">
        <f t="shared" ca="1" si="1695"/>
        <v>'0'!B35</v>
      </c>
    </row>
    <row r="5773" spans="1:16" x14ac:dyDescent="0.25">
      <c r="A5773" s="3" t="str">
        <f t="shared" ca="1" si="1696"/>
        <v/>
      </c>
      <c r="G5773" s="15">
        <f t="shared" ca="1" si="1705"/>
        <v>36</v>
      </c>
      <c r="H5773" s="15">
        <v>1</v>
      </c>
      <c r="I5773" s="15">
        <f t="shared" ca="1" si="1706"/>
        <v>0</v>
      </c>
      <c r="J5773" s="15" t="str">
        <f t="shared" ca="1" si="1694"/>
        <v>'0'!A36</v>
      </c>
      <c r="K5773" s="15" t="str">
        <f t="shared" ca="1" si="1695"/>
        <v>'0'!B36</v>
      </c>
    </row>
    <row r="5774" spans="1:16" x14ac:dyDescent="0.25">
      <c r="A5774" s="3" t="str">
        <f t="shared" ca="1" si="1696"/>
        <v/>
      </c>
      <c r="G5774" s="15">
        <f t="shared" ca="1" si="1705"/>
        <v>37</v>
      </c>
      <c r="H5774" s="15">
        <v>1</v>
      </c>
      <c r="I5774" s="15">
        <f t="shared" ca="1" si="1706"/>
        <v>0</v>
      </c>
      <c r="J5774" s="15" t="str">
        <f t="shared" ca="1" si="1694"/>
        <v>'0'!A37</v>
      </c>
      <c r="K5774" s="15" t="str">
        <f t="shared" ca="1" si="1695"/>
        <v>'0'!B37</v>
      </c>
    </row>
    <row r="5775" spans="1:16" x14ac:dyDescent="0.25">
      <c r="A5775" s="3" t="str">
        <f t="shared" ca="1" si="1696"/>
        <v/>
      </c>
      <c r="G5775" s="15">
        <f t="shared" ca="1" si="1705"/>
        <v>38</v>
      </c>
      <c r="H5775" s="15">
        <v>1</v>
      </c>
      <c r="I5775" s="15">
        <f t="shared" ca="1" si="1706"/>
        <v>0</v>
      </c>
      <c r="J5775" s="15" t="str">
        <f t="shared" ca="1" si="1694"/>
        <v>'0'!A38</v>
      </c>
      <c r="K5775" s="15" t="str">
        <f t="shared" ca="1" si="1695"/>
        <v>'0'!B38</v>
      </c>
    </row>
    <row r="5776" spans="1:16" x14ac:dyDescent="0.25">
      <c r="A5776" s="3" t="str">
        <f t="shared" ca="1" si="1696"/>
        <v/>
      </c>
      <c r="G5776" s="15">
        <f t="shared" ca="1" si="1705"/>
        <v>39</v>
      </c>
      <c r="H5776" s="15">
        <v>1</v>
      </c>
      <c r="I5776" s="15">
        <f t="shared" ca="1" si="1706"/>
        <v>0</v>
      </c>
      <c r="J5776" s="15" t="str">
        <f t="shared" ca="1" si="1694"/>
        <v>'0'!A39</v>
      </c>
      <c r="K5776" s="15" t="str">
        <f t="shared" ca="1" si="1695"/>
        <v>'0'!B39</v>
      </c>
    </row>
    <row r="5777" spans="1:16" x14ac:dyDescent="0.25">
      <c r="A5777" s="3" t="str">
        <f t="shared" ca="1" si="1696"/>
        <v/>
      </c>
      <c r="G5777" s="15">
        <f t="shared" ca="1" si="1705"/>
        <v>40</v>
      </c>
      <c r="H5777" s="15">
        <v>1</v>
      </c>
      <c r="I5777" s="15">
        <f t="shared" ca="1" si="1706"/>
        <v>0</v>
      </c>
      <c r="J5777" s="15" t="str">
        <f t="shared" ca="1" si="1694"/>
        <v>'0'!A40</v>
      </c>
      <c r="K5777" s="15" t="str">
        <f t="shared" ca="1" si="1695"/>
        <v>'0'!B40</v>
      </c>
    </row>
    <row r="5778" spans="1:16" x14ac:dyDescent="0.25">
      <c r="A5778" s="3" t="str">
        <f t="shared" ca="1" si="1696"/>
        <v/>
      </c>
      <c r="G5778" s="15">
        <f t="shared" ca="1" si="1705"/>
        <v>41</v>
      </c>
      <c r="H5778" s="15">
        <v>1</v>
      </c>
      <c r="I5778" s="15">
        <f t="shared" ca="1" si="1706"/>
        <v>0</v>
      </c>
      <c r="J5778" s="15" t="str">
        <f t="shared" ca="1" si="1694"/>
        <v>'0'!A41</v>
      </c>
      <c r="K5778" s="15" t="str">
        <f t="shared" ca="1" si="1695"/>
        <v>'0'!B41</v>
      </c>
    </row>
    <row r="5779" spans="1:16" x14ac:dyDescent="0.25">
      <c r="A5779" s="3" t="str">
        <f t="shared" ca="1" si="1696"/>
        <v/>
      </c>
      <c r="C5779" s="16"/>
      <c r="G5779" s="15">
        <f t="shared" ca="1" si="1705"/>
        <v>42</v>
      </c>
      <c r="H5779" s="15">
        <v>1</v>
      </c>
      <c r="I5779" s="15">
        <f t="shared" ca="1" si="1706"/>
        <v>0</v>
      </c>
      <c r="J5779" s="15" t="str">
        <f t="shared" ca="1" si="1694"/>
        <v>'0'!A42</v>
      </c>
      <c r="K5779" s="15" t="str">
        <f t="shared" ca="1" si="1695"/>
        <v>'0'!B42</v>
      </c>
    </row>
    <row r="5780" spans="1:16" x14ac:dyDescent="0.25">
      <c r="A5780" s="3" t="str">
        <f t="shared" ca="1" si="1696"/>
        <v/>
      </c>
      <c r="G5780" s="15">
        <f t="shared" ca="1" si="1705"/>
        <v>43</v>
      </c>
      <c r="H5780" s="15">
        <v>1</v>
      </c>
      <c r="I5780" s="15">
        <f t="shared" ca="1" si="1706"/>
        <v>0</v>
      </c>
      <c r="J5780" s="15" t="str">
        <f t="shared" ca="1" si="1694"/>
        <v>'0'!A43</v>
      </c>
      <c r="K5780" s="15" t="str">
        <f t="shared" ca="1" si="1695"/>
        <v>'0'!B43</v>
      </c>
    </row>
    <row r="5781" spans="1:16" x14ac:dyDescent="0.25">
      <c r="A5781" s="3" t="str">
        <f t="shared" ca="1" si="1696"/>
        <v/>
      </c>
      <c r="G5781" s="15">
        <f t="shared" ca="1" si="1705"/>
        <v>44</v>
      </c>
      <c r="H5781" s="15">
        <v>1</v>
      </c>
      <c r="I5781" s="15">
        <f t="shared" ca="1" si="1706"/>
        <v>0</v>
      </c>
      <c r="J5781" s="15" t="str">
        <f t="shared" ca="1" si="1694"/>
        <v>'0'!A44</v>
      </c>
      <c r="K5781" s="15" t="str">
        <f t="shared" ca="1" si="1695"/>
        <v>'0'!B44</v>
      </c>
    </row>
    <row r="5782" spans="1:16" x14ac:dyDescent="0.25">
      <c r="A5782" s="3" t="str">
        <f t="shared" ca="1" si="1696"/>
        <v/>
      </c>
      <c r="G5782" s="15">
        <f t="shared" ca="1" si="1705"/>
        <v>45</v>
      </c>
      <c r="H5782" s="15">
        <v>1</v>
      </c>
      <c r="I5782" s="15">
        <f t="shared" ca="1" si="1706"/>
        <v>0</v>
      </c>
      <c r="J5782" s="15" t="str">
        <f t="shared" ca="1" si="1694"/>
        <v>'0'!A45</v>
      </c>
      <c r="K5782" s="15" t="str">
        <f t="shared" ca="1" si="1695"/>
        <v>'0'!B45</v>
      </c>
    </row>
    <row r="5783" spans="1:16" x14ac:dyDescent="0.25">
      <c r="A5783" s="3" t="str">
        <f t="shared" ca="1" si="1696"/>
        <v/>
      </c>
      <c r="G5783" s="15">
        <f t="shared" ca="1" si="1705"/>
        <v>46</v>
      </c>
      <c r="H5783" s="15">
        <v>1</v>
      </c>
      <c r="I5783" s="15">
        <f t="shared" ca="1" si="1706"/>
        <v>0</v>
      </c>
      <c r="J5783" s="15" t="str">
        <f t="shared" ca="1" si="1694"/>
        <v>'0'!A46</v>
      </c>
      <c r="K5783" s="15" t="str">
        <f t="shared" ca="1" si="1695"/>
        <v>'0'!B46</v>
      </c>
    </row>
    <row r="5784" spans="1:16" x14ac:dyDescent="0.25">
      <c r="A5784" s="3" t="str">
        <f t="shared" ca="1" si="1696"/>
        <v/>
      </c>
      <c r="G5784" s="15">
        <f t="shared" ca="1" si="1705"/>
        <v>47</v>
      </c>
      <c r="H5784" s="15">
        <v>1</v>
      </c>
      <c r="I5784" s="15">
        <f t="shared" ca="1" si="1706"/>
        <v>0</v>
      </c>
      <c r="J5784" s="15" t="str">
        <f t="shared" ca="1" si="1694"/>
        <v>'0'!A47</v>
      </c>
      <c r="K5784" s="15" t="str">
        <f t="shared" ca="1" si="1695"/>
        <v>'0'!B47</v>
      </c>
    </row>
    <row r="5785" spans="1:16" x14ac:dyDescent="0.25">
      <c r="A5785" s="3" t="str">
        <f t="shared" ca="1" si="1696"/>
        <v/>
      </c>
      <c r="G5785" s="15">
        <f t="shared" ca="1" si="1705"/>
        <v>48</v>
      </c>
      <c r="H5785" s="15">
        <v>1</v>
      </c>
      <c r="I5785" s="15">
        <f t="shared" ca="1" si="1706"/>
        <v>0</v>
      </c>
      <c r="J5785" s="15" t="str">
        <f t="shared" ca="1" si="1694"/>
        <v>'0'!A48</v>
      </c>
      <c r="K5785" s="15" t="str">
        <f t="shared" ca="1" si="1695"/>
        <v>'0'!B48</v>
      </c>
    </row>
    <row r="5786" spans="1:16" x14ac:dyDescent="0.25">
      <c r="A5786" s="3" t="str">
        <f t="shared" ca="1" si="1696"/>
        <v/>
      </c>
      <c r="G5786" s="15">
        <f t="shared" ca="1" si="1705"/>
        <v>49</v>
      </c>
      <c r="H5786" s="15">
        <v>1</v>
      </c>
      <c r="I5786" s="15">
        <f t="shared" ca="1" si="1706"/>
        <v>0</v>
      </c>
      <c r="J5786" s="15" t="str">
        <f t="shared" ca="1" si="1694"/>
        <v>'0'!A49</v>
      </c>
      <c r="K5786" s="15" t="str">
        <f t="shared" ca="1" si="1695"/>
        <v>'0'!B49</v>
      </c>
    </row>
    <row r="5787" spans="1:16" x14ac:dyDescent="0.25">
      <c r="A5787" s="3" t="str">
        <f t="shared" ca="1" si="1696"/>
        <v/>
      </c>
      <c r="G5787" s="15">
        <f t="shared" ca="1" si="1705"/>
        <v>50</v>
      </c>
      <c r="H5787" s="15">
        <v>1</v>
      </c>
      <c r="I5787" s="15">
        <f t="shared" ca="1" si="1706"/>
        <v>0</v>
      </c>
      <c r="J5787" s="15" t="str">
        <f t="shared" ca="1" si="1694"/>
        <v>'0'!A50</v>
      </c>
      <c r="K5787" s="15" t="str">
        <f t="shared" ca="1" si="1695"/>
        <v>'0'!B50</v>
      </c>
    </row>
    <row r="5788" spans="1:16" x14ac:dyDescent="0.25">
      <c r="A5788" s="3" t="str">
        <f t="shared" ca="1" si="1696"/>
        <v/>
      </c>
      <c r="G5788" s="15">
        <f t="shared" ref="G5788" ca="1" si="1707">INDIRECT(M5788)</f>
        <v>31</v>
      </c>
      <c r="H5788" s="15">
        <v>1</v>
      </c>
      <c r="I5788" s="15">
        <f t="shared" ref="I5788" ca="1" si="1708">INDIRECT(N5788)</f>
        <v>0</v>
      </c>
      <c r="J5788" s="15" t="str">
        <f t="shared" ca="1" si="1694"/>
        <v>'0'!A31</v>
      </c>
      <c r="K5788" s="15" t="str">
        <f t="shared" ca="1" si="1695"/>
        <v>'0'!B31</v>
      </c>
      <c r="M5788" s="15" t="str">
        <f t="shared" ref="M5788" si="1709">ADDRESS(O5788,3,4,1,$R$1)</f>
        <v>konfig!C291</v>
      </c>
      <c r="N5788" s="15" t="str">
        <f t="shared" ref="N5788" si="1710">ADDRESS(O5788,1,4,1,$R$1)</f>
        <v>konfig!A291</v>
      </c>
      <c r="O5788" s="15">
        <v>291</v>
      </c>
      <c r="P5788" s="15">
        <v>4</v>
      </c>
    </row>
    <row r="5789" spans="1:16" x14ac:dyDescent="0.25">
      <c r="A5789" s="3" t="str">
        <f t="shared" ca="1" si="1696"/>
        <v/>
      </c>
      <c r="G5789" s="15">
        <f t="shared" ref="G5789:G5829" ca="1" si="1711">G5788+1</f>
        <v>32</v>
      </c>
      <c r="H5789" s="15">
        <v>1</v>
      </c>
      <c r="I5789" s="15">
        <f t="shared" ref="I5789:I5829" ca="1" si="1712">I5788</f>
        <v>0</v>
      </c>
      <c r="J5789" s="15" t="str">
        <f t="shared" ca="1" si="1694"/>
        <v>'0'!A32</v>
      </c>
      <c r="K5789" s="15" t="str">
        <f t="shared" ca="1" si="1695"/>
        <v>'0'!B32</v>
      </c>
    </row>
    <row r="5790" spans="1:16" x14ac:dyDescent="0.25">
      <c r="A5790" s="3" t="str">
        <f t="shared" ca="1" si="1696"/>
        <v/>
      </c>
      <c r="G5790" s="15">
        <f t="shared" ca="1" si="1705"/>
        <v>33</v>
      </c>
      <c r="H5790" s="15">
        <v>1</v>
      </c>
      <c r="I5790" s="15">
        <f t="shared" ca="1" si="1706"/>
        <v>0</v>
      </c>
      <c r="J5790" s="15" t="str">
        <f t="shared" ca="1" si="1694"/>
        <v>'0'!A33</v>
      </c>
      <c r="K5790" s="15" t="str">
        <f t="shared" ca="1" si="1695"/>
        <v>'0'!B33</v>
      </c>
    </row>
    <row r="5791" spans="1:16" x14ac:dyDescent="0.25">
      <c r="A5791" s="3" t="str">
        <f t="shared" ca="1" si="1696"/>
        <v/>
      </c>
      <c r="C5791" s="16"/>
      <c r="G5791" s="15">
        <f t="shared" ca="1" si="1705"/>
        <v>34</v>
      </c>
      <c r="H5791" s="15">
        <v>1</v>
      </c>
      <c r="I5791" s="15">
        <f t="shared" ca="1" si="1706"/>
        <v>0</v>
      </c>
      <c r="J5791" s="15" t="str">
        <f t="shared" ca="1" si="1694"/>
        <v>'0'!A34</v>
      </c>
      <c r="K5791" s="15" t="str">
        <f t="shared" ca="1" si="1695"/>
        <v>'0'!B34</v>
      </c>
    </row>
    <row r="5792" spans="1:16" x14ac:dyDescent="0.25">
      <c r="A5792" s="3" t="str">
        <f t="shared" ca="1" si="1696"/>
        <v/>
      </c>
      <c r="G5792" s="15">
        <f t="shared" ca="1" si="1705"/>
        <v>35</v>
      </c>
      <c r="H5792" s="15">
        <v>1</v>
      </c>
      <c r="I5792" s="15">
        <f t="shared" ca="1" si="1706"/>
        <v>0</v>
      </c>
      <c r="J5792" s="15" t="str">
        <f t="shared" ca="1" si="1694"/>
        <v>'0'!A35</v>
      </c>
      <c r="K5792" s="15" t="str">
        <f t="shared" ca="1" si="1695"/>
        <v>'0'!B35</v>
      </c>
    </row>
    <row r="5793" spans="1:16" x14ac:dyDescent="0.25">
      <c r="A5793" s="3" t="str">
        <f t="shared" ca="1" si="1696"/>
        <v/>
      </c>
      <c r="G5793" s="15">
        <f t="shared" ca="1" si="1705"/>
        <v>36</v>
      </c>
      <c r="H5793" s="15">
        <v>1</v>
      </c>
      <c r="I5793" s="15">
        <f t="shared" ca="1" si="1706"/>
        <v>0</v>
      </c>
      <c r="J5793" s="15" t="str">
        <f t="shared" ca="1" si="1694"/>
        <v>'0'!A36</v>
      </c>
      <c r="K5793" s="15" t="str">
        <f t="shared" ca="1" si="1695"/>
        <v>'0'!B36</v>
      </c>
    </row>
    <row r="5794" spans="1:16" x14ac:dyDescent="0.25">
      <c r="A5794" s="3" t="str">
        <f t="shared" ca="1" si="1696"/>
        <v/>
      </c>
      <c r="G5794" s="15">
        <f t="shared" ca="1" si="1705"/>
        <v>37</v>
      </c>
      <c r="H5794" s="15">
        <v>1</v>
      </c>
      <c r="I5794" s="15">
        <f t="shared" ca="1" si="1706"/>
        <v>0</v>
      </c>
      <c r="J5794" s="15" t="str">
        <f t="shared" ca="1" si="1694"/>
        <v>'0'!A37</v>
      </c>
      <c r="K5794" s="15" t="str">
        <f t="shared" ca="1" si="1695"/>
        <v>'0'!B37</v>
      </c>
    </row>
    <row r="5795" spans="1:16" x14ac:dyDescent="0.25">
      <c r="A5795" s="3" t="str">
        <f t="shared" ca="1" si="1696"/>
        <v/>
      </c>
      <c r="G5795" s="15">
        <f t="shared" ca="1" si="1705"/>
        <v>38</v>
      </c>
      <c r="H5795" s="15">
        <v>1</v>
      </c>
      <c r="I5795" s="15">
        <f t="shared" ca="1" si="1706"/>
        <v>0</v>
      </c>
      <c r="J5795" s="15" t="str">
        <f t="shared" ca="1" si="1694"/>
        <v>'0'!A38</v>
      </c>
      <c r="K5795" s="15" t="str">
        <f t="shared" ca="1" si="1695"/>
        <v>'0'!B38</v>
      </c>
    </row>
    <row r="5796" spans="1:16" x14ac:dyDescent="0.25">
      <c r="A5796" s="3" t="str">
        <f t="shared" ca="1" si="1696"/>
        <v/>
      </c>
      <c r="G5796" s="15">
        <f t="shared" ca="1" si="1705"/>
        <v>39</v>
      </c>
      <c r="H5796" s="15">
        <v>1</v>
      </c>
      <c r="I5796" s="15">
        <f t="shared" ca="1" si="1706"/>
        <v>0</v>
      </c>
      <c r="J5796" s="15" t="str">
        <f t="shared" ref="J5796:J5859" ca="1" si="1713">ADDRESS(G5796,H5796,4,1,I5796)</f>
        <v>'0'!A39</v>
      </c>
      <c r="K5796" s="15" t="str">
        <f t="shared" ref="K5796:K5859" ca="1" si="1714">ADDRESS(G5796,H5796+1,4,1,I5796)</f>
        <v>'0'!B39</v>
      </c>
    </row>
    <row r="5797" spans="1:16" x14ac:dyDescent="0.25">
      <c r="A5797" s="3" t="str">
        <f t="shared" ca="1" si="1696"/>
        <v/>
      </c>
      <c r="G5797" s="15">
        <f t="shared" ca="1" si="1705"/>
        <v>40</v>
      </c>
      <c r="H5797" s="15">
        <v>1</v>
      </c>
      <c r="I5797" s="15">
        <f t="shared" ca="1" si="1706"/>
        <v>0</v>
      </c>
      <c r="J5797" s="15" t="str">
        <f t="shared" ca="1" si="1713"/>
        <v>'0'!A40</v>
      </c>
      <c r="K5797" s="15" t="str">
        <f t="shared" ca="1" si="1714"/>
        <v>'0'!B40</v>
      </c>
    </row>
    <row r="5798" spans="1:16" x14ac:dyDescent="0.25">
      <c r="A5798" s="3" t="str">
        <f t="shared" ca="1" si="1696"/>
        <v/>
      </c>
      <c r="G5798" s="15">
        <f t="shared" ca="1" si="1705"/>
        <v>41</v>
      </c>
      <c r="H5798" s="15">
        <v>1</v>
      </c>
      <c r="I5798" s="15">
        <f t="shared" ca="1" si="1706"/>
        <v>0</v>
      </c>
      <c r="J5798" s="15" t="str">
        <f t="shared" ca="1" si="1713"/>
        <v>'0'!A41</v>
      </c>
      <c r="K5798" s="15" t="str">
        <f t="shared" ca="1" si="1714"/>
        <v>'0'!B41</v>
      </c>
    </row>
    <row r="5799" spans="1:16" x14ac:dyDescent="0.25">
      <c r="A5799" s="3" t="str">
        <f t="shared" ca="1" si="1696"/>
        <v/>
      </c>
      <c r="C5799" s="16"/>
      <c r="G5799" s="15">
        <f t="shared" ca="1" si="1705"/>
        <v>42</v>
      </c>
      <c r="H5799" s="15">
        <v>1</v>
      </c>
      <c r="I5799" s="15">
        <f t="shared" ca="1" si="1706"/>
        <v>0</v>
      </c>
      <c r="J5799" s="15" t="str">
        <f t="shared" ca="1" si="1713"/>
        <v>'0'!A42</v>
      </c>
      <c r="K5799" s="15" t="str">
        <f t="shared" ca="1" si="1714"/>
        <v>'0'!B42</v>
      </c>
    </row>
    <row r="5800" spans="1:16" x14ac:dyDescent="0.25">
      <c r="A5800" s="3" t="str">
        <f t="shared" ca="1" si="1696"/>
        <v/>
      </c>
      <c r="G5800" s="15">
        <f t="shared" ca="1" si="1705"/>
        <v>43</v>
      </c>
      <c r="H5800" s="15">
        <v>1</v>
      </c>
      <c r="I5800" s="15">
        <f t="shared" ca="1" si="1706"/>
        <v>0</v>
      </c>
      <c r="J5800" s="15" t="str">
        <f t="shared" ca="1" si="1713"/>
        <v>'0'!A43</v>
      </c>
      <c r="K5800" s="15" t="str">
        <f t="shared" ca="1" si="1714"/>
        <v>'0'!B43</v>
      </c>
    </row>
    <row r="5801" spans="1:16" x14ac:dyDescent="0.25">
      <c r="A5801" s="3" t="str">
        <f t="shared" ca="1" si="1696"/>
        <v/>
      </c>
      <c r="G5801" s="15">
        <f t="shared" ca="1" si="1705"/>
        <v>44</v>
      </c>
      <c r="H5801" s="15">
        <v>1</v>
      </c>
      <c r="I5801" s="15">
        <f t="shared" ca="1" si="1706"/>
        <v>0</v>
      </c>
      <c r="J5801" s="15" t="str">
        <f t="shared" ca="1" si="1713"/>
        <v>'0'!A44</v>
      </c>
      <c r="K5801" s="15" t="str">
        <f t="shared" ca="1" si="1714"/>
        <v>'0'!B44</v>
      </c>
    </row>
    <row r="5802" spans="1:16" x14ac:dyDescent="0.25">
      <c r="A5802" s="3" t="str">
        <f t="shared" ca="1" si="1696"/>
        <v/>
      </c>
      <c r="G5802" s="15">
        <f t="shared" ca="1" si="1705"/>
        <v>45</v>
      </c>
      <c r="H5802" s="15">
        <v>1</v>
      </c>
      <c r="I5802" s="15">
        <f t="shared" ca="1" si="1706"/>
        <v>0</v>
      </c>
      <c r="J5802" s="15" t="str">
        <f t="shared" ca="1" si="1713"/>
        <v>'0'!A45</v>
      </c>
      <c r="K5802" s="15" t="str">
        <f t="shared" ca="1" si="1714"/>
        <v>'0'!B45</v>
      </c>
    </row>
    <row r="5803" spans="1:16" x14ac:dyDescent="0.25">
      <c r="A5803" s="3" t="str">
        <f t="shared" ca="1" si="1696"/>
        <v/>
      </c>
      <c r="G5803" s="15">
        <f t="shared" ca="1" si="1705"/>
        <v>46</v>
      </c>
      <c r="H5803" s="15">
        <v>1</v>
      </c>
      <c r="I5803" s="15">
        <f t="shared" ca="1" si="1706"/>
        <v>0</v>
      </c>
      <c r="J5803" s="15" t="str">
        <f t="shared" ca="1" si="1713"/>
        <v>'0'!A46</v>
      </c>
      <c r="K5803" s="15" t="str">
        <f t="shared" ca="1" si="1714"/>
        <v>'0'!B46</v>
      </c>
    </row>
    <row r="5804" spans="1:16" x14ac:dyDescent="0.25">
      <c r="A5804" s="3" t="str">
        <f t="shared" ref="A5804:A5867" ca="1" si="1715">IFERROR(IF(INDIRECT(J5804)&lt;&gt;"",CONCATENATE(INDIRECT(J5804)," = ",INDIRECT(K5804)," "),""),"")</f>
        <v/>
      </c>
      <c r="G5804" s="15">
        <f t="shared" ca="1" si="1705"/>
        <v>47</v>
      </c>
      <c r="H5804" s="15">
        <v>1</v>
      </c>
      <c r="I5804" s="15">
        <f t="shared" ca="1" si="1706"/>
        <v>0</v>
      </c>
      <c r="J5804" s="15" t="str">
        <f t="shared" ca="1" si="1713"/>
        <v>'0'!A47</v>
      </c>
      <c r="K5804" s="15" t="str">
        <f t="shared" ca="1" si="1714"/>
        <v>'0'!B47</v>
      </c>
    </row>
    <row r="5805" spans="1:16" x14ac:dyDescent="0.25">
      <c r="A5805" s="3" t="str">
        <f t="shared" ca="1" si="1715"/>
        <v/>
      </c>
      <c r="G5805" s="15">
        <f t="shared" ca="1" si="1705"/>
        <v>48</v>
      </c>
      <c r="H5805" s="15">
        <v>1</v>
      </c>
      <c r="I5805" s="15">
        <f t="shared" ca="1" si="1706"/>
        <v>0</v>
      </c>
      <c r="J5805" s="15" t="str">
        <f t="shared" ca="1" si="1713"/>
        <v>'0'!A48</v>
      </c>
      <c r="K5805" s="15" t="str">
        <f t="shared" ca="1" si="1714"/>
        <v>'0'!B48</v>
      </c>
    </row>
    <row r="5806" spans="1:16" x14ac:dyDescent="0.25">
      <c r="A5806" s="3" t="str">
        <f t="shared" ca="1" si="1715"/>
        <v/>
      </c>
      <c r="G5806" s="15">
        <f t="shared" ca="1" si="1705"/>
        <v>49</v>
      </c>
      <c r="H5806" s="15">
        <v>1</v>
      </c>
      <c r="I5806" s="15">
        <f t="shared" ca="1" si="1706"/>
        <v>0</v>
      </c>
      <c r="J5806" s="15" t="str">
        <f t="shared" ca="1" si="1713"/>
        <v>'0'!A49</v>
      </c>
      <c r="K5806" s="15" t="str">
        <f t="shared" ca="1" si="1714"/>
        <v>'0'!B49</v>
      </c>
    </row>
    <row r="5807" spans="1:16" x14ac:dyDescent="0.25">
      <c r="A5807" s="3" t="str">
        <f t="shared" ca="1" si="1715"/>
        <v/>
      </c>
      <c r="G5807" s="15">
        <f t="shared" ca="1" si="1705"/>
        <v>50</v>
      </c>
      <c r="H5807" s="15">
        <v>1</v>
      </c>
      <c r="I5807" s="15">
        <f t="shared" ca="1" si="1706"/>
        <v>0</v>
      </c>
      <c r="J5807" s="15" t="str">
        <f t="shared" ca="1" si="1713"/>
        <v>'0'!A50</v>
      </c>
      <c r="K5807" s="15" t="str">
        <f t="shared" ca="1" si="1714"/>
        <v>'0'!B50</v>
      </c>
    </row>
    <row r="5808" spans="1:16" x14ac:dyDescent="0.25">
      <c r="A5808" s="3" t="str">
        <f t="shared" ca="1" si="1715"/>
        <v/>
      </c>
      <c r="G5808" s="15">
        <f t="shared" ref="G5808" ca="1" si="1716">INDIRECT(M5808)</f>
        <v>31</v>
      </c>
      <c r="H5808" s="15">
        <v>1</v>
      </c>
      <c r="I5808" s="15">
        <f t="shared" ref="I5808" ca="1" si="1717">INDIRECT(N5808)</f>
        <v>0</v>
      </c>
      <c r="J5808" s="15" t="str">
        <f t="shared" ca="1" si="1713"/>
        <v>'0'!A31</v>
      </c>
      <c r="K5808" s="15" t="str">
        <f t="shared" ca="1" si="1714"/>
        <v>'0'!B31</v>
      </c>
      <c r="M5808" s="15" t="str">
        <f t="shared" ref="M5808" si="1718">ADDRESS(O5808,3,4,1,$R$1)</f>
        <v>konfig!C292</v>
      </c>
      <c r="N5808" s="15" t="str">
        <f t="shared" ref="N5808" si="1719">ADDRESS(O5808,1,4,1,$R$1)</f>
        <v>konfig!A292</v>
      </c>
      <c r="O5808" s="15">
        <v>292</v>
      </c>
      <c r="P5808" s="15">
        <v>4</v>
      </c>
    </row>
    <row r="5809" spans="1:11" x14ac:dyDescent="0.25">
      <c r="A5809" s="3" t="str">
        <f t="shared" ca="1" si="1715"/>
        <v/>
      </c>
      <c r="G5809" s="15">
        <f t="shared" ca="1" si="1705"/>
        <v>32</v>
      </c>
      <c r="H5809" s="15">
        <v>1</v>
      </c>
      <c r="I5809" s="15">
        <f t="shared" ca="1" si="1706"/>
        <v>0</v>
      </c>
      <c r="J5809" s="15" t="str">
        <f t="shared" ca="1" si="1713"/>
        <v>'0'!A32</v>
      </c>
      <c r="K5809" s="15" t="str">
        <f t="shared" ca="1" si="1714"/>
        <v>'0'!B32</v>
      </c>
    </row>
    <row r="5810" spans="1:11" x14ac:dyDescent="0.25">
      <c r="A5810" s="3" t="str">
        <f t="shared" ca="1" si="1715"/>
        <v/>
      </c>
      <c r="G5810" s="15">
        <f t="shared" ca="1" si="1705"/>
        <v>33</v>
      </c>
      <c r="H5810" s="15">
        <v>1</v>
      </c>
      <c r="I5810" s="15">
        <f t="shared" ca="1" si="1706"/>
        <v>0</v>
      </c>
      <c r="J5810" s="15" t="str">
        <f t="shared" ca="1" si="1713"/>
        <v>'0'!A33</v>
      </c>
      <c r="K5810" s="15" t="str">
        <f t="shared" ca="1" si="1714"/>
        <v>'0'!B33</v>
      </c>
    </row>
    <row r="5811" spans="1:11" x14ac:dyDescent="0.25">
      <c r="A5811" s="3" t="str">
        <f t="shared" ca="1" si="1715"/>
        <v/>
      </c>
      <c r="C5811" s="16"/>
      <c r="G5811" s="15">
        <f t="shared" ca="1" si="1705"/>
        <v>34</v>
      </c>
      <c r="H5811" s="15">
        <v>1</v>
      </c>
      <c r="I5811" s="15">
        <f t="shared" ca="1" si="1706"/>
        <v>0</v>
      </c>
      <c r="J5811" s="15" t="str">
        <f t="shared" ca="1" si="1713"/>
        <v>'0'!A34</v>
      </c>
      <c r="K5811" s="15" t="str">
        <f t="shared" ca="1" si="1714"/>
        <v>'0'!B34</v>
      </c>
    </row>
    <row r="5812" spans="1:11" x14ac:dyDescent="0.25">
      <c r="A5812" s="3" t="str">
        <f t="shared" ca="1" si="1715"/>
        <v/>
      </c>
      <c r="G5812" s="15">
        <f t="shared" ca="1" si="1705"/>
        <v>35</v>
      </c>
      <c r="H5812" s="15">
        <v>1</v>
      </c>
      <c r="I5812" s="15">
        <f t="shared" ca="1" si="1706"/>
        <v>0</v>
      </c>
      <c r="J5812" s="15" t="str">
        <f t="shared" ca="1" si="1713"/>
        <v>'0'!A35</v>
      </c>
      <c r="K5812" s="15" t="str">
        <f t="shared" ca="1" si="1714"/>
        <v>'0'!B35</v>
      </c>
    </row>
    <row r="5813" spans="1:11" x14ac:dyDescent="0.25">
      <c r="A5813" s="3" t="str">
        <f t="shared" ca="1" si="1715"/>
        <v/>
      </c>
      <c r="G5813" s="15">
        <f t="shared" ca="1" si="1705"/>
        <v>36</v>
      </c>
      <c r="H5813" s="15">
        <v>1</v>
      </c>
      <c r="I5813" s="15">
        <f t="shared" ca="1" si="1706"/>
        <v>0</v>
      </c>
      <c r="J5813" s="15" t="str">
        <f t="shared" ca="1" si="1713"/>
        <v>'0'!A36</v>
      </c>
      <c r="K5813" s="15" t="str">
        <f t="shared" ca="1" si="1714"/>
        <v>'0'!B36</v>
      </c>
    </row>
    <row r="5814" spans="1:11" x14ac:dyDescent="0.25">
      <c r="A5814" s="3" t="str">
        <f t="shared" ca="1" si="1715"/>
        <v/>
      </c>
      <c r="G5814" s="15">
        <f t="shared" ca="1" si="1705"/>
        <v>37</v>
      </c>
      <c r="H5814" s="15">
        <v>1</v>
      </c>
      <c r="I5814" s="15">
        <f t="shared" ca="1" si="1706"/>
        <v>0</v>
      </c>
      <c r="J5814" s="15" t="str">
        <f t="shared" ca="1" si="1713"/>
        <v>'0'!A37</v>
      </c>
      <c r="K5814" s="15" t="str">
        <f t="shared" ca="1" si="1714"/>
        <v>'0'!B37</v>
      </c>
    </row>
    <row r="5815" spans="1:11" x14ac:dyDescent="0.25">
      <c r="A5815" s="3" t="str">
        <f t="shared" ca="1" si="1715"/>
        <v/>
      </c>
      <c r="G5815" s="15">
        <f t="shared" ca="1" si="1705"/>
        <v>38</v>
      </c>
      <c r="H5815" s="15">
        <v>1</v>
      </c>
      <c r="I5815" s="15">
        <f t="shared" ca="1" si="1706"/>
        <v>0</v>
      </c>
      <c r="J5815" s="15" t="str">
        <f t="shared" ca="1" si="1713"/>
        <v>'0'!A38</v>
      </c>
      <c r="K5815" s="15" t="str">
        <f t="shared" ca="1" si="1714"/>
        <v>'0'!B38</v>
      </c>
    </row>
    <row r="5816" spans="1:11" x14ac:dyDescent="0.25">
      <c r="A5816" s="3" t="str">
        <f t="shared" ca="1" si="1715"/>
        <v/>
      </c>
      <c r="G5816" s="15">
        <f t="shared" ca="1" si="1705"/>
        <v>39</v>
      </c>
      <c r="H5816" s="15">
        <v>1</v>
      </c>
      <c r="I5816" s="15">
        <f t="shared" ca="1" si="1706"/>
        <v>0</v>
      </c>
      <c r="J5816" s="15" t="str">
        <f t="shared" ca="1" si="1713"/>
        <v>'0'!A39</v>
      </c>
      <c r="K5816" s="15" t="str">
        <f t="shared" ca="1" si="1714"/>
        <v>'0'!B39</v>
      </c>
    </row>
    <row r="5817" spans="1:11" x14ac:dyDescent="0.25">
      <c r="A5817" s="3" t="str">
        <f t="shared" ca="1" si="1715"/>
        <v/>
      </c>
      <c r="G5817" s="15">
        <f t="shared" ca="1" si="1705"/>
        <v>40</v>
      </c>
      <c r="H5817" s="15">
        <v>1</v>
      </c>
      <c r="I5817" s="15">
        <f t="shared" ca="1" si="1706"/>
        <v>0</v>
      </c>
      <c r="J5817" s="15" t="str">
        <f t="shared" ca="1" si="1713"/>
        <v>'0'!A40</v>
      </c>
      <c r="K5817" s="15" t="str">
        <f t="shared" ca="1" si="1714"/>
        <v>'0'!B40</v>
      </c>
    </row>
    <row r="5818" spans="1:11" x14ac:dyDescent="0.25">
      <c r="A5818" s="3" t="str">
        <f t="shared" ca="1" si="1715"/>
        <v/>
      </c>
      <c r="G5818" s="15">
        <f t="shared" ca="1" si="1705"/>
        <v>41</v>
      </c>
      <c r="H5818" s="15">
        <v>1</v>
      </c>
      <c r="I5818" s="15">
        <f t="shared" ca="1" si="1706"/>
        <v>0</v>
      </c>
      <c r="J5818" s="15" t="str">
        <f t="shared" ca="1" si="1713"/>
        <v>'0'!A41</v>
      </c>
      <c r="K5818" s="15" t="str">
        <f t="shared" ca="1" si="1714"/>
        <v>'0'!B41</v>
      </c>
    </row>
    <row r="5819" spans="1:11" x14ac:dyDescent="0.25">
      <c r="A5819" s="3" t="str">
        <f t="shared" ca="1" si="1715"/>
        <v/>
      </c>
      <c r="C5819" s="16"/>
      <c r="G5819" s="15">
        <f t="shared" ca="1" si="1705"/>
        <v>42</v>
      </c>
      <c r="H5819" s="15">
        <v>1</v>
      </c>
      <c r="I5819" s="15">
        <f t="shared" ca="1" si="1706"/>
        <v>0</v>
      </c>
      <c r="J5819" s="15" t="str">
        <f t="shared" ca="1" si="1713"/>
        <v>'0'!A42</v>
      </c>
      <c r="K5819" s="15" t="str">
        <f t="shared" ca="1" si="1714"/>
        <v>'0'!B42</v>
      </c>
    </row>
    <row r="5820" spans="1:11" x14ac:dyDescent="0.25">
      <c r="A5820" s="3" t="str">
        <f t="shared" ca="1" si="1715"/>
        <v/>
      </c>
      <c r="G5820" s="15">
        <f t="shared" ca="1" si="1705"/>
        <v>43</v>
      </c>
      <c r="H5820" s="15">
        <v>1</v>
      </c>
      <c r="I5820" s="15">
        <f t="shared" ca="1" si="1706"/>
        <v>0</v>
      </c>
      <c r="J5820" s="15" t="str">
        <f t="shared" ca="1" si="1713"/>
        <v>'0'!A43</v>
      </c>
      <c r="K5820" s="15" t="str">
        <f t="shared" ca="1" si="1714"/>
        <v>'0'!B43</v>
      </c>
    </row>
    <row r="5821" spans="1:11" x14ac:dyDescent="0.25">
      <c r="A5821" s="3" t="str">
        <f t="shared" ca="1" si="1715"/>
        <v/>
      </c>
      <c r="G5821" s="15">
        <f t="shared" ca="1" si="1705"/>
        <v>44</v>
      </c>
      <c r="H5821" s="15">
        <v>1</v>
      </c>
      <c r="I5821" s="15">
        <f t="shared" ca="1" si="1706"/>
        <v>0</v>
      </c>
      <c r="J5821" s="15" t="str">
        <f t="shared" ca="1" si="1713"/>
        <v>'0'!A44</v>
      </c>
      <c r="K5821" s="15" t="str">
        <f t="shared" ca="1" si="1714"/>
        <v>'0'!B44</v>
      </c>
    </row>
    <row r="5822" spans="1:11" x14ac:dyDescent="0.25">
      <c r="A5822" s="3" t="str">
        <f t="shared" ca="1" si="1715"/>
        <v/>
      </c>
      <c r="G5822" s="15">
        <f t="shared" ca="1" si="1705"/>
        <v>45</v>
      </c>
      <c r="H5822" s="15">
        <v>1</v>
      </c>
      <c r="I5822" s="15">
        <f t="shared" ca="1" si="1706"/>
        <v>0</v>
      </c>
      <c r="J5822" s="15" t="str">
        <f t="shared" ca="1" si="1713"/>
        <v>'0'!A45</v>
      </c>
      <c r="K5822" s="15" t="str">
        <f t="shared" ca="1" si="1714"/>
        <v>'0'!B45</v>
      </c>
    </row>
    <row r="5823" spans="1:11" x14ac:dyDescent="0.25">
      <c r="A5823" s="3" t="str">
        <f t="shared" ca="1" si="1715"/>
        <v/>
      </c>
      <c r="G5823" s="15">
        <f t="shared" ca="1" si="1705"/>
        <v>46</v>
      </c>
      <c r="H5823" s="15">
        <v>1</v>
      </c>
      <c r="I5823" s="15">
        <f t="shared" ca="1" si="1706"/>
        <v>0</v>
      </c>
      <c r="J5823" s="15" t="str">
        <f t="shared" ca="1" si="1713"/>
        <v>'0'!A46</v>
      </c>
      <c r="K5823" s="15" t="str">
        <f t="shared" ca="1" si="1714"/>
        <v>'0'!B46</v>
      </c>
    </row>
    <row r="5824" spans="1:11" x14ac:dyDescent="0.25">
      <c r="A5824" s="3" t="str">
        <f t="shared" ca="1" si="1715"/>
        <v/>
      </c>
      <c r="G5824" s="15">
        <f t="shared" ca="1" si="1705"/>
        <v>47</v>
      </c>
      <c r="H5824" s="15">
        <v>1</v>
      </c>
      <c r="I5824" s="15">
        <f t="shared" ca="1" si="1706"/>
        <v>0</v>
      </c>
      <c r="J5824" s="15" t="str">
        <f t="shared" ca="1" si="1713"/>
        <v>'0'!A47</v>
      </c>
      <c r="K5824" s="15" t="str">
        <f t="shared" ca="1" si="1714"/>
        <v>'0'!B47</v>
      </c>
    </row>
    <row r="5825" spans="1:16" x14ac:dyDescent="0.25">
      <c r="A5825" s="3" t="str">
        <f t="shared" ca="1" si="1715"/>
        <v/>
      </c>
      <c r="G5825" s="15">
        <f t="shared" ca="1" si="1705"/>
        <v>48</v>
      </c>
      <c r="H5825" s="15">
        <v>1</v>
      </c>
      <c r="I5825" s="15">
        <f t="shared" ca="1" si="1706"/>
        <v>0</v>
      </c>
      <c r="J5825" s="15" t="str">
        <f t="shared" ca="1" si="1713"/>
        <v>'0'!A48</v>
      </c>
      <c r="K5825" s="15" t="str">
        <f t="shared" ca="1" si="1714"/>
        <v>'0'!B48</v>
      </c>
    </row>
    <row r="5826" spans="1:16" x14ac:dyDescent="0.25">
      <c r="A5826" s="3" t="str">
        <f t="shared" ca="1" si="1715"/>
        <v/>
      </c>
      <c r="G5826" s="15">
        <f t="shared" ca="1" si="1705"/>
        <v>49</v>
      </c>
      <c r="H5826" s="15">
        <v>1</v>
      </c>
      <c r="I5826" s="15">
        <f t="shared" ca="1" si="1706"/>
        <v>0</v>
      </c>
      <c r="J5826" s="15" t="str">
        <f t="shared" ca="1" si="1713"/>
        <v>'0'!A49</v>
      </c>
      <c r="K5826" s="15" t="str">
        <f t="shared" ca="1" si="1714"/>
        <v>'0'!B49</v>
      </c>
    </row>
    <row r="5827" spans="1:16" x14ac:dyDescent="0.25">
      <c r="A5827" s="3" t="str">
        <f t="shared" ca="1" si="1715"/>
        <v/>
      </c>
      <c r="G5827" s="15">
        <f t="shared" ca="1" si="1705"/>
        <v>50</v>
      </c>
      <c r="H5827" s="15">
        <v>1</v>
      </c>
      <c r="I5827" s="15">
        <f t="shared" ca="1" si="1706"/>
        <v>0</v>
      </c>
      <c r="J5827" s="15" t="str">
        <f t="shared" ca="1" si="1713"/>
        <v>'0'!A50</v>
      </c>
      <c r="K5827" s="15" t="str">
        <f t="shared" ca="1" si="1714"/>
        <v>'0'!B50</v>
      </c>
    </row>
    <row r="5828" spans="1:16" x14ac:dyDescent="0.25">
      <c r="A5828" s="3" t="str">
        <f t="shared" ca="1" si="1715"/>
        <v/>
      </c>
      <c r="G5828" s="15">
        <f t="shared" ref="G5828" ca="1" si="1720">INDIRECT(M5828)</f>
        <v>31</v>
      </c>
      <c r="H5828" s="15">
        <v>1</v>
      </c>
      <c r="I5828" s="15">
        <f t="shared" ref="I5828" ca="1" si="1721">INDIRECT(N5828)</f>
        <v>0</v>
      </c>
      <c r="J5828" s="15" t="str">
        <f t="shared" ca="1" si="1713"/>
        <v>'0'!A31</v>
      </c>
      <c r="K5828" s="15" t="str">
        <f t="shared" ca="1" si="1714"/>
        <v>'0'!B31</v>
      </c>
      <c r="M5828" s="15" t="str">
        <f t="shared" ref="M5828" si="1722">ADDRESS(O5828,3,4,1,$R$1)</f>
        <v>konfig!C293</v>
      </c>
      <c r="N5828" s="15" t="str">
        <f t="shared" ref="N5828" si="1723">ADDRESS(O5828,1,4,1,$R$1)</f>
        <v>konfig!A293</v>
      </c>
      <c r="O5828" s="15">
        <v>293</v>
      </c>
      <c r="P5828" s="15">
        <v>4</v>
      </c>
    </row>
    <row r="5829" spans="1:16" x14ac:dyDescent="0.25">
      <c r="A5829" s="3" t="str">
        <f t="shared" ca="1" si="1715"/>
        <v/>
      </c>
      <c r="G5829" s="15">
        <f t="shared" ca="1" si="1711"/>
        <v>32</v>
      </c>
      <c r="H5829" s="15">
        <v>1</v>
      </c>
      <c r="I5829" s="15">
        <f t="shared" ca="1" si="1712"/>
        <v>0</v>
      </c>
      <c r="J5829" s="15" t="str">
        <f t="shared" ca="1" si="1713"/>
        <v>'0'!A32</v>
      </c>
      <c r="K5829" s="15" t="str">
        <f t="shared" ca="1" si="1714"/>
        <v>'0'!B32</v>
      </c>
    </row>
    <row r="5830" spans="1:16" x14ac:dyDescent="0.25">
      <c r="A5830" s="3" t="str">
        <f t="shared" ca="1" si="1715"/>
        <v/>
      </c>
      <c r="G5830" s="15">
        <f t="shared" ca="1" si="1705"/>
        <v>33</v>
      </c>
      <c r="H5830" s="15">
        <v>1</v>
      </c>
      <c r="I5830" s="15">
        <f t="shared" ca="1" si="1706"/>
        <v>0</v>
      </c>
      <c r="J5830" s="15" t="str">
        <f t="shared" ca="1" si="1713"/>
        <v>'0'!A33</v>
      </c>
      <c r="K5830" s="15" t="str">
        <f t="shared" ca="1" si="1714"/>
        <v>'0'!B33</v>
      </c>
    </row>
    <row r="5831" spans="1:16" x14ac:dyDescent="0.25">
      <c r="A5831" s="3" t="str">
        <f t="shared" ca="1" si="1715"/>
        <v/>
      </c>
      <c r="C5831" s="16"/>
      <c r="G5831" s="15">
        <f t="shared" ca="1" si="1705"/>
        <v>34</v>
      </c>
      <c r="H5831" s="15">
        <v>1</v>
      </c>
      <c r="I5831" s="15">
        <f t="shared" ca="1" si="1706"/>
        <v>0</v>
      </c>
      <c r="J5831" s="15" t="str">
        <f t="shared" ca="1" si="1713"/>
        <v>'0'!A34</v>
      </c>
      <c r="K5831" s="15" t="str">
        <f t="shared" ca="1" si="1714"/>
        <v>'0'!B34</v>
      </c>
    </row>
    <row r="5832" spans="1:16" x14ac:dyDescent="0.25">
      <c r="A5832" s="3" t="str">
        <f t="shared" ca="1" si="1715"/>
        <v/>
      </c>
      <c r="G5832" s="15">
        <f t="shared" ca="1" si="1705"/>
        <v>35</v>
      </c>
      <c r="H5832" s="15">
        <v>1</v>
      </c>
      <c r="I5832" s="15">
        <f t="shared" ca="1" si="1706"/>
        <v>0</v>
      </c>
      <c r="J5832" s="15" t="str">
        <f t="shared" ca="1" si="1713"/>
        <v>'0'!A35</v>
      </c>
      <c r="K5832" s="15" t="str">
        <f t="shared" ca="1" si="1714"/>
        <v>'0'!B35</v>
      </c>
    </row>
    <row r="5833" spans="1:16" x14ac:dyDescent="0.25">
      <c r="A5833" s="3" t="str">
        <f t="shared" ca="1" si="1715"/>
        <v/>
      </c>
      <c r="G5833" s="15">
        <f t="shared" ref="G5833:G5896" ca="1" si="1724">G5832+1</f>
        <v>36</v>
      </c>
      <c r="H5833" s="15">
        <v>1</v>
      </c>
      <c r="I5833" s="15">
        <f t="shared" ref="I5833:I5896" ca="1" si="1725">I5832</f>
        <v>0</v>
      </c>
      <c r="J5833" s="15" t="str">
        <f t="shared" ca="1" si="1713"/>
        <v>'0'!A36</v>
      </c>
      <c r="K5833" s="15" t="str">
        <f t="shared" ca="1" si="1714"/>
        <v>'0'!B36</v>
      </c>
    </row>
    <row r="5834" spans="1:16" x14ac:dyDescent="0.25">
      <c r="A5834" s="3" t="str">
        <f t="shared" ca="1" si="1715"/>
        <v/>
      </c>
      <c r="G5834" s="15">
        <f t="shared" ca="1" si="1724"/>
        <v>37</v>
      </c>
      <c r="H5834" s="15">
        <v>1</v>
      </c>
      <c r="I5834" s="15">
        <f t="shared" ca="1" si="1725"/>
        <v>0</v>
      </c>
      <c r="J5834" s="15" t="str">
        <f t="shared" ca="1" si="1713"/>
        <v>'0'!A37</v>
      </c>
      <c r="K5834" s="15" t="str">
        <f t="shared" ca="1" si="1714"/>
        <v>'0'!B37</v>
      </c>
    </row>
    <row r="5835" spans="1:16" x14ac:dyDescent="0.25">
      <c r="A5835" s="3" t="str">
        <f t="shared" ca="1" si="1715"/>
        <v/>
      </c>
      <c r="G5835" s="15">
        <f t="shared" ca="1" si="1724"/>
        <v>38</v>
      </c>
      <c r="H5835" s="15">
        <v>1</v>
      </c>
      <c r="I5835" s="15">
        <f t="shared" ca="1" si="1725"/>
        <v>0</v>
      </c>
      <c r="J5835" s="15" t="str">
        <f t="shared" ca="1" si="1713"/>
        <v>'0'!A38</v>
      </c>
      <c r="K5835" s="15" t="str">
        <f t="shared" ca="1" si="1714"/>
        <v>'0'!B38</v>
      </c>
    </row>
    <row r="5836" spans="1:16" x14ac:dyDescent="0.25">
      <c r="A5836" s="3" t="str">
        <f t="shared" ca="1" si="1715"/>
        <v/>
      </c>
      <c r="G5836" s="15">
        <f t="shared" ca="1" si="1724"/>
        <v>39</v>
      </c>
      <c r="H5836" s="15">
        <v>1</v>
      </c>
      <c r="I5836" s="15">
        <f t="shared" ca="1" si="1725"/>
        <v>0</v>
      </c>
      <c r="J5836" s="15" t="str">
        <f t="shared" ca="1" si="1713"/>
        <v>'0'!A39</v>
      </c>
      <c r="K5836" s="15" t="str">
        <f t="shared" ca="1" si="1714"/>
        <v>'0'!B39</v>
      </c>
    </row>
    <row r="5837" spans="1:16" x14ac:dyDescent="0.25">
      <c r="A5837" s="3" t="str">
        <f t="shared" ca="1" si="1715"/>
        <v/>
      </c>
      <c r="G5837" s="15">
        <f t="shared" ca="1" si="1724"/>
        <v>40</v>
      </c>
      <c r="H5837" s="15">
        <v>1</v>
      </c>
      <c r="I5837" s="15">
        <f t="shared" ca="1" si="1725"/>
        <v>0</v>
      </c>
      <c r="J5837" s="15" t="str">
        <f t="shared" ca="1" si="1713"/>
        <v>'0'!A40</v>
      </c>
      <c r="K5837" s="15" t="str">
        <f t="shared" ca="1" si="1714"/>
        <v>'0'!B40</v>
      </c>
    </row>
    <row r="5838" spans="1:16" x14ac:dyDescent="0.25">
      <c r="A5838" s="3" t="str">
        <f t="shared" ca="1" si="1715"/>
        <v/>
      </c>
      <c r="G5838" s="15">
        <f t="shared" ca="1" si="1724"/>
        <v>41</v>
      </c>
      <c r="H5838" s="15">
        <v>1</v>
      </c>
      <c r="I5838" s="15">
        <f t="shared" ca="1" si="1725"/>
        <v>0</v>
      </c>
      <c r="J5838" s="15" t="str">
        <f t="shared" ca="1" si="1713"/>
        <v>'0'!A41</v>
      </c>
      <c r="K5838" s="15" t="str">
        <f t="shared" ca="1" si="1714"/>
        <v>'0'!B41</v>
      </c>
    </row>
    <row r="5839" spans="1:16" x14ac:dyDescent="0.25">
      <c r="A5839" s="3" t="str">
        <f t="shared" ca="1" si="1715"/>
        <v/>
      </c>
      <c r="C5839" s="16"/>
      <c r="G5839" s="15">
        <f t="shared" ca="1" si="1724"/>
        <v>42</v>
      </c>
      <c r="H5839" s="15">
        <v>1</v>
      </c>
      <c r="I5839" s="15">
        <f t="shared" ca="1" si="1725"/>
        <v>0</v>
      </c>
      <c r="J5839" s="15" t="str">
        <f t="shared" ca="1" si="1713"/>
        <v>'0'!A42</v>
      </c>
      <c r="K5839" s="15" t="str">
        <f t="shared" ca="1" si="1714"/>
        <v>'0'!B42</v>
      </c>
    </row>
    <row r="5840" spans="1:16" x14ac:dyDescent="0.25">
      <c r="A5840" s="3" t="str">
        <f t="shared" ca="1" si="1715"/>
        <v/>
      </c>
      <c r="G5840" s="15">
        <f t="shared" ca="1" si="1724"/>
        <v>43</v>
      </c>
      <c r="H5840" s="15">
        <v>1</v>
      </c>
      <c r="I5840" s="15">
        <f t="shared" ca="1" si="1725"/>
        <v>0</v>
      </c>
      <c r="J5840" s="15" t="str">
        <f t="shared" ca="1" si="1713"/>
        <v>'0'!A43</v>
      </c>
      <c r="K5840" s="15" t="str">
        <f t="shared" ca="1" si="1714"/>
        <v>'0'!B43</v>
      </c>
    </row>
    <row r="5841" spans="1:16" x14ac:dyDescent="0.25">
      <c r="A5841" s="3" t="str">
        <f t="shared" ca="1" si="1715"/>
        <v/>
      </c>
      <c r="G5841" s="15">
        <f t="shared" ca="1" si="1724"/>
        <v>44</v>
      </c>
      <c r="H5841" s="15">
        <v>1</v>
      </c>
      <c r="I5841" s="15">
        <f t="shared" ca="1" si="1725"/>
        <v>0</v>
      </c>
      <c r="J5841" s="15" t="str">
        <f t="shared" ca="1" si="1713"/>
        <v>'0'!A44</v>
      </c>
      <c r="K5841" s="15" t="str">
        <f t="shared" ca="1" si="1714"/>
        <v>'0'!B44</v>
      </c>
    </row>
    <row r="5842" spans="1:16" x14ac:dyDescent="0.25">
      <c r="A5842" s="3" t="str">
        <f t="shared" ca="1" si="1715"/>
        <v/>
      </c>
      <c r="G5842" s="15">
        <f t="shared" ca="1" si="1724"/>
        <v>45</v>
      </c>
      <c r="H5842" s="15">
        <v>1</v>
      </c>
      <c r="I5842" s="15">
        <f t="shared" ca="1" si="1725"/>
        <v>0</v>
      </c>
      <c r="J5842" s="15" t="str">
        <f t="shared" ca="1" si="1713"/>
        <v>'0'!A45</v>
      </c>
      <c r="K5842" s="15" t="str">
        <f t="shared" ca="1" si="1714"/>
        <v>'0'!B45</v>
      </c>
    </row>
    <row r="5843" spans="1:16" x14ac:dyDescent="0.25">
      <c r="A5843" s="3" t="str">
        <f t="shared" ca="1" si="1715"/>
        <v/>
      </c>
      <c r="G5843" s="15">
        <f t="shared" ca="1" si="1724"/>
        <v>46</v>
      </c>
      <c r="H5843" s="15">
        <v>1</v>
      </c>
      <c r="I5843" s="15">
        <f t="shared" ca="1" si="1725"/>
        <v>0</v>
      </c>
      <c r="J5843" s="15" t="str">
        <f t="shared" ca="1" si="1713"/>
        <v>'0'!A46</v>
      </c>
      <c r="K5843" s="15" t="str">
        <f t="shared" ca="1" si="1714"/>
        <v>'0'!B46</v>
      </c>
    </row>
    <row r="5844" spans="1:16" x14ac:dyDescent="0.25">
      <c r="A5844" s="3" t="str">
        <f t="shared" ca="1" si="1715"/>
        <v/>
      </c>
      <c r="G5844" s="15">
        <f t="shared" ca="1" si="1724"/>
        <v>47</v>
      </c>
      <c r="H5844" s="15">
        <v>1</v>
      </c>
      <c r="I5844" s="15">
        <f t="shared" ca="1" si="1725"/>
        <v>0</v>
      </c>
      <c r="J5844" s="15" t="str">
        <f t="shared" ca="1" si="1713"/>
        <v>'0'!A47</v>
      </c>
      <c r="K5844" s="15" t="str">
        <f t="shared" ca="1" si="1714"/>
        <v>'0'!B47</v>
      </c>
    </row>
    <row r="5845" spans="1:16" x14ac:dyDescent="0.25">
      <c r="A5845" s="3" t="str">
        <f t="shared" ca="1" si="1715"/>
        <v/>
      </c>
      <c r="G5845" s="15">
        <f t="shared" ca="1" si="1724"/>
        <v>48</v>
      </c>
      <c r="H5845" s="15">
        <v>1</v>
      </c>
      <c r="I5845" s="15">
        <f t="shared" ca="1" si="1725"/>
        <v>0</v>
      </c>
      <c r="J5845" s="15" t="str">
        <f t="shared" ca="1" si="1713"/>
        <v>'0'!A48</v>
      </c>
      <c r="K5845" s="15" t="str">
        <f t="shared" ca="1" si="1714"/>
        <v>'0'!B48</v>
      </c>
    </row>
    <row r="5846" spans="1:16" x14ac:dyDescent="0.25">
      <c r="A5846" s="3" t="str">
        <f t="shared" ca="1" si="1715"/>
        <v/>
      </c>
      <c r="G5846" s="15">
        <f t="shared" ca="1" si="1724"/>
        <v>49</v>
      </c>
      <c r="H5846" s="15">
        <v>1</v>
      </c>
      <c r="I5846" s="15">
        <f t="shared" ca="1" si="1725"/>
        <v>0</v>
      </c>
      <c r="J5846" s="15" t="str">
        <f t="shared" ca="1" si="1713"/>
        <v>'0'!A49</v>
      </c>
      <c r="K5846" s="15" t="str">
        <f t="shared" ca="1" si="1714"/>
        <v>'0'!B49</v>
      </c>
    </row>
    <row r="5847" spans="1:16" x14ac:dyDescent="0.25">
      <c r="A5847" s="3" t="str">
        <f t="shared" ca="1" si="1715"/>
        <v/>
      </c>
      <c r="G5847" s="15">
        <f t="shared" ca="1" si="1724"/>
        <v>50</v>
      </c>
      <c r="H5847" s="15">
        <v>1</v>
      </c>
      <c r="I5847" s="15">
        <f t="shared" ca="1" si="1725"/>
        <v>0</v>
      </c>
      <c r="J5847" s="15" t="str">
        <f t="shared" ca="1" si="1713"/>
        <v>'0'!A50</v>
      </c>
      <c r="K5847" s="15" t="str">
        <f t="shared" ca="1" si="1714"/>
        <v>'0'!B50</v>
      </c>
    </row>
    <row r="5848" spans="1:16" x14ac:dyDescent="0.25">
      <c r="A5848" s="3" t="str">
        <f t="shared" ca="1" si="1715"/>
        <v/>
      </c>
      <c r="G5848" s="15">
        <f t="shared" ref="G5848" ca="1" si="1726">INDIRECT(M5848)</f>
        <v>31</v>
      </c>
      <c r="H5848" s="15">
        <v>1</v>
      </c>
      <c r="I5848" s="15">
        <f t="shared" ref="I5848" ca="1" si="1727">INDIRECT(N5848)</f>
        <v>0</v>
      </c>
      <c r="J5848" s="15" t="str">
        <f t="shared" ca="1" si="1713"/>
        <v>'0'!A31</v>
      </c>
      <c r="K5848" s="15" t="str">
        <f t="shared" ca="1" si="1714"/>
        <v>'0'!B31</v>
      </c>
      <c r="M5848" s="15" t="str">
        <f t="shared" ref="M5848" si="1728">ADDRESS(O5848,3,4,1,$R$1)</f>
        <v>konfig!C294</v>
      </c>
      <c r="N5848" s="15" t="str">
        <f t="shared" ref="N5848" si="1729">ADDRESS(O5848,1,4,1,$R$1)</f>
        <v>konfig!A294</v>
      </c>
      <c r="O5848" s="15">
        <v>294</v>
      </c>
      <c r="P5848" s="15">
        <v>4</v>
      </c>
    </row>
    <row r="5849" spans="1:16" x14ac:dyDescent="0.25">
      <c r="A5849" s="3" t="str">
        <f t="shared" ca="1" si="1715"/>
        <v/>
      </c>
      <c r="G5849" s="15">
        <f t="shared" ref="G5849:G5892" ca="1" si="1730">G5848+1</f>
        <v>32</v>
      </c>
      <c r="H5849" s="15">
        <v>1</v>
      </c>
      <c r="I5849" s="15">
        <f t="shared" ref="I5849:I5892" ca="1" si="1731">I5848</f>
        <v>0</v>
      </c>
      <c r="J5849" s="15" t="str">
        <f t="shared" ca="1" si="1713"/>
        <v>'0'!A32</v>
      </c>
      <c r="K5849" s="15" t="str">
        <f t="shared" ca="1" si="1714"/>
        <v>'0'!B32</v>
      </c>
    </row>
    <row r="5850" spans="1:16" x14ac:dyDescent="0.25">
      <c r="A5850" s="3" t="str">
        <f t="shared" ca="1" si="1715"/>
        <v/>
      </c>
      <c r="G5850" s="15">
        <f t="shared" ca="1" si="1730"/>
        <v>33</v>
      </c>
      <c r="H5850" s="15">
        <v>1</v>
      </c>
      <c r="I5850" s="15">
        <f t="shared" ca="1" si="1731"/>
        <v>0</v>
      </c>
      <c r="J5850" s="15" t="str">
        <f t="shared" ca="1" si="1713"/>
        <v>'0'!A33</v>
      </c>
      <c r="K5850" s="15" t="str">
        <f t="shared" ca="1" si="1714"/>
        <v>'0'!B33</v>
      </c>
    </row>
    <row r="5851" spans="1:16" x14ac:dyDescent="0.25">
      <c r="A5851" s="3" t="str">
        <f t="shared" ca="1" si="1715"/>
        <v/>
      </c>
      <c r="C5851" s="16"/>
      <c r="G5851" s="15">
        <f t="shared" ca="1" si="1730"/>
        <v>34</v>
      </c>
      <c r="H5851" s="15">
        <v>1</v>
      </c>
      <c r="I5851" s="15">
        <f t="shared" ca="1" si="1731"/>
        <v>0</v>
      </c>
      <c r="J5851" s="15" t="str">
        <f t="shared" ca="1" si="1713"/>
        <v>'0'!A34</v>
      </c>
      <c r="K5851" s="15" t="str">
        <f t="shared" ca="1" si="1714"/>
        <v>'0'!B34</v>
      </c>
    </row>
    <row r="5852" spans="1:16" x14ac:dyDescent="0.25">
      <c r="A5852" s="3" t="str">
        <f t="shared" ca="1" si="1715"/>
        <v/>
      </c>
      <c r="G5852" s="15">
        <f t="shared" ca="1" si="1730"/>
        <v>35</v>
      </c>
      <c r="H5852" s="15">
        <v>1</v>
      </c>
      <c r="I5852" s="15">
        <f t="shared" ca="1" si="1731"/>
        <v>0</v>
      </c>
      <c r="J5852" s="15" t="str">
        <f t="shared" ca="1" si="1713"/>
        <v>'0'!A35</v>
      </c>
      <c r="K5852" s="15" t="str">
        <f t="shared" ca="1" si="1714"/>
        <v>'0'!B35</v>
      </c>
    </row>
    <row r="5853" spans="1:16" x14ac:dyDescent="0.25">
      <c r="A5853" s="3" t="str">
        <f t="shared" ca="1" si="1715"/>
        <v/>
      </c>
      <c r="G5853" s="15">
        <f t="shared" ca="1" si="1724"/>
        <v>36</v>
      </c>
      <c r="H5853" s="15">
        <v>1</v>
      </c>
      <c r="I5853" s="15">
        <f t="shared" ca="1" si="1725"/>
        <v>0</v>
      </c>
      <c r="J5853" s="15" t="str">
        <f t="shared" ca="1" si="1713"/>
        <v>'0'!A36</v>
      </c>
      <c r="K5853" s="15" t="str">
        <f t="shared" ca="1" si="1714"/>
        <v>'0'!B36</v>
      </c>
    </row>
    <row r="5854" spans="1:16" x14ac:dyDescent="0.25">
      <c r="A5854" s="3" t="str">
        <f t="shared" ca="1" si="1715"/>
        <v/>
      </c>
      <c r="G5854" s="15">
        <f t="shared" ca="1" si="1724"/>
        <v>37</v>
      </c>
      <c r="H5854" s="15">
        <v>1</v>
      </c>
      <c r="I5854" s="15">
        <f t="shared" ca="1" si="1725"/>
        <v>0</v>
      </c>
      <c r="J5854" s="15" t="str">
        <f t="shared" ca="1" si="1713"/>
        <v>'0'!A37</v>
      </c>
      <c r="K5854" s="15" t="str">
        <f t="shared" ca="1" si="1714"/>
        <v>'0'!B37</v>
      </c>
    </row>
    <row r="5855" spans="1:16" x14ac:dyDescent="0.25">
      <c r="A5855" s="3" t="str">
        <f t="shared" ca="1" si="1715"/>
        <v/>
      </c>
      <c r="G5855" s="15">
        <f t="shared" ca="1" si="1724"/>
        <v>38</v>
      </c>
      <c r="H5855" s="15">
        <v>1</v>
      </c>
      <c r="I5855" s="15">
        <f t="shared" ca="1" si="1725"/>
        <v>0</v>
      </c>
      <c r="J5855" s="15" t="str">
        <f t="shared" ca="1" si="1713"/>
        <v>'0'!A38</v>
      </c>
      <c r="K5855" s="15" t="str">
        <f t="shared" ca="1" si="1714"/>
        <v>'0'!B38</v>
      </c>
    </row>
    <row r="5856" spans="1:16" x14ac:dyDescent="0.25">
      <c r="A5856" s="3" t="str">
        <f t="shared" ca="1" si="1715"/>
        <v/>
      </c>
      <c r="G5856" s="15">
        <f t="shared" ca="1" si="1724"/>
        <v>39</v>
      </c>
      <c r="H5856" s="15">
        <v>1</v>
      </c>
      <c r="I5856" s="15">
        <f t="shared" ca="1" si="1725"/>
        <v>0</v>
      </c>
      <c r="J5856" s="15" t="str">
        <f t="shared" ca="1" si="1713"/>
        <v>'0'!A39</v>
      </c>
      <c r="K5856" s="15" t="str">
        <f t="shared" ca="1" si="1714"/>
        <v>'0'!B39</v>
      </c>
    </row>
    <row r="5857" spans="1:16" x14ac:dyDescent="0.25">
      <c r="A5857" s="3" t="str">
        <f t="shared" ca="1" si="1715"/>
        <v/>
      </c>
      <c r="G5857" s="15">
        <f t="shared" ca="1" si="1724"/>
        <v>40</v>
      </c>
      <c r="H5857" s="15">
        <v>1</v>
      </c>
      <c r="I5857" s="15">
        <f t="shared" ca="1" si="1725"/>
        <v>0</v>
      </c>
      <c r="J5857" s="15" t="str">
        <f t="shared" ca="1" si="1713"/>
        <v>'0'!A40</v>
      </c>
      <c r="K5857" s="15" t="str">
        <f t="shared" ca="1" si="1714"/>
        <v>'0'!B40</v>
      </c>
    </row>
    <row r="5858" spans="1:16" x14ac:dyDescent="0.25">
      <c r="A5858" s="3" t="str">
        <f t="shared" ca="1" si="1715"/>
        <v/>
      </c>
      <c r="G5858" s="15">
        <f t="shared" ca="1" si="1724"/>
        <v>41</v>
      </c>
      <c r="H5858" s="15">
        <v>1</v>
      </c>
      <c r="I5858" s="15">
        <f t="shared" ca="1" si="1725"/>
        <v>0</v>
      </c>
      <c r="J5858" s="15" t="str">
        <f t="shared" ca="1" si="1713"/>
        <v>'0'!A41</v>
      </c>
      <c r="K5858" s="15" t="str">
        <f t="shared" ca="1" si="1714"/>
        <v>'0'!B41</v>
      </c>
    </row>
    <row r="5859" spans="1:16" x14ac:dyDescent="0.25">
      <c r="A5859" s="3" t="str">
        <f t="shared" ca="1" si="1715"/>
        <v/>
      </c>
      <c r="C5859" s="16"/>
      <c r="G5859" s="15">
        <f t="shared" ca="1" si="1724"/>
        <v>42</v>
      </c>
      <c r="H5859" s="15">
        <v>1</v>
      </c>
      <c r="I5859" s="15">
        <f t="shared" ca="1" si="1725"/>
        <v>0</v>
      </c>
      <c r="J5859" s="15" t="str">
        <f t="shared" ca="1" si="1713"/>
        <v>'0'!A42</v>
      </c>
      <c r="K5859" s="15" t="str">
        <f t="shared" ca="1" si="1714"/>
        <v>'0'!B42</v>
      </c>
    </row>
    <row r="5860" spans="1:16" x14ac:dyDescent="0.25">
      <c r="A5860" s="3" t="str">
        <f t="shared" ca="1" si="1715"/>
        <v/>
      </c>
      <c r="G5860" s="15">
        <f t="shared" ca="1" si="1724"/>
        <v>43</v>
      </c>
      <c r="H5860" s="15">
        <v>1</v>
      </c>
      <c r="I5860" s="15">
        <f t="shared" ca="1" si="1725"/>
        <v>0</v>
      </c>
      <c r="J5860" s="15" t="str">
        <f t="shared" ref="J5860:J5923" ca="1" si="1732">ADDRESS(G5860,H5860,4,1,I5860)</f>
        <v>'0'!A43</v>
      </c>
      <c r="K5860" s="15" t="str">
        <f t="shared" ref="K5860:K5923" ca="1" si="1733">ADDRESS(G5860,H5860+1,4,1,I5860)</f>
        <v>'0'!B43</v>
      </c>
    </row>
    <row r="5861" spans="1:16" x14ac:dyDescent="0.25">
      <c r="A5861" s="3" t="str">
        <f t="shared" ca="1" si="1715"/>
        <v/>
      </c>
      <c r="G5861" s="15">
        <f t="shared" ca="1" si="1724"/>
        <v>44</v>
      </c>
      <c r="H5861" s="15">
        <v>1</v>
      </c>
      <c r="I5861" s="15">
        <f t="shared" ca="1" si="1725"/>
        <v>0</v>
      </c>
      <c r="J5861" s="15" t="str">
        <f t="shared" ca="1" si="1732"/>
        <v>'0'!A44</v>
      </c>
      <c r="K5861" s="15" t="str">
        <f t="shared" ca="1" si="1733"/>
        <v>'0'!B44</v>
      </c>
    </row>
    <row r="5862" spans="1:16" x14ac:dyDescent="0.25">
      <c r="A5862" s="3" t="str">
        <f t="shared" ca="1" si="1715"/>
        <v/>
      </c>
      <c r="G5862" s="15">
        <f t="shared" ca="1" si="1724"/>
        <v>45</v>
      </c>
      <c r="H5862" s="15">
        <v>1</v>
      </c>
      <c r="I5862" s="15">
        <f t="shared" ca="1" si="1725"/>
        <v>0</v>
      </c>
      <c r="J5862" s="15" t="str">
        <f t="shared" ca="1" si="1732"/>
        <v>'0'!A45</v>
      </c>
      <c r="K5862" s="15" t="str">
        <f t="shared" ca="1" si="1733"/>
        <v>'0'!B45</v>
      </c>
    </row>
    <row r="5863" spans="1:16" x14ac:dyDescent="0.25">
      <c r="A5863" s="3" t="str">
        <f t="shared" ca="1" si="1715"/>
        <v/>
      </c>
      <c r="G5863" s="15">
        <f t="shared" ca="1" si="1724"/>
        <v>46</v>
      </c>
      <c r="H5863" s="15">
        <v>1</v>
      </c>
      <c r="I5863" s="15">
        <f t="shared" ca="1" si="1725"/>
        <v>0</v>
      </c>
      <c r="J5863" s="15" t="str">
        <f t="shared" ca="1" si="1732"/>
        <v>'0'!A46</v>
      </c>
      <c r="K5863" s="15" t="str">
        <f t="shared" ca="1" si="1733"/>
        <v>'0'!B46</v>
      </c>
    </row>
    <row r="5864" spans="1:16" x14ac:dyDescent="0.25">
      <c r="A5864" s="3" t="str">
        <f t="shared" ca="1" si="1715"/>
        <v/>
      </c>
      <c r="G5864" s="15">
        <f t="shared" ca="1" si="1724"/>
        <v>47</v>
      </c>
      <c r="H5864" s="15">
        <v>1</v>
      </c>
      <c r="I5864" s="15">
        <f t="shared" ca="1" si="1725"/>
        <v>0</v>
      </c>
      <c r="J5864" s="15" t="str">
        <f t="shared" ca="1" si="1732"/>
        <v>'0'!A47</v>
      </c>
      <c r="K5864" s="15" t="str">
        <f t="shared" ca="1" si="1733"/>
        <v>'0'!B47</v>
      </c>
    </row>
    <row r="5865" spans="1:16" x14ac:dyDescent="0.25">
      <c r="A5865" s="3" t="str">
        <f t="shared" ca="1" si="1715"/>
        <v/>
      </c>
      <c r="G5865" s="15">
        <f t="shared" ca="1" si="1724"/>
        <v>48</v>
      </c>
      <c r="H5865" s="15">
        <v>1</v>
      </c>
      <c r="I5865" s="15">
        <f t="shared" ca="1" si="1725"/>
        <v>0</v>
      </c>
      <c r="J5865" s="15" t="str">
        <f t="shared" ca="1" si="1732"/>
        <v>'0'!A48</v>
      </c>
      <c r="K5865" s="15" t="str">
        <f t="shared" ca="1" si="1733"/>
        <v>'0'!B48</v>
      </c>
    </row>
    <row r="5866" spans="1:16" x14ac:dyDescent="0.25">
      <c r="A5866" s="3" t="str">
        <f t="shared" ca="1" si="1715"/>
        <v/>
      </c>
      <c r="G5866" s="15">
        <f t="shared" ca="1" si="1724"/>
        <v>49</v>
      </c>
      <c r="H5866" s="15">
        <v>1</v>
      </c>
      <c r="I5866" s="15">
        <f t="shared" ca="1" si="1725"/>
        <v>0</v>
      </c>
      <c r="J5866" s="15" t="str">
        <f t="shared" ca="1" si="1732"/>
        <v>'0'!A49</v>
      </c>
      <c r="K5866" s="15" t="str">
        <f t="shared" ca="1" si="1733"/>
        <v>'0'!B49</v>
      </c>
    </row>
    <row r="5867" spans="1:16" x14ac:dyDescent="0.25">
      <c r="A5867" s="3" t="str">
        <f t="shared" ca="1" si="1715"/>
        <v/>
      </c>
      <c r="G5867" s="15">
        <f t="shared" ca="1" si="1724"/>
        <v>50</v>
      </c>
      <c r="H5867" s="15">
        <v>1</v>
      </c>
      <c r="I5867" s="15">
        <f t="shared" ca="1" si="1725"/>
        <v>0</v>
      </c>
      <c r="J5867" s="15" t="str">
        <f t="shared" ca="1" si="1732"/>
        <v>'0'!A50</v>
      </c>
      <c r="K5867" s="15" t="str">
        <f t="shared" ca="1" si="1733"/>
        <v>'0'!B50</v>
      </c>
    </row>
    <row r="5868" spans="1:16" x14ac:dyDescent="0.25">
      <c r="A5868" s="3" t="str">
        <f t="shared" ref="A5868:A5931" ca="1" si="1734">IFERROR(IF(INDIRECT(J5868)&lt;&gt;"",CONCATENATE(INDIRECT(J5868)," = ",INDIRECT(K5868)," "),""),"")</f>
        <v/>
      </c>
      <c r="G5868" s="15">
        <f t="shared" ref="G5868" ca="1" si="1735">INDIRECT(M5868)</f>
        <v>31</v>
      </c>
      <c r="H5868" s="15">
        <v>1</v>
      </c>
      <c r="I5868" s="15">
        <f t="shared" ref="I5868" ca="1" si="1736">INDIRECT(N5868)</f>
        <v>0</v>
      </c>
      <c r="J5868" s="15" t="str">
        <f t="shared" ca="1" si="1732"/>
        <v>'0'!A31</v>
      </c>
      <c r="K5868" s="15" t="str">
        <f t="shared" ca="1" si="1733"/>
        <v>'0'!B31</v>
      </c>
      <c r="M5868" s="15" t="str">
        <f t="shared" ref="M5868" si="1737">ADDRESS(O5868,3,4,1,$R$1)</f>
        <v>konfig!C295</v>
      </c>
      <c r="N5868" s="15" t="str">
        <f t="shared" ref="N5868" si="1738">ADDRESS(O5868,1,4,1,$R$1)</f>
        <v>konfig!A295</v>
      </c>
      <c r="O5868" s="15">
        <v>295</v>
      </c>
      <c r="P5868" s="15">
        <v>4</v>
      </c>
    </row>
    <row r="5869" spans="1:16" x14ac:dyDescent="0.25">
      <c r="A5869" s="3" t="str">
        <f t="shared" ca="1" si="1734"/>
        <v/>
      </c>
      <c r="G5869" s="15">
        <f t="shared" ref="G5869:G5909" ca="1" si="1739">G5868+1</f>
        <v>32</v>
      </c>
      <c r="H5869" s="15">
        <v>1</v>
      </c>
      <c r="I5869" s="15">
        <f t="shared" ref="I5869:I5909" ca="1" si="1740">I5868</f>
        <v>0</v>
      </c>
      <c r="J5869" s="15" t="str">
        <f t="shared" ca="1" si="1732"/>
        <v>'0'!A32</v>
      </c>
      <c r="K5869" s="15" t="str">
        <f t="shared" ca="1" si="1733"/>
        <v>'0'!B32</v>
      </c>
    </row>
    <row r="5870" spans="1:16" x14ac:dyDescent="0.25">
      <c r="A5870" s="3" t="str">
        <f t="shared" ca="1" si="1734"/>
        <v/>
      </c>
      <c r="G5870" s="15">
        <f t="shared" ca="1" si="1724"/>
        <v>33</v>
      </c>
      <c r="H5870" s="15">
        <v>1</v>
      </c>
      <c r="I5870" s="15">
        <f t="shared" ca="1" si="1725"/>
        <v>0</v>
      </c>
      <c r="J5870" s="15" t="str">
        <f t="shared" ca="1" si="1732"/>
        <v>'0'!A33</v>
      </c>
      <c r="K5870" s="15" t="str">
        <f t="shared" ca="1" si="1733"/>
        <v>'0'!B33</v>
      </c>
    </row>
    <row r="5871" spans="1:16" x14ac:dyDescent="0.25">
      <c r="A5871" s="3" t="str">
        <f t="shared" ca="1" si="1734"/>
        <v/>
      </c>
      <c r="C5871" s="16"/>
      <c r="G5871" s="15">
        <f t="shared" ca="1" si="1724"/>
        <v>34</v>
      </c>
      <c r="H5871" s="15">
        <v>1</v>
      </c>
      <c r="I5871" s="15">
        <f t="shared" ca="1" si="1725"/>
        <v>0</v>
      </c>
      <c r="J5871" s="15" t="str">
        <f t="shared" ca="1" si="1732"/>
        <v>'0'!A34</v>
      </c>
      <c r="K5871" s="15" t="str">
        <f t="shared" ca="1" si="1733"/>
        <v>'0'!B34</v>
      </c>
    </row>
    <row r="5872" spans="1:16" x14ac:dyDescent="0.25">
      <c r="A5872" s="3" t="str">
        <f t="shared" ca="1" si="1734"/>
        <v/>
      </c>
      <c r="G5872" s="15">
        <f t="shared" ca="1" si="1724"/>
        <v>35</v>
      </c>
      <c r="H5872" s="15">
        <v>1</v>
      </c>
      <c r="I5872" s="15">
        <f t="shared" ca="1" si="1725"/>
        <v>0</v>
      </c>
      <c r="J5872" s="15" t="str">
        <f t="shared" ca="1" si="1732"/>
        <v>'0'!A35</v>
      </c>
      <c r="K5872" s="15" t="str">
        <f t="shared" ca="1" si="1733"/>
        <v>'0'!B35</v>
      </c>
    </row>
    <row r="5873" spans="1:16" x14ac:dyDescent="0.25">
      <c r="A5873" s="3" t="str">
        <f t="shared" ca="1" si="1734"/>
        <v/>
      </c>
      <c r="G5873" s="15">
        <f t="shared" ca="1" si="1724"/>
        <v>36</v>
      </c>
      <c r="H5873" s="15">
        <v>1</v>
      </c>
      <c r="I5873" s="15">
        <f t="shared" ca="1" si="1725"/>
        <v>0</v>
      </c>
      <c r="J5873" s="15" t="str">
        <f t="shared" ca="1" si="1732"/>
        <v>'0'!A36</v>
      </c>
      <c r="K5873" s="15" t="str">
        <f t="shared" ca="1" si="1733"/>
        <v>'0'!B36</v>
      </c>
    </row>
    <row r="5874" spans="1:16" x14ac:dyDescent="0.25">
      <c r="A5874" s="3" t="str">
        <f t="shared" ca="1" si="1734"/>
        <v/>
      </c>
      <c r="G5874" s="15">
        <f t="shared" ca="1" si="1724"/>
        <v>37</v>
      </c>
      <c r="H5874" s="15">
        <v>1</v>
      </c>
      <c r="I5874" s="15">
        <f t="shared" ca="1" si="1725"/>
        <v>0</v>
      </c>
      <c r="J5874" s="15" t="str">
        <f t="shared" ca="1" si="1732"/>
        <v>'0'!A37</v>
      </c>
      <c r="K5874" s="15" t="str">
        <f t="shared" ca="1" si="1733"/>
        <v>'0'!B37</v>
      </c>
    </row>
    <row r="5875" spans="1:16" x14ac:dyDescent="0.25">
      <c r="A5875" s="3" t="str">
        <f t="shared" ca="1" si="1734"/>
        <v/>
      </c>
      <c r="G5875" s="15">
        <f t="shared" ca="1" si="1724"/>
        <v>38</v>
      </c>
      <c r="H5875" s="15">
        <v>1</v>
      </c>
      <c r="I5875" s="15">
        <f t="shared" ca="1" si="1725"/>
        <v>0</v>
      </c>
      <c r="J5875" s="15" t="str">
        <f t="shared" ca="1" si="1732"/>
        <v>'0'!A38</v>
      </c>
      <c r="K5875" s="15" t="str">
        <f t="shared" ca="1" si="1733"/>
        <v>'0'!B38</v>
      </c>
    </row>
    <row r="5876" spans="1:16" x14ac:dyDescent="0.25">
      <c r="A5876" s="3" t="str">
        <f t="shared" ca="1" si="1734"/>
        <v/>
      </c>
      <c r="G5876" s="15">
        <f t="shared" ca="1" si="1724"/>
        <v>39</v>
      </c>
      <c r="H5876" s="15">
        <v>1</v>
      </c>
      <c r="I5876" s="15">
        <f t="shared" ca="1" si="1725"/>
        <v>0</v>
      </c>
      <c r="J5876" s="15" t="str">
        <f t="shared" ca="1" si="1732"/>
        <v>'0'!A39</v>
      </c>
      <c r="K5876" s="15" t="str">
        <f t="shared" ca="1" si="1733"/>
        <v>'0'!B39</v>
      </c>
    </row>
    <row r="5877" spans="1:16" x14ac:dyDescent="0.25">
      <c r="A5877" s="3" t="str">
        <f t="shared" ca="1" si="1734"/>
        <v/>
      </c>
      <c r="G5877" s="15">
        <f t="shared" ca="1" si="1724"/>
        <v>40</v>
      </c>
      <c r="H5877" s="15">
        <v>1</v>
      </c>
      <c r="I5877" s="15">
        <f t="shared" ca="1" si="1725"/>
        <v>0</v>
      </c>
      <c r="J5877" s="15" t="str">
        <f t="shared" ca="1" si="1732"/>
        <v>'0'!A40</v>
      </c>
      <c r="K5877" s="15" t="str">
        <f t="shared" ca="1" si="1733"/>
        <v>'0'!B40</v>
      </c>
    </row>
    <row r="5878" spans="1:16" x14ac:dyDescent="0.25">
      <c r="A5878" s="3" t="str">
        <f t="shared" ca="1" si="1734"/>
        <v/>
      </c>
      <c r="G5878" s="15">
        <f t="shared" ca="1" si="1724"/>
        <v>41</v>
      </c>
      <c r="H5878" s="15">
        <v>1</v>
      </c>
      <c r="I5878" s="15">
        <f t="shared" ca="1" si="1725"/>
        <v>0</v>
      </c>
      <c r="J5878" s="15" t="str">
        <f t="shared" ca="1" si="1732"/>
        <v>'0'!A41</v>
      </c>
      <c r="K5878" s="15" t="str">
        <f t="shared" ca="1" si="1733"/>
        <v>'0'!B41</v>
      </c>
    </row>
    <row r="5879" spans="1:16" x14ac:dyDescent="0.25">
      <c r="A5879" s="3" t="str">
        <f t="shared" ca="1" si="1734"/>
        <v/>
      </c>
      <c r="C5879" s="16"/>
      <c r="G5879" s="15">
        <f t="shared" ca="1" si="1724"/>
        <v>42</v>
      </c>
      <c r="H5879" s="15">
        <v>1</v>
      </c>
      <c r="I5879" s="15">
        <f t="shared" ca="1" si="1725"/>
        <v>0</v>
      </c>
      <c r="J5879" s="15" t="str">
        <f t="shared" ca="1" si="1732"/>
        <v>'0'!A42</v>
      </c>
      <c r="K5879" s="15" t="str">
        <f t="shared" ca="1" si="1733"/>
        <v>'0'!B42</v>
      </c>
    </row>
    <row r="5880" spans="1:16" x14ac:dyDescent="0.25">
      <c r="A5880" s="3" t="str">
        <f t="shared" ca="1" si="1734"/>
        <v/>
      </c>
      <c r="G5880" s="15">
        <f t="shared" ca="1" si="1724"/>
        <v>43</v>
      </c>
      <c r="H5880" s="15">
        <v>1</v>
      </c>
      <c r="I5880" s="15">
        <f t="shared" ca="1" si="1725"/>
        <v>0</v>
      </c>
      <c r="J5880" s="15" t="str">
        <f t="shared" ca="1" si="1732"/>
        <v>'0'!A43</v>
      </c>
      <c r="K5880" s="15" t="str">
        <f t="shared" ca="1" si="1733"/>
        <v>'0'!B43</v>
      </c>
    </row>
    <row r="5881" spans="1:16" x14ac:dyDescent="0.25">
      <c r="A5881" s="3" t="str">
        <f t="shared" ca="1" si="1734"/>
        <v/>
      </c>
      <c r="G5881" s="15">
        <f t="shared" ca="1" si="1724"/>
        <v>44</v>
      </c>
      <c r="H5881" s="15">
        <v>1</v>
      </c>
      <c r="I5881" s="15">
        <f t="shared" ca="1" si="1725"/>
        <v>0</v>
      </c>
      <c r="J5881" s="15" t="str">
        <f t="shared" ca="1" si="1732"/>
        <v>'0'!A44</v>
      </c>
      <c r="K5881" s="15" t="str">
        <f t="shared" ca="1" si="1733"/>
        <v>'0'!B44</v>
      </c>
    </row>
    <row r="5882" spans="1:16" x14ac:dyDescent="0.25">
      <c r="A5882" s="3" t="str">
        <f t="shared" ca="1" si="1734"/>
        <v/>
      </c>
      <c r="G5882" s="15">
        <f t="shared" ca="1" si="1724"/>
        <v>45</v>
      </c>
      <c r="H5882" s="15">
        <v>1</v>
      </c>
      <c r="I5882" s="15">
        <f t="shared" ca="1" si="1725"/>
        <v>0</v>
      </c>
      <c r="J5882" s="15" t="str">
        <f t="shared" ca="1" si="1732"/>
        <v>'0'!A45</v>
      </c>
      <c r="K5882" s="15" t="str">
        <f t="shared" ca="1" si="1733"/>
        <v>'0'!B45</v>
      </c>
    </row>
    <row r="5883" spans="1:16" x14ac:dyDescent="0.25">
      <c r="A5883" s="3" t="str">
        <f t="shared" ca="1" si="1734"/>
        <v/>
      </c>
      <c r="G5883" s="15">
        <f t="shared" ca="1" si="1724"/>
        <v>46</v>
      </c>
      <c r="H5883" s="15">
        <v>1</v>
      </c>
      <c r="I5883" s="15">
        <f t="shared" ca="1" si="1725"/>
        <v>0</v>
      </c>
      <c r="J5883" s="15" t="str">
        <f t="shared" ca="1" si="1732"/>
        <v>'0'!A46</v>
      </c>
      <c r="K5883" s="15" t="str">
        <f t="shared" ca="1" si="1733"/>
        <v>'0'!B46</v>
      </c>
    </row>
    <row r="5884" spans="1:16" x14ac:dyDescent="0.25">
      <c r="A5884" s="3" t="str">
        <f t="shared" ca="1" si="1734"/>
        <v/>
      </c>
      <c r="G5884" s="15">
        <f t="shared" ca="1" si="1724"/>
        <v>47</v>
      </c>
      <c r="H5884" s="15">
        <v>1</v>
      </c>
      <c r="I5884" s="15">
        <f t="shared" ca="1" si="1725"/>
        <v>0</v>
      </c>
      <c r="J5884" s="15" t="str">
        <f t="shared" ca="1" si="1732"/>
        <v>'0'!A47</v>
      </c>
      <c r="K5884" s="15" t="str">
        <f t="shared" ca="1" si="1733"/>
        <v>'0'!B47</v>
      </c>
    </row>
    <row r="5885" spans="1:16" x14ac:dyDescent="0.25">
      <c r="A5885" s="3" t="str">
        <f t="shared" ca="1" si="1734"/>
        <v/>
      </c>
      <c r="G5885" s="15">
        <f t="shared" ca="1" si="1724"/>
        <v>48</v>
      </c>
      <c r="H5885" s="15">
        <v>1</v>
      </c>
      <c r="I5885" s="15">
        <f t="shared" ca="1" si="1725"/>
        <v>0</v>
      </c>
      <c r="J5885" s="15" t="str">
        <f t="shared" ca="1" si="1732"/>
        <v>'0'!A48</v>
      </c>
      <c r="K5885" s="15" t="str">
        <f t="shared" ca="1" si="1733"/>
        <v>'0'!B48</v>
      </c>
    </row>
    <row r="5886" spans="1:16" x14ac:dyDescent="0.25">
      <c r="A5886" s="3" t="str">
        <f t="shared" ca="1" si="1734"/>
        <v/>
      </c>
      <c r="G5886" s="15">
        <f t="shared" ca="1" si="1724"/>
        <v>49</v>
      </c>
      <c r="H5886" s="15">
        <v>1</v>
      </c>
      <c r="I5886" s="15">
        <f t="shared" ca="1" si="1725"/>
        <v>0</v>
      </c>
      <c r="J5886" s="15" t="str">
        <f t="shared" ca="1" si="1732"/>
        <v>'0'!A49</v>
      </c>
      <c r="K5886" s="15" t="str">
        <f t="shared" ca="1" si="1733"/>
        <v>'0'!B49</v>
      </c>
    </row>
    <row r="5887" spans="1:16" x14ac:dyDescent="0.25">
      <c r="A5887" s="3" t="str">
        <f t="shared" ca="1" si="1734"/>
        <v/>
      </c>
      <c r="G5887" s="15">
        <f t="shared" ca="1" si="1724"/>
        <v>50</v>
      </c>
      <c r="H5887" s="15">
        <v>1</v>
      </c>
      <c r="I5887" s="15">
        <f t="shared" ca="1" si="1725"/>
        <v>0</v>
      </c>
      <c r="J5887" s="15" t="str">
        <f t="shared" ca="1" si="1732"/>
        <v>'0'!A50</v>
      </c>
      <c r="K5887" s="15" t="str">
        <f t="shared" ca="1" si="1733"/>
        <v>'0'!B50</v>
      </c>
    </row>
    <row r="5888" spans="1:16" x14ac:dyDescent="0.25">
      <c r="A5888" s="3" t="str">
        <f t="shared" ca="1" si="1734"/>
        <v/>
      </c>
      <c r="G5888" s="15">
        <f t="shared" ref="G5888" ca="1" si="1741">INDIRECT(M5888)</f>
        <v>31</v>
      </c>
      <c r="H5888" s="15">
        <v>1</v>
      </c>
      <c r="I5888" s="15">
        <f t="shared" ref="I5888" ca="1" si="1742">INDIRECT(N5888)</f>
        <v>0</v>
      </c>
      <c r="J5888" s="15" t="str">
        <f t="shared" ca="1" si="1732"/>
        <v>'0'!A31</v>
      </c>
      <c r="K5888" s="15" t="str">
        <f t="shared" ca="1" si="1733"/>
        <v>'0'!B31</v>
      </c>
      <c r="M5888" s="15" t="str">
        <f t="shared" ref="M5888" si="1743">ADDRESS(O5888,3,4,1,$R$1)</f>
        <v>konfig!C296</v>
      </c>
      <c r="N5888" s="15" t="str">
        <f t="shared" ref="N5888" si="1744">ADDRESS(O5888,1,4,1,$R$1)</f>
        <v>konfig!A296</v>
      </c>
      <c r="O5888" s="15">
        <v>296</v>
      </c>
      <c r="P5888" s="15">
        <v>4</v>
      </c>
    </row>
    <row r="5889" spans="1:11" x14ac:dyDescent="0.25">
      <c r="A5889" s="3" t="str">
        <f t="shared" ca="1" si="1734"/>
        <v/>
      </c>
      <c r="G5889" s="15">
        <f t="shared" ca="1" si="1730"/>
        <v>32</v>
      </c>
      <c r="H5889" s="15">
        <v>1</v>
      </c>
      <c r="I5889" s="15">
        <f t="shared" ca="1" si="1731"/>
        <v>0</v>
      </c>
      <c r="J5889" s="15" t="str">
        <f t="shared" ca="1" si="1732"/>
        <v>'0'!A32</v>
      </c>
      <c r="K5889" s="15" t="str">
        <f t="shared" ca="1" si="1733"/>
        <v>'0'!B32</v>
      </c>
    </row>
    <row r="5890" spans="1:11" x14ac:dyDescent="0.25">
      <c r="A5890" s="3" t="str">
        <f t="shared" ca="1" si="1734"/>
        <v/>
      </c>
      <c r="G5890" s="15">
        <f t="shared" ca="1" si="1730"/>
        <v>33</v>
      </c>
      <c r="H5890" s="15">
        <v>1</v>
      </c>
      <c r="I5890" s="15">
        <f t="shared" ca="1" si="1731"/>
        <v>0</v>
      </c>
      <c r="J5890" s="15" t="str">
        <f t="shared" ca="1" si="1732"/>
        <v>'0'!A33</v>
      </c>
      <c r="K5890" s="15" t="str">
        <f t="shared" ca="1" si="1733"/>
        <v>'0'!B33</v>
      </c>
    </row>
    <row r="5891" spans="1:11" x14ac:dyDescent="0.25">
      <c r="A5891" s="3" t="str">
        <f t="shared" ca="1" si="1734"/>
        <v/>
      </c>
      <c r="C5891" s="16"/>
      <c r="G5891" s="15">
        <f t="shared" ca="1" si="1730"/>
        <v>34</v>
      </c>
      <c r="H5891" s="15">
        <v>1</v>
      </c>
      <c r="I5891" s="15">
        <f t="shared" ca="1" si="1731"/>
        <v>0</v>
      </c>
      <c r="J5891" s="15" t="str">
        <f t="shared" ca="1" si="1732"/>
        <v>'0'!A34</v>
      </c>
      <c r="K5891" s="15" t="str">
        <f t="shared" ca="1" si="1733"/>
        <v>'0'!B34</v>
      </c>
    </row>
    <row r="5892" spans="1:11" x14ac:dyDescent="0.25">
      <c r="A5892" s="3" t="str">
        <f t="shared" ca="1" si="1734"/>
        <v/>
      </c>
      <c r="G5892" s="15">
        <f t="shared" ca="1" si="1730"/>
        <v>35</v>
      </c>
      <c r="H5892" s="15">
        <v>1</v>
      </c>
      <c r="I5892" s="15">
        <f t="shared" ca="1" si="1731"/>
        <v>0</v>
      </c>
      <c r="J5892" s="15" t="str">
        <f t="shared" ca="1" si="1732"/>
        <v>'0'!A35</v>
      </c>
      <c r="K5892" s="15" t="str">
        <f t="shared" ca="1" si="1733"/>
        <v>'0'!B35</v>
      </c>
    </row>
    <row r="5893" spans="1:11" x14ac:dyDescent="0.25">
      <c r="A5893" s="3" t="str">
        <f t="shared" ca="1" si="1734"/>
        <v/>
      </c>
      <c r="G5893" s="15">
        <f t="shared" ca="1" si="1724"/>
        <v>36</v>
      </c>
      <c r="H5893" s="15">
        <v>1</v>
      </c>
      <c r="I5893" s="15">
        <f t="shared" ca="1" si="1725"/>
        <v>0</v>
      </c>
      <c r="J5893" s="15" t="str">
        <f t="shared" ca="1" si="1732"/>
        <v>'0'!A36</v>
      </c>
      <c r="K5893" s="15" t="str">
        <f t="shared" ca="1" si="1733"/>
        <v>'0'!B36</v>
      </c>
    </row>
    <row r="5894" spans="1:11" x14ac:dyDescent="0.25">
      <c r="A5894" s="3" t="str">
        <f t="shared" ca="1" si="1734"/>
        <v/>
      </c>
      <c r="G5894" s="15">
        <f t="shared" ca="1" si="1724"/>
        <v>37</v>
      </c>
      <c r="H5894" s="15">
        <v>1</v>
      </c>
      <c r="I5894" s="15">
        <f t="shared" ca="1" si="1725"/>
        <v>0</v>
      </c>
      <c r="J5894" s="15" t="str">
        <f t="shared" ca="1" si="1732"/>
        <v>'0'!A37</v>
      </c>
      <c r="K5894" s="15" t="str">
        <f t="shared" ca="1" si="1733"/>
        <v>'0'!B37</v>
      </c>
    </row>
    <row r="5895" spans="1:11" x14ac:dyDescent="0.25">
      <c r="A5895" s="3" t="str">
        <f t="shared" ca="1" si="1734"/>
        <v/>
      </c>
      <c r="G5895" s="15">
        <f t="shared" ca="1" si="1724"/>
        <v>38</v>
      </c>
      <c r="H5895" s="15">
        <v>1</v>
      </c>
      <c r="I5895" s="15">
        <f t="shared" ca="1" si="1725"/>
        <v>0</v>
      </c>
      <c r="J5895" s="15" t="str">
        <f t="shared" ca="1" si="1732"/>
        <v>'0'!A38</v>
      </c>
      <c r="K5895" s="15" t="str">
        <f t="shared" ca="1" si="1733"/>
        <v>'0'!B38</v>
      </c>
    </row>
    <row r="5896" spans="1:11" x14ac:dyDescent="0.25">
      <c r="A5896" s="3" t="str">
        <f t="shared" ca="1" si="1734"/>
        <v/>
      </c>
      <c r="G5896" s="15">
        <f t="shared" ca="1" si="1724"/>
        <v>39</v>
      </c>
      <c r="H5896" s="15">
        <v>1</v>
      </c>
      <c r="I5896" s="15">
        <f t="shared" ca="1" si="1725"/>
        <v>0</v>
      </c>
      <c r="J5896" s="15" t="str">
        <f t="shared" ca="1" si="1732"/>
        <v>'0'!A39</v>
      </c>
      <c r="K5896" s="15" t="str">
        <f t="shared" ca="1" si="1733"/>
        <v>'0'!B39</v>
      </c>
    </row>
    <row r="5897" spans="1:11" x14ac:dyDescent="0.25">
      <c r="A5897" s="3" t="str">
        <f t="shared" ca="1" si="1734"/>
        <v/>
      </c>
      <c r="G5897" s="15">
        <f t="shared" ref="G5897:G5960" ca="1" si="1745">G5896+1</f>
        <v>40</v>
      </c>
      <c r="H5897" s="15">
        <v>1</v>
      </c>
      <c r="I5897" s="15">
        <f t="shared" ref="I5897:I5960" ca="1" si="1746">I5896</f>
        <v>0</v>
      </c>
      <c r="J5897" s="15" t="str">
        <f t="shared" ca="1" si="1732"/>
        <v>'0'!A40</v>
      </c>
      <c r="K5897" s="15" t="str">
        <f t="shared" ca="1" si="1733"/>
        <v>'0'!B40</v>
      </c>
    </row>
    <row r="5898" spans="1:11" x14ac:dyDescent="0.25">
      <c r="A5898" s="3" t="str">
        <f t="shared" ca="1" si="1734"/>
        <v/>
      </c>
      <c r="G5898" s="15">
        <f t="shared" ca="1" si="1745"/>
        <v>41</v>
      </c>
      <c r="H5898" s="15">
        <v>1</v>
      </c>
      <c r="I5898" s="15">
        <f t="shared" ca="1" si="1746"/>
        <v>0</v>
      </c>
      <c r="J5898" s="15" t="str">
        <f t="shared" ca="1" si="1732"/>
        <v>'0'!A41</v>
      </c>
      <c r="K5898" s="15" t="str">
        <f t="shared" ca="1" si="1733"/>
        <v>'0'!B41</v>
      </c>
    </row>
    <row r="5899" spans="1:11" x14ac:dyDescent="0.25">
      <c r="A5899" s="3" t="str">
        <f t="shared" ca="1" si="1734"/>
        <v/>
      </c>
      <c r="C5899" s="16"/>
      <c r="G5899" s="15">
        <f t="shared" ca="1" si="1745"/>
        <v>42</v>
      </c>
      <c r="H5899" s="15">
        <v>1</v>
      </c>
      <c r="I5899" s="15">
        <f t="shared" ca="1" si="1746"/>
        <v>0</v>
      </c>
      <c r="J5899" s="15" t="str">
        <f t="shared" ca="1" si="1732"/>
        <v>'0'!A42</v>
      </c>
      <c r="K5899" s="15" t="str">
        <f t="shared" ca="1" si="1733"/>
        <v>'0'!B42</v>
      </c>
    </row>
    <row r="5900" spans="1:11" x14ac:dyDescent="0.25">
      <c r="A5900" s="3" t="str">
        <f t="shared" ca="1" si="1734"/>
        <v/>
      </c>
      <c r="G5900" s="15">
        <f t="shared" ca="1" si="1745"/>
        <v>43</v>
      </c>
      <c r="H5900" s="15">
        <v>1</v>
      </c>
      <c r="I5900" s="15">
        <f t="shared" ca="1" si="1746"/>
        <v>0</v>
      </c>
      <c r="J5900" s="15" t="str">
        <f t="shared" ca="1" si="1732"/>
        <v>'0'!A43</v>
      </c>
      <c r="K5900" s="15" t="str">
        <f t="shared" ca="1" si="1733"/>
        <v>'0'!B43</v>
      </c>
    </row>
    <row r="5901" spans="1:11" x14ac:dyDescent="0.25">
      <c r="A5901" s="3" t="str">
        <f t="shared" ca="1" si="1734"/>
        <v/>
      </c>
      <c r="G5901" s="15">
        <f t="shared" ca="1" si="1745"/>
        <v>44</v>
      </c>
      <c r="H5901" s="15">
        <v>1</v>
      </c>
      <c r="I5901" s="15">
        <f t="shared" ca="1" si="1746"/>
        <v>0</v>
      </c>
      <c r="J5901" s="15" t="str">
        <f t="shared" ca="1" si="1732"/>
        <v>'0'!A44</v>
      </c>
      <c r="K5901" s="15" t="str">
        <f t="shared" ca="1" si="1733"/>
        <v>'0'!B44</v>
      </c>
    </row>
    <row r="5902" spans="1:11" x14ac:dyDescent="0.25">
      <c r="A5902" s="3" t="str">
        <f t="shared" ca="1" si="1734"/>
        <v/>
      </c>
      <c r="G5902" s="15">
        <f t="shared" ca="1" si="1745"/>
        <v>45</v>
      </c>
      <c r="H5902" s="15">
        <v>1</v>
      </c>
      <c r="I5902" s="15">
        <f t="shared" ca="1" si="1746"/>
        <v>0</v>
      </c>
      <c r="J5902" s="15" t="str">
        <f t="shared" ca="1" si="1732"/>
        <v>'0'!A45</v>
      </c>
      <c r="K5902" s="15" t="str">
        <f t="shared" ca="1" si="1733"/>
        <v>'0'!B45</v>
      </c>
    </row>
    <row r="5903" spans="1:11" x14ac:dyDescent="0.25">
      <c r="A5903" s="3" t="str">
        <f t="shared" ca="1" si="1734"/>
        <v/>
      </c>
      <c r="G5903" s="15">
        <f t="shared" ca="1" si="1745"/>
        <v>46</v>
      </c>
      <c r="H5903" s="15">
        <v>1</v>
      </c>
      <c r="I5903" s="15">
        <f t="shared" ca="1" si="1746"/>
        <v>0</v>
      </c>
      <c r="J5903" s="15" t="str">
        <f t="shared" ca="1" si="1732"/>
        <v>'0'!A46</v>
      </c>
      <c r="K5903" s="15" t="str">
        <f t="shared" ca="1" si="1733"/>
        <v>'0'!B46</v>
      </c>
    </row>
    <row r="5904" spans="1:11" x14ac:dyDescent="0.25">
      <c r="A5904" s="3" t="str">
        <f t="shared" ca="1" si="1734"/>
        <v/>
      </c>
      <c r="G5904" s="15">
        <f t="shared" ca="1" si="1745"/>
        <v>47</v>
      </c>
      <c r="H5904" s="15">
        <v>1</v>
      </c>
      <c r="I5904" s="15">
        <f t="shared" ca="1" si="1746"/>
        <v>0</v>
      </c>
      <c r="J5904" s="15" t="str">
        <f t="shared" ca="1" si="1732"/>
        <v>'0'!A47</v>
      </c>
      <c r="K5904" s="15" t="str">
        <f t="shared" ca="1" si="1733"/>
        <v>'0'!B47</v>
      </c>
    </row>
    <row r="5905" spans="1:16" x14ac:dyDescent="0.25">
      <c r="A5905" s="3" t="str">
        <f t="shared" ca="1" si="1734"/>
        <v/>
      </c>
      <c r="G5905" s="15">
        <f t="shared" ca="1" si="1745"/>
        <v>48</v>
      </c>
      <c r="H5905" s="15">
        <v>1</v>
      </c>
      <c r="I5905" s="15">
        <f t="shared" ca="1" si="1746"/>
        <v>0</v>
      </c>
      <c r="J5905" s="15" t="str">
        <f t="shared" ca="1" si="1732"/>
        <v>'0'!A48</v>
      </c>
      <c r="K5905" s="15" t="str">
        <f t="shared" ca="1" si="1733"/>
        <v>'0'!B48</v>
      </c>
    </row>
    <row r="5906" spans="1:16" x14ac:dyDescent="0.25">
      <c r="A5906" s="3" t="str">
        <f t="shared" ca="1" si="1734"/>
        <v/>
      </c>
      <c r="G5906" s="15">
        <f t="shared" ca="1" si="1745"/>
        <v>49</v>
      </c>
      <c r="H5906" s="15">
        <v>1</v>
      </c>
      <c r="I5906" s="15">
        <f t="shared" ca="1" si="1746"/>
        <v>0</v>
      </c>
      <c r="J5906" s="15" t="str">
        <f t="shared" ca="1" si="1732"/>
        <v>'0'!A49</v>
      </c>
      <c r="K5906" s="15" t="str">
        <f t="shared" ca="1" si="1733"/>
        <v>'0'!B49</v>
      </c>
    </row>
    <row r="5907" spans="1:16" x14ac:dyDescent="0.25">
      <c r="A5907" s="3" t="str">
        <f t="shared" ca="1" si="1734"/>
        <v/>
      </c>
      <c r="G5907" s="15">
        <f t="shared" ca="1" si="1745"/>
        <v>50</v>
      </c>
      <c r="H5907" s="15">
        <v>1</v>
      </c>
      <c r="I5907" s="15">
        <f t="shared" ca="1" si="1746"/>
        <v>0</v>
      </c>
      <c r="J5907" s="15" t="str">
        <f t="shared" ca="1" si="1732"/>
        <v>'0'!A50</v>
      </c>
      <c r="K5907" s="15" t="str">
        <f t="shared" ca="1" si="1733"/>
        <v>'0'!B50</v>
      </c>
    </row>
    <row r="5908" spans="1:16" x14ac:dyDescent="0.25">
      <c r="A5908" s="3" t="str">
        <f t="shared" ca="1" si="1734"/>
        <v/>
      </c>
      <c r="G5908" s="15">
        <f t="shared" ref="G5908" ca="1" si="1747">INDIRECT(M5908)</f>
        <v>31</v>
      </c>
      <c r="H5908" s="15">
        <v>1</v>
      </c>
      <c r="I5908" s="15">
        <f t="shared" ref="I5908" ca="1" si="1748">INDIRECT(N5908)</f>
        <v>0</v>
      </c>
      <c r="J5908" s="15" t="str">
        <f t="shared" ca="1" si="1732"/>
        <v>'0'!A31</v>
      </c>
      <c r="K5908" s="15" t="str">
        <f t="shared" ca="1" si="1733"/>
        <v>'0'!B31</v>
      </c>
      <c r="M5908" s="15" t="str">
        <f t="shared" ref="M5908" si="1749">ADDRESS(O5908,3,4,1,$R$1)</f>
        <v>konfig!C297</v>
      </c>
      <c r="N5908" s="15" t="str">
        <f t="shared" ref="N5908" si="1750">ADDRESS(O5908,1,4,1,$R$1)</f>
        <v>konfig!A297</v>
      </c>
      <c r="O5908" s="15">
        <v>297</v>
      </c>
      <c r="P5908" s="15">
        <v>4</v>
      </c>
    </row>
    <row r="5909" spans="1:16" x14ac:dyDescent="0.25">
      <c r="A5909" s="3" t="str">
        <f t="shared" ca="1" si="1734"/>
        <v/>
      </c>
      <c r="G5909" s="15">
        <f t="shared" ca="1" si="1739"/>
        <v>32</v>
      </c>
      <c r="H5909" s="15">
        <v>1</v>
      </c>
      <c r="I5909" s="15">
        <f t="shared" ca="1" si="1740"/>
        <v>0</v>
      </c>
      <c r="J5909" s="15" t="str">
        <f t="shared" ca="1" si="1732"/>
        <v>'0'!A32</v>
      </c>
      <c r="K5909" s="15" t="str">
        <f t="shared" ca="1" si="1733"/>
        <v>'0'!B32</v>
      </c>
    </row>
    <row r="5910" spans="1:16" x14ac:dyDescent="0.25">
      <c r="A5910" s="3" t="str">
        <f t="shared" ca="1" si="1734"/>
        <v/>
      </c>
      <c r="G5910" s="15">
        <f t="shared" ca="1" si="1745"/>
        <v>33</v>
      </c>
      <c r="H5910" s="15">
        <v>1</v>
      </c>
      <c r="I5910" s="15">
        <f t="shared" ca="1" si="1746"/>
        <v>0</v>
      </c>
      <c r="J5910" s="15" t="str">
        <f t="shared" ca="1" si="1732"/>
        <v>'0'!A33</v>
      </c>
      <c r="K5910" s="15" t="str">
        <f t="shared" ca="1" si="1733"/>
        <v>'0'!B33</v>
      </c>
    </row>
    <row r="5911" spans="1:16" x14ac:dyDescent="0.25">
      <c r="A5911" s="3" t="str">
        <f t="shared" ca="1" si="1734"/>
        <v/>
      </c>
      <c r="C5911" s="16"/>
      <c r="G5911" s="15">
        <f t="shared" ca="1" si="1745"/>
        <v>34</v>
      </c>
      <c r="H5911" s="15">
        <v>1</v>
      </c>
      <c r="I5911" s="15">
        <f t="shared" ca="1" si="1746"/>
        <v>0</v>
      </c>
      <c r="J5911" s="15" t="str">
        <f t="shared" ca="1" si="1732"/>
        <v>'0'!A34</v>
      </c>
      <c r="K5911" s="15" t="str">
        <f t="shared" ca="1" si="1733"/>
        <v>'0'!B34</v>
      </c>
    </row>
    <row r="5912" spans="1:16" x14ac:dyDescent="0.25">
      <c r="A5912" s="3" t="str">
        <f t="shared" ca="1" si="1734"/>
        <v/>
      </c>
      <c r="G5912" s="15">
        <f t="shared" ca="1" si="1745"/>
        <v>35</v>
      </c>
      <c r="H5912" s="15">
        <v>1</v>
      </c>
      <c r="I5912" s="15">
        <f t="shared" ca="1" si="1746"/>
        <v>0</v>
      </c>
      <c r="J5912" s="15" t="str">
        <f t="shared" ca="1" si="1732"/>
        <v>'0'!A35</v>
      </c>
      <c r="K5912" s="15" t="str">
        <f t="shared" ca="1" si="1733"/>
        <v>'0'!B35</v>
      </c>
    </row>
    <row r="5913" spans="1:16" x14ac:dyDescent="0.25">
      <c r="A5913" s="3" t="str">
        <f t="shared" ca="1" si="1734"/>
        <v/>
      </c>
      <c r="G5913" s="15">
        <f t="shared" ca="1" si="1745"/>
        <v>36</v>
      </c>
      <c r="H5913" s="15">
        <v>1</v>
      </c>
      <c r="I5913" s="15">
        <f t="shared" ca="1" si="1746"/>
        <v>0</v>
      </c>
      <c r="J5913" s="15" t="str">
        <f t="shared" ca="1" si="1732"/>
        <v>'0'!A36</v>
      </c>
      <c r="K5913" s="15" t="str">
        <f t="shared" ca="1" si="1733"/>
        <v>'0'!B36</v>
      </c>
    </row>
    <row r="5914" spans="1:16" x14ac:dyDescent="0.25">
      <c r="A5914" s="3" t="str">
        <f t="shared" ca="1" si="1734"/>
        <v/>
      </c>
      <c r="G5914" s="15">
        <f t="shared" ca="1" si="1745"/>
        <v>37</v>
      </c>
      <c r="H5914" s="15">
        <v>1</v>
      </c>
      <c r="I5914" s="15">
        <f t="shared" ca="1" si="1746"/>
        <v>0</v>
      </c>
      <c r="J5914" s="15" t="str">
        <f t="shared" ca="1" si="1732"/>
        <v>'0'!A37</v>
      </c>
      <c r="K5914" s="15" t="str">
        <f t="shared" ca="1" si="1733"/>
        <v>'0'!B37</v>
      </c>
    </row>
    <row r="5915" spans="1:16" x14ac:dyDescent="0.25">
      <c r="A5915" s="3" t="str">
        <f t="shared" ca="1" si="1734"/>
        <v/>
      </c>
      <c r="G5915" s="15">
        <f t="shared" ca="1" si="1745"/>
        <v>38</v>
      </c>
      <c r="H5915" s="15">
        <v>1</v>
      </c>
      <c r="I5915" s="15">
        <f t="shared" ca="1" si="1746"/>
        <v>0</v>
      </c>
      <c r="J5915" s="15" t="str">
        <f t="shared" ca="1" si="1732"/>
        <v>'0'!A38</v>
      </c>
      <c r="K5915" s="15" t="str">
        <f t="shared" ca="1" si="1733"/>
        <v>'0'!B38</v>
      </c>
    </row>
    <row r="5916" spans="1:16" x14ac:dyDescent="0.25">
      <c r="A5916" s="3" t="str">
        <f t="shared" ca="1" si="1734"/>
        <v/>
      </c>
      <c r="G5916" s="15">
        <f t="shared" ca="1" si="1745"/>
        <v>39</v>
      </c>
      <c r="H5916" s="15">
        <v>1</v>
      </c>
      <c r="I5916" s="15">
        <f t="shared" ca="1" si="1746"/>
        <v>0</v>
      </c>
      <c r="J5916" s="15" t="str">
        <f t="shared" ca="1" si="1732"/>
        <v>'0'!A39</v>
      </c>
      <c r="K5916" s="15" t="str">
        <f t="shared" ca="1" si="1733"/>
        <v>'0'!B39</v>
      </c>
    </row>
    <row r="5917" spans="1:16" x14ac:dyDescent="0.25">
      <c r="A5917" s="3" t="str">
        <f t="shared" ca="1" si="1734"/>
        <v/>
      </c>
      <c r="G5917" s="15">
        <f t="shared" ca="1" si="1745"/>
        <v>40</v>
      </c>
      <c r="H5917" s="15">
        <v>1</v>
      </c>
      <c r="I5917" s="15">
        <f t="shared" ca="1" si="1746"/>
        <v>0</v>
      </c>
      <c r="J5917" s="15" t="str">
        <f t="shared" ca="1" si="1732"/>
        <v>'0'!A40</v>
      </c>
      <c r="K5917" s="15" t="str">
        <f t="shared" ca="1" si="1733"/>
        <v>'0'!B40</v>
      </c>
    </row>
    <row r="5918" spans="1:16" x14ac:dyDescent="0.25">
      <c r="A5918" s="3" t="str">
        <f t="shared" ca="1" si="1734"/>
        <v/>
      </c>
      <c r="G5918" s="15">
        <f t="shared" ca="1" si="1745"/>
        <v>41</v>
      </c>
      <c r="H5918" s="15">
        <v>1</v>
      </c>
      <c r="I5918" s="15">
        <f t="shared" ca="1" si="1746"/>
        <v>0</v>
      </c>
      <c r="J5918" s="15" t="str">
        <f t="shared" ca="1" si="1732"/>
        <v>'0'!A41</v>
      </c>
      <c r="K5918" s="15" t="str">
        <f t="shared" ca="1" si="1733"/>
        <v>'0'!B41</v>
      </c>
    </row>
    <row r="5919" spans="1:16" x14ac:dyDescent="0.25">
      <c r="A5919" s="3" t="str">
        <f t="shared" ca="1" si="1734"/>
        <v/>
      </c>
      <c r="C5919" s="16"/>
      <c r="G5919" s="15">
        <f t="shared" ca="1" si="1745"/>
        <v>42</v>
      </c>
      <c r="H5919" s="15">
        <v>1</v>
      </c>
      <c r="I5919" s="15">
        <f t="shared" ca="1" si="1746"/>
        <v>0</v>
      </c>
      <c r="J5919" s="15" t="str">
        <f t="shared" ca="1" si="1732"/>
        <v>'0'!A42</v>
      </c>
      <c r="K5919" s="15" t="str">
        <f t="shared" ca="1" si="1733"/>
        <v>'0'!B42</v>
      </c>
    </row>
    <row r="5920" spans="1:16" x14ac:dyDescent="0.25">
      <c r="A5920" s="3" t="str">
        <f t="shared" ca="1" si="1734"/>
        <v/>
      </c>
      <c r="G5920" s="15">
        <f t="shared" ca="1" si="1745"/>
        <v>43</v>
      </c>
      <c r="H5920" s="15">
        <v>1</v>
      </c>
      <c r="I5920" s="15">
        <f t="shared" ca="1" si="1746"/>
        <v>0</v>
      </c>
      <c r="J5920" s="15" t="str">
        <f t="shared" ca="1" si="1732"/>
        <v>'0'!A43</v>
      </c>
      <c r="K5920" s="15" t="str">
        <f t="shared" ca="1" si="1733"/>
        <v>'0'!B43</v>
      </c>
    </row>
    <row r="5921" spans="1:16" x14ac:dyDescent="0.25">
      <c r="A5921" s="3" t="str">
        <f t="shared" ca="1" si="1734"/>
        <v/>
      </c>
      <c r="G5921" s="15">
        <f t="shared" ca="1" si="1745"/>
        <v>44</v>
      </c>
      <c r="H5921" s="15">
        <v>1</v>
      </c>
      <c r="I5921" s="15">
        <f t="shared" ca="1" si="1746"/>
        <v>0</v>
      </c>
      <c r="J5921" s="15" t="str">
        <f t="shared" ca="1" si="1732"/>
        <v>'0'!A44</v>
      </c>
      <c r="K5921" s="15" t="str">
        <f t="shared" ca="1" si="1733"/>
        <v>'0'!B44</v>
      </c>
    </row>
    <row r="5922" spans="1:16" x14ac:dyDescent="0.25">
      <c r="A5922" s="3" t="str">
        <f t="shared" ca="1" si="1734"/>
        <v/>
      </c>
      <c r="G5922" s="15">
        <f t="shared" ca="1" si="1745"/>
        <v>45</v>
      </c>
      <c r="H5922" s="15">
        <v>1</v>
      </c>
      <c r="I5922" s="15">
        <f t="shared" ca="1" si="1746"/>
        <v>0</v>
      </c>
      <c r="J5922" s="15" t="str">
        <f t="shared" ca="1" si="1732"/>
        <v>'0'!A45</v>
      </c>
      <c r="K5922" s="15" t="str">
        <f t="shared" ca="1" si="1733"/>
        <v>'0'!B45</v>
      </c>
    </row>
    <row r="5923" spans="1:16" x14ac:dyDescent="0.25">
      <c r="A5923" s="3" t="str">
        <f t="shared" ca="1" si="1734"/>
        <v/>
      </c>
      <c r="G5923" s="15">
        <f t="shared" ca="1" si="1745"/>
        <v>46</v>
      </c>
      <c r="H5923" s="15">
        <v>1</v>
      </c>
      <c r="I5923" s="15">
        <f t="shared" ca="1" si="1746"/>
        <v>0</v>
      </c>
      <c r="J5923" s="15" t="str">
        <f t="shared" ca="1" si="1732"/>
        <v>'0'!A46</v>
      </c>
      <c r="K5923" s="15" t="str">
        <f t="shared" ca="1" si="1733"/>
        <v>'0'!B46</v>
      </c>
    </row>
    <row r="5924" spans="1:16" x14ac:dyDescent="0.25">
      <c r="A5924" s="3" t="str">
        <f t="shared" ca="1" si="1734"/>
        <v/>
      </c>
      <c r="G5924" s="15">
        <f t="shared" ca="1" si="1745"/>
        <v>47</v>
      </c>
      <c r="H5924" s="15">
        <v>1</v>
      </c>
      <c r="I5924" s="15">
        <f t="shared" ca="1" si="1746"/>
        <v>0</v>
      </c>
      <c r="J5924" s="15" t="str">
        <f t="shared" ref="J5924:J5987" ca="1" si="1751">ADDRESS(G5924,H5924,4,1,I5924)</f>
        <v>'0'!A47</v>
      </c>
      <c r="K5924" s="15" t="str">
        <f t="shared" ref="K5924:K5987" ca="1" si="1752">ADDRESS(G5924,H5924+1,4,1,I5924)</f>
        <v>'0'!B47</v>
      </c>
    </row>
    <row r="5925" spans="1:16" x14ac:dyDescent="0.25">
      <c r="A5925" s="3" t="str">
        <f t="shared" ca="1" si="1734"/>
        <v/>
      </c>
      <c r="G5925" s="15">
        <f t="shared" ca="1" si="1745"/>
        <v>48</v>
      </c>
      <c r="H5925" s="15">
        <v>1</v>
      </c>
      <c r="I5925" s="15">
        <f t="shared" ca="1" si="1746"/>
        <v>0</v>
      </c>
      <c r="J5925" s="15" t="str">
        <f t="shared" ca="1" si="1751"/>
        <v>'0'!A48</v>
      </c>
      <c r="K5925" s="15" t="str">
        <f t="shared" ca="1" si="1752"/>
        <v>'0'!B48</v>
      </c>
    </row>
    <row r="5926" spans="1:16" x14ac:dyDescent="0.25">
      <c r="A5926" s="3" t="str">
        <f t="shared" ca="1" si="1734"/>
        <v/>
      </c>
      <c r="G5926" s="15">
        <f t="shared" ca="1" si="1745"/>
        <v>49</v>
      </c>
      <c r="H5926" s="15">
        <v>1</v>
      </c>
      <c r="I5926" s="15">
        <f t="shared" ca="1" si="1746"/>
        <v>0</v>
      </c>
      <c r="J5926" s="15" t="str">
        <f t="shared" ca="1" si="1751"/>
        <v>'0'!A49</v>
      </c>
      <c r="K5926" s="15" t="str">
        <f t="shared" ca="1" si="1752"/>
        <v>'0'!B49</v>
      </c>
    </row>
    <row r="5927" spans="1:16" x14ac:dyDescent="0.25">
      <c r="A5927" s="3" t="str">
        <f t="shared" ca="1" si="1734"/>
        <v/>
      </c>
      <c r="G5927" s="15">
        <f t="shared" ca="1" si="1745"/>
        <v>50</v>
      </c>
      <c r="H5927" s="15">
        <v>1</v>
      </c>
      <c r="I5927" s="15">
        <f t="shared" ca="1" si="1746"/>
        <v>0</v>
      </c>
      <c r="J5927" s="15" t="str">
        <f t="shared" ca="1" si="1751"/>
        <v>'0'!A50</v>
      </c>
      <c r="K5927" s="15" t="str">
        <f t="shared" ca="1" si="1752"/>
        <v>'0'!B50</v>
      </c>
    </row>
    <row r="5928" spans="1:16" x14ac:dyDescent="0.25">
      <c r="A5928" s="3" t="str">
        <f t="shared" ca="1" si="1734"/>
        <v/>
      </c>
      <c r="G5928" s="15">
        <f t="shared" ref="G5928" ca="1" si="1753">INDIRECT(M5928)</f>
        <v>31</v>
      </c>
      <c r="H5928" s="15">
        <v>1</v>
      </c>
      <c r="I5928" s="15">
        <f t="shared" ref="I5928" ca="1" si="1754">INDIRECT(N5928)</f>
        <v>0</v>
      </c>
      <c r="J5928" s="15" t="str">
        <f t="shared" ca="1" si="1751"/>
        <v>'0'!A31</v>
      </c>
      <c r="K5928" s="15" t="str">
        <f t="shared" ca="1" si="1752"/>
        <v>'0'!B31</v>
      </c>
      <c r="M5928" s="15" t="str">
        <f t="shared" ref="M5928" si="1755">ADDRESS(O5928,3,4,1,$R$1)</f>
        <v>konfig!C298</v>
      </c>
      <c r="N5928" s="15" t="str">
        <f t="shared" ref="N5928" si="1756">ADDRESS(O5928,1,4,1,$R$1)</f>
        <v>konfig!A298</v>
      </c>
      <c r="O5928" s="15">
        <v>298</v>
      </c>
      <c r="P5928" s="15">
        <v>4</v>
      </c>
    </row>
    <row r="5929" spans="1:16" x14ac:dyDescent="0.25">
      <c r="A5929" s="3" t="str">
        <f t="shared" ca="1" si="1734"/>
        <v/>
      </c>
      <c r="G5929" s="15">
        <f t="shared" ref="G5929:G5972" ca="1" si="1757">G5928+1</f>
        <v>32</v>
      </c>
      <c r="H5929" s="15">
        <v>1</v>
      </c>
      <c r="I5929" s="15">
        <f t="shared" ref="I5929:I5972" ca="1" si="1758">I5928</f>
        <v>0</v>
      </c>
      <c r="J5929" s="15" t="str">
        <f t="shared" ca="1" si="1751"/>
        <v>'0'!A32</v>
      </c>
      <c r="K5929" s="15" t="str">
        <f t="shared" ca="1" si="1752"/>
        <v>'0'!B32</v>
      </c>
    </row>
    <row r="5930" spans="1:16" x14ac:dyDescent="0.25">
      <c r="A5930" s="3" t="str">
        <f t="shared" ca="1" si="1734"/>
        <v/>
      </c>
      <c r="G5930" s="15">
        <f t="shared" ca="1" si="1757"/>
        <v>33</v>
      </c>
      <c r="H5930" s="15">
        <v>1</v>
      </c>
      <c r="I5930" s="15">
        <f t="shared" ca="1" si="1758"/>
        <v>0</v>
      </c>
      <c r="J5930" s="15" t="str">
        <f t="shared" ca="1" si="1751"/>
        <v>'0'!A33</v>
      </c>
      <c r="K5930" s="15" t="str">
        <f t="shared" ca="1" si="1752"/>
        <v>'0'!B33</v>
      </c>
    </row>
    <row r="5931" spans="1:16" x14ac:dyDescent="0.25">
      <c r="A5931" s="3" t="str">
        <f t="shared" ca="1" si="1734"/>
        <v/>
      </c>
      <c r="C5931" s="16"/>
      <c r="G5931" s="15">
        <f t="shared" ca="1" si="1757"/>
        <v>34</v>
      </c>
      <c r="H5931" s="15">
        <v>1</v>
      </c>
      <c r="I5931" s="15">
        <f t="shared" ca="1" si="1758"/>
        <v>0</v>
      </c>
      <c r="J5931" s="15" t="str">
        <f t="shared" ca="1" si="1751"/>
        <v>'0'!A34</v>
      </c>
      <c r="K5931" s="15" t="str">
        <f t="shared" ca="1" si="1752"/>
        <v>'0'!B34</v>
      </c>
    </row>
    <row r="5932" spans="1:16" x14ac:dyDescent="0.25">
      <c r="A5932" s="3" t="str">
        <f t="shared" ref="A5932:A5995" ca="1" si="1759">IFERROR(IF(INDIRECT(J5932)&lt;&gt;"",CONCATENATE(INDIRECT(J5932)," = ",INDIRECT(K5932)," "),""),"")</f>
        <v/>
      </c>
      <c r="G5932" s="15">
        <f t="shared" ca="1" si="1757"/>
        <v>35</v>
      </c>
      <c r="H5932" s="15">
        <v>1</v>
      </c>
      <c r="I5932" s="15">
        <f t="shared" ca="1" si="1758"/>
        <v>0</v>
      </c>
      <c r="J5932" s="15" t="str">
        <f t="shared" ca="1" si="1751"/>
        <v>'0'!A35</v>
      </c>
      <c r="K5932" s="15" t="str">
        <f t="shared" ca="1" si="1752"/>
        <v>'0'!B35</v>
      </c>
    </row>
    <row r="5933" spans="1:16" x14ac:dyDescent="0.25">
      <c r="A5933" s="3" t="str">
        <f t="shared" ca="1" si="1759"/>
        <v/>
      </c>
      <c r="G5933" s="15">
        <f t="shared" ca="1" si="1745"/>
        <v>36</v>
      </c>
      <c r="H5933" s="15">
        <v>1</v>
      </c>
      <c r="I5933" s="15">
        <f t="shared" ca="1" si="1746"/>
        <v>0</v>
      </c>
      <c r="J5933" s="15" t="str">
        <f t="shared" ca="1" si="1751"/>
        <v>'0'!A36</v>
      </c>
      <c r="K5933" s="15" t="str">
        <f t="shared" ca="1" si="1752"/>
        <v>'0'!B36</v>
      </c>
    </row>
    <row r="5934" spans="1:16" x14ac:dyDescent="0.25">
      <c r="A5934" s="3" t="str">
        <f t="shared" ca="1" si="1759"/>
        <v/>
      </c>
      <c r="G5934" s="15">
        <f t="shared" ca="1" si="1745"/>
        <v>37</v>
      </c>
      <c r="H5934" s="15">
        <v>1</v>
      </c>
      <c r="I5934" s="15">
        <f t="shared" ca="1" si="1746"/>
        <v>0</v>
      </c>
      <c r="J5934" s="15" t="str">
        <f t="shared" ca="1" si="1751"/>
        <v>'0'!A37</v>
      </c>
      <c r="K5934" s="15" t="str">
        <f t="shared" ca="1" si="1752"/>
        <v>'0'!B37</v>
      </c>
    </row>
    <row r="5935" spans="1:16" x14ac:dyDescent="0.25">
      <c r="A5935" s="3" t="str">
        <f t="shared" ca="1" si="1759"/>
        <v/>
      </c>
      <c r="G5935" s="15">
        <f t="shared" ca="1" si="1745"/>
        <v>38</v>
      </c>
      <c r="H5935" s="15">
        <v>1</v>
      </c>
      <c r="I5935" s="15">
        <f t="shared" ca="1" si="1746"/>
        <v>0</v>
      </c>
      <c r="J5935" s="15" t="str">
        <f t="shared" ca="1" si="1751"/>
        <v>'0'!A38</v>
      </c>
      <c r="K5935" s="15" t="str">
        <f t="shared" ca="1" si="1752"/>
        <v>'0'!B38</v>
      </c>
    </row>
    <row r="5936" spans="1:16" x14ac:dyDescent="0.25">
      <c r="A5936" s="3" t="str">
        <f t="shared" ca="1" si="1759"/>
        <v/>
      </c>
      <c r="G5936" s="15">
        <f t="shared" ca="1" si="1745"/>
        <v>39</v>
      </c>
      <c r="H5936" s="15">
        <v>1</v>
      </c>
      <c r="I5936" s="15">
        <f t="shared" ca="1" si="1746"/>
        <v>0</v>
      </c>
      <c r="J5936" s="15" t="str">
        <f t="shared" ca="1" si="1751"/>
        <v>'0'!A39</v>
      </c>
      <c r="K5936" s="15" t="str">
        <f t="shared" ca="1" si="1752"/>
        <v>'0'!B39</v>
      </c>
    </row>
    <row r="5937" spans="1:16" x14ac:dyDescent="0.25">
      <c r="A5937" s="3" t="str">
        <f t="shared" ca="1" si="1759"/>
        <v/>
      </c>
      <c r="G5937" s="15">
        <f t="shared" ca="1" si="1745"/>
        <v>40</v>
      </c>
      <c r="H5937" s="15">
        <v>1</v>
      </c>
      <c r="I5937" s="15">
        <f t="shared" ca="1" si="1746"/>
        <v>0</v>
      </c>
      <c r="J5937" s="15" t="str">
        <f t="shared" ca="1" si="1751"/>
        <v>'0'!A40</v>
      </c>
      <c r="K5937" s="15" t="str">
        <f t="shared" ca="1" si="1752"/>
        <v>'0'!B40</v>
      </c>
    </row>
    <row r="5938" spans="1:16" x14ac:dyDescent="0.25">
      <c r="A5938" s="3" t="str">
        <f t="shared" ca="1" si="1759"/>
        <v/>
      </c>
      <c r="G5938" s="15">
        <f t="shared" ca="1" si="1745"/>
        <v>41</v>
      </c>
      <c r="H5938" s="15">
        <v>1</v>
      </c>
      <c r="I5938" s="15">
        <f t="shared" ca="1" si="1746"/>
        <v>0</v>
      </c>
      <c r="J5938" s="15" t="str">
        <f t="shared" ca="1" si="1751"/>
        <v>'0'!A41</v>
      </c>
      <c r="K5938" s="15" t="str">
        <f t="shared" ca="1" si="1752"/>
        <v>'0'!B41</v>
      </c>
    </row>
    <row r="5939" spans="1:16" x14ac:dyDescent="0.25">
      <c r="A5939" s="3" t="str">
        <f t="shared" ca="1" si="1759"/>
        <v/>
      </c>
      <c r="C5939" s="16"/>
      <c r="G5939" s="15">
        <f t="shared" ca="1" si="1745"/>
        <v>42</v>
      </c>
      <c r="H5939" s="15">
        <v>1</v>
      </c>
      <c r="I5939" s="15">
        <f t="shared" ca="1" si="1746"/>
        <v>0</v>
      </c>
      <c r="J5939" s="15" t="str">
        <f t="shared" ca="1" si="1751"/>
        <v>'0'!A42</v>
      </c>
      <c r="K5939" s="15" t="str">
        <f t="shared" ca="1" si="1752"/>
        <v>'0'!B42</v>
      </c>
    </row>
    <row r="5940" spans="1:16" x14ac:dyDescent="0.25">
      <c r="A5940" s="3" t="str">
        <f t="shared" ca="1" si="1759"/>
        <v/>
      </c>
      <c r="G5940" s="15">
        <f t="shared" ca="1" si="1745"/>
        <v>43</v>
      </c>
      <c r="H5940" s="15">
        <v>1</v>
      </c>
      <c r="I5940" s="15">
        <f t="shared" ca="1" si="1746"/>
        <v>0</v>
      </c>
      <c r="J5940" s="15" t="str">
        <f t="shared" ca="1" si="1751"/>
        <v>'0'!A43</v>
      </c>
      <c r="K5940" s="15" t="str">
        <f t="shared" ca="1" si="1752"/>
        <v>'0'!B43</v>
      </c>
    </row>
    <row r="5941" spans="1:16" x14ac:dyDescent="0.25">
      <c r="A5941" s="3" t="str">
        <f t="shared" ca="1" si="1759"/>
        <v/>
      </c>
      <c r="G5941" s="15">
        <f t="shared" ca="1" si="1745"/>
        <v>44</v>
      </c>
      <c r="H5941" s="15">
        <v>1</v>
      </c>
      <c r="I5941" s="15">
        <f t="shared" ca="1" si="1746"/>
        <v>0</v>
      </c>
      <c r="J5941" s="15" t="str">
        <f t="shared" ca="1" si="1751"/>
        <v>'0'!A44</v>
      </c>
      <c r="K5941" s="15" t="str">
        <f t="shared" ca="1" si="1752"/>
        <v>'0'!B44</v>
      </c>
    </row>
    <row r="5942" spans="1:16" x14ac:dyDescent="0.25">
      <c r="A5942" s="3" t="str">
        <f t="shared" ca="1" si="1759"/>
        <v/>
      </c>
      <c r="G5942" s="15">
        <f t="shared" ca="1" si="1745"/>
        <v>45</v>
      </c>
      <c r="H5942" s="15">
        <v>1</v>
      </c>
      <c r="I5942" s="15">
        <f t="shared" ca="1" si="1746"/>
        <v>0</v>
      </c>
      <c r="J5942" s="15" t="str">
        <f t="shared" ca="1" si="1751"/>
        <v>'0'!A45</v>
      </c>
      <c r="K5942" s="15" t="str">
        <f t="shared" ca="1" si="1752"/>
        <v>'0'!B45</v>
      </c>
    </row>
    <row r="5943" spans="1:16" x14ac:dyDescent="0.25">
      <c r="A5943" s="3" t="str">
        <f t="shared" ca="1" si="1759"/>
        <v/>
      </c>
      <c r="G5943" s="15">
        <f t="shared" ca="1" si="1745"/>
        <v>46</v>
      </c>
      <c r="H5943" s="15">
        <v>1</v>
      </c>
      <c r="I5943" s="15">
        <f t="shared" ca="1" si="1746"/>
        <v>0</v>
      </c>
      <c r="J5943" s="15" t="str">
        <f t="shared" ca="1" si="1751"/>
        <v>'0'!A46</v>
      </c>
      <c r="K5943" s="15" t="str">
        <f t="shared" ca="1" si="1752"/>
        <v>'0'!B46</v>
      </c>
    </row>
    <row r="5944" spans="1:16" x14ac:dyDescent="0.25">
      <c r="A5944" s="3" t="str">
        <f t="shared" ca="1" si="1759"/>
        <v/>
      </c>
      <c r="G5944" s="15">
        <f t="shared" ca="1" si="1745"/>
        <v>47</v>
      </c>
      <c r="H5944" s="15">
        <v>1</v>
      </c>
      <c r="I5944" s="15">
        <f t="shared" ca="1" si="1746"/>
        <v>0</v>
      </c>
      <c r="J5944" s="15" t="str">
        <f t="shared" ca="1" si="1751"/>
        <v>'0'!A47</v>
      </c>
      <c r="K5944" s="15" t="str">
        <f t="shared" ca="1" si="1752"/>
        <v>'0'!B47</v>
      </c>
    </row>
    <row r="5945" spans="1:16" x14ac:dyDescent="0.25">
      <c r="A5945" s="3" t="str">
        <f t="shared" ca="1" si="1759"/>
        <v/>
      </c>
      <c r="G5945" s="15">
        <f t="shared" ca="1" si="1745"/>
        <v>48</v>
      </c>
      <c r="H5945" s="15">
        <v>1</v>
      </c>
      <c r="I5945" s="15">
        <f t="shared" ca="1" si="1746"/>
        <v>0</v>
      </c>
      <c r="J5945" s="15" t="str">
        <f t="shared" ca="1" si="1751"/>
        <v>'0'!A48</v>
      </c>
      <c r="K5945" s="15" t="str">
        <f t="shared" ca="1" si="1752"/>
        <v>'0'!B48</v>
      </c>
    </row>
    <row r="5946" spans="1:16" x14ac:dyDescent="0.25">
      <c r="A5946" s="3" t="str">
        <f t="shared" ca="1" si="1759"/>
        <v/>
      </c>
      <c r="G5946" s="15">
        <f t="shared" ca="1" si="1745"/>
        <v>49</v>
      </c>
      <c r="H5946" s="15">
        <v>1</v>
      </c>
      <c r="I5946" s="15">
        <f t="shared" ca="1" si="1746"/>
        <v>0</v>
      </c>
      <c r="J5946" s="15" t="str">
        <f t="shared" ca="1" si="1751"/>
        <v>'0'!A49</v>
      </c>
      <c r="K5946" s="15" t="str">
        <f t="shared" ca="1" si="1752"/>
        <v>'0'!B49</v>
      </c>
    </row>
    <row r="5947" spans="1:16" x14ac:dyDescent="0.25">
      <c r="A5947" s="3" t="str">
        <f t="shared" ca="1" si="1759"/>
        <v/>
      </c>
      <c r="G5947" s="15">
        <f t="shared" ca="1" si="1745"/>
        <v>50</v>
      </c>
      <c r="H5947" s="15">
        <v>1</v>
      </c>
      <c r="I5947" s="15">
        <f t="shared" ca="1" si="1746"/>
        <v>0</v>
      </c>
      <c r="J5947" s="15" t="str">
        <f t="shared" ca="1" si="1751"/>
        <v>'0'!A50</v>
      </c>
      <c r="K5947" s="15" t="str">
        <f t="shared" ca="1" si="1752"/>
        <v>'0'!B50</v>
      </c>
    </row>
    <row r="5948" spans="1:16" x14ac:dyDescent="0.25">
      <c r="A5948" s="3" t="str">
        <f t="shared" ca="1" si="1759"/>
        <v/>
      </c>
      <c r="G5948" s="15">
        <f t="shared" ref="G5948" ca="1" si="1760">INDIRECT(M5948)</f>
        <v>31</v>
      </c>
      <c r="H5948" s="15">
        <v>1</v>
      </c>
      <c r="I5948" s="15">
        <f t="shared" ref="I5948" ca="1" si="1761">INDIRECT(N5948)</f>
        <v>0</v>
      </c>
      <c r="J5948" s="15" t="str">
        <f t="shared" ca="1" si="1751"/>
        <v>'0'!A31</v>
      </c>
      <c r="K5948" s="15" t="str">
        <f t="shared" ca="1" si="1752"/>
        <v>'0'!B31</v>
      </c>
      <c r="M5948" s="15" t="str">
        <f t="shared" ref="M5948" si="1762">ADDRESS(O5948,3,4,1,$R$1)</f>
        <v>konfig!C299</v>
      </c>
      <c r="N5948" s="15" t="str">
        <f t="shared" ref="N5948" si="1763">ADDRESS(O5948,1,4,1,$R$1)</f>
        <v>konfig!A299</v>
      </c>
      <c r="O5948" s="15">
        <v>299</v>
      </c>
      <c r="P5948" s="15">
        <v>4</v>
      </c>
    </row>
    <row r="5949" spans="1:16" x14ac:dyDescent="0.25">
      <c r="A5949" s="3" t="str">
        <f t="shared" ca="1" si="1759"/>
        <v/>
      </c>
      <c r="G5949" s="15">
        <f t="shared" ref="G5949:G5989" ca="1" si="1764">G5948+1</f>
        <v>32</v>
      </c>
      <c r="H5949" s="15">
        <v>1</v>
      </c>
      <c r="I5949" s="15">
        <f t="shared" ref="I5949:I5989" ca="1" si="1765">I5948</f>
        <v>0</v>
      </c>
      <c r="J5949" s="15" t="str">
        <f t="shared" ca="1" si="1751"/>
        <v>'0'!A32</v>
      </c>
      <c r="K5949" s="15" t="str">
        <f t="shared" ca="1" si="1752"/>
        <v>'0'!B32</v>
      </c>
    </row>
    <row r="5950" spans="1:16" x14ac:dyDescent="0.25">
      <c r="A5950" s="3" t="str">
        <f t="shared" ca="1" si="1759"/>
        <v/>
      </c>
      <c r="G5950" s="15">
        <f t="shared" ca="1" si="1745"/>
        <v>33</v>
      </c>
      <c r="H5950" s="15">
        <v>1</v>
      </c>
      <c r="I5950" s="15">
        <f t="shared" ca="1" si="1746"/>
        <v>0</v>
      </c>
      <c r="J5950" s="15" t="str">
        <f t="shared" ca="1" si="1751"/>
        <v>'0'!A33</v>
      </c>
      <c r="K5950" s="15" t="str">
        <f t="shared" ca="1" si="1752"/>
        <v>'0'!B33</v>
      </c>
    </row>
    <row r="5951" spans="1:16" x14ac:dyDescent="0.25">
      <c r="A5951" s="3" t="str">
        <f t="shared" ca="1" si="1759"/>
        <v/>
      </c>
      <c r="C5951" s="16"/>
      <c r="G5951" s="15">
        <f t="shared" ca="1" si="1745"/>
        <v>34</v>
      </c>
      <c r="H5951" s="15">
        <v>1</v>
      </c>
      <c r="I5951" s="15">
        <f t="shared" ca="1" si="1746"/>
        <v>0</v>
      </c>
      <c r="J5951" s="15" t="str">
        <f t="shared" ca="1" si="1751"/>
        <v>'0'!A34</v>
      </c>
      <c r="K5951" s="15" t="str">
        <f t="shared" ca="1" si="1752"/>
        <v>'0'!B34</v>
      </c>
    </row>
    <row r="5952" spans="1:16" x14ac:dyDescent="0.25">
      <c r="A5952" s="3" t="str">
        <f t="shared" ca="1" si="1759"/>
        <v/>
      </c>
      <c r="G5952" s="15">
        <f t="shared" ca="1" si="1745"/>
        <v>35</v>
      </c>
      <c r="H5952" s="15">
        <v>1</v>
      </c>
      <c r="I5952" s="15">
        <f t="shared" ca="1" si="1746"/>
        <v>0</v>
      </c>
      <c r="J5952" s="15" t="str">
        <f t="shared" ca="1" si="1751"/>
        <v>'0'!A35</v>
      </c>
      <c r="K5952" s="15" t="str">
        <f t="shared" ca="1" si="1752"/>
        <v>'0'!B35</v>
      </c>
    </row>
    <row r="5953" spans="1:16" x14ac:dyDescent="0.25">
      <c r="A5953" s="3" t="str">
        <f t="shared" ca="1" si="1759"/>
        <v/>
      </c>
      <c r="G5953" s="15">
        <f t="shared" ca="1" si="1745"/>
        <v>36</v>
      </c>
      <c r="H5953" s="15">
        <v>1</v>
      </c>
      <c r="I5953" s="15">
        <f t="shared" ca="1" si="1746"/>
        <v>0</v>
      </c>
      <c r="J5953" s="15" t="str">
        <f t="shared" ca="1" si="1751"/>
        <v>'0'!A36</v>
      </c>
      <c r="K5953" s="15" t="str">
        <f t="shared" ca="1" si="1752"/>
        <v>'0'!B36</v>
      </c>
    </row>
    <row r="5954" spans="1:16" x14ac:dyDescent="0.25">
      <c r="A5954" s="3" t="str">
        <f t="shared" ca="1" si="1759"/>
        <v/>
      </c>
      <c r="G5954" s="15">
        <f t="shared" ca="1" si="1745"/>
        <v>37</v>
      </c>
      <c r="H5954" s="15">
        <v>1</v>
      </c>
      <c r="I5954" s="15">
        <f t="shared" ca="1" si="1746"/>
        <v>0</v>
      </c>
      <c r="J5954" s="15" t="str">
        <f t="shared" ca="1" si="1751"/>
        <v>'0'!A37</v>
      </c>
      <c r="K5954" s="15" t="str">
        <f t="shared" ca="1" si="1752"/>
        <v>'0'!B37</v>
      </c>
    </row>
    <row r="5955" spans="1:16" x14ac:dyDescent="0.25">
      <c r="A5955" s="3" t="str">
        <f t="shared" ca="1" si="1759"/>
        <v/>
      </c>
      <c r="G5955" s="15">
        <f t="shared" ca="1" si="1745"/>
        <v>38</v>
      </c>
      <c r="H5955" s="15">
        <v>1</v>
      </c>
      <c r="I5955" s="15">
        <f t="shared" ca="1" si="1746"/>
        <v>0</v>
      </c>
      <c r="J5955" s="15" t="str">
        <f t="shared" ca="1" si="1751"/>
        <v>'0'!A38</v>
      </c>
      <c r="K5955" s="15" t="str">
        <f t="shared" ca="1" si="1752"/>
        <v>'0'!B38</v>
      </c>
    </row>
    <row r="5956" spans="1:16" x14ac:dyDescent="0.25">
      <c r="A5956" s="3" t="str">
        <f t="shared" ca="1" si="1759"/>
        <v/>
      </c>
      <c r="G5956" s="15">
        <f t="shared" ca="1" si="1745"/>
        <v>39</v>
      </c>
      <c r="H5956" s="15">
        <v>1</v>
      </c>
      <c r="I5956" s="15">
        <f t="shared" ca="1" si="1746"/>
        <v>0</v>
      </c>
      <c r="J5956" s="15" t="str">
        <f t="shared" ca="1" si="1751"/>
        <v>'0'!A39</v>
      </c>
      <c r="K5956" s="15" t="str">
        <f t="shared" ca="1" si="1752"/>
        <v>'0'!B39</v>
      </c>
    </row>
    <row r="5957" spans="1:16" x14ac:dyDescent="0.25">
      <c r="A5957" s="3" t="str">
        <f t="shared" ca="1" si="1759"/>
        <v/>
      </c>
      <c r="G5957" s="15">
        <f t="shared" ca="1" si="1745"/>
        <v>40</v>
      </c>
      <c r="H5957" s="15">
        <v>1</v>
      </c>
      <c r="I5957" s="15">
        <f t="shared" ca="1" si="1746"/>
        <v>0</v>
      </c>
      <c r="J5957" s="15" t="str">
        <f t="shared" ca="1" si="1751"/>
        <v>'0'!A40</v>
      </c>
      <c r="K5957" s="15" t="str">
        <f t="shared" ca="1" si="1752"/>
        <v>'0'!B40</v>
      </c>
    </row>
    <row r="5958" spans="1:16" x14ac:dyDescent="0.25">
      <c r="A5958" s="3" t="str">
        <f t="shared" ca="1" si="1759"/>
        <v/>
      </c>
      <c r="G5958" s="15">
        <f t="shared" ca="1" si="1745"/>
        <v>41</v>
      </c>
      <c r="H5958" s="15">
        <v>1</v>
      </c>
      <c r="I5958" s="15">
        <f t="shared" ca="1" si="1746"/>
        <v>0</v>
      </c>
      <c r="J5958" s="15" t="str">
        <f t="shared" ca="1" si="1751"/>
        <v>'0'!A41</v>
      </c>
      <c r="K5958" s="15" t="str">
        <f t="shared" ca="1" si="1752"/>
        <v>'0'!B41</v>
      </c>
    </row>
    <row r="5959" spans="1:16" x14ac:dyDescent="0.25">
      <c r="A5959" s="3" t="str">
        <f t="shared" ca="1" si="1759"/>
        <v/>
      </c>
      <c r="C5959" s="16"/>
      <c r="G5959" s="15">
        <f t="shared" ca="1" si="1745"/>
        <v>42</v>
      </c>
      <c r="H5959" s="15">
        <v>1</v>
      </c>
      <c r="I5959" s="15">
        <f t="shared" ca="1" si="1746"/>
        <v>0</v>
      </c>
      <c r="J5959" s="15" t="str">
        <f t="shared" ca="1" si="1751"/>
        <v>'0'!A42</v>
      </c>
      <c r="K5959" s="15" t="str">
        <f t="shared" ca="1" si="1752"/>
        <v>'0'!B42</v>
      </c>
    </row>
    <row r="5960" spans="1:16" x14ac:dyDescent="0.25">
      <c r="A5960" s="3" t="str">
        <f t="shared" ca="1" si="1759"/>
        <v/>
      </c>
      <c r="G5960" s="15">
        <f t="shared" ca="1" si="1745"/>
        <v>43</v>
      </c>
      <c r="H5960" s="15">
        <v>1</v>
      </c>
      <c r="I5960" s="15">
        <f t="shared" ca="1" si="1746"/>
        <v>0</v>
      </c>
      <c r="J5960" s="15" t="str">
        <f t="shared" ca="1" si="1751"/>
        <v>'0'!A43</v>
      </c>
      <c r="K5960" s="15" t="str">
        <f t="shared" ca="1" si="1752"/>
        <v>'0'!B43</v>
      </c>
    </row>
    <row r="5961" spans="1:16" x14ac:dyDescent="0.25">
      <c r="A5961" s="3" t="str">
        <f t="shared" ca="1" si="1759"/>
        <v/>
      </c>
      <c r="G5961" s="15">
        <f t="shared" ref="G5961:G6000" ca="1" si="1766">G5960+1</f>
        <v>44</v>
      </c>
      <c r="H5961" s="15">
        <v>1</v>
      </c>
      <c r="I5961" s="15">
        <f t="shared" ref="I5961:I6000" ca="1" si="1767">I5960</f>
        <v>0</v>
      </c>
      <c r="J5961" s="15" t="str">
        <f t="shared" ca="1" si="1751"/>
        <v>'0'!A44</v>
      </c>
      <c r="K5961" s="15" t="str">
        <f t="shared" ca="1" si="1752"/>
        <v>'0'!B44</v>
      </c>
    </row>
    <row r="5962" spans="1:16" x14ac:dyDescent="0.25">
      <c r="A5962" s="3" t="str">
        <f t="shared" ca="1" si="1759"/>
        <v/>
      </c>
      <c r="G5962" s="15">
        <f t="shared" ca="1" si="1766"/>
        <v>45</v>
      </c>
      <c r="H5962" s="15">
        <v>1</v>
      </c>
      <c r="I5962" s="15">
        <f t="shared" ca="1" si="1767"/>
        <v>0</v>
      </c>
      <c r="J5962" s="15" t="str">
        <f t="shared" ca="1" si="1751"/>
        <v>'0'!A45</v>
      </c>
      <c r="K5962" s="15" t="str">
        <f t="shared" ca="1" si="1752"/>
        <v>'0'!B45</v>
      </c>
    </row>
    <row r="5963" spans="1:16" x14ac:dyDescent="0.25">
      <c r="A5963" s="3" t="str">
        <f t="shared" ca="1" si="1759"/>
        <v/>
      </c>
      <c r="G5963" s="15">
        <f t="shared" ca="1" si="1766"/>
        <v>46</v>
      </c>
      <c r="H5963" s="15">
        <v>1</v>
      </c>
      <c r="I5963" s="15">
        <f t="shared" ca="1" si="1767"/>
        <v>0</v>
      </c>
      <c r="J5963" s="15" t="str">
        <f t="shared" ca="1" si="1751"/>
        <v>'0'!A46</v>
      </c>
      <c r="K5963" s="15" t="str">
        <f t="shared" ca="1" si="1752"/>
        <v>'0'!B46</v>
      </c>
    </row>
    <row r="5964" spans="1:16" x14ac:dyDescent="0.25">
      <c r="A5964" s="3" t="str">
        <f t="shared" ca="1" si="1759"/>
        <v/>
      </c>
      <c r="G5964" s="15">
        <f t="shared" ca="1" si="1766"/>
        <v>47</v>
      </c>
      <c r="H5964" s="15">
        <v>1</v>
      </c>
      <c r="I5964" s="15">
        <f t="shared" ca="1" si="1767"/>
        <v>0</v>
      </c>
      <c r="J5964" s="15" t="str">
        <f t="shared" ca="1" si="1751"/>
        <v>'0'!A47</v>
      </c>
      <c r="K5964" s="15" t="str">
        <f t="shared" ca="1" si="1752"/>
        <v>'0'!B47</v>
      </c>
    </row>
    <row r="5965" spans="1:16" x14ac:dyDescent="0.25">
      <c r="A5965" s="3" t="str">
        <f t="shared" ca="1" si="1759"/>
        <v/>
      </c>
      <c r="G5965" s="15">
        <f t="shared" ca="1" si="1766"/>
        <v>48</v>
      </c>
      <c r="H5965" s="15">
        <v>1</v>
      </c>
      <c r="I5965" s="15">
        <f t="shared" ca="1" si="1767"/>
        <v>0</v>
      </c>
      <c r="J5965" s="15" t="str">
        <f t="shared" ca="1" si="1751"/>
        <v>'0'!A48</v>
      </c>
      <c r="K5965" s="15" t="str">
        <f t="shared" ca="1" si="1752"/>
        <v>'0'!B48</v>
      </c>
    </row>
    <row r="5966" spans="1:16" x14ac:dyDescent="0.25">
      <c r="A5966" s="3" t="str">
        <f t="shared" ca="1" si="1759"/>
        <v/>
      </c>
      <c r="G5966" s="15">
        <f t="shared" ca="1" si="1766"/>
        <v>49</v>
      </c>
      <c r="H5966" s="15">
        <v>1</v>
      </c>
      <c r="I5966" s="15">
        <f t="shared" ca="1" si="1767"/>
        <v>0</v>
      </c>
      <c r="J5966" s="15" t="str">
        <f t="shared" ca="1" si="1751"/>
        <v>'0'!A49</v>
      </c>
      <c r="K5966" s="15" t="str">
        <f t="shared" ca="1" si="1752"/>
        <v>'0'!B49</v>
      </c>
    </row>
    <row r="5967" spans="1:16" x14ac:dyDescent="0.25">
      <c r="A5967" s="3" t="str">
        <f t="shared" ca="1" si="1759"/>
        <v/>
      </c>
      <c r="G5967" s="15">
        <f t="shared" ca="1" si="1766"/>
        <v>50</v>
      </c>
      <c r="H5967" s="15">
        <v>1</v>
      </c>
      <c r="I5967" s="15">
        <f t="shared" ca="1" si="1767"/>
        <v>0</v>
      </c>
      <c r="J5967" s="15" t="str">
        <f t="shared" ca="1" si="1751"/>
        <v>'0'!A50</v>
      </c>
      <c r="K5967" s="15" t="str">
        <f t="shared" ca="1" si="1752"/>
        <v>'0'!B50</v>
      </c>
    </row>
    <row r="5968" spans="1:16" x14ac:dyDescent="0.25">
      <c r="A5968" s="3" t="str">
        <f t="shared" ca="1" si="1759"/>
        <v/>
      </c>
      <c r="G5968" s="15">
        <f t="shared" ref="G5968" ca="1" si="1768">INDIRECT(M5968)</f>
        <v>31</v>
      </c>
      <c r="H5968" s="15">
        <v>1</v>
      </c>
      <c r="I5968" s="15">
        <f t="shared" ref="I5968" ca="1" si="1769">INDIRECT(N5968)</f>
        <v>0</v>
      </c>
      <c r="J5968" s="15" t="str">
        <f t="shared" ca="1" si="1751"/>
        <v>'0'!A31</v>
      </c>
      <c r="K5968" s="15" t="str">
        <f t="shared" ca="1" si="1752"/>
        <v>'0'!B31</v>
      </c>
      <c r="M5968" s="15" t="str">
        <f t="shared" ref="M5968" si="1770">ADDRESS(O5968,3,4,1,$R$1)</f>
        <v>konfig!C300</v>
      </c>
      <c r="N5968" s="15" t="str">
        <f t="shared" ref="N5968" si="1771">ADDRESS(O5968,1,4,1,$R$1)</f>
        <v>konfig!A300</v>
      </c>
      <c r="O5968" s="15">
        <v>300</v>
      </c>
      <c r="P5968" s="15">
        <v>4</v>
      </c>
    </row>
    <row r="5969" spans="1:11" x14ac:dyDescent="0.25">
      <c r="A5969" s="3" t="str">
        <f t="shared" ca="1" si="1759"/>
        <v/>
      </c>
      <c r="G5969" s="15">
        <f t="shared" ca="1" si="1757"/>
        <v>32</v>
      </c>
      <c r="H5969" s="15">
        <v>1</v>
      </c>
      <c r="I5969" s="15">
        <f t="shared" ca="1" si="1758"/>
        <v>0</v>
      </c>
      <c r="J5969" s="15" t="str">
        <f t="shared" ca="1" si="1751"/>
        <v>'0'!A32</v>
      </c>
      <c r="K5969" s="15" t="str">
        <f t="shared" ca="1" si="1752"/>
        <v>'0'!B32</v>
      </c>
    </row>
    <row r="5970" spans="1:11" x14ac:dyDescent="0.25">
      <c r="A5970" s="3" t="str">
        <f t="shared" ca="1" si="1759"/>
        <v/>
      </c>
      <c r="G5970" s="15">
        <f t="shared" ca="1" si="1757"/>
        <v>33</v>
      </c>
      <c r="H5970" s="15">
        <v>1</v>
      </c>
      <c r="I5970" s="15">
        <f t="shared" ca="1" si="1758"/>
        <v>0</v>
      </c>
      <c r="J5970" s="15" t="str">
        <f t="shared" ca="1" si="1751"/>
        <v>'0'!A33</v>
      </c>
      <c r="K5970" s="15" t="str">
        <f t="shared" ca="1" si="1752"/>
        <v>'0'!B33</v>
      </c>
    </row>
    <row r="5971" spans="1:11" x14ac:dyDescent="0.25">
      <c r="A5971" s="3" t="str">
        <f t="shared" ca="1" si="1759"/>
        <v/>
      </c>
      <c r="C5971" s="16"/>
      <c r="G5971" s="15">
        <f t="shared" ca="1" si="1757"/>
        <v>34</v>
      </c>
      <c r="H5971" s="15">
        <v>1</v>
      </c>
      <c r="I5971" s="15">
        <f t="shared" ca="1" si="1758"/>
        <v>0</v>
      </c>
      <c r="J5971" s="15" t="str">
        <f t="shared" ca="1" si="1751"/>
        <v>'0'!A34</v>
      </c>
      <c r="K5971" s="15" t="str">
        <f t="shared" ca="1" si="1752"/>
        <v>'0'!B34</v>
      </c>
    </row>
    <row r="5972" spans="1:11" x14ac:dyDescent="0.25">
      <c r="A5972" s="3" t="str">
        <f t="shared" ca="1" si="1759"/>
        <v/>
      </c>
      <c r="G5972" s="15">
        <f t="shared" ca="1" si="1757"/>
        <v>35</v>
      </c>
      <c r="H5972" s="15">
        <v>1</v>
      </c>
      <c r="I5972" s="15">
        <f t="shared" ca="1" si="1758"/>
        <v>0</v>
      </c>
      <c r="J5972" s="15" t="str">
        <f t="shared" ca="1" si="1751"/>
        <v>'0'!A35</v>
      </c>
      <c r="K5972" s="15" t="str">
        <f t="shared" ca="1" si="1752"/>
        <v>'0'!B35</v>
      </c>
    </row>
    <row r="5973" spans="1:11" x14ac:dyDescent="0.25">
      <c r="A5973" s="3" t="str">
        <f t="shared" ca="1" si="1759"/>
        <v/>
      </c>
      <c r="G5973" s="15">
        <f t="shared" ca="1" si="1766"/>
        <v>36</v>
      </c>
      <c r="H5973" s="15">
        <v>1</v>
      </c>
      <c r="I5973" s="15">
        <f t="shared" ca="1" si="1767"/>
        <v>0</v>
      </c>
      <c r="J5973" s="15" t="str">
        <f t="shared" ca="1" si="1751"/>
        <v>'0'!A36</v>
      </c>
      <c r="K5973" s="15" t="str">
        <f t="shared" ca="1" si="1752"/>
        <v>'0'!B36</v>
      </c>
    </row>
    <row r="5974" spans="1:11" x14ac:dyDescent="0.25">
      <c r="A5974" s="3" t="str">
        <f t="shared" ca="1" si="1759"/>
        <v/>
      </c>
      <c r="G5974" s="15">
        <f t="shared" ca="1" si="1766"/>
        <v>37</v>
      </c>
      <c r="H5974" s="15">
        <v>1</v>
      </c>
      <c r="I5974" s="15">
        <f t="shared" ca="1" si="1767"/>
        <v>0</v>
      </c>
      <c r="J5974" s="15" t="str">
        <f t="shared" ca="1" si="1751"/>
        <v>'0'!A37</v>
      </c>
      <c r="K5974" s="15" t="str">
        <f t="shared" ca="1" si="1752"/>
        <v>'0'!B37</v>
      </c>
    </row>
    <row r="5975" spans="1:11" x14ac:dyDescent="0.25">
      <c r="A5975" s="3" t="str">
        <f t="shared" ca="1" si="1759"/>
        <v/>
      </c>
      <c r="G5975" s="15">
        <f t="shared" ca="1" si="1766"/>
        <v>38</v>
      </c>
      <c r="H5975" s="15">
        <v>1</v>
      </c>
      <c r="I5975" s="15">
        <f t="shared" ca="1" si="1767"/>
        <v>0</v>
      </c>
      <c r="J5975" s="15" t="str">
        <f t="shared" ca="1" si="1751"/>
        <v>'0'!A38</v>
      </c>
      <c r="K5975" s="15" t="str">
        <f t="shared" ca="1" si="1752"/>
        <v>'0'!B38</v>
      </c>
    </row>
    <row r="5976" spans="1:11" x14ac:dyDescent="0.25">
      <c r="A5976" s="3" t="str">
        <f t="shared" ca="1" si="1759"/>
        <v/>
      </c>
      <c r="G5976" s="15">
        <f t="shared" ca="1" si="1766"/>
        <v>39</v>
      </c>
      <c r="H5976" s="15">
        <v>1</v>
      </c>
      <c r="I5976" s="15">
        <f t="shared" ca="1" si="1767"/>
        <v>0</v>
      </c>
      <c r="J5976" s="15" t="str">
        <f t="shared" ca="1" si="1751"/>
        <v>'0'!A39</v>
      </c>
      <c r="K5976" s="15" t="str">
        <f t="shared" ca="1" si="1752"/>
        <v>'0'!B39</v>
      </c>
    </row>
    <row r="5977" spans="1:11" x14ac:dyDescent="0.25">
      <c r="A5977" s="3" t="str">
        <f t="shared" ca="1" si="1759"/>
        <v/>
      </c>
      <c r="G5977" s="15">
        <f t="shared" ca="1" si="1766"/>
        <v>40</v>
      </c>
      <c r="H5977" s="15">
        <v>1</v>
      </c>
      <c r="I5977" s="15">
        <f t="shared" ca="1" si="1767"/>
        <v>0</v>
      </c>
      <c r="J5977" s="15" t="str">
        <f t="shared" ca="1" si="1751"/>
        <v>'0'!A40</v>
      </c>
      <c r="K5977" s="15" t="str">
        <f t="shared" ca="1" si="1752"/>
        <v>'0'!B40</v>
      </c>
    </row>
    <row r="5978" spans="1:11" x14ac:dyDescent="0.25">
      <c r="A5978" s="3" t="str">
        <f t="shared" ca="1" si="1759"/>
        <v/>
      </c>
      <c r="G5978" s="15">
        <f t="shared" ca="1" si="1766"/>
        <v>41</v>
      </c>
      <c r="H5978" s="15">
        <v>1</v>
      </c>
      <c r="I5978" s="15">
        <f t="shared" ca="1" si="1767"/>
        <v>0</v>
      </c>
      <c r="J5978" s="15" t="str">
        <f t="shared" ca="1" si="1751"/>
        <v>'0'!A41</v>
      </c>
      <c r="K5978" s="15" t="str">
        <f t="shared" ca="1" si="1752"/>
        <v>'0'!B41</v>
      </c>
    </row>
    <row r="5979" spans="1:11" x14ac:dyDescent="0.25">
      <c r="A5979" s="3" t="str">
        <f t="shared" ca="1" si="1759"/>
        <v/>
      </c>
      <c r="C5979" s="16"/>
      <c r="G5979" s="15">
        <f t="shared" ca="1" si="1766"/>
        <v>42</v>
      </c>
      <c r="H5979" s="15">
        <v>1</v>
      </c>
      <c r="I5979" s="15">
        <f t="shared" ca="1" si="1767"/>
        <v>0</v>
      </c>
      <c r="J5979" s="15" t="str">
        <f t="shared" ca="1" si="1751"/>
        <v>'0'!A42</v>
      </c>
      <c r="K5979" s="15" t="str">
        <f t="shared" ca="1" si="1752"/>
        <v>'0'!B42</v>
      </c>
    </row>
    <row r="5980" spans="1:11" x14ac:dyDescent="0.25">
      <c r="A5980" s="3" t="str">
        <f t="shared" ca="1" si="1759"/>
        <v/>
      </c>
      <c r="G5980" s="15">
        <f t="shared" ca="1" si="1766"/>
        <v>43</v>
      </c>
      <c r="H5980" s="15">
        <v>1</v>
      </c>
      <c r="I5980" s="15">
        <f t="shared" ca="1" si="1767"/>
        <v>0</v>
      </c>
      <c r="J5980" s="15" t="str">
        <f t="shared" ca="1" si="1751"/>
        <v>'0'!A43</v>
      </c>
      <c r="K5980" s="15" t="str">
        <f t="shared" ca="1" si="1752"/>
        <v>'0'!B43</v>
      </c>
    </row>
    <row r="5981" spans="1:11" x14ac:dyDescent="0.25">
      <c r="A5981" s="3" t="str">
        <f t="shared" ca="1" si="1759"/>
        <v/>
      </c>
      <c r="G5981" s="15">
        <f t="shared" ca="1" si="1766"/>
        <v>44</v>
      </c>
      <c r="H5981" s="15">
        <v>1</v>
      </c>
      <c r="I5981" s="15">
        <f t="shared" ca="1" si="1767"/>
        <v>0</v>
      </c>
      <c r="J5981" s="15" t="str">
        <f t="shared" ca="1" si="1751"/>
        <v>'0'!A44</v>
      </c>
      <c r="K5981" s="15" t="str">
        <f t="shared" ca="1" si="1752"/>
        <v>'0'!B44</v>
      </c>
    </row>
    <row r="5982" spans="1:11" x14ac:dyDescent="0.25">
      <c r="A5982" s="3" t="str">
        <f t="shared" ca="1" si="1759"/>
        <v/>
      </c>
      <c r="G5982" s="15">
        <f t="shared" ca="1" si="1766"/>
        <v>45</v>
      </c>
      <c r="H5982" s="15">
        <v>1</v>
      </c>
      <c r="I5982" s="15">
        <f t="shared" ca="1" si="1767"/>
        <v>0</v>
      </c>
      <c r="J5982" s="15" t="str">
        <f t="shared" ca="1" si="1751"/>
        <v>'0'!A45</v>
      </c>
      <c r="K5982" s="15" t="str">
        <f t="shared" ca="1" si="1752"/>
        <v>'0'!B45</v>
      </c>
    </row>
    <row r="5983" spans="1:11" x14ac:dyDescent="0.25">
      <c r="A5983" s="3" t="str">
        <f t="shared" ca="1" si="1759"/>
        <v/>
      </c>
      <c r="G5983" s="15">
        <f t="shared" ca="1" si="1766"/>
        <v>46</v>
      </c>
      <c r="H5983" s="15">
        <v>1</v>
      </c>
      <c r="I5983" s="15">
        <f t="shared" ca="1" si="1767"/>
        <v>0</v>
      </c>
      <c r="J5983" s="15" t="str">
        <f t="shared" ca="1" si="1751"/>
        <v>'0'!A46</v>
      </c>
      <c r="K5983" s="15" t="str">
        <f t="shared" ca="1" si="1752"/>
        <v>'0'!B46</v>
      </c>
    </row>
    <row r="5984" spans="1:11" x14ac:dyDescent="0.25">
      <c r="A5984" s="3" t="str">
        <f t="shared" ca="1" si="1759"/>
        <v/>
      </c>
      <c r="G5984" s="15">
        <f t="shared" ca="1" si="1766"/>
        <v>47</v>
      </c>
      <c r="H5984" s="15">
        <v>1</v>
      </c>
      <c r="I5984" s="15">
        <f t="shared" ca="1" si="1767"/>
        <v>0</v>
      </c>
      <c r="J5984" s="15" t="str">
        <f t="shared" ca="1" si="1751"/>
        <v>'0'!A47</v>
      </c>
      <c r="K5984" s="15" t="str">
        <f t="shared" ca="1" si="1752"/>
        <v>'0'!B47</v>
      </c>
    </row>
    <row r="5985" spans="1:16" x14ac:dyDescent="0.25">
      <c r="A5985" s="3" t="str">
        <f t="shared" ca="1" si="1759"/>
        <v/>
      </c>
      <c r="G5985" s="15">
        <f t="shared" ca="1" si="1766"/>
        <v>48</v>
      </c>
      <c r="H5985" s="15">
        <v>1</v>
      </c>
      <c r="I5985" s="15">
        <f t="shared" ca="1" si="1767"/>
        <v>0</v>
      </c>
      <c r="J5985" s="15" t="str">
        <f t="shared" ca="1" si="1751"/>
        <v>'0'!A48</v>
      </c>
      <c r="K5985" s="15" t="str">
        <f t="shared" ca="1" si="1752"/>
        <v>'0'!B48</v>
      </c>
    </row>
    <row r="5986" spans="1:16" x14ac:dyDescent="0.25">
      <c r="A5986" s="3" t="str">
        <f t="shared" ca="1" si="1759"/>
        <v/>
      </c>
      <c r="G5986" s="15">
        <f t="shared" ca="1" si="1766"/>
        <v>49</v>
      </c>
      <c r="H5986" s="15">
        <v>1</v>
      </c>
      <c r="I5986" s="15">
        <f t="shared" ca="1" si="1767"/>
        <v>0</v>
      </c>
      <c r="J5986" s="15" t="str">
        <f t="shared" ca="1" si="1751"/>
        <v>'0'!A49</v>
      </c>
      <c r="K5986" s="15" t="str">
        <f t="shared" ca="1" si="1752"/>
        <v>'0'!B49</v>
      </c>
    </row>
    <row r="5987" spans="1:16" x14ac:dyDescent="0.25">
      <c r="A5987" s="3" t="str">
        <f t="shared" ca="1" si="1759"/>
        <v/>
      </c>
      <c r="G5987" s="15">
        <f t="shared" ca="1" si="1766"/>
        <v>50</v>
      </c>
      <c r="H5987" s="15">
        <v>1</v>
      </c>
      <c r="I5987" s="15">
        <f t="shared" ca="1" si="1767"/>
        <v>0</v>
      </c>
      <c r="J5987" s="15" t="str">
        <f t="shared" ca="1" si="1751"/>
        <v>'0'!A50</v>
      </c>
      <c r="K5987" s="15" t="str">
        <f t="shared" ca="1" si="1752"/>
        <v>'0'!B50</v>
      </c>
    </row>
    <row r="5988" spans="1:16" x14ac:dyDescent="0.25">
      <c r="A5988" s="3" t="str">
        <f t="shared" ca="1" si="1759"/>
        <v/>
      </c>
      <c r="G5988" s="15">
        <f t="shared" ref="G5988" ca="1" si="1772">INDIRECT(M5988)</f>
        <v>31</v>
      </c>
      <c r="H5988" s="15">
        <v>1</v>
      </c>
      <c r="I5988" s="15">
        <f t="shared" ref="I5988" ca="1" si="1773">INDIRECT(N5988)</f>
        <v>0</v>
      </c>
      <c r="J5988" s="15" t="str">
        <f t="shared" ref="J5988:J6000" ca="1" si="1774">ADDRESS(G5988,H5988,4,1,I5988)</f>
        <v>'0'!A31</v>
      </c>
      <c r="K5988" s="15" t="str">
        <f t="shared" ref="K5988:K6000" ca="1" si="1775">ADDRESS(G5988,H5988+1,4,1,I5988)</f>
        <v>'0'!B31</v>
      </c>
      <c r="M5988" s="15" t="str">
        <f t="shared" ref="M5988" si="1776">ADDRESS(O5988,3,4,1,$R$1)</f>
        <v>konfig!C301</v>
      </c>
      <c r="N5988" s="15" t="str">
        <f t="shared" ref="N5988" si="1777">ADDRESS(O5988,1,4,1,$R$1)</f>
        <v>konfig!A301</v>
      </c>
      <c r="O5988" s="15">
        <v>301</v>
      </c>
      <c r="P5988" s="15">
        <v>4</v>
      </c>
    </row>
    <row r="5989" spans="1:16" x14ac:dyDescent="0.25">
      <c r="A5989" s="3" t="str">
        <f t="shared" ca="1" si="1759"/>
        <v/>
      </c>
      <c r="G5989" s="15">
        <f t="shared" ca="1" si="1764"/>
        <v>32</v>
      </c>
      <c r="H5989" s="15">
        <v>1</v>
      </c>
      <c r="I5989" s="15">
        <f t="shared" ca="1" si="1765"/>
        <v>0</v>
      </c>
      <c r="J5989" s="15" t="str">
        <f t="shared" ca="1" si="1774"/>
        <v>'0'!A32</v>
      </c>
      <c r="K5989" s="15" t="str">
        <f t="shared" ca="1" si="1775"/>
        <v>'0'!B32</v>
      </c>
    </row>
    <row r="5990" spans="1:16" x14ac:dyDescent="0.25">
      <c r="A5990" s="3" t="str">
        <f t="shared" ca="1" si="1759"/>
        <v/>
      </c>
      <c r="G5990" s="15">
        <f t="shared" ca="1" si="1766"/>
        <v>33</v>
      </c>
      <c r="H5990" s="15">
        <v>1</v>
      </c>
      <c r="I5990" s="15">
        <f t="shared" ca="1" si="1767"/>
        <v>0</v>
      </c>
      <c r="J5990" s="15" t="str">
        <f t="shared" ca="1" si="1774"/>
        <v>'0'!A33</v>
      </c>
      <c r="K5990" s="15" t="str">
        <f t="shared" ca="1" si="1775"/>
        <v>'0'!B33</v>
      </c>
    </row>
    <row r="5991" spans="1:16" x14ac:dyDescent="0.25">
      <c r="A5991" s="3" t="str">
        <f t="shared" ca="1" si="1759"/>
        <v/>
      </c>
      <c r="C5991" s="16"/>
      <c r="G5991" s="15">
        <f t="shared" ca="1" si="1766"/>
        <v>34</v>
      </c>
      <c r="H5991" s="15">
        <v>1</v>
      </c>
      <c r="I5991" s="15">
        <f t="shared" ca="1" si="1767"/>
        <v>0</v>
      </c>
      <c r="J5991" s="15" t="str">
        <f t="shared" ca="1" si="1774"/>
        <v>'0'!A34</v>
      </c>
      <c r="K5991" s="15" t="str">
        <f t="shared" ca="1" si="1775"/>
        <v>'0'!B34</v>
      </c>
    </row>
    <row r="5992" spans="1:16" x14ac:dyDescent="0.25">
      <c r="A5992" s="3" t="str">
        <f t="shared" ca="1" si="1759"/>
        <v/>
      </c>
      <c r="G5992" s="15">
        <f t="shared" ca="1" si="1766"/>
        <v>35</v>
      </c>
      <c r="H5992" s="15">
        <v>1</v>
      </c>
      <c r="I5992" s="15">
        <f t="shared" ca="1" si="1767"/>
        <v>0</v>
      </c>
      <c r="J5992" s="15" t="str">
        <f t="shared" ca="1" si="1774"/>
        <v>'0'!A35</v>
      </c>
      <c r="K5992" s="15" t="str">
        <f t="shared" ca="1" si="1775"/>
        <v>'0'!B35</v>
      </c>
    </row>
    <row r="5993" spans="1:16" x14ac:dyDescent="0.25">
      <c r="A5993" s="3" t="str">
        <f t="shared" ca="1" si="1759"/>
        <v/>
      </c>
      <c r="G5993" s="15">
        <f t="shared" ca="1" si="1766"/>
        <v>36</v>
      </c>
      <c r="H5993" s="15">
        <v>1</v>
      </c>
      <c r="I5993" s="15">
        <f t="shared" ca="1" si="1767"/>
        <v>0</v>
      </c>
      <c r="J5993" s="15" t="str">
        <f t="shared" ca="1" si="1774"/>
        <v>'0'!A36</v>
      </c>
      <c r="K5993" s="15" t="str">
        <f t="shared" ca="1" si="1775"/>
        <v>'0'!B36</v>
      </c>
    </row>
    <row r="5994" spans="1:16" x14ac:dyDescent="0.25">
      <c r="A5994" s="3" t="str">
        <f t="shared" ca="1" si="1759"/>
        <v/>
      </c>
      <c r="G5994" s="15">
        <f t="shared" ca="1" si="1766"/>
        <v>37</v>
      </c>
      <c r="H5994" s="15">
        <v>1</v>
      </c>
      <c r="I5994" s="15">
        <f t="shared" ca="1" si="1767"/>
        <v>0</v>
      </c>
      <c r="J5994" s="15" t="str">
        <f t="shared" ca="1" si="1774"/>
        <v>'0'!A37</v>
      </c>
      <c r="K5994" s="15" t="str">
        <f t="shared" ca="1" si="1775"/>
        <v>'0'!B37</v>
      </c>
    </row>
    <row r="5995" spans="1:16" x14ac:dyDescent="0.25">
      <c r="A5995" s="3" t="str">
        <f t="shared" ca="1" si="1759"/>
        <v/>
      </c>
      <c r="G5995" s="15">
        <f t="shared" ca="1" si="1766"/>
        <v>38</v>
      </c>
      <c r="H5995" s="15">
        <v>1</v>
      </c>
      <c r="I5995" s="15">
        <f t="shared" ca="1" si="1767"/>
        <v>0</v>
      </c>
      <c r="J5995" s="15" t="str">
        <f t="shared" ca="1" si="1774"/>
        <v>'0'!A38</v>
      </c>
      <c r="K5995" s="15" t="str">
        <f t="shared" ca="1" si="1775"/>
        <v>'0'!B38</v>
      </c>
    </row>
    <row r="5996" spans="1:16" x14ac:dyDescent="0.25">
      <c r="A5996" s="3" t="str">
        <f t="shared" ref="A5996:A6000" ca="1" si="1778">IFERROR(IF(INDIRECT(J5996)&lt;&gt;"",CONCATENATE(INDIRECT(J5996)," = ",INDIRECT(K5996)," "),""),"")</f>
        <v/>
      </c>
      <c r="G5996" s="15">
        <f t="shared" ca="1" si="1766"/>
        <v>39</v>
      </c>
      <c r="H5996" s="15">
        <v>1</v>
      </c>
      <c r="I5996" s="15">
        <f t="shared" ca="1" si="1767"/>
        <v>0</v>
      </c>
      <c r="J5996" s="15" t="str">
        <f t="shared" ca="1" si="1774"/>
        <v>'0'!A39</v>
      </c>
      <c r="K5996" s="15" t="str">
        <f t="shared" ca="1" si="1775"/>
        <v>'0'!B39</v>
      </c>
    </row>
    <row r="5997" spans="1:16" x14ac:dyDescent="0.25">
      <c r="A5997" s="3" t="str">
        <f t="shared" ca="1" si="1778"/>
        <v/>
      </c>
      <c r="G5997" s="15">
        <f t="shared" ca="1" si="1766"/>
        <v>40</v>
      </c>
      <c r="H5997" s="15">
        <v>1</v>
      </c>
      <c r="I5997" s="15">
        <f t="shared" ca="1" si="1767"/>
        <v>0</v>
      </c>
      <c r="J5997" s="15" t="str">
        <f t="shared" ca="1" si="1774"/>
        <v>'0'!A40</v>
      </c>
      <c r="K5997" s="15" t="str">
        <f t="shared" ca="1" si="1775"/>
        <v>'0'!B40</v>
      </c>
    </row>
    <row r="5998" spans="1:16" x14ac:dyDescent="0.25">
      <c r="A5998" s="3" t="str">
        <f t="shared" ca="1" si="1778"/>
        <v/>
      </c>
      <c r="G5998" s="15">
        <f t="shared" ca="1" si="1766"/>
        <v>41</v>
      </c>
      <c r="H5998" s="15">
        <v>1</v>
      </c>
      <c r="I5998" s="15">
        <f t="shared" ca="1" si="1767"/>
        <v>0</v>
      </c>
      <c r="J5998" s="15" t="str">
        <f t="shared" ca="1" si="1774"/>
        <v>'0'!A41</v>
      </c>
      <c r="K5998" s="15" t="str">
        <f t="shared" ca="1" si="1775"/>
        <v>'0'!B41</v>
      </c>
    </row>
    <row r="5999" spans="1:16" x14ac:dyDescent="0.25">
      <c r="A5999" s="3" t="str">
        <f t="shared" ca="1" si="1778"/>
        <v/>
      </c>
      <c r="C5999" s="16"/>
      <c r="G5999" s="15">
        <f t="shared" ca="1" si="1766"/>
        <v>42</v>
      </c>
      <c r="H5999" s="15">
        <v>1</v>
      </c>
      <c r="I5999" s="15">
        <f t="shared" ca="1" si="1767"/>
        <v>0</v>
      </c>
      <c r="J5999" s="15" t="str">
        <f t="shared" ca="1" si="1774"/>
        <v>'0'!A42</v>
      </c>
      <c r="K5999" s="15" t="str">
        <f t="shared" ca="1" si="1775"/>
        <v>'0'!B42</v>
      </c>
    </row>
    <row r="6000" spans="1:16" x14ac:dyDescent="0.25">
      <c r="A6000" s="3" t="str">
        <f t="shared" ca="1" si="1778"/>
        <v/>
      </c>
      <c r="G6000" s="15">
        <f t="shared" ca="1" si="1766"/>
        <v>43</v>
      </c>
      <c r="H6000" s="15">
        <v>1</v>
      </c>
      <c r="I6000" s="15">
        <f t="shared" ca="1" si="1767"/>
        <v>0</v>
      </c>
      <c r="J6000" s="15" t="str">
        <f t="shared" ca="1" si="1774"/>
        <v>'0'!A43</v>
      </c>
      <c r="K6000" s="15" t="str">
        <f t="shared" ca="1" si="1775"/>
        <v>'0'!B43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7"/>
  <sheetViews>
    <sheetView workbookViewId="0">
      <selection activeCell="K53" sqref="K53"/>
    </sheetView>
  </sheetViews>
  <sheetFormatPr defaultRowHeight="15" x14ac:dyDescent="0.25"/>
  <cols>
    <col min="3" max="3" width="16" bestFit="1" customWidth="1"/>
    <col min="4" max="4" width="9.7109375" bestFit="1" customWidth="1"/>
    <col min="6" max="6" width="16" bestFit="1" customWidth="1"/>
    <col min="7" max="7" width="9.7109375" bestFit="1" customWidth="1"/>
    <col min="9" max="9" width="16" bestFit="1" customWidth="1"/>
    <col min="10" max="10" width="9.7109375" bestFit="1" customWidth="1"/>
    <col min="12" max="12" width="20.42578125" customWidth="1"/>
    <col min="15" max="15" width="16.7109375" bestFit="1" customWidth="1"/>
  </cols>
  <sheetData>
    <row r="1" spans="1:28" x14ac:dyDescent="0.25">
      <c r="D1" t="s">
        <v>72</v>
      </c>
      <c r="G1" t="s">
        <v>72</v>
      </c>
      <c r="J1" t="s">
        <v>72</v>
      </c>
      <c r="M1" t="s">
        <v>72</v>
      </c>
      <c r="P1" t="s">
        <v>72</v>
      </c>
      <c r="S1" t="s">
        <v>72</v>
      </c>
      <c r="V1" t="s">
        <v>72</v>
      </c>
      <c r="Y1" t="s">
        <v>72</v>
      </c>
      <c r="AB1" t="s">
        <v>72</v>
      </c>
    </row>
    <row r="2" spans="1:28" x14ac:dyDescent="0.25">
      <c r="C2" s="10" t="s">
        <v>71</v>
      </c>
      <c r="D2" s="10">
        <v>0</v>
      </c>
      <c r="F2" s="10" t="s">
        <v>71</v>
      </c>
      <c r="G2" s="10">
        <v>1</v>
      </c>
      <c r="I2" s="10" t="s">
        <v>71</v>
      </c>
      <c r="J2" s="10">
        <v>0</v>
      </c>
      <c r="K2" s="10"/>
      <c r="L2" s="10" t="s">
        <v>71</v>
      </c>
      <c r="M2" s="10">
        <v>0</v>
      </c>
      <c r="N2" s="10"/>
      <c r="O2" s="10" t="s">
        <v>71</v>
      </c>
      <c r="P2" s="10">
        <v>0</v>
      </c>
      <c r="Q2" s="10"/>
      <c r="R2" s="10" t="s">
        <v>71</v>
      </c>
      <c r="S2" s="10">
        <v>0</v>
      </c>
      <c r="T2" s="10"/>
      <c r="U2" s="10" t="s">
        <v>71</v>
      </c>
      <c r="V2" s="10">
        <v>0</v>
      </c>
      <c r="W2" s="10"/>
      <c r="X2" s="10" t="s">
        <v>71</v>
      </c>
      <c r="Y2" s="10">
        <v>0</v>
      </c>
      <c r="Z2" s="10"/>
      <c r="AA2" s="10" t="s">
        <v>71</v>
      </c>
      <c r="AB2" s="10">
        <v>0</v>
      </c>
    </row>
    <row r="3" spans="1:28" x14ac:dyDescent="0.25">
      <c r="C3" s="10" t="s">
        <v>73</v>
      </c>
      <c r="D3" s="10">
        <v>0</v>
      </c>
      <c r="F3" s="10" t="s">
        <v>73</v>
      </c>
      <c r="G3" s="10">
        <v>0</v>
      </c>
      <c r="I3" s="10" t="s">
        <v>73</v>
      </c>
      <c r="J3" s="10">
        <v>0</v>
      </c>
      <c r="K3" s="10"/>
      <c r="L3" s="10" t="s">
        <v>73</v>
      </c>
      <c r="M3" s="10">
        <v>0</v>
      </c>
      <c r="N3" s="10"/>
      <c r="O3" s="10" t="s">
        <v>73</v>
      </c>
      <c r="P3" s="10">
        <v>0</v>
      </c>
      <c r="Q3" s="10"/>
      <c r="R3" s="10" t="s">
        <v>73</v>
      </c>
      <c r="S3" s="10">
        <v>0</v>
      </c>
      <c r="T3" s="10"/>
      <c r="U3" s="10" t="s">
        <v>73</v>
      </c>
      <c r="V3" s="10">
        <v>0</v>
      </c>
      <c r="W3" s="10"/>
      <c r="X3" s="10" t="s">
        <v>73</v>
      </c>
      <c r="Y3" s="10">
        <v>0</v>
      </c>
      <c r="Z3" s="10"/>
      <c r="AA3" s="10" t="s">
        <v>73</v>
      </c>
      <c r="AB3" s="10">
        <v>0</v>
      </c>
    </row>
    <row r="4" spans="1:28" x14ac:dyDescent="0.25">
      <c r="C4" s="10" t="s">
        <v>74</v>
      </c>
      <c r="D4" s="10">
        <v>0</v>
      </c>
      <c r="F4" s="10" t="s">
        <v>74</v>
      </c>
      <c r="G4" s="10">
        <v>0</v>
      </c>
      <c r="I4" s="10" t="s">
        <v>74</v>
      </c>
      <c r="J4" s="10">
        <v>0</v>
      </c>
      <c r="K4" s="10"/>
      <c r="L4" s="10" t="s">
        <v>74</v>
      </c>
      <c r="M4" s="10">
        <v>0</v>
      </c>
      <c r="N4" s="10"/>
      <c r="O4" s="10" t="s">
        <v>74</v>
      </c>
      <c r="P4" s="10">
        <v>0</v>
      </c>
      <c r="Q4" s="10"/>
      <c r="R4" s="10" t="s">
        <v>74</v>
      </c>
      <c r="S4" s="10">
        <v>0</v>
      </c>
      <c r="T4" s="10"/>
      <c r="U4" s="10" t="s">
        <v>74</v>
      </c>
      <c r="V4" s="10">
        <v>0</v>
      </c>
      <c r="W4" s="10"/>
      <c r="X4" s="10" t="s">
        <v>74</v>
      </c>
      <c r="Y4" s="10">
        <v>0</v>
      </c>
      <c r="Z4" s="10"/>
      <c r="AA4" s="10" t="s">
        <v>74</v>
      </c>
      <c r="AB4" s="10">
        <v>0</v>
      </c>
    </row>
    <row r="5" spans="1:28" x14ac:dyDescent="0.25">
      <c r="C5" s="10" t="s">
        <v>75</v>
      </c>
      <c r="D5" s="10">
        <v>0</v>
      </c>
      <c r="F5" s="10" t="s">
        <v>75</v>
      </c>
      <c r="G5" s="10">
        <v>0</v>
      </c>
      <c r="I5" s="10" t="s">
        <v>75</v>
      </c>
      <c r="J5" s="10">
        <v>0</v>
      </c>
      <c r="K5" s="10"/>
      <c r="L5" s="10" t="s">
        <v>75</v>
      </c>
      <c r="M5" s="10">
        <v>0</v>
      </c>
      <c r="N5" s="10"/>
      <c r="O5" s="10" t="s">
        <v>75</v>
      </c>
      <c r="P5" s="10">
        <v>0</v>
      </c>
      <c r="Q5" s="10"/>
      <c r="R5" s="10" t="s">
        <v>75</v>
      </c>
      <c r="S5" s="10">
        <v>0</v>
      </c>
      <c r="T5" s="10"/>
      <c r="U5" s="10" t="s">
        <v>75</v>
      </c>
      <c r="V5" s="10">
        <v>0</v>
      </c>
      <c r="W5" s="10"/>
      <c r="X5" s="10" t="s">
        <v>75</v>
      </c>
      <c r="Y5" s="10">
        <v>0</v>
      </c>
      <c r="Z5" s="10"/>
      <c r="AA5" s="10" t="s">
        <v>75</v>
      </c>
      <c r="AB5" s="10">
        <v>0</v>
      </c>
    </row>
    <row r="6" spans="1:28" x14ac:dyDescent="0.25">
      <c r="C6" s="10" t="s">
        <v>76</v>
      </c>
      <c r="D6" s="10">
        <v>0</v>
      </c>
      <c r="F6" s="10" t="s">
        <v>76</v>
      </c>
      <c r="G6" s="10">
        <v>0</v>
      </c>
      <c r="I6" s="10" t="s">
        <v>76</v>
      </c>
      <c r="J6" s="10">
        <v>1</v>
      </c>
      <c r="K6" s="10"/>
      <c r="L6" s="10" t="s">
        <v>76</v>
      </c>
      <c r="M6" s="10">
        <v>0</v>
      </c>
      <c r="N6" s="10"/>
      <c r="O6" s="10" t="s">
        <v>76</v>
      </c>
      <c r="P6" s="10">
        <v>0</v>
      </c>
      <c r="Q6" s="10"/>
      <c r="R6" s="10" t="s">
        <v>76</v>
      </c>
      <c r="S6" s="10">
        <v>0</v>
      </c>
      <c r="T6" s="10"/>
      <c r="U6" s="10" t="s">
        <v>76</v>
      </c>
      <c r="V6" s="10">
        <v>0</v>
      </c>
      <c r="W6" s="10"/>
      <c r="X6" s="10" t="s">
        <v>76</v>
      </c>
      <c r="Y6" s="10">
        <v>0</v>
      </c>
      <c r="Z6" s="10"/>
      <c r="AA6" s="10" t="s">
        <v>76</v>
      </c>
      <c r="AB6" s="10">
        <v>0</v>
      </c>
    </row>
    <row r="7" spans="1:28" x14ac:dyDescent="0.25">
      <c r="C7" s="10" t="s">
        <v>77</v>
      </c>
      <c r="D7" s="10">
        <v>0</v>
      </c>
      <c r="F7" s="10" t="s">
        <v>77</v>
      </c>
      <c r="G7" s="10">
        <v>0</v>
      </c>
      <c r="I7" s="10" t="s">
        <v>77</v>
      </c>
      <c r="J7" s="10">
        <v>0</v>
      </c>
      <c r="K7" s="10"/>
      <c r="L7" s="10" t="s">
        <v>77</v>
      </c>
      <c r="M7" s="10">
        <v>1</v>
      </c>
      <c r="N7" s="10"/>
      <c r="O7" s="10" t="s">
        <v>77</v>
      </c>
      <c r="P7" s="10">
        <v>0</v>
      </c>
      <c r="Q7" s="10"/>
      <c r="R7" s="10" t="s">
        <v>77</v>
      </c>
      <c r="S7" s="10">
        <v>0</v>
      </c>
      <c r="T7" s="10"/>
      <c r="U7" s="10" t="s">
        <v>77</v>
      </c>
      <c r="V7" s="10">
        <v>0</v>
      </c>
      <c r="W7" s="10"/>
      <c r="X7" s="10" t="s">
        <v>77</v>
      </c>
      <c r="Y7" s="10">
        <v>0</v>
      </c>
      <c r="Z7" s="10"/>
      <c r="AA7" s="10" t="s">
        <v>77</v>
      </c>
      <c r="AB7" s="10">
        <v>0</v>
      </c>
    </row>
    <row r="8" spans="1:28" x14ac:dyDescent="0.25">
      <c r="C8" s="10" t="s">
        <v>78</v>
      </c>
      <c r="D8" s="10">
        <v>0</v>
      </c>
      <c r="F8" s="10" t="s">
        <v>78</v>
      </c>
      <c r="G8" s="10">
        <v>0</v>
      </c>
      <c r="I8" s="10" t="s">
        <v>78</v>
      </c>
      <c r="J8" s="10">
        <v>0</v>
      </c>
      <c r="K8" s="10"/>
      <c r="L8" s="10" t="s">
        <v>78</v>
      </c>
      <c r="M8" s="10">
        <v>0</v>
      </c>
      <c r="N8" s="10"/>
      <c r="O8" s="10" t="s">
        <v>78</v>
      </c>
      <c r="P8" s="10">
        <v>1</v>
      </c>
      <c r="Q8" s="10"/>
      <c r="R8" s="10" t="s">
        <v>78</v>
      </c>
      <c r="S8" s="10">
        <v>0</v>
      </c>
      <c r="T8" s="10"/>
      <c r="U8" s="10" t="s">
        <v>78</v>
      </c>
      <c r="V8" s="10">
        <v>0</v>
      </c>
      <c r="W8" s="10"/>
      <c r="X8" s="10" t="s">
        <v>78</v>
      </c>
      <c r="Y8" s="10">
        <v>0</v>
      </c>
      <c r="Z8" s="10"/>
      <c r="AA8" s="10" t="s">
        <v>78</v>
      </c>
      <c r="AB8" s="10">
        <v>0</v>
      </c>
    </row>
    <row r="9" spans="1:28" x14ac:dyDescent="0.25">
      <c r="C9" s="10" t="s">
        <v>79</v>
      </c>
      <c r="D9" s="10">
        <v>0</v>
      </c>
      <c r="F9" s="10" t="s">
        <v>79</v>
      </c>
      <c r="G9" s="10">
        <v>0</v>
      </c>
      <c r="I9" s="10" t="s">
        <v>79</v>
      </c>
      <c r="J9" s="10">
        <v>0</v>
      </c>
      <c r="K9" s="10"/>
      <c r="L9" s="10" t="s">
        <v>79</v>
      </c>
      <c r="M9" s="10">
        <v>0</v>
      </c>
      <c r="N9" s="10"/>
      <c r="O9" s="10" t="s">
        <v>79</v>
      </c>
      <c r="P9" s="10">
        <v>0</v>
      </c>
      <c r="Q9" s="10"/>
      <c r="R9" s="10" t="s">
        <v>79</v>
      </c>
      <c r="S9" s="10">
        <v>0</v>
      </c>
      <c r="T9" s="10"/>
      <c r="U9" s="10" t="s">
        <v>79</v>
      </c>
      <c r="V9" s="10">
        <v>0</v>
      </c>
      <c r="W9" s="10"/>
      <c r="X9" s="10" t="s">
        <v>79</v>
      </c>
      <c r="Y9" s="10">
        <v>0</v>
      </c>
      <c r="Z9" s="10"/>
      <c r="AA9" s="10" t="s">
        <v>79</v>
      </c>
      <c r="AB9" s="10">
        <v>0</v>
      </c>
    </row>
    <row r="11" spans="1:28" x14ac:dyDescent="0.25">
      <c r="C11" s="10" t="s">
        <v>80</v>
      </c>
      <c r="D11" t="str">
        <f>CONCATENATE(D9,D8,D7,D6,D5,D4,D3,D2)</f>
        <v>00000000</v>
      </c>
      <c r="F11" s="10" t="s">
        <v>82</v>
      </c>
      <c r="G11" t="str">
        <f>CONCATENATE(G9,G8,G7,G6,G5,G4,G3,G2)</f>
        <v>00000001</v>
      </c>
      <c r="I11" s="10" t="s">
        <v>81</v>
      </c>
      <c r="J11" t="str">
        <f>CONCATENATE(J9,J8,J7,J6,J5,J4,J3,J2)</f>
        <v>00010000</v>
      </c>
      <c r="L11" s="10" t="s">
        <v>253</v>
      </c>
      <c r="M11" t="str">
        <f>CONCATENATE(M9,M8,M7,M6,M5,M4,M3,M2)</f>
        <v>00100000</v>
      </c>
      <c r="O11" s="10" t="s">
        <v>254</v>
      </c>
      <c r="P11" t="str">
        <f>CONCATENATE(P9,P8,P7,P6,P5,P4,P3,P2)</f>
        <v>01000000</v>
      </c>
      <c r="R11" s="10" t="s">
        <v>254</v>
      </c>
      <c r="S11" t="str">
        <f>CONCATENATE(S9,S8,S7,S6,S5,S4,S3,S2)</f>
        <v>00000000</v>
      </c>
      <c r="U11" s="10" t="s">
        <v>15</v>
      </c>
      <c r="V11" t="str">
        <f>CONCATENATE(V9,V8,V7,V6,V5,V4,V3,V2)</f>
        <v>00000000</v>
      </c>
      <c r="X11" s="10" t="s">
        <v>15</v>
      </c>
      <c r="Y11" t="str">
        <f>CONCATENATE(Y9,Y8,Y7,Y6,Y5,Y4,Y3,Y2)</f>
        <v>00000000</v>
      </c>
      <c r="AA11" s="10" t="s">
        <v>15</v>
      </c>
      <c r="AB11" t="str">
        <f>CONCATENATE(AB9,AB8,AB7,AB6,AB5,AB4,AB3,AB2)</f>
        <v>00000000</v>
      </c>
    </row>
    <row r="12" spans="1:28" x14ac:dyDescent="0.25">
      <c r="C12" s="10" t="s">
        <v>70</v>
      </c>
      <c r="D12" t="str">
        <f>CONCATENATE("0x",BIN2HEX(D11,2))</f>
        <v>0x00</v>
      </c>
      <c r="F12" s="10" t="s">
        <v>70</v>
      </c>
      <c r="G12" t="str">
        <f>CONCATENATE("0x",BIN2HEX(G11,2))</f>
        <v>0x01</v>
      </c>
      <c r="I12" t="s">
        <v>70</v>
      </c>
      <c r="J12" t="str">
        <f>CONCATENATE("0x",BIN2HEX(J11,2))</f>
        <v>0x10</v>
      </c>
      <c r="L12" t="s">
        <v>70</v>
      </c>
      <c r="M12" t="str">
        <f>CONCATENATE("0x",BIN2HEX(M11,2))</f>
        <v>0x20</v>
      </c>
      <c r="O12" t="s">
        <v>70</v>
      </c>
      <c r="P12" t="str">
        <f>CONCATENATE("0x",BIN2HEX(P11,2))</f>
        <v>0x40</v>
      </c>
      <c r="R12" t="s">
        <v>70</v>
      </c>
      <c r="S12" t="str">
        <f>CONCATENATE("0x",BIN2HEX(S11,2))</f>
        <v>0x00</v>
      </c>
      <c r="U12" t="s">
        <v>70</v>
      </c>
      <c r="V12" t="str">
        <f>CONCATENATE("0x",BIN2HEX(V11,2))</f>
        <v>0x00</v>
      </c>
      <c r="X12" t="s">
        <v>70</v>
      </c>
      <c r="Y12" t="str">
        <f>CONCATENATE("0x",BIN2HEX(Y11,2))</f>
        <v>0x00</v>
      </c>
      <c r="AA12" t="s">
        <v>70</v>
      </c>
      <c r="AB12" t="str">
        <f>CONCATENATE("0x",BIN2HEX(AB11,2))</f>
        <v>0x00</v>
      </c>
    </row>
    <row r="15" spans="1:28" x14ac:dyDescent="0.25">
      <c r="A15" t="s">
        <v>208</v>
      </c>
    </row>
    <row r="16" spans="1:28" x14ac:dyDescent="0.25">
      <c r="A16" t="s">
        <v>67</v>
      </c>
      <c r="B16" s="10" t="s">
        <v>68</v>
      </c>
      <c r="C16" s="10" t="s">
        <v>69</v>
      </c>
    </row>
    <row r="17" spans="1:18" x14ac:dyDescent="0.25">
      <c r="A17" s="2" t="s">
        <v>18</v>
      </c>
      <c r="B17" s="11" t="s">
        <v>218</v>
      </c>
      <c r="C17" s="10"/>
    </row>
    <row r="18" spans="1:18" x14ac:dyDescent="0.25">
      <c r="A18" s="2" t="s">
        <v>206</v>
      </c>
      <c r="B18" s="2" t="s">
        <v>217</v>
      </c>
    </row>
    <row r="21" spans="1:18" x14ac:dyDescent="0.25">
      <c r="Q21" s="2" t="s">
        <v>206</v>
      </c>
      <c r="R21" s="2" t="s">
        <v>87</v>
      </c>
    </row>
    <row r="22" spans="1:18" x14ac:dyDescent="0.25">
      <c r="Q22" s="2" t="s">
        <v>18</v>
      </c>
      <c r="R22" s="2" t="s">
        <v>207</v>
      </c>
    </row>
    <row r="31" spans="1:18" x14ac:dyDescent="0.25">
      <c r="A31" t="str">
        <f ca="1">CONCATENATE("#",C$16,":",INDIRECT(H32))</f>
        <v>#I2C_Bridge_GPIO:wylacz</v>
      </c>
    </row>
    <row r="32" spans="1:18" x14ac:dyDescent="0.25">
      <c r="A32" s="2" t="str">
        <f>A$15</f>
        <v>device</v>
      </c>
      <c r="B32" s="2" t="str">
        <f>B$16</f>
        <v>TCA9548</v>
      </c>
      <c r="E32" t="s">
        <v>214</v>
      </c>
      <c r="F32">
        <v>3</v>
      </c>
      <c r="G32">
        <v>11</v>
      </c>
      <c r="H32" t="str">
        <f>ADDRESS(G32,F32)</f>
        <v>$C$11</v>
      </c>
    </row>
    <row r="33" spans="1:8" x14ac:dyDescent="0.25">
      <c r="A33" s="2" t="str">
        <f>A$17</f>
        <v>i2c_addr</v>
      </c>
      <c r="B33" s="2" t="str">
        <f>B$17</f>
        <v>0x73</v>
      </c>
    </row>
    <row r="34" spans="1:8" x14ac:dyDescent="0.25">
      <c r="A34" s="2" t="str">
        <f>A$18</f>
        <v>i2c_num</v>
      </c>
      <c r="B34" s="2" t="str">
        <f>B$18</f>
        <v>/dev/i2c-1</v>
      </c>
      <c r="H34" t="str">
        <f>ADDRESS(G32+1,F32)</f>
        <v>$C$12</v>
      </c>
    </row>
    <row r="35" spans="1:8" x14ac:dyDescent="0.25">
      <c r="A35" s="2" t="str">
        <f ca="1">INDIRECT(H34)</f>
        <v>ctrl_reg</v>
      </c>
      <c r="B35" s="2" t="str">
        <f ca="1">INDIRECT(H35)</f>
        <v>0x00</v>
      </c>
      <c r="H35" t="str">
        <f>ADDRESS(G32+1,F32+1)</f>
        <v>$D$12</v>
      </c>
    </row>
    <row r="37" spans="1:8" x14ac:dyDescent="0.25">
      <c r="A37" t="s">
        <v>212</v>
      </c>
      <c r="B37">
        <v>10</v>
      </c>
    </row>
    <row r="51" spans="1:8" x14ac:dyDescent="0.25">
      <c r="A51" t="str">
        <f ca="1">CONCATENATE("#",C$16,":",INDIRECT(H52))</f>
        <v>#I2C_Bridge_GPIO:exp_group_0x</v>
      </c>
    </row>
    <row r="52" spans="1:8" x14ac:dyDescent="0.25">
      <c r="A52" s="2" t="str">
        <f>A$15</f>
        <v>device</v>
      </c>
      <c r="B52" s="2" t="str">
        <f>B$16</f>
        <v>TCA9548</v>
      </c>
      <c r="E52" t="s">
        <v>214</v>
      </c>
      <c r="F52">
        <v>6</v>
      </c>
      <c r="G52">
        <v>11</v>
      </c>
      <c r="H52" t="str">
        <f t="shared" ref="H52" si="0">ADDRESS(G52,F52)</f>
        <v>$F$11</v>
      </c>
    </row>
    <row r="53" spans="1:8" x14ac:dyDescent="0.25">
      <c r="A53" s="2" t="str">
        <f>A$17</f>
        <v>i2c_addr</v>
      </c>
      <c r="B53" s="2" t="str">
        <f>B$17</f>
        <v>0x73</v>
      </c>
    </row>
    <row r="54" spans="1:8" x14ac:dyDescent="0.25">
      <c r="A54" s="2" t="str">
        <f>A$18</f>
        <v>i2c_num</v>
      </c>
      <c r="B54" s="2" t="str">
        <f>B$18</f>
        <v>/dev/i2c-1</v>
      </c>
      <c r="H54" t="str">
        <f t="shared" ref="H54" si="1">ADDRESS(G52+1,F52)</f>
        <v>$F$12</v>
      </c>
    </row>
    <row r="55" spans="1:8" x14ac:dyDescent="0.25">
      <c r="A55" s="2" t="str">
        <f ca="1">INDIRECT(H54)</f>
        <v>ctrl_reg</v>
      </c>
      <c r="B55" s="2" t="str">
        <f ca="1">INDIRECT(H55)</f>
        <v>0x01</v>
      </c>
      <c r="H55" t="str">
        <f t="shared" ref="H55" si="2">ADDRESS(G52+1,F52+1)</f>
        <v>$G$12</v>
      </c>
    </row>
    <row r="57" spans="1:8" x14ac:dyDescent="0.25">
      <c r="A57" t="s">
        <v>212</v>
      </c>
      <c r="B57">
        <v>10</v>
      </c>
    </row>
    <row r="71" spans="1:8" x14ac:dyDescent="0.25">
      <c r="A71" t="str">
        <f t="shared" ref="A71" ca="1" si="3">CONCATENATE("#",C$16,":",INDIRECT(H72))</f>
        <v>#I2C_Bridge_GPIO:exp_group_1x</v>
      </c>
    </row>
    <row r="72" spans="1:8" x14ac:dyDescent="0.25">
      <c r="A72" s="2" t="str">
        <f t="shared" ref="A72" si="4">A$15</f>
        <v>device</v>
      </c>
      <c r="B72" s="2" t="str">
        <f t="shared" ref="B72" si="5">B$16</f>
        <v>TCA9548</v>
      </c>
      <c r="E72" t="s">
        <v>214</v>
      </c>
      <c r="F72">
        <v>9</v>
      </c>
      <c r="G72">
        <v>11</v>
      </c>
      <c r="H72" t="str">
        <f t="shared" ref="H72" si="6">ADDRESS(G72,F72)</f>
        <v>$I$11</v>
      </c>
    </row>
    <row r="73" spans="1:8" x14ac:dyDescent="0.25">
      <c r="A73" s="2" t="str">
        <f t="shared" ref="A73:B73" si="7">A$17</f>
        <v>i2c_addr</v>
      </c>
      <c r="B73" s="2" t="str">
        <f t="shared" si="7"/>
        <v>0x73</v>
      </c>
    </row>
    <row r="74" spans="1:8" x14ac:dyDescent="0.25">
      <c r="A74" s="2" t="str">
        <f t="shared" ref="A74:B74" si="8">A$18</f>
        <v>i2c_num</v>
      </c>
      <c r="B74" s="2" t="str">
        <f t="shared" si="8"/>
        <v>/dev/i2c-1</v>
      </c>
      <c r="H74" t="str">
        <f t="shared" ref="H74" si="9">ADDRESS(G72+1,F72)</f>
        <v>$I$12</v>
      </c>
    </row>
    <row r="75" spans="1:8" x14ac:dyDescent="0.25">
      <c r="A75" s="2" t="str">
        <f t="shared" ref="A75" ca="1" si="10">INDIRECT(H74)</f>
        <v>ctrl_reg</v>
      </c>
      <c r="B75" s="2" t="str">
        <f t="shared" ref="B75" ca="1" si="11">INDIRECT(H75)</f>
        <v>0x10</v>
      </c>
      <c r="H75" t="str">
        <f t="shared" ref="H75" si="12">ADDRESS(G72+1,F72+1)</f>
        <v>$J$12</v>
      </c>
    </row>
    <row r="77" spans="1:8" x14ac:dyDescent="0.25">
      <c r="A77" t="s">
        <v>212</v>
      </c>
      <c r="B77">
        <v>11</v>
      </c>
    </row>
    <row r="91" spans="1:8" x14ac:dyDescent="0.25">
      <c r="A91" t="str">
        <f t="shared" ref="A91" ca="1" si="13">CONCATENATE("#",C$16,":",INDIRECT(H92))</f>
        <v>#I2C_Bridge_GPIO:Bridge_SFP:Port 5</v>
      </c>
    </row>
    <row r="92" spans="1:8" x14ac:dyDescent="0.25">
      <c r="A92" s="2" t="str">
        <f t="shared" ref="A92" si="14">A$15</f>
        <v>device</v>
      </c>
      <c r="B92" s="2" t="str">
        <f t="shared" ref="B92" si="15">B$16</f>
        <v>TCA9548</v>
      </c>
      <c r="E92" t="s">
        <v>214</v>
      </c>
      <c r="F92">
        <v>12</v>
      </c>
      <c r="G92">
        <v>11</v>
      </c>
      <c r="H92" t="str">
        <f t="shared" ref="H92" si="16">ADDRESS(G92,F92)</f>
        <v>$L$11</v>
      </c>
    </row>
    <row r="93" spans="1:8" x14ac:dyDescent="0.25">
      <c r="A93" s="2" t="str">
        <f t="shared" ref="A93:B93" si="17">A$17</f>
        <v>i2c_addr</v>
      </c>
      <c r="B93" s="2" t="str">
        <f t="shared" si="17"/>
        <v>0x73</v>
      </c>
    </row>
    <row r="94" spans="1:8" x14ac:dyDescent="0.25">
      <c r="A94" s="2" t="str">
        <f t="shared" ref="A94:B94" si="18">A$18</f>
        <v>i2c_num</v>
      </c>
      <c r="B94" s="2" t="str">
        <f t="shared" si="18"/>
        <v>/dev/i2c-1</v>
      </c>
      <c r="H94" t="str">
        <f t="shared" ref="H94" si="19">ADDRESS(G92+1,F92)</f>
        <v>$L$12</v>
      </c>
    </row>
    <row r="95" spans="1:8" x14ac:dyDescent="0.25">
      <c r="A95" s="2" t="str">
        <f t="shared" ref="A95" ca="1" si="20">INDIRECT(H94)</f>
        <v>ctrl_reg</v>
      </c>
      <c r="B95" s="2" t="str">
        <f t="shared" ref="B95" ca="1" si="21">INDIRECT(H95)</f>
        <v>0x20</v>
      </c>
      <c r="H95" t="str">
        <f t="shared" ref="H95" si="22">ADDRESS(G92+1,F92+1)</f>
        <v>$M$12</v>
      </c>
    </row>
    <row r="97" spans="1:8" x14ac:dyDescent="0.25">
      <c r="A97" t="s">
        <v>212</v>
      </c>
      <c r="B97">
        <v>11</v>
      </c>
    </row>
    <row r="111" spans="1:8" x14ac:dyDescent="0.25">
      <c r="A111" t="str">
        <f t="shared" ref="A111" ca="1" si="23">CONCATENATE("#",C$16,":",INDIRECT(H112))</f>
        <v>#I2C_Bridge_GPIO:Bridge_SFP:Port 6</v>
      </c>
    </row>
    <row r="112" spans="1:8" x14ac:dyDescent="0.25">
      <c r="A112" s="2" t="str">
        <f t="shared" ref="A112" si="24">A$15</f>
        <v>device</v>
      </c>
      <c r="B112" s="2" t="str">
        <f t="shared" ref="B112" si="25">B$16</f>
        <v>TCA9548</v>
      </c>
      <c r="E112" t="s">
        <v>214</v>
      </c>
      <c r="F112">
        <v>15</v>
      </c>
      <c r="G112">
        <v>11</v>
      </c>
      <c r="H112" t="str">
        <f t="shared" ref="H112" si="26">ADDRESS(G112,F112)</f>
        <v>$O$11</v>
      </c>
    </row>
    <row r="113" spans="1:8" x14ac:dyDescent="0.25">
      <c r="A113" s="2" t="str">
        <f t="shared" ref="A113:B113" si="27">A$17</f>
        <v>i2c_addr</v>
      </c>
      <c r="B113" s="2" t="str">
        <f t="shared" si="27"/>
        <v>0x73</v>
      </c>
    </row>
    <row r="114" spans="1:8" x14ac:dyDescent="0.25">
      <c r="A114" s="2" t="str">
        <f t="shared" ref="A114:B114" si="28">A$18</f>
        <v>i2c_num</v>
      </c>
      <c r="B114" s="2" t="str">
        <f t="shared" si="28"/>
        <v>/dev/i2c-1</v>
      </c>
      <c r="H114" t="str">
        <f t="shared" ref="H114" si="29">ADDRESS(G112+1,F112)</f>
        <v>$O$12</v>
      </c>
    </row>
    <row r="115" spans="1:8" x14ac:dyDescent="0.25">
      <c r="A115" s="2" t="str">
        <f t="shared" ref="A115" ca="1" si="30">INDIRECT(H114)</f>
        <v>ctrl_reg</v>
      </c>
      <c r="B115" s="2" t="str">
        <f t="shared" ref="B115" ca="1" si="31">INDIRECT(H115)</f>
        <v>0x40</v>
      </c>
      <c r="H115" t="str">
        <f t="shared" ref="H115" si="32">ADDRESS(G112+1,F112+1)</f>
        <v>$P$12</v>
      </c>
    </row>
    <row r="117" spans="1:8" x14ac:dyDescent="0.25">
      <c r="A117" t="s">
        <v>212</v>
      </c>
      <c r="B117">
        <v>12</v>
      </c>
    </row>
    <row r="131" spans="1:8" x14ac:dyDescent="0.25">
      <c r="A131" t="str">
        <f t="shared" ref="A131" ca="1" si="33">CONCATENATE("#",C$16,":",INDIRECT(H132))</f>
        <v>#I2C_Bridge_GPIO:Bridge_SFP:Port 6</v>
      </c>
    </row>
    <row r="132" spans="1:8" x14ac:dyDescent="0.25">
      <c r="A132" s="2" t="str">
        <f t="shared" ref="A132" si="34">A$15</f>
        <v>device</v>
      </c>
      <c r="B132" s="2" t="str">
        <f t="shared" ref="B132" si="35">B$16</f>
        <v>TCA9548</v>
      </c>
      <c r="E132" t="s">
        <v>214</v>
      </c>
      <c r="F132">
        <v>18</v>
      </c>
      <c r="G132">
        <v>11</v>
      </c>
      <c r="H132" t="str">
        <f t="shared" ref="H132" si="36">ADDRESS(G132,F132)</f>
        <v>$R$11</v>
      </c>
    </row>
    <row r="133" spans="1:8" x14ac:dyDescent="0.25">
      <c r="A133" s="2" t="str">
        <f t="shared" ref="A133:B133" si="37">A$17</f>
        <v>i2c_addr</v>
      </c>
      <c r="B133" s="2" t="str">
        <f t="shared" si="37"/>
        <v>0x73</v>
      </c>
    </row>
    <row r="134" spans="1:8" x14ac:dyDescent="0.25">
      <c r="A134" s="2" t="str">
        <f t="shared" ref="A134:B134" si="38">A$18</f>
        <v>i2c_num</v>
      </c>
      <c r="B134" s="2" t="str">
        <f t="shared" si="38"/>
        <v>/dev/i2c-1</v>
      </c>
      <c r="H134" t="str">
        <f t="shared" ref="H134" si="39">ADDRESS(G132+1,F132)</f>
        <v>$R$12</v>
      </c>
    </row>
    <row r="135" spans="1:8" x14ac:dyDescent="0.25">
      <c r="A135" s="2" t="str">
        <f t="shared" ref="A135" ca="1" si="40">INDIRECT(H134)</f>
        <v>ctrl_reg</v>
      </c>
      <c r="B135" s="2" t="str">
        <f t="shared" ref="B135" ca="1" si="41">INDIRECT(H135)</f>
        <v>0x00</v>
      </c>
      <c r="H135" t="str">
        <f t="shared" ref="H135" si="42">ADDRESS(G132+1,F132+1)</f>
        <v>$S$12</v>
      </c>
    </row>
    <row r="137" spans="1:8" x14ac:dyDescent="0.25">
      <c r="A137" t="s">
        <v>212</v>
      </c>
      <c r="B137">
        <v>12</v>
      </c>
    </row>
    <row r="151" spans="1:8" x14ac:dyDescent="0.25">
      <c r="A151" t="str">
        <f t="shared" ref="A151" ca="1" si="43">CONCATENATE("#",C$16,":",INDIRECT(H152))</f>
        <v>#I2C_Bridge_GPIO:none</v>
      </c>
    </row>
    <row r="152" spans="1:8" x14ac:dyDescent="0.25">
      <c r="A152" s="2" t="str">
        <f t="shared" ref="A152" si="44">A$15</f>
        <v>device</v>
      </c>
      <c r="B152" s="2" t="str">
        <f t="shared" ref="B152" si="45">B$16</f>
        <v>TCA9548</v>
      </c>
      <c r="E152" t="s">
        <v>214</v>
      </c>
      <c r="F152">
        <v>21</v>
      </c>
      <c r="G152">
        <v>11</v>
      </c>
      <c r="H152" t="str">
        <f t="shared" ref="H152" si="46">ADDRESS(G152,F152)</f>
        <v>$U$11</v>
      </c>
    </row>
    <row r="153" spans="1:8" x14ac:dyDescent="0.25">
      <c r="A153" s="2" t="str">
        <f t="shared" ref="A153:B153" si="47">A$17</f>
        <v>i2c_addr</v>
      </c>
      <c r="B153" s="2" t="str">
        <f t="shared" si="47"/>
        <v>0x73</v>
      </c>
    </row>
    <row r="154" spans="1:8" x14ac:dyDescent="0.25">
      <c r="A154" s="2" t="str">
        <f t="shared" ref="A154:B154" si="48">A$18</f>
        <v>i2c_num</v>
      </c>
      <c r="B154" s="2" t="str">
        <f t="shared" si="48"/>
        <v>/dev/i2c-1</v>
      </c>
      <c r="H154" t="str">
        <f t="shared" ref="H154" si="49">ADDRESS(G152+1,F152)</f>
        <v>$U$12</v>
      </c>
    </row>
    <row r="155" spans="1:8" x14ac:dyDescent="0.25">
      <c r="A155" s="2" t="str">
        <f t="shared" ref="A155" ca="1" si="50">INDIRECT(H154)</f>
        <v>ctrl_reg</v>
      </c>
      <c r="B155" s="2" t="str">
        <f t="shared" ref="B155" ca="1" si="51">INDIRECT(H155)</f>
        <v>0x00</v>
      </c>
      <c r="H155" t="str">
        <f t="shared" ref="H155" si="52">ADDRESS(G152+1,F152+1)</f>
        <v>$V$12</v>
      </c>
    </row>
    <row r="157" spans="1:8" x14ac:dyDescent="0.25">
      <c r="A157" t="s">
        <v>212</v>
      </c>
      <c r="B157">
        <v>13</v>
      </c>
    </row>
    <row r="171" spans="1:8" x14ac:dyDescent="0.25">
      <c r="A171" t="str">
        <f t="shared" ref="A171" ca="1" si="53">CONCATENATE("#",C$16,":",INDIRECT(H172))</f>
        <v>#I2C_Bridge_GPIO:none</v>
      </c>
    </row>
    <row r="172" spans="1:8" x14ac:dyDescent="0.25">
      <c r="A172" s="2" t="str">
        <f t="shared" ref="A172" si="54">A$15</f>
        <v>device</v>
      </c>
      <c r="B172" s="2" t="str">
        <f t="shared" ref="B172" si="55">B$16</f>
        <v>TCA9548</v>
      </c>
      <c r="E172" t="s">
        <v>214</v>
      </c>
      <c r="F172">
        <v>24</v>
      </c>
      <c r="G172">
        <v>11</v>
      </c>
      <c r="H172" t="str">
        <f t="shared" ref="H172" si="56">ADDRESS(G172,F172)</f>
        <v>$X$11</v>
      </c>
    </row>
    <row r="173" spans="1:8" x14ac:dyDescent="0.25">
      <c r="A173" s="2" t="str">
        <f t="shared" ref="A173:B173" si="57">A$17</f>
        <v>i2c_addr</v>
      </c>
      <c r="B173" s="2" t="str">
        <f t="shared" si="57"/>
        <v>0x73</v>
      </c>
    </row>
    <row r="174" spans="1:8" x14ac:dyDescent="0.25">
      <c r="A174" s="2" t="str">
        <f t="shared" ref="A174:B174" si="58">A$18</f>
        <v>i2c_num</v>
      </c>
      <c r="B174" s="2" t="str">
        <f t="shared" si="58"/>
        <v>/dev/i2c-1</v>
      </c>
      <c r="H174" t="str">
        <f t="shared" ref="H174" si="59">ADDRESS(G172+1,F172)</f>
        <v>$X$12</v>
      </c>
    </row>
    <row r="175" spans="1:8" x14ac:dyDescent="0.25">
      <c r="A175" s="2" t="str">
        <f t="shared" ref="A175" ca="1" si="60">INDIRECT(H174)</f>
        <v>ctrl_reg</v>
      </c>
      <c r="B175" s="2" t="str">
        <f t="shared" ref="B175" ca="1" si="61">INDIRECT(H175)</f>
        <v>0x00</v>
      </c>
      <c r="H175" t="str">
        <f t="shared" ref="H175" si="62">ADDRESS(G172+1,F172+1)</f>
        <v>$Y$12</v>
      </c>
    </row>
    <row r="177" spans="1:8" x14ac:dyDescent="0.25">
      <c r="A177" t="s">
        <v>212</v>
      </c>
      <c r="B177">
        <v>13</v>
      </c>
    </row>
    <row r="191" spans="1:8" x14ac:dyDescent="0.25">
      <c r="A191" t="str">
        <f t="shared" ref="A191" ca="1" si="63">CONCATENATE("#",C$16,":",INDIRECT(H192))</f>
        <v>#I2C_Bridge_GPIO:none</v>
      </c>
    </row>
    <row r="192" spans="1:8" x14ac:dyDescent="0.25">
      <c r="A192" s="2" t="str">
        <f t="shared" ref="A192" si="64">A$15</f>
        <v>device</v>
      </c>
      <c r="B192" s="2" t="str">
        <f t="shared" ref="B192" si="65">B$16</f>
        <v>TCA9548</v>
      </c>
      <c r="E192" t="s">
        <v>214</v>
      </c>
      <c r="F192">
        <v>27</v>
      </c>
      <c r="G192">
        <v>11</v>
      </c>
      <c r="H192" t="str">
        <f t="shared" ref="H192" si="66">ADDRESS(G192,F192)</f>
        <v>$AA$11</v>
      </c>
    </row>
    <row r="193" spans="1:8" x14ac:dyDescent="0.25">
      <c r="A193" s="2" t="str">
        <f t="shared" ref="A193:B193" si="67">A$17</f>
        <v>i2c_addr</v>
      </c>
      <c r="B193" s="2" t="str">
        <f t="shared" si="67"/>
        <v>0x73</v>
      </c>
    </row>
    <row r="194" spans="1:8" x14ac:dyDescent="0.25">
      <c r="A194" s="2" t="str">
        <f t="shared" ref="A194:B194" si="68">A$18</f>
        <v>i2c_num</v>
      </c>
      <c r="B194" s="2" t="str">
        <f t="shared" si="68"/>
        <v>/dev/i2c-1</v>
      </c>
      <c r="H194" t="str">
        <f t="shared" ref="H194" si="69">ADDRESS(G192+1,F192)</f>
        <v>$AA$12</v>
      </c>
    </row>
    <row r="195" spans="1:8" x14ac:dyDescent="0.25">
      <c r="A195" s="2" t="str">
        <f t="shared" ref="A195" ca="1" si="70">INDIRECT(H194)</f>
        <v>ctrl_reg</v>
      </c>
      <c r="B195" s="2" t="str">
        <f t="shared" ref="B195" ca="1" si="71">INDIRECT(H195)</f>
        <v>0x00</v>
      </c>
      <c r="H195" t="str">
        <f t="shared" ref="H195" si="72">ADDRESS(G192+1,F192+1)</f>
        <v>$AB$12</v>
      </c>
    </row>
    <row r="197" spans="1:8" x14ac:dyDescent="0.25">
      <c r="A197" t="s">
        <v>212</v>
      </c>
      <c r="B197">
        <v>14</v>
      </c>
    </row>
  </sheetData>
  <sheetProtection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95"/>
  <sheetViews>
    <sheetView workbookViewId="0">
      <selection activeCell="A31" sqref="A31:H210"/>
    </sheetView>
  </sheetViews>
  <sheetFormatPr defaultRowHeight="15" x14ac:dyDescent="0.25"/>
  <cols>
    <col min="3" max="3" width="18.85546875" customWidth="1"/>
    <col min="4" max="4" width="9.7109375" bestFit="1" customWidth="1"/>
    <col min="6" max="6" width="23.28515625" customWidth="1"/>
    <col min="7" max="7" width="9.7109375" bestFit="1" customWidth="1"/>
    <col min="9" max="9" width="16" bestFit="1" customWidth="1"/>
    <col min="10" max="10" width="9.7109375" bestFit="1" customWidth="1"/>
    <col min="12" max="12" width="16" bestFit="1" customWidth="1"/>
    <col min="13" max="13" width="9.7109375" bestFit="1" customWidth="1"/>
    <col min="15" max="15" width="16" bestFit="1" customWidth="1"/>
    <col min="18" max="18" width="16" bestFit="1" customWidth="1"/>
    <col min="21" max="21" width="16" bestFit="1" customWidth="1"/>
  </cols>
  <sheetData>
    <row r="1" spans="1:33" x14ac:dyDescent="0.25">
      <c r="D1" t="s">
        <v>72</v>
      </c>
      <c r="G1" t="s">
        <v>72</v>
      </c>
      <c r="J1" t="s">
        <v>72</v>
      </c>
      <c r="M1" t="s">
        <v>72</v>
      </c>
      <c r="P1" t="s">
        <v>72</v>
      </c>
      <c r="S1" t="s">
        <v>72</v>
      </c>
      <c r="V1" t="s">
        <v>72</v>
      </c>
      <c r="Y1" t="s">
        <v>72</v>
      </c>
      <c r="AB1" t="s">
        <v>72</v>
      </c>
      <c r="AE1" t="s">
        <v>72</v>
      </c>
    </row>
    <row r="2" spans="1:33" x14ac:dyDescent="0.25">
      <c r="A2" t="s">
        <v>88</v>
      </c>
      <c r="C2" s="10" t="s">
        <v>88</v>
      </c>
      <c r="D2" s="10">
        <v>0</v>
      </c>
      <c r="E2" s="10"/>
      <c r="F2" s="10" t="str">
        <f>C2</f>
        <v>SFP1</v>
      </c>
      <c r="G2" s="10">
        <v>0</v>
      </c>
      <c r="H2" s="10"/>
      <c r="I2" s="10" t="str">
        <f>F2</f>
        <v>SFP1</v>
      </c>
      <c r="J2" s="10">
        <v>0</v>
      </c>
      <c r="K2" s="10"/>
      <c r="L2" s="10" t="str">
        <f>I2</f>
        <v>SFP1</v>
      </c>
      <c r="M2" s="10">
        <v>0</v>
      </c>
      <c r="N2" s="10"/>
      <c r="O2" s="10" t="str">
        <f t="shared" ref="O2:O9" si="0">L2</f>
        <v>SFP1</v>
      </c>
      <c r="P2" s="10">
        <v>1</v>
      </c>
      <c r="Q2" s="10"/>
      <c r="R2" s="10" t="str">
        <f t="shared" ref="R2:R9" si="1">O2</f>
        <v>SFP1</v>
      </c>
      <c r="S2" s="10">
        <v>0</v>
      </c>
      <c r="T2" s="10"/>
      <c r="U2" s="10" t="str">
        <f t="shared" ref="U2:U9" si="2">R2</f>
        <v>SFP1</v>
      </c>
      <c r="V2" s="10">
        <v>0</v>
      </c>
      <c r="W2" s="10"/>
      <c r="X2" s="10" t="str">
        <f t="shared" ref="X2:X9" si="3">U2</f>
        <v>SFP1</v>
      </c>
      <c r="Y2" s="10">
        <v>0</v>
      </c>
      <c r="Z2" s="10"/>
      <c r="AA2" s="10" t="str">
        <f t="shared" ref="AA2:AA9" si="4">X2</f>
        <v>SFP1</v>
      </c>
      <c r="AB2" s="10">
        <v>0</v>
      </c>
      <c r="AC2" s="10"/>
      <c r="AD2" s="10" t="str">
        <f t="shared" ref="AD2:AD9" si="5">AA2</f>
        <v>SFP1</v>
      </c>
      <c r="AE2" s="10">
        <v>0</v>
      </c>
    </row>
    <row r="3" spans="1:33" x14ac:dyDescent="0.25">
      <c r="C3" s="10" t="s">
        <v>89</v>
      </c>
      <c r="D3" s="10">
        <v>0</v>
      </c>
      <c r="E3" s="10"/>
      <c r="F3" s="10" t="str">
        <f t="shared" ref="F3:F9" si="6">C3</f>
        <v>SFP3</v>
      </c>
      <c r="G3" s="10">
        <v>0</v>
      </c>
      <c r="H3" s="10"/>
      <c r="I3" s="10" t="str">
        <f t="shared" ref="I3:I9" si="7">F3</f>
        <v>SFP3</v>
      </c>
      <c r="J3" s="10">
        <v>0</v>
      </c>
      <c r="K3" s="10"/>
      <c r="L3" s="10" t="str">
        <f t="shared" ref="L3:L9" si="8">I3</f>
        <v>SFP3</v>
      </c>
      <c r="M3" s="10">
        <v>0</v>
      </c>
      <c r="N3" s="10"/>
      <c r="O3" s="10" t="str">
        <f t="shared" si="0"/>
        <v>SFP3</v>
      </c>
      <c r="P3" s="10">
        <v>0</v>
      </c>
      <c r="Q3" s="10"/>
      <c r="R3" s="10" t="str">
        <f t="shared" si="1"/>
        <v>SFP3</v>
      </c>
      <c r="S3" s="10">
        <v>0</v>
      </c>
      <c r="T3" s="10"/>
      <c r="U3" s="10" t="str">
        <f t="shared" si="2"/>
        <v>SFP3</v>
      </c>
      <c r="V3" s="10">
        <v>1</v>
      </c>
      <c r="W3" s="10"/>
      <c r="X3" s="10" t="str">
        <f t="shared" si="3"/>
        <v>SFP3</v>
      </c>
      <c r="Y3" s="10">
        <v>0</v>
      </c>
      <c r="Z3" s="10"/>
      <c r="AA3" s="10" t="str">
        <f t="shared" si="4"/>
        <v>SFP3</v>
      </c>
      <c r="AB3" s="10">
        <v>0</v>
      </c>
      <c r="AC3" s="10"/>
      <c r="AD3" s="10" t="str">
        <f t="shared" si="5"/>
        <v>SFP3</v>
      </c>
      <c r="AE3" s="10">
        <v>0</v>
      </c>
    </row>
    <row r="4" spans="1:33" x14ac:dyDescent="0.25">
      <c r="C4" s="10" t="s">
        <v>90</v>
      </c>
      <c r="D4" s="10">
        <v>0</v>
      </c>
      <c r="E4" s="10"/>
      <c r="F4" s="10" t="str">
        <f t="shared" si="6"/>
        <v>SFP0</v>
      </c>
      <c r="G4" s="10">
        <v>0</v>
      </c>
      <c r="H4" s="10"/>
      <c r="I4" s="10" t="str">
        <f t="shared" si="7"/>
        <v>SFP0</v>
      </c>
      <c r="J4" s="10">
        <v>0</v>
      </c>
      <c r="K4" s="10"/>
      <c r="L4" s="10" t="str">
        <f t="shared" si="8"/>
        <v>SFP0</v>
      </c>
      <c r="M4" s="10">
        <v>0</v>
      </c>
      <c r="N4" s="10"/>
      <c r="O4" s="10" t="str">
        <f t="shared" si="0"/>
        <v>SFP0</v>
      </c>
      <c r="P4" s="10">
        <v>0</v>
      </c>
      <c r="Q4" s="10"/>
      <c r="R4" s="10" t="str">
        <f t="shared" si="1"/>
        <v>SFP0</v>
      </c>
      <c r="S4" s="10">
        <v>0</v>
      </c>
      <c r="T4" s="10"/>
      <c r="U4" s="10" t="str">
        <f t="shared" si="2"/>
        <v>SFP0</v>
      </c>
      <c r="V4" s="10">
        <v>0</v>
      </c>
      <c r="W4" s="10"/>
      <c r="X4" s="10" t="str">
        <f t="shared" si="3"/>
        <v>SFP0</v>
      </c>
      <c r="Y4" s="10">
        <v>0</v>
      </c>
      <c r="Z4" s="10"/>
      <c r="AA4" s="10" t="str">
        <f t="shared" si="4"/>
        <v>SFP0</v>
      </c>
      <c r="AB4" s="10">
        <v>1</v>
      </c>
      <c r="AC4" s="10"/>
      <c r="AD4" s="10" t="str">
        <f t="shared" si="5"/>
        <v>SFP0</v>
      </c>
      <c r="AE4" s="10">
        <v>0</v>
      </c>
    </row>
    <row r="5" spans="1:33" x14ac:dyDescent="0.25">
      <c r="C5" s="10" t="s">
        <v>91</v>
      </c>
      <c r="D5" s="10">
        <v>0</v>
      </c>
      <c r="E5" s="10"/>
      <c r="F5" s="10" t="str">
        <f t="shared" si="6"/>
        <v>SFP2</v>
      </c>
      <c r="G5" s="10">
        <v>0</v>
      </c>
      <c r="H5" s="10"/>
      <c r="I5" s="10" t="str">
        <f t="shared" si="7"/>
        <v>SFP2</v>
      </c>
      <c r="J5" s="10">
        <v>0</v>
      </c>
      <c r="K5" s="10"/>
      <c r="L5" s="10" t="str">
        <f t="shared" si="8"/>
        <v>SFP2</v>
      </c>
      <c r="M5" s="10">
        <v>0</v>
      </c>
      <c r="N5" s="10"/>
      <c r="O5" s="10" t="str">
        <f t="shared" si="0"/>
        <v>SFP2</v>
      </c>
      <c r="P5" s="10">
        <v>0</v>
      </c>
      <c r="Q5" s="10"/>
      <c r="R5" s="10" t="str">
        <f t="shared" si="1"/>
        <v>SFP2</v>
      </c>
      <c r="S5" s="10">
        <v>1</v>
      </c>
      <c r="T5" s="10"/>
      <c r="U5" s="10" t="str">
        <f t="shared" si="2"/>
        <v>SFP2</v>
      </c>
      <c r="V5" s="10">
        <v>0</v>
      </c>
      <c r="W5" s="10"/>
      <c r="X5" s="10" t="str">
        <f t="shared" si="3"/>
        <v>SFP2</v>
      </c>
      <c r="Y5" s="10">
        <v>0</v>
      </c>
      <c r="Z5" s="10"/>
      <c r="AA5" s="10" t="str">
        <f t="shared" si="4"/>
        <v>SFP2</v>
      </c>
      <c r="AB5" s="10">
        <v>0</v>
      </c>
      <c r="AC5" s="10"/>
      <c r="AD5" s="10" t="str">
        <f t="shared" si="5"/>
        <v>SFP2</v>
      </c>
      <c r="AE5" s="10">
        <v>0</v>
      </c>
    </row>
    <row r="6" spans="1:33" x14ac:dyDescent="0.25">
      <c r="C6" s="10" t="s">
        <v>92</v>
      </c>
      <c r="D6" s="10">
        <v>0</v>
      </c>
      <c r="E6" s="10"/>
      <c r="F6" s="10" t="str">
        <f t="shared" si="6"/>
        <v>IMU</v>
      </c>
      <c r="G6" s="10">
        <v>0</v>
      </c>
      <c r="H6" s="10"/>
      <c r="I6" s="10" t="str">
        <f t="shared" si="7"/>
        <v>IMU</v>
      </c>
      <c r="J6" s="10">
        <v>0</v>
      </c>
      <c r="K6" s="10"/>
      <c r="L6" s="10" t="str">
        <f t="shared" si="8"/>
        <v>IMU</v>
      </c>
      <c r="M6" s="10">
        <v>0</v>
      </c>
      <c r="N6" s="10"/>
      <c r="O6" s="10" t="str">
        <f t="shared" si="0"/>
        <v>IMU</v>
      </c>
      <c r="P6" s="10">
        <v>0</v>
      </c>
      <c r="Q6" s="10"/>
      <c r="R6" s="10" t="str">
        <f t="shared" si="1"/>
        <v>IMU</v>
      </c>
      <c r="S6" s="10">
        <v>0</v>
      </c>
      <c r="T6" s="10"/>
      <c r="U6" s="10" t="str">
        <f t="shared" si="2"/>
        <v>IMU</v>
      </c>
      <c r="V6" s="10">
        <v>0</v>
      </c>
      <c r="W6" s="10"/>
      <c r="X6" s="10" t="str">
        <f t="shared" si="3"/>
        <v>IMU</v>
      </c>
      <c r="Y6" s="10">
        <v>1</v>
      </c>
      <c r="Z6" s="10"/>
      <c r="AA6" s="10" t="str">
        <f t="shared" si="4"/>
        <v>IMU</v>
      </c>
      <c r="AB6" s="10">
        <v>0</v>
      </c>
      <c r="AC6" s="10"/>
      <c r="AD6" s="10" t="str">
        <f t="shared" si="5"/>
        <v>IMU</v>
      </c>
      <c r="AE6" s="10">
        <v>0</v>
      </c>
    </row>
    <row r="7" spans="1:33" x14ac:dyDescent="0.25">
      <c r="C7" s="10" t="s">
        <v>93</v>
      </c>
      <c r="D7" s="10">
        <v>0</v>
      </c>
      <c r="E7" s="10"/>
      <c r="F7" s="10" t="str">
        <f>C7</f>
        <v>Curr_Volt_Meas</v>
      </c>
      <c r="G7" s="10">
        <v>1</v>
      </c>
      <c r="H7" s="10"/>
      <c r="I7" s="10" t="str">
        <f t="shared" si="7"/>
        <v>Curr_Volt_Meas</v>
      </c>
      <c r="J7" s="10">
        <v>0</v>
      </c>
      <c r="K7" s="10"/>
      <c r="L7" s="10" t="str">
        <f t="shared" si="8"/>
        <v>Curr_Volt_Meas</v>
      </c>
      <c r="M7" s="10">
        <v>0</v>
      </c>
      <c r="N7" s="10"/>
      <c r="O7" s="10" t="str">
        <f t="shared" si="0"/>
        <v>Curr_Volt_Meas</v>
      </c>
      <c r="P7" s="10">
        <v>0</v>
      </c>
      <c r="Q7" s="10"/>
      <c r="R7" s="10" t="str">
        <f t="shared" si="1"/>
        <v>Curr_Volt_Meas</v>
      </c>
      <c r="S7" s="10">
        <v>0</v>
      </c>
      <c r="T7" s="10"/>
      <c r="U7" s="10" t="str">
        <f t="shared" si="2"/>
        <v>Curr_Volt_Meas</v>
      </c>
      <c r="V7" s="10">
        <v>0</v>
      </c>
      <c r="W7" s="10"/>
      <c r="X7" s="10" t="str">
        <f t="shared" si="3"/>
        <v>Curr_Volt_Meas</v>
      </c>
      <c r="Y7" s="10">
        <v>0</v>
      </c>
      <c r="Z7" s="10"/>
      <c r="AA7" s="10" t="str">
        <f t="shared" si="4"/>
        <v>Curr_Volt_Meas</v>
      </c>
      <c r="AB7" s="10">
        <v>0</v>
      </c>
      <c r="AC7" s="10"/>
      <c r="AD7" s="10" t="str">
        <f t="shared" si="5"/>
        <v>Curr_Volt_Meas</v>
      </c>
      <c r="AE7" s="10">
        <v>0</v>
      </c>
    </row>
    <row r="8" spans="1:33" x14ac:dyDescent="0.25">
      <c r="C8" s="10" t="s">
        <v>94</v>
      </c>
      <c r="D8" s="10">
        <v>0</v>
      </c>
      <c r="E8" s="10"/>
      <c r="F8" s="10" t="str">
        <f t="shared" si="6"/>
        <v>PCIE_Bridge</v>
      </c>
      <c r="G8" s="10">
        <v>0</v>
      </c>
      <c r="H8" s="10"/>
      <c r="I8" s="10" t="str">
        <f t="shared" si="7"/>
        <v>PCIE_Bridge</v>
      </c>
      <c r="J8" s="10">
        <v>0</v>
      </c>
      <c r="K8" s="10"/>
      <c r="L8" s="10" t="str">
        <f t="shared" si="8"/>
        <v>PCIE_Bridge</v>
      </c>
      <c r="M8" s="10">
        <v>1</v>
      </c>
      <c r="N8" s="10"/>
      <c r="O8" s="10" t="str">
        <f t="shared" si="0"/>
        <v>PCIE_Bridge</v>
      </c>
      <c r="P8" s="10">
        <v>0</v>
      </c>
      <c r="Q8" s="10"/>
      <c r="R8" s="10" t="str">
        <f t="shared" si="1"/>
        <v>PCIE_Bridge</v>
      </c>
      <c r="S8" s="10">
        <v>0</v>
      </c>
      <c r="T8" s="10"/>
      <c r="U8" s="10" t="str">
        <f t="shared" si="2"/>
        <v>PCIE_Bridge</v>
      </c>
      <c r="V8" s="10">
        <v>0</v>
      </c>
      <c r="W8" s="10"/>
      <c r="X8" s="10" t="str">
        <f t="shared" si="3"/>
        <v>PCIE_Bridge</v>
      </c>
      <c r="Y8" s="10">
        <v>0</v>
      </c>
      <c r="Z8" s="10"/>
      <c r="AA8" s="10" t="str">
        <f t="shared" si="4"/>
        <v>PCIE_Bridge</v>
      </c>
      <c r="AB8" s="10">
        <v>0</v>
      </c>
      <c r="AC8" s="10"/>
      <c r="AD8" s="10" t="str">
        <f t="shared" si="5"/>
        <v>PCIE_Bridge</v>
      </c>
      <c r="AE8" s="10">
        <v>0</v>
      </c>
    </row>
    <row r="9" spans="1:33" x14ac:dyDescent="0.25">
      <c r="C9" s="10" t="s">
        <v>95</v>
      </c>
      <c r="D9" s="10">
        <v>0</v>
      </c>
      <c r="E9" s="10"/>
      <c r="F9" s="10" t="str">
        <f t="shared" si="6"/>
        <v>I2C_Expander_SFP</v>
      </c>
      <c r="G9" s="10">
        <v>0</v>
      </c>
      <c r="H9" s="10"/>
      <c r="I9" s="10" t="str">
        <f t="shared" si="7"/>
        <v>I2C_Expander_SFP</v>
      </c>
      <c r="J9" s="10">
        <v>1</v>
      </c>
      <c r="K9" s="10"/>
      <c r="L9" s="10" t="str">
        <f t="shared" si="8"/>
        <v>I2C_Expander_SFP</v>
      </c>
      <c r="M9" s="10">
        <v>0</v>
      </c>
      <c r="N9" s="10"/>
      <c r="O9" s="10" t="str">
        <f t="shared" si="0"/>
        <v>I2C_Expander_SFP</v>
      </c>
      <c r="P9" s="10">
        <v>0</v>
      </c>
      <c r="Q9" s="10"/>
      <c r="R9" s="10" t="str">
        <f t="shared" si="1"/>
        <v>I2C_Expander_SFP</v>
      </c>
      <c r="S9" s="10">
        <v>0</v>
      </c>
      <c r="T9" s="10"/>
      <c r="U9" s="10" t="str">
        <f t="shared" si="2"/>
        <v>I2C_Expander_SFP</v>
      </c>
      <c r="V9" s="10">
        <v>0</v>
      </c>
      <c r="W9" s="10"/>
      <c r="X9" s="10" t="str">
        <f t="shared" si="3"/>
        <v>I2C_Expander_SFP</v>
      </c>
      <c r="Y9" s="10">
        <v>0</v>
      </c>
      <c r="Z9" s="10"/>
      <c r="AA9" s="10" t="str">
        <f t="shared" si="4"/>
        <v>I2C_Expander_SFP</v>
      </c>
      <c r="AB9" s="10">
        <v>0</v>
      </c>
      <c r="AC9" s="10"/>
      <c r="AD9" s="10" t="str">
        <f t="shared" si="5"/>
        <v>I2C_Expander_SFP</v>
      </c>
      <c r="AE9" s="10">
        <v>1</v>
      </c>
    </row>
    <row r="11" spans="1:33" x14ac:dyDescent="0.25">
      <c r="C11" s="10" t="s">
        <v>80</v>
      </c>
      <c r="D11" t="str">
        <f>CONCATENATE(D9,D8,D7,D6,D5,D4,D3,D2)</f>
        <v>00000000</v>
      </c>
      <c r="F11" s="10" t="s">
        <v>113</v>
      </c>
      <c r="G11" t="str">
        <f>CONCATENATE(G9,G8,G7,G6,G5,G4,G3,G2)</f>
        <v>00100000</v>
      </c>
      <c r="I11" s="10" t="s">
        <v>356</v>
      </c>
      <c r="J11" t="str">
        <f>CONCATENATE(J9,J8,J7,J6,J5,J4,J3,J2)</f>
        <v>10000000</v>
      </c>
      <c r="L11" s="10" t="s">
        <v>94</v>
      </c>
      <c r="M11" t="str">
        <f>CONCATENATE(M9,M8,M7,M6,M5,M4,M3,M2)</f>
        <v>01000000</v>
      </c>
      <c r="O11" s="10" t="s">
        <v>88</v>
      </c>
      <c r="P11" t="str">
        <f>CONCATENATE(P9,P8,P7,P6,P5,P4,P3,P2)</f>
        <v>00000001</v>
      </c>
      <c r="R11" s="10" t="s">
        <v>91</v>
      </c>
      <c r="S11" t="str">
        <f>CONCATENATE(S9,S8,S7,S6,S5,S4,S3,S2)</f>
        <v>00001000</v>
      </c>
      <c r="U11" s="10" t="s">
        <v>89</v>
      </c>
      <c r="V11" t="str">
        <f>CONCATENATE(V9,V8,V7,V6,V5,V4,V3,V2)</f>
        <v>00000010</v>
      </c>
      <c r="X11" s="10" t="s">
        <v>92</v>
      </c>
      <c r="Y11" t="str">
        <f>CONCATENATE(Y9,Y8,Y7,Y6,Y5,Y4,Y3,Y2)</f>
        <v>00010000</v>
      </c>
      <c r="AA11" s="10" t="s">
        <v>90</v>
      </c>
      <c r="AB11" t="str">
        <f>CONCATENATE(AB9,AB8,AB7,AB6,AB5,AB4,AB3,AB2)</f>
        <v>00000100</v>
      </c>
      <c r="AD11" s="10" t="s">
        <v>143</v>
      </c>
      <c r="AE11" t="str">
        <f>CONCATENATE(AE9,AE8,AE7,AE6,AE5,AE4,AE3,AE2)</f>
        <v>10000000</v>
      </c>
    </row>
    <row r="12" spans="1:33" x14ac:dyDescent="0.25">
      <c r="C12" t="s">
        <v>70</v>
      </c>
      <c r="D12" t="str">
        <f>CONCATENATE("0x",BIN2HEX(D11,2))</f>
        <v>0x00</v>
      </c>
      <c r="F12" t="s">
        <v>70</v>
      </c>
      <c r="G12" t="str">
        <f>CONCATENATE("0x",BIN2HEX(G11,2))</f>
        <v>0x20</v>
      </c>
      <c r="I12" t="s">
        <v>70</v>
      </c>
      <c r="J12" t="str">
        <f>CONCATENATE("0x",BIN2HEX(J11,2))</f>
        <v>0x80</v>
      </c>
      <c r="L12" t="s">
        <v>70</v>
      </c>
      <c r="M12" t="str">
        <f>CONCATENATE("0x",BIN2HEX(M11,2))</f>
        <v>0x40</v>
      </c>
      <c r="O12" t="s">
        <v>70</v>
      </c>
      <c r="P12" t="str">
        <f>CONCATENATE("0x",BIN2HEX(P11,2))</f>
        <v>0x01</v>
      </c>
      <c r="R12" t="s">
        <v>70</v>
      </c>
      <c r="S12" t="str">
        <f>CONCATENATE("0x",BIN2HEX(S11,2))</f>
        <v>0x08</v>
      </c>
      <c r="U12" t="s">
        <v>70</v>
      </c>
      <c r="V12" t="str">
        <f>CONCATENATE("0x",BIN2HEX(V11,2))</f>
        <v>0x02</v>
      </c>
      <c r="X12" t="s">
        <v>70</v>
      </c>
      <c r="Y12" t="str">
        <f>CONCATENATE("0x",BIN2HEX(Y11,2))</f>
        <v>0x10</v>
      </c>
      <c r="AA12" t="s">
        <v>70</v>
      </c>
      <c r="AB12" t="str">
        <f>CONCATENATE("0x",BIN2HEX(AB11,2))</f>
        <v>0x04</v>
      </c>
      <c r="AD12" t="s">
        <v>70</v>
      </c>
      <c r="AE12" t="str">
        <f>CONCATENATE("0x",BIN2HEX(AE11,2))</f>
        <v>0x80</v>
      </c>
    </row>
    <row r="13" spans="1:33" x14ac:dyDescent="0.25">
      <c r="A13">
        <v>1</v>
      </c>
      <c r="B13">
        <v>2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  <c r="M13">
        <v>13</v>
      </c>
      <c r="N13">
        <v>14</v>
      </c>
      <c r="O13">
        <v>15</v>
      </c>
      <c r="P13">
        <v>16</v>
      </c>
      <c r="Q13">
        <v>17</v>
      </c>
      <c r="R13">
        <v>18</v>
      </c>
      <c r="S13">
        <v>19</v>
      </c>
      <c r="T13">
        <v>20</v>
      </c>
      <c r="U13">
        <v>21</v>
      </c>
      <c r="V13">
        <v>22</v>
      </c>
      <c r="W13">
        <v>23</v>
      </c>
      <c r="X13">
        <v>24</v>
      </c>
      <c r="Y13">
        <v>25</v>
      </c>
      <c r="Z13">
        <v>26</v>
      </c>
      <c r="AA13">
        <v>27</v>
      </c>
      <c r="AB13">
        <v>28</v>
      </c>
      <c r="AC13">
        <v>29</v>
      </c>
      <c r="AD13">
        <v>30</v>
      </c>
      <c r="AE13">
        <v>31</v>
      </c>
      <c r="AF13">
        <v>32</v>
      </c>
      <c r="AG13">
        <v>33</v>
      </c>
    </row>
    <row r="15" spans="1:33" x14ac:dyDescent="0.25">
      <c r="A15" t="s">
        <v>208</v>
      </c>
    </row>
    <row r="16" spans="1:33" x14ac:dyDescent="0.25">
      <c r="A16" t="s">
        <v>67</v>
      </c>
      <c r="B16" t="s">
        <v>68</v>
      </c>
      <c r="C16" t="s">
        <v>86</v>
      </c>
    </row>
    <row r="17" spans="1:8" x14ac:dyDescent="0.25">
      <c r="A17" s="2" t="s">
        <v>18</v>
      </c>
      <c r="B17" s="2" t="s">
        <v>219</v>
      </c>
    </row>
    <row r="18" spans="1:8" x14ac:dyDescent="0.25">
      <c r="A18" s="2" t="s">
        <v>206</v>
      </c>
      <c r="B18" s="2" t="s">
        <v>217</v>
      </c>
    </row>
    <row r="31" spans="1:8" x14ac:dyDescent="0.25">
      <c r="A31" t="str">
        <f ca="1">CONCATENATE("#",C$16,":",INDIRECT(H32))</f>
        <v>#I2C_Bridge_SFP:wylacz</v>
      </c>
    </row>
    <row r="32" spans="1:8" x14ac:dyDescent="0.25">
      <c r="A32" s="2" t="str">
        <f>A$15</f>
        <v>device</v>
      </c>
      <c r="B32" s="2" t="str">
        <f>B$16</f>
        <v>TCA9548</v>
      </c>
      <c r="E32" t="s">
        <v>214</v>
      </c>
      <c r="F32">
        <v>3</v>
      </c>
      <c r="G32">
        <v>11</v>
      </c>
      <c r="H32" t="str">
        <f>ADDRESS(G32,F32)</f>
        <v>$C$11</v>
      </c>
    </row>
    <row r="33" spans="1:8" x14ac:dyDescent="0.25">
      <c r="A33" s="2" t="str">
        <f>A$17</f>
        <v>i2c_addr</v>
      </c>
      <c r="B33" s="2" t="str">
        <f>B$17</f>
        <v>0x70</v>
      </c>
    </row>
    <row r="34" spans="1:8" x14ac:dyDescent="0.25">
      <c r="A34" s="2" t="str">
        <f>A$18</f>
        <v>i2c_num</v>
      </c>
      <c r="B34" s="2" t="str">
        <f>B$18</f>
        <v>/dev/i2c-1</v>
      </c>
      <c r="H34" t="str">
        <f>ADDRESS(G32+1,F32)</f>
        <v>$C$12</v>
      </c>
    </row>
    <row r="35" spans="1:8" x14ac:dyDescent="0.25">
      <c r="A35" s="2" t="str">
        <f ca="1">INDIRECT(H34)</f>
        <v>ctrl_reg</v>
      </c>
      <c r="B35" s="2" t="str">
        <f ca="1">INDIRECT(H35)</f>
        <v>0x00</v>
      </c>
      <c r="H35" t="str">
        <f>ADDRESS(G32+1,F32+1)</f>
        <v>$D$12</v>
      </c>
    </row>
    <row r="37" spans="1:8" x14ac:dyDescent="0.25">
      <c r="A37" t="s">
        <v>212</v>
      </c>
      <c r="B37">
        <v>10</v>
      </c>
    </row>
    <row r="51" spans="1:8" x14ac:dyDescent="0.25">
      <c r="A51" t="str">
        <f ca="1">CONCATENATE("#",C$16,":",INDIRECT(H52))</f>
        <v>#I2C_Bridge_SFP:Exp_PCIE</v>
      </c>
    </row>
    <row r="52" spans="1:8" x14ac:dyDescent="0.25">
      <c r="A52" s="2" t="str">
        <f>A$15</f>
        <v>device</v>
      </c>
      <c r="B52" s="2" t="str">
        <f>B$16</f>
        <v>TCA9548</v>
      </c>
      <c r="E52" t="s">
        <v>214</v>
      </c>
      <c r="F52">
        <v>6</v>
      </c>
      <c r="G52">
        <v>11</v>
      </c>
      <c r="H52" t="str">
        <f t="shared" ref="H52" si="9">ADDRESS(G52,F52)</f>
        <v>$F$11</v>
      </c>
    </row>
    <row r="53" spans="1:8" x14ac:dyDescent="0.25">
      <c r="A53" s="2" t="str">
        <f>A$17</f>
        <v>i2c_addr</v>
      </c>
      <c r="B53" s="2" t="str">
        <f>B$17</f>
        <v>0x70</v>
      </c>
    </row>
    <row r="54" spans="1:8" x14ac:dyDescent="0.25">
      <c r="A54" s="2" t="str">
        <f>A$18</f>
        <v>i2c_num</v>
      </c>
      <c r="B54" s="2" t="str">
        <f>B$18</f>
        <v>/dev/i2c-1</v>
      </c>
      <c r="H54" t="str">
        <f t="shared" ref="H54" si="10">ADDRESS(G52+1,F52)</f>
        <v>$F$12</v>
      </c>
    </row>
    <row r="55" spans="1:8" x14ac:dyDescent="0.25">
      <c r="A55" s="2" t="str">
        <f ca="1">INDIRECT(H54)</f>
        <v>ctrl_reg</v>
      </c>
      <c r="B55" s="2" t="str">
        <f ca="1">INDIRECT(H55)</f>
        <v>0x20</v>
      </c>
      <c r="H55" t="str">
        <f t="shared" ref="H55" si="11">ADDRESS(G52+1,F52+1)</f>
        <v>$G$12</v>
      </c>
    </row>
    <row r="57" spans="1:8" x14ac:dyDescent="0.25">
      <c r="A57" t="s">
        <v>212</v>
      </c>
      <c r="B57">
        <v>10</v>
      </c>
    </row>
    <row r="71" spans="1:8" x14ac:dyDescent="0.25">
      <c r="A71" t="str">
        <f t="shared" ref="A71" ca="1" si="12">CONCATENATE("#",C$16,":",INDIRECT(H72))</f>
        <v>#I2C_Bridge_SFP:I2C_Expander SFP</v>
      </c>
    </row>
    <row r="72" spans="1:8" x14ac:dyDescent="0.25">
      <c r="A72" s="2" t="str">
        <f t="shared" ref="A72" si="13">A$15</f>
        <v>device</v>
      </c>
      <c r="B72" s="2" t="str">
        <f t="shared" ref="B72" si="14">B$16</f>
        <v>TCA9548</v>
      </c>
      <c r="E72" t="s">
        <v>214</v>
      </c>
      <c r="F72">
        <v>9</v>
      </c>
      <c r="G72">
        <v>11</v>
      </c>
      <c r="H72" t="str">
        <f t="shared" ref="H72" si="15">ADDRESS(G72,F72)</f>
        <v>$I$11</v>
      </c>
    </row>
    <row r="73" spans="1:8" x14ac:dyDescent="0.25">
      <c r="A73" s="2" t="str">
        <f t="shared" ref="A73:B73" si="16">A$17</f>
        <v>i2c_addr</v>
      </c>
      <c r="B73" s="2" t="str">
        <f t="shared" si="16"/>
        <v>0x70</v>
      </c>
    </row>
    <row r="74" spans="1:8" x14ac:dyDescent="0.25">
      <c r="A74" s="2" t="str">
        <f t="shared" ref="A74:B74" si="17">A$18</f>
        <v>i2c_num</v>
      </c>
      <c r="B74" s="2" t="str">
        <f t="shared" si="17"/>
        <v>/dev/i2c-1</v>
      </c>
      <c r="H74" t="str">
        <f t="shared" ref="H74" si="18">ADDRESS(G72+1,F72)</f>
        <v>$I$12</v>
      </c>
    </row>
    <row r="75" spans="1:8" x14ac:dyDescent="0.25">
      <c r="A75" s="2" t="str">
        <f t="shared" ref="A75" ca="1" si="19">INDIRECT(H74)</f>
        <v>ctrl_reg</v>
      </c>
      <c r="B75" s="2" t="str">
        <f t="shared" ref="B75" ca="1" si="20">INDIRECT(H75)</f>
        <v>0x80</v>
      </c>
      <c r="H75" t="str">
        <f t="shared" ref="H75" si="21">ADDRESS(G72+1,F72+1)</f>
        <v>$J$12</v>
      </c>
    </row>
    <row r="77" spans="1:8" x14ac:dyDescent="0.25">
      <c r="A77" t="s">
        <v>212</v>
      </c>
      <c r="B77">
        <v>11</v>
      </c>
    </row>
    <row r="91" spans="1:8" x14ac:dyDescent="0.25">
      <c r="A91" t="str">
        <f t="shared" ref="A91" ca="1" si="22">CONCATENATE("#",C$16,":",INDIRECT(H92))</f>
        <v>#I2C_Bridge_SFP:PCIE_Bridge</v>
      </c>
    </row>
    <row r="92" spans="1:8" x14ac:dyDescent="0.25">
      <c r="A92" s="2" t="str">
        <f t="shared" ref="A92" si="23">A$15</f>
        <v>device</v>
      </c>
      <c r="B92" s="2" t="str">
        <f t="shared" ref="B92" si="24">B$16</f>
        <v>TCA9548</v>
      </c>
      <c r="E92" t="s">
        <v>214</v>
      </c>
      <c r="F92">
        <v>12</v>
      </c>
      <c r="G92">
        <v>11</v>
      </c>
      <c r="H92" t="str">
        <f t="shared" ref="H92" si="25">ADDRESS(G92,F92)</f>
        <v>$L$11</v>
      </c>
    </row>
    <row r="93" spans="1:8" x14ac:dyDescent="0.25">
      <c r="A93" s="2" t="str">
        <f t="shared" ref="A93:B93" si="26">A$17</f>
        <v>i2c_addr</v>
      </c>
      <c r="B93" s="2" t="str">
        <f t="shared" si="26"/>
        <v>0x70</v>
      </c>
    </row>
    <row r="94" spans="1:8" x14ac:dyDescent="0.25">
      <c r="A94" s="2" t="str">
        <f t="shared" ref="A94:B94" si="27">A$18</f>
        <v>i2c_num</v>
      </c>
      <c r="B94" s="2" t="str">
        <f t="shared" si="27"/>
        <v>/dev/i2c-1</v>
      </c>
      <c r="H94" t="str">
        <f t="shared" ref="H94" si="28">ADDRESS(G92+1,F92)</f>
        <v>$L$12</v>
      </c>
    </row>
    <row r="95" spans="1:8" x14ac:dyDescent="0.25">
      <c r="A95" s="2" t="str">
        <f t="shared" ref="A95" ca="1" si="29">INDIRECT(H94)</f>
        <v>ctrl_reg</v>
      </c>
      <c r="B95" s="2" t="str">
        <f t="shared" ref="B95" ca="1" si="30">INDIRECT(H95)</f>
        <v>0x40</v>
      </c>
      <c r="H95" t="str">
        <f t="shared" ref="H95" si="31">ADDRESS(G92+1,F92+1)</f>
        <v>$M$12</v>
      </c>
    </row>
    <row r="97" spans="1:8" x14ac:dyDescent="0.25">
      <c r="A97" t="s">
        <v>212</v>
      </c>
      <c r="B97">
        <v>11</v>
      </c>
    </row>
    <row r="111" spans="1:8" x14ac:dyDescent="0.25">
      <c r="A111" t="str">
        <f t="shared" ref="A111" ca="1" si="32">CONCATENATE("#",C$16,":",INDIRECT(H112))</f>
        <v>#I2C_Bridge_SFP:SFP1</v>
      </c>
    </row>
    <row r="112" spans="1:8" x14ac:dyDescent="0.25">
      <c r="A112" s="2" t="str">
        <f t="shared" ref="A112" si="33">A$15</f>
        <v>device</v>
      </c>
      <c r="B112" s="2" t="str">
        <f t="shared" ref="B112" si="34">B$16</f>
        <v>TCA9548</v>
      </c>
      <c r="E112" t="s">
        <v>214</v>
      </c>
      <c r="F112">
        <v>15</v>
      </c>
      <c r="G112">
        <v>11</v>
      </c>
      <c r="H112" t="str">
        <f t="shared" ref="H112" si="35">ADDRESS(G112,F112)</f>
        <v>$O$11</v>
      </c>
    </row>
    <row r="113" spans="1:8" x14ac:dyDescent="0.25">
      <c r="A113" s="2" t="str">
        <f t="shared" ref="A113:B113" si="36">A$17</f>
        <v>i2c_addr</v>
      </c>
      <c r="B113" s="2" t="str">
        <f t="shared" si="36"/>
        <v>0x70</v>
      </c>
    </row>
    <row r="114" spans="1:8" x14ac:dyDescent="0.25">
      <c r="A114" s="2" t="str">
        <f t="shared" ref="A114:B114" si="37">A$18</f>
        <v>i2c_num</v>
      </c>
      <c r="B114" s="2" t="str">
        <f t="shared" si="37"/>
        <v>/dev/i2c-1</v>
      </c>
      <c r="H114" t="str">
        <f t="shared" ref="H114" si="38">ADDRESS(G112+1,F112)</f>
        <v>$O$12</v>
      </c>
    </row>
    <row r="115" spans="1:8" x14ac:dyDescent="0.25">
      <c r="A115" s="2" t="str">
        <f t="shared" ref="A115" ca="1" si="39">INDIRECT(H114)</f>
        <v>ctrl_reg</v>
      </c>
      <c r="B115" s="2" t="str">
        <f t="shared" ref="B115" ca="1" si="40">INDIRECT(H115)</f>
        <v>0x01</v>
      </c>
      <c r="H115" t="str">
        <f t="shared" ref="H115" si="41">ADDRESS(G112+1,F112+1)</f>
        <v>$P$12</v>
      </c>
    </row>
    <row r="117" spans="1:8" x14ac:dyDescent="0.25">
      <c r="A117" t="s">
        <v>212</v>
      </c>
      <c r="B117">
        <v>12</v>
      </c>
    </row>
    <row r="131" spans="1:8" x14ac:dyDescent="0.25">
      <c r="A131" t="str">
        <f t="shared" ref="A131" ca="1" si="42">CONCATENATE("#",C$16,":",INDIRECT(H132))</f>
        <v>#I2C_Bridge_SFP:SFP2</v>
      </c>
    </row>
    <row r="132" spans="1:8" x14ac:dyDescent="0.25">
      <c r="A132" s="2" t="str">
        <f t="shared" ref="A132" si="43">A$15</f>
        <v>device</v>
      </c>
      <c r="B132" s="2" t="str">
        <f t="shared" ref="B132" si="44">B$16</f>
        <v>TCA9548</v>
      </c>
      <c r="E132" t="s">
        <v>214</v>
      </c>
      <c r="F132">
        <v>18</v>
      </c>
      <c r="G132">
        <v>11</v>
      </c>
      <c r="H132" t="str">
        <f t="shared" ref="H132" si="45">ADDRESS(G132,F132)</f>
        <v>$R$11</v>
      </c>
    </row>
    <row r="133" spans="1:8" x14ac:dyDescent="0.25">
      <c r="A133" s="2" t="str">
        <f t="shared" ref="A133:B133" si="46">A$17</f>
        <v>i2c_addr</v>
      </c>
      <c r="B133" s="2" t="str">
        <f t="shared" si="46"/>
        <v>0x70</v>
      </c>
    </row>
    <row r="134" spans="1:8" x14ac:dyDescent="0.25">
      <c r="A134" s="2" t="str">
        <f t="shared" ref="A134:B134" si="47">A$18</f>
        <v>i2c_num</v>
      </c>
      <c r="B134" s="2" t="str">
        <f t="shared" si="47"/>
        <v>/dev/i2c-1</v>
      </c>
      <c r="H134" t="str">
        <f t="shared" ref="H134" si="48">ADDRESS(G132+1,F132)</f>
        <v>$R$12</v>
      </c>
    </row>
    <row r="135" spans="1:8" x14ac:dyDescent="0.25">
      <c r="A135" s="2" t="str">
        <f t="shared" ref="A135" ca="1" si="49">INDIRECT(H134)</f>
        <v>ctrl_reg</v>
      </c>
      <c r="B135" s="2" t="str">
        <f t="shared" ref="B135" ca="1" si="50">INDIRECT(H135)</f>
        <v>0x08</v>
      </c>
      <c r="H135" t="str">
        <f t="shared" ref="H135" si="51">ADDRESS(G132+1,F132+1)</f>
        <v>$S$12</v>
      </c>
    </row>
    <row r="137" spans="1:8" x14ac:dyDescent="0.25">
      <c r="A137" t="s">
        <v>212</v>
      </c>
      <c r="B137">
        <v>12</v>
      </c>
    </row>
    <row r="151" spans="1:8" x14ac:dyDescent="0.25">
      <c r="A151" t="str">
        <f t="shared" ref="A151" ca="1" si="52">CONCATENATE("#",C$16,":",INDIRECT(H152))</f>
        <v>#I2C_Bridge_SFP:SFP3</v>
      </c>
    </row>
    <row r="152" spans="1:8" x14ac:dyDescent="0.25">
      <c r="A152" s="2" t="str">
        <f t="shared" ref="A152" si="53">A$15</f>
        <v>device</v>
      </c>
      <c r="B152" s="2" t="str">
        <f t="shared" ref="B152" si="54">B$16</f>
        <v>TCA9548</v>
      </c>
      <c r="E152" t="s">
        <v>214</v>
      </c>
      <c r="F152">
        <v>21</v>
      </c>
      <c r="G152">
        <v>11</v>
      </c>
      <c r="H152" t="str">
        <f t="shared" ref="H152" si="55">ADDRESS(G152,F152)</f>
        <v>$U$11</v>
      </c>
    </row>
    <row r="153" spans="1:8" x14ac:dyDescent="0.25">
      <c r="A153" s="2" t="str">
        <f t="shared" ref="A153:B153" si="56">A$17</f>
        <v>i2c_addr</v>
      </c>
      <c r="B153" s="2" t="str">
        <f t="shared" si="56"/>
        <v>0x70</v>
      </c>
    </row>
    <row r="154" spans="1:8" x14ac:dyDescent="0.25">
      <c r="A154" s="2" t="str">
        <f t="shared" ref="A154:B154" si="57">A$18</f>
        <v>i2c_num</v>
      </c>
      <c r="B154" s="2" t="str">
        <f t="shared" si="57"/>
        <v>/dev/i2c-1</v>
      </c>
      <c r="H154" t="str">
        <f t="shared" ref="H154" si="58">ADDRESS(G152+1,F152)</f>
        <v>$U$12</v>
      </c>
    </row>
    <row r="155" spans="1:8" x14ac:dyDescent="0.25">
      <c r="A155" s="2" t="str">
        <f t="shared" ref="A155" ca="1" si="59">INDIRECT(H154)</f>
        <v>ctrl_reg</v>
      </c>
      <c r="B155" s="2" t="str">
        <f t="shared" ref="B155" ca="1" si="60">INDIRECT(H155)</f>
        <v>0x02</v>
      </c>
      <c r="H155" t="str">
        <f t="shared" ref="H155" si="61">ADDRESS(G152+1,F152+1)</f>
        <v>$V$12</v>
      </c>
    </row>
    <row r="157" spans="1:8" x14ac:dyDescent="0.25">
      <c r="A157" t="s">
        <v>212</v>
      </c>
      <c r="B157">
        <v>13</v>
      </c>
    </row>
    <row r="171" spans="1:8" x14ac:dyDescent="0.25">
      <c r="A171" t="str">
        <f t="shared" ref="A171" ca="1" si="62">CONCATENATE("#",C$16,":",INDIRECT(H172))</f>
        <v>#I2C_Bridge_SFP:IMU</v>
      </c>
    </row>
    <row r="172" spans="1:8" x14ac:dyDescent="0.25">
      <c r="A172" s="2" t="str">
        <f t="shared" ref="A172" si="63">A$15</f>
        <v>device</v>
      </c>
      <c r="B172" s="2" t="str">
        <f t="shared" ref="B172" si="64">B$16</f>
        <v>TCA9548</v>
      </c>
      <c r="E172" t="s">
        <v>214</v>
      </c>
      <c r="F172">
        <v>24</v>
      </c>
      <c r="G172">
        <v>11</v>
      </c>
      <c r="H172" t="str">
        <f t="shared" ref="H172" si="65">ADDRESS(G172,F172)</f>
        <v>$X$11</v>
      </c>
    </row>
    <row r="173" spans="1:8" x14ac:dyDescent="0.25">
      <c r="A173" s="2" t="str">
        <f t="shared" ref="A173:B173" si="66">A$17</f>
        <v>i2c_addr</v>
      </c>
      <c r="B173" s="2" t="str">
        <f t="shared" si="66"/>
        <v>0x70</v>
      </c>
    </row>
    <row r="174" spans="1:8" x14ac:dyDescent="0.25">
      <c r="A174" s="2" t="str">
        <f t="shared" ref="A174:B174" si="67">A$18</f>
        <v>i2c_num</v>
      </c>
      <c r="B174" s="2" t="str">
        <f t="shared" si="67"/>
        <v>/dev/i2c-1</v>
      </c>
      <c r="H174" t="str">
        <f t="shared" ref="H174" si="68">ADDRESS(G172+1,F172)</f>
        <v>$X$12</v>
      </c>
    </row>
    <row r="175" spans="1:8" x14ac:dyDescent="0.25">
      <c r="A175" s="2" t="str">
        <f t="shared" ref="A175" ca="1" si="69">INDIRECT(H174)</f>
        <v>ctrl_reg</v>
      </c>
      <c r="B175" s="2" t="str">
        <f t="shared" ref="B175" ca="1" si="70">INDIRECT(H175)</f>
        <v>0x10</v>
      </c>
      <c r="H175" t="str">
        <f t="shared" ref="H175" si="71">ADDRESS(G172+1,F172+1)</f>
        <v>$Y$12</v>
      </c>
    </row>
    <row r="177" spans="1:8" x14ac:dyDescent="0.25">
      <c r="A177" t="s">
        <v>212</v>
      </c>
      <c r="B177">
        <v>13</v>
      </c>
    </row>
    <row r="191" spans="1:8" x14ac:dyDescent="0.25">
      <c r="A191" t="str">
        <f t="shared" ref="A191" ca="1" si="72">CONCATENATE("#",C$16,":",INDIRECT(H192))</f>
        <v>#I2C_Bridge_SFP:SFP0</v>
      </c>
    </row>
    <row r="192" spans="1:8" x14ac:dyDescent="0.25">
      <c r="A192" s="2" t="str">
        <f t="shared" ref="A192" si="73">A$15</f>
        <v>device</v>
      </c>
      <c r="B192" s="2" t="str">
        <f t="shared" ref="B192" si="74">B$16</f>
        <v>TCA9548</v>
      </c>
      <c r="E192" t="s">
        <v>214</v>
      </c>
      <c r="F192">
        <v>27</v>
      </c>
      <c r="G192">
        <v>11</v>
      </c>
      <c r="H192" t="str">
        <f t="shared" ref="H192" si="75">ADDRESS(G192,F192)</f>
        <v>$AA$11</v>
      </c>
    </row>
    <row r="193" spans="1:8" x14ac:dyDescent="0.25">
      <c r="A193" s="2" t="str">
        <f t="shared" ref="A193:B193" si="76">A$17</f>
        <v>i2c_addr</v>
      </c>
      <c r="B193" s="2" t="str">
        <f t="shared" si="76"/>
        <v>0x70</v>
      </c>
    </row>
    <row r="194" spans="1:8" x14ac:dyDescent="0.25">
      <c r="A194" s="2" t="str">
        <f t="shared" ref="A194:B194" si="77">A$18</f>
        <v>i2c_num</v>
      </c>
      <c r="B194" s="2" t="str">
        <f t="shared" si="77"/>
        <v>/dev/i2c-1</v>
      </c>
      <c r="H194" t="str">
        <f t="shared" ref="H194" si="78">ADDRESS(G192+1,F192)</f>
        <v>$AA$12</v>
      </c>
    </row>
    <row r="195" spans="1:8" x14ac:dyDescent="0.25">
      <c r="A195" s="2" t="str">
        <f t="shared" ref="A195" ca="1" si="79">INDIRECT(H194)</f>
        <v>ctrl_reg</v>
      </c>
      <c r="B195" s="2" t="str">
        <f t="shared" ref="B195" ca="1" si="80">INDIRECT(H195)</f>
        <v>0x04</v>
      </c>
      <c r="H195" t="str">
        <f t="shared" ref="H195" si="81">ADDRESS(G192+1,F192+1)</f>
        <v>$AB$12</v>
      </c>
    </row>
    <row r="197" spans="1:8" x14ac:dyDescent="0.25">
      <c r="A197" t="s">
        <v>212</v>
      </c>
      <c r="B197">
        <v>14</v>
      </c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</sheetData>
  <sheetProtection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7"/>
  <sheetViews>
    <sheetView workbookViewId="0">
      <selection activeCell="A31" sqref="A31:H210"/>
    </sheetView>
  </sheetViews>
  <sheetFormatPr defaultRowHeight="15" x14ac:dyDescent="0.25"/>
  <cols>
    <col min="3" max="3" width="29.28515625" bestFit="1" customWidth="1"/>
    <col min="4" max="4" width="9.7109375" bestFit="1" customWidth="1"/>
    <col min="6" max="6" width="16" bestFit="1" customWidth="1"/>
    <col min="7" max="7" width="9.7109375" bestFit="1" customWidth="1"/>
    <col min="9" max="9" width="16" bestFit="1" customWidth="1"/>
    <col min="10" max="10" width="9.7109375" bestFit="1" customWidth="1"/>
    <col min="12" max="12" width="16" bestFit="1" customWidth="1"/>
    <col min="13" max="13" width="9.7109375" bestFit="1" customWidth="1"/>
    <col min="15" max="15" width="16" bestFit="1" customWidth="1"/>
    <col min="18" max="18" width="16" bestFit="1" customWidth="1"/>
    <col min="21" max="21" width="16" bestFit="1" customWidth="1"/>
  </cols>
  <sheetData>
    <row r="1" spans="1:28" x14ac:dyDescent="0.25">
      <c r="D1" t="s">
        <v>72</v>
      </c>
      <c r="G1" t="s">
        <v>72</v>
      </c>
      <c r="J1" t="s">
        <v>72</v>
      </c>
      <c r="M1" t="s">
        <v>72</v>
      </c>
      <c r="P1" t="s">
        <v>72</v>
      </c>
      <c r="S1" t="s">
        <v>72</v>
      </c>
      <c r="V1" t="s">
        <v>72</v>
      </c>
      <c r="Y1" t="s">
        <v>72</v>
      </c>
      <c r="AB1" t="s">
        <v>72</v>
      </c>
    </row>
    <row r="2" spans="1:28" x14ac:dyDescent="0.25">
      <c r="A2" s="10" t="s">
        <v>99</v>
      </c>
      <c r="B2" s="10"/>
      <c r="C2" s="10" t="s">
        <v>96</v>
      </c>
      <c r="D2" s="10">
        <v>0</v>
      </c>
      <c r="E2" s="10"/>
      <c r="F2" s="10" t="str">
        <f>C2</f>
        <v>PCIE3</v>
      </c>
      <c r="G2" s="10">
        <v>0</v>
      </c>
      <c r="H2" s="10"/>
      <c r="I2" s="10" t="str">
        <f>F2</f>
        <v>PCIE3</v>
      </c>
      <c r="J2" s="10">
        <v>0</v>
      </c>
      <c r="K2" s="10"/>
      <c r="L2" s="10" t="str">
        <f>I2</f>
        <v>PCIE3</v>
      </c>
      <c r="M2" s="10">
        <v>0</v>
      </c>
      <c r="N2" s="10"/>
      <c r="O2" s="10" t="str">
        <f t="shared" ref="O2:O9" si="0">L2</f>
        <v>PCIE3</v>
      </c>
      <c r="P2" s="10">
        <v>1</v>
      </c>
      <c r="Q2" s="10"/>
      <c r="R2" s="10" t="str">
        <f t="shared" ref="R2:R9" si="1">O2</f>
        <v>PCIE3</v>
      </c>
      <c r="S2" s="10">
        <v>0</v>
      </c>
      <c r="T2" s="10"/>
      <c r="U2" s="10" t="str">
        <f t="shared" ref="U2:U9" si="2">R2</f>
        <v>PCIE3</v>
      </c>
      <c r="V2" s="10">
        <v>0</v>
      </c>
      <c r="W2" s="10"/>
      <c r="X2" s="10" t="str">
        <f t="shared" ref="X2:X9" si="3">U2</f>
        <v>PCIE3</v>
      </c>
      <c r="Y2" s="10">
        <v>0</v>
      </c>
      <c r="Z2" s="10"/>
      <c r="AA2" s="10" t="str">
        <f t="shared" ref="AA2:AA9" si="4">X2</f>
        <v>PCIE3</v>
      </c>
      <c r="AB2" s="10">
        <v>0</v>
      </c>
    </row>
    <row r="3" spans="1:28" x14ac:dyDescent="0.25">
      <c r="A3" s="10" t="s">
        <v>100</v>
      </c>
      <c r="B3" s="10"/>
      <c r="C3" s="10" t="s">
        <v>97</v>
      </c>
      <c r="D3" s="10">
        <v>0</v>
      </c>
      <c r="E3" s="10"/>
      <c r="F3" s="10" t="str">
        <f t="shared" ref="F3:F9" si="5">C3</f>
        <v>PCIE0</v>
      </c>
      <c r="G3" s="10">
        <v>1</v>
      </c>
      <c r="H3" s="10"/>
      <c r="I3" s="10" t="str">
        <f t="shared" ref="I3:I9" si="6">F3</f>
        <v>PCIE0</v>
      </c>
      <c r="J3" s="10">
        <v>0</v>
      </c>
      <c r="K3" s="10"/>
      <c r="L3" s="10" t="str">
        <f t="shared" ref="L3:L9" si="7">I3</f>
        <v>PCIE0</v>
      </c>
      <c r="M3" s="10">
        <v>0</v>
      </c>
      <c r="N3" s="10"/>
      <c r="O3" s="10" t="str">
        <f t="shared" si="0"/>
        <v>PCIE0</v>
      </c>
      <c r="P3" s="10">
        <v>0</v>
      </c>
      <c r="Q3" s="10"/>
      <c r="R3" s="10" t="str">
        <f t="shared" si="1"/>
        <v>PCIE0</v>
      </c>
      <c r="S3" s="10">
        <v>0</v>
      </c>
      <c r="T3" s="10"/>
      <c r="U3" s="10" t="str">
        <f t="shared" si="2"/>
        <v>PCIE0</v>
      </c>
      <c r="V3" s="10">
        <v>0</v>
      </c>
      <c r="W3" s="10"/>
      <c r="X3" s="10" t="str">
        <f t="shared" si="3"/>
        <v>PCIE0</v>
      </c>
      <c r="Y3" s="10">
        <v>0</v>
      </c>
      <c r="Z3" s="10"/>
      <c r="AA3" s="10" t="str">
        <f t="shared" si="4"/>
        <v>PCIE0</v>
      </c>
      <c r="AB3" s="10">
        <v>0</v>
      </c>
    </row>
    <row r="4" spans="1:28" x14ac:dyDescent="0.25">
      <c r="A4" s="10" t="s">
        <v>101</v>
      </c>
      <c r="B4" s="10"/>
      <c r="C4" s="10" t="s">
        <v>107</v>
      </c>
      <c r="D4" s="10">
        <v>0</v>
      </c>
      <c r="E4" s="10"/>
      <c r="F4" s="10" t="str">
        <f t="shared" si="5"/>
        <v>Pomiar_pradu_napiecia_PCIE_4 / Pomiar_pradu_napiecia_PCIE_1</v>
      </c>
      <c r="G4" s="10">
        <v>0</v>
      </c>
      <c r="H4" s="10"/>
      <c r="I4" s="10" t="str">
        <f t="shared" si="6"/>
        <v>Pomiar_pradu_napiecia_PCIE_4 / Pomiar_pradu_napiecia_PCIE_1</v>
      </c>
      <c r="J4" s="10">
        <v>0</v>
      </c>
      <c r="K4" s="10"/>
      <c r="L4" s="10" t="str">
        <f t="shared" si="7"/>
        <v>Pomiar_pradu_napiecia_PCIE_4 / Pomiar_pradu_napiecia_PCIE_1</v>
      </c>
      <c r="M4" s="10">
        <v>0</v>
      </c>
      <c r="N4" s="10"/>
      <c r="O4" s="10" t="str">
        <f t="shared" si="0"/>
        <v>Pomiar_pradu_napiecia_PCIE_4 / Pomiar_pradu_napiecia_PCIE_1</v>
      </c>
      <c r="P4" s="10">
        <v>0</v>
      </c>
      <c r="Q4" s="10"/>
      <c r="R4" s="10" t="str">
        <f t="shared" si="1"/>
        <v>Pomiar_pradu_napiecia_PCIE_4 / Pomiar_pradu_napiecia_PCIE_1</v>
      </c>
      <c r="S4" s="10">
        <v>0</v>
      </c>
      <c r="T4" s="10"/>
      <c r="U4" s="10" t="str">
        <f t="shared" si="2"/>
        <v>Pomiar_pradu_napiecia_PCIE_4 / Pomiar_pradu_napiecia_PCIE_1</v>
      </c>
      <c r="V4" s="10">
        <v>1</v>
      </c>
      <c r="W4" s="10"/>
      <c r="X4" s="10" t="str">
        <f t="shared" si="3"/>
        <v>Pomiar_pradu_napiecia_PCIE_4 / Pomiar_pradu_napiecia_PCIE_1</v>
      </c>
      <c r="Y4" s="10">
        <v>0</v>
      </c>
      <c r="Z4" s="10"/>
      <c r="AA4" s="10" t="str">
        <f t="shared" si="4"/>
        <v>Pomiar_pradu_napiecia_PCIE_4 / Pomiar_pradu_napiecia_PCIE_1</v>
      </c>
      <c r="AB4" s="10">
        <v>0</v>
      </c>
    </row>
    <row r="5" spans="1:28" x14ac:dyDescent="0.25">
      <c r="A5" s="10" t="s">
        <v>102</v>
      </c>
      <c r="B5" s="10"/>
      <c r="C5" s="10" t="s">
        <v>108</v>
      </c>
      <c r="D5" s="10">
        <v>0</v>
      </c>
      <c r="E5" s="10"/>
      <c r="F5" s="10" t="str">
        <f t="shared" si="5"/>
        <v>PCIE1</v>
      </c>
      <c r="G5" s="10">
        <v>0</v>
      </c>
      <c r="H5" s="10"/>
      <c r="I5" s="10" t="str">
        <f t="shared" si="6"/>
        <v>PCIE1</v>
      </c>
      <c r="J5" s="10">
        <v>1</v>
      </c>
      <c r="K5" s="10"/>
      <c r="L5" s="10" t="str">
        <f t="shared" si="7"/>
        <v>PCIE1</v>
      </c>
      <c r="M5" s="10">
        <v>0</v>
      </c>
      <c r="N5" s="10"/>
      <c r="O5" s="10" t="str">
        <f t="shared" si="0"/>
        <v>PCIE1</v>
      </c>
      <c r="P5" s="10">
        <v>0</v>
      </c>
      <c r="Q5" s="10"/>
      <c r="R5" s="10" t="str">
        <f t="shared" si="1"/>
        <v>PCIE1</v>
      </c>
      <c r="S5" s="10">
        <v>0</v>
      </c>
      <c r="T5" s="10"/>
      <c r="U5" s="10" t="str">
        <f t="shared" si="2"/>
        <v>PCIE1</v>
      </c>
      <c r="V5" s="10">
        <v>0</v>
      </c>
      <c r="W5" s="10"/>
      <c r="X5" s="10" t="str">
        <f t="shared" si="3"/>
        <v>PCIE1</v>
      </c>
      <c r="Y5" s="10">
        <v>0</v>
      </c>
      <c r="Z5" s="10"/>
      <c r="AA5" s="10" t="str">
        <f t="shared" si="4"/>
        <v>PCIE1</v>
      </c>
      <c r="AB5" s="10">
        <v>0</v>
      </c>
    </row>
    <row r="6" spans="1:28" x14ac:dyDescent="0.25">
      <c r="A6" s="10" t="s">
        <v>103</v>
      </c>
      <c r="B6" s="10"/>
      <c r="C6" s="10" t="s">
        <v>109</v>
      </c>
      <c r="D6" s="10">
        <v>0</v>
      </c>
      <c r="E6" s="10"/>
      <c r="F6" s="10" t="str">
        <f t="shared" si="5"/>
        <v>PCIE2</v>
      </c>
      <c r="G6" s="10">
        <v>0</v>
      </c>
      <c r="H6" s="10"/>
      <c r="I6" s="10" t="str">
        <f t="shared" si="6"/>
        <v>PCIE2</v>
      </c>
      <c r="J6" s="10">
        <v>0</v>
      </c>
      <c r="K6" s="10"/>
      <c r="L6" s="10" t="str">
        <f>I6</f>
        <v>PCIE2</v>
      </c>
      <c r="M6" s="10">
        <v>1</v>
      </c>
      <c r="N6" s="10"/>
      <c r="O6" s="10" t="str">
        <f t="shared" si="0"/>
        <v>PCIE2</v>
      </c>
      <c r="P6" s="10">
        <v>0</v>
      </c>
      <c r="Q6" s="10"/>
      <c r="R6" s="10" t="str">
        <f t="shared" si="1"/>
        <v>PCIE2</v>
      </c>
      <c r="S6" s="10">
        <v>0</v>
      </c>
      <c r="T6" s="10"/>
      <c r="U6" s="10" t="str">
        <f t="shared" si="2"/>
        <v>PCIE2</v>
      </c>
      <c r="V6" s="10">
        <v>0</v>
      </c>
      <c r="W6" s="10"/>
      <c r="X6" s="10" t="str">
        <f t="shared" si="3"/>
        <v>PCIE2</v>
      </c>
      <c r="Y6" s="10">
        <v>0</v>
      </c>
      <c r="Z6" s="10"/>
      <c r="AA6" s="10" t="str">
        <f t="shared" si="4"/>
        <v>PCIE2</v>
      </c>
      <c r="AB6" s="10">
        <v>0</v>
      </c>
    </row>
    <row r="7" spans="1:28" x14ac:dyDescent="0.25">
      <c r="A7" s="10" t="s">
        <v>104</v>
      </c>
      <c r="B7" s="10"/>
      <c r="C7" s="10" t="s">
        <v>110</v>
      </c>
      <c r="D7" s="10">
        <v>0</v>
      </c>
      <c r="E7" s="10"/>
      <c r="F7" s="10" t="str">
        <f t="shared" si="5"/>
        <v>PCIE4</v>
      </c>
      <c r="G7" s="10">
        <v>0</v>
      </c>
      <c r="H7" s="10"/>
      <c r="I7" s="10" t="str">
        <f t="shared" si="6"/>
        <v>PCIE4</v>
      </c>
      <c r="J7" s="10">
        <v>0</v>
      </c>
      <c r="K7" s="10"/>
      <c r="L7" s="10" t="str">
        <f t="shared" si="7"/>
        <v>PCIE4</v>
      </c>
      <c r="M7" s="10">
        <v>0</v>
      </c>
      <c r="N7" s="10"/>
      <c r="O7" s="10" t="str">
        <f t="shared" si="0"/>
        <v>PCIE4</v>
      </c>
      <c r="P7" s="10">
        <v>0</v>
      </c>
      <c r="Q7" s="10"/>
      <c r="R7" s="10" t="str">
        <f t="shared" si="1"/>
        <v>PCIE4</v>
      </c>
      <c r="S7" s="10">
        <v>1</v>
      </c>
      <c r="T7" s="10"/>
      <c r="U7" s="10" t="str">
        <f t="shared" si="2"/>
        <v>PCIE4</v>
      </c>
      <c r="V7" s="10">
        <v>0</v>
      </c>
      <c r="W7" s="10"/>
      <c r="X7" s="10" t="str">
        <f t="shared" si="3"/>
        <v>PCIE4</v>
      </c>
      <c r="Y7" s="10">
        <v>0</v>
      </c>
      <c r="Z7" s="10"/>
      <c r="AA7" s="10" t="str">
        <f t="shared" si="4"/>
        <v>PCIE4</v>
      </c>
      <c r="AB7" s="10">
        <v>0</v>
      </c>
    </row>
    <row r="8" spans="1:28" x14ac:dyDescent="0.25">
      <c r="A8" s="10" t="s">
        <v>105</v>
      </c>
      <c r="B8" s="10"/>
      <c r="C8" s="10" t="s">
        <v>111</v>
      </c>
      <c r="D8" s="10">
        <v>0</v>
      </c>
      <c r="E8" s="10"/>
      <c r="F8" s="10" t="str">
        <f t="shared" si="5"/>
        <v>Pomiar_pradu_napiecia_PCIE_0 / Pomiar_pradu_napiecia_PCIE_2</v>
      </c>
      <c r="G8" s="10">
        <v>0</v>
      </c>
      <c r="H8" s="10"/>
      <c r="I8" s="10" t="str">
        <f t="shared" si="6"/>
        <v>Pomiar_pradu_napiecia_PCIE_0 / Pomiar_pradu_napiecia_PCIE_2</v>
      </c>
      <c r="J8" s="10">
        <v>0</v>
      </c>
      <c r="K8" s="10"/>
      <c r="L8" s="10" t="str">
        <f t="shared" si="7"/>
        <v>Pomiar_pradu_napiecia_PCIE_0 / Pomiar_pradu_napiecia_PCIE_2</v>
      </c>
      <c r="M8" s="10">
        <v>0</v>
      </c>
      <c r="N8" s="10"/>
      <c r="O8" s="10" t="str">
        <f t="shared" si="0"/>
        <v>Pomiar_pradu_napiecia_PCIE_0 / Pomiar_pradu_napiecia_PCIE_2</v>
      </c>
      <c r="P8" s="10">
        <v>0</v>
      </c>
      <c r="Q8" s="10"/>
      <c r="R8" s="10" t="str">
        <f t="shared" si="1"/>
        <v>Pomiar_pradu_napiecia_PCIE_0 / Pomiar_pradu_napiecia_PCIE_2</v>
      </c>
      <c r="S8" s="10">
        <v>0</v>
      </c>
      <c r="T8" s="10"/>
      <c r="U8" s="10" t="str">
        <f t="shared" si="2"/>
        <v>Pomiar_pradu_napiecia_PCIE_0 / Pomiar_pradu_napiecia_PCIE_2</v>
      </c>
      <c r="V8" s="10">
        <v>1</v>
      </c>
      <c r="W8" s="10"/>
      <c r="X8" s="10" t="str">
        <f t="shared" si="3"/>
        <v>Pomiar_pradu_napiecia_PCIE_0 / Pomiar_pradu_napiecia_PCIE_2</v>
      </c>
      <c r="Y8" s="10">
        <v>0</v>
      </c>
      <c r="Z8" s="10"/>
      <c r="AA8" s="10" t="str">
        <f t="shared" si="4"/>
        <v>Pomiar_pradu_napiecia_PCIE_0 / Pomiar_pradu_napiecia_PCIE_2</v>
      </c>
      <c r="AB8" s="10">
        <v>0</v>
      </c>
    </row>
    <row r="9" spans="1:28" x14ac:dyDescent="0.25">
      <c r="A9" s="10" t="s">
        <v>106</v>
      </c>
      <c r="B9" s="10"/>
      <c r="C9" s="10" t="s">
        <v>98</v>
      </c>
      <c r="D9" s="10">
        <v>0</v>
      </c>
      <c r="E9" s="10"/>
      <c r="F9" s="10" t="str">
        <f t="shared" si="5"/>
        <v>Pomiar_pradu_napiecia_PCIE_3</v>
      </c>
      <c r="G9" s="10">
        <v>0</v>
      </c>
      <c r="H9" s="10"/>
      <c r="I9" s="10" t="str">
        <f t="shared" si="6"/>
        <v>Pomiar_pradu_napiecia_PCIE_3</v>
      </c>
      <c r="J9" s="10">
        <v>0</v>
      </c>
      <c r="K9" s="10"/>
      <c r="L9" s="10" t="str">
        <f t="shared" si="7"/>
        <v>Pomiar_pradu_napiecia_PCIE_3</v>
      </c>
      <c r="M9" s="10">
        <v>0</v>
      </c>
      <c r="N9" s="10"/>
      <c r="O9" s="10" t="str">
        <f t="shared" si="0"/>
        <v>Pomiar_pradu_napiecia_PCIE_3</v>
      </c>
      <c r="P9" s="10">
        <v>0</v>
      </c>
      <c r="Q9" s="10"/>
      <c r="R9" s="10" t="str">
        <f t="shared" si="1"/>
        <v>Pomiar_pradu_napiecia_PCIE_3</v>
      </c>
      <c r="S9" s="10">
        <v>0</v>
      </c>
      <c r="T9" s="10"/>
      <c r="U9" s="10" t="str">
        <f t="shared" si="2"/>
        <v>Pomiar_pradu_napiecia_PCIE_3</v>
      </c>
      <c r="V9" s="10">
        <v>1</v>
      </c>
      <c r="W9" s="10"/>
      <c r="X9" s="10" t="str">
        <f t="shared" si="3"/>
        <v>Pomiar_pradu_napiecia_PCIE_3</v>
      </c>
      <c r="Y9" s="10">
        <v>0</v>
      </c>
      <c r="Z9" s="10"/>
      <c r="AA9" s="10" t="str">
        <f t="shared" si="4"/>
        <v>Pomiar_pradu_napiecia_PCIE_3</v>
      </c>
      <c r="AB9" s="10">
        <v>0</v>
      </c>
    </row>
    <row r="11" spans="1:28" x14ac:dyDescent="0.25">
      <c r="C11" t="s">
        <v>80</v>
      </c>
      <c r="D11" t="str">
        <f>CONCATENATE(D9,D8,D7,D6,D5,D4,D3,D2)</f>
        <v>00000000</v>
      </c>
      <c r="F11" t="s">
        <v>97</v>
      </c>
      <c r="G11" t="str">
        <f>CONCATENATE(G9,G8,G7,G6,G5,G4,G3,G2)</f>
        <v>00000010</v>
      </c>
      <c r="I11" t="s">
        <v>108</v>
      </c>
      <c r="J11" t="str">
        <f>CONCATENATE(J9,J8,J7,J6,J5,J4,J3,J2)</f>
        <v>00001000</v>
      </c>
      <c r="L11" t="s">
        <v>109</v>
      </c>
      <c r="M11" t="str">
        <f>CONCATENATE(M9,M8,M7,M6,M5,M4,M3,M2)</f>
        <v>00010000</v>
      </c>
      <c r="O11" t="s">
        <v>96</v>
      </c>
      <c r="P11" t="str">
        <f>CONCATENATE(P9,P8,P7,P6,P5,P4,P3,P2)</f>
        <v>00000001</v>
      </c>
      <c r="R11" t="s">
        <v>110</v>
      </c>
      <c r="S11" t="str">
        <f>CONCATENATE(S9,S8,S7,S6,S5,S4,S3,S2)</f>
        <v>00100000</v>
      </c>
      <c r="U11" t="s">
        <v>93</v>
      </c>
      <c r="V11" t="str">
        <f>CONCATENATE(V9,V8,V7,V6,V5,V4,V3,V2)</f>
        <v>11000100</v>
      </c>
      <c r="X11" t="s">
        <v>114</v>
      </c>
      <c r="Y11" t="str">
        <f>CONCATENATE(Y9,Y8,Y7,Y6,Y5,Y4,Y3,Y2)</f>
        <v>00000000</v>
      </c>
      <c r="AA11" t="s">
        <v>114</v>
      </c>
      <c r="AB11" t="str">
        <f>CONCATENATE(AB9,AB8,AB7,AB6,AB5,AB4,AB3,AB2)</f>
        <v>00000000</v>
      </c>
    </row>
    <row r="12" spans="1:28" x14ac:dyDescent="0.25">
      <c r="C12" t="s">
        <v>70</v>
      </c>
      <c r="D12" t="str">
        <f>CONCATENATE("0x",BIN2HEX(D11,2))</f>
        <v>0x00</v>
      </c>
      <c r="F12" t="s">
        <v>70</v>
      </c>
      <c r="G12" t="str">
        <f>CONCATENATE("0x",BIN2HEX(G11,2))</f>
        <v>0x02</v>
      </c>
      <c r="I12" t="s">
        <v>70</v>
      </c>
      <c r="J12" t="str">
        <f>CONCATENATE("0x",BIN2HEX(J11,2))</f>
        <v>0x08</v>
      </c>
      <c r="L12" t="s">
        <v>70</v>
      </c>
      <c r="M12" t="str">
        <f>CONCATENATE("0x",BIN2HEX(M11,2))</f>
        <v>0x10</v>
      </c>
      <c r="O12" t="s">
        <v>70</v>
      </c>
      <c r="P12" t="str">
        <f>CONCATENATE("0x",BIN2HEX(P11,2))</f>
        <v>0x01</v>
      </c>
      <c r="R12" t="s">
        <v>70</v>
      </c>
      <c r="S12" t="str">
        <f>CONCATENATE("0x",BIN2HEX(S11,2))</f>
        <v>0x20</v>
      </c>
      <c r="U12" t="s">
        <v>70</v>
      </c>
      <c r="V12" t="str">
        <f>CONCATENATE("0x",BIN2HEX(V11,2))</f>
        <v>0xC4</v>
      </c>
      <c r="X12" t="s">
        <v>70</v>
      </c>
      <c r="Y12" t="str">
        <f>CONCATENATE("0x",BIN2HEX(Y11,2))</f>
        <v>0x00</v>
      </c>
      <c r="AA12" t="s">
        <v>70</v>
      </c>
      <c r="AB12" t="str">
        <f>CONCATENATE("0x",BIN2HEX(AB11,2))</f>
        <v>0x00</v>
      </c>
    </row>
    <row r="15" spans="1:28" x14ac:dyDescent="0.25">
      <c r="A15" t="s">
        <v>208</v>
      </c>
    </row>
    <row r="16" spans="1:28" x14ac:dyDescent="0.25">
      <c r="A16" t="s">
        <v>67</v>
      </c>
      <c r="B16" t="s">
        <v>68</v>
      </c>
      <c r="C16" t="s">
        <v>112</v>
      </c>
    </row>
    <row r="17" spans="1:8" x14ac:dyDescent="0.25">
      <c r="A17" s="2" t="s">
        <v>18</v>
      </c>
      <c r="B17" s="2" t="s">
        <v>220</v>
      </c>
    </row>
    <row r="18" spans="1:8" x14ac:dyDescent="0.25">
      <c r="A18" s="2" t="s">
        <v>206</v>
      </c>
      <c r="B18" s="2" t="s">
        <v>217</v>
      </c>
    </row>
    <row r="31" spans="1:8" x14ac:dyDescent="0.25">
      <c r="A31" t="str">
        <f ca="1">CONCATENATE("#",C$16,":",INDIRECT(H32))</f>
        <v>#I2C_Bridge_PCIE:wylacz</v>
      </c>
    </row>
    <row r="32" spans="1:8" x14ac:dyDescent="0.25">
      <c r="A32" s="2" t="str">
        <f>A$15</f>
        <v>device</v>
      </c>
      <c r="B32" s="2" t="str">
        <f>B$16</f>
        <v>TCA9548</v>
      </c>
      <c r="E32" t="s">
        <v>214</v>
      </c>
      <c r="F32">
        <v>3</v>
      </c>
      <c r="G32">
        <v>11</v>
      </c>
      <c r="H32" t="str">
        <f>ADDRESS(G32,F32)</f>
        <v>$C$11</v>
      </c>
    </row>
    <row r="33" spans="1:8" x14ac:dyDescent="0.25">
      <c r="A33" s="2" t="str">
        <f>A$17</f>
        <v>i2c_addr</v>
      </c>
      <c r="B33" s="2" t="str">
        <f>B$17</f>
        <v>0x71</v>
      </c>
    </row>
    <row r="34" spans="1:8" x14ac:dyDescent="0.25">
      <c r="A34" s="2" t="str">
        <f>A$18</f>
        <v>i2c_num</v>
      </c>
      <c r="B34" s="2" t="str">
        <f>B$18</f>
        <v>/dev/i2c-1</v>
      </c>
      <c r="H34" t="str">
        <f>ADDRESS(G32+1,F32)</f>
        <v>$C$12</v>
      </c>
    </row>
    <row r="35" spans="1:8" x14ac:dyDescent="0.25">
      <c r="A35" s="2" t="str">
        <f ca="1">INDIRECT(H34)</f>
        <v>ctrl_reg</v>
      </c>
      <c r="B35" s="2" t="str">
        <f ca="1">INDIRECT(H35)</f>
        <v>0x00</v>
      </c>
      <c r="H35" t="str">
        <f>ADDRESS(G32+1,F32+1)</f>
        <v>$D$12</v>
      </c>
    </row>
    <row r="37" spans="1:8" x14ac:dyDescent="0.25">
      <c r="A37" t="s">
        <v>212</v>
      </c>
      <c r="B37">
        <v>10</v>
      </c>
    </row>
    <row r="51" spans="1:8" x14ac:dyDescent="0.25">
      <c r="A51" t="str">
        <f ca="1">CONCATENATE("#",C$16,":",INDIRECT(H52))</f>
        <v>#I2C_Bridge_PCIE:PCIE0</v>
      </c>
    </row>
    <row r="52" spans="1:8" x14ac:dyDescent="0.25">
      <c r="A52" s="2" t="str">
        <f>A$15</f>
        <v>device</v>
      </c>
      <c r="B52" s="2" t="str">
        <f>B$16</f>
        <v>TCA9548</v>
      </c>
      <c r="E52" t="s">
        <v>214</v>
      </c>
      <c r="F52">
        <v>6</v>
      </c>
      <c r="G52">
        <v>11</v>
      </c>
      <c r="H52" t="str">
        <f t="shared" ref="H52" si="8">ADDRESS(G52,F52)</f>
        <v>$F$11</v>
      </c>
    </row>
    <row r="53" spans="1:8" x14ac:dyDescent="0.25">
      <c r="A53" s="2" t="str">
        <f>A$17</f>
        <v>i2c_addr</v>
      </c>
      <c r="B53" s="2" t="str">
        <f>B$17</f>
        <v>0x71</v>
      </c>
    </row>
    <row r="54" spans="1:8" x14ac:dyDescent="0.25">
      <c r="A54" s="2" t="str">
        <f>A$18</f>
        <v>i2c_num</v>
      </c>
      <c r="B54" s="2" t="str">
        <f>B$18</f>
        <v>/dev/i2c-1</v>
      </c>
      <c r="H54" t="str">
        <f t="shared" ref="H54" si="9">ADDRESS(G52+1,F52)</f>
        <v>$F$12</v>
      </c>
    </row>
    <row r="55" spans="1:8" x14ac:dyDescent="0.25">
      <c r="A55" s="2" t="str">
        <f ca="1">INDIRECT(H54)</f>
        <v>ctrl_reg</v>
      </c>
      <c r="B55" s="2" t="str">
        <f ca="1">INDIRECT(H55)</f>
        <v>0x02</v>
      </c>
      <c r="H55" t="str">
        <f t="shared" ref="H55" si="10">ADDRESS(G52+1,F52+1)</f>
        <v>$G$12</v>
      </c>
    </row>
    <row r="57" spans="1:8" x14ac:dyDescent="0.25">
      <c r="A57" t="s">
        <v>212</v>
      </c>
      <c r="B57">
        <v>10</v>
      </c>
    </row>
    <row r="71" spans="1:8" x14ac:dyDescent="0.25">
      <c r="A71" t="str">
        <f t="shared" ref="A71" ca="1" si="11">CONCATENATE("#",C$16,":",INDIRECT(H72))</f>
        <v>#I2C_Bridge_PCIE:PCIE1</v>
      </c>
    </row>
    <row r="72" spans="1:8" x14ac:dyDescent="0.25">
      <c r="A72" s="2" t="str">
        <f t="shared" ref="A72" si="12">A$15</f>
        <v>device</v>
      </c>
      <c r="B72" s="2" t="str">
        <f t="shared" ref="B72" si="13">B$16</f>
        <v>TCA9548</v>
      </c>
      <c r="E72" t="s">
        <v>214</v>
      </c>
      <c r="F72">
        <v>9</v>
      </c>
      <c r="G72">
        <v>11</v>
      </c>
      <c r="H72" t="str">
        <f t="shared" ref="H72" si="14">ADDRESS(G72,F72)</f>
        <v>$I$11</v>
      </c>
    </row>
    <row r="73" spans="1:8" x14ac:dyDescent="0.25">
      <c r="A73" s="2" t="str">
        <f t="shared" ref="A73:B73" si="15">A$17</f>
        <v>i2c_addr</v>
      </c>
      <c r="B73" s="2" t="str">
        <f t="shared" si="15"/>
        <v>0x71</v>
      </c>
    </row>
    <row r="74" spans="1:8" x14ac:dyDescent="0.25">
      <c r="A74" s="2" t="str">
        <f t="shared" ref="A74:B74" si="16">A$18</f>
        <v>i2c_num</v>
      </c>
      <c r="B74" s="2" t="str">
        <f t="shared" si="16"/>
        <v>/dev/i2c-1</v>
      </c>
      <c r="H74" t="str">
        <f t="shared" ref="H74" si="17">ADDRESS(G72+1,F72)</f>
        <v>$I$12</v>
      </c>
    </row>
    <row r="75" spans="1:8" x14ac:dyDescent="0.25">
      <c r="A75" s="2" t="str">
        <f t="shared" ref="A75" ca="1" si="18">INDIRECT(H74)</f>
        <v>ctrl_reg</v>
      </c>
      <c r="B75" s="2" t="str">
        <f t="shared" ref="B75" ca="1" si="19">INDIRECT(H75)</f>
        <v>0x08</v>
      </c>
      <c r="H75" t="str">
        <f t="shared" ref="H75" si="20">ADDRESS(G72+1,F72+1)</f>
        <v>$J$12</v>
      </c>
    </row>
    <row r="77" spans="1:8" x14ac:dyDescent="0.25">
      <c r="A77" t="s">
        <v>212</v>
      </c>
      <c r="B77">
        <v>11</v>
      </c>
    </row>
    <row r="91" spans="1:8" x14ac:dyDescent="0.25">
      <c r="A91" t="str">
        <f t="shared" ref="A91" ca="1" si="21">CONCATENATE("#",C$16,":",INDIRECT(H92))</f>
        <v>#I2C_Bridge_PCIE:PCIE2</v>
      </c>
    </row>
    <row r="92" spans="1:8" x14ac:dyDescent="0.25">
      <c r="A92" s="2" t="str">
        <f t="shared" ref="A92" si="22">A$15</f>
        <v>device</v>
      </c>
      <c r="B92" s="2" t="str">
        <f t="shared" ref="B92" si="23">B$16</f>
        <v>TCA9548</v>
      </c>
      <c r="E92" t="s">
        <v>214</v>
      </c>
      <c r="F92">
        <v>12</v>
      </c>
      <c r="G92">
        <v>11</v>
      </c>
      <c r="H92" t="str">
        <f t="shared" ref="H92" si="24">ADDRESS(G92,F92)</f>
        <v>$L$11</v>
      </c>
    </row>
    <row r="93" spans="1:8" x14ac:dyDescent="0.25">
      <c r="A93" s="2" t="str">
        <f t="shared" ref="A93:B93" si="25">A$17</f>
        <v>i2c_addr</v>
      </c>
      <c r="B93" s="2" t="str">
        <f t="shared" si="25"/>
        <v>0x71</v>
      </c>
    </row>
    <row r="94" spans="1:8" x14ac:dyDescent="0.25">
      <c r="A94" s="2" t="str">
        <f t="shared" ref="A94:B94" si="26">A$18</f>
        <v>i2c_num</v>
      </c>
      <c r="B94" s="2" t="str">
        <f t="shared" si="26"/>
        <v>/dev/i2c-1</v>
      </c>
      <c r="H94" t="str">
        <f t="shared" ref="H94" si="27">ADDRESS(G92+1,F92)</f>
        <v>$L$12</v>
      </c>
    </row>
    <row r="95" spans="1:8" x14ac:dyDescent="0.25">
      <c r="A95" s="2" t="str">
        <f t="shared" ref="A95" ca="1" si="28">INDIRECT(H94)</f>
        <v>ctrl_reg</v>
      </c>
      <c r="B95" s="2" t="str">
        <f t="shared" ref="B95" ca="1" si="29">INDIRECT(H95)</f>
        <v>0x10</v>
      </c>
      <c r="H95" t="str">
        <f t="shared" ref="H95" si="30">ADDRESS(G92+1,F92+1)</f>
        <v>$M$12</v>
      </c>
    </row>
    <row r="97" spans="1:8" x14ac:dyDescent="0.25">
      <c r="A97" t="s">
        <v>212</v>
      </c>
      <c r="B97">
        <v>11</v>
      </c>
    </row>
    <row r="111" spans="1:8" x14ac:dyDescent="0.25">
      <c r="A111" t="str">
        <f t="shared" ref="A111" ca="1" si="31">CONCATENATE("#",C$16,":",INDIRECT(H112))</f>
        <v>#I2C_Bridge_PCIE:PCIE3</v>
      </c>
    </row>
    <row r="112" spans="1:8" x14ac:dyDescent="0.25">
      <c r="A112" s="2" t="str">
        <f t="shared" ref="A112" si="32">A$15</f>
        <v>device</v>
      </c>
      <c r="B112" s="2" t="str">
        <f t="shared" ref="B112" si="33">B$16</f>
        <v>TCA9548</v>
      </c>
      <c r="E112" t="s">
        <v>214</v>
      </c>
      <c r="F112">
        <v>15</v>
      </c>
      <c r="G112">
        <v>11</v>
      </c>
      <c r="H112" t="str">
        <f t="shared" ref="H112" si="34">ADDRESS(G112,F112)</f>
        <v>$O$11</v>
      </c>
    </row>
    <row r="113" spans="1:8" x14ac:dyDescent="0.25">
      <c r="A113" s="2" t="str">
        <f t="shared" ref="A113:B113" si="35">A$17</f>
        <v>i2c_addr</v>
      </c>
      <c r="B113" s="2" t="str">
        <f t="shared" si="35"/>
        <v>0x71</v>
      </c>
    </row>
    <row r="114" spans="1:8" x14ac:dyDescent="0.25">
      <c r="A114" s="2" t="str">
        <f t="shared" ref="A114:B114" si="36">A$18</f>
        <v>i2c_num</v>
      </c>
      <c r="B114" s="2" t="str">
        <f t="shared" si="36"/>
        <v>/dev/i2c-1</v>
      </c>
      <c r="H114" t="str">
        <f t="shared" ref="H114" si="37">ADDRESS(G112+1,F112)</f>
        <v>$O$12</v>
      </c>
    </row>
    <row r="115" spans="1:8" x14ac:dyDescent="0.25">
      <c r="A115" s="2" t="str">
        <f t="shared" ref="A115" ca="1" si="38">INDIRECT(H114)</f>
        <v>ctrl_reg</v>
      </c>
      <c r="B115" s="2" t="str">
        <f t="shared" ref="B115" ca="1" si="39">INDIRECT(H115)</f>
        <v>0x01</v>
      </c>
      <c r="H115" t="str">
        <f t="shared" ref="H115" si="40">ADDRESS(G112+1,F112+1)</f>
        <v>$P$12</v>
      </c>
    </row>
    <row r="117" spans="1:8" x14ac:dyDescent="0.25">
      <c r="A117" t="s">
        <v>212</v>
      </c>
      <c r="B117">
        <v>12</v>
      </c>
    </row>
    <row r="131" spans="1:8" x14ac:dyDescent="0.25">
      <c r="A131" t="str">
        <f t="shared" ref="A131" ca="1" si="41">CONCATENATE("#",C$16,":",INDIRECT(H132))</f>
        <v>#I2C_Bridge_PCIE:PCIE4</v>
      </c>
    </row>
    <row r="132" spans="1:8" x14ac:dyDescent="0.25">
      <c r="A132" s="2" t="str">
        <f t="shared" ref="A132" si="42">A$15</f>
        <v>device</v>
      </c>
      <c r="B132" s="2" t="str">
        <f t="shared" ref="B132" si="43">B$16</f>
        <v>TCA9548</v>
      </c>
      <c r="E132" t="s">
        <v>214</v>
      </c>
      <c r="F132">
        <v>18</v>
      </c>
      <c r="G132">
        <v>11</v>
      </c>
      <c r="H132" t="str">
        <f t="shared" ref="H132" si="44">ADDRESS(G132,F132)</f>
        <v>$R$11</v>
      </c>
    </row>
    <row r="133" spans="1:8" x14ac:dyDescent="0.25">
      <c r="A133" s="2" t="str">
        <f t="shared" ref="A133:B133" si="45">A$17</f>
        <v>i2c_addr</v>
      </c>
      <c r="B133" s="2" t="str">
        <f t="shared" si="45"/>
        <v>0x71</v>
      </c>
    </row>
    <row r="134" spans="1:8" x14ac:dyDescent="0.25">
      <c r="A134" s="2" t="str">
        <f t="shared" ref="A134:B134" si="46">A$18</f>
        <v>i2c_num</v>
      </c>
      <c r="B134" s="2" t="str">
        <f t="shared" si="46"/>
        <v>/dev/i2c-1</v>
      </c>
      <c r="H134" t="str">
        <f t="shared" ref="H134" si="47">ADDRESS(G132+1,F132)</f>
        <v>$R$12</v>
      </c>
    </row>
    <row r="135" spans="1:8" x14ac:dyDescent="0.25">
      <c r="A135" s="2" t="str">
        <f t="shared" ref="A135" ca="1" si="48">INDIRECT(H134)</f>
        <v>ctrl_reg</v>
      </c>
      <c r="B135" s="2" t="str">
        <f t="shared" ref="B135" ca="1" si="49">INDIRECT(H135)</f>
        <v>0x20</v>
      </c>
      <c r="H135" t="str">
        <f t="shared" ref="H135" si="50">ADDRESS(G132+1,F132+1)</f>
        <v>$S$12</v>
      </c>
    </row>
    <row r="137" spans="1:8" x14ac:dyDescent="0.25">
      <c r="A137" t="s">
        <v>212</v>
      </c>
      <c r="B137">
        <v>12</v>
      </c>
    </row>
    <row r="151" spans="1:8" x14ac:dyDescent="0.25">
      <c r="A151" t="str">
        <f t="shared" ref="A151" ca="1" si="51">CONCATENATE("#",C$16,":",INDIRECT(H152))</f>
        <v>#I2C_Bridge_PCIE:Curr_Volt_Meas</v>
      </c>
    </row>
    <row r="152" spans="1:8" x14ac:dyDescent="0.25">
      <c r="A152" s="2" t="str">
        <f t="shared" ref="A152" si="52">A$15</f>
        <v>device</v>
      </c>
      <c r="B152" s="2" t="str">
        <f t="shared" ref="B152" si="53">B$16</f>
        <v>TCA9548</v>
      </c>
      <c r="E152" t="s">
        <v>214</v>
      </c>
      <c r="F152">
        <v>21</v>
      </c>
      <c r="G152">
        <v>11</v>
      </c>
      <c r="H152" t="str">
        <f t="shared" ref="H152" si="54">ADDRESS(G152,F152)</f>
        <v>$U$11</v>
      </c>
    </row>
    <row r="153" spans="1:8" x14ac:dyDescent="0.25">
      <c r="A153" s="2" t="str">
        <f t="shared" ref="A153:B153" si="55">A$17</f>
        <v>i2c_addr</v>
      </c>
      <c r="B153" s="2" t="str">
        <f t="shared" si="55"/>
        <v>0x71</v>
      </c>
    </row>
    <row r="154" spans="1:8" x14ac:dyDescent="0.25">
      <c r="A154" s="2" t="str">
        <f t="shared" ref="A154:B154" si="56">A$18</f>
        <v>i2c_num</v>
      </c>
      <c r="B154" s="2" t="str">
        <f t="shared" si="56"/>
        <v>/dev/i2c-1</v>
      </c>
      <c r="H154" t="str">
        <f t="shared" ref="H154" si="57">ADDRESS(G152+1,F152)</f>
        <v>$U$12</v>
      </c>
    </row>
    <row r="155" spans="1:8" x14ac:dyDescent="0.25">
      <c r="A155" s="2" t="str">
        <f t="shared" ref="A155" ca="1" si="58">INDIRECT(H154)</f>
        <v>ctrl_reg</v>
      </c>
      <c r="B155" s="2" t="str">
        <f t="shared" ref="B155" ca="1" si="59">INDIRECT(H155)</f>
        <v>0xC4</v>
      </c>
      <c r="H155" t="str">
        <f t="shared" ref="H155" si="60">ADDRESS(G152+1,F152+1)</f>
        <v>$V$12</v>
      </c>
    </row>
    <row r="157" spans="1:8" x14ac:dyDescent="0.25">
      <c r="A157" t="s">
        <v>212</v>
      </c>
      <c r="B157">
        <v>13</v>
      </c>
    </row>
    <row r="171" spans="1:8" x14ac:dyDescent="0.25">
      <c r="A171" t="str">
        <f t="shared" ref="A171" ca="1" si="61">CONCATENATE("#",C$16,":",INDIRECT(H172))</f>
        <v>#I2C_Bridge_PCIE:wolne</v>
      </c>
    </row>
    <row r="172" spans="1:8" x14ac:dyDescent="0.25">
      <c r="A172" s="2" t="str">
        <f t="shared" ref="A172" si="62">A$15</f>
        <v>device</v>
      </c>
      <c r="B172" s="2" t="str">
        <f t="shared" ref="B172" si="63">B$16</f>
        <v>TCA9548</v>
      </c>
      <c r="E172" t="s">
        <v>214</v>
      </c>
      <c r="F172">
        <v>24</v>
      </c>
      <c r="G172">
        <v>11</v>
      </c>
      <c r="H172" t="str">
        <f t="shared" ref="H172" si="64">ADDRESS(G172,F172)</f>
        <v>$X$11</v>
      </c>
    </row>
    <row r="173" spans="1:8" x14ac:dyDescent="0.25">
      <c r="A173" s="2" t="str">
        <f t="shared" ref="A173:B173" si="65">A$17</f>
        <v>i2c_addr</v>
      </c>
      <c r="B173" s="2" t="str">
        <f t="shared" si="65"/>
        <v>0x71</v>
      </c>
    </row>
    <row r="174" spans="1:8" x14ac:dyDescent="0.25">
      <c r="A174" s="2" t="str">
        <f t="shared" ref="A174:B174" si="66">A$18</f>
        <v>i2c_num</v>
      </c>
      <c r="B174" s="2" t="str">
        <f t="shared" si="66"/>
        <v>/dev/i2c-1</v>
      </c>
      <c r="H174" t="str">
        <f t="shared" ref="H174" si="67">ADDRESS(G172+1,F172)</f>
        <v>$X$12</v>
      </c>
    </row>
    <row r="175" spans="1:8" x14ac:dyDescent="0.25">
      <c r="A175" s="2" t="str">
        <f t="shared" ref="A175" ca="1" si="68">INDIRECT(H174)</f>
        <v>ctrl_reg</v>
      </c>
      <c r="B175" s="2" t="str">
        <f t="shared" ref="B175" ca="1" si="69">INDIRECT(H175)</f>
        <v>0x00</v>
      </c>
      <c r="H175" t="str">
        <f t="shared" ref="H175" si="70">ADDRESS(G172+1,F172+1)</f>
        <v>$Y$12</v>
      </c>
    </row>
    <row r="177" spans="1:8" x14ac:dyDescent="0.25">
      <c r="A177" t="s">
        <v>212</v>
      </c>
      <c r="B177">
        <v>13</v>
      </c>
    </row>
    <row r="191" spans="1:8" x14ac:dyDescent="0.25">
      <c r="A191" t="str">
        <f t="shared" ref="A191" ca="1" si="71">CONCATENATE("#",C$16,":",INDIRECT(H192))</f>
        <v>#I2C_Bridge_PCIE:wolne</v>
      </c>
    </row>
    <row r="192" spans="1:8" x14ac:dyDescent="0.25">
      <c r="A192" s="2" t="str">
        <f t="shared" ref="A192" si="72">A$15</f>
        <v>device</v>
      </c>
      <c r="B192" s="2" t="str">
        <f t="shared" ref="B192" si="73">B$16</f>
        <v>TCA9548</v>
      </c>
      <c r="E192" t="s">
        <v>214</v>
      </c>
      <c r="F192">
        <v>27</v>
      </c>
      <c r="G192">
        <v>11</v>
      </c>
      <c r="H192" t="str">
        <f t="shared" ref="H192" si="74">ADDRESS(G192,F192)</f>
        <v>$AA$11</v>
      </c>
    </row>
    <row r="193" spans="1:8" x14ac:dyDescent="0.25">
      <c r="A193" s="2" t="str">
        <f t="shared" ref="A193:B193" si="75">A$17</f>
        <v>i2c_addr</v>
      </c>
      <c r="B193" s="2" t="str">
        <f t="shared" si="75"/>
        <v>0x71</v>
      </c>
    </row>
    <row r="194" spans="1:8" x14ac:dyDescent="0.25">
      <c r="A194" s="2" t="str">
        <f t="shared" ref="A194:B194" si="76">A$18</f>
        <v>i2c_num</v>
      </c>
      <c r="B194" s="2" t="str">
        <f t="shared" si="76"/>
        <v>/dev/i2c-1</v>
      </c>
      <c r="H194" t="str">
        <f t="shared" ref="H194" si="77">ADDRESS(G192+1,F192)</f>
        <v>$AA$12</v>
      </c>
    </row>
    <row r="195" spans="1:8" x14ac:dyDescent="0.25">
      <c r="A195" s="2" t="str">
        <f t="shared" ref="A195" ca="1" si="78">INDIRECT(H194)</f>
        <v>ctrl_reg</v>
      </c>
      <c r="B195" s="2" t="str">
        <f t="shared" ref="B195" ca="1" si="79">INDIRECT(H195)</f>
        <v>0x00</v>
      </c>
      <c r="H195" t="str">
        <f t="shared" ref="H195" si="80">ADDRESS(G192+1,F192+1)</f>
        <v>$AB$12</v>
      </c>
    </row>
    <row r="197" spans="1:8" x14ac:dyDescent="0.25">
      <c r="A197" t="s">
        <v>212</v>
      </c>
      <c r="B197">
        <v>14</v>
      </c>
    </row>
    <row r="211" spans="1:8" x14ac:dyDescent="0.25">
      <c r="A211" t="str">
        <f t="shared" ref="A211" ca="1" si="81">CONCATENATE("#",C$16,":",INDIRECT(H212))</f>
        <v>#I2C_Bridge_PCIE:</v>
      </c>
    </row>
    <row r="212" spans="1:8" x14ac:dyDescent="0.25">
      <c r="A212" s="2" t="str">
        <f t="shared" ref="A212" si="82">A$15</f>
        <v>device</v>
      </c>
      <c r="B212" s="2" t="str">
        <f t="shared" ref="B212" si="83">B$16</f>
        <v>TCA9548</v>
      </c>
      <c r="E212" t="s">
        <v>214</v>
      </c>
      <c r="F212">
        <v>30</v>
      </c>
      <c r="G212">
        <v>11</v>
      </c>
      <c r="H212" t="str">
        <f t="shared" ref="H212" si="84">ADDRESS(G212,F212)</f>
        <v>$AD$11</v>
      </c>
    </row>
    <row r="213" spans="1:8" x14ac:dyDescent="0.25">
      <c r="A213" s="2" t="str">
        <f t="shared" ref="A213:B213" si="85">A$17</f>
        <v>i2c_addr</v>
      </c>
      <c r="B213" s="2" t="str">
        <f t="shared" si="85"/>
        <v>0x71</v>
      </c>
    </row>
    <row r="214" spans="1:8" x14ac:dyDescent="0.25">
      <c r="A214" s="2" t="str">
        <f t="shared" ref="A214:B214" si="86">A$18</f>
        <v>i2c_num</v>
      </c>
      <c r="B214" s="2" t="str">
        <f t="shared" si="86"/>
        <v>/dev/i2c-1</v>
      </c>
      <c r="H214" t="str">
        <f t="shared" ref="H214" si="87">ADDRESS(G212+1,F212)</f>
        <v>$AD$12</v>
      </c>
    </row>
    <row r="215" spans="1:8" x14ac:dyDescent="0.25">
      <c r="A215" s="2">
        <f t="shared" ref="A215" ca="1" si="88">INDIRECT(H214)</f>
        <v>0</v>
      </c>
      <c r="B215" s="2">
        <f t="shared" ref="B215" ca="1" si="89">INDIRECT(H215)</f>
        <v>0</v>
      </c>
      <c r="H215" t="str">
        <f t="shared" ref="H215" si="90">ADDRESS(G212+1,F212+1)</f>
        <v>$AE$12</v>
      </c>
    </row>
    <row r="217" spans="1:8" x14ac:dyDescent="0.25">
      <c r="A217" t="s">
        <v>212</v>
      </c>
      <c r="B217">
        <v>14</v>
      </c>
    </row>
  </sheetData>
  <sheetProtection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40"/>
  <sheetViews>
    <sheetView workbookViewId="0">
      <pane ySplit="1" topLeftCell="A2" activePane="bottomLeft" state="frozen"/>
      <selection pane="bottomLeft" activeCell="A31" sqref="A31:H37"/>
    </sheetView>
  </sheetViews>
  <sheetFormatPr defaultRowHeight="15" x14ac:dyDescent="0.25"/>
  <cols>
    <col min="1" max="1" width="14.85546875" style="2" customWidth="1"/>
    <col min="2" max="2" width="12.5703125" style="2" customWidth="1"/>
    <col min="3" max="3" width="22.5703125" bestFit="1" customWidth="1"/>
    <col min="4" max="4" width="51.85546875" bestFit="1" customWidth="1"/>
    <col min="5" max="5" width="12.5703125" customWidth="1"/>
    <col min="6" max="6" width="9" bestFit="1" customWidth="1"/>
    <col min="17" max="17" width="15.140625" customWidth="1"/>
    <col min="18" max="28" width="10.85546875" customWidth="1"/>
    <col min="29" max="29" width="17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s="1" customFormat="1" ht="45" x14ac:dyDescent="0.25">
      <c r="A1" s="2"/>
      <c r="B1" s="2" t="s">
        <v>320</v>
      </c>
      <c r="C1" s="1" t="s">
        <v>3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357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279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BA1" s="1" t="s">
        <v>40</v>
      </c>
    </row>
    <row r="2" spans="1:63" s="10" customFormat="1" x14ac:dyDescent="0.25">
      <c r="A2" s="11"/>
      <c r="B2" s="11" t="s">
        <v>290</v>
      </c>
      <c r="C2" s="10" t="s">
        <v>6</v>
      </c>
      <c r="D2" s="10" t="s">
        <v>23</v>
      </c>
      <c r="E2" s="10">
        <v>0</v>
      </c>
      <c r="F2" s="10">
        <v>1</v>
      </c>
      <c r="G2" s="10">
        <v>1</v>
      </c>
      <c r="H2" s="10">
        <f>G2</f>
        <v>1</v>
      </c>
      <c r="I2" s="10">
        <f t="shared" ref="I2:O2" si="0">H2</f>
        <v>1</v>
      </c>
      <c r="J2" s="10">
        <f t="shared" si="0"/>
        <v>1</v>
      </c>
      <c r="K2" s="10">
        <f t="shared" si="0"/>
        <v>1</v>
      </c>
      <c r="L2" s="10">
        <f t="shared" si="0"/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1" t="s">
        <v>291</v>
      </c>
      <c r="C3" s="10" t="s">
        <v>7</v>
      </c>
      <c r="D3" s="10" t="s">
        <v>23</v>
      </c>
      <c r="E3" s="10">
        <v>0</v>
      </c>
      <c r="F3" s="10">
        <v>1</v>
      </c>
      <c r="G3" s="10">
        <v>1</v>
      </c>
      <c r="H3" s="10">
        <f t="shared" ref="H3:O9" si="5">G3</f>
        <v>1</v>
      </c>
      <c r="I3" s="10">
        <f t="shared" si="5"/>
        <v>1</v>
      </c>
      <c r="J3" s="10">
        <f t="shared" si="5"/>
        <v>1</v>
      </c>
      <c r="K3" s="10">
        <f t="shared" si="5"/>
        <v>1</v>
      </c>
      <c r="L3" s="10">
        <f t="shared" si="5"/>
        <v>1</v>
      </c>
      <c r="M3" s="10">
        <f t="shared" si="5"/>
        <v>1</v>
      </c>
      <c r="N3" s="10">
        <f t="shared" si="5"/>
        <v>1</v>
      </c>
      <c r="O3" s="10">
        <f t="shared" si="5"/>
        <v>1</v>
      </c>
      <c r="Q3" s="10">
        <v>0</v>
      </c>
      <c r="R3" s="10">
        <f t="shared" ref="R3:AA3" si="6">Q3</f>
        <v>0</v>
      </c>
      <c r="S3" s="10">
        <f t="shared" si="6"/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0</v>
      </c>
      <c r="AD3" s="10">
        <f t="shared" ref="AD3:AM3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3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3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1" t="s">
        <v>292</v>
      </c>
      <c r="C4" s="10" t="s">
        <v>8</v>
      </c>
      <c r="D4" s="10" t="s">
        <v>24</v>
      </c>
      <c r="E4" s="10">
        <v>0</v>
      </c>
      <c r="F4" s="10">
        <v>1</v>
      </c>
      <c r="G4" s="10">
        <v>1</v>
      </c>
      <c r="H4" s="10">
        <f t="shared" si="5"/>
        <v>1</v>
      </c>
      <c r="I4" s="10">
        <f t="shared" si="5"/>
        <v>1</v>
      </c>
      <c r="J4" s="10">
        <f t="shared" si="5"/>
        <v>1</v>
      </c>
      <c r="K4" s="10">
        <f t="shared" si="5"/>
        <v>1</v>
      </c>
      <c r="L4" s="10">
        <f t="shared" si="5"/>
        <v>1</v>
      </c>
      <c r="M4" s="10">
        <f t="shared" si="5"/>
        <v>1</v>
      </c>
      <c r="N4" s="10">
        <f t="shared" si="5"/>
        <v>1</v>
      </c>
      <c r="O4" s="10">
        <f t="shared" si="5"/>
        <v>1</v>
      </c>
      <c r="Q4" s="10">
        <v>0</v>
      </c>
      <c r="R4" s="10">
        <f t="shared" ref="R4:AA4" si="10">Q4</f>
        <v>0</v>
      </c>
      <c r="S4" s="10">
        <f t="shared" si="10"/>
        <v>0</v>
      </c>
      <c r="T4" s="10">
        <f t="shared" si="10"/>
        <v>0</v>
      </c>
      <c r="U4" s="10">
        <f t="shared" si="10"/>
        <v>0</v>
      </c>
      <c r="V4" s="10">
        <f t="shared" si="10"/>
        <v>0</v>
      </c>
      <c r="W4" s="10">
        <f t="shared" si="10"/>
        <v>0</v>
      </c>
      <c r="X4" s="10">
        <f t="shared" si="10"/>
        <v>0</v>
      </c>
      <c r="Y4" s="10">
        <f t="shared" si="10"/>
        <v>0</v>
      </c>
      <c r="Z4" s="10">
        <f t="shared" si="10"/>
        <v>0</v>
      </c>
      <c r="AA4" s="10">
        <f t="shared" si="10"/>
        <v>0</v>
      </c>
      <c r="AC4" s="10">
        <v>0</v>
      </c>
      <c r="AD4" s="10">
        <f t="shared" ref="AD4:AM4" si="11">AC4</f>
        <v>0</v>
      </c>
      <c r="AE4" s="10">
        <f t="shared" si="11"/>
        <v>0</v>
      </c>
      <c r="AF4" s="10">
        <f t="shared" si="11"/>
        <v>0</v>
      </c>
      <c r="AG4" s="10">
        <f t="shared" si="11"/>
        <v>0</v>
      </c>
      <c r="AH4" s="10">
        <f t="shared" si="11"/>
        <v>0</v>
      </c>
      <c r="AI4" s="10">
        <f t="shared" si="11"/>
        <v>0</v>
      </c>
      <c r="AJ4" s="10">
        <f t="shared" si="11"/>
        <v>0</v>
      </c>
      <c r="AK4" s="10">
        <f t="shared" si="11"/>
        <v>0</v>
      </c>
      <c r="AL4" s="10">
        <f t="shared" si="11"/>
        <v>0</v>
      </c>
      <c r="AM4" s="10">
        <f t="shared" si="11"/>
        <v>0</v>
      </c>
      <c r="AO4" s="10">
        <v>0</v>
      </c>
      <c r="AP4" s="10">
        <f t="shared" ref="AP4:AY4" si="12">AO4</f>
        <v>0</v>
      </c>
      <c r="AQ4" s="10">
        <f t="shared" si="12"/>
        <v>0</v>
      </c>
      <c r="AR4" s="10">
        <f t="shared" si="12"/>
        <v>0</v>
      </c>
      <c r="AS4" s="10">
        <f t="shared" si="12"/>
        <v>0</v>
      </c>
      <c r="AT4" s="10">
        <f t="shared" si="12"/>
        <v>0</v>
      </c>
      <c r="AU4" s="10">
        <f t="shared" si="12"/>
        <v>0</v>
      </c>
      <c r="AV4" s="10">
        <f t="shared" si="12"/>
        <v>0</v>
      </c>
      <c r="AW4" s="10">
        <f t="shared" si="12"/>
        <v>0</v>
      </c>
      <c r="AX4" s="10">
        <f t="shared" si="12"/>
        <v>0</v>
      </c>
      <c r="AY4" s="10">
        <f t="shared" si="12"/>
        <v>0</v>
      </c>
      <c r="BA4" s="10">
        <v>0</v>
      </c>
      <c r="BB4" s="10">
        <f t="shared" ref="BB4:BK4" si="13">BA4</f>
        <v>0</v>
      </c>
      <c r="BC4" s="10">
        <f t="shared" si="13"/>
        <v>0</v>
      </c>
      <c r="BD4" s="10">
        <f t="shared" si="13"/>
        <v>0</v>
      </c>
      <c r="BE4" s="10">
        <f t="shared" si="13"/>
        <v>0</v>
      </c>
      <c r="BF4" s="10">
        <f t="shared" si="13"/>
        <v>0</v>
      </c>
      <c r="BG4" s="10">
        <f t="shared" si="13"/>
        <v>0</v>
      </c>
      <c r="BH4" s="10">
        <f t="shared" si="13"/>
        <v>0</v>
      </c>
      <c r="BI4" s="10">
        <f t="shared" si="13"/>
        <v>0</v>
      </c>
      <c r="BJ4" s="10">
        <f t="shared" si="13"/>
        <v>0</v>
      </c>
      <c r="BK4" s="10">
        <f t="shared" si="13"/>
        <v>0</v>
      </c>
    </row>
    <row r="5" spans="1:63" s="10" customFormat="1" x14ac:dyDescent="0.25">
      <c r="A5" s="11"/>
      <c r="B5" s="11" t="s">
        <v>293</v>
      </c>
      <c r="C5" s="10" t="s">
        <v>15</v>
      </c>
      <c r="D5" s="10" t="s">
        <v>24</v>
      </c>
      <c r="E5" s="10">
        <v>0</v>
      </c>
      <c r="F5" s="10">
        <v>0</v>
      </c>
      <c r="G5" s="10">
        <v>0</v>
      </c>
      <c r="H5" s="10">
        <f t="shared" si="5"/>
        <v>0</v>
      </c>
      <c r="I5" s="10">
        <f t="shared" si="5"/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1</v>
      </c>
      <c r="R5" s="10">
        <f t="shared" ref="R5:AA5" si="14">Q5</f>
        <v>1</v>
      </c>
      <c r="S5" s="10">
        <f t="shared" si="14"/>
        <v>1</v>
      </c>
      <c r="T5" s="10">
        <f t="shared" si="14"/>
        <v>1</v>
      </c>
      <c r="U5" s="10">
        <f t="shared" si="14"/>
        <v>1</v>
      </c>
      <c r="V5" s="10">
        <f t="shared" si="14"/>
        <v>1</v>
      </c>
      <c r="W5" s="10">
        <f t="shared" si="14"/>
        <v>1</v>
      </c>
      <c r="X5" s="10">
        <f t="shared" si="14"/>
        <v>1</v>
      </c>
      <c r="Y5" s="10">
        <f t="shared" si="14"/>
        <v>1</v>
      </c>
      <c r="Z5" s="10">
        <f t="shared" si="14"/>
        <v>1</v>
      </c>
      <c r="AA5" s="10">
        <f t="shared" si="14"/>
        <v>1</v>
      </c>
      <c r="AC5" s="10">
        <v>0</v>
      </c>
      <c r="AD5" s="10">
        <f t="shared" ref="AD5:AM5" si="15">AC5</f>
        <v>0</v>
      </c>
      <c r="AE5" s="10">
        <f t="shared" si="15"/>
        <v>0</v>
      </c>
      <c r="AF5" s="10">
        <f t="shared" si="15"/>
        <v>0</v>
      </c>
      <c r="AG5" s="10">
        <f t="shared" si="15"/>
        <v>0</v>
      </c>
      <c r="AH5" s="10">
        <f t="shared" si="15"/>
        <v>0</v>
      </c>
      <c r="AI5" s="10">
        <f t="shared" si="15"/>
        <v>0</v>
      </c>
      <c r="AJ5" s="10">
        <f t="shared" si="15"/>
        <v>0</v>
      </c>
      <c r="AK5" s="10">
        <f t="shared" si="15"/>
        <v>0</v>
      </c>
      <c r="AL5" s="10">
        <f t="shared" si="15"/>
        <v>0</v>
      </c>
      <c r="AM5" s="10">
        <f t="shared" si="15"/>
        <v>0</v>
      </c>
      <c r="AO5" s="10">
        <v>0</v>
      </c>
      <c r="AP5" s="10">
        <f t="shared" ref="AP5:AY5" si="16">AO5</f>
        <v>0</v>
      </c>
      <c r="AQ5" s="10">
        <f t="shared" si="16"/>
        <v>0</v>
      </c>
      <c r="AR5" s="10">
        <f t="shared" si="16"/>
        <v>0</v>
      </c>
      <c r="AS5" s="10">
        <f t="shared" si="16"/>
        <v>0</v>
      </c>
      <c r="AT5" s="10">
        <f t="shared" si="16"/>
        <v>0</v>
      </c>
      <c r="AU5" s="10">
        <f t="shared" si="16"/>
        <v>0</v>
      </c>
      <c r="AV5" s="10">
        <f t="shared" si="16"/>
        <v>0</v>
      </c>
      <c r="AW5" s="10">
        <f t="shared" si="16"/>
        <v>0</v>
      </c>
      <c r="AX5" s="10">
        <f t="shared" si="16"/>
        <v>0</v>
      </c>
      <c r="AY5" s="10">
        <f t="shared" si="16"/>
        <v>0</v>
      </c>
      <c r="BA5" s="10">
        <v>0</v>
      </c>
      <c r="BB5" s="10">
        <f t="shared" ref="BB5:BK5" si="17">BA5</f>
        <v>0</v>
      </c>
      <c r="BC5" s="10">
        <f t="shared" si="17"/>
        <v>0</v>
      </c>
      <c r="BD5" s="10">
        <f t="shared" si="17"/>
        <v>0</v>
      </c>
      <c r="BE5" s="10">
        <f t="shared" si="17"/>
        <v>0</v>
      </c>
      <c r="BF5" s="10">
        <f t="shared" si="17"/>
        <v>0</v>
      </c>
      <c r="BG5" s="10">
        <f t="shared" si="17"/>
        <v>0</v>
      </c>
      <c r="BH5" s="10">
        <f t="shared" si="17"/>
        <v>0</v>
      </c>
      <c r="BI5" s="10">
        <f t="shared" si="17"/>
        <v>0</v>
      </c>
      <c r="BJ5" s="10">
        <f t="shared" si="17"/>
        <v>0</v>
      </c>
      <c r="BK5" s="10">
        <f t="shared" si="17"/>
        <v>0</v>
      </c>
    </row>
    <row r="6" spans="1:63" s="10" customFormat="1" x14ac:dyDescent="0.25">
      <c r="A6" s="11"/>
      <c r="B6" s="11" t="s">
        <v>294</v>
      </c>
      <c r="C6" s="10" t="s">
        <v>15</v>
      </c>
      <c r="D6" s="10" t="s">
        <v>24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ref="R6:AA6" si="18">Q6</f>
        <v>1</v>
      </c>
      <c r="S6" s="10">
        <f t="shared" si="18"/>
        <v>1</v>
      </c>
      <c r="T6" s="10">
        <f t="shared" si="18"/>
        <v>1</v>
      </c>
      <c r="U6" s="10">
        <f t="shared" si="18"/>
        <v>1</v>
      </c>
      <c r="V6" s="10">
        <f t="shared" si="18"/>
        <v>1</v>
      </c>
      <c r="W6" s="10">
        <f t="shared" si="18"/>
        <v>1</v>
      </c>
      <c r="X6" s="10">
        <f t="shared" si="18"/>
        <v>1</v>
      </c>
      <c r="Y6" s="10">
        <f t="shared" si="18"/>
        <v>1</v>
      </c>
      <c r="Z6" s="10">
        <f t="shared" si="18"/>
        <v>1</v>
      </c>
      <c r="AA6" s="10">
        <f t="shared" si="18"/>
        <v>1</v>
      </c>
      <c r="AC6" s="10">
        <v>0</v>
      </c>
      <c r="AD6" s="10">
        <f t="shared" ref="AD6:AM6" si="19">AC6</f>
        <v>0</v>
      </c>
      <c r="AE6" s="10">
        <f t="shared" si="19"/>
        <v>0</v>
      </c>
      <c r="AF6" s="10">
        <f t="shared" si="19"/>
        <v>0</v>
      </c>
      <c r="AG6" s="10">
        <f t="shared" si="19"/>
        <v>0</v>
      </c>
      <c r="AH6" s="10">
        <f t="shared" si="19"/>
        <v>0</v>
      </c>
      <c r="AI6" s="10">
        <f t="shared" si="19"/>
        <v>0</v>
      </c>
      <c r="AJ6" s="10">
        <f t="shared" si="19"/>
        <v>0</v>
      </c>
      <c r="AK6" s="10">
        <f t="shared" si="19"/>
        <v>0</v>
      </c>
      <c r="AL6" s="10">
        <f t="shared" si="19"/>
        <v>0</v>
      </c>
      <c r="AM6" s="10">
        <f t="shared" si="19"/>
        <v>0</v>
      </c>
      <c r="AO6" s="10">
        <v>0</v>
      </c>
      <c r="AP6" s="10">
        <f t="shared" ref="AP6:AY6" si="20">AO6</f>
        <v>0</v>
      </c>
      <c r="AQ6" s="10">
        <f t="shared" si="20"/>
        <v>0</v>
      </c>
      <c r="AR6" s="10">
        <f t="shared" si="20"/>
        <v>0</v>
      </c>
      <c r="AS6" s="10">
        <f t="shared" si="20"/>
        <v>0</v>
      </c>
      <c r="AT6" s="10">
        <f t="shared" si="20"/>
        <v>0</v>
      </c>
      <c r="AU6" s="10">
        <f t="shared" si="20"/>
        <v>0</v>
      </c>
      <c r="AV6" s="10">
        <f t="shared" si="20"/>
        <v>0</v>
      </c>
      <c r="AW6" s="10">
        <f t="shared" si="20"/>
        <v>0</v>
      </c>
      <c r="AX6" s="10">
        <f t="shared" si="20"/>
        <v>0</v>
      </c>
      <c r="AY6" s="10">
        <f t="shared" si="20"/>
        <v>0</v>
      </c>
      <c r="BA6" s="10">
        <v>0</v>
      </c>
      <c r="BB6" s="10">
        <f t="shared" ref="BB6:BK6" si="21">BA6</f>
        <v>0</v>
      </c>
      <c r="BC6" s="10">
        <f t="shared" si="21"/>
        <v>0</v>
      </c>
      <c r="BD6" s="10">
        <f t="shared" si="21"/>
        <v>0</v>
      </c>
      <c r="BE6" s="10">
        <f t="shared" si="21"/>
        <v>0</v>
      </c>
      <c r="BF6" s="10">
        <f t="shared" si="21"/>
        <v>0</v>
      </c>
      <c r="BG6" s="10">
        <f t="shared" si="21"/>
        <v>0</v>
      </c>
      <c r="BH6" s="10">
        <f t="shared" si="21"/>
        <v>0</v>
      </c>
      <c r="BI6" s="10">
        <f t="shared" si="21"/>
        <v>0</v>
      </c>
      <c r="BJ6" s="10">
        <f t="shared" si="21"/>
        <v>0</v>
      </c>
      <c r="BK6" s="10">
        <f t="shared" si="21"/>
        <v>0</v>
      </c>
    </row>
    <row r="7" spans="1:63" s="10" customFormat="1" x14ac:dyDescent="0.25">
      <c r="A7" s="11"/>
      <c r="B7" s="11" t="s">
        <v>295</v>
      </c>
      <c r="C7" s="10" t="s">
        <v>15</v>
      </c>
      <c r="D7" s="10" t="s">
        <v>24</v>
      </c>
      <c r="E7" s="10">
        <v>0</v>
      </c>
      <c r="F7" s="10">
        <v>0</v>
      </c>
      <c r="G7" s="10"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1</v>
      </c>
      <c r="R7" s="10">
        <f t="shared" ref="R7:AA7" si="22">Q7</f>
        <v>1</v>
      </c>
      <c r="S7" s="10">
        <f t="shared" si="22"/>
        <v>1</v>
      </c>
      <c r="T7" s="10">
        <f t="shared" si="22"/>
        <v>1</v>
      </c>
      <c r="U7" s="10">
        <f t="shared" si="22"/>
        <v>1</v>
      </c>
      <c r="V7" s="10">
        <f t="shared" si="22"/>
        <v>1</v>
      </c>
      <c r="W7" s="10">
        <f t="shared" si="22"/>
        <v>1</v>
      </c>
      <c r="X7" s="10">
        <f t="shared" si="22"/>
        <v>1</v>
      </c>
      <c r="Y7" s="10">
        <f t="shared" si="22"/>
        <v>1</v>
      </c>
      <c r="Z7" s="10">
        <f t="shared" si="22"/>
        <v>1</v>
      </c>
      <c r="AA7" s="10">
        <f t="shared" si="22"/>
        <v>1</v>
      </c>
      <c r="AC7" s="10">
        <v>0</v>
      </c>
      <c r="AD7" s="10">
        <f t="shared" ref="AD7:AM7" si="23">AC7</f>
        <v>0</v>
      </c>
      <c r="AE7" s="10">
        <f t="shared" si="23"/>
        <v>0</v>
      </c>
      <c r="AF7" s="10">
        <f t="shared" si="23"/>
        <v>0</v>
      </c>
      <c r="AG7" s="10">
        <f t="shared" si="23"/>
        <v>0</v>
      </c>
      <c r="AH7" s="10">
        <f t="shared" si="23"/>
        <v>0</v>
      </c>
      <c r="AI7" s="10">
        <f t="shared" si="23"/>
        <v>0</v>
      </c>
      <c r="AJ7" s="10">
        <f t="shared" si="23"/>
        <v>0</v>
      </c>
      <c r="AK7" s="10">
        <f t="shared" si="23"/>
        <v>0</v>
      </c>
      <c r="AL7" s="10">
        <f t="shared" si="23"/>
        <v>0</v>
      </c>
      <c r="AM7" s="10">
        <f t="shared" si="23"/>
        <v>0</v>
      </c>
      <c r="AO7" s="10">
        <v>0</v>
      </c>
      <c r="AP7" s="10">
        <f t="shared" ref="AP7:AY7" si="24">AO7</f>
        <v>0</v>
      </c>
      <c r="AQ7" s="10">
        <f t="shared" si="24"/>
        <v>0</v>
      </c>
      <c r="AR7" s="10">
        <f t="shared" si="24"/>
        <v>0</v>
      </c>
      <c r="AS7" s="10">
        <f t="shared" si="24"/>
        <v>0</v>
      </c>
      <c r="AT7" s="10">
        <f t="shared" si="24"/>
        <v>0</v>
      </c>
      <c r="AU7" s="10">
        <f t="shared" si="24"/>
        <v>0</v>
      </c>
      <c r="AV7" s="10">
        <f t="shared" si="24"/>
        <v>0</v>
      </c>
      <c r="AW7" s="10">
        <f t="shared" si="24"/>
        <v>0</v>
      </c>
      <c r="AX7" s="10">
        <f t="shared" si="24"/>
        <v>0</v>
      </c>
      <c r="AY7" s="10">
        <f t="shared" si="24"/>
        <v>0</v>
      </c>
      <c r="BA7" s="10">
        <v>0</v>
      </c>
      <c r="BB7" s="10">
        <f t="shared" ref="BB7:BK7" si="25">BA7</f>
        <v>0</v>
      </c>
      <c r="BC7" s="10">
        <f t="shared" si="25"/>
        <v>0</v>
      </c>
      <c r="BD7" s="10">
        <f t="shared" si="25"/>
        <v>0</v>
      </c>
      <c r="BE7" s="10">
        <f t="shared" si="25"/>
        <v>0</v>
      </c>
      <c r="BF7" s="10">
        <f t="shared" si="25"/>
        <v>0</v>
      </c>
      <c r="BG7" s="10">
        <f t="shared" si="25"/>
        <v>0</v>
      </c>
      <c r="BH7" s="10">
        <f t="shared" si="25"/>
        <v>0</v>
      </c>
      <c r="BI7" s="10">
        <f t="shared" si="25"/>
        <v>0</v>
      </c>
      <c r="BJ7" s="10">
        <f t="shared" si="25"/>
        <v>0</v>
      </c>
      <c r="BK7" s="10">
        <f t="shared" si="25"/>
        <v>0</v>
      </c>
    </row>
    <row r="8" spans="1:63" s="10" customFormat="1" x14ac:dyDescent="0.25">
      <c r="A8" s="11"/>
      <c r="B8" s="11" t="s">
        <v>296</v>
      </c>
      <c r="C8" s="10" t="s">
        <v>15</v>
      </c>
      <c r="D8" s="10" t="s">
        <v>24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ref="R8:AA8" si="26">Q8</f>
        <v>1</v>
      </c>
      <c r="S8" s="10">
        <f t="shared" si="26"/>
        <v>1</v>
      </c>
      <c r="T8" s="10">
        <f t="shared" si="26"/>
        <v>1</v>
      </c>
      <c r="U8" s="10">
        <f t="shared" si="26"/>
        <v>1</v>
      </c>
      <c r="V8" s="10">
        <f t="shared" si="26"/>
        <v>1</v>
      </c>
      <c r="W8" s="10">
        <f t="shared" si="26"/>
        <v>1</v>
      </c>
      <c r="X8" s="10">
        <f t="shared" si="26"/>
        <v>1</v>
      </c>
      <c r="Y8" s="10">
        <f t="shared" si="26"/>
        <v>1</v>
      </c>
      <c r="Z8" s="10">
        <f t="shared" si="26"/>
        <v>1</v>
      </c>
      <c r="AA8" s="10">
        <f t="shared" si="26"/>
        <v>1</v>
      </c>
      <c r="AC8" s="10">
        <v>0</v>
      </c>
      <c r="AD8" s="10">
        <f t="shared" ref="AD8:AM8" si="27">AC8</f>
        <v>0</v>
      </c>
      <c r="AE8" s="10">
        <f t="shared" si="27"/>
        <v>0</v>
      </c>
      <c r="AF8" s="10">
        <f t="shared" si="27"/>
        <v>0</v>
      </c>
      <c r="AG8" s="10">
        <f t="shared" si="27"/>
        <v>0</v>
      </c>
      <c r="AH8" s="10">
        <f t="shared" si="27"/>
        <v>0</v>
      </c>
      <c r="AI8" s="10">
        <f t="shared" si="27"/>
        <v>0</v>
      </c>
      <c r="AJ8" s="10">
        <f t="shared" si="27"/>
        <v>0</v>
      </c>
      <c r="AK8" s="10">
        <f t="shared" si="27"/>
        <v>0</v>
      </c>
      <c r="AL8" s="10">
        <f t="shared" si="27"/>
        <v>0</v>
      </c>
      <c r="AM8" s="10">
        <f t="shared" si="27"/>
        <v>0</v>
      </c>
      <c r="AO8" s="10">
        <v>0</v>
      </c>
      <c r="AP8" s="10">
        <f t="shared" ref="AP8:AY8" si="28">AO8</f>
        <v>0</v>
      </c>
      <c r="AQ8" s="10">
        <f t="shared" si="28"/>
        <v>0</v>
      </c>
      <c r="AR8" s="10">
        <f t="shared" si="28"/>
        <v>0</v>
      </c>
      <c r="AS8" s="10">
        <f t="shared" si="28"/>
        <v>0</v>
      </c>
      <c r="AT8" s="10">
        <f t="shared" si="28"/>
        <v>0</v>
      </c>
      <c r="AU8" s="10">
        <f t="shared" si="28"/>
        <v>0</v>
      </c>
      <c r="AV8" s="10">
        <f t="shared" si="28"/>
        <v>0</v>
      </c>
      <c r="AW8" s="10">
        <f t="shared" si="28"/>
        <v>0</v>
      </c>
      <c r="AX8" s="10">
        <f t="shared" si="28"/>
        <v>0</v>
      </c>
      <c r="AY8" s="10">
        <f t="shared" si="28"/>
        <v>0</v>
      </c>
      <c r="BA8" s="10">
        <v>0</v>
      </c>
      <c r="BB8" s="10">
        <f t="shared" ref="BB8:BK8" si="29">BA8</f>
        <v>0</v>
      </c>
      <c r="BC8" s="10">
        <f t="shared" si="29"/>
        <v>0</v>
      </c>
      <c r="BD8" s="10">
        <f t="shared" si="29"/>
        <v>0</v>
      </c>
      <c r="BE8" s="10">
        <f t="shared" si="29"/>
        <v>0</v>
      </c>
      <c r="BF8" s="10">
        <f t="shared" si="29"/>
        <v>0</v>
      </c>
      <c r="BG8" s="10">
        <f t="shared" si="29"/>
        <v>0</v>
      </c>
      <c r="BH8" s="10">
        <f t="shared" si="29"/>
        <v>0</v>
      </c>
      <c r="BI8" s="10">
        <f t="shared" si="29"/>
        <v>0</v>
      </c>
      <c r="BJ8" s="10">
        <f t="shared" si="29"/>
        <v>0</v>
      </c>
      <c r="BK8" s="10">
        <f t="shared" si="29"/>
        <v>0</v>
      </c>
    </row>
    <row r="9" spans="1:63" s="10" customFormat="1" x14ac:dyDescent="0.25">
      <c r="A9" s="11"/>
      <c r="B9" s="11" t="s">
        <v>297</v>
      </c>
      <c r="C9" s="10" t="s">
        <v>15</v>
      </c>
      <c r="D9" s="10" t="s">
        <v>24</v>
      </c>
      <c r="E9" s="10">
        <v>0</v>
      </c>
      <c r="F9" s="10">
        <v>0</v>
      </c>
      <c r="G9" s="10"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10">
        <f t="shared" si="5"/>
        <v>0</v>
      </c>
      <c r="Q9" s="10">
        <v>1</v>
      </c>
      <c r="R9" s="10">
        <f t="shared" ref="R9:AA9" si="30">Q9</f>
        <v>1</v>
      </c>
      <c r="S9" s="10">
        <f t="shared" si="30"/>
        <v>1</v>
      </c>
      <c r="T9" s="10">
        <f t="shared" si="30"/>
        <v>1</v>
      </c>
      <c r="U9" s="10">
        <f t="shared" si="30"/>
        <v>1</v>
      </c>
      <c r="V9" s="10">
        <f t="shared" si="30"/>
        <v>1</v>
      </c>
      <c r="W9" s="10">
        <f t="shared" si="30"/>
        <v>1</v>
      </c>
      <c r="X9" s="10">
        <f t="shared" si="30"/>
        <v>1</v>
      </c>
      <c r="Y9" s="10">
        <f t="shared" si="30"/>
        <v>1</v>
      </c>
      <c r="Z9" s="10">
        <f t="shared" si="30"/>
        <v>1</v>
      </c>
      <c r="AA9" s="10">
        <f t="shared" si="30"/>
        <v>1</v>
      </c>
      <c r="AC9" s="10">
        <v>0</v>
      </c>
      <c r="AD9" s="10">
        <f t="shared" ref="AD9:AM9" si="31">AC9</f>
        <v>0</v>
      </c>
      <c r="AE9" s="10">
        <f t="shared" si="31"/>
        <v>0</v>
      </c>
      <c r="AF9" s="10">
        <f t="shared" si="31"/>
        <v>0</v>
      </c>
      <c r="AG9" s="10">
        <f t="shared" si="31"/>
        <v>0</v>
      </c>
      <c r="AH9" s="10">
        <f t="shared" si="31"/>
        <v>0</v>
      </c>
      <c r="AI9" s="10">
        <f t="shared" si="31"/>
        <v>0</v>
      </c>
      <c r="AJ9" s="10">
        <f t="shared" si="31"/>
        <v>0</v>
      </c>
      <c r="AK9" s="10">
        <f t="shared" si="31"/>
        <v>0</v>
      </c>
      <c r="AL9" s="10">
        <f t="shared" si="31"/>
        <v>0</v>
      </c>
      <c r="AM9" s="10">
        <f t="shared" si="31"/>
        <v>0</v>
      </c>
      <c r="AO9" s="10">
        <v>0</v>
      </c>
      <c r="AP9" s="10">
        <f t="shared" ref="AP9:AY9" si="32">AO9</f>
        <v>0</v>
      </c>
      <c r="AQ9" s="10">
        <f t="shared" si="32"/>
        <v>0</v>
      </c>
      <c r="AR9" s="10">
        <f t="shared" si="32"/>
        <v>0</v>
      </c>
      <c r="AS9" s="10">
        <f t="shared" si="32"/>
        <v>0</v>
      </c>
      <c r="AT9" s="10">
        <f t="shared" si="32"/>
        <v>0</v>
      </c>
      <c r="AU9" s="10">
        <f t="shared" si="32"/>
        <v>0</v>
      </c>
      <c r="AV9" s="10">
        <f t="shared" si="32"/>
        <v>0</v>
      </c>
      <c r="AW9" s="10">
        <f t="shared" si="32"/>
        <v>0</v>
      </c>
      <c r="AX9" s="10">
        <f t="shared" si="32"/>
        <v>0</v>
      </c>
      <c r="AY9" s="10">
        <f t="shared" si="32"/>
        <v>0</v>
      </c>
      <c r="BA9" s="10">
        <v>0</v>
      </c>
      <c r="BB9" s="10">
        <f t="shared" ref="BB9:BK9" si="33">BA9</f>
        <v>0</v>
      </c>
      <c r="BC9" s="10">
        <f t="shared" si="33"/>
        <v>0</v>
      </c>
      <c r="BD9" s="10">
        <f t="shared" si="33"/>
        <v>0</v>
      </c>
      <c r="BE9" s="10">
        <f t="shared" si="33"/>
        <v>0</v>
      </c>
      <c r="BF9" s="10">
        <f t="shared" si="33"/>
        <v>0</v>
      </c>
      <c r="BG9" s="10">
        <f t="shared" si="33"/>
        <v>0</v>
      </c>
      <c r="BH9" s="10">
        <f t="shared" si="33"/>
        <v>0</v>
      </c>
      <c r="BI9" s="10">
        <f t="shared" si="33"/>
        <v>0</v>
      </c>
      <c r="BJ9" s="10">
        <f t="shared" si="33"/>
        <v>0</v>
      </c>
      <c r="BK9" s="10">
        <f t="shared" si="33"/>
        <v>0</v>
      </c>
    </row>
    <row r="10" spans="1:63" x14ac:dyDescent="0.25">
      <c r="E10" t="str">
        <f t="shared" ref="E10:AO10" si="34">CONCATENATE(E9,E8,E7,E6,E5,E4,E3,E2)</f>
        <v>00000000</v>
      </c>
      <c r="F10" t="str">
        <f t="shared" si="34"/>
        <v>00000111</v>
      </c>
      <c r="G10" t="str">
        <f t="shared" si="34"/>
        <v>00000111</v>
      </c>
      <c r="H10" t="str">
        <f t="shared" si="34"/>
        <v>00000111</v>
      </c>
      <c r="I10" t="str">
        <f t="shared" si="34"/>
        <v>00000111</v>
      </c>
      <c r="J10" t="str">
        <f t="shared" si="34"/>
        <v>00000111</v>
      </c>
      <c r="K10" t="str">
        <f t="shared" si="34"/>
        <v>00000111</v>
      </c>
      <c r="L10" t="str">
        <f t="shared" si="34"/>
        <v>00000111</v>
      </c>
      <c r="M10" t="str">
        <f t="shared" si="34"/>
        <v>00000111</v>
      </c>
      <c r="N10" t="str">
        <f t="shared" si="34"/>
        <v>00000111</v>
      </c>
      <c r="O10" t="str">
        <f t="shared" si="34"/>
        <v>00000111</v>
      </c>
      <c r="Q10" t="str">
        <f t="shared" si="34"/>
        <v>11111000</v>
      </c>
      <c r="R10" t="str">
        <f t="shared" ref="R10:AA10" si="35">CONCATENATE(R9,R8,R7,R6,R5,R4,R3,R2)</f>
        <v>11111000</v>
      </c>
      <c r="S10" t="str">
        <f t="shared" si="35"/>
        <v>11111000</v>
      </c>
      <c r="T10" t="str">
        <f t="shared" si="35"/>
        <v>11111000</v>
      </c>
      <c r="U10" t="str">
        <f t="shared" si="35"/>
        <v>11111000</v>
      </c>
      <c r="V10" t="str">
        <f t="shared" si="35"/>
        <v>11111000</v>
      </c>
      <c r="W10" t="str">
        <f t="shared" si="35"/>
        <v>11111000</v>
      </c>
      <c r="X10" t="str">
        <f t="shared" si="35"/>
        <v>11111000</v>
      </c>
      <c r="Y10" t="str">
        <f t="shared" si="35"/>
        <v>11111000</v>
      </c>
      <c r="Z10" t="str">
        <f t="shared" si="35"/>
        <v>11111000</v>
      </c>
      <c r="AA10" t="str">
        <f t="shared" si="35"/>
        <v>11111000</v>
      </c>
      <c r="AC10" t="str">
        <f t="shared" si="34"/>
        <v>00000000</v>
      </c>
      <c r="AD10" t="str">
        <f t="shared" ref="AD10:AM10" si="36">CONCATENATE(AD9,AD8,AD7,AD6,AD5,AD4,AD3,AD2)</f>
        <v>00000000</v>
      </c>
      <c r="AE10" t="str">
        <f t="shared" si="36"/>
        <v>00000000</v>
      </c>
      <c r="AF10" t="str">
        <f t="shared" si="36"/>
        <v>00000000</v>
      </c>
      <c r="AG10" t="str">
        <f t="shared" si="36"/>
        <v>00000000</v>
      </c>
      <c r="AH10" t="str">
        <f t="shared" si="36"/>
        <v>00000000</v>
      </c>
      <c r="AI10" t="str">
        <f t="shared" si="36"/>
        <v>00000000</v>
      </c>
      <c r="AJ10" t="str">
        <f t="shared" si="36"/>
        <v>00000000</v>
      </c>
      <c r="AK10" t="str">
        <f t="shared" si="36"/>
        <v>00000000</v>
      </c>
      <c r="AL10" t="str">
        <f t="shared" si="36"/>
        <v>00000000</v>
      </c>
      <c r="AM10" t="str">
        <f t="shared" si="36"/>
        <v>00000000</v>
      </c>
      <c r="AO10" t="str">
        <f t="shared" si="34"/>
        <v>00000000</v>
      </c>
      <c r="AP10" t="str">
        <f t="shared" ref="AP10:AY10" si="37">CONCATENATE(AP9,AP8,AP7,AP6,AP5,AP4,AP3,AP2)</f>
        <v>00000000</v>
      </c>
      <c r="AQ10" t="str">
        <f t="shared" si="37"/>
        <v>00000000</v>
      </c>
      <c r="AR10" t="str">
        <f t="shared" si="37"/>
        <v>00000000</v>
      </c>
      <c r="AS10" t="str">
        <f t="shared" si="37"/>
        <v>00000000</v>
      </c>
      <c r="AT10" t="str">
        <f t="shared" si="37"/>
        <v>00000000</v>
      </c>
      <c r="AU10" t="str">
        <f t="shared" si="37"/>
        <v>00000000</v>
      </c>
      <c r="AV10" t="str">
        <f t="shared" si="37"/>
        <v>00000000</v>
      </c>
      <c r="AW10" t="str">
        <f t="shared" si="37"/>
        <v>00000000</v>
      </c>
      <c r="AX10" t="str">
        <f t="shared" si="37"/>
        <v>00000000</v>
      </c>
      <c r="AY10" t="str">
        <f t="shared" si="37"/>
        <v>00000000</v>
      </c>
      <c r="BA10" t="str">
        <f t="shared" ref="BA10:BK10" si="38">CONCATENATE(BA9,BA8,BA7,BA6,BA5,BA4,BA3,BA2)</f>
        <v>00000000</v>
      </c>
      <c r="BB10" t="str">
        <f t="shared" si="38"/>
        <v>00000000</v>
      </c>
      <c r="BC10" t="str">
        <f t="shared" si="38"/>
        <v>00000000</v>
      </c>
      <c r="BD10" t="str">
        <f t="shared" si="38"/>
        <v>00000000</v>
      </c>
      <c r="BE10" t="str">
        <f t="shared" si="38"/>
        <v>00000000</v>
      </c>
      <c r="BF10" t="str">
        <f t="shared" si="38"/>
        <v>00000000</v>
      </c>
      <c r="BG10" t="str">
        <f t="shared" si="38"/>
        <v>00000000</v>
      </c>
      <c r="BH10" t="str">
        <f t="shared" si="38"/>
        <v>00000000</v>
      </c>
      <c r="BI10" t="str">
        <f t="shared" si="38"/>
        <v>00000000</v>
      </c>
      <c r="BJ10" t="str">
        <f t="shared" si="38"/>
        <v>00000000</v>
      </c>
      <c r="BK10" t="str">
        <f t="shared" si="38"/>
        <v>00000000</v>
      </c>
    </row>
    <row r="11" spans="1:63" x14ac:dyDescent="0.25">
      <c r="E11" t="str">
        <f t="shared" ref="E11:AO11" si="39">CONCATENATE(BIN2HEX(E10,2))</f>
        <v>00</v>
      </c>
      <c r="F11" t="str">
        <f t="shared" si="39"/>
        <v>07</v>
      </c>
      <c r="G11" t="str">
        <f t="shared" si="39"/>
        <v>07</v>
      </c>
      <c r="H11" t="str">
        <f t="shared" si="39"/>
        <v>07</v>
      </c>
      <c r="I11" t="str">
        <f t="shared" si="39"/>
        <v>07</v>
      </c>
      <c r="J11" t="str">
        <f t="shared" si="39"/>
        <v>07</v>
      </c>
      <c r="K11" t="str">
        <f t="shared" si="39"/>
        <v>07</v>
      </c>
      <c r="L11" t="str">
        <f t="shared" si="39"/>
        <v>07</v>
      </c>
      <c r="M11" t="str">
        <f t="shared" si="39"/>
        <v>07</v>
      </c>
      <c r="N11" t="str">
        <f t="shared" si="39"/>
        <v>07</v>
      </c>
      <c r="O11" t="str">
        <f t="shared" si="39"/>
        <v>07</v>
      </c>
      <c r="Q11" t="str">
        <f t="shared" si="39"/>
        <v>F8</v>
      </c>
      <c r="R11" t="str">
        <f t="shared" ref="R11:AA11" si="40">CONCATENATE(BIN2HEX(R10,2))</f>
        <v>F8</v>
      </c>
      <c r="S11" t="str">
        <f t="shared" si="40"/>
        <v>F8</v>
      </c>
      <c r="T11" t="str">
        <f t="shared" si="40"/>
        <v>F8</v>
      </c>
      <c r="U11" t="str">
        <f t="shared" si="40"/>
        <v>F8</v>
      </c>
      <c r="V11" t="str">
        <f t="shared" si="40"/>
        <v>F8</v>
      </c>
      <c r="W11" t="str">
        <f t="shared" si="40"/>
        <v>F8</v>
      </c>
      <c r="X11" t="str">
        <f t="shared" si="40"/>
        <v>F8</v>
      </c>
      <c r="Y11" t="str">
        <f t="shared" si="40"/>
        <v>F8</v>
      </c>
      <c r="Z11" t="str">
        <f t="shared" si="40"/>
        <v>F8</v>
      </c>
      <c r="AA11" t="str">
        <f t="shared" si="40"/>
        <v>F8</v>
      </c>
      <c r="AC11" t="str">
        <f t="shared" si="39"/>
        <v>00</v>
      </c>
      <c r="AD11" t="str">
        <f t="shared" ref="AD11:AM11" si="41">CONCATENATE(BIN2HEX(AD10,2))</f>
        <v>00</v>
      </c>
      <c r="AE11" t="str">
        <f t="shared" si="41"/>
        <v>00</v>
      </c>
      <c r="AF11" t="str">
        <f t="shared" si="41"/>
        <v>00</v>
      </c>
      <c r="AG11" t="str">
        <f t="shared" si="41"/>
        <v>00</v>
      </c>
      <c r="AH11" t="str">
        <f t="shared" si="41"/>
        <v>00</v>
      </c>
      <c r="AI11" t="str">
        <f t="shared" si="41"/>
        <v>00</v>
      </c>
      <c r="AJ11" t="str">
        <f t="shared" si="41"/>
        <v>00</v>
      </c>
      <c r="AK11" t="str">
        <f t="shared" si="41"/>
        <v>00</v>
      </c>
      <c r="AL11" t="str">
        <f t="shared" si="41"/>
        <v>00</v>
      </c>
      <c r="AM11" t="str">
        <f t="shared" si="41"/>
        <v>00</v>
      </c>
      <c r="AO11" t="str">
        <f t="shared" si="39"/>
        <v>00</v>
      </c>
      <c r="AP11" t="str">
        <f t="shared" ref="AP11:AY11" si="42">CONCATENATE(BIN2HEX(AP10,2))</f>
        <v>00</v>
      </c>
      <c r="AQ11" t="str">
        <f t="shared" si="42"/>
        <v>00</v>
      </c>
      <c r="AR11" t="str">
        <f t="shared" si="42"/>
        <v>00</v>
      </c>
      <c r="AS11" t="str">
        <f t="shared" si="42"/>
        <v>00</v>
      </c>
      <c r="AT11" t="str">
        <f t="shared" si="42"/>
        <v>00</v>
      </c>
      <c r="AU11" t="str">
        <f t="shared" si="42"/>
        <v>00</v>
      </c>
      <c r="AV11" t="str">
        <f t="shared" si="42"/>
        <v>00</v>
      </c>
      <c r="AW11" t="str">
        <f t="shared" si="42"/>
        <v>00</v>
      </c>
      <c r="AX11" t="str">
        <f t="shared" si="42"/>
        <v>00</v>
      </c>
      <c r="AY11" t="str">
        <f t="shared" si="42"/>
        <v>00</v>
      </c>
      <c r="BA11" t="str">
        <f t="shared" ref="BA11:BK11" si="43">CONCATENATE(BIN2HEX(BA10,2))</f>
        <v>00</v>
      </c>
      <c r="BB11" t="str">
        <f t="shared" si="43"/>
        <v>00</v>
      </c>
      <c r="BC11" t="str">
        <f t="shared" si="43"/>
        <v>00</v>
      </c>
      <c r="BD11" t="str">
        <f t="shared" si="43"/>
        <v>00</v>
      </c>
      <c r="BE11" t="str">
        <f t="shared" si="43"/>
        <v>00</v>
      </c>
      <c r="BF11" t="str">
        <f t="shared" si="43"/>
        <v>00</v>
      </c>
      <c r="BG11" t="str">
        <f t="shared" si="43"/>
        <v>00</v>
      </c>
      <c r="BH11" t="str">
        <f t="shared" si="43"/>
        <v>00</v>
      </c>
      <c r="BI11" t="str">
        <f t="shared" si="43"/>
        <v>00</v>
      </c>
      <c r="BJ11" t="str">
        <f t="shared" si="43"/>
        <v>00</v>
      </c>
      <c r="BK11" t="str">
        <f t="shared" si="43"/>
        <v>00</v>
      </c>
    </row>
    <row r="13" spans="1:63" s="10" customFormat="1" x14ac:dyDescent="0.25">
      <c r="A13" s="11"/>
      <c r="B13" s="11" t="s">
        <v>298</v>
      </c>
      <c r="C13" s="10" t="s">
        <v>15</v>
      </c>
      <c r="D13" s="10" t="s">
        <v>25</v>
      </c>
      <c r="E13" s="10">
        <v>0</v>
      </c>
      <c r="F13" s="10">
        <v>0</v>
      </c>
      <c r="G13" s="10">
        <v>0</v>
      </c>
      <c r="H13" s="10">
        <f>G13</f>
        <v>0</v>
      </c>
      <c r="I13" s="10">
        <f t="shared" ref="I13:O13" si="44">H13</f>
        <v>0</v>
      </c>
      <c r="J13" s="10">
        <f t="shared" si="44"/>
        <v>0</v>
      </c>
      <c r="K13" s="10">
        <f t="shared" si="44"/>
        <v>0</v>
      </c>
      <c r="L13" s="10">
        <f t="shared" si="44"/>
        <v>0</v>
      </c>
      <c r="M13" s="10">
        <f t="shared" si="44"/>
        <v>0</v>
      </c>
      <c r="N13" s="10">
        <f t="shared" si="44"/>
        <v>0</v>
      </c>
      <c r="O13" s="10">
        <f t="shared" si="44"/>
        <v>0</v>
      </c>
      <c r="Q13" s="10">
        <v>1</v>
      </c>
      <c r="R13" s="10">
        <f>Q13</f>
        <v>1</v>
      </c>
      <c r="S13" s="10">
        <f t="shared" ref="S13:AA13" si="45">R13</f>
        <v>1</v>
      </c>
      <c r="T13" s="10">
        <f t="shared" si="45"/>
        <v>1</v>
      </c>
      <c r="U13" s="10">
        <f t="shared" si="45"/>
        <v>1</v>
      </c>
      <c r="V13" s="10">
        <f t="shared" si="45"/>
        <v>1</v>
      </c>
      <c r="W13" s="10">
        <f t="shared" si="45"/>
        <v>1</v>
      </c>
      <c r="X13" s="10">
        <f t="shared" si="45"/>
        <v>1</v>
      </c>
      <c r="Y13" s="10">
        <f t="shared" si="45"/>
        <v>1</v>
      </c>
      <c r="Z13" s="10">
        <f t="shared" si="45"/>
        <v>1</v>
      </c>
      <c r="AA13" s="10">
        <f t="shared" si="45"/>
        <v>1</v>
      </c>
      <c r="AC13" s="10">
        <v>0</v>
      </c>
      <c r="AD13" s="10">
        <f>AC13</f>
        <v>0</v>
      </c>
      <c r="AE13" s="10">
        <f t="shared" ref="AE13:AM13" si="46">AD13</f>
        <v>0</v>
      </c>
      <c r="AF13" s="10">
        <f t="shared" si="46"/>
        <v>0</v>
      </c>
      <c r="AG13" s="10">
        <f t="shared" si="46"/>
        <v>0</v>
      </c>
      <c r="AH13" s="10">
        <f t="shared" si="46"/>
        <v>0</v>
      </c>
      <c r="AI13" s="10">
        <f t="shared" si="46"/>
        <v>0</v>
      </c>
      <c r="AJ13" s="10">
        <f t="shared" si="46"/>
        <v>0</v>
      </c>
      <c r="AK13" s="10">
        <f t="shared" si="46"/>
        <v>0</v>
      </c>
      <c r="AL13" s="10">
        <f t="shared" si="46"/>
        <v>0</v>
      </c>
      <c r="AM13" s="10">
        <f t="shared" si="46"/>
        <v>0</v>
      </c>
      <c r="AO13" s="10">
        <v>0</v>
      </c>
      <c r="AP13" s="10">
        <f>AO13</f>
        <v>0</v>
      </c>
      <c r="AQ13" s="10">
        <f t="shared" ref="AQ13:AY13" si="47">AP13</f>
        <v>0</v>
      </c>
      <c r="AR13" s="10">
        <f t="shared" si="47"/>
        <v>0</v>
      </c>
      <c r="AS13" s="10">
        <f t="shared" si="47"/>
        <v>0</v>
      </c>
      <c r="AT13" s="10">
        <f t="shared" si="47"/>
        <v>0</v>
      </c>
      <c r="AU13" s="10">
        <f t="shared" si="47"/>
        <v>0</v>
      </c>
      <c r="AV13" s="10">
        <f t="shared" si="47"/>
        <v>0</v>
      </c>
      <c r="AW13" s="10">
        <f t="shared" si="47"/>
        <v>0</v>
      </c>
      <c r="AX13" s="10">
        <f t="shared" si="47"/>
        <v>0</v>
      </c>
      <c r="AY13" s="10">
        <f t="shared" si="47"/>
        <v>0</v>
      </c>
      <c r="BA13" s="10">
        <v>0</v>
      </c>
      <c r="BB13" s="10">
        <f>BA13</f>
        <v>0</v>
      </c>
      <c r="BC13" s="10">
        <f t="shared" ref="BC13:BK13" si="48">BB13</f>
        <v>0</v>
      </c>
      <c r="BD13" s="10">
        <f t="shared" si="48"/>
        <v>0</v>
      </c>
      <c r="BE13" s="10">
        <f t="shared" si="48"/>
        <v>0</v>
      </c>
      <c r="BF13" s="10">
        <f t="shared" si="48"/>
        <v>0</v>
      </c>
      <c r="BG13" s="10">
        <f t="shared" si="48"/>
        <v>0</v>
      </c>
      <c r="BH13" s="10">
        <f t="shared" si="48"/>
        <v>0</v>
      </c>
      <c r="BI13" s="10">
        <f t="shared" si="48"/>
        <v>0</v>
      </c>
      <c r="BJ13" s="10">
        <f t="shared" si="48"/>
        <v>0</v>
      </c>
      <c r="BK13" s="10">
        <f t="shared" si="48"/>
        <v>0</v>
      </c>
    </row>
    <row r="14" spans="1:63" s="10" customFormat="1" x14ac:dyDescent="0.25">
      <c r="A14" s="11"/>
      <c r="B14" s="11" t="s">
        <v>299</v>
      </c>
      <c r="C14" s="10" t="s">
        <v>9</v>
      </c>
      <c r="D14" s="10" t="s">
        <v>26</v>
      </c>
      <c r="E14" s="10">
        <v>0</v>
      </c>
      <c r="F14" s="10">
        <v>1</v>
      </c>
      <c r="G14" s="10">
        <v>1</v>
      </c>
      <c r="H14" s="10">
        <f t="shared" ref="H14:O20" si="49">G14</f>
        <v>1</v>
      </c>
      <c r="I14" s="10">
        <f t="shared" si="49"/>
        <v>1</v>
      </c>
      <c r="J14" s="10">
        <f t="shared" si="49"/>
        <v>1</v>
      </c>
      <c r="K14" s="10">
        <f t="shared" si="49"/>
        <v>1</v>
      </c>
      <c r="L14" s="10">
        <f t="shared" si="49"/>
        <v>1</v>
      </c>
      <c r="M14" s="10">
        <f t="shared" si="49"/>
        <v>1</v>
      </c>
      <c r="N14" s="10">
        <f t="shared" si="49"/>
        <v>1</v>
      </c>
      <c r="O14" s="10">
        <f t="shared" si="49"/>
        <v>1</v>
      </c>
      <c r="Q14" s="10">
        <v>0</v>
      </c>
      <c r="R14" s="10">
        <f t="shared" ref="R14:AA14" si="50">Q14</f>
        <v>0</v>
      </c>
      <c r="S14" s="10">
        <f t="shared" si="50"/>
        <v>0</v>
      </c>
      <c r="T14" s="10">
        <f t="shared" si="50"/>
        <v>0</v>
      </c>
      <c r="U14" s="10">
        <f t="shared" si="50"/>
        <v>0</v>
      </c>
      <c r="V14" s="10">
        <f t="shared" si="50"/>
        <v>0</v>
      </c>
      <c r="W14" s="10">
        <f t="shared" si="50"/>
        <v>0</v>
      </c>
      <c r="X14" s="10">
        <f t="shared" si="50"/>
        <v>0</v>
      </c>
      <c r="Y14" s="10">
        <f t="shared" si="50"/>
        <v>0</v>
      </c>
      <c r="Z14" s="10">
        <f t="shared" si="50"/>
        <v>0</v>
      </c>
      <c r="AA14" s="10">
        <f t="shared" si="50"/>
        <v>0</v>
      </c>
      <c r="AC14" s="10">
        <v>0</v>
      </c>
      <c r="AD14" s="10">
        <f t="shared" ref="AD14:AM14" si="51">AC14</f>
        <v>0</v>
      </c>
      <c r="AE14" s="10">
        <f t="shared" si="51"/>
        <v>0</v>
      </c>
      <c r="AF14" s="10">
        <f t="shared" si="51"/>
        <v>0</v>
      </c>
      <c r="AG14" s="10">
        <f t="shared" si="51"/>
        <v>0</v>
      </c>
      <c r="AH14" s="10">
        <f t="shared" si="51"/>
        <v>0</v>
      </c>
      <c r="AI14" s="10">
        <f t="shared" si="51"/>
        <v>0</v>
      </c>
      <c r="AJ14" s="10">
        <f t="shared" si="51"/>
        <v>0</v>
      </c>
      <c r="AK14" s="10">
        <f t="shared" si="51"/>
        <v>0</v>
      </c>
      <c r="AL14" s="10">
        <f t="shared" si="51"/>
        <v>0</v>
      </c>
      <c r="AM14" s="10">
        <f t="shared" si="51"/>
        <v>0</v>
      </c>
      <c r="AO14" s="10">
        <v>0</v>
      </c>
      <c r="AP14" s="10">
        <f t="shared" ref="AP14:AY14" si="52">AO14</f>
        <v>0</v>
      </c>
      <c r="AQ14" s="10">
        <f t="shared" si="52"/>
        <v>0</v>
      </c>
      <c r="AR14" s="10">
        <f t="shared" si="52"/>
        <v>0</v>
      </c>
      <c r="AS14" s="10">
        <f t="shared" si="52"/>
        <v>0</v>
      </c>
      <c r="AT14" s="10">
        <f t="shared" si="52"/>
        <v>0</v>
      </c>
      <c r="AU14" s="10">
        <f t="shared" si="52"/>
        <v>0</v>
      </c>
      <c r="AV14" s="10">
        <f t="shared" si="52"/>
        <v>0</v>
      </c>
      <c r="AW14" s="10">
        <f t="shared" si="52"/>
        <v>0</v>
      </c>
      <c r="AX14" s="10">
        <f t="shared" si="52"/>
        <v>0</v>
      </c>
      <c r="AY14" s="10">
        <f t="shared" si="52"/>
        <v>0</v>
      </c>
      <c r="BA14" s="10">
        <v>0</v>
      </c>
      <c r="BB14" s="10">
        <f t="shared" ref="BB14:BK14" si="53">BA14</f>
        <v>0</v>
      </c>
      <c r="BC14" s="10">
        <f t="shared" si="53"/>
        <v>0</v>
      </c>
      <c r="BD14" s="10">
        <f t="shared" si="53"/>
        <v>0</v>
      </c>
      <c r="BE14" s="10">
        <f t="shared" si="53"/>
        <v>0</v>
      </c>
      <c r="BF14" s="10">
        <f t="shared" si="53"/>
        <v>0</v>
      </c>
      <c r="BG14" s="10">
        <f t="shared" si="53"/>
        <v>0</v>
      </c>
      <c r="BH14" s="10">
        <f t="shared" si="53"/>
        <v>0</v>
      </c>
      <c r="BI14" s="10">
        <f t="shared" si="53"/>
        <v>0</v>
      </c>
      <c r="BJ14" s="10">
        <f t="shared" si="53"/>
        <v>0</v>
      </c>
      <c r="BK14" s="10">
        <f t="shared" si="53"/>
        <v>0</v>
      </c>
    </row>
    <row r="15" spans="1:63" s="10" customFormat="1" x14ac:dyDescent="0.25">
      <c r="A15" s="11"/>
      <c r="B15" s="11" t="s">
        <v>300</v>
      </c>
      <c r="C15" s="10" t="s">
        <v>10</v>
      </c>
      <c r="D15" s="10" t="s">
        <v>27</v>
      </c>
      <c r="E15" s="10">
        <v>0</v>
      </c>
      <c r="F15" s="10">
        <v>1</v>
      </c>
      <c r="G15" s="10">
        <v>1</v>
      </c>
      <c r="H15" s="10">
        <f t="shared" si="49"/>
        <v>1</v>
      </c>
      <c r="I15" s="10">
        <f t="shared" si="49"/>
        <v>1</v>
      </c>
      <c r="J15" s="10">
        <f t="shared" si="49"/>
        <v>1</v>
      </c>
      <c r="K15" s="10">
        <f t="shared" si="49"/>
        <v>1</v>
      </c>
      <c r="L15" s="10">
        <f t="shared" si="49"/>
        <v>1</v>
      </c>
      <c r="M15" s="10">
        <f t="shared" si="49"/>
        <v>1</v>
      </c>
      <c r="N15" s="10">
        <f t="shared" si="49"/>
        <v>1</v>
      </c>
      <c r="O15" s="10">
        <f t="shared" si="49"/>
        <v>1</v>
      </c>
      <c r="Q15" s="10">
        <v>0</v>
      </c>
      <c r="R15" s="10">
        <f t="shared" ref="R15:AA15" si="54">Q15</f>
        <v>0</v>
      </c>
      <c r="S15" s="10">
        <f t="shared" si="54"/>
        <v>0</v>
      </c>
      <c r="T15" s="10">
        <f t="shared" si="54"/>
        <v>0</v>
      </c>
      <c r="U15" s="10">
        <f t="shared" si="54"/>
        <v>0</v>
      </c>
      <c r="V15" s="10">
        <f t="shared" si="54"/>
        <v>0</v>
      </c>
      <c r="W15" s="10">
        <f t="shared" si="54"/>
        <v>0</v>
      </c>
      <c r="X15" s="10">
        <f t="shared" si="54"/>
        <v>0</v>
      </c>
      <c r="Y15" s="10">
        <f t="shared" si="54"/>
        <v>0</v>
      </c>
      <c r="Z15" s="10">
        <f t="shared" si="54"/>
        <v>0</v>
      </c>
      <c r="AA15" s="10">
        <f t="shared" si="54"/>
        <v>0</v>
      </c>
      <c r="AC15" s="10">
        <v>0</v>
      </c>
      <c r="AD15" s="10">
        <f t="shared" ref="AD15:AM15" si="55">AC15</f>
        <v>0</v>
      </c>
      <c r="AE15" s="10">
        <f t="shared" si="55"/>
        <v>0</v>
      </c>
      <c r="AF15" s="10">
        <f t="shared" si="55"/>
        <v>0</v>
      </c>
      <c r="AG15" s="10">
        <f t="shared" si="55"/>
        <v>0</v>
      </c>
      <c r="AH15" s="10">
        <f t="shared" si="55"/>
        <v>0</v>
      </c>
      <c r="AI15" s="10">
        <f t="shared" si="55"/>
        <v>0</v>
      </c>
      <c r="AJ15" s="10">
        <f t="shared" si="55"/>
        <v>0</v>
      </c>
      <c r="AK15" s="10">
        <f t="shared" si="55"/>
        <v>0</v>
      </c>
      <c r="AL15" s="10">
        <f t="shared" si="55"/>
        <v>0</v>
      </c>
      <c r="AM15" s="10">
        <f t="shared" si="55"/>
        <v>0</v>
      </c>
      <c r="AO15" s="10">
        <v>0</v>
      </c>
      <c r="AP15" s="10">
        <f t="shared" ref="AP15:AY15" si="56">AO15</f>
        <v>0</v>
      </c>
      <c r="AQ15" s="10">
        <f t="shared" si="56"/>
        <v>0</v>
      </c>
      <c r="AR15" s="10">
        <f t="shared" si="56"/>
        <v>0</v>
      </c>
      <c r="AS15" s="10">
        <f t="shared" si="56"/>
        <v>0</v>
      </c>
      <c r="AT15" s="10">
        <f t="shared" si="56"/>
        <v>0</v>
      </c>
      <c r="AU15" s="10">
        <f t="shared" si="56"/>
        <v>0</v>
      </c>
      <c r="AV15" s="10">
        <f t="shared" si="56"/>
        <v>0</v>
      </c>
      <c r="AW15" s="10">
        <f t="shared" si="56"/>
        <v>0</v>
      </c>
      <c r="AX15" s="10">
        <f t="shared" si="56"/>
        <v>0</v>
      </c>
      <c r="AY15" s="10">
        <f t="shared" si="56"/>
        <v>0</v>
      </c>
      <c r="BA15" s="10">
        <v>0</v>
      </c>
      <c r="BB15" s="10">
        <f t="shared" ref="BB15:BK15" si="57">BA15</f>
        <v>0</v>
      </c>
      <c r="BC15" s="10">
        <f t="shared" si="57"/>
        <v>0</v>
      </c>
      <c r="BD15" s="10">
        <f t="shared" si="57"/>
        <v>0</v>
      </c>
      <c r="BE15" s="10">
        <f t="shared" si="57"/>
        <v>0</v>
      </c>
      <c r="BF15" s="10">
        <f t="shared" si="57"/>
        <v>0</v>
      </c>
      <c r="BG15" s="10">
        <f t="shared" si="57"/>
        <v>0</v>
      </c>
      <c r="BH15" s="10">
        <f t="shared" si="57"/>
        <v>0</v>
      </c>
      <c r="BI15" s="10">
        <f t="shared" si="57"/>
        <v>0</v>
      </c>
      <c r="BJ15" s="10">
        <f t="shared" si="57"/>
        <v>0</v>
      </c>
      <c r="BK15" s="10">
        <f t="shared" si="57"/>
        <v>0</v>
      </c>
    </row>
    <row r="16" spans="1:63" s="10" customFormat="1" x14ac:dyDescent="0.25">
      <c r="A16" s="11"/>
      <c r="B16" s="11" t="s">
        <v>301</v>
      </c>
      <c r="C16" s="10" t="s">
        <v>11</v>
      </c>
      <c r="D16" s="10" t="s">
        <v>28</v>
      </c>
      <c r="E16" s="10">
        <v>0</v>
      </c>
      <c r="F16" s="10">
        <v>1</v>
      </c>
      <c r="G16" s="10">
        <v>1</v>
      </c>
      <c r="H16" s="10">
        <f t="shared" si="49"/>
        <v>1</v>
      </c>
      <c r="I16" s="10">
        <f t="shared" si="49"/>
        <v>1</v>
      </c>
      <c r="J16" s="10">
        <f t="shared" si="49"/>
        <v>1</v>
      </c>
      <c r="K16" s="10">
        <f t="shared" si="49"/>
        <v>1</v>
      </c>
      <c r="L16" s="10">
        <f t="shared" si="49"/>
        <v>1</v>
      </c>
      <c r="M16" s="10">
        <f t="shared" si="49"/>
        <v>1</v>
      </c>
      <c r="N16" s="10">
        <f t="shared" si="49"/>
        <v>1</v>
      </c>
      <c r="O16" s="10">
        <f t="shared" si="49"/>
        <v>1</v>
      </c>
      <c r="Q16" s="10">
        <v>0</v>
      </c>
      <c r="R16" s="10">
        <f t="shared" ref="R16:AA16" si="58">Q16</f>
        <v>0</v>
      </c>
      <c r="S16" s="10">
        <f t="shared" si="58"/>
        <v>0</v>
      </c>
      <c r="T16" s="10">
        <f t="shared" si="58"/>
        <v>0</v>
      </c>
      <c r="U16" s="10">
        <f t="shared" si="58"/>
        <v>0</v>
      </c>
      <c r="V16" s="10">
        <f t="shared" si="58"/>
        <v>0</v>
      </c>
      <c r="W16" s="10">
        <f t="shared" si="58"/>
        <v>0</v>
      </c>
      <c r="X16" s="10">
        <f t="shared" si="58"/>
        <v>0</v>
      </c>
      <c r="Y16" s="10">
        <f t="shared" si="58"/>
        <v>0</v>
      </c>
      <c r="Z16" s="10">
        <f t="shared" si="58"/>
        <v>0</v>
      </c>
      <c r="AA16" s="10">
        <f t="shared" si="58"/>
        <v>0</v>
      </c>
      <c r="AC16" s="10">
        <v>0</v>
      </c>
      <c r="AD16" s="10">
        <f t="shared" ref="AD16:AM16" si="59">AC16</f>
        <v>0</v>
      </c>
      <c r="AE16" s="10">
        <f t="shared" si="59"/>
        <v>0</v>
      </c>
      <c r="AF16" s="10">
        <f t="shared" si="59"/>
        <v>0</v>
      </c>
      <c r="AG16" s="10">
        <f t="shared" si="59"/>
        <v>0</v>
      </c>
      <c r="AH16" s="10">
        <f t="shared" si="59"/>
        <v>0</v>
      </c>
      <c r="AI16" s="10">
        <f t="shared" si="59"/>
        <v>0</v>
      </c>
      <c r="AJ16" s="10">
        <f t="shared" si="59"/>
        <v>0</v>
      </c>
      <c r="AK16" s="10">
        <f t="shared" si="59"/>
        <v>0</v>
      </c>
      <c r="AL16" s="10">
        <f t="shared" si="59"/>
        <v>0</v>
      </c>
      <c r="AM16" s="10">
        <f t="shared" si="59"/>
        <v>0</v>
      </c>
      <c r="AO16" s="10">
        <v>0</v>
      </c>
      <c r="AP16" s="10">
        <f t="shared" ref="AP16:AY16" si="60">AO16</f>
        <v>0</v>
      </c>
      <c r="AQ16" s="10">
        <f t="shared" si="60"/>
        <v>0</v>
      </c>
      <c r="AR16" s="10">
        <f t="shared" si="60"/>
        <v>0</v>
      </c>
      <c r="AS16" s="10">
        <f t="shared" si="60"/>
        <v>0</v>
      </c>
      <c r="AT16" s="10">
        <f t="shared" si="60"/>
        <v>0</v>
      </c>
      <c r="AU16" s="10">
        <f t="shared" si="60"/>
        <v>0</v>
      </c>
      <c r="AV16" s="10">
        <f t="shared" si="60"/>
        <v>0</v>
      </c>
      <c r="AW16" s="10">
        <f t="shared" si="60"/>
        <v>0</v>
      </c>
      <c r="AX16" s="10">
        <f t="shared" si="60"/>
        <v>0</v>
      </c>
      <c r="AY16" s="10">
        <f t="shared" si="60"/>
        <v>0</v>
      </c>
      <c r="BA16" s="10">
        <v>0</v>
      </c>
      <c r="BB16" s="10">
        <f t="shared" ref="BB16:BK16" si="61">BA16</f>
        <v>0</v>
      </c>
      <c r="BC16" s="10">
        <f t="shared" si="61"/>
        <v>0</v>
      </c>
      <c r="BD16" s="10">
        <f t="shared" si="61"/>
        <v>0</v>
      </c>
      <c r="BE16" s="10">
        <f t="shared" si="61"/>
        <v>0</v>
      </c>
      <c r="BF16" s="10">
        <f t="shared" si="61"/>
        <v>0</v>
      </c>
      <c r="BG16" s="10">
        <f t="shared" si="61"/>
        <v>0</v>
      </c>
      <c r="BH16" s="10">
        <f t="shared" si="61"/>
        <v>0</v>
      </c>
      <c r="BI16" s="10">
        <f t="shared" si="61"/>
        <v>0</v>
      </c>
      <c r="BJ16" s="10">
        <f t="shared" si="61"/>
        <v>0</v>
      </c>
      <c r="BK16" s="10">
        <f t="shared" si="61"/>
        <v>0</v>
      </c>
    </row>
    <row r="17" spans="1:63" s="10" customFormat="1" x14ac:dyDescent="0.25">
      <c r="A17" s="11"/>
      <c r="B17" s="11" t="s">
        <v>302</v>
      </c>
      <c r="C17" s="10" t="s">
        <v>12</v>
      </c>
      <c r="D17" s="10" t="s">
        <v>29</v>
      </c>
      <c r="E17" s="10">
        <v>0</v>
      </c>
      <c r="F17" s="10">
        <v>1</v>
      </c>
      <c r="G17" s="10">
        <v>1</v>
      </c>
      <c r="H17" s="10">
        <f t="shared" si="49"/>
        <v>1</v>
      </c>
      <c r="I17" s="10">
        <f t="shared" si="49"/>
        <v>1</v>
      </c>
      <c r="J17" s="10">
        <f t="shared" si="49"/>
        <v>1</v>
      </c>
      <c r="K17" s="10">
        <f t="shared" si="49"/>
        <v>1</v>
      </c>
      <c r="L17" s="10">
        <f t="shared" si="49"/>
        <v>1</v>
      </c>
      <c r="M17" s="10">
        <f t="shared" si="49"/>
        <v>1</v>
      </c>
      <c r="N17" s="10">
        <f t="shared" si="49"/>
        <v>1</v>
      </c>
      <c r="O17" s="10">
        <f t="shared" si="49"/>
        <v>1</v>
      </c>
      <c r="Q17" s="10">
        <v>0</v>
      </c>
      <c r="R17" s="10">
        <f t="shared" ref="R17:AA17" si="62">Q17</f>
        <v>0</v>
      </c>
      <c r="S17" s="10">
        <f t="shared" si="62"/>
        <v>0</v>
      </c>
      <c r="T17" s="10">
        <f t="shared" si="62"/>
        <v>0</v>
      </c>
      <c r="U17" s="10">
        <f t="shared" si="62"/>
        <v>0</v>
      </c>
      <c r="V17" s="10">
        <f t="shared" si="62"/>
        <v>0</v>
      </c>
      <c r="W17" s="10">
        <f t="shared" si="62"/>
        <v>0</v>
      </c>
      <c r="X17" s="10">
        <f t="shared" si="62"/>
        <v>0</v>
      </c>
      <c r="Y17" s="10">
        <f t="shared" si="62"/>
        <v>0</v>
      </c>
      <c r="Z17" s="10">
        <f t="shared" si="62"/>
        <v>0</v>
      </c>
      <c r="AA17" s="10">
        <f t="shared" si="62"/>
        <v>0</v>
      </c>
      <c r="AC17" s="10">
        <v>0</v>
      </c>
      <c r="AD17" s="10">
        <f t="shared" ref="AD17:AM17" si="63">AC17</f>
        <v>0</v>
      </c>
      <c r="AE17" s="10">
        <f t="shared" si="63"/>
        <v>0</v>
      </c>
      <c r="AF17" s="10">
        <f t="shared" si="63"/>
        <v>0</v>
      </c>
      <c r="AG17" s="10">
        <f t="shared" si="63"/>
        <v>0</v>
      </c>
      <c r="AH17" s="10">
        <f t="shared" si="63"/>
        <v>0</v>
      </c>
      <c r="AI17" s="10">
        <f t="shared" si="63"/>
        <v>0</v>
      </c>
      <c r="AJ17" s="10">
        <f t="shared" si="63"/>
        <v>0</v>
      </c>
      <c r="AK17" s="10">
        <f t="shared" si="63"/>
        <v>0</v>
      </c>
      <c r="AL17" s="10">
        <f t="shared" si="63"/>
        <v>0</v>
      </c>
      <c r="AM17" s="10">
        <f t="shared" si="63"/>
        <v>0</v>
      </c>
      <c r="AO17" s="10">
        <v>0</v>
      </c>
      <c r="AP17" s="10">
        <f t="shared" ref="AP17:AY17" si="64">AO17</f>
        <v>0</v>
      </c>
      <c r="AQ17" s="10">
        <f t="shared" si="64"/>
        <v>0</v>
      </c>
      <c r="AR17" s="10">
        <f t="shared" si="64"/>
        <v>0</v>
      </c>
      <c r="AS17" s="10">
        <f t="shared" si="64"/>
        <v>0</v>
      </c>
      <c r="AT17" s="10">
        <f t="shared" si="64"/>
        <v>0</v>
      </c>
      <c r="AU17" s="10">
        <f t="shared" si="64"/>
        <v>0</v>
      </c>
      <c r="AV17" s="10">
        <f t="shared" si="64"/>
        <v>0</v>
      </c>
      <c r="AW17" s="10">
        <f t="shared" si="64"/>
        <v>0</v>
      </c>
      <c r="AX17" s="10">
        <f t="shared" si="64"/>
        <v>0</v>
      </c>
      <c r="AY17" s="10">
        <f t="shared" si="64"/>
        <v>0</v>
      </c>
      <c r="BA17" s="10">
        <v>0</v>
      </c>
      <c r="BB17" s="10">
        <f t="shared" ref="BB17:BK17" si="65">BA17</f>
        <v>0</v>
      </c>
      <c r="BC17" s="10">
        <f t="shared" si="65"/>
        <v>0</v>
      </c>
      <c r="BD17" s="10">
        <f t="shared" si="65"/>
        <v>0</v>
      </c>
      <c r="BE17" s="10">
        <f t="shared" si="65"/>
        <v>0</v>
      </c>
      <c r="BF17" s="10">
        <f t="shared" si="65"/>
        <v>0</v>
      </c>
      <c r="BG17" s="10">
        <f t="shared" si="65"/>
        <v>0</v>
      </c>
      <c r="BH17" s="10">
        <f t="shared" si="65"/>
        <v>0</v>
      </c>
      <c r="BI17" s="10">
        <f t="shared" si="65"/>
        <v>0</v>
      </c>
      <c r="BJ17" s="10">
        <f t="shared" si="65"/>
        <v>0</v>
      </c>
      <c r="BK17" s="10">
        <f t="shared" si="65"/>
        <v>0</v>
      </c>
    </row>
    <row r="18" spans="1:63" s="10" customFormat="1" x14ac:dyDescent="0.25">
      <c r="A18" s="11"/>
      <c r="B18" s="11" t="s">
        <v>303</v>
      </c>
      <c r="C18" s="10" t="s">
        <v>14</v>
      </c>
      <c r="D18" s="10" t="s">
        <v>30</v>
      </c>
      <c r="E18" s="10">
        <v>1</v>
      </c>
      <c r="F18" s="10">
        <v>0</v>
      </c>
      <c r="G18" s="10">
        <v>1</v>
      </c>
      <c r="H18" s="10">
        <f t="shared" si="49"/>
        <v>1</v>
      </c>
      <c r="I18" s="10">
        <v>0</v>
      </c>
      <c r="J18" s="10">
        <f t="shared" si="49"/>
        <v>0</v>
      </c>
      <c r="K18" s="10">
        <f t="shared" si="49"/>
        <v>0</v>
      </c>
      <c r="L18" s="10">
        <f t="shared" si="49"/>
        <v>0</v>
      </c>
      <c r="M18" s="10">
        <f t="shared" si="49"/>
        <v>0</v>
      </c>
      <c r="N18" s="10">
        <f t="shared" si="49"/>
        <v>0</v>
      </c>
      <c r="O18" s="10">
        <f t="shared" si="49"/>
        <v>0</v>
      </c>
      <c r="Q18" s="10">
        <v>0</v>
      </c>
      <c r="R18" s="10">
        <f t="shared" ref="R18:AA18" si="66">Q18</f>
        <v>0</v>
      </c>
      <c r="S18" s="10">
        <f t="shared" si="66"/>
        <v>0</v>
      </c>
      <c r="T18" s="10">
        <f t="shared" si="66"/>
        <v>0</v>
      </c>
      <c r="U18" s="10">
        <f t="shared" si="66"/>
        <v>0</v>
      </c>
      <c r="V18" s="10">
        <f t="shared" si="66"/>
        <v>0</v>
      </c>
      <c r="W18" s="10">
        <f t="shared" si="66"/>
        <v>0</v>
      </c>
      <c r="X18" s="10">
        <f t="shared" si="66"/>
        <v>0</v>
      </c>
      <c r="Y18" s="10">
        <f t="shared" si="66"/>
        <v>0</v>
      </c>
      <c r="Z18" s="10">
        <f t="shared" si="66"/>
        <v>0</v>
      </c>
      <c r="AA18" s="10">
        <f t="shared" si="66"/>
        <v>0</v>
      </c>
      <c r="AC18" s="10">
        <v>0</v>
      </c>
      <c r="AD18" s="10">
        <f t="shared" ref="AD18:AM18" si="67">AC18</f>
        <v>0</v>
      </c>
      <c r="AE18" s="10">
        <f t="shared" si="67"/>
        <v>0</v>
      </c>
      <c r="AF18" s="10">
        <f t="shared" si="67"/>
        <v>0</v>
      </c>
      <c r="AG18" s="10">
        <f t="shared" si="67"/>
        <v>0</v>
      </c>
      <c r="AH18" s="10">
        <f t="shared" si="67"/>
        <v>0</v>
      </c>
      <c r="AI18" s="10">
        <f t="shared" si="67"/>
        <v>0</v>
      </c>
      <c r="AJ18" s="10">
        <f t="shared" si="67"/>
        <v>0</v>
      </c>
      <c r="AK18" s="10">
        <f t="shared" si="67"/>
        <v>0</v>
      </c>
      <c r="AL18" s="10">
        <f t="shared" si="67"/>
        <v>0</v>
      </c>
      <c r="AM18" s="10">
        <f t="shared" si="67"/>
        <v>0</v>
      </c>
      <c r="AO18" s="10">
        <v>0</v>
      </c>
      <c r="AP18" s="10">
        <f t="shared" ref="AP18:AY18" si="68">AO18</f>
        <v>0</v>
      </c>
      <c r="AQ18" s="10">
        <f t="shared" si="68"/>
        <v>0</v>
      </c>
      <c r="AR18" s="10">
        <f t="shared" si="68"/>
        <v>0</v>
      </c>
      <c r="AS18" s="10">
        <f t="shared" si="68"/>
        <v>0</v>
      </c>
      <c r="AT18" s="10">
        <f t="shared" si="68"/>
        <v>0</v>
      </c>
      <c r="AU18" s="10">
        <f t="shared" si="68"/>
        <v>0</v>
      </c>
      <c r="AV18" s="10">
        <f t="shared" si="68"/>
        <v>0</v>
      </c>
      <c r="AW18" s="10">
        <f t="shared" si="68"/>
        <v>0</v>
      </c>
      <c r="AX18" s="10">
        <f t="shared" si="68"/>
        <v>0</v>
      </c>
      <c r="AY18" s="10">
        <f t="shared" si="68"/>
        <v>0</v>
      </c>
      <c r="BA18" s="10">
        <v>0</v>
      </c>
      <c r="BB18" s="10">
        <f t="shared" ref="BB18:BK18" si="69">BA18</f>
        <v>0</v>
      </c>
      <c r="BC18" s="10">
        <f t="shared" si="69"/>
        <v>0</v>
      </c>
      <c r="BD18" s="10">
        <f t="shared" si="69"/>
        <v>0</v>
      </c>
      <c r="BE18" s="10">
        <f t="shared" si="69"/>
        <v>0</v>
      </c>
      <c r="BF18" s="10">
        <f t="shared" si="69"/>
        <v>0</v>
      </c>
      <c r="BG18" s="10">
        <f t="shared" si="69"/>
        <v>0</v>
      </c>
      <c r="BH18" s="10">
        <f t="shared" si="69"/>
        <v>0</v>
      </c>
      <c r="BI18" s="10">
        <f t="shared" si="69"/>
        <v>0</v>
      </c>
      <c r="BJ18" s="10">
        <f t="shared" si="69"/>
        <v>0</v>
      </c>
      <c r="BK18" s="10">
        <f t="shared" si="69"/>
        <v>0</v>
      </c>
    </row>
    <row r="19" spans="1:63" s="10" customFormat="1" x14ac:dyDescent="0.25">
      <c r="A19" s="11"/>
      <c r="B19" s="11" t="s">
        <v>304</v>
      </c>
      <c r="C19" s="10" t="s">
        <v>13</v>
      </c>
      <c r="D19" s="10" t="s">
        <v>31</v>
      </c>
      <c r="E19" s="10">
        <v>0</v>
      </c>
      <c r="F19" s="10">
        <v>1</v>
      </c>
      <c r="G19" s="10">
        <v>1</v>
      </c>
      <c r="H19" s="10">
        <f t="shared" si="49"/>
        <v>1</v>
      </c>
      <c r="I19" s="10">
        <f t="shared" si="49"/>
        <v>1</v>
      </c>
      <c r="J19" s="10">
        <f t="shared" si="49"/>
        <v>1</v>
      </c>
      <c r="K19" s="10">
        <f t="shared" si="49"/>
        <v>1</v>
      </c>
      <c r="L19" s="10">
        <f t="shared" si="49"/>
        <v>1</v>
      </c>
      <c r="M19" s="10">
        <f t="shared" si="49"/>
        <v>1</v>
      </c>
      <c r="N19" s="10">
        <f t="shared" si="49"/>
        <v>1</v>
      </c>
      <c r="O19" s="10">
        <f t="shared" si="49"/>
        <v>1</v>
      </c>
      <c r="Q19" s="10">
        <v>0</v>
      </c>
      <c r="R19" s="10">
        <f t="shared" ref="R19:AA19" si="70">Q19</f>
        <v>0</v>
      </c>
      <c r="S19" s="10">
        <f t="shared" si="70"/>
        <v>0</v>
      </c>
      <c r="T19" s="10">
        <f t="shared" si="70"/>
        <v>0</v>
      </c>
      <c r="U19" s="10">
        <f t="shared" si="70"/>
        <v>0</v>
      </c>
      <c r="V19" s="10">
        <f t="shared" si="70"/>
        <v>0</v>
      </c>
      <c r="W19" s="10">
        <f t="shared" si="70"/>
        <v>0</v>
      </c>
      <c r="X19" s="10">
        <f t="shared" si="70"/>
        <v>0</v>
      </c>
      <c r="Y19" s="10">
        <f t="shared" si="70"/>
        <v>0</v>
      </c>
      <c r="Z19" s="10">
        <f t="shared" si="70"/>
        <v>0</v>
      </c>
      <c r="AA19" s="10">
        <f t="shared" si="70"/>
        <v>0</v>
      </c>
      <c r="AC19" s="10">
        <v>0</v>
      </c>
      <c r="AD19" s="10">
        <f t="shared" ref="AD19:AM19" si="71">AC19</f>
        <v>0</v>
      </c>
      <c r="AE19" s="10">
        <f t="shared" si="71"/>
        <v>0</v>
      </c>
      <c r="AF19" s="10">
        <f t="shared" si="71"/>
        <v>0</v>
      </c>
      <c r="AG19" s="10">
        <f t="shared" si="71"/>
        <v>0</v>
      </c>
      <c r="AH19" s="10">
        <f t="shared" si="71"/>
        <v>0</v>
      </c>
      <c r="AI19" s="10">
        <f t="shared" si="71"/>
        <v>0</v>
      </c>
      <c r="AJ19" s="10">
        <f t="shared" si="71"/>
        <v>0</v>
      </c>
      <c r="AK19" s="10">
        <f t="shared" si="71"/>
        <v>0</v>
      </c>
      <c r="AL19" s="10">
        <f t="shared" si="71"/>
        <v>0</v>
      </c>
      <c r="AM19" s="10">
        <f t="shared" si="71"/>
        <v>0</v>
      </c>
      <c r="AO19" s="10">
        <v>0</v>
      </c>
      <c r="AP19" s="10">
        <f t="shared" ref="AP19:AY19" si="72">AO19</f>
        <v>0</v>
      </c>
      <c r="AQ19" s="10">
        <f t="shared" si="72"/>
        <v>0</v>
      </c>
      <c r="AR19" s="10">
        <f t="shared" si="72"/>
        <v>0</v>
      </c>
      <c r="AS19" s="10">
        <f t="shared" si="72"/>
        <v>0</v>
      </c>
      <c r="AT19" s="10">
        <f t="shared" si="72"/>
        <v>0</v>
      </c>
      <c r="AU19" s="10">
        <f t="shared" si="72"/>
        <v>0</v>
      </c>
      <c r="AV19" s="10">
        <f t="shared" si="72"/>
        <v>0</v>
      </c>
      <c r="AW19" s="10">
        <f t="shared" si="72"/>
        <v>0</v>
      </c>
      <c r="AX19" s="10">
        <f t="shared" si="72"/>
        <v>0</v>
      </c>
      <c r="AY19" s="10">
        <f t="shared" si="72"/>
        <v>0</v>
      </c>
      <c r="BA19" s="10">
        <v>0</v>
      </c>
      <c r="BB19" s="10">
        <f t="shared" ref="BB19:BK19" si="73">BA19</f>
        <v>0</v>
      </c>
      <c r="BC19" s="10">
        <f t="shared" si="73"/>
        <v>0</v>
      </c>
      <c r="BD19" s="10">
        <f t="shared" si="73"/>
        <v>0</v>
      </c>
      <c r="BE19" s="10">
        <f t="shared" si="73"/>
        <v>0</v>
      </c>
      <c r="BF19" s="10">
        <f t="shared" si="73"/>
        <v>0</v>
      </c>
      <c r="BG19" s="10">
        <f t="shared" si="73"/>
        <v>0</v>
      </c>
      <c r="BH19" s="10">
        <f t="shared" si="73"/>
        <v>0</v>
      </c>
      <c r="BI19" s="10">
        <f t="shared" si="73"/>
        <v>0</v>
      </c>
      <c r="BJ19" s="10">
        <f t="shared" si="73"/>
        <v>0</v>
      </c>
      <c r="BK19" s="10">
        <f t="shared" si="73"/>
        <v>0</v>
      </c>
    </row>
    <row r="20" spans="1:63" s="10" customFormat="1" x14ac:dyDescent="0.25">
      <c r="A20" s="11"/>
      <c r="B20" s="11" t="s">
        <v>305</v>
      </c>
      <c r="C20" s="10" t="s">
        <v>15</v>
      </c>
      <c r="E20" s="10">
        <v>0</v>
      </c>
      <c r="F20" s="10">
        <v>0</v>
      </c>
      <c r="G20" s="10">
        <v>0</v>
      </c>
      <c r="H20" s="10">
        <f t="shared" si="49"/>
        <v>0</v>
      </c>
      <c r="I20" s="10">
        <f t="shared" si="49"/>
        <v>0</v>
      </c>
      <c r="J20" s="10">
        <f t="shared" si="49"/>
        <v>0</v>
      </c>
      <c r="K20" s="10">
        <f t="shared" si="49"/>
        <v>0</v>
      </c>
      <c r="L20" s="10">
        <f t="shared" si="49"/>
        <v>0</v>
      </c>
      <c r="M20" s="10">
        <f t="shared" si="49"/>
        <v>0</v>
      </c>
      <c r="N20" s="10">
        <f t="shared" si="49"/>
        <v>0</v>
      </c>
      <c r="O20" s="10">
        <f t="shared" si="49"/>
        <v>0</v>
      </c>
      <c r="Q20" s="10">
        <v>1</v>
      </c>
      <c r="R20" s="10">
        <f t="shared" ref="R20:AA20" si="74">Q20</f>
        <v>1</v>
      </c>
      <c r="S20" s="10">
        <f t="shared" si="74"/>
        <v>1</v>
      </c>
      <c r="T20" s="10">
        <f t="shared" si="74"/>
        <v>1</v>
      </c>
      <c r="U20" s="10">
        <f t="shared" si="74"/>
        <v>1</v>
      </c>
      <c r="V20" s="10">
        <f t="shared" si="74"/>
        <v>1</v>
      </c>
      <c r="W20" s="10">
        <f t="shared" si="74"/>
        <v>1</v>
      </c>
      <c r="X20" s="10">
        <f t="shared" si="74"/>
        <v>1</v>
      </c>
      <c r="Y20" s="10">
        <f t="shared" si="74"/>
        <v>1</v>
      </c>
      <c r="Z20" s="10">
        <f t="shared" si="74"/>
        <v>1</v>
      </c>
      <c r="AA20" s="10">
        <f t="shared" si="74"/>
        <v>1</v>
      </c>
      <c r="AC20" s="10">
        <v>0</v>
      </c>
      <c r="AD20" s="10">
        <f t="shared" ref="AD20:AM20" si="75">AC20</f>
        <v>0</v>
      </c>
      <c r="AE20" s="10">
        <f t="shared" si="75"/>
        <v>0</v>
      </c>
      <c r="AF20" s="10">
        <f t="shared" si="75"/>
        <v>0</v>
      </c>
      <c r="AG20" s="10">
        <f t="shared" si="75"/>
        <v>0</v>
      </c>
      <c r="AH20" s="10">
        <f t="shared" si="75"/>
        <v>0</v>
      </c>
      <c r="AI20" s="10">
        <f t="shared" si="75"/>
        <v>0</v>
      </c>
      <c r="AJ20" s="10">
        <f t="shared" si="75"/>
        <v>0</v>
      </c>
      <c r="AK20" s="10">
        <f t="shared" si="75"/>
        <v>0</v>
      </c>
      <c r="AL20" s="10">
        <f t="shared" si="75"/>
        <v>0</v>
      </c>
      <c r="AM20" s="10">
        <f t="shared" si="75"/>
        <v>0</v>
      </c>
      <c r="AO20" s="10">
        <v>0</v>
      </c>
      <c r="AP20" s="10">
        <f t="shared" ref="AP20:AY20" si="76">AO20</f>
        <v>0</v>
      </c>
      <c r="AQ20" s="10">
        <f t="shared" si="76"/>
        <v>0</v>
      </c>
      <c r="AR20" s="10">
        <f t="shared" si="76"/>
        <v>0</v>
      </c>
      <c r="AS20" s="10">
        <f t="shared" si="76"/>
        <v>0</v>
      </c>
      <c r="AT20" s="10">
        <f t="shared" si="76"/>
        <v>0</v>
      </c>
      <c r="AU20" s="10">
        <f t="shared" si="76"/>
        <v>0</v>
      </c>
      <c r="AV20" s="10">
        <f t="shared" si="76"/>
        <v>0</v>
      </c>
      <c r="AW20" s="10">
        <f t="shared" si="76"/>
        <v>0</v>
      </c>
      <c r="AX20" s="10">
        <f t="shared" si="76"/>
        <v>0</v>
      </c>
      <c r="AY20" s="10">
        <f t="shared" si="76"/>
        <v>0</v>
      </c>
      <c r="BA20" s="10">
        <v>0</v>
      </c>
      <c r="BB20" s="10">
        <f t="shared" ref="BB20:BK20" si="77">BA20</f>
        <v>0</v>
      </c>
      <c r="BC20" s="10">
        <f t="shared" si="77"/>
        <v>0</v>
      </c>
      <c r="BD20" s="10">
        <f t="shared" si="77"/>
        <v>0</v>
      </c>
      <c r="BE20" s="10">
        <f t="shared" si="77"/>
        <v>0</v>
      </c>
      <c r="BF20" s="10">
        <f t="shared" si="77"/>
        <v>0</v>
      </c>
      <c r="BG20" s="10">
        <f t="shared" si="77"/>
        <v>0</v>
      </c>
      <c r="BH20" s="10">
        <f t="shared" si="77"/>
        <v>0</v>
      </c>
      <c r="BI20" s="10">
        <f t="shared" si="77"/>
        <v>0</v>
      </c>
      <c r="BJ20" s="10">
        <f t="shared" si="77"/>
        <v>0</v>
      </c>
      <c r="BK20" s="10">
        <f t="shared" si="77"/>
        <v>0</v>
      </c>
    </row>
    <row r="21" spans="1:63" x14ac:dyDescent="0.25">
      <c r="E21" t="str">
        <f t="shared" ref="E21:AM21" si="78">CONCATENATE(E20,E19,E18,E17,E16,E15,E14,E13)</f>
        <v>00100000</v>
      </c>
      <c r="F21" t="str">
        <f t="shared" si="78"/>
        <v>01011110</v>
      </c>
      <c r="G21" t="str">
        <f t="shared" si="78"/>
        <v>01111110</v>
      </c>
      <c r="H21" t="str">
        <f t="shared" si="78"/>
        <v>01111110</v>
      </c>
      <c r="I21" t="str">
        <f t="shared" si="78"/>
        <v>01011110</v>
      </c>
      <c r="J21" t="str">
        <f t="shared" si="78"/>
        <v>01011110</v>
      </c>
      <c r="K21" t="str">
        <f t="shared" si="78"/>
        <v>01011110</v>
      </c>
      <c r="L21" t="str">
        <f t="shared" si="78"/>
        <v>01011110</v>
      </c>
      <c r="M21" t="str">
        <f t="shared" si="78"/>
        <v>01011110</v>
      </c>
      <c r="N21" t="str">
        <f t="shared" si="78"/>
        <v>01011110</v>
      </c>
      <c r="O21" t="str">
        <f t="shared" si="78"/>
        <v>01011110</v>
      </c>
      <c r="Q21" t="str">
        <f t="shared" si="78"/>
        <v>10000001</v>
      </c>
      <c r="R21" t="str">
        <f t="shared" si="78"/>
        <v>10000001</v>
      </c>
      <c r="S21" t="str">
        <f t="shared" si="78"/>
        <v>10000001</v>
      </c>
      <c r="T21" t="str">
        <f t="shared" si="78"/>
        <v>10000001</v>
      </c>
      <c r="U21" t="str">
        <f t="shared" si="78"/>
        <v>10000001</v>
      </c>
      <c r="V21" t="str">
        <f t="shared" si="78"/>
        <v>10000001</v>
      </c>
      <c r="W21" t="str">
        <f t="shared" si="78"/>
        <v>10000001</v>
      </c>
      <c r="X21" t="str">
        <f t="shared" si="78"/>
        <v>10000001</v>
      </c>
      <c r="Y21" t="str">
        <f t="shared" si="78"/>
        <v>10000001</v>
      </c>
      <c r="Z21" t="str">
        <f t="shared" si="78"/>
        <v>10000001</v>
      </c>
      <c r="AA21" t="str">
        <f t="shared" si="78"/>
        <v>10000001</v>
      </c>
      <c r="AC21" t="str">
        <f t="shared" si="78"/>
        <v>00000000</v>
      </c>
      <c r="AD21" t="str">
        <f t="shared" si="78"/>
        <v>00000000</v>
      </c>
      <c r="AE21" t="str">
        <f t="shared" si="78"/>
        <v>00000000</v>
      </c>
      <c r="AF21" t="str">
        <f t="shared" si="78"/>
        <v>00000000</v>
      </c>
      <c r="AG21" t="str">
        <f t="shared" si="78"/>
        <v>00000000</v>
      </c>
      <c r="AH21" t="str">
        <f t="shared" si="78"/>
        <v>00000000</v>
      </c>
      <c r="AI21" t="str">
        <f t="shared" si="78"/>
        <v>00000000</v>
      </c>
      <c r="AJ21" t="str">
        <f t="shared" si="78"/>
        <v>00000000</v>
      </c>
      <c r="AK21" t="str">
        <f t="shared" si="78"/>
        <v>00000000</v>
      </c>
      <c r="AL21" t="str">
        <f t="shared" si="78"/>
        <v>00000000</v>
      </c>
      <c r="AM21" t="str">
        <f t="shared" si="78"/>
        <v>00000000</v>
      </c>
      <c r="AO21" t="str">
        <f t="shared" ref="AO21:AY21" si="79">CONCATENATE(AO20,AO19,AO18,AO17,AO16,AO15,AO14,AO13)</f>
        <v>00000000</v>
      </c>
      <c r="AP21" t="str">
        <f t="shared" si="79"/>
        <v>00000000</v>
      </c>
      <c r="AQ21" t="str">
        <f t="shared" si="79"/>
        <v>00000000</v>
      </c>
      <c r="AR21" t="str">
        <f t="shared" si="79"/>
        <v>00000000</v>
      </c>
      <c r="AS21" t="str">
        <f t="shared" si="79"/>
        <v>00000000</v>
      </c>
      <c r="AT21" t="str">
        <f t="shared" si="79"/>
        <v>00000000</v>
      </c>
      <c r="AU21" t="str">
        <f t="shared" si="79"/>
        <v>00000000</v>
      </c>
      <c r="AV21" t="str">
        <f t="shared" si="79"/>
        <v>00000000</v>
      </c>
      <c r="AW21" t="str">
        <f t="shared" si="79"/>
        <v>00000000</v>
      </c>
      <c r="AX21" t="str">
        <f t="shared" si="79"/>
        <v>00000000</v>
      </c>
      <c r="AY21" t="str">
        <f t="shared" si="79"/>
        <v>00000000</v>
      </c>
      <c r="BA21" t="str">
        <f t="shared" ref="BA21:BK21" si="80">CONCATENATE(BA20,BA19,BA18,BA17,BA16,BA15,BA14,BA13)</f>
        <v>00000000</v>
      </c>
      <c r="BB21" t="str">
        <f t="shared" si="80"/>
        <v>00000000</v>
      </c>
      <c r="BC21" t="str">
        <f t="shared" si="80"/>
        <v>00000000</v>
      </c>
      <c r="BD21" t="str">
        <f t="shared" si="80"/>
        <v>00000000</v>
      </c>
      <c r="BE21" t="str">
        <f t="shared" si="80"/>
        <v>00000000</v>
      </c>
      <c r="BF21" t="str">
        <f t="shared" si="80"/>
        <v>00000000</v>
      </c>
      <c r="BG21" t="str">
        <f t="shared" si="80"/>
        <v>00000000</v>
      </c>
      <c r="BH21" t="str">
        <f t="shared" si="80"/>
        <v>00000000</v>
      </c>
      <c r="BI21" t="str">
        <f t="shared" si="80"/>
        <v>00000000</v>
      </c>
      <c r="BJ21" t="str">
        <f t="shared" si="80"/>
        <v>00000000</v>
      </c>
      <c r="BK21" t="str">
        <f t="shared" si="80"/>
        <v>00000000</v>
      </c>
    </row>
    <row r="22" spans="1:63" x14ac:dyDescent="0.25">
      <c r="E22" t="str">
        <f t="shared" ref="E22:AM22" si="81">CONCATENATE(BIN2HEX(E21,2))</f>
        <v>20</v>
      </c>
      <c r="F22" t="str">
        <f t="shared" si="81"/>
        <v>5E</v>
      </c>
      <c r="G22" t="str">
        <f t="shared" si="81"/>
        <v>7E</v>
      </c>
      <c r="H22" t="str">
        <f t="shared" si="81"/>
        <v>7E</v>
      </c>
      <c r="I22" t="str">
        <f t="shared" si="81"/>
        <v>5E</v>
      </c>
      <c r="J22" t="str">
        <f t="shared" si="81"/>
        <v>5E</v>
      </c>
      <c r="K22" t="str">
        <f t="shared" si="81"/>
        <v>5E</v>
      </c>
      <c r="L22" t="str">
        <f t="shared" si="81"/>
        <v>5E</v>
      </c>
      <c r="M22" t="str">
        <f t="shared" si="81"/>
        <v>5E</v>
      </c>
      <c r="N22" t="str">
        <f t="shared" si="81"/>
        <v>5E</v>
      </c>
      <c r="O22" t="str">
        <f t="shared" si="81"/>
        <v>5E</v>
      </c>
      <c r="Q22" t="str">
        <f t="shared" si="81"/>
        <v>81</v>
      </c>
      <c r="R22" t="str">
        <f t="shared" si="81"/>
        <v>81</v>
      </c>
      <c r="S22" t="str">
        <f t="shared" si="81"/>
        <v>81</v>
      </c>
      <c r="T22" t="str">
        <f t="shared" si="81"/>
        <v>81</v>
      </c>
      <c r="U22" t="str">
        <f t="shared" si="81"/>
        <v>81</v>
      </c>
      <c r="V22" t="str">
        <f t="shared" si="81"/>
        <v>81</v>
      </c>
      <c r="W22" t="str">
        <f t="shared" si="81"/>
        <v>81</v>
      </c>
      <c r="X22" t="str">
        <f t="shared" si="81"/>
        <v>81</v>
      </c>
      <c r="Y22" t="str">
        <f t="shared" si="81"/>
        <v>81</v>
      </c>
      <c r="Z22" t="str">
        <f t="shared" si="81"/>
        <v>81</v>
      </c>
      <c r="AA22" t="str">
        <f t="shared" si="81"/>
        <v>81</v>
      </c>
      <c r="AC22" t="str">
        <f t="shared" si="81"/>
        <v>00</v>
      </c>
      <c r="AD22" t="str">
        <f t="shared" si="81"/>
        <v>00</v>
      </c>
      <c r="AE22" t="str">
        <f t="shared" si="81"/>
        <v>00</v>
      </c>
      <c r="AF22" t="str">
        <f t="shared" si="81"/>
        <v>00</v>
      </c>
      <c r="AG22" t="str">
        <f t="shared" si="81"/>
        <v>00</v>
      </c>
      <c r="AH22" t="str">
        <f t="shared" si="81"/>
        <v>00</v>
      </c>
      <c r="AI22" t="str">
        <f t="shared" si="81"/>
        <v>00</v>
      </c>
      <c r="AJ22" t="str">
        <f t="shared" si="81"/>
        <v>00</v>
      </c>
      <c r="AK22" t="str">
        <f t="shared" si="81"/>
        <v>00</v>
      </c>
      <c r="AL22" t="str">
        <f t="shared" si="81"/>
        <v>00</v>
      </c>
      <c r="AM22" t="str">
        <f t="shared" si="81"/>
        <v>00</v>
      </c>
      <c r="AO22" t="str">
        <f t="shared" ref="AO22:AY22" si="82">CONCATENATE(BIN2HEX(AO21,2))</f>
        <v>00</v>
      </c>
      <c r="AP22" t="str">
        <f t="shared" si="82"/>
        <v>00</v>
      </c>
      <c r="AQ22" t="str">
        <f t="shared" si="82"/>
        <v>00</v>
      </c>
      <c r="AR22" t="str">
        <f t="shared" si="82"/>
        <v>00</v>
      </c>
      <c r="AS22" t="str">
        <f t="shared" si="82"/>
        <v>00</v>
      </c>
      <c r="AT22" t="str">
        <f t="shared" si="82"/>
        <v>00</v>
      </c>
      <c r="AU22" t="str">
        <f t="shared" si="82"/>
        <v>00</v>
      </c>
      <c r="AV22" t="str">
        <f t="shared" si="82"/>
        <v>00</v>
      </c>
      <c r="AW22" t="str">
        <f t="shared" si="82"/>
        <v>00</v>
      </c>
      <c r="AX22" t="str">
        <f t="shared" si="82"/>
        <v>00</v>
      </c>
      <c r="AY22" t="str">
        <f t="shared" si="82"/>
        <v>00</v>
      </c>
      <c r="BA22" t="str">
        <f t="shared" ref="BA22:BK22" si="83">CONCATENATE(BIN2HEX(BA21,2))</f>
        <v>00</v>
      </c>
      <c r="BB22" t="str">
        <f t="shared" si="83"/>
        <v>00</v>
      </c>
      <c r="BC22" t="str">
        <f t="shared" si="83"/>
        <v>00</v>
      </c>
      <c r="BD22" t="str">
        <f t="shared" si="83"/>
        <v>00</v>
      </c>
      <c r="BE22" t="str">
        <f t="shared" si="83"/>
        <v>00</v>
      </c>
      <c r="BF22" t="str">
        <f t="shared" si="83"/>
        <v>00</v>
      </c>
      <c r="BG22" t="str">
        <f t="shared" si="83"/>
        <v>00</v>
      </c>
      <c r="BH22" t="str">
        <f t="shared" si="83"/>
        <v>00</v>
      </c>
      <c r="BI22" t="str">
        <f t="shared" si="83"/>
        <v>00</v>
      </c>
      <c r="BJ22" t="str">
        <f t="shared" si="83"/>
        <v>00</v>
      </c>
      <c r="BK22" t="str">
        <f t="shared" si="83"/>
        <v>00</v>
      </c>
    </row>
    <row r="23" spans="1:63" x14ac:dyDescent="0.25">
      <c r="D23" s="13" t="s">
        <v>215</v>
      </c>
      <c r="E23" t="str">
        <f t="shared" ref="E23:BK23" si="84">CONCATENATE("0x",E22,E11)</f>
        <v>0x2000</v>
      </c>
      <c r="F23" t="str">
        <f t="shared" si="84"/>
        <v>0x5E07</v>
      </c>
      <c r="G23" t="str">
        <f t="shared" si="84"/>
        <v>0x7E07</v>
      </c>
      <c r="H23" t="str">
        <f t="shared" si="84"/>
        <v>0x7E07</v>
      </c>
      <c r="I23" t="str">
        <f t="shared" si="84"/>
        <v>0x5E07</v>
      </c>
      <c r="J23" t="str">
        <f t="shared" si="84"/>
        <v>0x5E07</v>
      </c>
      <c r="K23" t="str">
        <f t="shared" si="84"/>
        <v>0x5E07</v>
      </c>
      <c r="L23" t="str">
        <f t="shared" si="84"/>
        <v>0x5E07</v>
      </c>
      <c r="M23" t="str">
        <f t="shared" si="84"/>
        <v>0x5E07</v>
      </c>
      <c r="N23" t="str">
        <f t="shared" si="84"/>
        <v>0x5E07</v>
      </c>
      <c r="O23" t="str">
        <f t="shared" si="84"/>
        <v>0x5E07</v>
      </c>
      <c r="Q23" t="str">
        <f t="shared" si="84"/>
        <v>0x81F8</v>
      </c>
      <c r="R23" t="str">
        <f t="shared" si="84"/>
        <v>0x81F8</v>
      </c>
      <c r="S23" t="str">
        <f t="shared" si="84"/>
        <v>0x81F8</v>
      </c>
      <c r="T23" t="str">
        <f t="shared" si="84"/>
        <v>0x81F8</v>
      </c>
      <c r="U23" t="str">
        <f t="shared" si="84"/>
        <v>0x81F8</v>
      </c>
      <c r="V23" t="str">
        <f t="shared" si="84"/>
        <v>0x81F8</v>
      </c>
      <c r="W23" t="str">
        <f t="shared" si="84"/>
        <v>0x81F8</v>
      </c>
      <c r="X23" t="str">
        <f t="shared" si="84"/>
        <v>0x81F8</v>
      </c>
      <c r="Y23" t="str">
        <f t="shared" si="84"/>
        <v>0x81F8</v>
      </c>
      <c r="Z23" t="str">
        <f t="shared" si="84"/>
        <v>0x81F8</v>
      </c>
      <c r="AA23" t="str">
        <f t="shared" si="84"/>
        <v>0x81F8</v>
      </c>
      <c r="AC23" t="str">
        <f t="shared" si="84"/>
        <v>0x0000</v>
      </c>
      <c r="AD23" t="str">
        <f t="shared" si="84"/>
        <v>0x0000</v>
      </c>
      <c r="AE23" t="str">
        <f t="shared" si="84"/>
        <v>0x0000</v>
      </c>
      <c r="AF23" t="str">
        <f t="shared" si="84"/>
        <v>0x0000</v>
      </c>
      <c r="AG23" t="str">
        <f t="shared" si="84"/>
        <v>0x0000</v>
      </c>
      <c r="AH23" t="str">
        <f t="shared" si="84"/>
        <v>0x0000</v>
      </c>
      <c r="AI23" t="str">
        <f t="shared" si="84"/>
        <v>0x0000</v>
      </c>
      <c r="AJ23" t="str">
        <f t="shared" si="84"/>
        <v>0x0000</v>
      </c>
      <c r="AK23" t="str">
        <f t="shared" si="84"/>
        <v>0x0000</v>
      </c>
      <c r="AL23" t="str">
        <f t="shared" si="84"/>
        <v>0x0000</v>
      </c>
      <c r="AM23" t="str">
        <f t="shared" si="84"/>
        <v>0x0000</v>
      </c>
      <c r="AO23" t="str">
        <f t="shared" si="84"/>
        <v>0x0000</v>
      </c>
      <c r="AP23" t="str">
        <f t="shared" si="84"/>
        <v>0x0000</v>
      </c>
      <c r="AQ23" t="str">
        <f t="shared" si="84"/>
        <v>0x0000</v>
      </c>
      <c r="AR23" t="str">
        <f t="shared" si="84"/>
        <v>0x0000</v>
      </c>
      <c r="AS23" t="str">
        <f t="shared" si="84"/>
        <v>0x0000</v>
      </c>
      <c r="AT23" t="str">
        <f t="shared" si="84"/>
        <v>0x0000</v>
      </c>
      <c r="AU23" t="str">
        <f t="shared" si="84"/>
        <v>0x0000</v>
      </c>
      <c r="AV23" t="str">
        <f t="shared" si="84"/>
        <v>0x0000</v>
      </c>
      <c r="AW23" t="str">
        <f t="shared" si="84"/>
        <v>0x0000</v>
      </c>
      <c r="AX23" t="str">
        <f t="shared" si="84"/>
        <v>0x0000</v>
      </c>
      <c r="AY23" t="str">
        <f t="shared" si="84"/>
        <v>0x0000</v>
      </c>
      <c r="BA23" t="str">
        <f t="shared" si="84"/>
        <v>0x0000</v>
      </c>
      <c r="BB23" t="str">
        <f t="shared" si="84"/>
        <v>0x0000</v>
      </c>
      <c r="BC23" t="str">
        <f t="shared" si="84"/>
        <v>0x0000</v>
      </c>
      <c r="BD23" t="str">
        <f t="shared" si="84"/>
        <v>0x0000</v>
      </c>
      <c r="BE23" t="str">
        <f t="shared" si="84"/>
        <v>0x0000</v>
      </c>
      <c r="BF23" t="str">
        <f t="shared" si="84"/>
        <v>0x0000</v>
      </c>
      <c r="BG23" t="str">
        <f t="shared" si="84"/>
        <v>0x0000</v>
      </c>
      <c r="BH23" t="str">
        <f t="shared" si="84"/>
        <v>0x0000</v>
      </c>
      <c r="BI23" t="str">
        <f t="shared" si="84"/>
        <v>0x0000</v>
      </c>
      <c r="BJ23" t="str">
        <f t="shared" si="84"/>
        <v>0x0000</v>
      </c>
      <c r="BK23" t="str">
        <f t="shared" si="84"/>
        <v>0x0000</v>
      </c>
    </row>
    <row r="24" spans="1:63" x14ac:dyDescent="0.25">
      <c r="D24" s="13" t="s">
        <v>216</v>
      </c>
      <c r="E24" t="str">
        <f>Q23</f>
        <v>0x81F8</v>
      </c>
      <c r="F24" t="str">
        <f>R23</f>
        <v>0x81F8</v>
      </c>
      <c r="G24" t="str">
        <f t="shared" ref="G24:O24" si="85">S23</f>
        <v>0x81F8</v>
      </c>
      <c r="H24" t="str">
        <f t="shared" si="85"/>
        <v>0x81F8</v>
      </c>
      <c r="I24" t="str">
        <f t="shared" si="85"/>
        <v>0x81F8</v>
      </c>
      <c r="J24" t="str">
        <f t="shared" si="85"/>
        <v>0x81F8</v>
      </c>
      <c r="K24" t="str">
        <f t="shared" si="85"/>
        <v>0x81F8</v>
      </c>
      <c r="L24" t="str">
        <f t="shared" si="85"/>
        <v>0x81F8</v>
      </c>
      <c r="M24" t="str">
        <f t="shared" si="85"/>
        <v>0x81F8</v>
      </c>
      <c r="N24" t="str">
        <f t="shared" si="85"/>
        <v>0x81F8</v>
      </c>
      <c r="O24" t="str">
        <f t="shared" si="85"/>
        <v>0x81F8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D25" s="13" t="s">
        <v>17</v>
      </c>
      <c r="E25" t="str">
        <f>AC23</f>
        <v>0x0000</v>
      </c>
      <c r="F25" t="str">
        <f t="shared" ref="F25:O25" si="86">AD23</f>
        <v>0x0000</v>
      </c>
      <c r="G25" t="str">
        <f t="shared" si="86"/>
        <v>0x0000</v>
      </c>
      <c r="H25" t="str">
        <f t="shared" si="86"/>
        <v>0x0000</v>
      </c>
      <c r="I25" t="str">
        <f t="shared" si="86"/>
        <v>0x0000</v>
      </c>
      <c r="J25" t="str">
        <f t="shared" si="86"/>
        <v>0x0000</v>
      </c>
      <c r="K25" t="str">
        <f t="shared" si="86"/>
        <v>0x0000</v>
      </c>
      <c r="L25" t="str">
        <f t="shared" si="86"/>
        <v>0x0000</v>
      </c>
      <c r="M25" t="str">
        <f t="shared" si="86"/>
        <v>0x0000</v>
      </c>
      <c r="N25" t="str">
        <f t="shared" si="86"/>
        <v>0x0000</v>
      </c>
      <c r="O25" t="str">
        <f t="shared" si="86"/>
        <v>0x0000</v>
      </c>
    </row>
    <row r="26" spans="1:63" x14ac:dyDescent="0.25">
      <c r="A26" s="2" t="s">
        <v>42</v>
      </c>
      <c r="B26" s="11" t="s">
        <v>36</v>
      </c>
      <c r="C26" s="10" t="s">
        <v>84</v>
      </c>
      <c r="D26" s="13" t="s">
        <v>209</v>
      </c>
      <c r="E26" t="str">
        <f>AO23</f>
        <v>0x0000</v>
      </c>
      <c r="F26" t="str">
        <f t="shared" ref="F26:O26" si="87">AP23</f>
        <v>0x0000</v>
      </c>
      <c r="G26" t="str">
        <f t="shared" si="87"/>
        <v>0x0000</v>
      </c>
      <c r="H26" t="str">
        <f t="shared" si="87"/>
        <v>0x0000</v>
      </c>
      <c r="I26" t="str">
        <f t="shared" si="87"/>
        <v>0x0000</v>
      </c>
      <c r="J26" t="str">
        <f t="shared" si="87"/>
        <v>0x0000</v>
      </c>
      <c r="K26" t="str">
        <f t="shared" si="87"/>
        <v>0x0000</v>
      </c>
      <c r="L26" t="str">
        <f t="shared" si="87"/>
        <v>0x0000</v>
      </c>
      <c r="M26" t="str">
        <f t="shared" si="87"/>
        <v>0x0000</v>
      </c>
      <c r="N26" t="str">
        <f t="shared" si="87"/>
        <v>0x0000</v>
      </c>
      <c r="O26" t="str">
        <f t="shared" si="87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88">BB23</f>
        <v>0x0000</v>
      </c>
      <c r="G27" t="str">
        <f t="shared" si="88"/>
        <v>0x0000</v>
      </c>
      <c r="H27" t="str">
        <f t="shared" si="88"/>
        <v>0x0000</v>
      </c>
      <c r="I27" t="str">
        <f t="shared" si="88"/>
        <v>0x0000</v>
      </c>
      <c r="J27" t="str">
        <f t="shared" si="88"/>
        <v>0x0000</v>
      </c>
      <c r="K27" t="str">
        <f t="shared" si="88"/>
        <v>0x0000</v>
      </c>
      <c r="L27" t="str">
        <f t="shared" si="88"/>
        <v>0x0000</v>
      </c>
      <c r="M27" t="str">
        <f t="shared" si="88"/>
        <v>0x0000</v>
      </c>
      <c r="N27" t="str">
        <f t="shared" si="88"/>
        <v>0x0000</v>
      </c>
      <c r="O27" t="str">
        <f t="shared" si="88"/>
        <v>0x0000</v>
      </c>
    </row>
    <row r="28" spans="1:63" ht="30" x14ac:dyDescent="0.25">
      <c r="A28" s="1" t="s">
        <v>37</v>
      </c>
      <c r="B28" s="2">
        <v>10</v>
      </c>
    </row>
    <row r="29" spans="1:63" ht="30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213</v>
      </c>
    </row>
    <row r="31" spans="1:63" x14ac:dyDescent="0.25">
      <c r="A31" s="4" t="str">
        <f ca="1">CONCATENATE("#",C$26,":",INDIRECT(H33))</f>
        <v>#I2C_Expander_Main_Rst:wartość safe</v>
      </c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0x24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0x81F8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0x2000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#I2C_Expander_Main_Rst:etap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0x24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0x81F8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0x5E07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89">INDIRECT(H57)</f>
        <v>0x0000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90">INDIRECT(G58)</f>
        <v>#pins_int</v>
      </c>
      <c r="B58" s="4" t="str">
        <f t="shared" ca="1" si="89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90"/>
        <v>#pins_def_val</v>
      </c>
      <c r="B59" s="4" t="str">
        <f t="shared" ca="1" si="89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#I2C_Expander_Main_Rst:etap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0x24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0x81F8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0x7E07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91">INDIRECT(H77)</f>
        <v>0x0000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92">INDIRECT(G78)</f>
        <v>#pins_int</v>
      </c>
      <c r="B78" s="4" t="str">
        <f t="shared" ca="1" si="91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92"/>
        <v>#pins_def_val</v>
      </c>
      <c r="B79" s="4" t="str">
        <f t="shared" ca="1" si="91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>A61</f>
        <v>time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#I2C_Expander_Main_Rst:etap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0x24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0x81F8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0x7E07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93">INDIRECT(H97)</f>
        <v>0x0000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94">INDIRECT(G98)</f>
        <v>#pins_int</v>
      </c>
      <c r="B98" s="4" t="str">
        <f t="shared" ca="1" si="93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94"/>
        <v>#pins_def_val</v>
      </c>
      <c r="B99" s="4" t="str">
        <f t="shared" ca="1" si="93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#I2C_Expander_Main_Rst:etap -disable clocks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0x24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0x81F8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0x5E07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95">INDIRECT(H117)</f>
        <v>0x0000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96">INDIRECT(G118)</f>
        <v>#pins_int</v>
      </c>
      <c r="B118" s="4" t="str">
        <f t="shared" ca="1" si="95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96"/>
        <v>#pins_def_val</v>
      </c>
      <c r="B119" s="4" t="str">
        <f t="shared" ca="1" si="95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#I2C_Expander_Main_Rst:etap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0x24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0x81F8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0x5E07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97">INDIRECT(H137)</f>
        <v>0x0000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98">INDIRECT(G138)</f>
        <v>#pins_int</v>
      </c>
      <c r="B138" s="4" t="str">
        <f t="shared" ca="1" si="97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98"/>
        <v>#pins_def_val</v>
      </c>
      <c r="B139" s="4" t="str">
        <f t="shared" ca="1" si="97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#I2C_Expander_Main_Rst:etap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0x24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0x81F8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0x5E07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99">INDIRECT(H157)</f>
        <v>0x0000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100">INDIRECT(G158)</f>
        <v>#pins_int</v>
      </c>
      <c r="B158" s="4" t="str">
        <f t="shared" ca="1" si="99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100"/>
        <v>#pins_def_val</v>
      </c>
      <c r="B159" s="4" t="str">
        <f t="shared" ca="1" si="99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#I2C_Expander_Main_Rst:etap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0x24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0x81F8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0x5E07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101">INDIRECT(H177)</f>
        <v>0x0000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102">INDIRECT(G178)</f>
        <v>#pins_int</v>
      </c>
      <c r="B178" s="4" t="str">
        <f t="shared" ca="1" si="101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102"/>
        <v>#pins_def_val</v>
      </c>
      <c r="B179" s="4" t="str">
        <f t="shared" ca="1" si="101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#I2C_Expander_Main_Rst:etap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0x24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0x81F8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0x5E07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103">INDIRECT(H197)</f>
        <v>0x0000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104">INDIRECT(G198)</f>
        <v>#pins_int</v>
      </c>
      <c r="B198" s="4" t="str">
        <f t="shared" ca="1" si="103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104"/>
        <v>#pins_def_val</v>
      </c>
      <c r="B199" s="4" t="str">
        <f t="shared" ca="1" si="103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#I2C_Expander_Main_Rst:etap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0x24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0x81F8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0x5E07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105">INDIRECT(H217)</f>
        <v>0x0000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106">INDIRECT(G218)</f>
        <v>#pins_int</v>
      </c>
      <c r="B218" s="4" t="str">
        <f t="shared" ca="1" si="105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106"/>
        <v>#pins_def_val</v>
      </c>
      <c r="B219" s="4" t="str">
        <f t="shared" ca="1" si="105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#I2C_Expander_Main_Rst:etap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0x24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0x81F8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0x5E07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107">INDIRECT(H237)</f>
        <v>0x0000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108">INDIRECT(G238)</f>
        <v>#pins_int</v>
      </c>
      <c r="B238" s="4" t="str">
        <f t="shared" ca="1" si="107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108"/>
        <v>#pins_def_val</v>
      </c>
      <c r="B239" s="4" t="str">
        <f t="shared" ca="1" si="107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/>
      <c r="B246"/>
    </row>
    <row r="247" spans="1:2" x14ac:dyDescent="0.25">
      <c r="A247"/>
      <c r="B247"/>
    </row>
    <row r="248" spans="1:2" x14ac:dyDescent="0.25">
      <c r="A248"/>
      <c r="B248"/>
    </row>
    <row r="249" spans="1:2" x14ac:dyDescent="0.25">
      <c r="A249"/>
      <c r="B249"/>
    </row>
    <row r="250" spans="1:2" x14ac:dyDescent="0.25">
      <c r="A250"/>
      <c r="B250"/>
    </row>
    <row r="251" spans="1:2" x14ac:dyDescent="0.25">
      <c r="A251"/>
      <c r="B251"/>
    </row>
    <row r="252" spans="1:2" x14ac:dyDescent="0.25">
      <c r="A252"/>
      <c r="B252"/>
    </row>
    <row r="253" spans="1:2" x14ac:dyDescent="0.25">
      <c r="A253"/>
      <c r="B253"/>
    </row>
    <row r="254" spans="1:2" x14ac:dyDescent="0.25">
      <c r="A254"/>
      <c r="B254"/>
    </row>
    <row r="255" spans="1:2" x14ac:dyDescent="0.25">
      <c r="A255"/>
      <c r="B255"/>
    </row>
    <row r="256" spans="1:2" x14ac:dyDescent="0.25">
      <c r="A256"/>
      <c r="B256"/>
    </row>
    <row r="257" spans="1:2" x14ac:dyDescent="0.25">
      <c r="A257"/>
      <c r="B257"/>
    </row>
    <row r="258" spans="1:2" x14ac:dyDescent="0.25">
      <c r="A258"/>
      <c r="B258"/>
    </row>
    <row r="259" spans="1:2" x14ac:dyDescent="0.25">
      <c r="A259"/>
      <c r="B259"/>
    </row>
    <row r="260" spans="1:2" x14ac:dyDescent="0.25">
      <c r="A260"/>
      <c r="B260"/>
    </row>
    <row r="261" spans="1:2" x14ac:dyDescent="0.25">
      <c r="A261"/>
      <c r="B261"/>
    </row>
    <row r="262" spans="1:2" x14ac:dyDescent="0.25">
      <c r="A262"/>
      <c r="B262"/>
    </row>
    <row r="263" spans="1:2" x14ac:dyDescent="0.25">
      <c r="A263"/>
      <c r="B263"/>
    </row>
    <row r="264" spans="1:2" x14ac:dyDescent="0.25">
      <c r="A264"/>
      <c r="B264"/>
    </row>
    <row r="265" spans="1:2" x14ac:dyDescent="0.25">
      <c r="A265"/>
      <c r="B265"/>
    </row>
    <row r="266" spans="1:2" x14ac:dyDescent="0.25">
      <c r="A266"/>
      <c r="B266"/>
    </row>
    <row r="267" spans="1:2" x14ac:dyDescent="0.25">
      <c r="A267"/>
      <c r="B267"/>
    </row>
    <row r="268" spans="1:2" x14ac:dyDescent="0.25">
      <c r="A268"/>
      <c r="B268"/>
    </row>
    <row r="269" spans="1:2" x14ac:dyDescent="0.25">
      <c r="A269"/>
      <c r="B269"/>
    </row>
    <row r="270" spans="1:2" x14ac:dyDescent="0.25">
      <c r="A270"/>
      <c r="B270"/>
    </row>
    <row r="271" spans="1:2" x14ac:dyDescent="0.25">
      <c r="A271"/>
      <c r="B271"/>
    </row>
    <row r="272" spans="1:2" x14ac:dyDescent="0.25">
      <c r="A272"/>
      <c r="B272"/>
    </row>
    <row r="273" spans="1:2" x14ac:dyDescent="0.25">
      <c r="A273"/>
      <c r="B273"/>
    </row>
    <row r="274" spans="1:2" x14ac:dyDescent="0.25">
      <c r="A274"/>
      <c r="B274"/>
    </row>
    <row r="275" spans="1:2" x14ac:dyDescent="0.25">
      <c r="A275"/>
      <c r="B275"/>
    </row>
    <row r="276" spans="1:2" x14ac:dyDescent="0.25">
      <c r="A276"/>
      <c r="B276"/>
    </row>
    <row r="277" spans="1:2" x14ac:dyDescent="0.25">
      <c r="A277"/>
      <c r="B277"/>
    </row>
    <row r="278" spans="1:2" x14ac:dyDescent="0.25">
      <c r="A278"/>
      <c r="B278"/>
    </row>
    <row r="279" spans="1:2" x14ac:dyDescent="0.25">
      <c r="A279"/>
      <c r="B279"/>
    </row>
    <row r="280" spans="1:2" x14ac:dyDescent="0.25">
      <c r="A280"/>
      <c r="B280"/>
    </row>
    <row r="281" spans="1:2" x14ac:dyDescent="0.25">
      <c r="A281"/>
      <c r="B281"/>
    </row>
    <row r="282" spans="1:2" x14ac:dyDescent="0.25">
      <c r="A282"/>
      <c r="B282"/>
    </row>
    <row r="283" spans="1:2" x14ac:dyDescent="0.25">
      <c r="A283"/>
      <c r="B283"/>
    </row>
    <row r="284" spans="1:2" x14ac:dyDescent="0.25">
      <c r="A284"/>
      <c r="B284"/>
    </row>
    <row r="285" spans="1:2" x14ac:dyDescent="0.25">
      <c r="A285"/>
      <c r="B285"/>
    </row>
    <row r="286" spans="1:2" x14ac:dyDescent="0.25">
      <c r="A286"/>
      <c r="B286"/>
    </row>
    <row r="287" spans="1:2" x14ac:dyDescent="0.25">
      <c r="A287"/>
      <c r="B287"/>
    </row>
    <row r="288" spans="1:2" x14ac:dyDescent="0.25">
      <c r="A288"/>
      <c r="B288"/>
    </row>
    <row r="289" spans="1:2" x14ac:dyDescent="0.25">
      <c r="A289"/>
      <c r="B289"/>
    </row>
    <row r="290" spans="1:2" x14ac:dyDescent="0.25">
      <c r="A290"/>
      <c r="B290"/>
    </row>
    <row r="291" spans="1:2" x14ac:dyDescent="0.25">
      <c r="A291"/>
      <c r="B291"/>
    </row>
    <row r="292" spans="1:2" x14ac:dyDescent="0.25">
      <c r="A292"/>
      <c r="B292"/>
    </row>
    <row r="293" spans="1:2" x14ac:dyDescent="0.25">
      <c r="A293"/>
      <c r="B293"/>
    </row>
    <row r="294" spans="1:2" x14ac:dyDescent="0.25">
      <c r="A294"/>
      <c r="B294"/>
    </row>
    <row r="295" spans="1:2" x14ac:dyDescent="0.25">
      <c r="A295"/>
      <c r="B295"/>
    </row>
    <row r="296" spans="1:2" x14ac:dyDescent="0.25">
      <c r="A296"/>
      <c r="B296"/>
    </row>
    <row r="297" spans="1:2" x14ac:dyDescent="0.25">
      <c r="A297"/>
      <c r="B297"/>
    </row>
    <row r="298" spans="1:2" x14ac:dyDescent="0.25">
      <c r="A298"/>
      <c r="B298"/>
    </row>
    <row r="299" spans="1:2" x14ac:dyDescent="0.25">
      <c r="A299"/>
      <c r="B299"/>
    </row>
    <row r="300" spans="1:2" x14ac:dyDescent="0.25">
      <c r="A300"/>
      <c r="B300"/>
    </row>
    <row r="301" spans="1:2" x14ac:dyDescent="0.25">
      <c r="A301"/>
      <c r="B301"/>
    </row>
    <row r="302" spans="1:2" x14ac:dyDescent="0.25">
      <c r="A302"/>
      <c r="B302"/>
    </row>
    <row r="303" spans="1:2" x14ac:dyDescent="0.25">
      <c r="A303"/>
      <c r="B303"/>
    </row>
    <row r="304" spans="1:2" x14ac:dyDescent="0.25">
      <c r="A304"/>
      <c r="B304"/>
    </row>
    <row r="305" spans="1:2" x14ac:dyDescent="0.25">
      <c r="A305"/>
      <c r="B305"/>
    </row>
    <row r="306" spans="1:2" x14ac:dyDescent="0.25">
      <c r="A306"/>
      <c r="B306"/>
    </row>
    <row r="307" spans="1:2" x14ac:dyDescent="0.25">
      <c r="A307"/>
      <c r="B307"/>
    </row>
    <row r="308" spans="1:2" x14ac:dyDescent="0.25">
      <c r="A308"/>
      <c r="B308"/>
    </row>
    <row r="309" spans="1:2" x14ac:dyDescent="0.25">
      <c r="A309"/>
      <c r="B309"/>
    </row>
    <row r="310" spans="1:2" x14ac:dyDescent="0.25">
      <c r="A310"/>
      <c r="B310"/>
    </row>
    <row r="311" spans="1:2" x14ac:dyDescent="0.25">
      <c r="A311"/>
      <c r="B311"/>
    </row>
    <row r="312" spans="1:2" x14ac:dyDescent="0.25">
      <c r="A312"/>
      <c r="B312"/>
    </row>
    <row r="313" spans="1:2" x14ac:dyDescent="0.25">
      <c r="A313"/>
      <c r="B313"/>
    </row>
    <row r="314" spans="1:2" x14ac:dyDescent="0.25">
      <c r="A314"/>
      <c r="B314"/>
    </row>
    <row r="315" spans="1:2" x14ac:dyDescent="0.25">
      <c r="A315"/>
      <c r="B315"/>
    </row>
    <row r="316" spans="1:2" x14ac:dyDescent="0.25">
      <c r="A316"/>
      <c r="B316"/>
    </row>
    <row r="317" spans="1:2" x14ac:dyDescent="0.25">
      <c r="A317"/>
      <c r="B317"/>
    </row>
    <row r="318" spans="1:2" x14ac:dyDescent="0.25">
      <c r="A318"/>
      <c r="B318"/>
    </row>
    <row r="319" spans="1:2" x14ac:dyDescent="0.25">
      <c r="A319"/>
      <c r="B319"/>
    </row>
    <row r="320" spans="1:2" x14ac:dyDescent="0.25">
      <c r="A320"/>
      <c r="B320"/>
    </row>
    <row r="321" spans="1:2" x14ac:dyDescent="0.25">
      <c r="A321"/>
      <c r="B321"/>
    </row>
    <row r="322" spans="1:2" x14ac:dyDescent="0.25">
      <c r="A322"/>
      <c r="B322"/>
    </row>
    <row r="323" spans="1:2" x14ac:dyDescent="0.25">
      <c r="A323"/>
      <c r="B323"/>
    </row>
    <row r="324" spans="1:2" x14ac:dyDescent="0.25">
      <c r="A324"/>
      <c r="B324"/>
    </row>
    <row r="325" spans="1:2" x14ac:dyDescent="0.25">
      <c r="A325"/>
      <c r="B325"/>
    </row>
    <row r="326" spans="1:2" x14ac:dyDescent="0.25">
      <c r="A326"/>
      <c r="B326"/>
    </row>
    <row r="327" spans="1:2" x14ac:dyDescent="0.25">
      <c r="A327"/>
      <c r="B327"/>
    </row>
    <row r="328" spans="1:2" x14ac:dyDescent="0.25">
      <c r="A328"/>
      <c r="B328"/>
    </row>
    <row r="329" spans="1:2" x14ac:dyDescent="0.25">
      <c r="A329"/>
      <c r="B329"/>
    </row>
    <row r="330" spans="1:2" x14ac:dyDescent="0.25">
      <c r="A330"/>
      <c r="B330"/>
    </row>
    <row r="331" spans="1:2" x14ac:dyDescent="0.25">
      <c r="A331"/>
      <c r="B331"/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</sheetData>
  <sheetProtection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A31" sqref="A31:H37"/>
    </sheetView>
  </sheetViews>
  <sheetFormatPr defaultRowHeight="15" x14ac:dyDescent="0.25"/>
  <cols>
    <col min="1" max="1" width="18.5703125" customWidth="1"/>
    <col min="3" max="3" width="22.7109375" bestFit="1" customWidth="1"/>
    <col min="4" max="4" width="106.85546875" bestFit="1" customWidth="1"/>
    <col min="17" max="17" width="13.140625" customWidth="1"/>
    <col min="18" max="27" width="10.85546875" customWidth="1"/>
    <col min="28" max="28" width="13.14062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45" x14ac:dyDescent="0.25">
      <c r="A1" s="2"/>
      <c r="B1" s="2" t="s">
        <v>320</v>
      </c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358</v>
      </c>
      <c r="I1" s="1" t="s">
        <v>359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/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1" t="s">
        <v>290</v>
      </c>
      <c r="C2" s="10" t="s">
        <v>45</v>
      </c>
      <c r="D2" s="10" t="s">
        <v>58</v>
      </c>
      <c r="E2" s="10">
        <v>0</v>
      </c>
      <c r="F2" s="10">
        <v>0</v>
      </c>
      <c r="G2" s="10">
        <v>0</v>
      </c>
      <c r="H2" s="10">
        <f>G2</f>
        <v>0</v>
      </c>
      <c r="I2" s="10">
        <f t="shared" ref="I2:O2" si="0">H2</f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Q2" s="10">
        <v>1</v>
      </c>
      <c r="R2" s="10">
        <f>Q2</f>
        <v>1</v>
      </c>
      <c r="S2" s="10">
        <f t="shared" ref="S2:AA2" si="1">R2</f>
        <v>1</v>
      </c>
      <c r="T2" s="10">
        <f t="shared" si="1"/>
        <v>1</v>
      </c>
      <c r="U2" s="10">
        <f t="shared" si="1"/>
        <v>1</v>
      </c>
      <c r="V2" s="10">
        <f t="shared" si="1"/>
        <v>1</v>
      </c>
      <c r="W2" s="10">
        <f t="shared" si="1"/>
        <v>1</v>
      </c>
      <c r="X2" s="10">
        <f t="shared" si="1"/>
        <v>1</v>
      </c>
      <c r="Y2" s="10">
        <f t="shared" si="1"/>
        <v>1</v>
      </c>
      <c r="Z2" s="10">
        <f t="shared" si="1"/>
        <v>1</v>
      </c>
      <c r="AA2" s="10">
        <f t="shared" si="1"/>
        <v>1</v>
      </c>
      <c r="AC2" s="10">
        <v>1</v>
      </c>
      <c r="AD2" s="10">
        <f>AC2</f>
        <v>1</v>
      </c>
      <c r="AE2" s="10">
        <f t="shared" ref="AE2:AM2" si="2">AD2</f>
        <v>1</v>
      </c>
      <c r="AF2" s="10">
        <f t="shared" si="2"/>
        <v>1</v>
      </c>
      <c r="AG2" s="10">
        <f t="shared" si="2"/>
        <v>1</v>
      </c>
      <c r="AH2" s="10">
        <f t="shared" si="2"/>
        <v>1</v>
      </c>
      <c r="AI2" s="10">
        <f t="shared" si="2"/>
        <v>1</v>
      </c>
      <c r="AJ2" s="10">
        <f t="shared" si="2"/>
        <v>1</v>
      </c>
      <c r="AK2" s="10">
        <f t="shared" si="2"/>
        <v>1</v>
      </c>
      <c r="AL2" s="10">
        <f t="shared" si="2"/>
        <v>1</v>
      </c>
      <c r="AM2" s="10">
        <f t="shared" si="2"/>
        <v>1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1" t="s">
        <v>291</v>
      </c>
      <c r="C3" s="10" t="s">
        <v>46</v>
      </c>
      <c r="D3" s="10" t="s">
        <v>59</v>
      </c>
      <c r="E3" s="10">
        <v>1</v>
      </c>
      <c r="F3" s="10">
        <v>1</v>
      </c>
      <c r="G3" s="10">
        <v>1</v>
      </c>
      <c r="H3" s="10">
        <f t="shared" ref="H3:O9" si="5">G3</f>
        <v>1</v>
      </c>
      <c r="I3" s="10">
        <v>0</v>
      </c>
      <c r="J3" s="10">
        <f t="shared" si="5"/>
        <v>0</v>
      </c>
      <c r="K3" s="10">
        <f t="shared" si="5"/>
        <v>0</v>
      </c>
      <c r="L3" s="10">
        <f t="shared" si="5"/>
        <v>0</v>
      </c>
      <c r="M3" s="10">
        <f t="shared" si="5"/>
        <v>0</v>
      </c>
      <c r="N3" s="10">
        <f t="shared" si="5"/>
        <v>0</v>
      </c>
      <c r="O3" s="10">
        <f t="shared" si="5"/>
        <v>0</v>
      </c>
      <c r="Q3" s="10">
        <v>0</v>
      </c>
      <c r="R3" s="10">
        <f t="shared" ref="R3:AA9" si="6">Q3</f>
        <v>0</v>
      </c>
      <c r="S3" s="10">
        <f t="shared" si="6"/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1" t="s">
        <v>292</v>
      </c>
      <c r="C4" s="10" t="s">
        <v>47</v>
      </c>
      <c r="D4" s="10" t="s">
        <v>62</v>
      </c>
      <c r="E4" s="10">
        <v>0</v>
      </c>
      <c r="F4" s="10">
        <v>0</v>
      </c>
      <c r="G4" s="10">
        <v>0</v>
      </c>
      <c r="H4" s="10">
        <f t="shared" si="5"/>
        <v>0</v>
      </c>
      <c r="I4" s="10">
        <f t="shared" si="5"/>
        <v>0</v>
      </c>
      <c r="J4" s="10">
        <f t="shared" si="5"/>
        <v>0</v>
      </c>
      <c r="K4" s="10">
        <f t="shared" si="5"/>
        <v>0</v>
      </c>
      <c r="L4" s="10">
        <f t="shared" si="5"/>
        <v>0</v>
      </c>
      <c r="M4" s="10">
        <f t="shared" si="5"/>
        <v>0</v>
      </c>
      <c r="N4" s="10">
        <f t="shared" si="5"/>
        <v>0</v>
      </c>
      <c r="O4" s="10">
        <f t="shared" si="5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1</v>
      </c>
      <c r="AD4" s="10">
        <f t="shared" si="7"/>
        <v>1</v>
      </c>
      <c r="AE4" s="10">
        <f t="shared" si="7"/>
        <v>1</v>
      </c>
      <c r="AF4" s="10">
        <f t="shared" si="7"/>
        <v>1</v>
      </c>
      <c r="AG4" s="10">
        <f t="shared" si="7"/>
        <v>1</v>
      </c>
      <c r="AH4" s="10">
        <f t="shared" si="7"/>
        <v>1</v>
      </c>
      <c r="AI4" s="10">
        <f t="shared" si="7"/>
        <v>1</v>
      </c>
      <c r="AJ4" s="10">
        <f t="shared" si="7"/>
        <v>1</v>
      </c>
      <c r="AK4" s="10">
        <f t="shared" si="7"/>
        <v>1</v>
      </c>
      <c r="AL4" s="10">
        <f t="shared" si="7"/>
        <v>1</v>
      </c>
      <c r="AM4" s="10">
        <f t="shared" si="7"/>
        <v>1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1" t="s">
        <v>293</v>
      </c>
      <c r="C5" s="10" t="s">
        <v>48</v>
      </c>
      <c r="D5" s="10" t="s">
        <v>63</v>
      </c>
      <c r="E5" s="10">
        <v>1</v>
      </c>
      <c r="F5" s="10">
        <v>1</v>
      </c>
      <c r="G5" s="10">
        <v>1</v>
      </c>
      <c r="H5" s="10">
        <f t="shared" si="5"/>
        <v>1</v>
      </c>
      <c r="I5" s="10"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0</v>
      </c>
      <c r="R5" s="10">
        <f t="shared" si="6"/>
        <v>0</v>
      </c>
      <c r="S5" s="10">
        <f t="shared" si="6"/>
        <v>0</v>
      </c>
      <c r="T5" s="10">
        <f t="shared" si="6"/>
        <v>0</v>
      </c>
      <c r="U5" s="10">
        <f t="shared" si="6"/>
        <v>0</v>
      </c>
      <c r="V5" s="10">
        <f t="shared" si="6"/>
        <v>0</v>
      </c>
      <c r="W5" s="10">
        <f t="shared" si="6"/>
        <v>0</v>
      </c>
      <c r="X5" s="10">
        <f t="shared" si="6"/>
        <v>0</v>
      </c>
      <c r="Y5" s="10">
        <f t="shared" si="6"/>
        <v>0</v>
      </c>
      <c r="Z5" s="10">
        <f t="shared" si="6"/>
        <v>0</v>
      </c>
      <c r="AA5" s="10">
        <f t="shared" si="6"/>
        <v>0</v>
      </c>
      <c r="AC5" s="10">
        <v>0</v>
      </c>
      <c r="AD5" s="10">
        <f t="shared" si="7"/>
        <v>0</v>
      </c>
      <c r="AE5" s="10">
        <f t="shared" si="7"/>
        <v>0</v>
      </c>
      <c r="AF5" s="10">
        <f t="shared" si="7"/>
        <v>0</v>
      </c>
      <c r="AG5" s="10">
        <f t="shared" si="7"/>
        <v>0</v>
      </c>
      <c r="AH5" s="10">
        <f t="shared" si="7"/>
        <v>0</v>
      </c>
      <c r="AI5" s="10">
        <f t="shared" si="7"/>
        <v>0</v>
      </c>
      <c r="AJ5" s="10">
        <f t="shared" si="7"/>
        <v>0</v>
      </c>
      <c r="AK5" s="10">
        <f t="shared" si="7"/>
        <v>0</v>
      </c>
      <c r="AL5" s="10">
        <f t="shared" si="7"/>
        <v>0</v>
      </c>
      <c r="AM5" s="10">
        <f t="shared" si="7"/>
        <v>0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1" t="s">
        <v>294</v>
      </c>
      <c r="C6" s="10" t="s">
        <v>49</v>
      </c>
      <c r="D6" s="10" t="s">
        <v>60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1</v>
      </c>
      <c r="AD6" s="10">
        <f t="shared" si="7"/>
        <v>1</v>
      </c>
      <c r="AE6" s="10">
        <f t="shared" si="7"/>
        <v>1</v>
      </c>
      <c r="AF6" s="10">
        <f t="shared" si="7"/>
        <v>1</v>
      </c>
      <c r="AG6" s="10">
        <f t="shared" si="7"/>
        <v>1</v>
      </c>
      <c r="AH6" s="10">
        <f t="shared" si="7"/>
        <v>1</v>
      </c>
      <c r="AI6" s="10">
        <f t="shared" si="7"/>
        <v>1</v>
      </c>
      <c r="AJ6" s="10">
        <f t="shared" si="7"/>
        <v>1</v>
      </c>
      <c r="AK6" s="10">
        <f t="shared" si="7"/>
        <v>1</v>
      </c>
      <c r="AL6" s="10">
        <f t="shared" si="7"/>
        <v>1</v>
      </c>
      <c r="AM6" s="10">
        <f t="shared" si="7"/>
        <v>1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1" t="s">
        <v>295</v>
      </c>
      <c r="C7" s="10" t="s">
        <v>50</v>
      </c>
      <c r="D7" s="10" t="s">
        <v>61</v>
      </c>
      <c r="E7" s="10">
        <v>1</v>
      </c>
      <c r="F7" s="10">
        <v>1</v>
      </c>
      <c r="G7" s="10">
        <v>1</v>
      </c>
      <c r="H7" s="10">
        <f t="shared" si="5"/>
        <v>1</v>
      </c>
      <c r="I7" s="10"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0</v>
      </c>
      <c r="R7" s="10">
        <f t="shared" si="6"/>
        <v>0</v>
      </c>
      <c r="S7" s="10">
        <f t="shared" si="6"/>
        <v>0</v>
      </c>
      <c r="T7" s="10">
        <f t="shared" si="6"/>
        <v>0</v>
      </c>
      <c r="U7" s="10">
        <f t="shared" si="6"/>
        <v>0</v>
      </c>
      <c r="V7" s="10">
        <f t="shared" si="6"/>
        <v>0</v>
      </c>
      <c r="W7" s="10">
        <f t="shared" si="6"/>
        <v>0</v>
      </c>
      <c r="X7" s="10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1" t="s">
        <v>296</v>
      </c>
      <c r="C8" s="10" t="s">
        <v>51</v>
      </c>
      <c r="D8" s="10" t="s">
        <v>25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si="6"/>
        <v>1</v>
      </c>
      <c r="S8" s="10">
        <f t="shared" si="6"/>
        <v>1</v>
      </c>
      <c r="T8" s="10">
        <f t="shared" si="6"/>
        <v>1</v>
      </c>
      <c r="U8" s="10">
        <f t="shared" si="6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C8" s="10">
        <v>1</v>
      </c>
      <c r="AD8" s="10">
        <f t="shared" si="7"/>
        <v>1</v>
      </c>
      <c r="AE8" s="10">
        <f t="shared" si="7"/>
        <v>1</v>
      </c>
      <c r="AF8" s="10">
        <f t="shared" si="7"/>
        <v>1</v>
      </c>
      <c r="AG8" s="10">
        <f t="shared" si="7"/>
        <v>1</v>
      </c>
      <c r="AH8" s="10">
        <f t="shared" si="7"/>
        <v>1</v>
      </c>
      <c r="AI8" s="10">
        <f t="shared" si="7"/>
        <v>1</v>
      </c>
      <c r="AJ8" s="10">
        <f t="shared" si="7"/>
        <v>1</v>
      </c>
      <c r="AK8" s="10">
        <f t="shared" si="7"/>
        <v>1</v>
      </c>
      <c r="AL8" s="10">
        <f t="shared" si="7"/>
        <v>1</v>
      </c>
      <c r="AM8" s="10">
        <f t="shared" si="7"/>
        <v>1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1" t="s">
        <v>297</v>
      </c>
      <c r="C9" s="10" t="s">
        <v>52</v>
      </c>
      <c r="D9" s="10" t="s">
        <v>25</v>
      </c>
      <c r="E9" s="10">
        <v>0</v>
      </c>
      <c r="F9" s="10">
        <v>0</v>
      </c>
      <c r="G9" s="10"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10">
        <f t="shared" si="5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B10" s="2"/>
      <c r="E10" t="str">
        <f t="shared" ref="E10:AM10" si="10">CONCATENATE(E9,E8,E7,E6,E5,E4,E3,E2)</f>
        <v>00101010</v>
      </c>
      <c r="F10" t="str">
        <f t="shared" si="10"/>
        <v>00101010</v>
      </c>
      <c r="G10" t="str">
        <f t="shared" si="10"/>
        <v>00101010</v>
      </c>
      <c r="H10" t="str">
        <f t="shared" si="10"/>
        <v>00101010</v>
      </c>
      <c r="I10" t="str">
        <f t="shared" si="10"/>
        <v>00000000</v>
      </c>
      <c r="J10" t="str">
        <f t="shared" si="10"/>
        <v>00000000</v>
      </c>
      <c r="K10" t="str">
        <f t="shared" si="10"/>
        <v>00000000</v>
      </c>
      <c r="L10" t="str">
        <f t="shared" si="10"/>
        <v>00000000</v>
      </c>
      <c r="M10" t="str">
        <f t="shared" si="10"/>
        <v>00000000</v>
      </c>
      <c r="N10" t="str">
        <f t="shared" si="10"/>
        <v>00000000</v>
      </c>
      <c r="O10" t="str">
        <f t="shared" si="10"/>
        <v>00000000</v>
      </c>
      <c r="Q10" t="str">
        <f t="shared" si="10"/>
        <v>11010101</v>
      </c>
      <c r="R10" t="str">
        <f t="shared" si="10"/>
        <v>11010101</v>
      </c>
      <c r="S10" t="str">
        <f t="shared" si="10"/>
        <v>11010101</v>
      </c>
      <c r="T10" t="str">
        <f t="shared" si="10"/>
        <v>11010101</v>
      </c>
      <c r="U10" t="str">
        <f t="shared" si="10"/>
        <v>11010101</v>
      </c>
      <c r="V10" t="str">
        <f t="shared" si="10"/>
        <v>11010101</v>
      </c>
      <c r="W10" t="str">
        <f t="shared" si="10"/>
        <v>11010101</v>
      </c>
      <c r="X10" t="str">
        <f t="shared" si="10"/>
        <v>11010101</v>
      </c>
      <c r="Y10" t="str">
        <f t="shared" si="10"/>
        <v>11010101</v>
      </c>
      <c r="Z10" t="str">
        <f t="shared" si="10"/>
        <v>11010101</v>
      </c>
      <c r="AA10" t="str">
        <f t="shared" si="10"/>
        <v>11010101</v>
      </c>
      <c r="AC10" t="str">
        <f t="shared" si="10"/>
        <v>01010101</v>
      </c>
      <c r="AD10" t="str">
        <f t="shared" si="10"/>
        <v>01010101</v>
      </c>
      <c r="AE10" t="str">
        <f t="shared" si="10"/>
        <v>01010101</v>
      </c>
      <c r="AF10" t="str">
        <f t="shared" si="10"/>
        <v>01010101</v>
      </c>
      <c r="AG10" t="str">
        <f t="shared" si="10"/>
        <v>01010101</v>
      </c>
      <c r="AH10" t="str">
        <f t="shared" si="10"/>
        <v>01010101</v>
      </c>
      <c r="AI10" t="str">
        <f t="shared" si="10"/>
        <v>01010101</v>
      </c>
      <c r="AJ10" t="str">
        <f t="shared" si="10"/>
        <v>01010101</v>
      </c>
      <c r="AK10" t="str">
        <f t="shared" si="10"/>
        <v>01010101</v>
      </c>
      <c r="AL10" t="str">
        <f t="shared" si="10"/>
        <v>01010101</v>
      </c>
      <c r="AM10" t="str">
        <f t="shared" si="10"/>
        <v>01010101</v>
      </c>
      <c r="AO10" t="str">
        <f t="shared" ref="AO10:AY10" si="11">CONCATENATE(AO9,AO8,AO7,AO6,AO5,AO4,AO3,AO2)</f>
        <v>00000000</v>
      </c>
      <c r="AP10" t="str">
        <f t="shared" si="11"/>
        <v>00000000</v>
      </c>
      <c r="AQ10" t="str">
        <f t="shared" si="11"/>
        <v>00000000</v>
      </c>
      <c r="AR10" t="str">
        <f t="shared" si="11"/>
        <v>00000000</v>
      </c>
      <c r="AS10" t="str">
        <f t="shared" si="11"/>
        <v>00000000</v>
      </c>
      <c r="AT10" t="str">
        <f t="shared" si="11"/>
        <v>00000000</v>
      </c>
      <c r="AU10" t="str">
        <f t="shared" si="11"/>
        <v>00000000</v>
      </c>
      <c r="AV10" t="str">
        <f t="shared" si="11"/>
        <v>00000000</v>
      </c>
      <c r="AW10" t="str">
        <f t="shared" si="11"/>
        <v>00000000</v>
      </c>
      <c r="AX10" t="str">
        <f t="shared" si="11"/>
        <v>00000000</v>
      </c>
      <c r="AY10" t="str">
        <f t="shared" si="11"/>
        <v>00000000</v>
      </c>
      <c r="BA10" t="str">
        <f t="shared" ref="BA10:BK10" si="12">CONCATENATE(BA9,BA8,BA7,BA6,BA5,BA4,BA3,BA2)</f>
        <v>00000000</v>
      </c>
      <c r="BB10" t="str">
        <f t="shared" si="12"/>
        <v>00000000</v>
      </c>
      <c r="BC10" t="str">
        <f t="shared" si="12"/>
        <v>00000000</v>
      </c>
      <c r="BD10" t="str">
        <f t="shared" si="12"/>
        <v>00000000</v>
      </c>
      <c r="BE10" t="str">
        <f t="shared" si="12"/>
        <v>00000000</v>
      </c>
      <c r="BF10" t="str">
        <f t="shared" si="12"/>
        <v>00000000</v>
      </c>
      <c r="BG10" t="str">
        <f t="shared" si="12"/>
        <v>00000000</v>
      </c>
      <c r="BH10" t="str">
        <f t="shared" si="12"/>
        <v>00000000</v>
      </c>
      <c r="BI10" t="str">
        <f t="shared" si="12"/>
        <v>00000000</v>
      </c>
      <c r="BJ10" t="str">
        <f t="shared" si="12"/>
        <v>00000000</v>
      </c>
      <c r="BK10" t="str">
        <f t="shared" si="12"/>
        <v>00000000</v>
      </c>
    </row>
    <row r="11" spans="1:63" x14ac:dyDescent="0.25">
      <c r="A11" s="2"/>
      <c r="B11" s="2"/>
      <c r="E11" t="str">
        <f t="shared" ref="E11:AM11" si="13">CONCATENATE(BIN2HEX(E10,2))</f>
        <v>2A</v>
      </c>
      <c r="F11" t="str">
        <f t="shared" si="13"/>
        <v>2A</v>
      </c>
      <c r="G11" t="str">
        <f t="shared" si="13"/>
        <v>2A</v>
      </c>
      <c r="H11" t="str">
        <f t="shared" si="13"/>
        <v>2A</v>
      </c>
      <c r="I11" t="str">
        <f t="shared" si="13"/>
        <v>00</v>
      </c>
      <c r="J11" t="str">
        <f t="shared" si="13"/>
        <v>00</v>
      </c>
      <c r="K11" t="str">
        <f t="shared" si="13"/>
        <v>00</v>
      </c>
      <c r="L11" t="str">
        <f t="shared" si="13"/>
        <v>00</v>
      </c>
      <c r="M11" t="str">
        <f t="shared" si="13"/>
        <v>00</v>
      </c>
      <c r="N11" t="str">
        <f t="shared" si="13"/>
        <v>00</v>
      </c>
      <c r="O11" t="str">
        <f t="shared" si="13"/>
        <v>00</v>
      </c>
      <c r="Q11" t="str">
        <f t="shared" si="13"/>
        <v>D5</v>
      </c>
      <c r="R11" t="str">
        <f t="shared" si="13"/>
        <v>D5</v>
      </c>
      <c r="S11" t="str">
        <f t="shared" si="13"/>
        <v>D5</v>
      </c>
      <c r="T11" t="str">
        <f t="shared" si="13"/>
        <v>D5</v>
      </c>
      <c r="U11" t="str">
        <f t="shared" si="13"/>
        <v>D5</v>
      </c>
      <c r="V11" t="str">
        <f t="shared" si="13"/>
        <v>D5</v>
      </c>
      <c r="W11" t="str">
        <f t="shared" si="13"/>
        <v>D5</v>
      </c>
      <c r="X11" t="str">
        <f t="shared" si="13"/>
        <v>D5</v>
      </c>
      <c r="Y11" t="str">
        <f t="shared" si="13"/>
        <v>D5</v>
      </c>
      <c r="Z11" t="str">
        <f t="shared" si="13"/>
        <v>D5</v>
      </c>
      <c r="AA11" t="str">
        <f t="shared" si="13"/>
        <v>D5</v>
      </c>
      <c r="AC11" t="str">
        <f t="shared" si="13"/>
        <v>55</v>
      </c>
      <c r="AD11" t="str">
        <f t="shared" si="13"/>
        <v>55</v>
      </c>
      <c r="AE11" t="str">
        <f t="shared" si="13"/>
        <v>55</v>
      </c>
      <c r="AF11" t="str">
        <f t="shared" si="13"/>
        <v>55</v>
      </c>
      <c r="AG11" t="str">
        <f t="shared" si="13"/>
        <v>55</v>
      </c>
      <c r="AH11" t="str">
        <f t="shared" si="13"/>
        <v>55</v>
      </c>
      <c r="AI11" t="str">
        <f t="shared" si="13"/>
        <v>55</v>
      </c>
      <c r="AJ11" t="str">
        <f t="shared" si="13"/>
        <v>55</v>
      </c>
      <c r="AK11" t="str">
        <f t="shared" si="13"/>
        <v>55</v>
      </c>
      <c r="AL11" t="str">
        <f t="shared" si="13"/>
        <v>55</v>
      </c>
      <c r="AM11" t="str">
        <f t="shared" si="13"/>
        <v>55</v>
      </c>
      <c r="AO11" t="str">
        <f t="shared" ref="AO11:AY11" si="14">CONCATENATE(BIN2HEX(AO10,2))</f>
        <v>00</v>
      </c>
      <c r="AP11" t="str">
        <f t="shared" si="14"/>
        <v>00</v>
      </c>
      <c r="AQ11" t="str">
        <f t="shared" si="14"/>
        <v>00</v>
      </c>
      <c r="AR11" t="str">
        <f t="shared" si="14"/>
        <v>00</v>
      </c>
      <c r="AS11" t="str">
        <f t="shared" si="14"/>
        <v>00</v>
      </c>
      <c r="AT11" t="str">
        <f t="shared" si="14"/>
        <v>00</v>
      </c>
      <c r="AU11" t="str">
        <f t="shared" si="14"/>
        <v>00</v>
      </c>
      <c r="AV11" t="str">
        <f t="shared" si="14"/>
        <v>00</v>
      </c>
      <c r="AW11" t="str">
        <f t="shared" si="14"/>
        <v>00</v>
      </c>
      <c r="AX11" t="str">
        <f t="shared" si="14"/>
        <v>00</v>
      </c>
      <c r="AY11" t="str">
        <f t="shared" si="14"/>
        <v>00</v>
      </c>
      <c r="BA11" t="str">
        <f t="shared" ref="BA11:BK11" si="15">CONCATENATE(BIN2HEX(BA10,2))</f>
        <v>00</v>
      </c>
      <c r="BB11" t="str">
        <f t="shared" si="15"/>
        <v>00</v>
      </c>
      <c r="BC11" t="str">
        <f t="shared" si="15"/>
        <v>00</v>
      </c>
      <c r="BD11" t="str">
        <f t="shared" si="15"/>
        <v>00</v>
      </c>
      <c r="BE11" t="str">
        <f t="shared" si="15"/>
        <v>00</v>
      </c>
      <c r="BF11" t="str">
        <f t="shared" si="15"/>
        <v>00</v>
      </c>
      <c r="BG11" t="str">
        <f t="shared" si="15"/>
        <v>00</v>
      </c>
      <c r="BH11" t="str">
        <f t="shared" si="15"/>
        <v>00</v>
      </c>
      <c r="BI11" t="str">
        <f t="shared" si="15"/>
        <v>00</v>
      </c>
      <c r="BJ11" t="str">
        <f t="shared" si="15"/>
        <v>00</v>
      </c>
      <c r="BK11" t="str">
        <f t="shared" si="15"/>
        <v>00</v>
      </c>
    </row>
    <row r="12" spans="1:63" x14ac:dyDescent="0.25">
      <c r="A12" s="2"/>
      <c r="B12" s="2"/>
    </row>
    <row r="13" spans="1:63" s="10" customFormat="1" x14ac:dyDescent="0.25">
      <c r="A13" s="11"/>
      <c r="B13" s="11" t="s">
        <v>298</v>
      </c>
      <c r="C13" s="10" t="s">
        <v>53</v>
      </c>
      <c r="D13" s="10" t="s">
        <v>64</v>
      </c>
      <c r="E13" s="10">
        <v>0</v>
      </c>
      <c r="F13" s="10">
        <v>0</v>
      </c>
      <c r="G13" s="10">
        <v>0</v>
      </c>
      <c r="H13" s="10">
        <f>G13</f>
        <v>0</v>
      </c>
      <c r="I13" s="10">
        <f t="shared" ref="I13:O13" si="16">H13</f>
        <v>0</v>
      </c>
      <c r="J13" s="10">
        <f t="shared" si="16"/>
        <v>0</v>
      </c>
      <c r="K13" s="10">
        <f t="shared" si="16"/>
        <v>0</v>
      </c>
      <c r="L13" s="10">
        <f t="shared" si="16"/>
        <v>0</v>
      </c>
      <c r="M13" s="10">
        <f t="shared" si="16"/>
        <v>0</v>
      </c>
      <c r="N13" s="10">
        <f t="shared" si="16"/>
        <v>0</v>
      </c>
      <c r="O13" s="10">
        <f t="shared" si="16"/>
        <v>0</v>
      </c>
      <c r="Q13" s="10">
        <v>1</v>
      </c>
      <c r="R13" s="10">
        <f>Q13</f>
        <v>1</v>
      </c>
      <c r="S13" s="10">
        <f t="shared" ref="S13:AA13" si="17">R13</f>
        <v>1</v>
      </c>
      <c r="T13" s="10">
        <f t="shared" si="17"/>
        <v>1</v>
      </c>
      <c r="U13" s="10">
        <f t="shared" si="17"/>
        <v>1</v>
      </c>
      <c r="V13" s="10">
        <f t="shared" si="17"/>
        <v>1</v>
      </c>
      <c r="W13" s="10">
        <f t="shared" si="17"/>
        <v>1</v>
      </c>
      <c r="X13" s="10">
        <f t="shared" si="17"/>
        <v>1</v>
      </c>
      <c r="Y13" s="10">
        <f t="shared" si="17"/>
        <v>1</v>
      </c>
      <c r="Z13" s="10">
        <f t="shared" si="17"/>
        <v>1</v>
      </c>
      <c r="AA13" s="10">
        <f t="shared" si="17"/>
        <v>1</v>
      </c>
      <c r="AC13" s="10">
        <v>1</v>
      </c>
      <c r="AD13" s="10">
        <f>AC13</f>
        <v>1</v>
      </c>
      <c r="AE13" s="10">
        <f t="shared" ref="AE13:AM13" si="18">AD13</f>
        <v>1</v>
      </c>
      <c r="AF13" s="10">
        <f t="shared" si="18"/>
        <v>1</v>
      </c>
      <c r="AG13" s="10">
        <f t="shared" si="18"/>
        <v>1</v>
      </c>
      <c r="AH13" s="10">
        <f t="shared" si="18"/>
        <v>1</v>
      </c>
      <c r="AI13" s="10">
        <f t="shared" si="18"/>
        <v>1</v>
      </c>
      <c r="AJ13" s="10">
        <f t="shared" si="18"/>
        <v>1</v>
      </c>
      <c r="AK13" s="10">
        <f t="shared" si="18"/>
        <v>1</v>
      </c>
      <c r="AL13" s="10">
        <f t="shared" si="18"/>
        <v>1</v>
      </c>
      <c r="AM13" s="10">
        <f t="shared" si="18"/>
        <v>1</v>
      </c>
      <c r="AO13" s="10">
        <v>0</v>
      </c>
      <c r="AP13" s="10">
        <f>AO13</f>
        <v>0</v>
      </c>
      <c r="AQ13" s="10">
        <f t="shared" ref="AQ13:AY13" si="19">AP13</f>
        <v>0</v>
      </c>
      <c r="AR13" s="10">
        <f t="shared" si="19"/>
        <v>0</v>
      </c>
      <c r="AS13" s="10">
        <f t="shared" si="19"/>
        <v>0</v>
      </c>
      <c r="AT13" s="10">
        <f t="shared" si="19"/>
        <v>0</v>
      </c>
      <c r="AU13" s="10">
        <f t="shared" si="19"/>
        <v>0</v>
      </c>
      <c r="AV13" s="10">
        <f t="shared" si="19"/>
        <v>0</v>
      </c>
      <c r="AW13" s="10">
        <f t="shared" si="19"/>
        <v>0</v>
      </c>
      <c r="AX13" s="10">
        <f t="shared" si="19"/>
        <v>0</v>
      </c>
      <c r="AY13" s="10">
        <f t="shared" si="19"/>
        <v>0</v>
      </c>
      <c r="BA13" s="10">
        <v>0</v>
      </c>
      <c r="BB13" s="10">
        <f>BA13</f>
        <v>0</v>
      </c>
      <c r="BC13" s="10">
        <f t="shared" ref="BC13:BK13" si="20">BB13</f>
        <v>0</v>
      </c>
      <c r="BD13" s="10">
        <f t="shared" si="20"/>
        <v>0</v>
      </c>
      <c r="BE13" s="10">
        <f t="shared" si="20"/>
        <v>0</v>
      </c>
      <c r="BF13" s="10">
        <f t="shared" si="20"/>
        <v>0</v>
      </c>
      <c r="BG13" s="10">
        <f t="shared" si="20"/>
        <v>0</v>
      </c>
      <c r="BH13" s="10">
        <f t="shared" si="20"/>
        <v>0</v>
      </c>
      <c r="BI13" s="10">
        <f t="shared" si="20"/>
        <v>0</v>
      </c>
      <c r="BJ13" s="10">
        <f t="shared" si="20"/>
        <v>0</v>
      </c>
      <c r="BK13" s="10">
        <f t="shared" si="20"/>
        <v>0</v>
      </c>
    </row>
    <row r="14" spans="1:63" s="10" customFormat="1" x14ac:dyDescent="0.25">
      <c r="A14" s="11"/>
      <c r="B14" s="11" t="s">
        <v>299</v>
      </c>
      <c r="C14" s="10" t="s">
        <v>54</v>
      </c>
      <c r="D14" s="10" t="s">
        <v>65</v>
      </c>
      <c r="E14" s="10">
        <v>1</v>
      </c>
      <c r="F14" s="10">
        <v>1</v>
      </c>
      <c r="G14" s="10">
        <v>1</v>
      </c>
      <c r="H14" s="10">
        <v>0</v>
      </c>
      <c r="I14" s="10">
        <f t="shared" ref="H14:O20" si="21">H14</f>
        <v>0</v>
      </c>
      <c r="J14" s="10">
        <f t="shared" si="21"/>
        <v>0</v>
      </c>
      <c r="K14" s="10">
        <f t="shared" si="21"/>
        <v>0</v>
      </c>
      <c r="L14" s="10">
        <f t="shared" si="21"/>
        <v>0</v>
      </c>
      <c r="M14" s="10">
        <f t="shared" si="21"/>
        <v>0</v>
      </c>
      <c r="N14" s="10">
        <f t="shared" si="21"/>
        <v>0</v>
      </c>
      <c r="O14" s="10">
        <f t="shared" si="21"/>
        <v>0</v>
      </c>
      <c r="Q14" s="10">
        <v>0</v>
      </c>
      <c r="R14" s="10">
        <f t="shared" ref="R14:AA20" si="22">Q14</f>
        <v>0</v>
      </c>
      <c r="S14" s="10">
        <f t="shared" si="22"/>
        <v>0</v>
      </c>
      <c r="T14" s="10">
        <f t="shared" si="22"/>
        <v>0</v>
      </c>
      <c r="U14" s="10">
        <f t="shared" si="22"/>
        <v>0</v>
      </c>
      <c r="V14" s="10">
        <f t="shared" si="22"/>
        <v>0</v>
      </c>
      <c r="W14" s="10">
        <f t="shared" si="22"/>
        <v>0</v>
      </c>
      <c r="X14" s="10">
        <f t="shared" si="22"/>
        <v>0</v>
      </c>
      <c r="Y14" s="10">
        <f t="shared" si="22"/>
        <v>0</v>
      </c>
      <c r="Z14" s="10">
        <f t="shared" si="22"/>
        <v>0</v>
      </c>
      <c r="AA14" s="10">
        <f t="shared" si="22"/>
        <v>0</v>
      </c>
      <c r="AC14" s="10">
        <v>0</v>
      </c>
      <c r="AD14" s="10">
        <f t="shared" ref="AD14:AM20" si="23">AC14</f>
        <v>0</v>
      </c>
      <c r="AE14" s="10">
        <f t="shared" si="23"/>
        <v>0</v>
      </c>
      <c r="AF14" s="10">
        <f t="shared" si="23"/>
        <v>0</v>
      </c>
      <c r="AG14" s="10">
        <f t="shared" si="23"/>
        <v>0</v>
      </c>
      <c r="AH14" s="10">
        <f t="shared" si="23"/>
        <v>0</v>
      </c>
      <c r="AI14" s="10">
        <f t="shared" si="23"/>
        <v>0</v>
      </c>
      <c r="AJ14" s="10">
        <f t="shared" si="23"/>
        <v>0</v>
      </c>
      <c r="AK14" s="10">
        <f t="shared" si="23"/>
        <v>0</v>
      </c>
      <c r="AL14" s="10">
        <f t="shared" si="23"/>
        <v>0</v>
      </c>
      <c r="AM14" s="10">
        <f t="shared" si="23"/>
        <v>0</v>
      </c>
      <c r="AO14" s="10">
        <v>0</v>
      </c>
      <c r="AP14" s="10">
        <f t="shared" ref="AP14:AY20" si="24">AO14</f>
        <v>0</v>
      </c>
      <c r="AQ14" s="10">
        <f t="shared" si="24"/>
        <v>0</v>
      </c>
      <c r="AR14" s="10">
        <f t="shared" si="24"/>
        <v>0</v>
      </c>
      <c r="AS14" s="10">
        <f t="shared" si="24"/>
        <v>0</v>
      </c>
      <c r="AT14" s="10">
        <f t="shared" si="24"/>
        <v>0</v>
      </c>
      <c r="AU14" s="10">
        <f t="shared" si="24"/>
        <v>0</v>
      </c>
      <c r="AV14" s="10">
        <f t="shared" si="24"/>
        <v>0</v>
      </c>
      <c r="AW14" s="10">
        <f t="shared" si="24"/>
        <v>0</v>
      </c>
      <c r="AX14" s="10">
        <f t="shared" si="24"/>
        <v>0</v>
      </c>
      <c r="AY14" s="10">
        <f t="shared" si="24"/>
        <v>0</v>
      </c>
      <c r="BA14" s="10">
        <v>0</v>
      </c>
      <c r="BB14" s="10">
        <f t="shared" ref="BB14:BK20" si="25">BA14</f>
        <v>0</v>
      </c>
      <c r="BC14" s="10">
        <f t="shared" si="25"/>
        <v>0</v>
      </c>
      <c r="BD14" s="10">
        <f t="shared" si="25"/>
        <v>0</v>
      </c>
      <c r="BE14" s="10">
        <f t="shared" si="25"/>
        <v>0</v>
      </c>
      <c r="BF14" s="10">
        <f t="shared" si="25"/>
        <v>0</v>
      </c>
      <c r="BG14" s="10">
        <f t="shared" si="25"/>
        <v>0</v>
      </c>
      <c r="BH14" s="10">
        <f t="shared" si="25"/>
        <v>0</v>
      </c>
      <c r="BI14" s="10">
        <f t="shared" si="25"/>
        <v>0</v>
      </c>
      <c r="BJ14" s="10">
        <f t="shared" si="25"/>
        <v>0</v>
      </c>
      <c r="BK14" s="10">
        <f t="shared" si="25"/>
        <v>0</v>
      </c>
    </row>
    <row r="15" spans="1:63" s="10" customFormat="1" x14ac:dyDescent="0.25">
      <c r="A15" s="11"/>
      <c r="B15" s="11" t="s">
        <v>300</v>
      </c>
      <c r="C15" s="10" t="s">
        <v>55</v>
      </c>
      <c r="D15" s="10" t="s">
        <v>65</v>
      </c>
      <c r="E15" s="10">
        <v>1</v>
      </c>
      <c r="F15" s="10">
        <v>1</v>
      </c>
      <c r="G15" s="10">
        <v>1</v>
      </c>
      <c r="H15" s="10">
        <v>0</v>
      </c>
      <c r="I15" s="10">
        <f t="shared" si="21"/>
        <v>0</v>
      </c>
      <c r="J15" s="10">
        <f t="shared" si="21"/>
        <v>0</v>
      </c>
      <c r="K15" s="10">
        <f t="shared" si="21"/>
        <v>0</v>
      </c>
      <c r="L15" s="10">
        <f t="shared" si="21"/>
        <v>0</v>
      </c>
      <c r="M15" s="10">
        <f t="shared" si="21"/>
        <v>0</v>
      </c>
      <c r="N15" s="10">
        <f t="shared" si="21"/>
        <v>0</v>
      </c>
      <c r="O15" s="10">
        <f t="shared" si="21"/>
        <v>0</v>
      </c>
      <c r="Q15" s="10">
        <v>0</v>
      </c>
      <c r="R15" s="10">
        <f t="shared" si="22"/>
        <v>0</v>
      </c>
      <c r="S15" s="10">
        <f t="shared" si="22"/>
        <v>0</v>
      </c>
      <c r="T15" s="10">
        <f t="shared" si="22"/>
        <v>0</v>
      </c>
      <c r="U15" s="10">
        <f t="shared" si="22"/>
        <v>0</v>
      </c>
      <c r="V15" s="10">
        <f t="shared" si="22"/>
        <v>0</v>
      </c>
      <c r="W15" s="10">
        <f t="shared" si="22"/>
        <v>0</v>
      </c>
      <c r="X15" s="10">
        <f t="shared" si="22"/>
        <v>0</v>
      </c>
      <c r="Y15" s="10">
        <f t="shared" si="22"/>
        <v>0</v>
      </c>
      <c r="Z15" s="10">
        <f t="shared" si="22"/>
        <v>0</v>
      </c>
      <c r="AA15" s="10">
        <f t="shared" si="22"/>
        <v>0</v>
      </c>
      <c r="AC15" s="10">
        <v>0</v>
      </c>
      <c r="AD15" s="10">
        <f t="shared" si="23"/>
        <v>0</v>
      </c>
      <c r="AE15" s="10">
        <f t="shared" si="23"/>
        <v>0</v>
      </c>
      <c r="AF15" s="10">
        <f t="shared" si="23"/>
        <v>0</v>
      </c>
      <c r="AG15" s="10">
        <f t="shared" si="23"/>
        <v>0</v>
      </c>
      <c r="AH15" s="10">
        <f t="shared" si="23"/>
        <v>0</v>
      </c>
      <c r="AI15" s="10">
        <f t="shared" si="23"/>
        <v>0</v>
      </c>
      <c r="AJ15" s="10">
        <f t="shared" si="23"/>
        <v>0</v>
      </c>
      <c r="AK15" s="10">
        <f t="shared" si="23"/>
        <v>0</v>
      </c>
      <c r="AL15" s="10">
        <f t="shared" si="23"/>
        <v>0</v>
      </c>
      <c r="AM15" s="10">
        <f t="shared" si="23"/>
        <v>0</v>
      </c>
      <c r="AO15" s="10">
        <v>0</v>
      </c>
      <c r="AP15" s="10">
        <f t="shared" si="24"/>
        <v>0</v>
      </c>
      <c r="AQ15" s="10">
        <f t="shared" si="24"/>
        <v>0</v>
      </c>
      <c r="AR15" s="10">
        <f t="shared" si="24"/>
        <v>0</v>
      </c>
      <c r="AS15" s="10">
        <f t="shared" si="24"/>
        <v>0</v>
      </c>
      <c r="AT15" s="10">
        <f t="shared" si="24"/>
        <v>0</v>
      </c>
      <c r="AU15" s="10">
        <f t="shared" si="24"/>
        <v>0</v>
      </c>
      <c r="AV15" s="10">
        <f t="shared" si="24"/>
        <v>0</v>
      </c>
      <c r="AW15" s="10">
        <f t="shared" si="24"/>
        <v>0</v>
      </c>
      <c r="AX15" s="10">
        <f t="shared" si="24"/>
        <v>0</v>
      </c>
      <c r="AY15" s="10">
        <f t="shared" si="24"/>
        <v>0</v>
      </c>
      <c r="BA15" s="10">
        <v>0</v>
      </c>
      <c r="BB15" s="10">
        <f t="shared" si="25"/>
        <v>0</v>
      </c>
      <c r="BC15" s="10">
        <f t="shared" si="25"/>
        <v>0</v>
      </c>
      <c r="BD15" s="10">
        <f t="shared" si="25"/>
        <v>0</v>
      </c>
      <c r="BE15" s="10">
        <f t="shared" si="25"/>
        <v>0</v>
      </c>
      <c r="BF15" s="10">
        <f t="shared" si="25"/>
        <v>0</v>
      </c>
      <c r="BG15" s="10">
        <f t="shared" si="25"/>
        <v>0</v>
      </c>
      <c r="BH15" s="10">
        <f t="shared" si="25"/>
        <v>0</v>
      </c>
      <c r="BI15" s="10">
        <f t="shared" si="25"/>
        <v>0</v>
      </c>
      <c r="BJ15" s="10">
        <f t="shared" si="25"/>
        <v>0</v>
      </c>
      <c r="BK15" s="10">
        <f t="shared" si="25"/>
        <v>0</v>
      </c>
    </row>
    <row r="16" spans="1:63" s="10" customFormat="1" x14ac:dyDescent="0.25">
      <c r="A16" s="11"/>
      <c r="B16" s="11" t="s">
        <v>301</v>
      </c>
      <c r="C16" s="10" t="s">
        <v>56</v>
      </c>
      <c r="D16" s="10" t="s">
        <v>66</v>
      </c>
      <c r="E16" s="10">
        <v>0</v>
      </c>
      <c r="F16" s="10">
        <v>0</v>
      </c>
      <c r="G16" s="10">
        <v>0</v>
      </c>
      <c r="H16" s="10">
        <f t="shared" si="21"/>
        <v>0</v>
      </c>
      <c r="I16" s="10">
        <f t="shared" si="21"/>
        <v>0</v>
      </c>
      <c r="J16" s="10">
        <f t="shared" si="21"/>
        <v>0</v>
      </c>
      <c r="K16" s="10">
        <f t="shared" si="21"/>
        <v>0</v>
      </c>
      <c r="L16" s="10">
        <f t="shared" si="21"/>
        <v>0</v>
      </c>
      <c r="M16" s="10">
        <f t="shared" si="21"/>
        <v>0</v>
      </c>
      <c r="N16" s="10">
        <f t="shared" si="21"/>
        <v>0</v>
      </c>
      <c r="O16" s="10">
        <f t="shared" si="21"/>
        <v>0</v>
      </c>
      <c r="Q16" s="10">
        <v>1</v>
      </c>
      <c r="R16" s="10">
        <f t="shared" si="22"/>
        <v>1</v>
      </c>
      <c r="S16" s="10">
        <f t="shared" si="22"/>
        <v>1</v>
      </c>
      <c r="T16" s="10">
        <f t="shared" si="22"/>
        <v>1</v>
      </c>
      <c r="U16" s="10">
        <f t="shared" si="22"/>
        <v>1</v>
      </c>
      <c r="V16" s="10">
        <f t="shared" si="22"/>
        <v>1</v>
      </c>
      <c r="W16" s="10">
        <f t="shared" si="22"/>
        <v>1</v>
      </c>
      <c r="X16" s="10">
        <f t="shared" si="22"/>
        <v>1</v>
      </c>
      <c r="Y16" s="10">
        <f t="shared" si="22"/>
        <v>1</v>
      </c>
      <c r="Z16" s="10">
        <f t="shared" si="22"/>
        <v>1</v>
      </c>
      <c r="AA16" s="10">
        <f t="shared" si="22"/>
        <v>1</v>
      </c>
      <c r="AC16" s="10">
        <v>1</v>
      </c>
      <c r="AD16" s="10">
        <f t="shared" si="23"/>
        <v>1</v>
      </c>
      <c r="AE16" s="10">
        <f t="shared" si="23"/>
        <v>1</v>
      </c>
      <c r="AF16" s="10">
        <f t="shared" si="23"/>
        <v>1</v>
      </c>
      <c r="AG16" s="10">
        <f t="shared" si="23"/>
        <v>1</v>
      </c>
      <c r="AH16" s="10">
        <f t="shared" si="23"/>
        <v>1</v>
      </c>
      <c r="AI16" s="10">
        <f t="shared" si="23"/>
        <v>1</v>
      </c>
      <c r="AJ16" s="10">
        <f t="shared" si="23"/>
        <v>1</v>
      </c>
      <c r="AK16" s="10">
        <f t="shared" si="23"/>
        <v>1</v>
      </c>
      <c r="AL16" s="10">
        <f t="shared" si="23"/>
        <v>1</v>
      </c>
      <c r="AM16" s="10">
        <f t="shared" si="23"/>
        <v>1</v>
      </c>
      <c r="AO16" s="10">
        <v>0</v>
      </c>
      <c r="AP16" s="10">
        <f t="shared" si="24"/>
        <v>0</v>
      </c>
      <c r="AQ16" s="10">
        <f t="shared" si="24"/>
        <v>0</v>
      </c>
      <c r="AR16" s="10">
        <f t="shared" si="24"/>
        <v>0</v>
      </c>
      <c r="AS16" s="10">
        <f t="shared" si="24"/>
        <v>0</v>
      </c>
      <c r="AT16" s="10">
        <f t="shared" si="24"/>
        <v>0</v>
      </c>
      <c r="AU16" s="10">
        <f t="shared" si="24"/>
        <v>0</v>
      </c>
      <c r="AV16" s="10">
        <f t="shared" si="24"/>
        <v>0</v>
      </c>
      <c r="AW16" s="10">
        <f t="shared" si="24"/>
        <v>0</v>
      </c>
      <c r="AX16" s="10">
        <f t="shared" si="24"/>
        <v>0</v>
      </c>
      <c r="AY16" s="10">
        <f t="shared" si="24"/>
        <v>0</v>
      </c>
      <c r="BA16" s="10">
        <v>0</v>
      </c>
      <c r="BB16" s="10">
        <f t="shared" si="25"/>
        <v>0</v>
      </c>
      <c r="BC16" s="10">
        <f t="shared" si="25"/>
        <v>0</v>
      </c>
      <c r="BD16" s="10">
        <f t="shared" si="25"/>
        <v>0</v>
      </c>
      <c r="BE16" s="10">
        <f t="shared" si="25"/>
        <v>0</v>
      </c>
      <c r="BF16" s="10">
        <f t="shared" si="25"/>
        <v>0</v>
      </c>
      <c r="BG16" s="10">
        <f t="shared" si="25"/>
        <v>0</v>
      </c>
      <c r="BH16" s="10">
        <f t="shared" si="25"/>
        <v>0</v>
      </c>
      <c r="BI16" s="10">
        <f t="shared" si="25"/>
        <v>0</v>
      </c>
      <c r="BJ16" s="10">
        <f t="shared" si="25"/>
        <v>0</v>
      </c>
      <c r="BK16" s="10">
        <f t="shared" si="25"/>
        <v>0</v>
      </c>
    </row>
    <row r="17" spans="1:63" s="10" customFormat="1" x14ac:dyDescent="0.25">
      <c r="A17" s="11"/>
      <c r="B17" s="11" t="s">
        <v>302</v>
      </c>
      <c r="C17" s="10" t="s">
        <v>57</v>
      </c>
      <c r="D17" s="10" t="s">
        <v>66</v>
      </c>
      <c r="E17" s="10">
        <v>0</v>
      </c>
      <c r="F17" s="10">
        <v>0</v>
      </c>
      <c r="G17" s="10">
        <v>0</v>
      </c>
      <c r="H17" s="10">
        <f t="shared" si="21"/>
        <v>0</v>
      </c>
      <c r="I17" s="10">
        <f t="shared" si="21"/>
        <v>0</v>
      </c>
      <c r="J17" s="10">
        <f t="shared" si="21"/>
        <v>0</v>
      </c>
      <c r="K17" s="10">
        <f t="shared" si="21"/>
        <v>0</v>
      </c>
      <c r="L17" s="10">
        <f t="shared" si="21"/>
        <v>0</v>
      </c>
      <c r="M17" s="10">
        <f t="shared" si="21"/>
        <v>0</v>
      </c>
      <c r="N17" s="10">
        <f t="shared" si="21"/>
        <v>0</v>
      </c>
      <c r="O17" s="10">
        <f t="shared" si="21"/>
        <v>0</v>
      </c>
      <c r="Q17" s="10">
        <v>1</v>
      </c>
      <c r="R17" s="10">
        <f t="shared" si="22"/>
        <v>1</v>
      </c>
      <c r="S17" s="10">
        <f t="shared" si="22"/>
        <v>1</v>
      </c>
      <c r="T17" s="10">
        <f t="shared" si="22"/>
        <v>1</v>
      </c>
      <c r="U17" s="10">
        <f t="shared" si="22"/>
        <v>1</v>
      </c>
      <c r="V17" s="10">
        <f t="shared" si="22"/>
        <v>1</v>
      </c>
      <c r="W17" s="10">
        <f t="shared" si="22"/>
        <v>1</v>
      </c>
      <c r="X17" s="10">
        <f t="shared" si="22"/>
        <v>1</v>
      </c>
      <c r="Y17" s="10">
        <f t="shared" si="22"/>
        <v>1</v>
      </c>
      <c r="Z17" s="10">
        <f t="shared" si="22"/>
        <v>1</v>
      </c>
      <c r="AA17" s="10">
        <f t="shared" si="22"/>
        <v>1</v>
      </c>
      <c r="AC17" s="10">
        <v>1</v>
      </c>
      <c r="AD17" s="10">
        <f t="shared" si="23"/>
        <v>1</v>
      </c>
      <c r="AE17" s="10">
        <f t="shared" si="23"/>
        <v>1</v>
      </c>
      <c r="AF17" s="10">
        <f t="shared" si="23"/>
        <v>1</v>
      </c>
      <c r="AG17" s="10">
        <f t="shared" si="23"/>
        <v>1</v>
      </c>
      <c r="AH17" s="10">
        <f t="shared" si="23"/>
        <v>1</v>
      </c>
      <c r="AI17" s="10">
        <f t="shared" si="23"/>
        <v>1</v>
      </c>
      <c r="AJ17" s="10">
        <f t="shared" si="23"/>
        <v>1</v>
      </c>
      <c r="AK17" s="10">
        <f t="shared" si="23"/>
        <v>1</v>
      </c>
      <c r="AL17" s="10">
        <f t="shared" si="23"/>
        <v>1</v>
      </c>
      <c r="AM17" s="10">
        <f t="shared" si="23"/>
        <v>1</v>
      </c>
      <c r="AO17" s="10">
        <v>0</v>
      </c>
      <c r="AP17" s="10">
        <f t="shared" si="24"/>
        <v>0</v>
      </c>
      <c r="AQ17" s="10">
        <f t="shared" si="24"/>
        <v>0</v>
      </c>
      <c r="AR17" s="10">
        <f t="shared" si="24"/>
        <v>0</v>
      </c>
      <c r="AS17" s="10">
        <f t="shared" si="24"/>
        <v>0</v>
      </c>
      <c r="AT17" s="10">
        <f t="shared" si="24"/>
        <v>0</v>
      </c>
      <c r="AU17" s="10">
        <f t="shared" si="24"/>
        <v>0</v>
      </c>
      <c r="AV17" s="10">
        <f t="shared" si="24"/>
        <v>0</v>
      </c>
      <c r="AW17" s="10">
        <f t="shared" si="24"/>
        <v>0</v>
      </c>
      <c r="AX17" s="10">
        <f t="shared" si="24"/>
        <v>0</v>
      </c>
      <c r="AY17" s="10">
        <f t="shared" si="24"/>
        <v>0</v>
      </c>
      <c r="BA17" s="10">
        <v>0</v>
      </c>
      <c r="BB17" s="10">
        <f t="shared" si="25"/>
        <v>0</v>
      </c>
      <c r="BC17" s="10">
        <f t="shared" si="25"/>
        <v>0</v>
      </c>
      <c r="BD17" s="10">
        <f t="shared" si="25"/>
        <v>0</v>
      </c>
      <c r="BE17" s="10">
        <f t="shared" si="25"/>
        <v>0</v>
      </c>
      <c r="BF17" s="10">
        <f t="shared" si="25"/>
        <v>0</v>
      </c>
      <c r="BG17" s="10">
        <f t="shared" si="25"/>
        <v>0</v>
      </c>
      <c r="BH17" s="10">
        <f t="shared" si="25"/>
        <v>0</v>
      </c>
      <c r="BI17" s="10">
        <f t="shared" si="25"/>
        <v>0</v>
      </c>
      <c r="BJ17" s="10">
        <f t="shared" si="25"/>
        <v>0</v>
      </c>
      <c r="BK17" s="10">
        <f t="shared" si="25"/>
        <v>0</v>
      </c>
    </row>
    <row r="18" spans="1:63" s="10" customFormat="1" x14ac:dyDescent="0.25">
      <c r="A18" s="11"/>
      <c r="B18" s="11" t="s">
        <v>303</v>
      </c>
      <c r="C18" s="10" t="s">
        <v>15</v>
      </c>
      <c r="D18" s="10" t="s">
        <v>25</v>
      </c>
      <c r="E18" s="10">
        <v>0</v>
      </c>
      <c r="F18" s="10">
        <v>0</v>
      </c>
      <c r="G18" s="10">
        <v>0</v>
      </c>
      <c r="H18" s="10">
        <f t="shared" si="21"/>
        <v>0</v>
      </c>
      <c r="I18" s="10">
        <f t="shared" si="21"/>
        <v>0</v>
      </c>
      <c r="J18" s="10">
        <f t="shared" si="21"/>
        <v>0</v>
      </c>
      <c r="K18" s="10">
        <f t="shared" si="21"/>
        <v>0</v>
      </c>
      <c r="L18" s="10">
        <f t="shared" si="21"/>
        <v>0</v>
      </c>
      <c r="M18" s="10">
        <f t="shared" si="21"/>
        <v>0</v>
      </c>
      <c r="N18" s="10">
        <f t="shared" si="21"/>
        <v>0</v>
      </c>
      <c r="O18" s="10">
        <f t="shared" si="21"/>
        <v>0</v>
      </c>
      <c r="Q18" s="10">
        <v>1</v>
      </c>
      <c r="R18" s="10">
        <f t="shared" si="22"/>
        <v>1</v>
      </c>
      <c r="S18" s="10">
        <f t="shared" si="22"/>
        <v>1</v>
      </c>
      <c r="T18" s="10">
        <f t="shared" si="22"/>
        <v>1</v>
      </c>
      <c r="U18" s="10">
        <f t="shared" si="22"/>
        <v>1</v>
      </c>
      <c r="V18" s="10">
        <f t="shared" si="22"/>
        <v>1</v>
      </c>
      <c r="W18" s="10">
        <f t="shared" si="22"/>
        <v>1</v>
      </c>
      <c r="X18" s="10">
        <f t="shared" si="22"/>
        <v>1</v>
      </c>
      <c r="Y18" s="10">
        <f t="shared" si="22"/>
        <v>1</v>
      </c>
      <c r="Z18" s="10">
        <f t="shared" si="22"/>
        <v>1</v>
      </c>
      <c r="AA18" s="10">
        <f t="shared" si="22"/>
        <v>1</v>
      </c>
      <c r="AC18" s="10">
        <v>0</v>
      </c>
      <c r="AD18" s="10">
        <f t="shared" si="23"/>
        <v>0</v>
      </c>
      <c r="AE18" s="10">
        <f t="shared" si="23"/>
        <v>0</v>
      </c>
      <c r="AF18" s="10">
        <f t="shared" si="23"/>
        <v>0</v>
      </c>
      <c r="AG18" s="10">
        <f t="shared" si="23"/>
        <v>0</v>
      </c>
      <c r="AH18" s="10">
        <f t="shared" si="23"/>
        <v>0</v>
      </c>
      <c r="AI18" s="10">
        <f t="shared" si="23"/>
        <v>0</v>
      </c>
      <c r="AJ18" s="10">
        <f t="shared" si="23"/>
        <v>0</v>
      </c>
      <c r="AK18" s="10">
        <f t="shared" si="23"/>
        <v>0</v>
      </c>
      <c r="AL18" s="10">
        <f t="shared" si="23"/>
        <v>0</v>
      </c>
      <c r="AM18" s="10">
        <f t="shared" si="23"/>
        <v>0</v>
      </c>
      <c r="AO18" s="10">
        <v>0</v>
      </c>
      <c r="AP18" s="10">
        <f t="shared" si="24"/>
        <v>0</v>
      </c>
      <c r="AQ18" s="10">
        <f t="shared" si="24"/>
        <v>0</v>
      </c>
      <c r="AR18" s="10">
        <f t="shared" si="24"/>
        <v>0</v>
      </c>
      <c r="AS18" s="10">
        <f t="shared" si="24"/>
        <v>0</v>
      </c>
      <c r="AT18" s="10">
        <f t="shared" si="24"/>
        <v>0</v>
      </c>
      <c r="AU18" s="10">
        <f t="shared" si="24"/>
        <v>0</v>
      </c>
      <c r="AV18" s="10">
        <f t="shared" si="24"/>
        <v>0</v>
      </c>
      <c r="AW18" s="10">
        <f t="shared" si="24"/>
        <v>0</v>
      </c>
      <c r="AX18" s="10">
        <f t="shared" si="24"/>
        <v>0</v>
      </c>
      <c r="AY18" s="10">
        <f t="shared" si="24"/>
        <v>0</v>
      </c>
      <c r="BA18" s="10">
        <v>0</v>
      </c>
      <c r="BB18" s="10">
        <f t="shared" si="25"/>
        <v>0</v>
      </c>
      <c r="BC18" s="10">
        <f t="shared" si="25"/>
        <v>0</v>
      </c>
      <c r="BD18" s="10">
        <f t="shared" si="25"/>
        <v>0</v>
      </c>
      <c r="BE18" s="10">
        <f t="shared" si="25"/>
        <v>0</v>
      </c>
      <c r="BF18" s="10">
        <f t="shared" si="25"/>
        <v>0</v>
      </c>
      <c r="BG18" s="10">
        <f t="shared" si="25"/>
        <v>0</v>
      </c>
      <c r="BH18" s="10">
        <f t="shared" si="25"/>
        <v>0</v>
      </c>
      <c r="BI18" s="10">
        <f t="shared" si="25"/>
        <v>0</v>
      </c>
      <c r="BJ18" s="10">
        <f t="shared" si="25"/>
        <v>0</v>
      </c>
      <c r="BK18" s="10">
        <f t="shared" si="25"/>
        <v>0</v>
      </c>
    </row>
    <row r="19" spans="1:63" s="10" customFormat="1" x14ac:dyDescent="0.25">
      <c r="A19" s="11"/>
      <c r="B19" s="11" t="s">
        <v>304</v>
      </c>
      <c r="C19" s="10" t="s">
        <v>15</v>
      </c>
      <c r="D19" s="10" t="s">
        <v>25</v>
      </c>
      <c r="E19" s="10">
        <v>0</v>
      </c>
      <c r="F19" s="10">
        <v>0</v>
      </c>
      <c r="G19" s="10">
        <v>0</v>
      </c>
      <c r="H19" s="10">
        <f t="shared" si="21"/>
        <v>0</v>
      </c>
      <c r="I19" s="10">
        <f t="shared" si="21"/>
        <v>0</v>
      </c>
      <c r="J19" s="10">
        <f t="shared" si="21"/>
        <v>0</v>
      </c>
      <c r="K19" s="10">
        <f t="shared" si="21"/>
        <v>0</v>
      </c>
      <c r="L19" s="10">
        <f t="shared" si="21"/>
        <v>0</v>
      </c>
      <c r="M19" s="10">
        <f t="shared" si="21"/>
        <v>0</v>
      </c>
      <c r="N19" s="10">
        <f t="shared" si="21"/>
        <v>0</v>
      </c>
      <c r="O19" s="10">
        <f t="shared" si="21"/>
        <v>0</v>
      </c>
      <c r="Q19" s="10">
        <v>1</v>
      </c>
      <c r="R19" s="10">
        <f t="shared" si="22"/>
        <v>1</v>
      </c>
      <c r="S19" s="10">
        <f t="shared" si="22"/>
        <v>1</v>
      </c>
      <c r="T19" s="10">
        <f t="shared" si="22"/>
        <v>1</v>
      </c>
      <c r="U19" s="10">
        <f t="shared" si="22"/>
        <v>1</v>
      </c>
      <c r="V19" s="10">
        <f t="shared" si="22"/>
        <v>1</v>
      </c>
      <c r="W19" s="10">
        <f t="shared" si="22"/>
        <v>1</v>
      </c>
      <c r="X19" s="10">
        <f t="shared" si="22"/>
        <v>1</v>
      </c>
      <c r="Y19" s="10">
        <f t="shared" si="22"/>
        <v>1</v>
      </c>
      <c r="Z19" s="10">
        <f t="shared" si="22"/>
        <v>1</v>
      </c>
      <c r="AA19" s="10">
        <f t="shared" si="22"/>
        <v>1</v>
      </c>
      <c r="AC19" s="10">
        <v>0</v>
      </c>
      <c r="AD19" s="10">
        <f t="shared" si="23"/>
        <v>0</v>
      </c>
      <c r="AE19" s="10">
        <f t="shared" si="23"/>
        <v>0</v>
      </c>
      <c r="AF19" s="10">
        <f t="shared" si="23"/>
        <v>0</v>
      </c>
      <c r="AG19" s="10">
        <f t="shared" si="23"/>
        <v>0</v>
      </c>
      <c r="AH19" s="10">
        <f t="shared" si="23"/>
        <v>0</v>
      </c>
      <c r="AI19" s="10">
        <f t="shared" si="23"/>
        <v>0</v>
      </c>
      <c r="AJ19" s="10">
        <f t="shared" si="23"/>
        <v>0</v>
      </c>
      <c r="AK19" s="10">
        <f t="shared" si="23"/>
        <v>0</v>
      </c>
      <c r="AL19" s="10">
        <f t="shared" si="23"/>
        <v>0</v>
      </c>
      <c r="AM19" s="10">
        <f t="shared" si="23"/>
        <v>0</v>
      </c>
      <c r="AO19" s="10">
        <v>0</v>
      </c>
      <c r="AP19" s="10">
        <f t="shared" si="24"/>
        <v>0</v>
      </c>
      <c r="AQ19" s="10">
        <f t="shared" si="24"/>
        <v>0</v>
      </c>
      <c r="AR19" s="10">
        <f t="shared" si="24"/>
        <v>0</v>
      </c>
      <c r="AS19" s="10">
        <f t="shared" si="24"/>
        <v>0</v>
      </c>
      <c r="AT19" s="10">
        <f t="shared" si="24"/>
        <v>0</v>
      </c>
      <c r="AU19" s="10">
        <f t="shared" si="24"/>
        <v>0</v>
      </c>
      <c r="AV19" s="10">
        <f t="shared" si="24"/>
        <v>0</v>
      </c>
      <c r="AW19" s="10">
        <f t="shared" si="24"/>
        <v>0</v>
      </c>
      <c r="AX19" s="10">
        <f t="shared" si="24"/>
        <v>0</v>
      </c>
      <c r="AY19" s="10">
        <f t="shared" si="24"/>
        <v>0</v>
      </c>
      <c r="BA19" s="10">
        <v>0</v>
      </c>
      <c r="BB19" s="10">
        <f t="shared" si="25"/>
        <v>0</v>
      </c>
      <c r="BC19" s="10">
        <f t="shared" si="25"/>
        <v>0</v>
      </c>
      <c r="BD19" s="10">
        <f t="shared" si="25"/>
        <v>0</v>
      </c>
      <c r="BE19" s="10">
        <f t="shared" si="25"/>
        <v>0</v>
      </c>
      <c r="BF19" s="10">
        <f t="shared" si="25"/>
        <v>0</v>
      </c>
      <c r="BG19" s="10">
        <f t="shared" si="25"/>
        <v>0</v>
      </c>
      <c r="BH19" s="10">
        <f t="shared" si="25"/>
        <v>0</v>
      </c>
      <c r="BI19" s="10">
        <f t="shared" si="25"/>
        <v>0</v>
      </c>
      <c r="BJ19" s="10">
        <f t="shared" si="25"/>
        <v>0</v>
      </c>
      <c r="BK19" s="10">
        <f t="shared" si="25"/>
        <v>0</v>
      </c>
    </row>
    <row r="20" spans="1:63" s="10" customFormat="1" x14ac:dyDescent="0.25">
      <c r="A20" s="11"/>
      <c r="B20" s="11" t="s">
        <v>305</v>
      </c>
      <c r="C20" s="10" t="s">
        <v>15</v>
      </c>
      <c r="D20" s="10" t="s">
        <v>25</v>
      </c>
      <c r="E20" s="10">
        <v>0</v>
      </c>
      <c r="F20" s="10">
        <v>0</v>
      </c>
      <c r="G20" s="10">
        <v>0</v>
      </c>
      <c r="H20" s="10">
        <f t="shared" si="21"/>
        <v>0</v>
      </c>
      <c r="I20" s="10">
        <f t="shared" si="21"/>
        <v>0</v>
      </c>
      <c r="J20" s="10">
        <f t="shared" si="21"/>
        <v>0</v>
      </c>
      <c r="K20" s="10">
        <f t="shared" si="21"/>
        <v>0</v>
      </c>
      <c r="L20" s="10">
        <f t="shared" si="21"/>
        <v>0</v>
      </c>
      <c r="M20" s="10">
        <f t="shared" si="21"/>
        <v>0</v>
      </c>
      <c r="N20" s="10">
        <f t="shared" si="21"/>
        <v>0</v>
      </c>
      <c r="O20" s="10">
        <f t="shared" si="21"/>
        <v>0</v>
      </c>
      <c r="Q20" s="10">
        <v>1</v>
      </c>
      <c r="R20" s="10">
        <f t="shared" si="22"/>
        <v>1</v>
      </c>
      <c r="S20" s="10">
        <f t="shared" si="22"/>
        <v>1</v>
      </c>
      <c r="T20" s="10">
        <f t="shared" si="22"/>
        <v>1</v>
      </c>
      <c r="U20" s="10">
        <f t="shared" si="22"/>
        <v>1</v>
      </c>
      <c r="V20" s="10">
        <f t="shared" si="22"/>
        <v>1</v>
      </c>
      <c r="W20" s="10">
        <f t="shared" si="22"/>
        <v>1</v>
      </c>
      <c r="X20" s="10">
        <f t="shared" si="22"/>
        <v>1</v>
      </c>
      <c r="Y20" s="10">
        <f t="shared" si="22"/>
        <v>1</v>
      </c>
      <c r="Z20" s="10">
        <f t="shared" si="22"/>
        <v>1</v>
      </c>
      <c r="AA20" s="10">
        <f t="shared" si="22"/>
        <v>1</v>
      </c>
      <c r="AC20" s="10">
        <v>0</v>
      </c>
      <c r="AD20" s="10">
        <f t="shared" si="23"/>
        <v>0</v>
      </c>
      <c r="AE20" s="10">
        <f t="shared" si="23"/>
        <v>0</v>
      </c>
      <c r="AF20" s="10">
        <f t="shared" si="23"/>
        <v>0</v>
      </c>
      <c r="AG20" s="10">
        <f t="shared" si="23"/>
        <v>0</v>
      </c>
      <c r="AH20" s="10">
        <f t="shared" si="23"/>
        <v>0</v>
      </c>
      <c r="AI20" s="10">
        <f t="shared" si="23"/>
        <v>0</v>
      </c>
      <c r="AJ20" s="10">
        <f t="shared" si="23"/>
        <v>0</v>
      </c>
      <c r="AK20" s="10">
        <f t="shared" si="23"/>
        <v>0</v>
      </c>
      <c r="AL20" s="10">
        <f t="shared" si="23"/>
        <v>0</v>
      </c>
      <c r="AM20" s="10">
        <f t="shared" si="23"/>
        <v>0</v>
      </c>
      <c r="AO20" s="10">
        <v>0</v>
      </c>
      <c r="AP20" s="10">
        <f t="shared" si="24"/>
        <v>0</v>
      </c>
      <c r="AQ20" s="10">
        <f t="shared" si="24"/>
        <v>0</v>
      </c>
      <c r="AR20" s="10">
        <f t="shared" si="24"/>
        <v>0</v>
      </c>
      <c r="AS20" s="10">
        <f t="shared" si="24"/>
        <v>0</v>
      </c>
      <c r="AT20" s="10">
        <f t="shared" si="24"/>
        <v>0</v>
      </c>
      <c r="AU20" s="10">
        <f t="shared" si="24"/>
        <v>0</v>
      </c>
      <c r="AV20" s="10">
        <f t="shared" si="24"/>
        <v>0</v>
      </c>
      <c r="AW20" s="10">
        <f t="shared" si="24"/>
        <v>0</v>
      </c>
      <c r="AX20" s="10">
        <f t="shared" si="24"/>
        <v>0</v>
      </c>
      <c r="AY20" s="10">
        <f t="shared" si="24"/>
        <v>0</v>
      </c>
      <c r="BA20" s="10">
        <v>0</v>
      </c>
      <c r="BB20" s="10">
        <f t="shared" si="25"/>
        <v>0</v>
      </c>
      <c r="BC20" s="10">
        <f t="shared" si="25"/>
        <v>0</v>
      </c>
      <c r="BD20" s="10">
        <f t="shared" si="25"/>
        <v>0</v>
      </c>
      <c r="BE20" s="10">
        <f t="shared" si="25"/>
        <v>0</v>
      </c>
      <c r="BF20" s="10">
        <f t="shared" si="25"/>
        <v>0</v>
      </c>
      <c r="BG20" s="10">
        <f t="shared" si="25"/>
        <v>0</v>
      </c>
      <c r="BH20" s="10">
        <f t="shared" si="25"/>
        <v>0</v>
      </c>
      <c r="BI20" s="10">
        <f t="shared" si="25"/>
        <v>0</v>
      </c>
      <c r="BJ20" s="10">
        <f t="shared" si="25"/>
        <v>0</v>
      </c>
      <c r="BK20" s="10">
        <f t="shared" si="25"/>
        <v>0</v>
      </c>
    </row>
    <row r="21" spans="1:63" x14ac:dyDescent="0.25">
      <c r="A21" s="2"/>
      <c r="B21" s="2"/>
      <c r="E21" t="str">
        <f t="shared" ref="E21:AM21" si="26">CONCATENATE(E20,E19,E18,E17,E16,E15,E14,E13)</f>
        <v>00000110</v>
      </c>
      <c r="F21" t="str">
        <f t="shared" si="26"/>
        <v>00000110</v>
      </c>
      <c r="G21" t="str">
        <f t="shared" si="26"/>
        <v>00000110</v>
      </c>
      <c r="H21" t="str">
        <f t="shared" si="26"/>
        <v>00000000</v>
      </c>
      <c r="I21" t="str">
        <f t="shared" si="26"/>
        <v>00000000</v>
      </c>
      <c r="J21" t="str">
        <f t="shared" si="26"/>
        <v>00000000</v>
      </c>
      <c r="K21" t="str">
        <f t="shared" si="26"/>
        <v>00000000</v>
      </c>
      <c r="L21" t="str">
        <f t="shared" si="26"/>
        <v>00000000</v>
      </c>
      <c r="M21" t="str">
        <f t="shared" si="26"/>
        <v>00000000</v>
      </c>
      <c r="N21" t="str">
        <f t="shared" si="26"/>
        <v>00000000</v>
      </c>
      <c r="O21" t="str">
        <f t="shared" si="26"/>
        <v>00000000</v>
      </c>
      <c r="Q21" t="str">
        <f t="shared" si="26"/>
        <v>11111001</v>
      </c>
      <c r="R21" t="str">
        <f t="shared" si="26"/>
        <v>11111001</v>
      </c>
      <c r="S21" t="str">
        <f t="shared" si="26"/>
        <v>11111001</v>
      </c>
      <c r="T21" t="str">
        <f t="shared" si="26"/>
        <v>11111001</v>
      </c>
      <c r="U21" t="str">
        <f t="shared" si="26"/>
        <v>11111001</v>
      </c>
      <c r="V21" t="str">
        <f t="shared" si="26"/>
        <v>11111001</v>
      </c>
      <c r="W21" t="str">
        <f t="shared" si="26"/>
        <v>11111001</v>
      </c>
      <c r="X21" t="str">
        <f t="shared" si="26"/>
        <v>11111001</v>
      </c>
      <c r="Y21" t="str">
        <f t="shared" si="26"/>
        <v>11111001</v>
      </c>
      <c r="Z21" t="str">
        <f t="shared" si="26"/>
        <v>11111001</v>
      </c>
      <c r="AA21" t="str">
        <f t="shared" si="26"/>
        <v>11111001</v>
      </c>
      <c r="AC21" t="str">
        <f t="shared" si="26"/>
        <v>00011001</v>
      </c>
      <c r="AD21" t="str">
        <f t="shared" si="26"/>
        <v>00011001</v>
      </c>
      <c r="AE21" t="str">
        <f t="shared" si="26"/>
        <v>00011001</v>
      </c>
      <c r="AF21" t="str">
        <f t="shared" si="26"/>
        <v>00011001</v>
      </c>
      <c r="AG21" t="str">
        <f t="shared" si="26"/>
        <v>00011001</v>
      </c>
      <c r="AH21" t="str">
        <f t="shared" si="26"/>
        <v>00011001</v>
      </c>
      <c r="AI21" t="str">
        <f t="shared" si="26"/>
        <v>00011001</v>
      </c>
      <c r="AJ21" t="str">
        <f t="shared" si="26"/>
        <v>00011001</v>
      </c>
      <c r="AK21" t="str">
        <f t="shared" si="26"/>
        <v>00011001</v>
      </c>
      <c r="AL21" t="str">
        <f t="shared" si="26"/>
        <v>00011001</v>
      </c>
      <c r="AM21" t="str">
        <f t="shared" si="26"/>
        <v>00011001</v>
      </c>
      <c r="AO21" t="str">
        <f t="shared" ref="AO21:AY21" si="27">CONCATENATE(AO20,AO19,AO18,AO17,AO16,AO15,AO14,AO13)</f>
        <v>00000000</v>
      </c>
      <c r="AP21" t="str">
        <f t="shared" si="27"/>
        <v>00000000</v>
      </c>
      <c r="AQ21" t="str">
        <f t="shared" si="27"/>
        <v>00000000</v>
      </c>
      <c r="AR21" t="str">
        <f t="shared" si="27"/>
        <v>00000000</v>
      </c>
      <c r="AS21" t="str">
        <f t="shared" si="27"/>
        <v>00000000</v>
      </c>
      <c r="AT21" t="str">
        <f t="shared" si="27"/>
        <v>00000000</v>
      </c>
      <c r="AU21" t="str">
        <f t="shared" si="27"/>
        <v>00000000</v>
      </c>
      <c r="AV21" t="str">
        <f t="shared" si="27"/>
        <v>00000000</v>
      </c>
      <c r="AW21" t="str">
        <f t="shared" si="27"/>
        <v>00000000</v>
      </c>
      <c r="AX21" t="str">
        <f t="shared" si="27"/>
        <v>00000000</v>
      </c>
      <c r="AY21" t="str">
        <f t="shared" si="27"/>
        <v>00000000</v>
      </c>
      <c r="BA21" t="str">
        <f t="shared" ref="BA21:BK21" si="28">CONCATENATE(BA20,BA19,BA18,BA17,BA16,BA15,BA14,BA13)</f>
        <v>00000000</v>
      </c>
      <c r="BB21" t="str">
        <f t="shared" si="28"/>
        <v>00000000</v>
      </c>
      <c r="BC21" t="str">
        <f t="shared" si="28"/>
        <v>00000000</v>
      </c>
      <c r="BD21" t="str">
        <f t="shared" si="28"/>
        <v>00000000</v>
      </c>
      <c r="BE21" t="str">
        <f t="shared" si="28"/>
        <v>00000000</v>
      </c>
      <c r="BF21" t="str">
        <f t="shared" si="28"/>
        <v>00000000</v>
      </c>
      <c r="BG21" t="str">
        <f t="shared" si="28"/>
        <v>00000000</v>
      </c>
      <c r="BH21" t="str">
        <f t="shared" si="28"/>
        <v>00000000</v>
      </c>
      <c r="BI21" t="str">
        <f t="shared" si="28"/>
        <v>00000000</v>
      </c>
      <c r="BJ21" t="str">
        <f t="shared" si="28"/>
        <v>00000000</v>
      </c>
      <c r="BK21" t="str">
        <f t="shared" si="28"/>
        <v>00000000</v>
      </c>
    </row>
    <row r="22" spans="1:63" x14ac:dyDescent="0.25">
      <c r="A22" s="2"/>
      <c r="B22" s="2" t="s">
        <v>16</v>
      </c>
      <c r="E22" t="str">
        <f t="shared" ref="E22:O22" si="29">CONCATENATE(BIN2HEX(E21,2))</f>
        <v>06</v>
      </c>
      <c r="F22" t="str">
        <f t="shared" si="29"/>
        <v>06</v>
      </c>
      <c r="G22" t="str">
        <f t="shared" si="29"/>
        <v>06</v>
      </c>
      <c r="H22" t="str">
        <f t="shared" si="29"/>
        <v>00</v>
      </c>
      <c r="I22" t="str">
        <f t="shared" si="29"/>
        <v>00</v>
      </c>
      <c r="J22" t="str">
        <f t="shared" si="29"/>
        <v>00</v>
      </c>
      <c r="K22" t="str">
        <f t="shared" si="29"/>
        <v>00</v>
      </c>
      <c r="L22" t="str">
        <f t="shared" si="29"/>
        <v>00</v>
      </c>
      <c r="M22" t="str">
        <f t="shared" si="29"/>
        <v>00</v>
      </c>
      <c r="N22" t="str">
        <f t="shared" si="29"/>
        <v>00</v>
      </c>
      <c r="O22" t="str">
        <f t="shared" si="29"/>
        <v>00</v>
      </c>
      <c r="Q22" t="str">
        <f t="shared" ref="Q22:AM22" si="30">CONCATENATE(BIN2HEX(Q21,2))</f>
        <v>F9</v>
      </c>
      <c r="R22" t="str">
        <f t="shared" si="30"/>
        <v>F9</v>
      </c>
      <c r="S22" t="str">
        <f t="shared" si="30"/>
        <v>F9</v>
      </c>
      <c r="T22" t="str">
        <f t="shared" si="30"/>
        <v>F9</v>
      </c>
      <c r="U22" t="str">
        <f t="shared" si="30"/>
        <v>F9</v>
      </c>
      <c r="V22" t="str">
        <f t="shared" si="30"/>
        <v>F9</v>
      </c>
      <c r="W22" t="str">
        <f t="shared" si="30"/>
        <v>F9</v>
      </c>
      <c r="X22" t="str">
        <f t="shared" si="30"/>
        <v>F9</v>
      </c>
      <c r="Y22" t="str">
        <f t="shared" si="30"/>
        <v>F9</v>
      </c>
      <c r="Z22" t="str">
        <f t="shared" si="30"/>
        <v>F9</v>
      </c>
      <c r="AA22" t="str">
        <f t="shared" si="30"/>
        <v>F9</v>
      </c>
      <c r="AC22" t="str">
        <f t="shared" si="30"/>
        <v>19</v>
      </c>
      <c r="AD22" t="str">
        <f t="shared" si="30"/>
        <v>19</v>
      </c>
      <c r="AE22" t="str">
        <f t="shared" si="30"/>
        <v>19</v>
      </c>
      <c r="AF22" t="str">
        <f t="shared" si="30"/>
        <v>19</v>
      </c>
      <c r="AG22" t="str">
        <f t="shared" si="30"/>
        <v>19</v>
      </c>
      <c r="AH22" t="str">
        <f t="shared" si="30"/>
        <v>19</v>
      </c>
      <c r="AI22" t="str">
        <f t="shared" si="30"/>
        <v>19</v>
      </c>
      <c r="AJ22" t="str">
        <f t="shared" si="30"/>
        <v>19</v>
      </c>
      <c r="AK22" t="str">
        <f t="shared" si="30"/>
        <v>19</v>
      </c>
      <c r="AL22" t="str">
        <f t="shared" si="30"/>
        <v>19</v>
      </c>
      <c r="AM22" t="str">
        <f t="shared" si="30"/>
        <v>19</v>
      </c>
      <c r="AO22" t="str">
        <f t="shared" ref="AO22:AY22" si="31">CONCATENATE(BIN2HEX(AO21,2))</f>
        <v>00</v>
      </c>
      <c r="AP22" t="str">
        <f t="shared" si="31"/>
        <v>00</v>
      </c>
      <c r="AQ22" t="str">
        <f t="shared" si="31"/>
        <v>00</v>
      </c>
      <c r="AR22" t="str">
        <f t="shared" si="31"/>
        <v>00</v>
      </c>
      <c r="AS22" t="str">
        <f t="shared" si="31"/>
        <v>00</v>
      </c>
      <c r="AT22" t="str">
        <f t="shared" si="31"/>
        <v>00</v>
      </c>
      <c r="AU22" t="str">
        <f t="shared" si="31"/>
        <v>00</v>
      </c>
      <c r="AV22" t="str">
        <f t="shared" si="31"/>
        <v>00</v>
      </c>
      <c r="AW22" t="str">
        <f t="shared" si="31"/>
        <v>00</v>
      </c>
      <c r="AX22" t="str">
        <f t="shared" si="31"/>
        <v>00</v>
      </c>
      <c r="AY22" t="str">
        <f t="shared" si="31"/>
        <v>00</v>
      </c>
      <c r="BA22" t="str">
        <f t="shared" ref="BA22:BK22" si="32">CONCATENATE(BIN2HEX(BA21,2))</f>
        <v>00</v>
      </c>
      <c r="BB22" t="str">
        <f t="shared" si="32"/>
        <v>00</v>
      </c>
      <c r="BC22" t="str">
        <f t="shared" si="32"/>
        <v>00</v>
      </c>
      <c r="BD22" t="str">
        <f t="shared" si="32"/>
        <v>00</v>
      </c>
      <c r="BE22" t="str">
        <f t="shared" si="32"/>
        <v>00</v>
      </c>
      <c r="BF22" t="str">
        <f t="shared" si="32"/>
        <v>00</v>
      </c>
      <c r="BG22" t="str">
        <f t="shared" si="32"/>
        <v>00</v>
      </c>
      <c r="BH22" t="str">
        <f t="shared" si="32"/>
        <v>00</v>
      </c>
      <c r="BI22" t="str">
        <f t="shared" si="32"/>
        <v>00</v>
      </c>
      <c r="BJ22" t="str">
        <f t="shared" si="32"/>
        <v>00</v>
      </c>
      <c r="BK22" t="str">
        <f t="shared" si="32"/>
        <v>00</v>
      </c>
    </row>
    <row r="23" spans="1:63" x14ac:dyDescent="0.25">
      <c r="A23" s="2"/>
      <c r="B23" s="2"/>
      <c r="D23" s="13" t="s">
        <v>215</v>
      </c>
      <c r="E23" t="str">
        <f t="shared" ref="E23:O23" si="33">CONCATENATE("0x",E22,E11)</f>
        <v>0x062A</v>
      </c>
      <c r="F23" t="str">
        <f t="shared" si="33"/>
        <v>0x062A</v>
      </c>
      <c r="G23" t="str">
        <f t="shared" si="33"/>
        <v>0x062A</v>
      </c>
      <c r="H23" t="str">
        <f t="shared" si="33"/>
        <v>0x002A</v>
      </c>
      <c r="I23" t="str">
        <f t="shared" si="33"/>
        <v>0x0000</v>
      </c>
      <c r="J23" t="str">
        <f t="shared" si="33"/>
        <v>0x0000</v>
      </c>
      <c r="K23" t="str">
        <f t="shared" si="33"/>
        <v>0x0000</v>
      </c>
      <c r="L23" t="str">
        <f t="shared" si="33"/>
        <v>0x0000</v>
      </c>
      <c r="M23" t="str">
        <f t="shared" si="33"/>
        <v>0x0000</v>
      </c>
      <c r="N23" t="str">
        <f t="shared" si="33"/>
        <v>0x0000</v>
      </c>
      <c r="O23" t="str">
        <f t="shared" si="33"/>
        <v>0x0000</v>
      </c>
      <c r="Q23" t="str">
        <f t="shared" ref="Q23:BK23" si="34">CONCATENATE("0x",Q22,Q11)</f>
        <v>0xF9D5</v>
      </c>
      <c r="R23" t="str">
        <f t="shared" si="34"/>
        <v>0xF9D5</v>
      </c>
      <c r="S23" t="str">
        <f t="shared" si="34"/>
        <v>0xF9D5</v>
      </c>
      <c r="T23" t="str">
        <f t="shared" si="34"/>
        <v>0xF9D5</v>
      </c>
      <c r="U23" t="str">
        <f t="shared" si="34"/>
        <v>0xF9D5</v>
      </c>
      <c r="V23" t="str">
        <f t="shared" si="34"/>
        <v>0xF9D5</v>
      </c>
      <c r="W23" t="str">
        <f t="shared" si="34"/>
        <v>0xF9D5</v>
      </c>
      <c r="X23" t="str">
        <f t="shared" si="34"/>
        <v>0xF9D5</v>
      </c>
      <c r="Y23" t="str">
        <f t="shared" si="34"/>
        <v>0xF9D5</v>
      </c>
      <c r="Z23" t="str">
        <f t="shared" si="34"/>
        <v>0xF9D5</v>
      </c>
      <c r="AA23" t="str">
        <f t="shared" si="34"/>
        <v>0xF9D5</v>
      </c>
      <c r="AC23" t="str">
        <f t="shared" si="34"/>
        <v>0x1955</v>
      </c>
      <c r="AD23" t="str">
        <f t="shared" si="34"/>
        <v>0x1955</v>
      </c>
      <c r="AE23" t="str">
        <f t="shared" si="34"/>
        <v>0x1955</v>
      </c>
      <c r="AF23" t="str">
        <f t="shared" si="34"/>
        <v>0x1955</v>
      </c>
      <c r="AG23" t="str">
        <f t="shared" si="34"/>
        <v>0x1955</v>
      </c>
      <c r="AH23" t="str">
        <f t="shared" si="34"/>
        <v>0x1955</v>
      </c>
      <c r="AI23" t="str">
        <f t="shared" si="34"/>
        <v>0x1955</v>
      </c>
      <c r="AJ23" t="str">
        <f t="shared" si="34"/>
        <v>0x1955</v>
      </c>
      <c r="AK23" t="str">
        <f t="shared" si="34"/>
        <v>0x1955</v>
      </c>
      <c r="AL23" t="str">
        <f t="shared" si="34"/>
        <v>0x1955</v>
      </c>
      <c r="AM23" t="str">
        <f t="shared" si="34"/>
        <v>0x1955</v>
      </c>
      <c r="AO23" t="str">
        <f t="shared" si="34"/>
        <v>0x0000</v>
      </c>
      <c r="AP23" t="str">
        <f t="shared" si="34"/>
        <v>0x0000</v>
      </c>
      <c r="AQ23" t="str">
        <f t="shared" si="34"/>
        <v>0x0000</v>
      </c>
      <c r="AR23" t="str">
        <f t="shared" si="34"/>
        <v>0x0000</v>
      </c>
      <c r="AS23" t="str">
        <f t="shared" si="34"/>
        <v>0x0000</v>
      </c>
      <c r="AT23" t="str">
        <f t="shared" si="34"/>
        <v>0x0000</v>
      </c>
      <c r="AU23" t="str">
        <f t="shared" si="34"/>
        <v>0x0000</v>
      </c>
      <c r="AV23" t="str">
        <f t="shared" si="34"/>
        <v>0x0000</v>
      </c>
      <c r="AW23" t="str">
        <f t="shared" si="34"/>
        <v>0x0000</v>
      </c>
      <c r="AX23" t="str">
        <f t="shared" si="34"/>
        <v>0x0000</v>
      </c>
      <c r="AY23" t="str">
        <f t="shared" si="34"/>
        <v>0x0000</v>
      </c>
      <c r="BA23" t="str">
        <f t="shared" si="34"/>
        <v>0x0000</v>
      </c>
      <c r="BB23" t="str">
        <f t="shared" si="34"/>
        <v>0x0000</v>
      </c>
      <c r="BC23" t="str">
        <f t="shared" si="34"/>
        <v>0x0000</v>
      </c>
      <c r="BD23" t="str">
        <f t="shared" si="34"/>
        <v>0x0000</v>
      </c>
      <c r="BE23" t="str">
        <f t="shared" si="34"/>
        <v>0x0000</v>
      </c>
      <c r="BF23" t="str">
        <f t="shared" si="34"/>
        <v>0x0000</v>
      </c>
      <c r="BG23" t="str">
        <f t="shared" si="34"/>
        <v>0x0000</v>
      </c>
      <c r="BH23" t="str">
        <f t="shared" si="34"/>
        <v>0x0000</v>
      </c>
      <c r="BI23" t="str">
        <f t="shared" si="34"/>
        <v>0x0000</v>
      </c>
      <c r="BJ23" t="str">
        <f t="shared" si="34"/>
        <v>0x0000</v>
      </c>
      <c r="BK23" t="str">
        <f t="shared" si="34"/>
        <v>0x0000</v>
      </c>
    </row>
    <row r="24" spans="1:63" x14ac:dyDescent="0.25">
      <c r="A24" s="2"/>
      <c r="B24" s="2"/>
      <c r="D24" s="13" t="s">
        <v>216</v>
      </c>
      <c r="E24" t="str">
        <f>Q23</f>
        <v>0xF9D5</v>
      </c>
      <c r="F24" t="str">
        <f>R23</f>
        <v>0xF9D5</v>
      </c>
      <c r="G24" t="str">
        <f t="shared" ref="G24:O24" si="35">S23</f>
        <v>0xF9D5</v>
      </c>
      <c r="H24" t="str">
        <f t="shared" si="35"/>
        <v>0xF9D5</v>
      </c>
      <c r="I24" t="str">
        <f t="shared" si="35"/>
        <v>0xF9D5</v>
      </c>
      <c r="J24" t="str">
        <f t="shared" si="35"/>
        <v>0xF9D5</v>
      </c>
      <c r="K24" t="str">
        <f t="shared" si="35"/>
        <v>0xF9D5</v>
      </c>
      <c r="L24" t="str">
        <f t="shared" si="35"/>
        <v>0xF9D5</v>
      </c>
      <c r="M24" t="str">
        <f t="shared" si="35"/>
        <v>0xF9D5</v>
      </c>
      <c r="N24" t="str">
        <f t="shared" si="35"/>
        <v>0xF9D5</v>
      </c>
      <c r="O24" t="str">
        <f t="shared" si="35"/>
        <v>0xF9D5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0x1955</v>
      </c>
      <c r="F25" t="str">
        <f t="shared" ref="F25:O25" si="36">AD23</f>
        <v>0x1955</v>
      </c>
      <c r="G25" t="str">
        <f t="shared" si="36"/>
        <v>0x1955</v>
      </c>
      <c r="H25" t="str">
        <f t="shared" si="36"/>
        <v>0x1955</v>
      </c>
      <c r="I25" t="str">
        <f t="shared" si="36"/>
        <v>0x1955</v>
      </c>
      <c r="J25" t="str">
        <f t="shared" si="36"/>
        <v>0x1955</v>
      </c>
      <c r="K25" t="str">
        <f t="shared" si="36"/>
        <v>0x1955</v>
      </c>
      <c r="L25" t="str">
        <f t="shared" si="36"/>
        <v>0x1955</v>
      </c>
      <c r="M25" t="str">
        <f t="shared" si="36"/>
        <v>0x1955</v>
      </c>
      <c r="N25" t="str">
        <f t="shared" si="36"/>
        <v>0x1955</v>
      </c>
      <c r="O25" t="str">
        <f t="shared" si="36"/>
        <v>0x1955</v>
      </c>
    </row>
    <row r="26" spans="1:63" x14ac:dyDescent="0.25">
      <c r="A26" s="2" t="s">
        <v>42</v>
      </c>
      <c r="B26" s="11" t="s">
        <v>36</v>
      </c>
      <c r="C26" s="10" t="s">
        <v>85</v>
      </c>
      <c r="D26" s="13" t="s">
        <v>209</v>
      </c>
      <c r="E26" t="str">
        <f>AO23</f>
        <v>0x0000</v>
      </c>
      <c r="F26" t="str">
        <f t="shared" ref="F26:O26" si="37">AP23</f>
        <v>0x0000</v>
      </c>
      <c r="G26" t="str">
        <f t="shared" si="37"/>
        <v>0x0000</v>
      </c>
      <c r="H26" t="str">
        <f t="shared" si="37"/>
        <v>0x0000</v>
      </c>
      <c r="I26" t="str">
        <f t="shared" si="37"/>
        <v>0x0000</v>
      </c>
      <c r="J26" t="str">
        <f t="shared" si="37"/>
        <v>0x0000</v>
      </c>
      <c r="K26" t="str">
        <f t="shared" si="37"/>
        <v>0x0000</v>
      </c>
      <c r="L26" t="str">
        <f t="shared" si="37"/>
        <v>0x0000</v>
      </c>
      <c r="M26" t="str">
        <f t="shared" si="37"/>
        <v>0x0000</v>
      </c>
      <c r="N26" t="str">
        <f t="shared" si="37"/>
        <v>0x0000</v>
      </c>
      <c r="O26" t="str">
        <f t="shared" si="37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38">BB23</f>
        <v>0x0000</v>
      </c>
      <c r="G27" t="str">
        <f t="shared" si="38"/>
        <v>0x0000</v>
      </c>
      <c r="H27" t="str">
        <f t="shared" si="38"/>
        <v>0x0000</v>
      </c>
      <c r="I27" t="str">
        <f t="shared" si="38"/>
        <v>0x0000</v>
      </c>
      <c r="J27" t="str">
        <f t="shared" si="38"/>
        <v>0x0000</v>
      </c>
      <c r="K27" t="str">
        <f t="shared" si="38"/>
        <v>0x0000</v>
      </c>
      <c r="L27" t="str">
        <f t="shared" si="38"/>
        <v>0x0000</v>
      </c>
      <c r="M27" t="str">
        <f t="shared" si="38"/>
        <v>0x0000</v>
      </c>
      <c r="N27" t="str">
        <f t="shared" si="38"/>
        <v>0x0000</v>
      </c>
      <c r="O27" t="str">
        <f t="shared" si="38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221</v>
      </c>
    </row>
    <row r="31" spans="1:63" x14ac:dyDescent="0.25">
      <c r="A31" s="4" t="str">
        <f ca="1">CONCATENATE("#",C$26,":",INDIRECT(H33))</f>
        <v>#I2C_Expander_PWR_CLK:wartość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0x20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0xF9D5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0x062A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#I2C_Expander_PWR_CLK:etap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0x20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0xF9D5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0x062A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39">INDIRECT(H57)</f>
        <v>0x1955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0">INDIRECT(G58)</f>
        <v>#pins_int</v>
      </c>
      <c r="B58" s="4" t="str">
        <f t="shared" ca="1" si="39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0"/>
        <v>#pins_def_val</v>
      </c>
      <c r="B59" s="4" t="str">
        <f t="shared" ca="1" si="39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#I2C_Expander_PWR_CLK:etap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0x20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0xF9D5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0x062A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1">INDIRECT(H77)</f>
        <v>0x1955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2">INDIRECT(G78)</f>
        <v>#pins_int</v>
      </c>
      <c r="B78" s="4" t="str">
        <f t="shared" ca="1" si="41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2"/>
        <v>#pins_def_val</v>
      </c>
      <c r="B79" s="4" t="str">
        <f t="shared" ca="1" si="41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#I2C_Expander_PWR_CLK:etap 3- poweroff WR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0x20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0xF9D5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0x002A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3">INDIRECT(H97)</f>
        <v>0x1955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4">INDIRECT(G98)</f>
        <v>#pins_int</v>
      </c>
      <c r="B98" s="4" t="str">
        <f t="shared" ca="1" si="43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4"/>
        <v>#pins_def_val</v>
      </c>
      <c r="B99" s="4" t="str">
        <f t="shared" ca="1" si="43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#I2C_Expander_PWR_CLK:power of all clk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0x20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0xF9D5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0x0000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5">INDIRECT(H117)</f>
        <v>0x1955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6">INDIRECT(G118)</f>
        <v>#pins_int</v>
      </c>
      <c r="B118" s="4" t="str">
        <f t="shared" ca="1" si="45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6"/>
        <v>#pins_def_val</v>
      </c>
      <c r="B119" s="4" t="str">
        <f t="shared" ca="1" si="45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#I2C_Expander_PWR_CLK:etap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0x20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0xF9D5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0x0000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47">INDIRECT(H137)</f>
        <v>0x1955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48">INDIRECT(G138)</f>
        <v>#pins_int</v>
      </c>
      <c r="B138" s="4" t="str">
        <f t="shared" ca="1" si="47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48"/>
        <v>#pins_def_val</v>
      </c>
      <c r="B139" s="4" t="str">
        <f t="shared" ca="1" si="47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#I2C_Expander_PWR_CLK:etap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0x20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0xF9D5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0x0000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49">INDIRECT(H157)</f>
        <v>0x1955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0">INDIRECT(G158)</f>
        <v>#pins_int</v>
      </c>
      <c r="B158" s="4" t="str">
        <f t="shared" ca="1" si="49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0"/>
        <v>#pins_def_val</v>
      </c>
      <c r="B159" s="4" t="str">
        <f t="shared" ca="1" si="49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#I2C_Expander_PWR_CLK:etap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0x20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0xF9D5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0x0000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1">INDIRECT(H177)</f>
        <v>0x1955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2">INDIRECT(G178)</f>
        <v>#pins_int</v>
      </c>
      <c r="B178" s="4" t="str">
        <f t="shared" ca="1" si="51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2"/>
        <v>#pins_def_val</v>
      </c>
      <c r="B179" s="4" t="str">
        <f t="shared" ca="1" si="51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#I2C_Expander_PWR_CLK:etap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0x20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0xF9D5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0x0000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3">INDIRECT(H197)</f>
        <v>0x1955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4">INDIRECT(G198)</f>
        <v>#pins_int</v>
      </c>
      <c r="B198" s="4" t="str">
        <f t="shared" ca="1" si="53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4"/>
        <v>#pins_def_val</v>
      </c>
      <c r="B199" s="4" t="str">
        <f t="shared" ca="1" si="53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#I2C_Expander_PWR_CLK:etap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0x20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0xF9D5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0x0000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5">INDIRECT(H217)</f>
        <v>0x1955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6">INDIRECT(G218)</f>
        <v>#pins_int</v>
      </c>
      <c r="B218" s="4" t="str">
        <f t="shared" ca="1" si="55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6"/>
        <v>#pins_def_val</v>
      </c>
      <c r="B219" s="4" t="str">
        <f t="shared" ca="1" si="55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#I2C_Expander_PWR_CLK:etap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0x20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0xF9D5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0x0000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57">INDIRECT(H237)</f>
        <v>0x1955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58">INDIRECT(G238)</f>
        <v>#pins_int</v>
      </c>
      <c r="B238" s="4" t="str">
        <f t="shared" ca="1" si="57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58"/>
        <v>#pins_def_val</v>
      </c>
      <c r="B239" s="4" t="str">
        <f t="shared" ca="1" si="57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A31" sqref="A31:H37"/>
    </sheetView>
  </sheetViews>
  <sheetFormatPr defaultRowHeight="15" x14ac:dyDescent="0.25"/>
  <cols>
    <col min="1" max="1" width="18.5703125" customWidth="1"/>
    <col min="3" max="3" width="23.7109375" bestFit="1" customWidth="1"/>
    <col min="4" max="4" width="55.5703125" bestFit="1" customWidth="1"/>
    <col min="17" max="28" width="13.14062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/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1" t="s">
        <v>290</v>
      </c>
      <c r="C2" s="10" t="s">
        <v>116</v>
      </c>
      <c r="D2" s="10" t="s">
        <v>130</v>
      </c>
      <c r="E2" s="10">
        <v>0</v>
      </c>
      <c r="F2" s="10">
        <v>0</v>
      </c>
      <c r="G2" s="10">
        <v>0</v>
      </c>
      <c r="H2" s="10">
        <f>G2</f>
        <v>0</v>
      </c>
      <c r="I2" s="10">
        <f t="shared" ref="I2:O2" si="0">H2</f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Q2" s="10">
        <v>1</v>
      </c>
      <c r="R2" s="10">
        <f>Q2</f>
        <v>1</v>
      </c>
      <c r="S2" s="10">
        <f t="shared" ref="S2:AA2" si="1">R2</f>
        <v>1</v>
      </c>
      <c r="T2" s="10">
        <f t="shared" si="1"/>
        <v>1</v>
      </c>
      <c r="U2" s="10">
        <f t="shared" si="1"/>
        <v>1</v>
      </c>
      <c r="V2" s="10">
        <f t="shared" si="1"/>
        <v>1</v>
      </c>
      <c r="W2" s="10">
        <f t="shared" si="1"/>
        <v>1</v>
      </c>
      <c r="X2" s="10">
        <f t="shared" si="1"/>
        <v>1</v>
      </c>
      <c r="Y2" s="10">
        <f t="shared" si="1"/>
        <v>1</v>
      </c>
      <c r="Z2" s="10">
        <f t="shared" si="1"/>
        <v>1</v>
      </c>
      <c r="AA2" s="10">
        <f t="shared" si="1"/>
        <v>1</v>
      </c>
      <c r="AC2" s="10">
        <v>1</v>
      </c>
      <c r="AD2" s="10">
        <f>AC2</f>
        <v>1</v>
      </c>
      <c r="AE2" s="10">
        <f t="shared" ref="AE2:AM2" si="2">AD2</f>
        <v>1</v>
      </c>
      <c r="AF2" s="10">
        <f t="shared" si="2"/>
        <v>1</v>
      </c>
      <c r="AG2" s="10">
        <f t="shared" si="2"/>
        <v>1</v>
      </c>
      <c r="AH2" s="10">
        <f t="shared" si="2"/>
        <v>1</v>
      </c>
      <c r="AI2" s="10">
        <f t="shared" si="2"/>
        <v>1</v>
      </c>
      <c r="AJ2" s="10">
        <f t="shared" si="2"/>
        <v>1</v>
      </c>
      <c r="AK2" s="10">
        <f t="shared" si="2"/>
        <v>1</v>
      </c>
      <c r="AL2" s="10">
        <f t="shared" si="2"/>
        <v>1</v>
      </c>
      <c r="AM2" s="10">
        <f t="shared" si="2"/>
        <v>1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1" t="s">
        <v>291</v>
      </c>
      <c r="C3" s="10" t="s">
        <v>117</v>
      </c>
      <c r="D3" s="10" t="s">
        <v>131</v>
      </c>
      <c r="E3" s="10">
        <v>0</v>
      </c>
      <c r="F3" s="10">
        <v>0</v>
      </c>
      <c r="G3" s="10">
        <v>0</v>
      </c>
      <c r="H3" s="10">
        <f t="shared" ref="H3:O9" si="5">G3</f>
        <v>0</v>
      </c>
      <c r="I3" s="10">
        <f t="shared" si="5"/>
        <v>0</v>
      </c>
      <c r="J3" s="10">
        <f t="shared" si="5"/>
        <v>0</v>
      </c>
      <c r="K3" s="10">
        <f t="shared" si="5"/>
        <v>0</v>
      </c>
      <c r="L3" s="10">
        <f t="shared" si="5"/>
        <v>0</v>
      </c>
      <c r="M3" s="10">
        <f t="shared" si="5"/>
        <v>0</v>
      </c>
      <c r="N3" s="10">
        <f t="shared" si="5"/>
        <v>0</v>
      </c>
      <c r="O3" s="10">
        <f t="shared" si="5"/>
        <v>0</v>
      </c>
      <c r="Q3" s="10">
        <v>1</v>
      </c>
      <c r="R3" s="10">
        <f t="shared" ref="R3:AA9" si="6">Q3</f>
        <v>1</v>
      </c>
      <c r="S3" s="10">
        <f t="shared" si="6"/>
        <v>1</v>
      </c>
      <c r="T3" s="10">
        <f t="shared" si="6"/>
        <v>1</v>
      </c>
      <c r="U3" s="10">
        <f t="shared" si="6"/>
        <v>1</v>
      </c>
      <c r="V3" s="10">
        <f t="shared" si="6"/>
        <v>1</v>
      </c>
      <c r="W3" s="10">
        <f t="shared" si="6"/>
        <v>1</v>
      </c>
      <c r="X3" s="10">
        <f t="shared" si="6"/>
        <v>1</v>
      </c>
      <c r="Y3" s="10">
        <f t="shared" si="6"/>
        <v>1</v>
      </c>
      <c r="Z3" s="10">
        <f t="shared" si="6"/>
        <v>1</v>
      </c>
      <c r="AA3" s="10">
        <f t="shared" si="6"/>
        <v>1</v>
      </c>
      <c r="AC3" s="10">
        <v>1</v>
      </c>
      <c r="AD3" s="10">
        <f t="shared" ref="AD3:AM9" si="7">AC3</f>
        <v>1</v>
      </c>
      <c r="AE3" s="10">
        <f t="shared" si="7"/>
        <v>1</v>
      </c>
      <c r="AF3" s="10">
        <f t="shared" si="7"/>
        <v>1</v>
      </c>
      <c r="AG3" s="10">
        <f t="shared" si="7"/>
        <v>1</v>
      </c>
      <c r="AH3" s="10">
        <f t="shared" si="7"/>
        <v>1</v>
      </c>
      <c r="AI3" s="10">
        <f t="shared" si="7"/>
        <v>1</v>
      </c>
      <c r="AJ3" s="10">
        <f t="shared" si="7"/>
        <v>1</v>
      </c>
      <c r="AK3" s="10">
        <f t="shared" si="7"/>
        <v>1</v>
      </c>
      <c r="AL3" s="10">
        <f t="shared" si="7"/>
        <v>1</v>
      </c>
      <c r="AM3" s="10">
        <f t="shared" si="7"/>
        <v>1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1" t="s">
        <v>292</v>
      </c>
      <c r="C4" s="10" t="s">
        <v>118</v>
      </c>
      <c r="D4" s="10" t="s">
        <v>25</v>
      </c>
      <c r="E4" s="10">
        <v>1</v>
      </c>
      <c r="F4" s="10">
        <v>0</v>
      </c>
      <c r="G4" s="10">
        <v>0</v>
      </c>
      <c r="H4" s="10">
        <f t="shared" si="5"/>
        <v>0</v>
      </c>
      <c r="I4" s="10">
        <f t="shared" si="5"/>
        <v>0</v>
      </c>
      <c r="J4" s="10">
        <f t="shared" si="5"/>
        <v>0</v>
      </c>
      <c r="K4" s="10">
        <f t="shared" si="5"/>
        <v>0</v>
      </c>
      <c r="L4" s="10">
        <f t="shared" si="5"/>
        <v>0</v>
      </c>
      <c r="M4" s="10">
        <f t="shared" si="5"/>
        <v>0</v>
      </c>
      <c r="N4" s="10">
        <f t="shared" si="5"/>
        <v>0</v>
      </c>
      <c r="O4" s="10">
        <f t="shared" si="5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1</v>
      </c>
      <c r="AD4" s="10">
        <f t="shared" si="7"/>
        <v>1</v>
      </c>
      <c r="AE4" s="10">
        <f t="shared" si="7"/>
        <v>1</v>
      </c>
      <c r="AF4" s="10">
        <f t="shared" si="7"/>
        <v>1</v>
      </c>
      <c r="AG4" s="10">
        <f t="shared" si="7"/>
        <v>1</v>
      </c>
      <c r="AH4" s="10">
        <f t="shared" si="7"/>
        <v>1</v>
      </c>
      <c r="AI4" s="10">
        <f t="shared" si="7"/>
        <v>1</v>
      </c>
      <c r="AJ4" s="10">
        <f t="shared" si="7"/>
        <v>1</v>
      </c>
      <c r="AK4" s="10">
        <f t="shared" si="7"/>
        <v>1</v>
      </c>
      <c r="AL4" s="10">
        <f t="shared" si="7"/>
        <v>1</v>
      </c>
      <c r="AM4" s="10">
        <f t="shared" si="7"/>
        <v>1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1" t="s">
        <v>293</v>
      </c>
      <c r="C5" s="10" t="s">
        <v>118</v>
      </c>
      <c r="D5" s="10" t="s">
        <v>25</v>
      </c>
      <c r="E5" s="10">
        <v>0</v>
      </c>
      <c r="F5" s="10">
        <v>0</v>
      </c>
      <c r="G5" s="10">
        <v>0</v>
      </c>
      <c r="H5" s="10">
        <f t="shared" si="5"/>
        <v>0</v>
      </c>
      <c r="I5" s="10">
        <f t="shared" si="5"/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1</v>
      </c>
      <c r="AD5" s="10">
        <f t="shared" si="7"/>
        <v>1</v>
      </c>
      <c r="AE5" s="10">
        <f t="shared" si="7"/>
        <v>1</v>
      </c>
      <c r="AF5" s="10">
        <f t="shared" si="7"/>
        <v>1</v>
      </c>
      <c r="AG5" s="10">
        <f t="shared" si="7"/>
        <v>1</v>
      </c>
      <c r="AH5" s="10">
        <f t="shared" si="7"/>
        <v>1</v>
      </c>
      <c r="AI5" s="10">
        <f t="shared" si="7"/>
        <v>1</v>
      </c>
      <c r="AJ5" s="10">
        <f t="shared" si="7"/>
        <v>1</v>
      </c>
      <c r="AK5" s="10">
        <f t="shared" si="7"/>
        <v>1</v>
      </c>
      <c r="AL5" s="10">
        <f t="shared" si="7"/>
        <v>1</v>
      </c>
      <c r="AM5" s="10">
        <f t="shared" si="7"/>
        <v>1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1" t="s">
        <v>294</v>
      </c>
      <c r="C6" s="10" t="s">
        <v>118</v>
      </c>
      <c r="D6" s="10" t="s">
        <v>25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1</v>
      </c>
      <c r="AD6" s="10">
        <f t="shared" si="7"/>
        <v>1</v>
      </c>
      <c r="AE6" s="10">
        <f t="shared" si="7"/>
        <v>1</v>
      </c>
      <c r="AF6" s="10">
        <f t="shared" si="7"/>
        <v>1</v>
      </c>
      <c r="AG6" s="10">
        <f t="shared" si="7"/>
        <v>1</v>
      </c>
      <c r="AH6" s="10">
        <f t="shared" si="7"/>
        <v>1</v>
      </c>
      <c r="AI6" s="10">
        <f t="shared" si="7"/>
        <v>1</v>
      </c>
      <c r="AJ6" s="10">
        <f t="shared" si="7"/>
        <v>1</v>
      </c>
      <c r="AK6" s="10">
        <f t="shared" si="7"/>
        <v>1</v>
      </c>
      <c r="AL6" s="10">
        <f t="shared" si="7"/>
        <v>1</v>
      </c>
      <c r="AM6" s="10">
        <f t="shared" si="7"/>
        <v>1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1" t="s">
        <v>295</v>
      </c>
      <c r="C7" s="10" t="s">
        <v>119</v>
      </c>
      <c r="D7" s="10" t="s">
        <v>132</v>
      </c>
      <c r="E7" s="10">
        <v>0</v>
      </c>
      <c r="F7" s="10">
        <v>0</v>
      </c>
      <c r="G7" s="10"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1</v>
      </c>
      <c r="R7" s="10">
        <f t="shared" si="6"/>
        <v>1</v>
      </c>
      <c r="S7" s="10">
        <f t="shared" si="6"/>
        <v>1</v>
      </c>
      <c r="T7" s="10">
        <f t="shared" si="6"/>
        <v>1</v>
      </c>
      <c r="U7" s="10">
        <f t="shared" si="6"/>
        <v>1</v>
      </c>
      <c r="V7" s="10">
        <f t="shared" si="6"/>
        <v>1</v>
      </c>
      <c r="W7" s="10">
        <f t="shared" si="6"/>
        <v>1</v>
      </c>
      <c r="X7" s="10">
        <f t="shared" si="6"/>
        <v>1</v>
      </c>
      <c r="Y7" s="10">
        <f t="shared" si="6"/>
        <v>1</v>
      </c>
      <c r="Z7" s="10">
        <f t="shared" si="6"/>
        <v>1</v>
      </c>
      <c r="AA7" s="10">
        <f t="shared" si="6"/>
        <v>1</v>
      </c>
      <c r="AC7" s="10">
        <v>1</v>
      </c>
      <c r="AD7" s="10">
        <f t="shared" si="7"/>
        <v>1</v>
      </c>
      <c r="AE7" s="10">
        <f t="shared" si="7"/>
        <v>1</v>
      </c>
      <c r="AF7" s="10">
        <f t="shared" si="7"/>
        <v>1</v>
      </c>
      <c r="AG7" s="10">
        <f t="shared" si="7"/>
        <v>1</v>
      </c>
      <c r="AH7" s="10">
        <f t="shared" si="7"/>
        <v>1</v>
      </c>
      <c r="AI7" s="10">
        <f t="shared" si="7"/>
        <v>1</v>
      </c>
      <c r="AJ7" s="10">
        <f t="shared" si="7"/>
        <v>1</v>
      </c>
      <c r="AK7" s="10">
        <f t="shared" si="7"/>
        <v>1</v>
      </c>
      <c r="AL7" s="10">
        <f t="shared" si="7"/>
        <v>1</v>
      </c>
      <c r="AM7" s="10">
        <f t="shared" si="7"/>
        <v>1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1" t="s">
        <v>296</v>
      </c>
      <c r="C8" s="10" t="s">
        <v>120</v>
      </c>
      <c r="D8" s="10" t="s">
        <v>133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si="6"/>
        <v>1</v>
      </c>
      <c r="S8" s="10">
        <f t="shared" si="6"/>
        <v>1</v>
      </c>
      <c r="T8" s="10">
        <f t="shared" si="6"/>
        <v>1</v>
      </c>
      <c r="U8" s="10">
        <f t="shared" si="6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C8" s="10">
        <v>1</v>
      </c>
      <c r="AD8" s="10">
        <f t="shared" si="7"/>
        <v>1</v>
      </c>
      <c r="AE8" s="10">
        <f t="shared" si="7"/>
        <v>1</v>
      </c>
      <c r="AF8" s="10">
        <f t="shared" si="7"/>
        <v>1</v>
      </c>
      <c r="AG8" s="10">
        <f t="shared" si="7"/>
        <v>1</v>
      </c>
      <c r="AH8" s="10">
        <f t="shared" si="7"/>
        <v>1</v>
      </c>
      <c r="AI8" s="10">
        <f t="shared" si="7"/>
        <v>1</v>
      </c>
      <c r="AJ8" s="10">
        <f t="shared" si="7"/>
        <v>1</v>
      </c>
      <c r="AK8" s="10">
        <f t="shared" si="7"/>
        <v>1</v>
      </c>
      <c r="AL8" s="10">
        <f t="shared" si="7"/>
        <v>1</v>
      </c>
      <c r="AM8" s="10">
        <f t="shared" si="7"/>
        <v>1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1" t="s">
        <v>297</v>
      </c>
      <c r="C9" s="10" t="s">
        <v>121</v>
      </c>
      <c r="D9" s="10" t="s">
        <v>134</v>
      </c>
      <c r="E9" s="10">
        <v>0</v>
      </c>
      <c r="F9" s="10">
        <v>0</v>
      </c>
      <c r="G9" s="10"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10">
        <f t="shared" si="5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1</v>
      </c>
      <c r="AD9" s="10">
        <f t="shared" si="7"/>
        <v>1</v>
      </c>
      <c r="AE9" s="10">
        <f t="shared" si="7"/>
        <v>1</v>
      </c>
      <c r="AF9" s="10">
        <f t="shared" si="7"/>
        <v>1</v>
      </c>
      <c r="AG9" s="10">
        <f t="shared" si="7"/>
        <v>1</v>
      </c>
      <c r="AH9" s="10">
        <f t="shared" si="7"/>
        <v>1</v>
      </c>
      <c r="AI9" s="10">
        <f t="shared" si="7"/>
        <v>1</v>
      </c>
      <c r="AJ9" s="10">
        <f t="shared" si="7"/>
        <v>1</v>
      </c>
      <c r="AK9" s="10">
        <f t="shared" si="7"/>
        <v>1</v>
      </c>
      <c r="AL9" s="10">
        <f t="shared" si="7"/>
        <v>1</v>
      </c>
      <c r="AM9" s="10">
        <f t="shared" si="7"/>
        <v>1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B10" s="2"/>
      <c r="E10" t="str">
        <f t="shared" ref="E10:AM10" si="10">CONCATENATE(E9,E8,E7,E6,E5,E4,E3,E2)</f>
        <v>00000100</v>
      </c>
      <c r="F10" t="str">
        <f t="shared" si="10"/>
        <v>00000000</v>
      </c>
      <c r="G10" t="str">
        <f t="shared" si="10"/>
        <v>00000000</v>
      </c>
      <c r="H10" t="str">
        <f t="shared" si="10"/>
        <v>00000000</v>
      </c>
      <c r="I10" t="str">
        <f t="shared" si="10"/>
        <v>00000000</v>
      </c>
      <c r="J10" t="str">
        <f t="shared" si="10"/>
        <v>00000000</v>
      </c>
      <c r="K10" t="str">
        <f t="shared" si="10"/>
        <v>00000000</v>
      </c>
      <c r="L10" t="str">
        <f t="shared" si="10"/>
        <v>00000000</v>
      </c>
      <c r="M10" t="str">
        <f t="shared" si="10"/>
        <v>00000000</v>
      </c>
      <c r="N10" t="str">
        <f t="shared" si="10"/>
        <v>00000000</v>
      </c>
      <c r="O10" t="str">
        <f t="shared" si="10"/>
        <v>00000000</v>
      </c>
      <c r="Q10" t="str">
        <f t="shared" si="10"/>
        <v>11111111</v>
      </c>
      <c r="R10" t="str">
        <f t="shared" si="10"/>
        <v>11111111</v>
      </c>
      <c r="S10" t="str">
        <f t="shared" si="10"/>
        <v>11111111</v>
      </c>
      <c r="T10" t="str">
        <f t="shared" si="10"/>
        <v>11111111</v>
      </c>
      <c r="U10" t="str">
        <f t="shared" si="10"/>
        <v>11111111</v>
      </c>
      <c r="V10" t="str">
        <f t="shared" si="10"/>
        <v>11111111</v>
      </c>
      <c r="W10" t="str">
        <f t="shared" si="10"/>
        <v>11111111</v>
      </c>
      <c r="X10" t="str">
        <f t="shared" si="10"/>
        <v>11111111</v>
      </c>
      <c r="Y10" t="str">
        <f t="shared" si="10"/>
        <v>11111111</v>
      </c>
      <c r="Z10" t="str">
        <f t="shared" si="10"/>
        <v>11111111</v>
      </c>
      <c r="AA10" t="str">
        <f t="shared" si="10"/>
        <v>11111111</v>
      </c>
      <c r="AC10" t="str">
        <f t="shared" si="10"/>
        <v>11111111</v>
      </c>
      <c r="AD10" t="str">
        <f t="shared" si="10"/>
        <v>11111111</v>
      </c>
      <c r="AE10" t="str">
        <f t="shared" si="10"/>
        <v>11111111</v>
      </c>
      <c r="AF10" t="str">
        <f t="shared" si="10"/>
        <v>11111111</v>
      </c>
      <c r="AG10" t="str">
        <f t="shared" si="10"/>
        <v>11111111</v>
      </c>
      <c r="AH10" t="str">
        <f t="shared" si="10"/>
        <v>11111111</v>
      </c>
      <c r="AI10" t="str">
        <f t="shared" si="10"/>
        <v>11111111</v>
      </c>
      <c r="AJ10" t="str">
        <f t="shared" si="10"/>
        <v>11111111</v>
      </c>
      <c r="AK10" t="str">
        <f t="shared" si="10"/>
        <v>11111111</v>
      </c>
      <c r="AL10" t="str">
        <f t="shared" si="10"/>
        <v>11111111</v>
      </c>
      <c r="AM10" t="str">
        <f t="shared" si="10"/>
        <v>11111111</v>
      </c>
      <c r="AO10" t="str">
        <f t="shared" ref="AO10:AY10" si="11">CONCATENATE(AO9,AO8,AO7,AO6,AO5,AO4,AO3,AO2)</f>
        <v>00000000</v>
      </c>
      <c r="AP10" t="str">
        <f t="shared" si="11"/>
        <v>00000000</v>
      </c>
      <c r="AQ10" t="str">
        <f t="shared" si="11"/>
        <v>00000000</v>
      </c>
      <c r="AR10" t="str">
        <f t="shared" si="11"/>
        <v>00000000</v>
      </c>
      <c r="AS10" t="str">
        <f t="shared" si="11"/>
        <v>00000000</v>
      </c>
      <c r="AT10" t="str">
        <f t="shared" si="11"/>
        <v>00000000</v>
      </c>
      <c r="AU10" t="str">
        <f t="shared" si="11"/>
        <v>00000000</v>
      </c>
      <c r="AV10" t="str">
        <f t="shared" si="11"/>
        <v>00000000</v>
      </c>
      <c r="AW10" t="str">
        <f t="shared" si="11"/>
        <v>00000000</v>
      </c>
      <c r="AX10" t="str">
        <f t="shared" si="11"/>
        <v>00000000</v>
      </c>
      <c r="AY10" t="str">
        <f t="shared" si="11"/>
        <v>00000000</v>
      </c>
      <c r="BA10" t="str">
        <f t="shared" ref="BA10:BK10" si="12">CONCATENATE(BA9,BA8,BA7,BA6,BA5,BA4,BA3,BA2)</f>
        <v>00000000</v>
      </c>
      <c r="BB10" t="str">
        <f t="shared" si="12"/>
        <v>00000000</v>
      </c>
      <c r="BC10" t="str">
        <f t="shared" si="12"/>
        <v>00000000</v>
      </c>
      <c r="BD10" t="str">
        <f t="shared" si="12"/>
        <v>00000000</v>
      </c>
      <c r="BE10" t="str">
        <f t="shared" si="12"/>
        <v>00000000</v>
      </c>
      <c r="BF10" t="str">
        <f t="shared" si="12"/>
        <v>00000000</v>
      </c>
      <c r="BG10" t="str">
        <f t="shared" si="12"/>
        <v>00000000</v>
      </c>
      <c r="BH10" t="str">
        <f t="shared" si="12"/>
        <v>00000000</v>
      </c>
      <c r="BI10" t="str">
        <f t="shared" si="12"/>
        <v>00000000</v>
      </c>
      <c r="BJ10" t="str">
        <f t="shared" si="12"/>
        <v>00000000</v>
      </c>
      <c r="BK10" t="str">
        <f t="shared" si="12"/>
        <v>00000000</v>
      </c>
    </row>
    <row r="11" spans="1:63" x14ac:dyDescent="0.25">
      <c r="A11" s="2"/>
      <c r="B11" s="2"/>
      <c r="E11" t="str">
        <f t="shared" ref="E11:AM11" si="13">CONCATENATE(BIN2HEX(E10,2))</f>
        <v>04</v>
      </c>
      <c r="F11" t="str">
        <f t="shared" si="13"/>
        <v>00</v>
      </c>
      <c r="G11" t="str">
        <f t="shared" si="13"/>
        <v>00</v>
      </c>
      <c r="H11" t="str">
        <f t="shared" si="13"/>
        <v>00</v>
      </c>
      <c r="I11" t="str">
        <f t="shared" si="13"/>
        <v>00</v>
      </c>
      <c r="J11" t="str">
        <f t="shared" si="13"/>
        <v>00</v>
      </c>
      <c r="K11" t="str">
        <f t="shared" si="13"/>
        <v>00</v>
      </c>
      <c r="L11" t="str">
        <f t="shared" si="13"/>
        <v>00</v>
      </c>
      <c r="M11" t="str">
        <f t="shared" si="13"/>
        <v>00</v>
      </c>
      <c r="N11" t="str">
        <f t="shared" si="13"/>
        <v>00</v>
      </c>
      <c r="O11" t="str">
        <f t="shared" si="13"/>
        <v>00</v>
      </c>
      <c r="Q11" t="str">
        <f t="shared" si="13"/>
        <v>FF</v>
      </c>
      <c r="R11" t="str">
        <f t="shared" si="13"/>
        <v>FF</v>
      </c>
      <c r="S11" t="str">
        <f t="shared" si="13"/>
        <v>FF</v>
      </c>
      <c r="T11" t="str">
        <f t="shared" si="13"/>
        <v>FF</v>
      </c>
      <c r="U11" t="str">
        <f t="shared" si="13"/>
        <v>FF</v>
      </c>
      <c r="V11" t="str">
        <f t="shared" si="13"/>
        <v>FF</v>
      </c>
      <c r="W11" t="str">
        <f t="shared" si="13"/>
        <v>FF</v>
      </c>
      <c r="X11" t="str">
        <f t="shared" si="13"/>
        <v>FF</v>
      </c>
      <c r="Y11" t="str">
        <f t="shared" si="13"/>
        <v>FF</v>
      </c>
      <c r="Z11" t="str">
        <f t="shared" si="13"/>
        <v>FF</v>
      </c>
      <c r="AA11" t="str">
        <f t="shared" si="13"/>
        <v>FF</v>
      </c>
      <c r="AC11" t="str">
        <f t="shared" si="13"/>
        <v>FF</v>
      </c>
      <c r="AD11" t="str">
        <f t="shared" si="13"/>
        <v>FF</v>
      </c>
      <c r="AE11" t="str">
        <f t="shared" si="13"/>
        <v>FF</v>
      </c>
      <c r="AF11" t="str">
        <f t="shared" si="13"/>
        <v>FF</v>
      </c>
      <c r="AG11" t="str">
        <f t="shared" si="13"/>
        <v>FF</v>
      </c>
      <c r="AH11" t="str">
        <f t="shared" si="13"/>
        <v>FF</v>
      </c>
      <c r="AI11" t="str">
        <f t="shared" si="13"/>
        <v>FF</v>
      </c>
      <c r="AJ11" t="str">
        <f t="shared" si="13"/>
        <v>FF</v>
      </c>
      <c r="AK11" t="str">
        <f t="shared" si="13"/>
        <v>FF</v>
      </c>
      <c r="AL11" t="str">
        <f t="shared" si="13"/>
        <v>FF</v>
      </c>
      <c r="AM11" t="str">
        <f t="shared" si="13"/>
        <v>FF</v>
      </c>
      <c r="AO11" t="str">
        <f t="shared" ref="AO11:AY11" si="14">CONCATENATE(BIN2HEX(AO10,2))</f>
        <v>00</v>
      </c>
      <c r="AP11" t="str">
        <f t="shared" si="14"/>
        <v>00</v>
      </c>
      <c r="AQ11" t="str">
        <f t="shared" si="14"/>
        <v>00</v>
      </c>
      <c r="AR11" t="str">
        <f t="shared" si="14"/>
        <v>00</v>
      </c>
      <c r="AS11" t="str">
        <f t="shared" si="14"/>
        <v>00</v>
      </c>
      <c r="AT11" t="str">
        <f t="shared" si="14"/>
        <v>00</v>
      </c>
      <c r="AU11" t="str">
        <f t="shared" si="14"/>
        <v>00</v>
      </c>
      <c r="AV11" t="str">
        <f t="shared" si="14"/>
        <v>00</v>
      </c>
      <c r="AW11" t="str">
        <f t="shared" si="14"/>
        <v>00</v>
      </c>
      <c r="AX11" t="str">
        <f t="shared" si="14"/>
        <v>00</v>
      </c>
      <c r="AY11" t="str">
        <f t="shared" si="14"/>
        <v>00</v>
      </c>
      <c r="BA11" t="str">
        <f t="shared" ref="BA11:BK11" si="15">CONCATENATE(BIN2HEX(BA10,2))</f>
        <v>00</v>
      </c>
      <c r="BB11" t="str">
        <f t="shared" si="15"/>
        <v>00</v>
      </c>
      <c r="BC11" t="str">
        <f t="shared" si="15"/>
        <v>00</v>
      </c>
      <c r="BD11" t="str">
        <f t="shared" si="15"/>
        <v>00</v>
      </c>
      <c r="BE11" t="str">
        <f t="shared" si="15"/>
        <v>00</v>
      </c>
      <c r="BF11" t="str">
        <f t="shared" si="15"/>
        <v>00</v>
      </c>
      <c r="BG11" t="str">
        <f t="shared" si="15"/>
        <v>00</v>
      </c>
      <c r="BH11" t="str">
        <f t="shared" si="15"/>
        <v>00</v>
      </c>
      <c r="BI11" t="str">
        <f t="shared" si="15"/>
        <v>00</v>
      </c>
      <c r="BJ11" t="str">
        <f t="shared" si="15"/>
        <v>00</v>
      </c>
      <c r="BK11" t="str">
        <f t="shared" si="15"/>
        <v>00</v>
      </c>
    </row>
    <row r="12" spans="1:63" x14ac:dyDescent="0.25">
      <c r="A12" s="2"/>
      <c r="B12" s="2"/>
    </row>
    <row r="13" spans="1:63" s="10" customFormat="1" x14ac:dyDescent="0.25">
      <c r="A13" s="11"/>
      <c r="B13" s="11" t="s">
        <v>298</v>
      </c>
      <c r="C13" s="10" t="s">
        <v>122</v>
      </c>
      <c r="D13" s="10" t="s">
        <v>135</v>
      </c>
      <c r="E13" s="10">
        <v>0</v>
      </c>
      <c r="F13" s="10">
        <v>0</v>
      </c>
      <c r="G13" s="10">
        <v>0</v>
      </c>
      <c r="H13" s="10">
        <f>G13</f>
        <v>0</v>
      </c>
      <c r="I13" s="10">
        <f t="shared" ref="I13:O13" si="16">H13</f>
        <v>0</v>
      </c>
      <c r="J13" s="10">
        <f t="shared" si="16"/>
        <v>0</v>
      </c>
      <c r="K13" s="10">
        <f t="shared" si="16"/>
        <v>0</v>
      </c>
      <c r="L13" s="10">
        <f t="shared" si="16"/>
        <v>0</v>
      </c>
      <c r="M13" s="10">
        <f t="shared" si="16"/>
        <v>0</v>
      </c>
      <c r="N13" s="10">
        <f t="shared" si="16"/>
        <v>0</v>
      </c>
      <c r="O13" s="10">
        <f t="shared" si="16"/>
        <v>0</v>
      </c>
      <c r="Q13" s="10">
        <v>1</v>
      </c>
      <c r="R13" s="10">
        <f>Q13</f>
        <v>1</v>
      </c>
      <c r="S13" s="10">
        <f t="shared" ref="S13:AA13" si="17">R13</f>
        <v>1</v>
      </c>
      <c r="T13" s="10">
        <f t="shared" si="17"/>
        <v>1</v>
      </c>
      <c r="U13" s="10">
        <f t="shared" si="17"/>
        <v>1</v>
      </c>
      <c r="V13" s="10">
        <f t="shared" si="17"/>
        <v>1</v>
      </c>
      <c r="W13" s="10">
        <f t="shared" si="17"/>
        <v>1</v>
      </c>
      <c r="X13" s="10">
        <f t="shared" si="17"/>
        <v>1</v>
      </c>
      <c r="Y13" s="10">
        <f t="shared" si="17"/>
        <v>1</v>
      </c>
      <c r="Z13" s="10">
        <f t="shared" si="17"/>
        <v>1</v>
      </c>
      <c r="AA13" s="10">
        <f t="shared" si="17"/>
        <v>1</v>
      </c>
      <c r="AC13" s="10">
        <v>1</v>
      </c>
      <c r="AD13" s="10">
        <f>AC13</f>
        <v>1</v>
      </c>
      <c r="AE13" s="10">
        <f t="shared" ref="AE13:AM13" si="18">AD13</f>
        <v>1</v>
      </c>
      <c r="AF13" s="10">
        <f t="shared" si="18"/>
        <v>1</v>
      </c>
      <c r="AG13" s="10">
        <f t="shared" si="18"/>
        <v>1</v>
      </c>
      <c r="AH13" s="10">
        <f t="shared" si="18"/>
        <v>1</v>
      </c>
      <c r="AI13" s="10">
        <f t="shared" si="18"/>
        <v>1</v>
      </c>
      <c r="AJ13" s="10">
        <f t="shared" si="18"/>
        <v>1</v>
      </c>
      <c r="AK13" s="10">
        <f t="shared" si="18"/>
        <v>1</v>
      </c>
      <c r="AL13" s="10">
        <f t="shared" si="18"/>
        <v>1</v>
      </c>
      <c r="AM13" s="10">
        <f t="shared" si="18"/>
        <v>1</v>
      </c>
      <c r="AO13" s="10">
        <v>0</v>
      </c>
      <c r="AP13" s="10">
        <f>AO13</f>
        <v>0</v>
      </c>
      <c r="AQ13" s="10">
        <f t="shared" ref="AQ13:AY13" si="19">AP13</f>
        <v>0</v>
      </c>
      <c r="AR13" s="10">
        <f t="shared" si="19"/>
        <v>0</v>
      </c>
      <c r="AS13" s="10">
        <f t="shared" si="19"/>
        <v>0</v>
      </c>
      <c r="AT13" s="10">
        <f t="shared" si="19"/>
        <v>0</v>
      </c>
      <c r="AU13" s="10">
        <f t="shared" si="19"/>
        <v>0</v>
      </c>
      <c r="AV13" s="10">
        <f t="shared" si="19"/>
        <v>0</v>
      </c>
      <c r="AW13" s="10">
        <f t="shared" si="19"/>
        <v>0</v>
      </c>
      <c r="AX13" s="10">
        <f t="shared" si="19"/>
        <v>0</v>
      </c>
      <c r="AY13" s="10">
        <f t="shared" si="19"/>
        <v>0</v>
      </c>
      <c r="BA13" s="10">
        <v>0</v>
      </c>
      <c r="BB13" s="10">
        <f>BA13</f>
        <v>0</v>
      </c>
      <c r="BC13" s="10">
        <f t="shared" ref="BC13:BK13" si="20">BB13</f>
        <v>0</v>
      </c>
      <c r="BD13" s="10">
        <f t="shared" si="20"/>
        <v>0</v>
      </c>
      <c r="BE13" s="10">
        <f t="shared" si="20"/>
        <v>0</v>
      </c>
      <c r="BF13" s="10">
        <f t="shared" si="20"/>
        <v>0</v>
      </c>
      <c r="BG13" s="10">
        <f t="shared" si="20"/>
        <v>0</v>
      </c>
      <c r="BH13" s="10">
        <f t="shared" si="20"/>
        <v>0</v>
      </c>
      <c r="BI13" s="10">
        <f t="shared" si="20"/>
        <v>0</v>
      </c>
      <c r="BJ13" s="10">
        <f t="shared" si="20"/>
        <v>0</v>
      </c>
      <c r="BK13" s="10">
        <f t="shared" si="20"/>
        <v>0</v>
      </c>
    </row>
    <row r="14" spans="1:63" s="10" customFormat="1" x14ac:dyDescent="0.25">
      <c r="A14" s="11"/>
      <c r="B14" s="11" t="s">
        <v>299</v>
      </c>
      <c r="C14" s="10" t="s">
        <v>123</v>
      </c>
      <c r="D14" s="10" t="s">
        <v>136</v>
      </c>
      <c r="E14" s="10">
        <v>0</v>
      </c>
      <c r="F14" s="10">
        <v>0</v>
      </c>
      <c r="G14" s="10">
        <v>0</v>
      </c>
      <c r="H14" s="10">
        <f t="shared" ref="H14:O20" si="21">G14</f>
        <v>0</v>
      </c>
      <c r="I14" s="10">
        <f t="shared" si="21"/>
        <v>0</v>
      </c>
      <c r="J14" s="10">
        <f t="shared" si="21"/>
        <v>0</v>
      </c>
      <c r="K14" s="10">
        <f t="shared" si="21"/>
        <v>0</v>
      </c>
      <c r="L14" s="10">
        <f t="shared" si="21"/>
        <v>0</v>
      </c>
      <c r="M14" s="10">
        <f t="shared" si="21"/>
        <v>0</v>
      </c>
      <c r="N14" s="10">
        <f t="shared" si="21"/>
        <v>0</v>
      </c>
      <c r="O14" s="10">
        <f t="shared" si="21"/>
        <v>0</v>
      </c>
      <c r="Q14" s="10">
        <v>1</v>
      </c>
      <c r="R14" s="10">
        <f t="shared" ref="R14:AA20" si="22">Q14</f>
        <v>1</v>
      </c>
      <c r="S14" s="10">
        <f t="shared" si="22"/>
        <v>1</v>
      </c>
      <c r="T14" s="10">
        <f t="shared" si="22"/>
        <v>1</v>
      </c>
      <c r="U14" s="10">
        <f t="shared" si="22"/>
        <v>1</v>
      </c>
      <c r="V14" s="10">
        <f t="shared" si="22"/>
        <v>1</v>
      </c>
      <c r="W14" s="10">
        <f t="shared" si="22"/>
        <v>1</v>
      </c>
      <c r="X14" s="10">
        <f t="shared" si="22"/>
        <v>1</v>
      </c>
      <c r="Y14" s="10">
        <f t="shared" si="22"/>
        <v>1</v>
      </c>
      <c r="Z14" s="10">
        <f t="shared" si="22"/>
        <v>1</v>
      </c>
      <c r="AA14" s="10">
        <f t="shared" si="22"/>
        <v>1</v>
      </c>
      <c r="AC14" s="10">
        <v>1</v>
      </c>
      <c r="AD14" s="10">
        <f t="shared" ref="AD14:AM20" si="23">AC14</f>
        <v>1</v>
      </c>
      <c r="AE14" s="10">
        <f t="shared" si="23"/>
        <v>1</v>
      </c>
      <c r="AF14" s="10">
        <f t="shared" si="23"/>
        <v>1</v>
      </c>
      <c r="AG14" s="10">
        <f t="shared" si="23"/>
        <v>1</v>
      </c>
      <c r="AH14" s="10">
        <f t="shared" si="23"/>
        <v>1</v>
      </c>
      <c r="AI14" s="10">
        <f t="shared" si="23"/>
        <v>1</v>
      </c>
      <c r="AJ14" s="10">
        <f t="shared" si="23"/>
        <v>1</v>
      </c>
      <c r="AK14" s="10">
        <f t="shared" si="23"/>
        <v>1</v>
      </c>
      <c r="AL14" s="10">
        <f t="shared" si="23"/>
        <v>1</v>
      </c>
      <c r="AM14" s="10">
        <f t="shared" si="23"/>
        <v>1</v>
      </c>
      <c r="AO14" s="10">
        <v>0</v>
      </c>
      <c r="AP14" s="10">
        <f t="shared" ref="AP14:AY20" si="24">AO14</f>
        <v>0</v>
      </c>
      <c r="AQ14" s="10">
        <f t="shared" si="24"/>
        <v>0</v>
      </c>
      <c r="AR14" s="10">
        <f t="shared" si="24"/>
        <v>0</v>
      </c>
      <c r="AS14" s="10">
        <f t="shared" si="24"/>
        <v>0</v>
      </c>
      <c r="AT14" s="10">
        <f t="shared" si="24"/>
        <v>0</v>
      </c>
      <c r="AU14" s="10">
        <f t="shared" si="24"/>
        <v>0</v>
      </c>
      <c r="AV14" s="10">
        <f t="shared" si="24"/>
        <v>0</v>
      </c>
      <c r="AW14" s="10">
        <f t="shared" si="24"/>
        <v>0</v>
      </c>
      <c r="AX14" s="10">
        <f t="shared" si="24"/>
        <v>0</v>
      </c>
      <c r="AY14" s="10">
        <f t="shared" si="24"/>
        <v>0</v>
      </c>
      <c r="BA14" s="10">
        <v>0</v>
      </c>
      <c r="BB14" s="10">
        <f t="shared" ref="BB14:BK20" si="25">BA14</f>
        <v>0</v>
      </c>
      <c r="BC14" s="10">
        <f t="shared" si="25"/>
        <v>0</v>
      </c>
      <c r="BD14" s="10">
        <f t="shared" si="25"/>
        <v>0</v>
      </c>
      <c r="BE14" s="10">
        <f t="shared" si="25"/>
        <v>0</v>
      </c>
      <c r="BF14" s="10">
        <f t="shared" si="25"/>
        <v>0</v>
      </c>
      <c r="BG14" s="10">
        <f t="shared" si="25"/>
        <v>0</v>
      </c>
      <c r="BH14" s="10">
        <f t="shared" si="25"/>
        <v>0</v>
      </c>
      <c r="BI14" s="10">
        <f t="shared" si="25"/>
        <v>0</v>
      </c>
      <c r="BJ14" s="10">
        <f t="shared" si="25"/>
        <v>0</v>
      </c>
      <c r="BK14" s="10">
        <f t="shared" si="25"/>
        <v>0</v>
      </c>
    </row>
    <row r="15" spans="1:63" s="10" customFormat="1" x14ac:dyDescent="0.25">
      <c r="A15" s="11"/>
      <c r="B15" s="11" t="s">
        <v>300</v>
      </c>
      <c r="C15" s="10" t="s">
        <v>124</v>
      </c>
      <c r="D15" s="10" t="s">
        <v>137</v>
      </c>
      <c r="E15" s="10">
        <v>0</v>
      </c>
      <c r="F15" s="10">
        <v>0</v>
      </c>
      <c r="G15" s="10">
        <v>0</v>
      </c>
      <c r="H15" s="10">
        <f t="shared" si="21"/>
        <v>0</v>
      </c>
      <c r="I15" s="10">
        <f t="shared" si="21"/>
        <v>0</v>
      </c>
      <c r="J15" s="10">
        <f t="shared" si="21"/>
        <v>0</v>
      </c>
      <c r="K15" s="10">
        <f t="shared" si="21"/>
        <v>0</v>
      </c>
      <c r="L15" s="10">
        <f t="shared" si="21"/>
        <v>0</v>
      </c>
      <c r="M15" s="10">
        <f t="shared" si="21"/>
        <v>0</v>
      </c>
      <c r="N15" s="10">
        <f t="shared" si="21"/>
        <v>0</v>
      </c>
      <c r="O15" s="10">
        <f t="shared" si="21"/>
        <v>0</v>
      </c>
      <c r="Q15" s="10">
        <v>1</v>
      </c>
      <c r="R15" s="10">
        <f t="shared" si="22"/>
        <v>1</v>
      </c>
      <c r="S15" s="10">
        <f t="shared" si="22"/>
        <v>1</v>
      </c>
      <c r="T15" s="10">
        <f t="shared" si="22"/>
        <v>1</v>
      </c>
      <c r="U15" s="10">
        <f t="shared" si="22"/>
        <v>1</v>
      </c>
      <c r="V15" s="10">
        <f t="shared" si="22"/>
        <v>1</v>
      </c>
      <c r="W15" s="10">
        <f t="shared" si="22"/>
        <v>1</v>
      </c>
      <c r="X15" s="10">
        <f t="shared" si="22"/>
        <v>1</v>
      </c>
      <c r="Y15" s="10">
        <f t="shared" si="22"/>
        <v>1</v>
      </c>
      <c r="Z15" s="10">
        <f t="shared" si="22"/>
        <v>1</v>
      </c>
      <c r="AA15" s="10">
        <f t="shared" si="22"/>
        <v>1</v>
      </c>
      <c r="AC15" s="10">
        <v>1</v>
      </c>
      <c r="AD15" s="10">
        <f t="shared" si="23"/>
        <v>1</v>
      </c>
      <c r="AE15" s="10">
        <f t="shared" si="23"/>
        <v>1</v>
      </c>
      <c r="AF15" s="10">
        <f t="shared" si="23"/>
        <v>1</v>
      </c>
      <c r="AG15" s="10">
        <f t="shared" si="23"/>
        <v>1</v>
      </c>
      <c r="AH15" s="10">
        <f t="shared" si="23"/>
        <v>1</v>
      </c>
      <c r="AI15" s="10">
        <f t="shared" si="23"/>
        <v>1</v>
      </c>
      <c r="AJ15" s="10">
        <f t="shared" si="23"/>
        <v>1</v>
      </c>
      <c r="AK15" s="10">
        <f t="shared" si="23"/>
        <v>1</v>
      </c>
      <c r="AL15" s="10">
        <f t="shared" si="23"/>
        <v>1</v>
      </c>
      <c r="AM15" s="10">
        <f t="shared" si="23"/>
        <v>1</v>
      </c>
      <c r="AO15" s="10">
        <v>0</v>
      </c>
      <c r="AP15" s="10">
        <f t="shared" si="24"/>
        <v>0</v>
      </c>
      <c r="AQ15" s="10">
        <f t="shared" si="24"/>
        <v>0</v>
      </c>
      <c r="AR15" s="10">
        <f t="shared" si="24"/>
        <v>0</v>
      </c>
      <c r="AS15" s="10">
        <f t="shared" si="24"/>
        <v>0</v>
      </c>
      <c r="AT15" s="10">
        <f t="shared" si="24"/>
        <v>0</v>
      </c>
      <c r="AU15" s="10">
        <f t="shared" si="24"/>
        <v>0</v>
      </c>
      <c r="AV15" s="10">
        <f t="shared" si="24"/>
        <v>0</v>
      </c>
      <c r="AW15" s="10">
        <f t="shared" si="24"/>
        <v>0</v>
      </c>
      <c r="AX15" s="10">
        <f t="shared" si="24"/>
        <v>0</v>
      </c>
      <c r="AY15" s="10">
        <f t="shared" si="24"/>
        <v>0</v>
      </c>
      <c r="BA15" s="10">
        <v>0</v>
      </c>
      <c r="BB15" s="10">
        <f t="shared" si="25"/>
        <v>0</v>
      </c>
      <c r="BC15" s="10">
        <f t="shared" si="25"/>
        <v>0</v>
      </c>
      <c r="BD15" s="10">
        <f t="shared" si="25"/>
        <v>0</v>
      </c>
      <c r="BE15" s="10">
        <f t="shared" si="25"/>
        <v>0</v>
      </c>
      <c r="BF15" s="10">
        <f t="shared" si="25"/>
        <v>0</v>
      </c>
      <c r="BG15" s="10">
        <f t="shared" si="25"/>
        <v>0</v>
      </c>
      <c r="BH15" s="10">
        <f t="shared" si="25"/>
        <v>0</v>
      </c>
      <c r="BI15" s="10">
        <f t="shared" si="25"/>
        <v>0</v>
      </c>
      <c r="BJ15" s="10">
        <f t="shared" si="25"/>
        <v>0</v>
      </c>
      <c r="BK15" s="10">
        <f t="shared" si="25"/>
        <v>0</v>
      </c>
    </row>
    <row r="16" spans="1:63" s="10" customFormat="1" x14ac:dyDescent="0.25">
      <c r="A16" s="11"/>
      <c r="B16" s="11" t="s">
        <v>301</v>
      </c>
      <c r="C16" s="10" t="s">
        <v>125</v>
      </c>
      <c r="D16" s="10" t="s">
        <v>138</v>
      </c>
      <c r="E16" s="10">
        <v>0</v>
      </c>
      <c r="F16" s="10">
        <v>0</v>
      </c>
      <c r="G16" s="10">
        <v>0</v>
      </c>
      <c r="H16" s="10">
        <f t="shared" si="21"/>
        <v>0</v>
      </c>
      <c r="I16" s="10">
        <f t="shared" si="21"/>
        <v>0</v>
      </c>
      <c r="J16" s="10">
        <f t="shared" si="21"/>
        <v>0</v>
      </c>
      <c r="K16" s="10">
        <f t="shared" si="21"/>
        <v>0</v>
      </c>
      <c r="L16" s="10">
        <f t="shared" si="21"/>
        <v>0</v>
      </c>
      <c r="M16" s="10">
        <f t="shared" si="21"/>
        <v>0</v>
      </c>
      <c r="N16" s="10">
        <f t="shared" si="21"/>
        <v>0</v>
      </c>
      <c r="O16" s="10">
        <f t="shared" si="21"/>
        <v>0</v>
      </c>
      <c r="Q16" s="10">
        <v>0</v>
      </c>
      <c r="R16" s="10">
        <f t="shared" si="22"/>
        <v>0</v>
      </c>
      <c r="S16" s="10">
        <f t="shared" si="22"/>
        <v>0</v>
      </c>
      <c r="T16" s="10">
        <f t="shared" si="22"/>
        <v>0</v>
      </c>
      <c r="U16" s="10">
        <f t="shared" si="22"/>
        <v>0</v>
      </c>
      <c r="V16" s="10">
        <f t="shared" si="22"/>
        <v>0</v>
      </c>
      <c r="W16" s="10">
        <f t="shared" si="22"/>
        <v>0</v>
      </c>
      <c r="X16" s="10">
        <f t="shared" si="22"/>
        <v>0</v>
      </c>
      <c r="Y16" s="10">
        <f t="shared" si="22"/>
        <v>0</v>
      </c>
      <c r="Z16" s="10">
        <f t="shared" si="22"/>
        <v>0</v>
      </c>
      <c r="AA16" s="10">
        <f t="shared" si="22"/>
        <v>0</v>
      </c>
      <c r="AC16" s="10">
        <v>0</v>
      </c>
      <c r="AD16" s="10">
        <f t="shared" si="23"/>
        <v>0</v>
      </c>
      <c r="AE16" s="10">
        <f t="shared" si="23"/>
        <v>0</v>
      </c>
      <c r="AF16" s="10">
        <f t="shared" si="23"/>
        <v>0</v>
      </c>
      <c r="AG16" s="10">
        <f t="shared" si="23"/>
        <v>0</v>
      </c>
      <c r="AH16" s="10">
        <f t="shared" si="23"/>
        <v>0</v>
      </c>
      <c r="AI16" s="10">
        <f t="shared" si="23"/>
        <v>0</v>
      </c>
      <c r="AJ16" s="10">
        <f t="shared" si="23"/>
        <v>0</v>
      </c>
      <c r="AK16" s="10">
        <f t="shared" si="23"/>
        <v>0</v>
      </c>
      <c r="AL16" s="10">
        <f t="shared" si="23"/>
        <v>0</v>
      </c>
      <c r="AM16" s="10">
        <f t="shared" si="23"/>
        <v>0</v>
      </c>
      <c r="AO16" s="10">
        <v>0</v>
      </c>
      <c r="AP16" s="10">
        <f t="shared" si="24"/>
        <v>0</v>
      </c>
      <c r="AQ16" s="10">
        <f t="shared" si="24"/>
        <v>0</v>
      </c>
      <c r="AR16" s="10">
        <f t="shared" si="24"/>
        <v>0</v>
      </c>
      <c r="AS16" s="10">
        <f t="shared" si="24"/>
        <v>0</v>
      </c>
      <c r="AT16" s="10">
        <f t="shared" si="24"/>
        <v>0</v>
      </c>
      <c r="AU16" s="10">
        <f t="shared" si="24"/>
        <v>0</v>
      </c>
      <c r="AV16" s="10">
        <f t="shared" si="24"/>
        <v>0</v>
      </c>
      <c r="AW16" s="10">
        <f t="shared" si="24"/>
        <v>0</v>
      </c>
      <c r="AX16" s="10">
        <f t="shared" si="24"/>
        <v>0</v>
      </c>
      <c r="AY16" s="10">
        <f t="shared" si="24"/>
        <v>0</v>
      </c>
      <c r="BA16" s="10">
        <v>0</v>
      </c>
      <c r="BB16" s="10">
        <f t="shared" si="25"/>
        <v>0</v>
      </c>
      <c r="BC16" s="10">
        <f t="shared" si="25"/>
        <v>0</v>
      </c>
      <c r="BD16" s="10">
        <f t="shared" si="25"/>
        <v>0</v>
      </c>
      <c r="BE16" s="10">
        <f t="shared" si="25"/>
        <v>0</v>
      </c>
      <c r="BF16" s="10">
        <f t="shared" si="25"/>
        <v>0</v>
      </c>
      <c r="BG16" s="10">
        <f t="shared" si="25"/>
        <v>0</v>
      </c>
      <c r="BH16" s="10">
        <f t="shared" si="25"/>
        <v>0</v>
      </c>
      <c r="BI16" s="10">
        <f t="shared" si="25"/>
        <v>0</v>
      </c>
      <c r="BJ16" s="10">
        <f t="shared" si="25"/>
        <v>0</v>
      </c>
      <c r="BK16" s="10">
        <f t="shared" si="25"/>
        <v>0</v>
      </c>
    </row>
    <row r="17" spans="1:63" s="10" customFormat="1" x14ac:dyDescent="0.25">
      <c r="A17" s="11"/>
      <c r="B17" s="11" t="s">
        <v>302</v>
      </c>
      <c r="C17" s="10" t="s">
        <v>127</v>
      </c>
      <c r="D17" s="10" t="s">
        <v>139</v>
      </c>
      <c r="E17" s="10">
        <v>0</v>
      </c>
      <c r="F17" s="10">
        <v>0</v>
      </c>
      <c r="G17" s="10">
        <v>0</v>
      </c>
      <c r="H17" s="10">
        <f t="shared" si="21"/>
        <v>0</v>
      </c>
      <c r="I17" s="10">
        <f t="shared" si="21"/>
        <v>0</v>
      </c>
      <c r="J17" s="10">
        <f t="shared" si="21"/>
        <v>0</v>
      </c>
      <c r="K17" s="10">
        <f t="shared" si="21"/>
        <v>0</v>
      </c>
      <c r="L17" s="10">
        <f t="shared" si="21"/>
        <v>0</v>
      </c>
      <c r="M17" s="10">
        <f t="shared" si="21"/>
        <v>0</v>
      </c>
      <c r="N17" s="10">
        <f t="shared" si="21"/>
        <v>0</v>
      </c>
      <c r="O17" s="10">
        <f t="shared" si="21"/>
        <v>0</v>
      </c>
      <c r="Q17" s="10">
        <v>1</v>
      </c>
      <c r="R17" s="10">
        <f t="shared" si="22"/>
        <v>1</v>
      </c>
      <c r="S17" s="10">
        <f t="shared" si="22"/>
        <v>1</v>
      </c>
      <c r="T17" s="10">
        <f t="shared" si="22"/>
        <v>1</v>
      </c>
      <c r="U17" s="10">
        <f t="shared" si="22"/>
        <v>1</v>
      </c>
      <c r="V17" s="10">
        <f t="shared" si="22"/>
        <v>1</v>
      </c>
      <c r="W17" s="10">
        <f t="shared" si="22"/>
        <v>1</v>
      </c>
      <c r="X17" s="10">
        <f t="shared" si="22"/>
        <v>1</v>
      </c>
      <c r="Y17" s="10">
        <f t="shared" si="22"/>
        <v>1</v>
      </c>
      <c r="Z17" s="10">
        <f t="shared" si="22"/>
        <v>1</v>
      </c>
      <c r="AA17" s="10">
        <f t="shared" si="22"/>
        <v>1</v>
      </c>
      <c r="AC17" s="10">
        <v>1</v>
      </c>
      <c r="AD17" s="10">
        <f t="shared" si="23"/>
        <v>1</v>
      </c>
      <c r="AE17" s="10">
        <f t="shared" si="23"/>
        <v>1</v>
      </c>
      <c r="AF17" s="10">
        <f t="shared" si="23"/>
        <v>1</v>
      </c>
      <c r="AG17" s="10">
        <f t="shared" si="23"/>
        <v>1</v>
      </c>
      <c r="AH17" s="10">
        <f t="shared" si="23"/>
        <v>1</v>
      </c>
      <c r="AI17" s="10">
        <f t="shared" si="23"/>
        <v>1</v>
      </c>
      <c r="AJ17" s="10">
        <f t="shared" si="23"/>
        <v>1</v>
      </c>
      <c r="AK17" s="10">
        <f t="shared" si="23"/>
        <v>1</v>
      </c>
      <c r="AL17" s="10">
        <f t="shared" si="23"/>
        <v>1</v>
      </c>
      <c r="AM17" s="10">
        <f t="shared" si="23"/>
        <v>1</v>
      </c>
      <c r="AO17" s="10">
        <v>0</v>
      </c>
      <c r="AP17" s="10">
        <f t="shared" si="24"/>
        <v>0</v>
      </c>
      <c r="AQ17" s="10">
        <f t="shared" si="24"/>
        <v>0</v>
      </c>
      <c r="AR17" s="10">
        <f t="shared" si="24"/>
        <v>0</v>
      </c>
      <c r="AS17" s="10">
        <f t="shared" si="24"/>
        <v>0</v>
      </c>
      <c r="AT17" s="10">
        <f t="shared" si="24"/>
        <v>0</v>
      </c>
      <c r="AU17" s="10">
        <f t="shared" si="24"/>
        <v>0</v>
      </c>
      <c r="AV17" s="10">
        <f t="shared" si="24"/>
        <v>0</v>
      </c>
      <c r="AW17" s="10">
        <f t="shared" si="24"/>
        <v>0</v>
      </c>
      <c r="AX17" s="10">
        <f t="shared" si="24"/>
        <v>0</v>
      </c>
      <c r="AY17" s="10">
        <f t="shared" si="24"/>
        <v>0</v>
      </c>
      <c r="BA17" s="10">
        <v>0</v>
      </c>
      <c r="BB17" s="10">
        <f t="shared" si="25"/>
        <v>0</v>
      </c>
      <c r="BC17" s="10">
        <f t="shared" si="25"/>
        <v>0</v>
      </c>
      <c r="BD17" s="10">
        <f t="shared" si="25"/>
        <v>0</v>
      </c>
      <c r="BE17" s="10">
        <f t="shared" si="25"/>
        <v>0</v>
      </c>
      <c r="BF17" s="10">
        <f t="shared" si="25"/>
        <v>0</v>
      </c>
      <c r="BG17" s="10">
        <f t="shared" si="25"/>
        <v>0</v>
      </c>
      <c r="BH17" s="10">
        <f t="shared" si="25"/>
        <v>0</v>
      </c>
      <c r="BI17" s="10">
        <f t="shared" si="25"/>
        <v>0</v>
      </c>
      <c r="BJ17" s="10">
        <f t="shared" si="25"/>
        <v>0</v>
      </c>
      <c r="BK17" s="10">
        <f t="shared" si="25"/>
        <v>0</v>
      </c>
    </row>
    <row r="18" spans="1:63" s="10" customFormat="1" x14ac:dyDescent="0.25">
      <c r="A18" s="11"/>
      <c r="B18" s="11" t="s">
        <v>303</v>
      </c>
      <c r="C18" s="10" t="s">
        <v>126</v>
      </c>
      <c r="D18" s="10" t="s">
        <v>141</v>
      </c>
      <c r="E18" s="10">
        <v>0</v>
      </c>
      <c r="F18" s="10">
        <v>0</v>
      </c>
      <c r="G18" s="10">
        <v>0</v>
      </c>
      <c r="H18" s="10">
        <f t="shared" si="21"/>
        <v>0</v>
      </c>
      <c r="I18" s="10">
        <f t="shared" si="21"/>
        <v>0</v>
      </c>
      <c r="J18" s="10">
        <f t="shared" si="21"/>
        <v>0</v>
      </c>
      <c r="K18" s="10">
        <f t="shared" si="21"/>
        <v>0</v>
      </c>
      <c r="L18" s="10">
        <f t="shared" si="21"/>
        <v>0</v>
      </c>
      <c r="M18" s="10">
        <f t="shared" si="21"/>
        <v>0</v>
      </c>
      <c r="N18" s="10">
        <f t="shared" si="21"/>
        <v>0</v>
      </c>
      <c r="O18" s="10">
        <f t="shared" si="21"/>
        <v>0</v>
      </c>
      <c r="Q18" s="10">
        <v>0</v>
      </c>
      <c r="R18" s="10">
        <f t="shared" si="22"/>
        <v>0</v>
      </c>
      <c r="S18" s="10">
        <f t="shared" si="22"/>
        <v>0</v>
      </c>
      <c r="T18" s="10">
        <f t="shared" si="22"/>
        <v>0</v>
      </c>
      <c r="U18" s="10">
        <f t="shared" si="22"/>
        <v>0</v>
      </c>
      <c r="V18" s="10">
        <f t="shared" si="22"/>
        <v>0</v>
      </c>
      <c r="W18" s="10">
        <f t="shared" si="22"/>
        <v>0</v>
      </c>
      <c r="X18" s="10">
        <f t="shared" si="22"/>
        <v>0</v>
      </c>
      <c r="Y18" s="10">
        <f t="shared" si="22"/>
        <v>0</v>
      </c>
      <c r="Z18" s="10">
        <f t="shared" si="22"/>
        <v>0</v>
      </c>
      <c r="AA18" s="10">
        <f t="shared" si="22"/>
        <v>0</v>
      </c>
      <c r="AC18" s="10">
        <v>0</v>
      </c>
      <c r="AD18" s="10">
        <f t="shared" si="23"/>
        <v>0</v>
      </c>
      <c r="AE18" s="10">
        <f t="shared" si="23"/>
        <v>0</v>
      </c>
      <c r="AF18" s="10">
        <f t="shared" si="23"/>
        <v>0</v>
      </c>
      <c r="AG18" s="10">
        <f t="shared" si="23"/>
        <v>0</v>
      </c>
      <c r="AH18" s="10">
        <f t="shared" si="23"/>
        <v>0</v>
      </c>
      <c r="AI18" s="10">
        <f t="shared" si="23"/>
        <v>0</v>
      </c>
      <c r="AJ18" s="10">
        <f t="shared" si="23"/>
        <v>0</v>
      </c>
      <c r="AK18" s="10">
        <f t="shared" si="23"/>
        <v>0</v>
      </c>
      <c r="AL18" s="10">
        <f t="shared" si="23"/>
        <v>0</v>
      </c>
      <c r="AM18" s="10">
        <f t="shared" si="23"/>
        <v>0</v>
      </c>
      <c r="AO18" s="10">
        <v>0</v>
      </c>
      <c r="AP18" s="10">
        <f t="shared" si="24"/>
        <v>0</v>
      </c>
      <c r="AQ18" s="10">
        <f t="shared" si="24"/>
        <v>0</v>
      </c>
      <c r="AR18" s="10">
        <f t="shared" si="24"/>
        <v>0</v>
      </c>
      <c r="AS18" s="10">
        <f t="shared" si="24"/>
        <v>0</v>
      </c>
      <c r="AT18" s="10">
        <f t="shared" si="24"/>
        <v>0</v>
      </c>
      <c r="AU18" s="10">
        <f t="shared" si="24"/>
        <v>0</v>
      </c>
      <c r="AV18" s="10">
        <f t="shared" si="24"/>
        <v>0</v>
      </c>
      <c r="AW18" s="10">
        <f t="shared" si="24"/>
        <v>0</v>
      </c>
      <c r="AX18" s="10">
        <f t="shared" si="24"/>
        <v>0</v>
      </c>
      <c r="AY18" s="10">
        <f t="shared" si="24"/>
        <v>0</v>
      </c>
      <c r="BA18" s="10">
        <v>0</v>
      </c>
      <c r="BB18" s="10">
        <f t="shared" si="25"/>
        <v>0</v>
      </c>
      <c r="BC18" s="10">
        <f t="shared" si="25"/>
        <v>0</v>
      </c>
      <c r="BD18" s="10">
        <f t="shared" si="25"/>
        <v>0</v>
      </c>
      <c r="BE18" s="10">
        <f t="shared" si="25"/>
        <v>0</v>
      </c>
      <c r="BF18" s="10">
        <f t="shared" si="25"/>
        <v>0</v>
      </c>
      <c r="BG18" s="10">
        <f t="shared" si="25"/>
        <v>0</v>
      </c>
      <c r="BH18" s="10">
        <f t="shared" si="25"/>
        <v>0</v>
      </c>
      <c r="BI18" s="10">
        <f t="shared" si="25"/>
        <v>0</v>
      </c>
      <c r="BJ18" s="10">
        <f t="shared" si="25"/>
        <v>0</v>
      </c>
      <c r="BK18" s="10">
        <f t="shared" si="25"/>
        <v>0</v>
      </c>
    </row>
    <row r="19" spans="1:63" s="10" customFormat="1" x14ac:dyDescent="0.25">
      <c r="A19" s="11"/>
      <c r="B19" s="11" t="s">
        <v>304</v>
      </c>
      <c r="C19" s="10" t="s">
        <v>128</v>
      </c>
      <c r="D19" s="10" t="s">
        <v>140</v>
      </c>
      <c r="E19" s="10">
        <v>0</v>
      </c>
      <c r="F19" s="10">
        <v>0</v>
      </c>
      <c r="G19" s="10">
        <v>0</v>
      </c>
      <c r="H19" s="10">
        <f t="shared" si="21"/>
        <v>0</v>
      </c>
      <c r="I19" s="10">
        <f t="shared" si="21"/>
        <v>0</v>
      </c>
      <c r="J19" s="10">
        <f t="shared" si="21"/>
        <v>0</v>
      </c>
      <c r="K19" s="10">
        <f t="shared" si="21"/>
        <v>0</v>
      </c>
      <c r="L19" s="10">
        <f t="shared" si="21"/>
        <v>0</v>
      </c>
      <c r="M19" s="10">
        <f t="shared" si="21"/>
        <v>0</v>
      </c>
      <c r="N19" s="10">
        <f t="shared" si="21"/>
        <v>0</v>
      </c>
      <c r="O19" s="10">
        <f t="shared" si="21"/>
        <v>0</v>
      </c>
      <c r="Q19" s="10">
        <v>1</v>
      </c>
      <c r="R19" s="10">
        <f t="shared" si="22"/>
        <v>1</v>
      </c>
      <c r="S19" s="10">
        <f t="shared" si="22"/>
        <v>1</v>
      </c>
      <c r="T19" s="10">
        <f t="shared" si="22"/>
        <v>1</v>
      </c>
      <c r="U19" s="10">
        <f t="shared" si="22"/>
        <v>1</v>
      </c>
      <c r="V19" s="10">
        <f t="shared" si="22"/>
        <v>1</v>
      </c>
      <c r="W19" s="10">
        <f t="shared" si="22"/>
        <v>1</v>
      </c>
      <c r="X19" s="10">
        <f t="shared" si="22"/>
        <v>1</v>
      </c>
      <c r="Y19" s="10">
        <f t="shared" si="22"/>
        <v>1</v>
      </c>
      <c r="Z19" s="10">
        <f t="shared" si="22"/>
        <v>1</v>
      </c>
      <c r="AA19" s="10">
        <f t="shared" si="22"/>
        <v>1</v>
      </c>
      <c r="AC19" s="10">
        <v>1</v>
      </c>
      <c r="AD19" s="10">
        <f t="shared" si="23"/>
        <v>1</v>
      </c>
      <c r="AE19" s="10">
        <f t="shared" si="23"/>
        <v>1</v>
      </c>
      <c r="AF19" s="10">
        <f t="shared" si="23"/>
        <v>1</v>
      </c>
      <c r="AG19" s="10">
        <f t="shared" si="23"/>
        <v>1</v>
      </c>
      <c r="AH19" s="10">
        <f t="shared" si="23"/>
        <v>1</v>
      </c>
      <c r="AI19" s="10">
        <f t="shared" si="23"/>
        <v>1</v>
      </c>
      <c r="AJ19" s="10">
        <f t="shared" si="23"/>
        <v>1</v>
      </c>
      <c r="AK19" s="10">
        <f t="shared" si="23"/>
        <v>1</v>
      </c>
      <c r="AL19" s="10">
        <f t="shared" si="23"/>
        <v>1</v>
      </c>
      <c r="AM19" s="10">
        <f t="shared" si="23"/>
        <v>1</v>
      </c>
      <c r="AO19" s="10">
        <v>0</v>
      </c>
      <c r="AP19" s="10">
        <f t="shared" si="24"/>
        <v>0</v>
      </c>
      <c r="AQ19" s="10">
        <f t="shared" si="24"/>
        <v>0</v>
      </c>
      <c r="AR19" s="10">
        <f t="shared" si="24"/>
        <v>0</v>
      </c>
      <c r="AS19" s="10">
        <f t="shared" si="24"/>
        <v>0</v>
      </c>
      <c r="AT19" s="10">
        <f t="shared" si="24"/>
        <v>0</v>
      </c>
      <c r="AU19" s="10">
        <f t="shared" si="24"/>
        <v>0</v>
      </c>
      <c r="AV19" s="10">
        <f t="shared" si="24"/>
        <v>0</v>
      </c>
      <c r="AW19" s="10">
        <f t="shared" si="24"/>
        <v>0</v>
      </c>
      <c r="AX19" s="10">
        <f t="shared" si="24"/>
        <v>0</v>
      </c>
      <c r="AY19" s="10">
        <f t="shared" si="24"/>
        <v>0</v>
      </c>
      <c r="BA19" s="10">
        <v>0</v>
      </c>
      <c r="BB19" s="10">
        <f t="shared" si="25"/>
        <v>0</v>
      </c>
      <c r="BC19" s="10">
        <f t="shared" si="25"/>
        <v>0</v>
      </c>
      <c r="BD19" s="10">
        <f t="shared" si="25"/>
        <v>0</v>
      </c>
      <c r="BE19" s="10">
        <f t="shared" si="25"/>
        <v>0</v>
      </c>
      <c r="BF19" s="10">
        <f t="shared" si="25"/>
        <v>0</v>
      </c>
      <c r="BG19" s="10">
        <f t="shared" si="25"/>
        <v>0</v>
      </c>
      <c r="BH19" s="10">
        <f t="shared" si="25"/>
        <v>0</v>
      </c>
      <c r="BI19" s="10">
        <f t="shared" si="25"/>
        <v>0</v>
      </c>
      <c r="BJ19" s="10">
        <f t="shared" si="25"/>
        <v>0</v>
      </c>
      <c r="BK19" s="10">
        <f t="shared" si="25"/>
        <v>0</v>
      </c>
    </row>
    <row r="20" spans="1:63" s="10" customFormat="1" x14ac:dyDescent="0.25">
      <c r="A20" s="11"/>
      <c r="B20" s="11" t="s">
        <v>305</v>
      </c>
      <c r="C20" s="10" t="s">
        <v>129</v>
      </c>
      <c r="D20" s="10" t="s">
        <v>142</v>
      </c>
      <c r="E20" s="10">
        <v>0</v>
      </c>
      <c r="F20" s="10">
        <v>0</v>
      </c>
      <c r="G20" s="10">
        <v>0</v>
      </c>
      <c r="H20" s="10">
        <f t="shared" si="21"/>
        <v>0</v>
      </c>
      <c r="I20" s="10">
        <f t="shared" si="21"/>
        <v>0</v>
      </c>
      <c r="J20" s="10">
        <f t="shared" si="21"/>
        <v>0</v>
      </c>
      <c r="K20" s="10">
        <f t="shared" si="21"/>
        <v>0</v>
      </c>
      <c r="L20" s="10">
        <f t="shared" si="21"/>
        <v>0</v>
      </c>
      <c r="M20" s="10">
        <f t="shared" si="21"/>
        <v>0</v>
      </c>
      <c r="N20" s="10">
        <f t="shared" si="21"/>
        <v>0</v>
      </c>
      <c r="O20" s="10">
        <f t="shared" si="21"/>
        <v>0</v>
      </c>
      <c r="Q20" s="10">
        <v>1</v>
      </c>
      <c r="R20" s="10">
        <f t="shared" si="22"/>
        <v>1</v>
      </c>
      <c r="S20" s="10">
        <f t="shared" si="22"/>
        <v>1</v>
      </c>
      <c r="T20" s="10">
        <f t="shared" si="22"/>
        <v>1</v>
      </c>
      <c r="U20" s="10">
        <f t="shared" si="22"/>
        <v>1</v>
      </c>
      <c r="V20" s="10">
        <f t="shared" si="22"/>
        <v>1</v>
      </c>
      <c r="W20" s="10">
        <f t="shared" si="22"/>
        <v>1</v>
      </c>
      <c r="X20" s="10">
        <f t="shared" si="22"/>
        <v>1</v>
      </c>
      <c r="Y20" s="10">
        <f t="shared" si="22"/>
        <v>1</v>
      </c>
      <c r="Z20" s="10">
        <f t="shared" si="22"/>
        <v>1</v>
      </c>
      <c r="AA20" s="10">
        <f t="shared" si="22"/>
        <v>1</v>
      </c>
      <c r="AC20" s="10">
        <v>1</v>
      </c>
      <c r="AD20" s="10">
        <f t="shared" si="23"/>
        <v>1</v>
      </c>
      <c r="AE20" s="10">
        <f t="shared" si="23"/>
        <v>1</v>
      </c>
      <c r="AF20" s="10">
        <f t="shared" si="23"/>
        <v>1</v>
      </c>
      <c r="AG20" s="10">
        <f t="shared" si="23"/>
        <v>1</v>
      </c>
      <c r="AH20" s="10">
        <f t="shared" si="23"/>
        <v>1</v>
      </c>
      <c r="AI20" s="10">
        <f t="shared" si="23"/>
        <v>1</v>
      </c>
      <c r="AJ20" s="10">
        <f t="shared" si="23"/>
        <v>1</v>
      </c>
      <c r="AK20" s="10">
        <f t="shared" si="23"/>
        <v>1</v>
      </c>
      <c r="AL20" s="10">
        <f t="shared" si="23"/>
        <v>1</v>
      </c>
      <c r="AM20" s="10">
        <f t="shared" si="23"/>
        <v>1</v>
      </c>
      <c r="AO20" s="10">
        <v>0</v>
      </c>
      <c r="AP20" s="10">
        <f t="shared" si="24"/>
        <v>0</v>
      </c>
      <c r="AQ20" s="10">
        <f t="shared" si="24"/>
        <v>0</v>
      </c>
      <c r="AR20" s="10">
        <f t="shared" si="24"/>
        <v>0</v>
      </c>
      <c r="AS20" s="10">
        <f t="shared" si="24"/>
        <v>0</v>
      </c>
      <c r="AT20" s="10">
        <f t="shared" si="24"/>
        <v>0</v>
      </c>
      <c r="AU20" s="10">
        <f t="shared" si="24"/>
        <v>0</v>
      </c>
      <c r="AV20" s="10">
        <f t="shared" si="24"/>
        <v>0</v>
      </c>
      <c r="AW20" s="10">
        <f t="shared" si="24"/>
        <v>0</v>
      </c>
      <c r="AX20" s="10">
        <f t="shared" si="24"/>
        <v>0</v>
      </c>
      <c r="AY20" s="10">
        <f t="shared" si="24"/>
        <v>0</v>
      </c>
      <c r="BA20" s="10">
        <v>0</v>
      </c>
      <c r="BB20" s="10">
        <f t="shared" si="25"/>
        <v>0</v>
      </c>
      <c r="BC20" s="10">
        <f t="shared" si="25"/>
        <v>0</v>
      </c>
      <c r="BD20" s="10">
        <f t="shared" si="25"/>
        <v>0</v>
      </c>
      <c r="BE20" s="10">
        <f t="shared" si="25"/>
        <v>0</v>
      </c>
      <c r="BF20" s="10">
        <f t="shared" si="25"/>
        <v>0</v>
      </c>
      <c r="BG20" s="10">
        <f t="shared" si="25"/>
        <v>0</v>
      </c>
      <c r="BH20" s="10">
        <f t="shared" si="25"/>
        <v>0</v>
      </c>
      <c r="BI20" s="10">
        <f t="shared" si="25"/>
        <v>0</v>
      </c>
      <c r="BJ20" s="10">
        <f t="shared" si="25"/>
        <v>0</v>
      </c>
      <c r="BK20" s="10">
        <f t="shared" si="25"/>
        <v>0</v>
      </c>
    </row>
    <row r="21" spans="1:63" x14ac:dyDescent="0.25">
      <c r="A21" s="2"/>
      <c r="B21" s="2" t="s">
        <v>5</v>
      </c>
      <c r="E21" t="str">
        <f t="shared" ref="E21:AM21" si="26">CONCATENATE(E20,E19,E18,E17,E16,E15,E14,E13)</f>
        <v>00000000</v>
      </c>
      <c r="F21" t="str">
        <f t="shared" si="26"/>
        <v>00000000</v>
      </c>
      <c r="G21" t="str">
        <f t="shared" si="26"/>
        <v>00000000</v>
      </c>
      <c r="H21" t="str">
        <f t="shared" si="26"/>
        <v>00000000</v>
      </c>
      <c r="I21" t="str">
        <f t="shared" si="26"/>
        <v>00000000</v>
      </c>
      <c r="J21" t="str">
        <f t="shared" si="26"/>
        <v>00000000</v>
      </c>
      <c r="K21" t="str">
        <f t="shared" si="26"/>
        <v>00000000</v>
      </c>
      <c r="L21" t="str">
        <f t="shared" si="26"/>
        <v>00000000</v>
      </c>
      <c r="M21" t="str">
        <f t="shared" si="26"/>
        <v>00000000</v>
      </c>
      <c r="N21" t="str">
        <f t="shared" si="26"/>
        <v>00000000</v>
      </c>
      <c r="O21" t="str">
        <f t="shared" si="26"/>
        <v>00000000</v>
      </c>
      <c r="Q21" t="str">
        <f t="shared" si="26"/>
        <v>11010111</v>
      </c>
      <c r="R21" t="str">
        <f t="shared" si="26"/>
        <v>11010111</v>
      </c>
      <c r="S21" t="str">
        <f t="shared" si="26"/>
        <v>11010111</v>
      </c>
      <c r="T21" t="str">
        <f t="shared" si="26"/>
        <v>11010111</v>
      </c>
      <c r="U21" t="str">
        <f t="shared" si="26"/>
        <v>11010111</v>
      </c>
      <c r="V21" t="str">
        <f t="shared" si="26"/>
        <v>11010111</v>
      </c>
      <c r="W21" t="str">
        <f t="shared" si="26"/>
        <v>11010111</v>
      </c>
      <c r="X21" t="str">
        <f t="shared" si="26"/>
        <v>11010111</v>
      </c>
      <c r="Y21" t="str">
        <f t="shared" si="26"/>
        <v>11010111</v>
      </c>
      <c r="Z21" t="str">
        <f t="shared" si="26"/>
        <v>11010111</v>
      </c>
      <c r="AA21" t="str">
        <f t="shared" si="26"/>
        <v>11010111</v>
      </c>
      <c r="AC21" t="str">
        <f t="shared" si="26"/>
        <v>11010111</v>
      </c>
      <c r="AD21" t="str">
        <f t="shared" si="26"/>
        <v>11010111</v>
      </c>
      <c r="AE21" t="str">
        <f t="shared" si="26"/>
        <v>11010111</v>
      </c>
      <c r="AF21" t="str">
        <f t="shared" si="26"/>
        <v>11010111</v>
      </c>
      <c r="AG21" t="str">
        <f t="shared" si="26"/>
        <v>11010111</v>
      </c>
      <c r="AH21" t="str">
        <f t="shared" si="26"/>
        <v>11010111</v>
      </c>
      <c r="AI21" t="str">
        <f t="shared" si="26"/>
        <v>11010111</v>
      </c>
      <c r="AJ21" t="str">
        <f t="shared" si="26"/>
        <v>11010111</v>
      </c>
      <c r="AK21" t="str">
        <f t="shared" si="26"/>
        <v>11010111</v>
      </c>
      <c r="AL21" t="str">
        <f t="shared" si="26"/>
        <v>11010111</v>
      </c>
      <c r="AM21" t="str">
        <f t="shared" si="26"/>
        <v>11010111</v>
      </c>
      <c r="AO21" t="str">
        <f t="shared" ref="AO21:AY21" si="27">CONCATENATE(AO20,AO19,AO18,AO17,AO16,AO15,AO14,AO13)</f>
        <v>00000000</v>
      </c>
      <c r="AP21" t="str">
        <f t="shared" si="27"/>
        <v>00000000</v>
      </c>
      <c r="AQ21" t="str">
        <f t="shared" si="27"/>
        <v>00000000</v>
      </c>
      <c r="AR21" t="str">
        <f t="shared" si="27"/>
        <v>00000000</v>
      </c>
      <c r="AS21" t="str">
        <f t="shared" si="27"/>
        <v>00000000</v>
      </c>
      <c r="AT21" t="str">
        <f t="shared" si="27"/>
        <v>00000000</v>
      </c>
      <c r="AU21" t="str">
        <f t="shared" si="27"/>
        <v>00000000</v>
      </c>
      <c r="AV21" t="str">
        <f t="shared" si="27"/>
        <v>00000000</v>
      </c>
      <c r="AW21" t="str">
        <f t="shared" si="27"/>
        <v>00000000</v>
      </c>
      <c r="AX21" t="str">
        <f t="shared" si="27"/>
        <v>00000000</v>
      </c>
      <c r="AY21" t="str">
        <f t="shared" si="27"/>
        <v>00000000</v>
      </c>
      <c r="BA21" t="str">
        <f t="shared" ref="BA21:BK21" si="28">CONCATENATE(BA20,BA19,BA18,BA17,BA16,BA15,BA14,BA13)</f>
        <v>00000000</v>
      </c>
      <c r="BB21" t="str">
        <f t="shared" si="28"/>
        <v>00000000</v>
      </c>
      <c r="BC21" t="str">
        <f t="shared" si="28"/>
        <v>00000000</v>
      </c>
      <c r="BD21" t="str">
        <f t="shared" si="28"/>
        <v>00000000</v>
      </c>
      <c r="BE21" t="str">
        <f t="shared" si="28"/>
        <v>00000000</v>
      </c>
      <c r="BF21" t="str">
        <f t="shared" si="28"/>
        <v>00000000</v>
      </c>
      <c r="BG21" t="str">
        <f t="shared" si="28"/>
        <v>00000000</v>
      </c>
      <c r="BH21" t="str">
        <f t="shared" si="28"/>
        <v>00000000</v>
      </c>
      <c r="BI21" t="str">
        <f t="shared" si="28"/>
        <v>00000000</v>
      </c>
      <c r="BJ21" t="str">
        <f t="shared" si="28"/>
        <v>00000000</v>
      </c>
      <c r="BK21" t="str">
        <f t="shared" si="28"/>
        <v>00000000</v>
      </c>
    </row>
    <row r="22" spans="1:63" x14ac:dyDescent="0.25">
      <c r="A22" s="2"/>
      <c r="B22" s="2"/>
      <c r="E22" t="str">
        <f t="shared" ref="E22:AM22" si="29">CONCATENATE(BIN2HEX(E21,2))</f>
        <v>00</v>
      </c>
      <c r="F22" t="str">
        <f t="shared" si="29"/>
        <v>00</v>
      </c>
      <c r="G22" t="str">
        <f t="shared" si="29"/>
        <v>00</v>
      </c>
      <c r="H22" t="str">
        <f t="shared" si="29"/>
        <v>00</v>
      </c>
      <c r="I22" t="str">
        <f t="shared" si="29"/>
        <v>00</v>
      </c>
      <c r="J22" t="str">
        <f t="shared" si="29"/>
        <v>00</v>
      </c>
      <c r="K22" t="str">
        <f t="shared" si="29"/>
        <v>00</v>
      </c>
      <c r="L22" t="str">
        <f t="shared" si="29"/>
        <v>00</v>
      </c>
      <c r="M22" t="str">
        <f t="shared" si="29"/>
        <v>00</v>
      </c>
      <c r="N22" t="str">
        <f t="shared" si="29"/>
        <v>00</v>
      </c>
      <c r="O22" t="str">
        <f t="shared" si="29"/>
        <v>00</v>
      </c>
      <c r="Q22" t="str">
        <f t="shared" si="29"/>
        <v>D7</v>
      </c>
      <c r="R22" t="str">
        <f t="shared" si="29"/>
        <v>D7</v>
      </c>
      <c r="S22" t="str">
        <f t="shared" si="29"/>
        <v>D7</v>
      </c>
      <c r="T22" t="str">
        <f t="shared" si="29"/>
        <v>D7</v>
      </c>
      <c r="U22" t="str">
        <f t="shared" si="29"/>
        <v>D7</v>
      </c>
      <c r="V22" t="str">
        <f t="shared" si="29"/>
        <v>D7</v>
      </c>
      <c r="W22" t="str">
        <f t="shared" si="29"/>
        <v>D7</v>
      </c>
      <c r="X22" t="str">
        <f t="shared" si="29"/>
        <v>D7</v>
      </c>
      <c r="Y22" t="str">
        <f t="shared" si="29"/>
        <v>D7</v>
      </c>
      <c r="Z22" t="str">
        <f t="shared" si="29"/>
        <v>D7</v>
      </c>
      <c r="AA22" t="str">
        <f t="shared" si="29"/>
        <v>D7</v>
      </c>
      <c r="AC22" t="str">
        <f t="shared" si="29"/>
        <v>D7</v>
      </c>
      <c r="AD22" t="str">
        <f t="shared" si="29"/>
        <v>D7</v>
      </c>
      <c r="AE22" t="str">
        <f t="shared" si="29"/>
        <v>D7</v>
      </c>
      <c r="AF22" t="str">
        <f t="shared" si="29"/>
        <v>D7</v>
      </c>
      <c r="AG22" t="str">
        <f t="shared" si="29"/>
        <v>D7</v>
      </c>
      <c r="AH22" t="str">
        <f t="shared" si="29"/>
        <v>D7</v>
      </c>
      <c r="AI22" t="str">
        <f t="shared" si="29"/>
        <v>D7</v>
      </c>
      <c r="AJ22" t="str">
        <f t="shared" si="29"/>
        <v>D7</v>
      </c>
      <c r="AK22" t="str">
        <f t="shared" si="29"/>
        <v>D7</v>
      </c>
      <c r="AL22" t="str">
        <f t="shared" si="29"/>
        <v>D7</v>
      </c>
      <c r="AM22" t="str">
        <f t="shared" si="29"/>
        <v>D7</v>
      </c>
      <c r="AO22" t="str">
        <f t="shared" ref="AO22:AY22" si="30">CONCATENATE(BIN2HEX(AO21,2))</f>
        <v>00</v>
      </c>
      <c r="AP22" t="str">
        <f t="shared" si="30"/>
        <v>00</v>
      </c>
      <c r="AQ22" t="str">
        <f t="shared" si="30"/>
        <v>00</v>
      </c>
      <c r="AR22" t="str">
        <f t="shared" si="30"/>
        <v>00</v>
      </c>
      <c r="AS22" t="str">
        <f t="shared" si="30"/>
        <v>00</v>
      </c>
      <c r="AT22" t="str">
        <f t="shared" si="30"/>
        <v>00</v>
      </c>
      <c r="AU22" t="str">
        <f t="shared" si="30"/>
        <v>00</v>
      </c>
      <c r="AV22" t="str">
        <f t="shared" si="30"/>
        <v>00</v>
      </c>
      <c r="AW22" t="str">
        <f t="shared" si="30"/>
        <v>00</v>
      </c>
      <c r="AX22" t="str">
        <f t="shared" si="30"/>
        <v>00</v>
      </c>
      <c r="AY22" t="str">
        <f t="shared" si="30"/>
        <v>00</v>
      </c>
      <c r="BA22" t="str">
        <f t="shared" ref="BA22:BK22" si="31">CONCATENATE(BIN2HEX(BA21,2))</f>
        <v>00</v>
      </c>
      <c r="BB22" t="str">
        <f t="shared" si="31"/>
        <v>00</v>
      </c>
      <c r="BC22" t="str">
        <f t="shared" si="31"/>
        <v>00</v>
      </c>
      <c r="BD22" t="str">
        <f t="shared" si="31"/>
        <v>00</v>
      </c>
      <c r="BE22" t="str">
        <f t="shared" si="31"/>
        <v>00</v>
      </c>
      <c r="BF22" t="str">
        <f t="shared" si="31"/>
        <v>00</v>
      </c>
      <c r="BG22" t="str">
        <f t="shared" si="31"/>
        <v>00</v>
      </c>
      <c r="BH22" t="str">
        <f t="shared" si="31"/>
        <v>00</v>
      </c>
      <c r="BI22" t="str">
        <f t="shared" si="31"/>
        <v>00</v>
      </c>
      <c r="BJ22" t="str">
        <f t="shared" si="31"/>
        <v>00</v>
      </c>
      <c r="BK22" t="str">
        <f t="shared" si="31"/>
        <v>00</v>
      </c>
    </row>
    <row r="23" spans="1:63" x14ac:dyDescent="0.25">
      <c r="A23" s="2"/>
      <c r="B23" s="2"/>
      <c r="D23" s="13" t="s">
        <v>215</v>
      </c>
      <c r="E23" t="str">
        <f t="shared" ref="E23:O23" si="32">CONCATENATE("0x",E22,E11)</f>
        <v>0x0004</v>
      </c>
      <c r="F23" t="str">
        <f t="shared" si="32"/>
        <v>0x0000</v>
      </c>
      <c r="G23" t="str">
        <f t="shared" si="32"/>
        <v>0x0000</v>
      </c>
      <c r="H23" t="str">
        <f t="shared" si="32"/>
        <v>0x0000</v>
      </c>
      <c r="I23" t="str">
        <f t="shared" si="32"/>
        <v>0x0000</v>
      </c>
      <c r="J23" t="str">
        <f t="shared" si="32"/>
        <v>0x0000</v>
      </c>
      <c r="K23" t="str">
        <f t="shared" si="32"/>
        <v>0x0000</v>
      </c>
      <c r="L23" t="str">
        <f t="shared" si="32"/>
        <v>0x0000</v>
      </c>
      <c r="M23" t="str">
        <f t="shared" si="32"/>
        <v>0x0000</v>
      </c>
      <c r="N23" t="str">
        <f t="shared" si="32"/>
        <v>0x0000</v>
      </c>
      <c r="O23" t="str">
        <f t="shared" si="32"/>
        <v>0x0000</v>
      </c>
      <c r="Q23" t="str">
        <f t="shared" ref="Q23:BK23" si="33">CONCATENATE("0x",Q22,Q11)</f>
        <v>0xD7FF</v>
      </c>
      <c r="R23" t="str">
        <f t="shared" si="33"/>
        <v>0xD7FF</v>
      </c>
      <c r="S23" t="str">
        <f t="shared" si="33"/>
        <v>0xD7FF</v>
      </c>
      <c r="T23" t="str">
        <f t="shared" si="33"/>
        <v>0xD7FF</v>
      </c>
      <c r="U23" t="str">
        <f t="shared" si="33"/>
        <v>0xD7FF</v>
      </c>
      <c r="V23" t="str">
        <f t="shared" si="33"/>
        <v>0xD7FF</v>
      </c>
      <c r="W23" t="str">
        <f t="shared" si="33"/>
        <v>0xD7FF</v>
      </c>
      <c r="X23" t="str">
        <f t="shared" si="33"/>
        <v>0xD7FF</v>
      </c>
      <c r="Y23" t="str">
        <f t="shared" si="33"/>
        <v>0xD7FF</v>
      </c>
      <c r="Z23" t="str">
        <f t="shared" si="33"/>
        <v>0xD7FF</v>
      </c>
      <c r="AA23" t="str">
        <f t="shared" si="33"/>
        <v>0xD7FF</v>
      </c>
      <c r="AC23" t="str">
        <f t="shared" si="33"/>
        <v>0xD7FF</v>
      </c>
      <c r="AD23" t="str">
        <f t="shared" si="33"/>
        <v>0xD7FF</v>
      </c>
      <c r="AE23" t="str">
        <f t="shared" si="33"/>
        <v>0xD7FF</v>
      </c>
      <c r="AF23" t="str">
        <f t="shared" si="33"/>
        <v>0xD7FF</v>
      </c>
      <c r="AG23" t="str">
        <f t="shared" si="33"/>
        <v>0xD7FF</v>
      </c>
      <c r="AH23" t="str">
        <f t="shared" si="33"/>
        <v>0xD7FF</v>
      </c>
      <c r="AI23" t="str">
        <f t="shared" si="33"/>
        <v>0xD7FF</v>
      </c>
      <c r="AJ23" t="str">
        <f t="shared" si="33"/>
        <v>0xD7FF</v>
      </c>
      <c r="AK23" t="str">
        <f t="shared" si="33"/>
        <v>0xD7FF</v>
      </c>
      <c r="AL23" t="str">
        <f t="shared" si="33"/>
        <v>0xD7FF</v>
      </c>
      <c r="AM23" t="str">
        <f t="shared" si="33"/>
        <v>0xD7FF</v>
      </c>
      <c r="AO23" t="str">
        <f t="shared" si="33"/>
        <v>0x0000</v>
      </c>
      <c r="AP23" t="str">
        <f t="shared" si="33"/>
        <v>0x0000</v>
      </c>
      <c r="AQ23" t="str">
        <f t="shared" si="33"/>
        <v>0x0000</v>
      </c>
      <c r="AR23" t="str">
        <f t="shared" si="33"/>
        <v>0x0000</v>
      </c>
      <c r="AS23" t="str">
        <f t="shared" si="33"/>
        <v>0x0000</v>
      </c>
      <c r="AT23" t="str">
        <f t="shared" si="33"/>
        <v>0x0000</v>
      </c>
      <c r="AU23" t="str">
        <f t="shared" si="33"/>
        <v>0x0000</v>
      </c>
      <c r="AV23" t="str">
        <f t="shared" si="33"/>
        <v>0x0000</v>
      </c>
      <c r="AW23" t="str">
        <f t="shared" si="33"/>
        <v>0x0000</v>
      </c>
      <c r="AX23" t="str">
        <f t="shared" si="33"/>
        <v>0x0000</v>
      </c>
      <c r="AY23" t="str">
        <f t="shared" si="33"/>
        <v>0x0000</v>
      </c>
      <c r="BA23" t="str">
        <f t="shared" si="33"/>
        <v>0x0000</v>
      </c>
      <c r="BB23" t="str">
        <f t="shared" si="33"/>
        <v>0x0000</v>
      </c>
      <c r="BC23" t="str">
        <f t="shared" si="33"/>
        <v>0x0000</v>
      </c>
      <c r="BD23" t="str">
        <f t="shared" si="33"/>
        <v>0x0000</v>
      </c>
      <c r="BE23" t="str">
        <f t="shared" si="33"/>
        <v>0x0000</v>
      </c>
      <c r="BF23" t="str">
        <f t="shared" si="33"/>
        <v>0x0000</v>
      </c>
      <c r="BG23" t="str">
        <f t="shared" si="33"/>
        <v>0x0000</v>
      </c>
      <c r="BH23" t="str">
        <f t="shared" si="33"/>
        <v>0x0000</v>
      </c>
      <c r="BI23" t="str">
        <f t="shared" si="33"/>
        <v>0x0000</v>
      </c>
      <c r="BJ23" t="str">
        <f t="shared" si="33"/>
        <v>0x0000</v>
      </c>
      <c r="BK23" t="str">
        <f t="shared" si="33"/>
        <v>0x0000</v>
      </c>
    </row>
    <row r="24" spans="1:63" x14ac:dyDescent="0.25">
      <c r="A24" s="2"/>
      <c r="B24" s="2"/>
      <c r="D24" s="13" t="s">
        <v>216</v>
      </c>
      <c r="E24" t="str">
        <f>Q23</f>
        <v>0xD7FF</v>
      </c>
      <c r="F24" t="str">
        <f>R23</f>
        <v>0xD7FF</v>
      </c>
      <c r="G24" t="str">
        <f t="shared" ref="G24:O24" si="34">S23</f>
        <v>0xD7FF</v>
      </c>
      <c r="H24" t="str">
        <f t="shared" si="34"/>
        <v>0xD7FF</v>
      </c>
      <c r="I24" t="str">
        <f t="shared" si="34"/>
        <v>0xD7FF</v>
      </c>
      <c r="J24" t="str">
        <f t="shared" si="34"/>
        <v>0xD7FF</v>
      </c>
      <c r="K24" t="str">
        <f t="shared" si="34"/>
        <v>0xD7FF</v>
      </c>
      <c r="L24" t="str">
        <f t="shared" si="34"/>
        <v>0xD7FF</v>
      </c>
      <c r="M24" t="str">
        <f t="shared" si="34"/>
        <v>0xD7FF</v>
      </c>
      <c r="N24" t="str">
        <f t="shared" si="34"/>
        <v>0xD7FF</v>
      </c>
      <c r="O24" t="str">
        <f t="shared" si="34"/>
        <v>0xD7FF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0xD7FF</v>
      </c>
      <c r="F25" t="str">
        <f t="shared" ref="F25:O25" si="35">AD23</f>
        <v>0xD7FF</v>
      </c>
      <c r="G25" t="str">
        <f t="shared" si="35"/>
        <v>0xD7FF</v>
      </c>
      <c r="H25" t="str">
        <f t="shared" si="35"/>
        <v>0xD7FF</v>
      </c>
      <c r="I25" t="str">
        <f t="shared" si="35"/>
        <v>0xD7FF</v>
      </c>
      <c r="J25" t="str">
        <f t="shared" si="35"/>
        <v>0xD7FF</v>
      </c>
      <c r="K25" t="str">
        <f t="shared" si="35"/>
        <v>0xD7FF</v>
      </c>
      <c r="L25" t="str">
        <f t="shared" si="35"/>
        <v>0xD7FF</v>
      </c>
      <c r="M25" t="str">
        <f t="shared" si="35"/>
        <v>0xD7FF</v>
      </c>
      <c r="N25" t="str">
        <f t="shared" si="35"/>
        <v>0xD7FF</v>
      </c>
      <c r="O25" t="str">
        <f t="shared" si="35"/>
        <v>0xD7FF</v>
      </c>
    </row>
    <row r="26" spans="1:63" x14ac:dyDescent="0.25">
      <c r="A26" s="2" t="s">
        <v>42</v>
      </c>
      <c r="B26" s="11" t="s">
        <v>36</v>
      </c>
      <c r="C26" s="10" t="s">
        <v>115</v>
      </c>
      <c r="D26" s="13" t="s">
        <v>209</v>
      </c>
      <c r="E26" t="str">
        <f>AO23</f>
        <v>0x0000</v>
      </c>
      <c r="F26" t="str">
        <f t="shared" ref="F26:O26" si="36">AP23</f>
        <v>0x0000</v>
      </c>
      <c r="G26" t="str">
        <f t="shared" si="36"/>
        <v>0x0000</v>
      </c>
      <c r="H26" t="str">
        <f t="shared" si="36"/>
        <v>0x0000</v>
      </c>
      <c r="I26" t="str">
        <f t="shared" si="36"/>
        <v>0x0000</v>
      </c>
      <c r="J26" t="str">
        <f t="shared" si="36"/>
        <v>0x0000</v>
      </c>
      <c r="K26" t="str">
        <f t="shared" si="36"/>
        <v>0x0000</v>
      </c>
      <c r="L26" t="str">
        <f t="shared" si="36"/>
        <v>0x0000</v>
      </c>
      <c r="M26" t="str">
        <f t="shared" si="36"/>
        <v>0x0000</v>
      </c>
      <c r="N26" t="str">
        <f t="shared" si="36"/>
        <v>0x0000</v>
      </c>
      <c r="O26" t="str">
        <f t="shared" si="36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37">BB23</f>
        <v>0x0000</v>
      </c>
      <c r="G27" t="str">
        <f t="shared" si="37"/>
        <v>0x0000</v>
      </c>
      <c r="H27" t="str">
        <f t="shared" si="37"/>
        <v>0x0000</v>
      </c>
      <c r="I27" t="str">
        <f t="shared" si="37"/>
        <v>0x0000</v>
      </c>
      <c r="J27" t="str">
        <f t="shared" si="37"/>
        <v>0x0000</v>
      </c>
      <c r="K27" t="str">
        <f t="shared" si="37"/>
        <v>0x0000</v>
      </c>
      <c r="L27" t="str">
        <f t="shared" si="37"/>
        <v>0x0000</v>
      </c>
      <c r="M27" t="str">
        <f t="shared" si="37"/>
        <v>0x0000</v>
      </c>
      <c r="N27" t="str">
        <f t="shared" si="37"/>
        <v>0x0000</v>
      </c>
      <c r="O27" t="str">
        <f t="shared" si="37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222</v>
      </c>
    </row>
    <row r="31" spans="1:63" x14ac:dyDescent="0.25">
      <c r="A31" s="4" t="str">
        <f ca="1">CONCATENATE("#",C$26,":",INDIRECT(H33))</f>
        <v>#I2C_Expander_PWR_Distr:wartość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0x21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0xD7FF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0x0004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#I2C_Expander_PWR_Distr:etap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0x21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0xD7FF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0x0000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38">INDIRECT(H57)</f>
        <v>0xD7FF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39">INDIRECT(G58)</f>
        <v>#pins_int</v>
      </c>
      <c r="B58" s="4" t="str">
        <f t="shared" ca="1" si="38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39"/>
        <v>#pins_def_val</v>
      </c>
      <c r="B59" s="4" t="str">
        <f t="shared" ca="1" si="38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#I2C_Expander_PWR_Distr:etap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0x21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0xD7FF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0x0000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0">INDIRECT(H77)</f>
        <v>0xD7FF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1">INDIRECT(G78)</f>
        <v>#pins_int</v>
      </c>
      <c r="B78" s="4" t="str">
        <f t="shared" ca="1" si="40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1"/>
        <v>#pins_def_val</v>
      </c>
      <c r="B79" s="4" t="str">
        <f t="shared" ca="1" si="40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#I2C_Expander_PWR_Distr:etap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0x21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0xD7FF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0x0000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2">INDIRECT(H97)</f>
        <v>0xD7FF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3">INDIRECT(G98)</f>
        <v>#pins_int</v>
      </c>
      <c r="B98" s="4" t="str">
        <f t="shared" ca="1" si="42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3"/>
        <v>#pins_def_val</v>
      </c>
      <c r="B99" s="4" t="str">
        <f t="shared" ca="1" si="42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#I2C_Expander_PWR_Distr:etap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0x21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0xD7FF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0x0000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4">INDIRECT(H117)</f>
        <v>0xD7FF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5">INDIRECT(G118)</f>
        <v>#pins_int</v>
      </c>
      <c r="B118" s="4" t="str">
        <f t="shared" ca="1" si="44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5"/>
        <v>#pins_def_val</v>
      </c>
      <c r="B119" s="4" t="str">
        <f t="shared" ca="1" si="44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#I2C_Expander_PWR_Distr:etap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0x21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0xD7FF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0x0000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46">INDIRECT(H137)</f>
        <v>0xD7FF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47">INDIRECT(G138)</f>
        <v>#pins_int</v>
      </c>
      <c r="B138" s="4" t="str">
        <f t="shared" ca="1" si="46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47"/>
        <v>#pins_def_val</v>
      </c>
      <c r="B139" s="4" t="str">
        <f t="shared" ca="1" si="46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#I2C_Expander_PWR_Distr:etap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0x21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0xD7FF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0x0000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48">INDIRECT(H157)</f>
        <v>0xD7FF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49">INDIRECT(G158)</f>
        <v>#pins_int</v>
      </c>
      <c r="B158" s="4" t="str">
        <f t="shared" ca="1" si="48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49"/>
        <v>#pins_def_val</v>
      </c>
      <c r="B159" s="4" t="str">
        <f t="shared" ca="1" si="48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#I2C_Expander_PWR_Distr:etap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0x21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0xD7FF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0x0000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0">INDIRECT(H177)</f>
        <v>0xD7FF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1">INDIRECT(G178)</f>
        <v>#pins_int</v>
      </c>
      <c r="B178" s="4" t="str">
        <f t="shared" ca="1" si="50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1"/>
        <v>#pins_def_val</v>
      </c>
      <c r="B179" s="4" t="str">
        <f t="shared" ca="1" si="50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#I2C_Expander_PWR_Distr:etap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0x21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0xD7FF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0x0000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2">INDIRECT(H197)</f>
        <v>0xD7FF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3">INDIRECT(G198)</f>
        <v>#pins_int</v>
      </c>
      <c r="B198" s="4" t="str">
        <f t="shared" ca="1" si="52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3"/>
        <v>#pins_def_val</v>
      </c>
      <c r="B199" s="4" t="str">
        <f t="shared" ca="1" si="52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#I2C_Expander_PWR_Distr:etap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0x21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0xD7FF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0x0000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4">INDIRECT(H217)</f>
        <v>0xD7FF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5">INDIRECT(G218)</f>
        <v>#pins_int</v>
      </c>
      <c r="B218" s="4" t="str">
        <f t="shared" ca="1" si="54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5"/>
        <v>#pins_def_val</v>
      </c>
      <c r="B219" s="4" t="str">
        <f t="shared" ca="1" si="54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#I2C_Expander_PWR_Distr:etap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0x21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0xD7FF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0x0000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56">INDIRECT(H237)</f>
        <v>0xD7FF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57">INDIRECT(G238)</f>
        <v>#pins_int</v>
      </c>
      <c r="B238" s="4" t="str">
        <f t="shared" ca="1" si="56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57"/>
        <v>#pins_def_val</v>
      </c>
      <c r="B239" s="4" t="str">
        <f t="shared" ca="1" si="56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7"/>
  <sheetViews>
    <sheetView tabSelected="1" topLeftCell="A16" workbookViewId="0">
      <selection activeCell="Q27" sqref="Q27"/>
    </sheetView>
  </sheetViews>
  <sheetFormatPr defaultRowHeight="15" x14ac:dyDescent="0.25"/>
  <cols>
    <col min="1" max="1" width="18.5703125" customWidth="1"/>
    <col min="3" max="3" width="20.85546875" bestFit="1" customWidth="1"/>
    <col min="4" max="4" width="13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45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355</v>
      </c>
      <c r="H1" s="1" t="s">
        <v>41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C2" s="10" t="s">
        <v>144</v>
      </c>
      <c r="E2" s="10">
        <v>0</v>
      </c>
      <c r="F2" s="10">
        <v>0</v>
      </c>
      <c r="G2" s="10">
        <v>0</v>
      </c>
      <c r="H2" s="10">
        <f>G2</f>
        <v>0</v>
      </c>
      <c r="I2" s="10">
        <f t="shared" ref="I2:O2" si="0">H2</f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Q2" s="10">
        <v>1</v>
      </c>
      <c r="R2" s="10">
        <f>Q2</f>
        <v>1</v>
      </c>
      <c r="S2" s="10">
        <f t="shared" ref="S2:AA2" si="1">R2</f>
        <v>1</v>
      </c>
      <c r="T2" s="10">
        <f t="shared" si="1"/>
        <v>1</v>
      </c>
      <c r="U2" s="10">
        <f t="shared" si="1"/>
        <v>1</v>
      </c>
      <c r="V2" s="10">
        <f t="shared" si="1"/>
        <v>1</v>
      </c>
      <c r="W2" s="10">
        <f t="shared" si="1"/>
        <v>1</v>
      </c>
      <c r="X2" s="10">
        <f t="shared" si="1"/>
        <v>1</v>
      </c>
      <c r="Y2" s="10">
        <f t="shared" si="1"/>
        <v>1</v>
      </c>
      <c r="Z2" s="10">
        <f t="shared" si="1"/>
        <v>1</v>
      </c>
      <c r="AA2" s="10">
        <f t="shared" si="1"/>
        <v>1</v>
      </c>
      <c r="AC2" s="10">
        <v>1</v>
      </c>
      <c r="AD2" s="10">
        <f>AC2</f>
        <v>1</v>
      </c>
      <c r="AE2" s="10">
        <f t="shared" ref="AE2:AM2" si="2">AD2</f>
        <v>1</v>
      </c>
      <c r="AF2" s="10">
        <f t="shared" si="2"/>
        <v>1</v>
      </c>
      <c r="AG2" s="10">
        <f t="shared" si="2"/>
        <v>1</v>
      </c>
      <c r="AH2" s="10">
        <f t="shared" si="2"/>
        <v>1</v>
      </c>
      <c r="AI2" s="10">
        <f t="shared" si="2"/>
        <v>1</v>
      </c>
      <c r="AJ2" s="10">
        <f t="shared" si="2"/>
        <v>1</v>
      </c>
      <c r="AK2" s="10">
        <f t="shared" si="2"/>
        <v>1</v>
      </c>
      <c r="AL2" s="10">
        <f t="shared" si="2"/>
        <v>1</v>
      </c>
      <c r="AM2" s="10">
        <f t="shared" si="2"/>
        <v>1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C3" s="10" t="s">
        <v>145</v>
      </c>
      <c r="E3" s="10">
        <v>0</v>
      </c>
      <c r="F3" s="10">
        <v>0</v>
      </c>
      <c r="G3" s="10">
        <v>0</v>
      </c>
      <c r="H3" s="10">
        <f t="shared" ref="H3:O9" si="5">G3</f>
        <v>0</v>
      </c>
      <c r="I3" s="10">
        <f t="shared" si="5"/>
        <v>0</v>
      </c>
      <c r="J3" s="10">
        <f t="shared" si="5"/>
        <v>0</v>
      </c>
      <c r="K3" s="10">
        <f t="shared" si="5"/>
        <v>0</v>
      </c>
      <c r="L3" s="10">
        <f t="shared" si="5"/>
        <v>0</v>
      </c>
      <c r="M3" s="10">
        <f t="shared" si="5"/>
        <v>0</v>
      </c>
      <c r="N3" s="10">
        <f t="shared" si="5"/>
        <v>0</v>
      </c>
      <c r="O3" s="10">
        <f t="shared" si="5"/>
        <v>0</v>
      </c>
      <c r="Q3" s="10">
        <v>0</v>
      </c>
      <c r="R3" s="10">
        <f t="shared" ref="R3:AA9" si="6">Q3</f>
        <v>0</v>
      </c>
      <c r="S3" s="10"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1</v>
      </c>
      <c r="AD3" s="10">
        <f t="shared" ref="AD3:AM9" si="7">AC3</f>
        <v>1</v>
      </c>
      <c r="AE3" s="10">
        <f t="shared" si="7"/>
        <v>1</v>
      </c>
      <c r="AF3" s="10">
        <f t="shared" si="7"/>
        <v>1</v>
      </c>
      <c r="AG3" s="10">
        <f t="shared" si="7"/>
        <v>1</v>
      </c>
      <c r="AH3" s="10">
        <f t="shared" si="7"/>
        <v>1</v>
      </c>
      <c r="AI3" s="10">
        <f t="shared" si="7"/>
        <v>1</v>
      </c>
      <c r="AJ3" s="10">
        <f t="shared" si="7"/>
        <v>1</v>
      </c>
      <c r="AK3" s="10">
        <f t="shared" si="7"/>
        <v>1</v>
      </c>
      <c r="AL3" s="10">
        <f t="shared" si="7"/>
        <v>1</v>
      </c>
      <c r="AM3" s="10">
        <f t="shared" si="7"/>
        <v>1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C4" s="10" t="s">
        <v>146</v>
      </c>
      <c r="E4" s="10">
        <v>0</v>
      </c>
      <c r="F4" s="10">
        <v>0</v>
      </c>
      <c r="G4" s="10">
        <v>0</v>
      </c>
      <c r="H4" s="10">
        <f t="shared" si="5"/>
        <v>0</v>
      </c>
      <c r="I4" s="10">
        <f t="shared" si="5"/>
        <v>0</v>
      </c>
      <c r="J4" s="10">
        <f t="shared" si="5"/>
        <v>0</v>
      </c>
      <c r="K4" s="10">
        <f t="shared" si="5"/>
        <v>0</v>
      </c>
      <c r="L4" s="10">
        <f t="shared" si="5"/>
        <v>0</v>
      </c>
      <c r="M4" s="10">
        <f t="shared" si="5"/>
        <v>0</v>
      </c>
      <c r="N4" s="10">
        <f t="shared" si="5"/>
        <v>0</v>
      </c>
      <c r="O4" s="10">
        <f t="shared" si="5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1</v>
      </c>
      <c r="AD4" s="10">
        <f t="shared" si="7"/>
        <v>1</v>
      </c>
      <c r="AE4" s="10">
        <f t="shared" si="7"/>
        <v>1</v>
      </c>
      <c r="AF4" s="10">
        <f t="shared" si="7"/>
        <v>1</v>
      </c>
      <c r="AG4" s="10">
        <f t="shared" si="7"/>
        <v>1</v>
      </c>
      <c r="AH4" s="10">
        <f t="shared" si="7"/>
        <v>1</v>
      </c>
      <c r="AI4" s="10">
        <f t="shared" si="7"/>
        <v>1</v>
      </c>
      <c r="AJ4" s="10">
        <f t="shared" si="7"/>
        <v>1</v>
      </c>
      <c r="AK4" s="10">
        <f t="shared" si="7"/>
        <v>1</v>
      </c>
      <c r="AL4" s="10">
        <f t="shared" si="7"/>
        <v>1</v>
      </c>
      <c r="AM4" s="10">
        <f t="shared" si="7"/>
        <v>1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C5" s="10" t="s">
        <v>118</v>
      </c>
      <c r="E5" s="10">
        <v>0</v>
      </c>
      <c r="F5" s="10">
        <v>0</v>
      </c>
      <c r="G5" s="10">
        <v>0</v>
      </c>
      <c r="H5" s="10">
        <f t="shared" si="5"/>
        <v>0</v>
      </c>
      <c r="I5" s="10">
        <f t="shared" si="5"/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0</v>
      </c>
      <c r="AD5" s="10">
        <f t="shared" si="7"/>
        <v>0</v>
      </c>
      <c r="AE5" s="10">
        <f t="shared" si="7"/>
        <v>0</v>
      </c>
      <c r="AF5" s="10">
        <f t="shared" si="7"/>
        <v>0</v>
      </c>
      <c r="AG5" s="10">
        <f t="shared" si="7"/>
        <v>0</v>
      </c>
      <c r="AH5" s="10">
        <f t="shared" si="7"/>
        <v>0</v>
      </c>
      <c r="AI5" s="10">
        <f t="shared" si="7"/>
        <v>0</v>
      </c>
      <c r="AJ5" s="10">
        <f t="shared" si="7"/>
        <v>0</v>
      </c>
      <c r="AK5" s="10">
        <f t="shared" si="7"/>
        <v>0</v>
      </c>
      <c r="AL5" s="10">
        <f t="shared" si="7"/>
        <v>0</v>
      </c>
      <c r="AM5" s="10">
        <f t="shared" si="7"/>
        <v>0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C6" s="10" t="s">
        <v>118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C7" s="10" t="s">
        <v>147</v>
      </c>
      <c r="E7" s="10">
        <v>0</v>
      </c>
      <c r="F7" s="10">
        <v>0</v>
      </c>
      <c r="G7" s="10"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1</v>
      </c>
      <c r="R7" s="10">
        <f t="shared" si="6"/>
        <v>1</v>
      </c>
      <c r="S7" s="10">
        <f t="shared" si="6"/>
        <v>1</v>
      </c>
      <c r="T7" s="10">
        <f t="shared" si="6"/>
        <v>1</v>
      </c>
      <c r="U7" s="10">
        <f t="shared" si="6"/>
        <v>1</v>
      </c>
      <c r="V7" s="10">
        <f t="shared" si="6"/>
        <v>1</v>
      </c>
      <c r="W7" s="10">
        <f t="shared" si="6"/>
        <v>1</v>
      </c>
      <c r="X7" s="10">
        <f t="shared" si="6"/>
        <v>1</v>
      </c>
      <c r="Y7" s="10">
        <f t="shared" si="6"/>
        <v>1</v>
      </c>
      <c r="Z7" s="10">
        <f t="shared" si="6"/>
        <v>1</v>
      </c>
      <c r="AA7" s="10">
        <f t="shared" si="6"/>
        <v>1</v>
      </c>
      <c r="AC7" s="10">
        <v>1</v>
      </c>
      <c r="AD7" s="10">
        <f t="shared" si="7"/>
        <v>1</v>
      </c>
      <c r="AE7" s="10">
        <f t="shared" si="7"/>
        <v>1</v>
      </c>
      <c r="AF7" s="10">
        <f t="shared" si="7"/>
        <v>1</v>
      </c>
      <c r="AG7" s="10">
        <f t="shared" si="7"/>
        <v>1</v>
      </c>
      <c r="AH7" s="10">
        <f t="shared" si="7"/>
        <v>1</v>
      </c>
      <c r="AI7" s="10">
        <f t="shared" si="7"/>
        <v>1</v>
      </c>
      <c r="AJ7" s="10">
        <f t="shared" si="7"/>
        <v>1</v>
      </c>
      <c r="AK7" s="10">
        <f t="shared" si="7"/>
        <v>1</v>
      </c>
      <c r="AL7" s="10">
        <f t="shared" si="7"/>
        <v>1</v>
      </c>
      <c r="AM7" s="10">
        <f t="shared" si="7"/>
        <v>1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C8" s="10" t="s">
        <v>148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0</v>
      </c>
      <c r="R8" s="10">
        <f t="shared" si="6"/>
        <v>0</v>
      </c>
      <c r="S8" s="10">
        <v>0</v>
      </c>
      <c r="T8" s="10">
        <f t="shared" si="6"/>
        <v>0</v>
      </c>
      <c r="U8" s="10">
        <f t="shared" si="6"/>
        <v>0</v>
      </c>
      <c r="V8" s="10">
        <f t="shared" si="6"/>
        <v>0</v>
      </c>
      <c r="W8" s="10">
        <f t="shared" si="6"/>
        <v>0</v>
      </c>
      <c r="X8" s="10">
        <f t="shared" si="6"/>
        <v>0</v>
      </c>
      <c r="Y8" s="10">
        <f t="shared" si="6"/>
        <v>0</v>
      </c>
      <c r="Z8" s="10">
        <f t="shared" si="6"/>
        <v>0</v>
      </c>
      <c r="AA8" s="10">
        <f t="shared" si="6"/>
        <v>0</v>
      </c>
      <c r="AC8" s="10">
        <v>1</v>
      </c>
      <c r="AD8" s="10">
        <f t="shared" si="7"/>
        <v>1</v>
      </c>
      <c r="AE8" s="10">
        <f t="shared" si="7"/>
        <v>1</v>
      </c>
      <c r="AF8" s="10">
        <f t="shared" si="7"/>
        <v>1</v>
      </c>
      <c r="AG8" s="10">
        <f t="shared" si="7"/>
        <v>1</v>
      </c>
      <c r="AH8" s="10">
        <f t="shared" si="7"/>
        <v>1</v>
      </c>
      <c r="AI8" s="10">
        <f t="shared" si="7"/>
        <v>1</v>
      </c>
      <c r="AJ8" s="10">
        <f t="shared" si="7"/>
        <v>1</v>
      </c>
      <c r="AK8" s="10">
        <f t="shared" si="7"/>
        <v>1</v>
      </c>
      <c r="AL8" s="10">
        <f t="shared" si="7"/>
        <v>1</v>
      </c>
      <c r="AM8" s="10">
        <f t="shared" si="7"/>
        <v>1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C9" s="10" t="s">
        <v>149</v>
      </c>
      <c r="E9" s="10">
        <v>0</v>
      </c>
      <c r="F9" s="10">
        <v>0</v>
      </c>
      <c r="G9" s="10"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10">
        <f t="shared" si="5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1</v>
      </c>
      <c r="AD9" s="10">
        <f t="shared" si="7"/>
        <v>1</v>
      </c>
      <c r="AE9" s="10">
        <f t="shared" si="7"/>
        <v>1</v>
      </c>
      <c r="AF9" s="10">
        <f t="shared" si="7"/>
        <v>1</v>
      </c>
      <c r="AG9" s="10">
        <f t="shared" si="7"/>
        <v>1</v>
      </c>
      <c r="AH9" s="10">
        <f t="shared" si="7"/>
        <v>1</v>
      </c>
      <c r="AI9" s="10">
        <f t="shared" si="7"/>
        <v>1</v>
      </c>
      <c r="AJ9" s="10">
        <f t="shared" si="7"/>
        <v>1</v>
      </c>
      <c r="AK9" s="10">
        <f t="shared" si="7"/>
        <v>1</v>
      </c>
      <c r="AL9" s="10">
        <f t="shared" si="7"/>
        <v>1</v>
      </c>
      <c r="AM9" s="10">
        <f t="shared" si="7"/>
        <v>1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E10" t="str">
        <f t="shared" ref="E10:AA10" si="10">CONCATENATE(E9,E8,E7,E6,E5,E4,E3,E2)</f>
        <v>00000000</v>
      </c>
      <c r="F10" t="str">
        <f t="shared" si="10"/>
        <v>00000000</v>
      </c>
      <c r="G10" t="str">
        <f t="shared" si="10"/>
        <v>00000000</v>
      </c>
      <c r="H10" t="str">
        <f t="shared" si="10"/>
        <v>00000000</v>
      </c>
      <c r="I10" t="str">
        <f t="shared" si="10"/>
        <v>00000000</v>
      </c>
      <c r="J10" t="str">
        <f t="shared" si="10"/>
        <v>00000000</v>
      </c>
      <c r="K10" t="str">
        <f t="shared" si="10"/>
        <v>00000000</v>
      </c>
      <c r="L10" t="str">
        <f t="shared" si="10"/>
        <v>00000000</v>
      </c>
      <c r="M10" t="str">
        <f t="shared" si="10"/>
        <v>00000000</v>
      </c>
      <c r="N10" t="str">
        <f t="shared" si="10"/>
        <v>00000000</v>
      </c>
      <c r="O10" t="str">
        <f t="shared" si="10"/>
        <v>00000000</v>
      </c>
      <c r="Q10" t="str">
        <f t="shared" si="10"/>
        <v>10111101</v>
      </c>
      <c r="R10" t="str">
        <f t="shared" si="10"/>
        <v>10111101</v>
      </c>
      <c r="S10" t="str">
        <f t="shared" si="10"/>
        <v>10111101</v>
      </c>
      <c r="T10" t="str">
        <f t="shared" si="10"/>
        <v>10111101</v>
      </c>
      <c r="U10" t="str">
        <f t="shared" si="10"/>
        <v>10111101</v>
      </c>
      <c r="V10" t="str">
        <f t="shared" si="10"/>
        <v>10111101</v>
      </c>
      <c r="W10" t="str">
        <f t="shared" si="10"/>
        <v>10111101</v>
      </c>
      <c r="X10" t="str">
        <f t="shared" si="10"/>
        <v>10111101</v>
      </c>
      <c r="Y10" t="str">
        <f t="shared" si="10"/>
        <v>10111101</v>
      </c>
      <c r="Z10" t="str">
        <f t="shared" si="10"/>
        <v>10111101</v>
      </c>
      <c r="AA10" t="str">
        <f t="shared" si="10"/>
        <v>10111101</v>
      </c>
      <c r="AC10" t="str">
        <f>CONCATENATE(AC9,AC8,AC7,AC6,AC5,AC4,AC3,AC2)</f>
        <v>11100111</v>
      </c>
      <c r="AD10" t="str">
        <f t="shared" ref="AD10:AM10" si="11">CONCATENATE(AD9,AD8,AD7,AD6,AD5,AD4,AD3,AD2)</f>
        <v>11100111</v>
      </c>
      <c r="AE10" t="str">
        <f t="shared" si="11"/>
        <v>11100111</v>
      </c>
      <c r="AF10" t="str">
        <f t="shared" si="11"/>
        <v>11100111</v>
      </c>
      <c r="AG10" t="str">
        <f t="shared" si="11"/>
        <v>11100111</v>
      </c>
      <c r="AH10" t="str">
        <f t="shared" si="11"/>
        <v>11100111</v>
      </c>
      <c r="AI10" t="str">
        <f t="shared" si="11"/>
        <v>11100111</v>
      </c>
      <c r="AJ10" t="str">
        <f t="shared" si="11"/>
        <v>11100111</v>
      </c>
      <c r="AK10" t="str">
        <f t="shared" si="11"/>
        <v>11100111</v>
      </c>
      <c r="AL10" t="str">
        <f t="shared" si="11"/>
        <v>11100111</v>
      </c>
      <c r="AM10" t="str">
        <f t="shared" si="11"/>
        <v>11100111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E11" t="str">
        <f t="shared" ref="E11:AA11" si="14">CONCATENATE(BIN2HEX(E10,2))</f>
        <v>00</v>
      </c>
      <c r="F11" t="str">
        <f t="shared" si="14"/>
        <v>00</v>
      </c>
      <c r="G11" t="str">
        <f t="shared" si="14"/>
        <v>00</v>
      </c>
      <c r="H11" t="str">
        <f t="shared" si="14"/>
        <v>00</v>
      </c>
      <c r="I11" t="str">
        <f t="shared" si="14"/>
        <v>00</v>
      </c>
      <c r="J11" t="str">
        <f t="shared" si="14"/>
        <v>00</v>
      </c>
      <c r="K11" t="str">
        <f t="shared" si="14"/>
        <v>00</v>
      </c>
      <c r="L11" t="str">
        <f t="shared" si="14"/>
        <v>00</v>
      </c>
      <c r="M11" t="str">
        <f t="shared" si="14"/>
        <v>00</v>
      </c>
      <c r="N11" t="str">
        <f t="shared" si="14"/>
        <v>00</v>
      </c>
      <c r="O11" t="str">
        <f t="shared" si="14"/>
        <v>00</v>
      </c>
      <c r="Q11" t="str">
        <f t="shared" si="14"/>
        <v>BD</v>
      </c>
      <c r="R11" t="str">
        <f t="shared" si="14"/>
        <v>BD</v>
      </c>
      <c r="S11" t="str">
        <f t="shared" si="14"/>
        <v>BD</v>
      </c>
      <c r="T11" t="str">
        <f t="shared" si="14"/>
        <v>BD</v>
      </c>
      <c r="U11" t="str">
        <f t="shared" si="14"/>
        <v>BD</v>
      </c>
      <c r="V11" t="str">
        <f t="shared" si="14"/>
        <v>BD</v>
      </c>
      <c r="W11" t="str">
        <f t="shared" si="14"/>
        <v>BD</v>
      </c>
      <c r="X11" t="str">
        <f t="shared" si="14"/>
        <v>BD</v>
      </c>
      <c r="Y11" t="str">
        <f t="shared" si="14"/>
        <v>BD</v>
      </c>
      <c r="Z11" t="str">
        <f t="shared" si="14"/>
        <v>BD</v>
      </c>
      <c r="AA11" t="str">
        <f t="shared" si="14"/>
        <v>BD</v>
      </c>
      <c r="AC11" t="str">
        <f>CONCATENATE(BIN2HEX(AC10,2))</f>
        <v>E7</v>
      </c>
      <c r="AD11" t="str">
        <f t="shared" ref="AD11:AM11" si="15">CONCATENATE(BIN2HEX(AD10,2))</f>
        <v>E7</v>
      </c>
      <c r="AE11" t="str">
        <f t="shared" si="15"/>
        <v>E7</v>
      </c>
      <c r="AF11" t="str">
        <f t="shared" si="15"/>
        <v>E7</v>
      </c>
      <c r="AG11" t="str">
        <f t="shared" si="15"/>
        <v>E7</v>
      </c>
      <c r="AH11" t="str">
        <f t="shared" si="15"/>
        <v>E7</v>
      </c>
      <c r="AI11" t="str">
        <f t="shared" si="15"/>
        <v>E7</v>
      </c>
      <c r="AJ11" t="str">
        <f t="shared" si="15"/>
        <v>E7</v>
      </c>
      <c r="AK11" t="str">
        <f t="shared" si="15"/>
        <v>E7</v>
      </c>
      <c r="AL11" t="str">
        <f t="shared" si="15"/>
        <v>E7</v>
      </c>
      <c r="AM11" t="str">
        <f t="shared" si="15"/>
        <v>E7</v>
      </c>
      <c r="AO11" t="str">
        <f t="shared" ref="AO11:AY11" si="16">CONCATENATE(BIN2HEX(AO10,2))</f>
        <v>00</v>
      </c>
      <c r="AP11" t="str">
        <f t="shared" si="16"/>
        <v>00</v>
      </c>
      <c r="AQ11" t="str">
        <f t="shared" si="16"/>
        <v>00</v>
      </c>
      <c r="AR11" t="str">
        <f t="shared" si="16"/>
        <v>00</v>
      </c>
      <c r="AS11" t="str">
        <f t="shared" si="16"/>
        <v>00</v>
      </c>
      <c r="AT11" t="str">
        <f t="shared" si="16"/>
        <v>00</v>
      </c>
      <c r="AU11" t="str">
        <f t="shared" si="16"/>
        <v>00</v>
      </c>
      <c r="AV11" t="str">
        <f t="shared" si="16"/>
        <v>00</v>
      </c>
      <c r="AW11" t="str">
        <f t="shared" si="16"/>
        <v>00</v>
      </c>
      <c r="AX11" t="str">
        <f t="shared" si="16"/>
        <v>00</v>
      </c>
      <c r="AY11" t="str">
        <f t="shared" si="16"/>
        <v>00</v>
      </c>
      <c r="BA11" t="str">
        <f t="shared" ref="BA11:BK11" si="17">CONCATENATE(BIN2HEX(BA10,2))</f>
        <v>00</v>
      </c>
      <c r="BB11" t="str">
        <f t="shared" si="17"/>
        <v>00</v>
      </c>
      <c r="BC11" t="str">
        <f t="shared" si="17"/>
        <v>00</v>
      </c>
      <c r="BD11" t="str">
        <f t="shared" si="17"/>
        <v>00</v>
      </c>
      <c r="BE11" t="str">
        <f t="shared" si="17"/>
        <v>00</v>
      </c>
      <c r="BF11" t="str">
        <f t="shared" si="17"/>
        <v>00</v>
      </c>
      <c r="BG11" t="str">
        <f t="shared" si="17"/>
        <v>00</v>
      </c>
      <c r="BH11" t="str">
        <f t="shared" si="17"/>
        <v>00</v>
      </c>
      <c r="BI11" t="str">
        <f t="shared" si="17"/>
        <v>00</v>
      </c>
      <c r="BJ11" t="str">
        <f t="shared" si="17"/>
        <v>00</v>
      </c>
      <c r="BK11" t="str">
        <f t="shared" si="17"/>
        <v>00</v>
      </c>
    </row>
    <row r="12" spans="1:63" x14ac:dyDescent="0.25">
      <c r="A12" s="2"/>
    </row>
    <row r="13" spans="1:63" s="10" customFormat="1" x14ac:dyDescent="0.25">
      <c r="A13" s="11"/>
      <c r="C13" s="10" t="s">
        <v>150</v>
      </c>
      <c r="E13" s="10">
        <v>0</v>
      </c>
      <c r="F13" s="10">
        <v>0</v>
      </c>
      <c r="G13" s="10">
        <v>0</v>
      </c>
      <c r="H13" s="10">
        <f>G13</f>
        <v>0</v>
      </c>
      <c r="I13" s="10">
        <f t="shared" ref="I13:O13" si="18">H13</f>
        <v>0</v>
      </c>
      <c r="J13" s="10">
        <f t="shared" si="18"/>
        <v>0</v>
      </c>
      <c r="K13" s="10">
        <f t="shared" si="18"/>
        <v>0</v>
      </c>
      <c r="L13" s="10">
        <f t="shared" si="18"/>
        <v>0</v>
      </c>
      <c r="M13" s="10">
        <f t="shared" si="18"/>
        <v>0</v>
      </c>
      <c r="N13" s="10">
        <f t="shared" si="18"/>
        <v>0</v>
      </c>
      <c r="O13" s="10">
        <f t="shared" si="18"/>
        <v>0</v>
      </c>
      <c r="Q13" s="10">
        <v>1</v>
      </c>
      <c r="R13" s="10">
        <f>Q13</f>
        <v>1</v>
      </c>
      <c r="S13" s="10">
        <f t="shared" ref="S13:AA13" si="19">R13</f>
        <v>1</v>
      </c>
      <c r="T13" s="10">
        <f t="shared" si="19"/>
        <v>1</v>
      </c>
      <c r="U13" s="10">
        <f t="shared" si="19"/>
        <v>1</v>
      </c>
      <c r="V13" s="10">
        <f t="shared" si="19"/>
        <v>1</v>
      </c>
      <c r="W13" s="10">
        <f t="shared" si="19"/>
        <v>1</v>
      </c>
      <c r="X13" s="10">
        <f t="shared" si="19"/>
        <v>1</v>
      </c>
      <c r="Y13" s="10">
        <f t="shared" si="19"/>
        <v>1</v>
      </c>
      <c r="Z13" s="10">
        <f t="shared" si="19"/>
        <v>1</v>
      </c>
      <c r="AA13" s="10">
        <f t="shared" si="19"/>
        <v>1</v>
      </c>
      <c r="AC13" s="10">
        <v>1</v>
      </c>
      <c r="AD13" s="10">
        <f>AC13</f>
        <v>1</v>
      </c>
      <c r="AE13" s="10">
        <f t="shared" ref="AE13:AM13" si="20">AD13</f>
        <v>1</v>
      </c>
      <c r="AF13" s="10">
        <f t="shared" si="20"/>
        <v>1</v>
      </c>
      <c r="AG13" s="10">
        <f t="shared" si="20"/>
        <v>1</v>
      </c>
      <c r="AH13" s="10">
        <f t="shared" si="20"/>
        <v>1</v>
      </c>
      <c r="AI13" s="10">
        <f t="shared" si="20"/>
        <v>1</v>
      </c>
      <c r="AJ13" s="10">
        <f t="shared" si="20"/>
        <v>1</v>
      </c>
      <c r="AK13" s="10">
        <f t="shared" si="20"/>
        <v>1</v>
      </c>
      <c r="AL13" s="10">
        <f t="shared" si="20"/>
        <v>1</v>
      </c>
      <c r="AM13" s="10">
        <f t="shared" si="20"/>
        <v>1</v>
      </c>
      <c r="AO13" s="10">
        <v>0</v>
      </c>
      <c r="AP13" s="10">
        <f>AO13</f>
        <v>0</v>
      </c>
      <c r="AQ13" s="10">
        <f t="shared" ref="AQ13:AY13" si="21">AP13</f>
        <v>0</v>
      </c>
      <c r="AR13" s="10">
        <f t="shared" si="21"/>
        <v>0</v>
      </c>
      <c r="AS13" s="10">
        <f t="shared" si="21"/>
        <v>0</v>
      </c>
      <c r="AT13" s="10">
        <f t="shared" si="21"/>
        <v>0</v>
      </c>
      <c r="AU13" s="10">
        <f t="shared" si="21"/>
        <v>0</v>
      </c>
      <c r="AV13" s="10">
        <f t="shared" si="21"/>
        <v>0</v>
      </c>
      <c r="AW13" s="10">
        <f t="shared" si="21"/>
        <v>0</v>
      </c>
      <c r="AX13" s="10">
        <f t="shared" si="21"/>
        <v>0</v>
      </c>
      <c r="AY13" s="10">
        <f t="shared" si="21"/>
        <v>0</v>
      </c>
      <c r="BA13" s="10">
        <v>0</v>
      </c>
      <c r="BB13" s="10">
        <f>BA13</f>
        <v>0</v>
      </c>
      <c r="BC13" s="10">
        <f t="shared" ref="BC13:BK13" si="22">BB13</f>
        <v>0</v>
      </c>
      <c r="BD13" s="10">
        <f t="shared" si="22"/>
        <v>0</v>
      </c>
      <c r="BE13" s="10">
        <f t="shared" si="22"/>
        <v>0</v>
      </c>
      <c r="BF13" s="10">
        <f t="shared" si="22"/>
        <v>0</v>
      </c>
      <c r="BG13" s="10">
        <f t="shared" si="22"/>
        <v>0</v>
      </c>
      <c r="BH13" s="10">
        <f t="shared" si="22"/>
        <v>0</v>
      </c>
      <c r="BI13" s="10">
        <f t="shared" si="22"/>
        <v>0</v>
      </c>
      <c r="BJ13" s="10">
        <f t="shared" si="22"/>
        <v>0</v>
      </c>
      <c r="BK13" s="10">
        <f t="shared" si="22"/>
        <v>0</v>
      </c>
    </row>
    <row r="14" spans="1:63" s="10" customFormat="1" x14ac:dyDescent="0.25">
      <c r="A14" s="11"/>
      <c r="C14" s="10" t="s">
        <v>151</v>
      </c>
      <c r="E14" s="10">
        <v>0</v>
      </c>
      <c r="F14" s="10">
        <v>0</v>
      </c>
      <c r="G14" s="10">
        <v>0</v>
      </c>
      <c r="H14" s="10">
        <f t="shared" ref="H14:O20" si="23">G14</f>
        <v>0</v>
      </c>
      <c r="I14" s="10">
        <f t="shared" si="23"/>
        <v>0</v>
      </c>
      <c r="J14" s="10">
        <f t="shared" si="23"/>
        <v>0</v>
      </c>
      <c r="K14" s="10">
        <f t="shared" si="23"/>
        <v>0</v>
      </c>
      <c r="L14" s="10">
        <f t="shared" si="23"/>
        <v>0</v>
      </c>
      <c r="M14" s="10">
        <f t="shared" si="23"/>
        <v>0</v>
      </c>
      <c r="N14" s="10">
        <f t="shared" si="23"/>
        <v>0</v>
      </c>
      <c r="O14" s="10">
        <f t="shared" si="23"/>
        <v>0</v>
      </c>
      <c r="Q14" s="10">
        <v>0</v>
      </c>
      <c r="R14" s="10">
        <f t="shared" ref="R14:AA20" si="24">Q14</f>
        <v>0</v>
      </c>
      <c r="S14" s="10">
        <v>0</v>
      </c>
      <c r="T14" s="10">
        <f t="shared" si="24"/>
        <v>0</v>
      </c>
      <c r="U14" s="10">
        <f t="shared" si="24"/>
        <v>0</v>
      </c>
      <c r="V14" s="10">
        <f t="shared" si="24"/>
        <v>0</v>
      </c>
      <c r="W14" s="10">
        <f t="shared" si="24"/>
        <v>0</v>
      </c>
      <c r="X14" s="10">
        <f t="shared" si="24"/>
        <v>0</v>
      </c>
      <c r="Y14" s="10">
        <f t="shared" si="24"/>
        <v>0</v>
      </c>
      <c r="Z14" s="10">
        <f t="shared" si="24"/>
        <v>0</v>
      </c>
      <c r="AA14" s="10">
        <f t="shared" si="24"/>
        <v>0</v>
      </c>
      <c r="AC14" s="10">
        <v>1</v>
      </c>
      <c r="AD14" s="10">
        <f t="shared" ref="AD14:AM20" si="25">AC14</f>
        <v>1</v>
      </c>
      <c r="AE14" s="10">
        <f t="shared" si="25"/>
        <v>1</v>
      </c>
      <c r="AF14" s="10">
        <f t="shared" si="25"/>
        <v>1</v>
      </c>
      <c r="AG14" s="10">
        <f t="shared" si="25"/>
        <v>1</v>
      </c>
      <c r="AH14" s="10">
        <f t="shared" si="25"/>
        <v>1</v>
      </c>
      <c r="AI14" s="10">
        <f t="shared" si="25"/>
        <v>1</v>
      </c>
      <c r="AJ14" s="10">
        <f t="shared" si="25"/>
        <v>1</v>
      </c>
      <c r="AK14" s="10">
        <f t="shared" si="25"/>
        <v>1</v>
      </c>
      <c r="AL14" s="10">
        <f t="shared" si="25"/>
        <v>1</v>
      </c>
      <c r="AM14" s="10">
        <f t="shared" si="25"/>
        <v>1</v>
      </c>
      <c r="AO14" s="10">
        <v>0</v>
      </c>
      <c r="AP14" s="10">
        <f t="shared" ref="AP14:AY20" si="26">AO14</f>
        <v>0</v>
      </c>
      <c r="AQ14" s="10">
        <f t="shared" si="26"/>
        <v>0</v>
      </c>
      <c r="AR14" s="10">
        <f t="shared" si="26"/>
        <v>0</v>
      </c>
      <c r="AS14" s="10">
        <f t="shared" si="26"/>
        <v>0</v>
      </c>
      <c r="AT14" s="10">
        <f t="shared" si="26"/>
        <v>0</v>
      </c>
      <c r="AU14" s="10">
        <f t="shared" si="26"/>
        <v>0</v>
      </c>
      <c r="AV14" s="10">
        <f t="shared" si="26"/>
        <v>0</v>
      </c>
      <c r="AW14" s="10">
        <f t="shared" si="26"/>
        <v>0</v>
      </c>
      <c r="AX14" s="10">
        <f t="shared" si="26"/>
        <v>0</v>
      </c>
      <c r="AY14" s="10">
        <f t="shared" si="26"/>
        <v>0</v>
      </c>
      <c r="BA14" s="10">
        <v>0</v>
      </c>
      <c r="BB14" s="10">
        <f t="shared" ref="BB14:BK20" si="27">BA14</f>
        <v>0</v>
      </c>
      <c r="BC14" s="10">
        <f t="shared" si="27"/>
        <v>0</v>
      </c>
      <c r="BD14" s="10">
        <f t="shared" si="27"/>
        <v>0</v>
      </c>
      <c r="BE14" s="10">
        <f t="shared" si="27"/>
        <v>0</v>
      </c>
      <c r="BF14" s="10">
        <f t="shared" si="27"/>
        <v>0</v>
      </c>
      <c r="BG14" s="10">
        <f t="shared" si="27"/>
        <v>0</v>
      </c>
      <c r="BH14" s="10">
        <f t="shared" si="27"/>
        <v>0</v>
      </c>
      <c r="BI14" s="10">
        <f t="shared" si="27"/>
        <v>0</v>
      </c>
      <c r="BJ14" s="10">
        <f t="shared" si="27"/>
        <v>0</v>
      </c>
      <c r="BK14" s="10">
        <f t="shared" si="27"/>
        <v>0</v>
      </c>
    </row>
    <row r="15" spans="1:63" s="10" customFormat="1" x14ac:dyDescent="0.25">
      <c r="A15" s="11"/>
      <c r="C15" s="10" t="s">
        <v>152</v>
      </c>
      <c r="E15" s="10">
        <v>0</v>
      </c>
      <c r="F15" s="10">
        <v>0</v>
      </c>
      <c r="G15" s="10">
        <v>0</v>
      </c>
      <c r="H15" s="10">
        <f t="shared" si="23"/>
        <v>0</v>
      </c>
      <c r="I15" s="10">
        <f t="shared" si="23"/>
        <v>0</v>
      </c>
      <c r="J15" s="10">
        <f t="shared" si="23"/>
        <v>0</v>
      </c>
      <c r="K15" s="10">
        <f t="shared" si="23"/>
        <v>0</v>
      </c>
      <c r="L15" s="10">
        <f t="shared" si="23"/>
        <v>0</v>
      </c>
      <c r="M15" s="10">
        <f t="shared" si="23"/>
        <v>0</v>
      </c>
      <c r="N15" s="10">
        <f t="shared" si="23"/>
        <v>0</v>
      </c>
      <c r="O15" s="10">
        <f t="shared" si="23"/>
        <v>0</v>
      </c>
      <c r="Q15" s="10">
        <v>1</v>
      </c>
      <c r="R15" s="10">
        <f t="shared" si="24"/>
        <v>1</v>
      </c>
      <c r="S15" s="10">
        <f t="shared" si="24"/>
        <v>1</v>
      </c>
      <c r="T15" s="10">
        <f t="shared" si="24"/>
        <v>1</v>
      </c>
      <c r="U15" s="10">
        <f t="shared" si="24"/>
        <v>1</v>
      </c>
      <c r="V15" s="10">
        <f t="shared" si="24"/>
        <v>1</v>
      </c>
      <c r="W15" s="10">
        <f t="shared" si="24"/>
        <v>1</v>
      </c>
      <c r="X15" s="10">
        <f t="shared" si="24"/>
        <v>1</v>
      </c>
      <c r="Y15" s="10">
        <f t="shared" si="24"/>
        <v>1</v>
      </c>
      <c r="Z15" s="10">
        <f t="shared" si="24"/>
        <v>1</v>
      </c>
      <c r="AA15" s="10">
        <f t="shared" si="24"/>
        <v>1</v>
      </c>
      <c r="AC15" s="10">
        <v>1</v>
      </c>
      <c r="AD15" s="10">
        <f t="shared" si="25"/>
        <v>1</v>
      </c>
      <c r="AE15" s="10">
        <f t="shared" si="25"/>
        <v>1</v>
      </c>
      <c r="AF15" s="10">
        <f t="shared" si="25"/>
        <v>1</v>
      </c>
      <c r="AG15" s="10">
        <f t="shared" si="25"/>
        <v>1</v>
      </c>
      <c r="AH15" s="10">
        <f t="shared" si="25"/>
        <v>1</v>
      </c>
      <c r="AI15" s="10">
        <f t="shared" si="25"/>
        <v>1</v>
      </c>
      <c r="AJ15" s="10">
        <f t="shared" si="25"/>
        <v>1</v>
      </c>
      <c r="AK15" s="10">
        <f t="shared" si="25"/>
        <v>1</v>
      </c>
      <c r="AL15" s="10">
        <f t="shared" si="25"/>
        <v>1</v>
      </c>
      <c r="AM15" s="10">
        <f t="shared" si="25"/>
        <v>1</v>
      </c>
      <c r="AO15" s="10">
        <v>0</v>
      </c>
      <c r="AP15" s="10">
        <f t="shared" si="26"/>
        <v>0</v>
      </c>
      <c r="AQ15" s="10">
        <f t="shared" si="26"/>
        <v>0</v>
      </c>
      <c r="AR15" s="10">
        <f t="shared" si="26"/>
        <v>0</v>
      </c>
      <c r="AS15" s="10">
        <f t="shared" si="26"/>
        <v>0</v>
      </c>
      <c r="AT15" s="10">
        <f t="shared" si="26"/>
        <v>0</v>
      </c>
      <c r="AU15" s="10">
        <f t="shared" si="26"/>
        <v>0</v>
      </c>
      <c r="AV15" s="10">
        <f t="shared" si="26"/>
        <v>0</v>
      </c>
      <c r="AW15" s="10">
        <f t="shared" si="26"/>
        <v>0</v>
      </c>
      <c r="AX15" s="10">
        <f t="shared" si="26"/>
        <v>0</v>
      </c>
      <c r="AY15" s="10">
        <f t="shared" si="26"/>
        <v>0</v>
      </c>
      <c r="BA15" s="10">
        <v>0</v>
      </c>
      <c r="BB15" s="10">
        <f t="shared" si="27"/>
        <v>0</v>
      </c>
      <c r="BC15" s="10">
        <f t="shared" si="27"/>
        <v>0</v>
      </c>
      <c r="BD15" s="10">
        <f t="shared" si="27"/>
        <v>0</v>
      </c>
      <c r="BE15" s="10">
        <f t="shared" si="27"/>
        <v>0</v>
      </c>
      <c r="BF15" s="10">
        <f t="shared" si="27"/>
        <v>0</v>
      </c>
      <c r="BG15" s="10">
        <f t="shared" si="27"/>
        <v>0</v>
      </c>
      <c r="BH15" s="10">
        <f t="shared" si="27"/>
        <v>0</v>
      </c>
      <c r="BI15" s="10">
        <f t="shared" si="27"/>
        <v>0</v>
      </c>
      <c r="BJ15" s="10">
        <f t="shared" si="27"/>
        <v>0</v>
      </c>
      <c r="BK15" s="10">
        <f t="shared" si="27"/>
        <v>0</v>
      </c>
    </row>
    <row r="16" spans="1:63" s="10" customFormat="1" x14ac:dyDescent="0.25">
      <c r="A16" s="11"/>
      <c r="C16" s="10" t="s">
        <v>118</v>
      </c>
      <c r="E16" s="10">
        <v>0</v>
      </c>
      <c r="F16" s="10">
        <v>0</v>
      </c>
      <c r="G16" s="10">
        <v>0</v>
      </c>
      <c r="H16" s="10">
        <f t="shared" si="23"/>
        <v>0</v>
      </c>
      <c r="I16" s="10">
        <f t="shared" si="23"/>
        <v>0</v>
      </c>
      <c r="J16" s="10">
        <f t="shared" si="23"/>
        <v>0</v>
      </c>
      <c r="K16" s="10">
        <f t="shared" si="23"/>
        <v>0</v>
      </c>
      <c r="L16" s="10">
        <f t="shared" si="23"/>
        <v>0</v>
      </c>
      <c r="M16" s="10">
        <f t="shared" si="23"/>
        <v>0</v>
      </c>
      <c r="N16" s="10">
        <f t="shared" si="23"/>
        <v>0</v>
      </c>
      <c r="O16" s="10">
        <f t="shared" si="23"/>
        <v>0</v>
      </c>
      <c r="Q16" s="10">
        <v>1</v>
      </c>
      <c r="R16" s="10">
        <f t="shared" si="24"/>
        <v>1</v>
      </c>
      <c r="S16" s="10">
        <f t="shared" si="24"/>
        <v>1</v>
      </c>
      <c r="T16" s="10">
        <f t="shared" si="24"/>
        <v>1</v>
      </c>
      <c r="U16" s="10">
        <f t="shared" si="24"/>
        <v>1</v>
      </c>
      <c r="V16" s="10">
        <f t="shared" si="24"/>
        <v>1</v>
      </c>
      <c r="W16" s="10">
        <f t="shared" si="24"/>
        <v>1</v>
      </c>
      <c r="X16" s="10">
        <f t="shared" si="24"/>
        <v>1</v>
      </c>
      <c r="Y16" s="10">
        <f t="shared" si="24"/>
        <v>1</v>
      </c>
      <c r="Z16" s="10">
        <f t="shared" si="24"/>
        <v>1</v>
      </c>
      <c r="AA16" s="10">
        <f t="shared" si="24"/>
        <v>1</v>
      </c>
      <c r="AC16" s="10">
        <v>0</v>
      </c>
      <c r="AD16" s="10">
        <f t="shared" si="25"/>
        <v>0</v>
      </c>
      <c r="AE16" s="10">
        <f t="shared" si="25"/>
        <v>0</v>
      </c>
      <c r="AF16" s="10">
        <f t="shared" si="25"/>
        <v>0</v>
      </c>
      <c r="AG16" s="10">
        <f t="shared" si="25"/>
        <v>0</v>
      </c>
      <c r="AH16" s="10">
        <f t="shared" si="25"/>
        <v>0</v>
      </c>
      <c r="AI16" s="10">
        <f t="shared" si="25"/>
        <v>0</v>
      </c>
      <c r="AJ16" s="10">
        <f t="shared" si="25"/>
        <v>0</v>
      </c>
      <c r="AK16" s="10">
        <f t="shared" si="25"/>
        <v>0</v>
      </c>
      <c r="AL16" s="10">
        <f t="shared" si="25"/>
        <v>0</v>
      </c>
      <c r="AM16" s="10">
        <f t="shared" si="25"/>
        <v>0</v>
      </c>
      <c r="AO16" s="10">
        <v>0</v>
      </c>
      <c r="AP16" s="10">
        <f t="shared" si="26"/>
        <v>0</v>
      </c>
      <c r="AQ16" s="10">
        <f t="shared" si="26"/>
        <v>0</v>
      </c>
      <c r="AR16" s="10">
        <f t="shared" si="26"/>
        <v>0</v>
      </c>
      <c r="AS16" s="10">
        <f t="shared" si="26"/>
        <v>0</v>
      </c>
      <c r="AT16" s="10">
        <f t="shared" si="26"/>
        <v>0</v>
      </c>
      <c r="AU16" s="10">
        <f t="shared" si="26"/>
        <v>0</v>
      </c>
      <c r="AV16" s="10">
        <f t="shared" si="26"/>
        <v>0</v>
      </c>
      <c r="AW16" s="10">
        <f t="shared" si="26"/>
        <v>0</v>
      </c>
      <c r="AX16" s="10">
        <f t="shared" si="26"/>
        <v>0</v>
      </c>
      <c r="AY16" s="10">
        <f t="shared" si="26"/>
        <v>0</v>
      </c>
      <c r="BA16" s="10">
        <v>0</v>
      </c>
      <c r="BB16" s="10">
        <f t="shared" si="27"/>
        <v>0</v>
      </c>
      <c r="BC16" s="10">
        <f t="shared" si="27"/>
        <v>0</v>
      </c>
      <c r="BD16" s="10">
        <f t="shared" si="27"/>
        <v>0</v>
      </c>
      <c r="BE16" s="10">
        <f t="shared" si="27"/>
        <v>0</v>
      </c>
      <c r="BF16" s="10">
        <f t="shared" si="27"/>
        <v>0</v>
      </c>
      <c r="BG16" s="10">
        <f t="shared" si="27"/>
        <v>0</v>
      </c>
      <c r="BH16" s="10">
        <f t="shared" si="27"/>
        <v>0</v>
      </c>
      <c r="BI16" s="10">
        <f t="shared" si="27"/>
        <v>0</v>
      </c>
      <c r="BJ16" s="10">
        <f t="shared" si="27"/>
        <v>0</v>
      </c>
      <c r="BK16" s="10">
        <f t="shared" si="27"/>
        <v>0</v>
      </c>
    </row>
    <row r="17" spans="1:63" s="10" customFormat="1" x14ac:dyDescent="0.25">
      <c r="A17" s="11"/>
      <c r="C17" s="10" t="s">
        <v>118</v>
      </c>
      <c r="E17" s="10">
        <v>0</v>
      </c>
      <c r="F17" s="10">
        <v>0</v>
      </c>
      <c r="G17" s="10">
        <v>0</v>
      </c>
      <c r="H17" s="10">
        <f t="shared" si="23"/>
        <v>0</v>
      </c>
      <c r="I17" s="10">
        <f t="shared" si="23"/>
        <v>0</v>
      </c>
      <c r="J17" s="10">
        <f t="shared" si="23"/>
        <v>0</v>
      </c>
      <c r="K17" s="10">
        <f t="shared" si="23"/>
        <v>0</v>
      </c>
      <c r="L17" s="10">
        <f t="shared" si="23"/>
        <v>0</v>
      </c>
      <c r="M17" s="10">
        <f t="shared" si="23"/>
        <v>0</v>
      </c>
      <c r="N17" s="10">
        <f t="shared" si="23"/>
        <v>0</v>
      </c>
      <c r="O17" s="10">
        <f t="shared" si="23"/>
        <v>0</v>
      </c>
      <c r="Q17" s="10">
        <v>1</v>
      </c>
      <c r="R17" s="10">
        <f t="shared" si="24"/>
        <v>1</v>
      </c>
      <c r="S17" s="10">
        <f t="shared" si="24"/>
        <v>1</v>
      </c>
      <c r="T17" s="10">
        <f t="shared" si="24"/>
        <v>1</v>
      </c>
      <c r="U17" s="10">
        <f t="shared" si="24"/>
        <v>1</v>
      </c>
      <c r="V17" s="10">
        <f t="shared" si="24"/>
        <v>1</v>
      </c>
      <c r="W17" s="10">
        <f t="shared" si="24"/>
        <v>1</v>
      </c>
      <c r="X17" s="10">
        <f t="shared" si="24"/>
        <v>1</v>
      </c>
      <c r="Y17" s="10">
        <f t="shared" si="24"/>
        <v>1</v>
      </c>
      <c r="Z17" s="10">
        <f t="shared" si="24"/>
        <v>1</v>
      </c>
      <c r="AA17" s="10">
        <f t="shared" si="24"/>
        <v>1</v>
      </c>
      <c r="AC17" s="10">
        <v>0</v>
      </c>
      <c r="AD17" s="10">
        <f t="shared" si="25"/>
        <v>0</v>
      </c>
      <c r="AE17" s="10">
        <f t="shared" si="25"/>
        <v>0</v>
      </c>
      <c r="AF17" s="10">
        <f t="shared" si="25"/>
        <v>0</v>
      </c>
      <c r="AG17" s="10">
        <f t="shared" si="25"/>
        <v>0</v>
      </c>
      <c r="AH17" s="10">
        <f t="shared" si="25"/>
        <v>0</v>
      </c>
      <c r="AI17" s="10">
        <f t="shared" si="25"/>
        <v>0</v>
      </c>
      <c r="AJ17" s="10">
        <f t="shared" si="25"/>
        <v>0</v>
      </c>
      <c r="AK17" s="10">
        <f t="shared" si="25"/>
        <v>0</v>
      </c>
      <c r="AL17" s="10">
        <f t="shared" si="25"/>
        <v>0</v>
      </c>
      <c r="AM17" s="10">
        <f t="shared" si="25"/>
        <v>0</v>
      </c>
      <c r="AO17" s="10">
        <v>0</v>
      </c>
      <c r="AP17" s="10">
        <f t="shared" si="26"/>
        <v>0</v>
      </c>
      <c r="AQ17" s="10">
        <f t="shared" si="26"/>
        <v>0</v>
      </c>
      <c r="AR17" s="10">
        <f t="shared" si="26"/>
        <v>0</v>
      </c>
      <c r="AS17" s="10">
        <f t="shared" si="26"/>
        <v>0</v>
      </c>
      <c r="AT17" s="10">
        <f t="shared" si="26"/>
        <v>0</v>
      </c>
      <c r="AU17" s="10">
        <f t="shared" si="26"/>
        <v>0</v>
      </c>
      <c r="AV17" s="10">
        <f t="shared" si="26"/>
        <v>0</v>
      </c>
      <c r="AW17" s="10">
        <f t="shared" si="26"/>
        <v>0</v>
      </c>
      <c r="AX17" s="10">
        <f t="shared" si="26"/>
        <v>0</v>
      </c>
      <c r="AY17" s="10">
        <f t="shared" si="26"/>
        <v>0</v>
      </c>
      <c r="BA17" s="10">
        <v>0</v>
      </c>
      <c r="BB17" s="10">
        <f t="shared" si="27"/>
        <v>0</v>
      </c>
      <c r="BC17" s="10">
        <f t="shared" si="27"/>
        <v>0</v>
      </c>
      <c r="BD17" s="10">
        <f t="shared" si="27"/>
        <v>0</v>
      </c>
      <c r="BE17" s="10">
        <f t="shared" si="27"/>
        <v>0</v>
      </c>
      <c r="BF17" s="10">
        <f t="shared" si="27"/>
        <v>0</v>
      </c>
      <c r="BG17" s="10">
        <f t="shared" si="27"/>
        <v>0</v>
      </c>
      <c r="BH17" s="10">
        <f t="shared" si="27"/>
        <v>0</v>
      </c>
      <c r="BI17" s="10">
        <f t="shared" si="27"/>
        <v>0</v>
      </c>
      <c r="BJ17" s="10">
        <f t="shared" si="27"/>
        <v>0</v>
      </c>
      <c r="BK17" s="10">
        <f t="shared" si="27"/>
        <v>0</v>
      </c>
    </row>
    <row r="18" spans="1:63" s="10" customFormat="1" x14ac:dyDescent="0.25">
      <c r="A18" s="11"/>
      <c r="C18" s="10" t="s">
        <v>153</v>
      </c>
      <c r="E18" s="10">
        <v>0</v>
      </c>
      <c r="F18" s="10">
        <v>0</v>
      </c>
      <c r="G18" s="10">
        <v>0</v>
      </c>
      <c r="H18" s="10">
        <f t="shared" si="23"/>
        <v>0</v>
      </c>
      <c r="I18" s="10">
        <f t="shared" si="23"/>
        <v>0</v>
      </c>
      <c r="J18" s="10">
        <f t="shared" si="23"/>
        <v>0</v>
      </c>
      <c r="K18" s="10">
        <f t="shared" si="23"/>
        <v>0</v>
      </c>
      <c r="L18" s="10">
        <f t="shared" si="23"/>
        <v>0</v>
      </c>
      <c r="M18" s="10">
        <f t="shared" si="23"/>
        <v>0</v>
      </c>
      <c r="N18" s="10">
        <f t="shared" si="23"/>
        <v>0</v>
      </c>
      <c r="O18" s="10">
        <f t="shared" si="23"/>
        <v>0</v>
      </c>
      <c r="Q18" s="10">
        <v>1</v>
      </c>
      <c r="R18" s="10">
        <f t="shared" si="24"/>
        <v>1</v>
      </c>
      <c r="S18" s="10">
        <f t="shared" si="24"/>
        <v>1</v>
      </c>
      <c r="T18" s="10">
        <f t="shared" si="24"/>
        <v>1</v>
      </c>
      <c r="U18" s="10">
        <f t="shared" si="24"/>
        <v>1</v>
      </c>
      <c r="V18" s="10">
        <f t="shared" si="24"/>
        <v>1</v>
      </c>
      <c r="W18" s="10">
        <f t="shared" si="24"/>
        <v>1</v>
      </c>
      <c r="X18" s="10">
        <f t="shared" si="24"/>
        <v>1</v>
      </c>
      <c r="Y18" s="10">
        <f t="shared" si="24"/>
        <v>1</v>
      </c>
      <c r="Z18" s="10">
        <f t="shared" si="24"/>
        <v>1</v>
      </c>
      <c r="AA18" s="10">
        <f t="shared" si="24"/>
        <v>1</v>
      </c>
      <c r="AC18" s="10">
        <v>1</v>
      </c>
      <c r="AD18" s="10">
        <f t="shared" si="25"/>
        <v>1</v>
      </c>
      <c r="AE18" s="10">
        <f t="shared" si="25"/>
        <v>1</v>
      </c>
      <c r="AF18" s="10">
        <f t="shared" si="25"/>
        <v>1</v>
      </c>
      <c r="AG18" s="10">
        <f t="shared" si="25"/>
        <v>1</v>
      </c>
      <c r="AH18" s="10">
        <f t="shared" si="25"/>
        <v>1</v>
      </c>
      <c r="AI18" s="10">
        <f t="shared" si="25"/>
        <v>1</v>
      </c>
      <c r="AJ18" s="10">
        <f t="shared" si="25"/>
        <v>1</v>
      </c>
      <c r="AK18" s="10">
        <f t="shared" si="25"/>
        <v>1</v>
      </c>
      <c r="AL18" s="10">
        <f t="shared" si="25"/>
        <v>1</v>
      </c>
      <c r="AM18" s="10">
        <f t="shared" si="25"/>
        <v>1</v>
      </c>
      <c r="AO18" s="10">
        <v>0</v>
      </c>
      <c r="AP18" s="10">
        <f t="shared" si="26"/>
        <v>0</v>
      </c>
      <c r="AQ18" s="10">
        <f t="shared" si="26"/>
        <v>0</v>
      </c>
      <c r="AR18" s="10">
        <f t="shared" si="26"/>
        <v>0</v>
      </c>
      <c r="AS18" s="10">
        <f t="shared" si="26"/>
        <v>0</v>
      </c>
      <c r="AT18" s="10">
        <f t="shared" si="26"/>
        <v>0</v>
      </c>
      <c r="AU18" s="10">
        <f t="shared" si="26"/>
        <v>0</v>
      </c>
      <c r="AV18" s="10">
        <f t="shared" si="26"/>
        <v>0</v>
      </c>
      <c r="AW18" s="10">
        <f t="shared" si="26"/>
        <v>0</v>
      </c>
      <c r="AX18" s="10">
        <f t="shared" si="26"/>
        <v>0</v>
      </c>
      <c r="AY18" s="10">
        <f t="shared" si="26"/>
        <v>0</v>
      </c>
      <c r="BA18" s="10">
        <v>0</v>
      </c>
      <c r="BB18" s="10">
        <f t="shared" si="27"/>
        <v>0</v>
      </c>
      <c r="BC18" s="10">
        <f t="shared" si="27"/>
        <v>0</v>
      </c>
      <c r="BD18" s="10">
        <f t="shared" si="27"/>
        <v>0</v>
      </c>
      <c r="BE18" s="10">
        <f t="shared" si="27"/>
        <v>0</v>
      </c>
      <c r="BF18" s="10">
        <f t="shared" si="27"/>
        <v>0</v>
      </c>
      <c r="BG18" s="10">
        <f t="shared" si="27"/>
        <v>0</v>
      </c>
      <c r="BH18" s="10">
        <f t="shared" si="27"/>
        <v>0</v>
      </c>
      <c r="BI18" s="10">
        <f t="shared" si="27"/>
        <v>0</v>
      </c>
      <c r="BJ18" s="10">
        <f t="shared" si="27"/>
        <v>0</v>
      </c>
      <c r="BK18" s="10">
        <f t="shared" si="27"/>
        <v>0</v>
      </c>
    </row>
    <row r="19" spans="1:63" s="10" customFormat="1" x14ac:dyDescent="0.25">
      <c r="A19" s="11"/>
      <c r="C19" s="10" t="s">
        <v>154</v>
      </c>
      <c r="E19" s="10">
        <v>0</v>
      </c>
      <c r="F19" s="10">
        <v>0</v>
      </c>
      <c r="G19" s="10">
        <v>0</v>
      </c>
      <c r="H19" s="10">
        <f t="shared" si="23"/>
        <v>0</v>
      </c>
      <c r="I19" s="10">
        <f t="shared" si="23"/>
        <v>0</v>
      </c>
      <c r="J19" s="10">
        <f t="shared" si="23"/>
        <v>0</v>
      </c>
      <c r="K19" s="10">
        <f t="shared" si="23"/>
        <v>0</v>
      </c>
      <c r="L19" s="10">
        <f t="shared" si="23"/>
        <v>0</v>
      </c>
      <c r="M19" s="10">
        <f t="shared" si="23"/>
        <v>0</v>
      </c>
      <c r="N19" s="10">
        <f t="shared" si="23"/>
        <v>0</v>
      </c>
      <c r="O19" s="10">
        <f t="shared" si="23"/>
        <v>0</v>
      </c>
      <c r="Q19" s="10">
        <v>0</v>
      </c>
      <c r="R19" s="10">
        <f t="shared" si="24"/>
        <v>0</v>
      </c>
      <c r="S19" s="10">
        <v>0</v>
      </c>
      <c r="T19" s="10">
        <f t="shared" si="24"/>
        <v>0</v>
      </c>
      <c r="U19" s="10">
        <f t="shared" si="24"/>
        <v>0</v>
      </c>
      <c r="V19" s="10">
        <f t="shared" si="24"/>
        <v>0</v>
      </c>
      <c r="W19" s="10">
        <f t="shared" si="24"/>
        <v>0</v>
      </c>
      <c r="X19" s="10">
        <f t="shared" si="24"/>
        <v>0</v>
      </c>
      <c r="Y19" s="10">
        <f t="shared" si="24"/>
        <v>0</v>
      </c>
      <c r="Z19" s="10">
        <f t="shared" si="24"/>
        <v>0</v>
      </c>
      <c r="AA19" s="10">
        <f t="shared" si="24"/>
        <v>0</v>
      </c>
      <c r="AC19" s="10">
        <v>1</v>
      </c>
      <c r="AD19" s="10">
        <f t="shared" si="25"/>
        <v>1</v>
      </c>
      <c r="AE19" s="10">
        <f t="shared" si="25"/>
        <v>1</v>
      </c>
      <c r="AF19" s="10">
        <f t="shared" si="25"/>
        <v>1</v>
      </c>
      <c r="AG19" s="10">
        <f t="shared" si="25"/>
        <v>1</v>
      </c>
      <c r="AH19" s="10">
        <f t="shared" si="25"/>
        <v>1</v>
      </c>
      <c r="AI19" s="10">
        <f t="shared" si="25"/>
        <v>1</v>
      </c>
      <c r="AJ19" s="10">
        <f t="shared" si="25"/>
        <v>1</v>
      </c>
      <c r="AK19" s="10">
        <f t="shared" si="25"/>
        <v>1</v>
      </c>
      <c r="AL19" s="10">
        <f t="shared" si="25"/>
        <v>1</v>
      </c>
      <c r="AM19" s="10">
        <f t="shared" si="25"/>
        <v>1</v>
      </c>
      <c r="AO19" s="10">
        <v>0</v>
      </c>
      <c r="AP19" s="10">
        <f t="shared" si="26"/>
        <v>0</v>
      </c>
      <c r="AQ19" s="10">
        <f t="shared" si="26"/>
        <v>0</v>
      </c>
      <c r="AR19" s="10">
        <f t="shared" si="26"/>
        <v>0</v>
      </c>
      <c r="AS19" s="10">
        <f t="shared" si="26"/>
        <v>0</v>
      </c>
      <c r="AT19" s="10">
        <f t="shared" si="26"/>
        <v>0</v>
      </c>
      <c r="AU19" s="10">
        <f t="shared" si="26"/>
        <v>0</v>
      </c>
      <c r="AV19" s="10">
        <f t="shared" si="26"/>
        <v>0</v>
      </c>
      <c r="AW19" s="10">
        <f t="shared" si="26"/>
        <v>0</v>
      </c>
      <c r="AX19" s="10">
        <f t="shared" si="26"/>
        <v>0</v>
      </c>
      <c r="AY19" s="10">
        <f t="shared" si="26"/>
        <v>0</v>
      </c>
      <c r="BA19" s="10">
        <v>0</v>
      </c>
      <c r="BB19" s="10">
        <f t="shared" si="27"/>
        <v>0</v>
      </c>
      <c r="BC19" s="10">
        <f t="shared" si="27"/>
        <v>0</v>
      </c>
      <c r="BD19" s="10">
        <f t="shared" si="27"/>
        <v>0</v>
      </c>
      <c r="BE19" s="10">
        <f t="shared" si="27"/>
        <v>0</v>
      </c>
      <c r="BF19" s="10">
        <f t="shared" si="27"/>
        <v>0</v>
      </c>
      <c r="BG19" s="10">
        <f t="shared" si="27"/>
        <v>0</v>
      </c>
      <c r="BH19" s="10">
        <f t="shared" si="27"/>
        <v>0</v>
      </c>
      <c r="BI19" s="10">
        <f t="shared" si="27"/>
        <v>0</v>
      </c>
      <c r="BJ19" s="10">
        <f t="shared" si="27"/>
        <v>0</v>
      </c>
      <c r="BK19" s="10">
        <f t="shared" si="27"/>
        <v>0</v>
      </c>
    </row>
    <row r="20" spans="1:63" s="10" customFormat="1" x14ac:dyDescent="0.25">
      <c r="A20" s="11"/>
      <c r="C20" s="10" t="s">
        <v>155</v>
      </c>
      <c r="E20" s="10">
        <v>0</v>
      </c>
      <c r="F20" s="10">
        <v>0</v>
      </c>
      <c r="G20" s="10">
        <v>0</v>
      </c>
      <c r="H20" s="10">
        <f t="shared" si="23"/>
        <v>0</v>
      </c>
      <c r="I20" s="10">
        <f t="shared" si="23"/>
        <v>0</v>
      </c>
      <c r="J20" s="10">
        <f t="shared" si="23"/>
        <v>0</v>
      </c>
      <c r="K20" s="10">
        <f t="shared" si="23"/>
        <v>0</v>
      </c>
      <c r="L20" s="10">
        <f t="shared" si="23"/>
        <v>0</v>
      </c>
      <c r="M20" s="10">
        <f t="shared" si="23"/>
        <v>0</v>
      </c>
      <c r="N20" s="10">
        <f t="shared" si="23"/>
        <v>0</v>
      </c>
      <c r="O20" s="10">
        <f t="shared" si="23"/>
        <v>0</v>
      </c>
      <c r="Q20" s="10">
        <v>1</v>
      </c>
      <c r="R20" s="10">
        <f t="shared" si="24"/>
        <v>1</v>
      </c>
      <c r="S20" s="10">
        <f t="shared" si="24"/>
        <v>1</v>
      </c>
      <c r="T20" s="10">
        <f t="shared" si="24"/>
        <v>1</v>
      </c>
      <c r="U20" s="10">
        <f t="shared" si="24"/>
        <v>1</v>
      </c>
      <c r="V20" s="10">
        <f t="shared" si="24"/>
        <v>1</v>
      </c>
      <c r="W20" s="10">
        <f t="shared" si="24"/>
        <v>1</v>
      </c>
      <c r="X20" s="10">
        <f t="shared" si="24"/>
        <v>1</v>
      </c>
      <c r="Y20" s="10">
        <f t="shared" si="24"/>
        <v>1</v>
      </c>
      <c r="Z20" s="10">
        <f t="shared" si="24"/>
        <v>1</v>
      </c>
      <c r="AA20" s="10">
        <f t="shared" si="24"/>
        <v>1</v>
      </c>
      <c r="AC20" s="10">
        <v>1</v>
      </c>
      <c r="AD20" s="10">
        <f t="shared" si="25"/>
        <v>1</v>
      </c>
      <c r="AE20" s="10">
        <f t="shared" si="25"/>
        <v>1</v>
      </c>
      <c r="AF20" s="10">
        <f t="shared" si="25"/>
        <v>1</v>
      </c>
      <c r="AG20" s="10">
        <f t="shared" si="25"/>
        <v>1</v>
      </c>
      <c r="AH20" s="10">
        <f t="shared" si="25"/>
        <v>1</v>
      </c>
      <c r="AI20" s="10">
        <f t="shared" si="25"/>
        <v>1</v>
      </c>
      <c r="AJ20" s="10">
        <f t="shared" si="25"/>
        <v>1</v>
      </c>
      <c r="AK20" s="10">
        <f t="shared" si="25"/>
        <v>1</v>
      </c>
      <c r="AL20" s="10">
        <f t="shared" si="25"/>
        <v>1</v>
      </c>
      <c r="AM20" s="10">
        <f t="shared" si="25"/>
        <v>1</v>
      </c>
      <c r="AO20" s="10">
        <v>0</v>
      </c>
      <c r="AP20" s="10">
        <f t="shared" si="26"/>
        <v>0</v>
      </c>
      <c r="AQ20" s="10">
        <f t="shared" si="26"/>
        <v>0</v>
      </c>
      <c r="AR20" s="10">
        <f t="shared" si="26"/>
        <v>0</v>
      </c>
      <c r="AS20" s="10">
        <f t="shared" si="26"/>
        <v>0</v>
      </c>
      <c r="AT20" s="10">
        <f t="shared" si="26"/>
        <v>0</v>
      </c>
      <c r="AU20" s="10">
        <f t="shared" si="26"/>
        <v>0</v>
      </c>
      <c r="AV20" s="10">
        <f t="shared" si="26"/>
        <v>0</v>
      </c>
      <c r="AW20" s="10">
        <f t="shared" si="26"/>
        <v>0</v>
      </c>
      <c r="AX20" s="10">
        <f t="shared" si="26"/>
        <v>0</v>
      </c>
      <c r="AY20" s="10">
        <f t="shared" si="26"/>
        <v>0</v>
      </c>
      <c r="BA20" s="10">
        <v>0</v>
      </c>
      <c r="BB20" s="10">
        <f t="shared" si="27"/>
        <v>0</v>
      </c>
      <c r="BC20" s="10">
        <f t="shared" si="27"/>
        <v>0</v>
      </c>
      <c r="BD20" s="10">
        <f t="shared" si="27"/>
        <v>0</v>
      </c>
      <c r="BE20" s="10">
        <f t="shared" si="27"/>
        <v>0</v>
      </c>
      <c r="BF20" s="10">
        <f t="shared" si="27"/>
        <v>0</v>
      </c>
      <c r="BG20" s="10">
        <f t="shared" si="27"/>
        <v>0</v>
      </c>
      <c r="BH20" s="10">
        <f t="shared" si="27"/>
        <v>0</v>
      </c>
      <c r="BI20" s="10">
        <f t="shared" si="27"/>
        <v>0</v>
      </c>
      <c r="BJ20" s="10">
        <f t="shared" si="27"/>
        <v>0</v>
      </c>
      <c r="BK20" s="10">
        <f t="shared" si="27"/>
        <v>0</v>
      </c>
    </row>
    <row r="21" spans="1:63" x14ac:dyDescent="0.25">
      <c r="A21" s="2"/>
      <c r="B21" s="2"/>
      <c r="E21" t="str">
        <f t="shared" ref="E21:AA21" si="28">CONCATENATE(E20,E19,E18,E17,E16,E15,E14,E13)</f>
        <v>00000000</v>
      </c>
      <c r="F21" t="str">
        <f t="shared" si="28"/>
        <v>00000000</v>
      </c>
      <c r="G21" t="str">
        <f t="shared" si="28"/>
        <v>00000000</v>
      </c>
      <c r="H21" t="str">
        <f t="shared" si="28"/>
        <v>00000000</v>
      </c>
      <c r="I21" t="str">
        <f t="shared" si="28"/>
        <v>00000000</v>
      </c>
      <c r="J21" t="str">
        <f t="shared" si="28"/>
        <v>00000000</v>
      </c>
      <c r="K21" t="str">
        <f t="shared" si="28"/>
        <v>00000000</v>
      </c>
      <c r="L21" t="str">
        <f t="shared" si="28"/>
        <v>00000000</v>
      </c>
      <c r="M21" t="str">
        <f t="shared" si="28"/>
        <v>00000000</v>
      </c>
      <c r="N21" t="str">
        <f t="shared" si="28"/>
        <v>00000000</v>
      </c>
      <c r="O21" t="str">
        <f t="shared" si="28"/>
        <v>00000000</v>
      </c>
      <c r="Q21" t="str">
        <f t="shared" si="28"/>
        <v>10111101</v>
      </c>
      <c r="R21" t="str">
        <f t="shared" si="28"/>
        <v>10111101</v>
      </c>
      <c r="S21" t="str">
        <f t="shared" si="28"/>
        <v>10111101</v>
      </c>
      <c r="T21" t="str">
        <f t="shared" si="28"/>
        <v>10111101</v>
      </c>
      <c r="U21" t="str">
        <f t="shared" si="28"/>
        <v>10111101</v>
      </c>
      <c r="V21" t="str">
        <f t="shared" si="28"/>
        <v>10111101</v>
      </c>
      <c r="W21" t="str">
        <f t="shared" si="28"/>
        <v>10111101</v>
      </c>
      <c r="X21" t="str">
        <f t="shared" si="28"/>
        <v>10111101</v>
      </c>
      <c r="Y21" t="str">
        <f t="shared" si="28"/>
        <v>10111101</v>
      </c>
      <c r="Z21" t="str">
        <f t="shared" si="28"/>
        <v>10111101</v>
      </c>
      <c r="AA21" t="str">
        <f t="shared" si="28"/>
        <v>10111101</v>
      </c>
      <c r="AC21" t="str">
        <f>CONCATENATE(AC20,AC19,AC18,AC17,AC16,AC15,AC14,AC13)</f>
        <v>11100111</v>
      </c>
      <c r="AD21" t="str">
        <f t="shared" ref="AD21:AM21" si="29">CONCATENATE(AD20,AD19,AD18,AD17,AD16,AD15,AD14,AD13)</f>
        <v>11100111</v>
      </c>
      <c r="AE21" t="str">
        <f t="shared" si="29"/>
        <v>11100111</v>
      </c>
      <c r="AF21" t="str">
        <f t="shared" si="29"/>
        <v>11100111</v>
      </c>
      <c r="AG21" t="str">
        <f t="shared" si="29"/>
        <v>11100111</v>
      </c>
      <c r="AH21" t="str">
        <f t="shared" si="29"/>
        <v>11100111</v>
      </c>
      <c r="AI21" t="str">
        <f t="shared" si="29"/>
        <v>11100111</v>
      </c>
      <c r="AJ21" t="str">
        <f t="shared" si="29"/>
        <v>11100111</v>
      </c>
      <c r="AK21" t="str">
        <f t="shared" si="29"/>
        <v>11100111</v>
      </c>
      <c r="AL21" t="str">
        <f t="shared" si="29"/>
        <v>11100111</v>
      </c>
      <c r="AM21" t="str">
        <f t="shared" si="29"/>
        <v>11100111</v>
      </c>
      <c r="AO21" t="str">
        <f t="shared" ref="AO21:AY21" si="30">CONCATENATE(AO20,AO19,AO18,AO17,AO16,AO15,AO14,AO13)</f>
        <v>00000000</v>
      </c>
      <c r="AP21" t="str">
        <f t="shared" si="30"/>
        <v>00000000</v>
      </c>
      <c r="AQ21" t="str">
        <f t="shared" si="30"/>
        <v>00000000</v>
      </c>
      <c r="AR21" t="str">
        <f t="shared" si="30"/>
        <v>00000000</v>
      </c>
      <c r="AS21" t="str">
        <f t="shared" si="30"/>
        <v>00000000</v>
      </c>
      <c r="AT21" t="str">
        <f t="shared" si="30"/>
        <v>00000000</v>
      </c>
      <c r="AU21" t="str">
        <f t="shared" si="30"/>
        <v>00000000</v>
      </c>
      <c r="AV21" t="str">
        <f t="shared" si="30"/>
        <v>00000000</v>
      </c>
      <c r="AW21" t="str">
        <f t="shared" si="30"/>
        <v>00000000</v>
      </c>
      <c r="AX21" t="str">
        <f t="shared" si="30"/>
        <v>00000000</v>
      </c>
      <c r="AY21" t="str">
        <f t="shared" si="30"/>
        <v>00000000</v>
      </c>
      <c r="BA21" t="str">
        <f t="shared" ref="BA21:BK21" si="31">CONCATENATE(BA20,BA19,BA18,BA17,BA16,BA15,BA14,BA13)</f>
        <v>00000000</v>
      </c>
      <c r="BB21" t="str">
        <f t="shared" si="31"/>
        <v>00000000</v>
      </c>
      <c r="BC21" t="str">
        <f t="shared" si="31"/>
        <v>00000000</v>
      </c>
      <c r="BD21" t="str">
        <f t="shared" si="31"/>
        <v>00000000</v>
      </c>
      <c r="BE21" t="str">
        <f t="shared" si="31"/>
        <v>00000000</v>
      </c>
      <c r="BF21" t="str">
        <f t="shared" si="31"/>
        <v>00000000</v>
      </c>
      <c r="BG21" t="str">
        <f t="shared" si="31"/>
        <v>00000000</v>
      </c>
      <c r="BH21" t="str">
        <f t="shared" si="31"/>
        <v>00000000</v>
      </c>
      <c r="BI21" t="str">
        <f t="shared" si="31"/>
        <v>00000000</v>
      </c>
      <c r="BJ21" t="str">
        <f t="shared" si="31"/>
        <v>00000000</v>
      </c>
      <c r="BK21" t="str">
        <f t="shared" si="31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32">CONCATENATE(BIN2HEX(E21,2))</f>
        <v>00</v>
      </c>
      <c r="F22" t="str">
        <f t="shared" si="32"/>
        <v>00</v>
      </c>
      <c r="G22" t="str">
        <f t="shared" si="32"/>
        <v>00</v>
      </c>
      <c r="H22" t="str">
        <f t="shared" si="32"/>
        <v>00</v>
      </c>
      <c r="I22" t="str">
        <f t="shared" si="32"/>
        <v>00</v>
      </c>
      <c r="J22" t="str">
        <f t="shared" si="32"/>
        <v>00</v>
      </c>
      <c r="K22" t="str">
        <f t="shared" si="32"/>
        <v>00</v>
      </c>
      <c r="L22" t="str">
        <f t="shared" si="32"/>
        <v>00</v>
      </c>
      <c r="M22" t="str">
        <f t="shared" si="32"/>
        <v>00</v>
      </c>
      <c r="N22" t="str">
        <f t="shared" si="32"/>
        <v>00</v>
      </c>
      <c r="O22" t="str">
        <f t="shared" si="32"/>
        <v>00</v>
      </c>
      <c r="Q22" t="str">
        <f t="shared" si="32"/>
        <v>BD</v>
      </c>
      <c r="R22" t="str">
        <f t="shared" si="32"/>
        <v>BD</v>
      </c>
      <c r="S22" t="str">
        <f t="shared" si="32"/>
        <v>BD</v>
      </c>
      <c r="T22" t="str">
        <f t="shared" si="32"/>
        <v>BD</v>
      </c>
      <c r="U22" t="str">
        <f t="shared" si="32"/>
        <v>BD</v>
      </c>
      <c r="V22" t="str">
        <f t="shared" si="32"/>
        <v>BD</v>
      </c>
      <c r="W22" t="str">
        <f t="shared" si="32"/>
        <v>BD</v>
      </c>
      <c r="X22" t="str">
        <f t="shared" si="32"/>
        <v>BD</v>
      </c>
      <c r="Y22" t="str">
        <f t="shared" si="32"/>
        <v>BD</v>
      </c>
      <c r="Z22" t="str">
        <f t="shared" si="32"/>
        <v>BD</v>
      </c>
      <c r="AA22" t="str">
        <f t="shared" si="32"/>
        <v>BD</v>
      </c>
      <c r="AC22" t="str">
        <f>CONCATENATE(BIN2HEX(AC21,2))</f>
        <v>E7</v>
      </c>
      <c r="AD22" t="str">
        <f t="shared" ref="AD22:AM22" si="33">CONCATENATE(BIN2HEX(AD21,2))</f>
        <v>E7</v>
      </c>
      <c r="AE22" t="str">
        <f t="shared" si="33"/>
        <v>E7</v>
      </c>
      <c r="AF22" t="str">
        <f t="shared" si="33"/>
        <v>E7</v>
      </c>
      <c r="AG22" t="str">
        <f t="shared" si="33"/>
        <v>E7</v>
      </c>
      <c r="AH22" t="str">
        <f t="shared" si="33"/>
        <v>E7</v>
      </c>
      <c r="AI22" t="str">
        <f t="shared" si="33"/>
        <v>E7</v>
      </c>
      <c r="AJ22" t="str">
        <f t="shared" si="33"/>
        <v>E7</v>
      </c>
      <c r="AK22" t="str">
        <f t="shared" si="33"/>
        <v>E7</v>
      </c>
      <c r="AL22" t="str">
        <f t="shared" si="33"/>
        <v>E7</v>
      </c>
      <c r="AM22" t="str">
        <f t="shared" si="33"/>
        <v>E7</v>
      </c>
      <c r="AO22" t="str">
        <f t="shared" ref="AO22:AY22" si="34">CONCATENATE(BIN2HEX(AO21,2))</f>
        <v>00</v>
      </c>
      <c r="AP22" t="str">
        <f t="shared" si="34"/>
        <v>00</v>
      </c>
      <c r="AQ22" t="str">
        <f t="shared" si="34"/>
        <v>00</v>
      </c>
      <c r="AR22" t="str">
        <f t="shared" si="34"/>
        <v>00</v>
      </c>
      <c r="AS22" t="str">
        <f t="shared" si="34"/>
        <v>00</v>
      </c>
      <c r="AT22" t="str">
        <f t="shared" si="34"/>
        <v>00</v>
      </c>
      <c r="AU22" t="str">
        <f t="shared" si="34"/>
        <v>00</v>
      </c>
      <c r="AV22" t="str">
        <f t="shared" si="34"/>
        <v>00</v>
      </c>
      <c r="AW22" t="str">
        <f t="shared" si="34"/>
        <v>00</v>
      </c>
      <c r="AX22" t="str">
        <f t="shared" si="34"/>
        <v>00</v>
      </c>
      <c r="AY22" t="str">
        <f t="shared" si="34"/>
        <v>00</v>
      </c>
      <c r="BA22" t="str">
        <f t="shared" ref="BA22:BK22" si="35">CONCATENATE(BIN2HEX(BA21,2))</f>
        <v>00</v>
      </c>
      <c r="BB22" t="str">
        <f t="shared" si="35"/>
        <v>00</v>
      </c>
      <c r="BC22" t="str">
        <f t="shared" si="35"/>
        <v>00</v>
      </c>
      <c r="BD22" t="str">
        <f t="shared" si="35"/>
        <v>00</v>
      </c>
      <c r="BE22" t="str">
        <f t="shared" si="35"/>
        <v>00</v>
      </c>
      <c r="BF22" t="str">
        <f t="shared" si="35"/>
        <v>00</v>
      </c>
      <c r="BG22" t="str">
        <f t="shared" si="35"/>
        <v>00</v>
      </c>
      <c r="BH22" t="str">
        <f t="shared" si="35"/>
        <v>00</v>
      </c>
      <c r="BI22" t="str">
        <f t="shared" si="35"/>
        <v>00</v>
      </c>
      <c r="BJ22" t="str">
        <f t="shared" si="35"/>
        <v>00</v>
      </c>
      <c r="BK22" t="str">
        <f t="shared" si="35"/>
        <v>00</v>
      </c>
    </row>
    <row r="23" spans="1:63" x14ac:dyDescent="0.25">
      <c r="A23" s="2"/>
      <c r="B23" s="2"/>
      <c r="D23" s="13" t="s">
        <v>215</v>
      </c>
      <c r="E23" t="str">
        <f t="shared" ref="E23:O23" si="36">CONCATENATE("0x",E22,E11)</f>
        <v>0x0000</v>
      </c>
      <c r="F23" t="str">
        <f t="shared" si="36"/>
        <v>0x0000</v>
      </c>
      <c r="G23" t="str">
        <f t="shared" si="36"/>
        <v>0x0000</v>
      </c>
      <c r="H23" t="str">
        <f t="shared" si="36"/>
        <v>0x0000</v>
      </c>
      <c r="I23" t="str">
        <f t="shared" si="36"/>
        <v>0x0000</v>
      </c>
      <c r="J23" t="str">
        <f t="shared" si="36"/>
        <v>0x0000</v>
      </c>
      <c r="K23" t="str">
        <f t="shared" si="36"/>
        <v>0x0000</v>
      </c>
      <c r="L23" t="str">
        <f t="shared" si="36"/>
        <v>0x0000</v>
      </c>
      <c r="M23" t="str">
        <f t="shared" si="36"/>
        <v>0x0000</v>
      </c>
      <c r="N23" t="str">
        <f t="shared" si="36"/>
        <v>0x0000</v>
      </c>
      <c r="O23" t="str">
        <f t="shared" si="36"/>
        <v>0x0000</v>
      </c>
      <c r="Q23" t="str">
        <f t="shared" ref="Q23:AA23" si="37">CONCATENATE("0x",Q22,Q11)</f>
        <v>0xBDBD</v>
      </c>
      <c r="R23" t="str">
        <f t="shared" si="37"/>
        <v>0xBDBD</v>
      </c>
      <c r="S23" t="str">
        <f t="shared" si="37"/>
        <v>0xBDBD</v>
      </c>
      <c r="T23" t="str">
        <f t="shared" si="37"/>
        <v>0xBDBD</v>
      </c>
      <c r="U23" t="str">
        <f t="shared" si="37"/>
        <v>0xBDBD</v>
      </c>
      <c r="V23" t="str">
        <f t="shared" si="37"/>
        <v>0xBDBD</v>
      </c>
      <c r="W23" t="str">
        <f t="shared" si="37"/>
        <v>0xBDBD</v>
      </c>
      <c r="X23" t="str">
        <f t="shared" si="37"/>
        <v>0xBDBD</v>
      </c>
      <c r="Y23" t="str">
        <f t="shared" si="37"/>
        <v>0xBDBD</v>
      </c>
      <c r="Z23" t="str">
        <f t="shared" si="37"/>
        <v>0xBDBD</v>
      </c>
      <c r="AA23" t="str">
        <f t="shared" si="37"/>
        <v>0xBDBD</v>
      </c>
      <c r="AC23" t="str">
        <f>CONCATENATE("0x",AC22,AC11)</f>
        <v>0xE7E7</v>
      </c>
      <c r="AD23" t="str">
        <f t="shared" ref="AD23:BK23" si="38">CONCATENATE("0x",AD22,AD11)</f>
        <v>0xE7E7</v>
      </c>
      <c r="AE23" t="str">
        <f t="shared" si="38"/>
        <v>0xE7E7</v>
      </c>
      <c r="AF23" t="str">
        <f t="shared" si="38"/>
        <v>0xE7E7</v>
      </c>
      <c r="AG23" t="str">
        <f t="shared" si="38"/>
        <v>0xE7E7</v>
      </c>
      <c r="AH23" t="str">
        <f t="shared" si="38"/>
        <v>0xE7E7</v>
      </c>
      <c r="AI23" t="str">
        <f t="shared" si="38"/>
        <v>0xE7E7</v>
      </c>
      <c r="AJ23" t="str">
        <f t="shared" si="38"/>
        <v>0xE7E7</v>
      </c>
      <c r="AK23" t="str">
        <f t="shared" si="38"/>
        <v>0xE7E7</v>
      </c>
      <c r="AL23" t="str">
        <f t="shared" si="38"/>
        <v>0xE7E7</v>
      </c>
      <c r="AM23" t="str">
        <f t="shared" si="38"/>
        <v>0xE7E7</v>
      </c>
      <c r="AO23" t="str">
        <f t="shared" si="38"/>
        <v>0x0000</v>
      </c>
      <c r="AP23" t="str">
        <f t="shared" si="38"/>
        <v>0x0000</v>
      </c>
      <c r="AQ23" t="str">
        <f t="shared" si="38"/>
        <v>0x0000</v>
      </c>
      <c r="AR23" t="str">
        <f t="shared" si="38"/>
        <v>0x0000</v>
      </c>
      <c r="AS23" t="str">
        <f t="shared" si="38"/>
        <v>0x0000</v>
      </c>
      <c r="AT23" t="str">
        <f t="shared" si="38"/>
        <v>0x0000</v>
      </c>
      <c r="AU23" t="str">
        <f t="shared" si="38"/>
        <v>0x0000</v>
      </c>
      <c r="AV23" t="str">
        <f t="shared" si="38"/>
        <v>0x0000</v>
      </c>
      <c r="AW23" t="str">
        <f t="shared" si="38"/>
        <v>0x0000</v>
      </c>
      <c r="AX23" t="str">
        <f t="shared" si="38"/>
        <v>0x0000</v>
      </c>
      <c r="AY23" t="str">
        <f t="shared" si="38"/>
        <v>0x0000</v>
      </c>
      <c r="BA23" t="str">
        <f t="shared" si="38"/>
        <v>0x0000</v>
      </c>
      <c r="BB23" t="str">
        <f t="shared" si="38"/>
        <v>0x0000</v>
      </c>
      <c r="BC23" t="str">
        <f t="shared" si="38"/>
        <v>0x0000</v>
      </c>
      <c r="BD23" t="str">
        <f t="shared" si="38"/>
        <v>0x0000</v>
      </c>
      <c r="BE23" t="str">
        <f t="shared" si="38"/>
        <v>0x0000</v>
      </c>
      <c r="BF23" t="str">
        <f t="shared" si="38"/>
        <v>0x0000</v>
      </c>
      <c r="BG23" t="str">
        <f t="shared" si="38"/>
        <v>0x0000</v>
      </c>
      <c r="BH23" t="str">
        <f t="shared" si="38"/>
        <v>0x0000</v>
      </c>
      <c r="BI23" t="str">
        <f t="shared" si="38"/>
        <v>0x0000</v>
      </c>
      <c r="BJ23" t="str">
        <f t="shared" si="38"/>
        <v>0x0000</v>
      </c>
      <c r="BK23" t="str">
        <f t="shared" si="38"/>
        <v>0x0000</v>
      </c>
    </row>
    <row r="24" spans="1:63" x14ac:dyDescent="0.25">
      <c r="A24" s="2"/>
      <c r="B24" s="2"/>
      <c r="D24" s="13" t="s">
        <v>216</v>
      </c>
      <c r="E24" t="str">
        <f>Q23</f>
        <v>0xBDBD</v>
      </c>
      <c r="F24" t="str">
        <f>R23</f>
        <v>0xBDBD</v>
      </c>
      <c r="G24" t="str">
        <f t="shared" ref="G24:O24" si="39">S23</f>
        <v>0xBDBD</v>
      </c>
      <c r="H24" t="str">
        <f t="shared" si="39"/>
        <v>0xBDBD</v>
      </c>
      <c r="I24" t="str">
        <f t="shared" si="39"/>
        <v>0xBDBD</v>
      </c>
      <c r="J24" t="str">
        <f t="shared" si="39"/>
        <v>0xBDBD</v>
      </c>
      <c r="K24" t="str">
        <f t="shared" si="39"/>
        <v>0xBDBD</v>
      </c>
      <c r="L24" t="str">
        <f t="shared" si="39"/>
        <v>0xBDBD</v>
      </c>
      <c r="M24" t="str">
        <f t="shared" si="39"/>
        <v>0xBDBD</v>
      </c>
      <c r="N24" t="str">
        <f t="shared" si="39"/>
        <v>0xBDBD</v>
      </c>
      <c r="O24" t="str">
        <f t="shared" si="39"/>
        <v>0xBDBD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0xE7E7</v>
      </c>
      <c r="F25" t="str">
        <f t="shared" ref="F25:O25" si="40">AD23</f>
        <v>0xE7E7</v>
      </c>
      <c r="G25" t="str">
        <f t="shared" si="40"/>
        <v>0xE7E7</v>
      </c>
      <c r="H25" t="str">
        <f t="shared" si="40"/>
        <v>0xE7E7</v>
      </c>
      <c r="I25" t="str">
        <f t="shared" si="40"/>
        <v>0xE7E7</v>
      </c>
      <c r="J25" t="str">
        <f t="shared" si="40"/>
        <v>0xE7E7</v>
      </c>
      <c r="K25" t="str">
        <f t="shared" si="40"/>
        <v>0xE7E7</v>
      </c>
      <c r="L25" t="str">
        <f t="shared" si="40"/>
        <v>0xE7E7</v>
      </c>
      <c r="M25" t="str">
        <f t="shared" si="40"/>
        <v>0xE7E7</v>
      </c>
      <c r="N25" t="str">
        <f t="shared" si="40"/>
        <v>0xE7E7</v>
      </c>
      <c r="O25" t="str">
        <f t="shared" si="40"/>
        <v>0xE7E7</v>
      </c>
    </row>
    <row r="26" spans="1:63" x14ac:dyDescent="0.25">
      <c r="A26" s="2" t="s">
        <v>42</v>
      </c>
      <c r="B26" s="11" t="s">
        <v>36</v>
      </c>
      <c r="C26" s="10" t="s">
        <v>95</v>
      </c>
      <c r="D26" s="13" t="s">
        <v>209</v>
      </c>
      <c r="E26" t="str">
        <f>AO23</f>
        <v>0x0000</v>
      </c>
      <c r="F26" t="str">
        <f t="shared" ref="F26:O26" si="41">AP23</f>
        <v>0x0000</v>
      </c>
      <c r="G26" t="str">
        <f t="shared" si="41"/>
        <v>0x0000</v>
      </c>
      <c r="H26" t="str">
        <f t="shared" si="41"/>
        <v>0x0000</v>
      </c>
      <c r="I26" t="str">
        <f t="shared" si="41"/>
        <v>0x0000</v>
      </c>
      <c r="J26" t="str">
        <f t="shared" si="41"/>
        <v>0x0000</v>
      </c>
      <c r="K26" t="str">
        <f t="shared" si="41"/>
        <v>0x0000</v>
      </c>
      <c r="L26" t="str">
        <f t="shared" si="41"/>
        <v>0x0000</v>
      </c>
      <c r="M26" t="str">
        <f t="shared" si="41"/>
        <v>0x0000</v>
      </c>
      <c r="N26" t="str">
        <f t="shared" si="41"/>
        <v>0x0000</v>
      </c>
      <c r="O26" t="str">
        <f t="shared" si="41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2">BB23</f>
        <v>0x0000</v>
      </c>
      <c r="G27" t="str">
        <f t="shared" si="42"/>
        <v>0x0000</v>
      </c>
      <c r="H27" t="str">
        <f t="shared" si="42"/>
        <v>0x0000</v>
      </c>
      <c r="I27" t="str">
        <f t="shared" si="42"/>
        <v>0x0000</v>
      </c>
      <c r="J27" t="str">
        <f t="shared" si="42"/>
        <v>0x0000</v>
      </c>
      <c r="K27" t="str">
        <f t="shared" si="42"/>
        <v>0x0000</v>
      </c>
      <c r="L27" t="str">
        <f t="shared" si="42"/>
        <v>0x0000</v>
      </c>
      <c r="M27" t="str">
        <f t="shared" si="42"/>
        <v>0x0000</v>
      </c>
      <c r="N27" t="str">
        <f t="shared" si="42"/>
        <v>0x0000</v>
      </c>
      <c r="O27" t="str">
        <f t="shared" si="42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224</v>
      </c>
    </row>
    <row r="31" spans="1:63" x14ac:dyDescent="0.25">
      <c r="A31" s="4" t="str">
        <f ca="1">CONCATENATE("#",C$26,":",INDIRECT(H33))</f>
        <v>#I2C_Expander_SFP:wartość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0x26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0xBDBD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#I2C_Expander_SFP:etap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0x26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0xBDBD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0x0000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3">INDIRECT(H57)</f>
        <v>0xE7E7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4">INDIRECT(G58)</f>
        <v>#pins_int</v>
      </c>
      <c r="B58" s="4" t="str">
        <f t="shared" ca="1" si="43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4"/>
        <v>#pins_def_val</v>
      </c>
      <c r="B59" s="4" t="str">
        <f t="shared" ca="1" si="43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#I2C_Expander_SFP:etap 2 - SFP tx enable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0x26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0xBDBD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0x0000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5">INDIRECT(H77)</f>
        <v>0xE7E7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6">INDIRECT(G78)</f>
        <v>#pins_int</v>
      </c>
      <c r="B78" s="4" t="str">
        <f t="shared" ca="1" si="45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6"/>
        <v>#pins_def_val</v>
      </c>
      <c r="B79" s="4" t="str">
        <f t="shared" ca="1" si="45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#I2C_Expander_SFP:etap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0x26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0xBDBD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0x0000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7">INDIRECT(H97)</f>
        <v>0xE7E7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8">INDIRECT(G98)</f>
        <v>#pins_int</v>
      </c>
      <c r="B98" s="4" t="str">
        <f t="shared" ca="1" si="47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8"/>
        <v>#pins_def_val</v>
      </c>
      <c r="B99" s="4" t="str">
        <f t="shared" ca="1" si="47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#I2C_Expander_SFP:etap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0x26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0xBDBD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0x0000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9">INDIRECT(H117)</f>
        <v>0xE7E7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50">INDIRECT(G118)</f>
        <v>#pins_int</v>
      </c>
      <c r="B118" s="4" t="str">
        <f t="shared" ca="1" si="49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50"/>
        <v>#pins_def_val</v>
      </c>
      <c r="B119" s="4" t="str">
        <f t="shared" ca="1" si="49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#I2C_Expander_SFP:etap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0x26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0xBDBD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0x0000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51">INDIRECT(H137)</f>
        <v>0xE7E7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2">INDIRECT(G138)</f>
        <v>#pins_int</v>
      </c>
      <c r="B138" s="4" t="str">
        <f t="shared" ca="1" si="51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2"/>
        <v>#pins_def_val</v>
      </c>
      <c r="B139" s="4" t="str">
        <f t="shared" ca="1" si="51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#I2C_Expander_SFP:etap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0x26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0xBDBD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0x0000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3">INDIRECT(H157)</f>
        <v>0xE7E7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4">INDIRECT(G158)</f>
        <v>#pins_int</v>
      </c>
      <c r="B158" s="4" t="str">
        <f t="shared" ca="1" si="53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4"/>
        <v>#pins_def_val</v>
      </c>
      <c r="B159" s="4" t="str">
        <f t="shared" ca="1" si="53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#I2C_Expander_SFP:etap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0x26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0xBDBD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0x0000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5">INDIRECT(H177)</f>
        <v>0xE7E7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6">INDIRECT(G178)</f>
        <v>#pins_int</v>
      </c>
      <c r="B178" s="4" t="str">
        <f t="shared" ca="1" si="55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6"/>
        <v>#pins_def_val</v>
      </c>
      <c r="B179" s="4" t="str">
        <f t="shared" ca="1" si="55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#I2C_Expander_SFP:etap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0x26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0xBDBD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0x0000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7">INDIRECT(H197)</f>
        <v>0xE7E7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8">INDIRECT(G198)</f>
        <v>#pins_int</v>
      </c>
      <c r="B198" s="4" t="str">
        <f t="shared" ca="1" si="57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8"/>
        <v>#pins_def_val</v>
      </c>
      <c r="B199" s="4" t="str">
        <f t="shared" ca="1" si="57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#I2C_Expander_SFP:etap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0x26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0xBDBD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0x0000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9">INDIRECT(H217)</f>
        <v>0xE7E7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60">INDIRECT(G218)</f>
        <v>#pins_int</v>
      </c>
      <c r="B218" s="4" t="str">
        <f t="shared" ca="1" si="59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60"/>
        <v>#pins_def_val</v>
      </c>
      <c r="B219" s="4" t="str">
        <f t="shared" ca="1" si="59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#I2C_Expander_SFP:etap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0x26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0xBDBD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0x0000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61">INDIRECT(H237)</f>
        <v>0xE7E7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2">INDIRECT(G238)</f>
        <v>#pins_int</v>
      </c>
      <c r="B238" s="4" t="str">
        <f t="shared" ca="1" si="61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2"/>
        <v>#pins_def_val</v>
      </c>
      <c r="B239" s="4" t="str">
        <f t="shared" ca="1" si="61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17" x14ac:dyDescent="0.25">
      <c r="A241" s="4" t="str">
        <f ca="1">A218</f>
        <v>#pins_int</v>
      </c>
      <c r="B241" s="4">
        <f>B$28</f>
        <v>10</v>
      </c>
    </row>
    <row r="242" spans="1:17" x14ac:dyDescent="0.25">
      <c r="A242" s="4"/>
      <c r="B242" s="4"/>
    </row>
    <row r="243" spans="1:17" x14ac:dyDescent="0.25">
      <c r="A243" s="4"/>
      <c r="B243" s="4"/>
    </row>
    <row r="244" spans="1:17" x14ac:dyDescent="0.25">
      <c r="A244" s="4"/>
      <c r="B244" s="4"/>
    </row>
    <row r="245" spans="1:17" x14ac:dyDescent="0.25">
      <c r="A245" s="4"/>
      <c r="B245" s="4"/>
    </row>
    <row r="247" spans="1:17" x14ac:dyDescent="0.25">
      <c r="Q247" t="s">
        <v>321</v>
      </c>
    </row>
  </sheetData>
  <conditionalFormatting sqref="B1:B20">
    <cfRule type="uniqueValues" dxfId="8" priority="1" stopIfTrue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A31" sqref="A31:H37"/>
    </sheetView>
  </sheetViews>
  <sheetFormatPr defaultRowHeight="15" x14ac:dyDescent="0.25"/>
  <cols>
    <col min="1" max="1" width="18.5703125" customWidth="1"/>
    <col min="3" max="3" width="33.85546875" bestFit="1" customWidth="1"/>
    <col min="4" max="4" width="57.28515625" bestFit="1" customWidth="1"/>
    <col min="16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C2" s="10" t="s">
        <v>118</v>
      </c>
      <c r="E2" s="10">
        <v>0</v>
      </c>
      <c r="F2" s="10">
        <f t="shared" ref="F2" si="0">E2</f>
        <v>0</v>
      </c>
      <c r="G2" s="10">
        <f t="shared" ref="G2" si="1">F2</f>
        <v>0</v>
      </c>
      <c r="H2" s="10">
        <f t="shared" ref="H2" si="2">G2</f>
        <v>0</v>
      </c>
      <c r="I2" s="10">
        <f t="shared" ref="I2:O2" si="3">H2</f>
        <v>0</v>
      </c>
      <c r="J2" s="10">
        <f t="shared" si="3"/>
        <v>0</v>
      </c>
      <c r="K2" s="10">
        <f t="shared" si="3"/>
        <v>0</v>
      </c>
      <c r="L2" s="10">
        <f t="shared" si="3"/>
        <v>0</v>
      </c>
      <c r="M2" s="10">
        <f t="shared" si="3"/>
        <v>0</v>
      </c>
      <c r="N2" s="10">
        <f t="shared" si="3"/>
        <v>0</v>
      </c>
      <c r="O2" s="10">
        <f t="shared" si="3"/>
        <v>0</v>
      </c>
      <c r="Q2" s="10">
        <v>1</v>
      </c>
      <c r="R2" s="10">
        <f>Q2</f>
        <v>1</v>
      </c>
      <c r="S2" s="10">
        <f t="shared" ref="S2:AA2" si="4">R2</f>
        <v>1</v>
      </c>
      <c r="T2" s="10">
        <f t="shared" si="4"/>
        <v>1</v>
      </c>
      <c r="U2" s="10">
        <f t="shared" si="4"/>
        <v>1</v>
      </c>
      <c r="V2" s="10">
        <f t="shared" si="4"/>
        <v>1</v>
      </c>
      <c r="W2" s="10">
        <f t="shared" si="4"/>
        <v>1</v>
      </c>
      <c r="X2" s="10">
        <f t="shared" si="4"/>
        <v>1</v>
      </c>
      <c r="Y2" s="10">
        <f t="shared" si="4"/>
        <v>1</v>
      </c>
      <c r="Z2" s="10">
        <f t="shared" si="4"/>
        <v>1</v>
      </c>
      <c r="AA2" s="10">
        <f t="shared" si="4"/>
        <v>1</v>
      </c>
      <c r="AC2" s="10">
        <v>0</v>
      </c>
      <c r="AD2" s="10">
        <f>AC2</f>
        <v>0</v>
      </c>
      <c r="AE2" s="10">
        <f t="shared" ref="AE2:AM2" si="5">AD2</f>
        <v>0</v>
      </c>
      <c r="AF2" s="10">
        <f t="shared" si="5"/>
        <v>0</v>
      </c>
      <c r="AG2" s="10">
        <f t="shared" si="5"/>
        <v>0</v>
      </c>
      <c r="AH2" s="10">
        <f t="shared" si="5"/>
        <v>0</v>
      </c>
      <c r="AI2" s="10">
        <f t="shared" si="5"/>
        <v>0</v>
      </c>
      <c r="AJ2" s="10">
        <f t="shared" si="5"/>
        <v>0</v>
      </c>
      <c r="AK2" s="10">
        <f t="shared" si="5"/>
        <v>0</v>
      </c>
      <c r="AL2" s="10">
        <f t="shared" si="5"/>
        <v>0</v>
      </c>
      <c r="AM2" s="10">
        <f t="shared" si="5"/>
        <v>0</v>
      </c>
      <c r="AO2" s="10">
        <v>0</v>
      </c>
      <c r="AP2" s="10">
        <f>AO2</f>
        <v>0</v>
      </c>
      <c r="AQ2" s="10">
        <f t="shared" ref="AQ2:AY2" si="6">AP2</f>
        <v>0</v>
      </c>
      <c r="AR2" s="10">
        <f t="shared" si="6"/>
        <v>0</v>
      </c>
      <c r="AS2" s="10">
        <f t="shared" si="6"/>
        <v>0</v>
      </c>
      <c r="AT2" s="10">
        <f t="shared" si="6"/>
        <v>0</v>
      </c>
      <c r="AU2" s="10">
        <f t="shared" si="6"/>
        <v>0</v>
      </c>
      <c r="AV2" s="10">
        <f t="shared" si="6"/>
        <v>0</v>
      </c>
      <c r="AW2" s="10">
        <f t="shared" si="6"/>
        <v>0</v>
      </c>
      <c r="AX2" s="10">
        <f t="shared" si="6"/>
        <v>0</v>
      </c>
      <c r="AY2" s="10">
        <f t="shared" si="6"/>
        <v>0</v>
      </c>
      <c r="BA2" s="10">
        <v>0</v>
      </c>
      <c r="BB2" s="10">
        <f>BA2</f>
        <v>0</v>
      </c>
      <c r="BC2" s="10">
        <f t="shared" ref="BC2:BK2" si="7">BB2</f>
        <v>0</v>
      </c>
      <c r="BD2" s="10">
        <f t="shared" si="7"/>
        <v>0</v>
      </c>
      <c r="BE2" s="10">
        <f t="shared" si="7"/>
        <v>0</v>
      </c>
      <c r="BF2" s="10">
        <f t="shared" si="7"/>
        <v>0</v>
      </c>
      <c r="BG2" s="10">
        <f t="shared" si="7"/>
        <v>0</v>
      </c>
      <c r="BH2" s="10">
        <f t="shared" si="7"/>
        <v>0</v>
      </c>
      <c r="BI2" s="10">
        <f t="shared" si="7"/>
        <v>0</v>
      </c>
      <c r="BJ2" s="10">
        <f t="shared" si="7"/>
        <v>0</v>
      </c>
      <c r="BK2" s="10">
        <f t="shared" si="7"/>
        <v>0</v>
      </c>
    </row>
    <row r="3" spans="1:63" s="10" customFormat="1" x14ac:dyDescent="0.25">
      <c r="A3" s="11"/>
      <c r="C3" s="10" t="s">
        <v>118</v>
      </c>
      <c r="E3" s="10">
        <v>0</v>
      </c>
      <c r="F3" s="10">
        <f t="shared" ref="F3:F9" si="8">E3</f>
        <v>0</v>
      </c>
      <c r="G3" s="10">
        <f t="shared" ref="G3:G9" si="9">F3</f>
        <v>0</v>
      </c>
      <c r="H3" s="10">
        <f t="shared" ref="H3:H9" si="10">G3</f>
        <v>0</v>
      </c>
      <c r="I3" s="10">
        <f t="shared" ref="I3:I9" si="11">H3</f>
        <v>0</v>
      </c>
      <c r="J3" s="10">
        <f t="shared" ref="J3:J9" si="12">I3</f>
        <v>0</v>
      </c>
      <c r="K3" s="10">
        <f t="shared" ref="K3:K9" si="13">J3</f>
        <v>0</v>
      </c>
      <c r="L3" s="10">
        <f t="shared" ref="L3:L9" si="14">K3</f>
        <v>0</v>
      </c>
      <c r="M3" s="10">
        <f t="shared" ref="M3:M9" si="15">L3</f>
        <v>0</v>
      </c>
      <c r="N3" s="10">
        <f t="shared" ref="N3:N9" si="16">M3</f>
        <v>0</v>
      </c>
      <c r="O3" s="10">
        <f t="shared" ref="O3:O9" si="17">N3</f>
        <v>0</v>
      </c>
      <c r="Q3" s="10">
        <v>1</v>
      </c>
      <c r="R3" s="10">
        <f t="shared" ref="R3:AA9" si="18">Q3</f>
        <v>1</v>
      </c>
      <c r="S3" s="10">
        <f t="shared" si="18"/>
        <v>1</v>
      </c>
      <c r="T3" s="10">
        <f t="shared" si="18"/>
        <v>1</v>
      </c>
      <c r="U3" s="10">
        <f t="shared" si="18"/>
        <v>1</v>
      </c>
      <c r="V3" s="10">
        <f t="shared" si="18"/>
        <v>1</v>
      </c>
      <c r="W3" s="10">
        <f t="shared" si="18"/>
        <v>1</v>
      </c>
      <c r="X3" s="10">
        <f t="shared" si="18"/>
        <v>1</v>
      </c>
      <c r="Y3" s="10">
        <f t="shared" si="18"/>
        <v>1</v>
      </c>
      <c r="Z3" s="10">
        <f t="shared" si="18"/>
        <v>1</v>
      </c>
      <c r="AA3" s="10">
        <f t="shared" si="18"/>
        <v>1</v>
      </c>
      <c r="AC3" s="10">
        <v>0</v>
      </c>
      <c r="AD3" s="10">
        <f t="shared" ref="AD3:AM9" si="19">AC3</f>
        <v>0</v>
      </c>
      <c r="AE3" s="10">
        <f t="shared" si="19"/>
        <v>0</v>
      </c>
      <c r="AF3" s="10">
        <f t="shared" si="19"/>
        <v>0</v>
      </c>
      <c r="AG3" s="10">
        <f t="shared" si="19"/>
        <v>0</v>
      </c>
      <c r="AH3" s="10">
        <f t="shared" si="19"/>
        <v>0</v>
      </c>
      <c r="AI3" s="10">
        <f t="shared" si="19"/>
        <v>0</v>
      </c>
      <c r="AJ3" s="10">
        <f t="shared" si="19"/>
        <v>0</v>
      </c>
      <c r="AK3" s="10">
        <f t="shared" si="19"/>
        <v>0</v>
      </c>
      <c r="AL3" s="10">
        <f t="shared" si="19"/>
        <v>0</v>
      </c>
      <c r="AM3" s="10">
        <f t="shared" si="19"/>
        <v>0</v>
      </c>
      <c r="AO3" s="10">
        <v>0</v>
      </c>
      <c r="AP3" s="10">
        <f t="shared" ref="AP3:AY9" si="20">AO3</f>
        <v>0</v>
      </c>
      <c r="AQ3" s="10">
        <f t="shared" si="20"/>
        <v>0</v>
      </c>
      <c r="AR3" s="10">
        <f t="shared" si="20"/>
        <v>0</v>
      </c>
      <c r="AS3" s="10">
        <f t="shared" si="20"/>
        <v>0</v>
      </c>
      <c r="AT3" s="10">
        <f t="shared" si="20"/>
        <v>0</v>
      </c>
      <c r="AU3" s="10">
        <f t="shared" si="20"/>
        <v>0</v>
      </c>
      <c r="AV3" s="10">
        <f t="shared" si="20"/>
        <v>0</v>
      </c>
      <c r="AW3" s="10">
        <f t="shared" si="20"/>
        <v>0</v>
      </c>
      <c r="AX3" s="10">
        <f t="shared" si="20"/>
        <v>0</v>
      </c>
      <c r="AY3" s="10">
        <f t="shared" si="20"/>
        <v>0</v>
      </c>
      <c r="BA3" s="10">
        <v>0</v>
      </c>
      <c r="BB3" s="10">
        <f t="shared" ref="BB3:BK9" si="21">BA3</f>
        <v>0</v>
      </c>
      <c r="BC3" s="10">
        <f t="shared" si="21"/>
        <v>0</v>
      </c>
      <c r="BD3" s="10">
        <f t="shared" si="21"/>
        <v>0</v>
      </c>
      <c r="BE3" s="10">
        <f t="shared" si="21"/>
        <v>0</v>
      </c>
      <c r="BF3" s="10">
        <f t="shared" si="21"/>
        <v>0</v>
      </c>
      <c r="BG3" s="10">
        <f t="shared" si="21"/>
        <v>0</v>
      </c>
      <c r="BH3" s="10">
        <f t="shared" si="21"/>
        <v>0</v>
      </c>
      <c r="BI3" s="10">
        <f t="shared" si="21"/>
        <v>0</v>
      </c>
      <c r="BJ3" s="10">
        <f t="shared" si="21"/>
        <v>0</v>
      </c>
      <c r="BK3" s="10">
        <f t="shared" si="21"/>
        <v>0</v>
      </c>
    </row>
    <row r="4" spans="1:63" s="10" customFormat="1" x14ac:dyDescent="0.25">
      <c r="A4" s="11"/>
      <c r="C4" s="10" t="s">
        <v>173</v>
      </c>
      <c r="D4" s="10" t="s">
        <v>163</v>
      </c>
      <c r="E4" s="10">
        <v>0</v>
      </c>
      <c r="F4" s="10">
        <f t="shared" si="8"/>
        <v>0</v>
      </c>
      <c r="G4" s="10">
        <v>1</v>
      </c>
      <c r="H4" s="10">
        <f t="shared" si="10"/>
        <v>1</v>
      </c>
      <c r="I4" s="10">
        <f t="shared" si="11"/>
        <v>1</v>
      </c>
      <c r="J4" s="10">
        <f t="shared" si="12"/>
        <v>1</v>
      </c>
      <c r="K4" s="10">
        <f t="shared" si="13"/>
        <v>1</v>
      </c>
      <c r="L4" s="10">
        <f t="shared" si="14"/>
        <v>1</v>
      </c>
      <c r="M4" s="10">
        <f t="shared" si="15"/>
        <v>1</v>
      </c>
      <c r="N4" s="10">
        <f t="shared" si="16"/>
        <v>1</v>
      </c>
      <c r="O4" s="10">
        <f t="shared" si="17"/>
        <v>1</v>
      </c>
      <c r="Q4" s="10">
        <v>0</v>
      </c>
      <c r="R4" s="10">
        <f t="shared" si="18"/>
        <v>0</v>
      </c>
      <c r="S4" s="10">
        <f t="shared" si="18"/>
        <v>0</v>
      </c>
      <c r="T4" s="10">
        <f t="shared" si="18"/>
        <v>0</v>
      </c>
      <c r="U4" s="10">
        <f t="shared" si="18"/>
        <v>0</v>
      </c>
      <c r="V4" s="10">
        <f t="shared" si="18"/>
        <v>0</v>
      </c>
      <c r="W4" s="10">
        <f t="shared" si="18"/>
        <v>0</v>
      </c>
      <c r="X4" s="10">
        <f t="shared" si="18"/>
        <v>0</v>
      </c>
      <c r="Y4" s="10">
        <f t="shared" si="18"/>
        <v>0</v>
      </c>
      <c r="Z4" s="10">
        <f t="shared" si="18"/>
        <v>0</v>
      </c>
      <c r="AA4" s="10">
        <f t="shared" si="18"/>
        <v>0</v>
      </c>
      <c r="AC4" s="10">
        <v>0</v>
      </c>
      <c r="AD4" s="10">
        <f t="shared" si="19"/>
        <v>0</v>
      </c>
      <c r="AE4" s="10">
        <f t="shared" si="19"/>
        <v>0</v>
      </c>
      <c r="AF4" s="10">
        <f t="shared" si="19"/>
        <v>0</v>
      </c>
      <c r="AG4" s="10">
        <f t="shared" si="19"/>
        <v>0</v>
      </c>
      <c r="AH4" s="10">
        <f t="shared" si="19"/>
        <v>0</v>
      </c>
      <c r="AI4" s="10">
        <f t="shared" si="19"/>
        <v>0</v>
      </c>
      <c r="AJ4" s="10">
        <f t="shared" si="19"/>
        <v>0</v>
      </c>
      <c r="AK4" s="10">
        <f t="shared" si="19"/>
        <v>0</v>
      </c>
      <c r="AL4" s="10">
        <f t="shared" si="19"/>
        <v>0</v>
      </c>
      <c r="AM4" s="10">
        <f t="shared" si="19"/>
        <v>0</v>
      </c>
      <c r="AO4" s="10">
        <v>0</v>
      </c>
      <c r="AP4" s="10">
        <f t="shared" si="20"/>
        <v>0</v>
      </c>
      <c r="AQ4" s="10">
        <f t="shared" si="20"/>
        <v>0</v>
      </c>
      <c r="AR4" s="10">
        <f t="shared" si="20"/>
        <v>0</v>
      </c>
      <c r="AS4" s="10">
        <f t="shared" si="20"/>
        <v>0</v>
      </c>
      <c r="AT4" s="10">
        <f t="shared" si="20"/>
        <v>0</v>
      </c>
      <c r="AU4" s="10">
        <f t="shared" si="20"/>
        <v>0</v>
      </c>
      <c r="AV4" s="10">
        <f t="shared" si="20"/>
        <v>0</v>
      </c>
      <c r="AW4" s="10">
        <f t="shared" si="20"/>
        <v>0</v>
      </c>
      <c r="AX4" s="10">
        <f t="shared" si="20"/>
        <v>0</v>
      </c>
      <c r="AY4" s="10">
        <f t="shared" si="20"/>
        <v>0</v>
      </c>
      <c r="BA4" s="10">
        <v>0</v>
      </c>
      <c r="BB4" s="10">
        <f t="shared" si="21"/>
        <v>0</v>
      </c>
      <c r="BC4" s="10">
        <f t="shared" si="21"/>
        <v>0</v>
      </c>
      <c r="BD4" s="10">
        <f t="shared" si="21"/>
        <v>0</v>
      </c>
      <c r="BE4" s="10">
        <f t="shared" si="21"/>
        <v>0</v>
      </c>
      <c r="BF4" s="10">
        <f t="shared" si="21"/>
        <v>0</v>
      </c>
      <c r="BG4" s="10">
        <f t="shared" si="21"/>
        <v>0</v>
      </c>
      <c r="BH4" s="10">
        <f t="shared" si="21"/>
        <v>0</v>
      </c>
      <c r="BI4" s="10">
        <f t="shared" si="21"/>
        <v>0</v>
      </c>
      <c r="BJ4" s="10">
        <f t="shared" si="21"/>
        <v>0</v>
      </c>
      <c r="BK4" s="10">
        <f t="shared" si="21"/>
        <v>0</v>
      </c>
    </row>
    <row r="5" spans="1:63" s="10" customFormat="1" x14ac:dyDescent="0.25">
      <c r="A5" s="11"/>
      <c r="C5" s="10" t="s">
        <v>118</v>
      </c>
      <c r="E5" s="10">
        <v>0</v>
      </c>
      <c r="F5" s="10">
        <f t="shared" si="8"/>
        <v>0</v>
      </c>
      <c r="G5" s="10">
        <f t="shared" si="9"/>
        <v>0</v>
      </c>
      <c r="H5" s="10">
        <f t="shared" si="10"/>
        <v>0</v>
      </c>
      <c r="I5" s="10">
        <f t="shared" si="11"/>
        <v>0</v>
      </c>
      <c r="J5" s="10">
        <f t="shared" si="12"/>
        <v>0</v>
      </c>
      <c r="K5" s="10">
        <f t="shared" si="13"/>
        <v>0</v>
      </c>
      <c r="L5" s="10">
        <f t="shared" si="14"/>
        <v>0</v>
      </c>
      <c r="M5" s="10">
        <f t="shared" si="15"/>
        <v>0</v>
      </c>
      <c r="N5" s="10">
        <f t="shared" si="16"/>
        <v>0</v>
      </c>
      <c r="O5" s="10">
        <f t="shared" si="17"/>
        <v>0</v>
      </c>
      <c r="Q5" s="10">
        <v>1</v>
      </c>
      <c r="R5" s="10">
        <f t="shared" si="18"/>
        <v>1</v>
      </c>
      <c r="S5" s="10">
        <f t="shared" si="18"/>
        <v>1</v>
      </c>
      <c r="T5" s="10">
        <f t="shared" si="18"/>
        <v>1</v>
      </c>
      <c r="U5" s="10">
        <f t="shared" si="18"/>
        <v>1</v>
      </c>
      <c r="V5" s="10">
        <f t="shared" si="18"/>
        <v>1</v>
      </c>
      <c r="W5" s="10">
        <f t="shared" si="18"/>
        <v>1</v>
      </c>
      <c r="X5" s="10">
        <f t="shared" si="18"/>
        <v>1</v>
      </c>
      <c r="Y5" s="10">
        <f t="shared" si="18"/>
        <v>1</v>
      </c>
      <c r="Z5" s="10">
        <f t="shared" si="18"/>
        <v>1</v>
      </c>
      <c r="AA5" s="10">
        <f t="shared" si="18"/>
        <v>1</v>
      </c>
      <c r="AC5" s="10">
        <v>0</v>
      </c>
      <c r="AD5" s="10">
        <f t="shared" si="19"/>
        <v>0</v>
      </c>
      <c r="AE5" s="10">
        <f t="shared" si="19"/>
        <v>0</v>
      </c>
      <c r="AF5" s="10">
        <f t="shared" si="19"/>
        <v>0</v>
      </c>
      <c r="AG5" s="10">
        <f t="shared" si="19"/>
        <v>0</v>
      </c>
      <c r="AH5" s="10">
        <f t="shared" si="19"/>
        <v>0</v>
      </c>
      <c r="AI5" s="10">
        <f t="shared" si="19"/>
        <v>0</v>
      </c>
      <c r="AJ5" s="10">
        <f t="shared" si="19"/>
        <v>0</v>
      </c>
      <c r="AK5" s="10">
        <f t="shared" si="19"/>
        <v>0</v>
      </c>
      <c r="AL5" s="10">
        <f t="shared" si="19"/>
        <v>0</v>
      </c>
      <c r="AM5" s="10">
        <f t="shared" si="19"/>
        <v>0</v>
      </c>
      <c r="AO5" s="10">
        <v>0</v>
      </c>
      <c r="AP5" s="10">
        <f t="shared" si="20"/>
        <v>0</v>
      </c>
      <c r="AQ5" s="10">
        <f t="shared" si="20"/>
        <v>0</v>
      </c>
      <c r="AR5" s="10">
        <f t="shared" si="20"/>
        <v>0</v>
      </c>
      <c r="AS5" s="10">
        <f t="shared" si="20"/>
        <v>0</v>
      </c>
      <c r="AT5" s="10">
        <f t="shared" si="20"/>
        <v>0</v>
      </c>
      <c r="AU5" s="10">
        <f t="shared" si="20"/>
        <v>0</v>
      </c>
      <c r="AV5" s="10">
        <f t="shared" si="20"/>
        <v>0</v>
      </c>
      <c r="AW5" s="10">
        <f t="shared" si="20"/>
        <v>0</v>
      </c>
      <c r="AX5" s="10">
        <f t="shared" si="20"/>
        <v>0</v>
      </c>
      <c r="AY5" s="10">
        <f t="shared" si="20"/>
        <v>0</v>
      </c>
      <c r="BA5" s="10">
        <v>0</v>
      </c>
      <c r="BB5" s="10">
        <f t="shared" si="21"/>
        <v>0</v>
      </c>
      <c r="BC5" s="10">
        <f t="shared" si="21"/>
        <v>0</v>
      </c>
      <c r="BD5" s="10">
        <f t="shared" si="21"/>
        <v>0</v>
      </c>
      <c r="BE5" s="10">
        <f t="shared" si="21"/>
        <v>0</v>
      </c>
      <c r="BF5" s="10">
        <f t="shared" si="21"/>
        <v>0</v>
      </c>
      <c r="BG5" s="10">
        <f t="shared" si="21"/>
        <v>0</v>
      </c>
      <c r="BH5" s="10">
        <f t="shared" si="21"/>
        <v>0</v>
      </c>
      <c r="BI5" s="10">
        <f t="shared" si="21"/>
        <v>0</v>
      </c>
      <c r="BJ5" s="10">
        <f t="shared" si="21"/>
        <v>0</v>
      </c>
      <c r="BK5" s="10">
        <f t="shared" si="21"/>
        <v>0</v>
      </c>
    </row>
    <row r="6" spans="1:63" s="10" customFormat="1" x14ac:dyDescent="0.25">
      <c r="A6" s="11"/>
      <c r="C6" s="10" t="s">
        <v>118</v>
      </c>
      <c r="E6" s="10">
        <v>0</v>
      </c>
      <c r="F6" s="10">
        <f t="shared" si="8"/>
        <v>0</v>
      </c>
      <c r="G6" s="10">
        <f t="shared" si="9"/>
        <v>0</v>
      </c>
      <c r="H6" s="10">
        <f t="shared" si="10"/>
        <v>0</v>
      </c>
      <c r="I6" s="10">
        <f t="shared" si="11"/>
        <v>0</v>
      </c>
      <c r="J6" s="10">
        <f t="shared" si="12"/>
        <v>0</v>
      </c>
      <c r="K6" s="10">
        <f t="shared" si="13"/>
        <v>0</v>
      </c>
      <c r="L6" s="10">
        <f t="shared" si="14"/>
        <v>0</v>
      </c>
      <c r="M6" s="10">
        <f t="shared" si="15"/>
        <v>0</v>
      </c>
      <c r="N6" s="10">
        <f t="shared" si="16"/>
        <v>0</v>
      </c>
      <c r="O6" s="10">
        <f t="shared" si="17"/>
        <v>0</v>
      </c>
      <c r="Q6" s="10">
        <v>1</v>
      </c>
      <c r="R6" s="10">
        <f t="shared" si="18"/>
        <v>1</v>
      </c>
      <c r="S6" s="10">
        <f t="shared" si="18"/>
        <v>1</v>
      </c>
      <c r="T6" s="10">
        <f t="shared" si="18"/>
        <v>1</v>
      </c>
      <c r="U6" s="10">
        <f t="shared" si="18"/>
        <v>1</v>
      </c>
      <c r="V6" s="10">
        <f t="shared" si="18"/>
        <v>1</v>
      </c>
      <c r="W6" s="10">
        <f t="shared" si="18"/>
        <v>1</v>
      </c>
      <c r="X6" s="10">
        <f t="shared" si="18"/>
        <v>1</v>
      </c>
      <c r="Y6" s="10">
        <f t="shared" si="18"/>
        <v>1</v>
      </c>
      <c r="Z6" s="10">
        <f t="shared" si="18"/>
        <v>1</v>
      </c>
      <c r="AA6" s="10">
        <f t="shared" si="18"/>
        <v>1</v>
      </c>
      <c r="AC6" s="10">
        <v>0</v>
      </c>
      <c r="AD6" s="10">
        <f t="shared" si="19"/>
        <v>0</v>
      </c>
      <c r="AE6" s="10">
        <f t="shared" si="19"/>
        <v>0</v>
      </c>
      <c r="AF6" s="10">
        <f t="shared" si="19"/>
        <v>0</v>
      </c>
      <c r="AG6" s="10">
        <f t="shared" si="19"/>
        <v>0</v>
      </c>
      <c r="AH6" s="10">
        <f t="shared" si="19"/>
        <v>0</v>
      </c>
      <c r="AI6" s="10">
        <f t="shared" si="19"/>
        <v>0</v>
      </c>
      <c r="AJ6" s="10">
        <f t="shared" si="19"/>
        <v>0</v>
      </c>
      <c r="AK6" s="10">
        <f t="shared" si="19"/>
        <v>0</v>
      </c>
      <c r="AL6" s="10">
        <f t="shared" si="19"/>
        <v>0</v>
      </c>
      <c r="AM6" s="10">
        <f t="shared" si="19"/>
        <v>0</v>
      </c>
      <c r="AO6" s="10">
        <v>0</v>
      </c>
      <c r="AP6" s="10">
        <f t="shared" si="20"/>
        <v>0</v>
      </c>
      <c r="AQ6" s="10">
        <f t="shared" si="20"/>
        <v>0</v>
      </c>
      <c r="AR6" s="10">
        <f t="shared" si="20"/>
        <v>0</v>
      </c>
      <c r="AS6" s="10">
        <f t="shared" si="20"/>
        <v>0</v>
      </c>
      <c r="AT6" s="10">
        <f t="shared" si="20"/>
        <v>0</v>
      </c>
      <c r="AU6" s="10">
        <f t="shared" si="20"/>
        <v>0</v>
      </c>
      <c r="AV6" s="10">
        <f t="shared" si="20"/>
        <v>0</v>
      </c>
      <c r="AW6" s="10">
        <f t="shared" si="20"/>
        <v>0</v>
      </c>
      <c r="AX6" s="10">
        <f t="shared" si="20"/>
        <v>0</v>
      </c>
      <c r="AY6" s="10">
        <f t="shared" si="20"/>
        <v>0</v>
      </c>
      <c r="BA6" s="10">
        <v>0</v>
      </c>
      <c r="BB6" s="10">
        <f t="shared" si="21"/>
        <v>0</v>
      </c>
      <c r="BC6" s="10">
        <f t="shared" si="21"/>
        <v>0</v>
      </c>
      <c r="BD6" s="10">
        <f t="shared" si="21"/>
        <v>0</v>
      </c>
      <c r="BE6" s="10">
        <f t="shared" si="21"/>
        <v>0</v>
      </c>
      <c r="BF6" s="10">
        <f t="shared" si="21"/>
        <v>0</v>
      </c>
      <c r="BG6" s="10">
        <f t="shared" si="21"/>
        <v>0</v>
      </c>
      <c r="BH6" s="10">
        <f t="shared" si="21"/>
        <v>0</v>
      </c>
      <c r="BI6" s="10">
        <f t="shared" si="21"/>
        <v>0</v>
      </c>
      <c r="BJ6" s="10">
        <f t="shared" si="21"/>
        <v>0</v>
      </c>
      <c r="BK6" s="10">
        <f t="shared" si="21"/>
        <v>0</v>
      </c>
    </row>
    <row r="7" spans="1:63" s="10" customFormat="1" x14ac:dyDescent="0.25">
      <c r="A7" s="11"/>
      <c r="C7" s="10" t="s">
        <v>157</v>
      </c>
      <c r="D7" s="10" t="s">
        <v>164</v>
      </c>
      <c r="E7" s="10">
        <v>0</v>
      </c>
      <c r="F7" s="10">
        <f t="shared" si="8"/>
        <v>0</v>
      </c>
      <c r="G7" s="10">
        <f t="shared" si="9"/>
        <v>0</v>
      </c>
      <c r="H7" s="10">
        <f t="shared" si="10"/>
        <v>0</v>
      </c>
      <c r="I7" s="10">
        <f t="shared" si="11"/>
        <v>0</v>
      </c>
      <c r="J7" s="10">
        <f t="shared" si="12"/>
        <v>0</v>
      </c>
      <c r="K7" s="10">
        <f t="shared" si="13"/>
        <v>0</v>
      </c>
      <c r="L7" s="10">
        <f t="shared" si="14"/>
        <v>0</v>
      </c>
      <c r="M7" s="10">
        <f t="shared" si="15"/>
        <v>0</v>
      </c>
      <c r="N7" s="10">
        <f t="shared" si="16"/>
        <v>0</v>
      </c>
      <c r="O7" s="10">
        <f t="shared" si="17"/>
        <v>0</v>
      </c>
      <c r="Q7" s="10">
        <v>1</v>
      </c>
      <c r="R7" s="10">
        <f t="shared" si="18"/>
        <v>1</v>
      </c>
      <c r="S7" s="10">
        <f t="shared" si="18"/>
        <v>1</v>
      </c>
      <c r="T7" s="10">
        <f t="shared" si="18"/>
        <v>1</v>
      </c>
      <c r="U7" s="10">
        <f t="shared" si="18"/>
        <v>1</v>
      </c>
      <c r="V7" s="10">
        <f t="shared" si="18"/>
        <v>1</v>
      </c>
      <c r="W7" s="10">
        <f t="shared" si="18"/>
        <v>1</v>
      </c>
      <c r="X7" s="10">
        <f t="shared" si="18"/>
        <v>1</v>
      </c>
      <c r="Y7" s="10">
        <f t="shared" si="18"/>
        <v>1</v>
      </c>
      <c r="Z7" s="10">
        <f t="shared" si="18"/>
        <v>1</v>
      </c>
      <c r="AA7" s="10">
        <f t="shared" si="18"/>
        <v>1</v>
      </c>
      <c r="AC7" s="10">
        <v>1</v>
      </c>
      <c r="AD7" s="10">
        <f t="shared" si="19"/>
        <v>1</v>
      </c>
      <c r="AE7" s="10">
        <f t="shared" si="19"/>
        <v>1</v>
      </c>
      <c r="AF7" s="10">
        <f t="shared" si="19"/>
        <v>1</v>
      </c>
      <c r="AG7" s="10">
        <f t="shared" si="19"/>
        <v>1</v>
      </c>
      <c r="AH7" s="10">
        <f t="shared" si="19"/>
        <v>1</v>
      </c>
      <c r="AI7" s="10">
        <f t="shared" si="19"/>
        <v>1</v>
      </c>
      <c r="AJ7" s="10">
        <f t="shared" si="19"/>
        <v>1</v>
      </c>
      <c r="AK7" s="10">
        <f t="shared" si="19"/>
        <v>1</v>
      </c>
      <c r="AL7" s="10">
        <f t="shared" si="19"/>
        <v>1</v>
      </c>
      <c r="AM7" s="10">
        <f t="shared" si="19"/>
        <v>1</v>
      </c>
      <c r="AO7" s="10">
        <v>0</v>
      </c>
      <c r="AP7" s="10">
        <f t="shared" si="20"/>
        <v>0</v>
      </c>
      <c r="AQ7" s="10">
        <f t="shared" si="20"/>
        <v>0</v>
      </c>
      <c r="AR7" s="10">
        <f t="shared" si="20"/>
        <v>0</v>
      </c>
      <c r="AS7" s="10">
        <f t="shared" si="20"/>
        <v>0</v>
      </c>
      <c r="AT7" s="10">
        <f t="shared" si="20"/>
        <v>0</v>
      </c>
      <c r="AU7" s="10">
        <f t="shared" si="20"/>
        <v>0</v>
      </c>
      <c r="AV7" s="10">
        <f t="shared" si="20"/>
        <v>0</v>
      </c>
      <c r="AW7" s="10">
        <f t="shared" si="20"/>
        <v>0</v>
      </c>
      <c r="AX7" s="10">
        <f t="shared" si="20"/>
        <v>0</v>
      </c>
      <c r="AY7" s="10">
        <f t="shared" si="20"/>
        <v>0</v>
      </c>
      <c r="BA7" s="10">
        <v>0</v>
      </c>
      <c r="BB7" s="10">
        <f t="shared" si="21"/>
        <v>0</v>
      </c>
      <c r="BC7" s="10">
        <f t="shared" si="21"/>
        <v>0</v>
      </c>
      <c r="BD7" s="10">
        <f t="shared" si="21"/>
        <v>0</v>
      </c>
      <c r="BE7" s="10">
        <f t="shared" si="21"/>
        <v>0</v>
      </c>
      <c r="BF7" s="10">
        <f t="shared" si="21"/>
        <v>0</v>
      </c>
      <c r="BG7" s="10">
        <f t="shared" si="21"/>
        <v>0</v>
      </c>
      <c r="BH7" s="10">
        <f t="shared" si="21"/>
        <v>0</v>
      </c>
      <c r="BI7" s="10">
        <f t="shared" si="21"/>
        <v>0</v>
      </c>
      <c r="BJ7" s="10">
        <f t="shared" si="21"/>
        <v>0</v>
      </c>
      <c r="BK7" s="10">
        <f t="shared" si="21"/>
        <v>0</v>
      </c>
    </row>
    <row r="8" spans="1:63" s="10" customFormat="1" x14ac:dyDescent="0.25">
      <c r="A8" s="11"/>
      <c r="C8" s="10" t="s">
        <v>158</v>
      </c>
      <c r="D8" s="10" t="s">
        <v>164</v>
      </c>
      <c r="E8" s="10">
        <v>0</v>
      </c>
      <c r="F8" s="10">
        <f t="shared" si="8"/>
        <v>0</v>
      </c>
      <c r="G8" s="10">
        <f t="shared" si="9"/>
        <v>0</v>
      </c>
      <c r="H8" s="10">
        <f t="shared" si="10"/>
        <v>0</v>
      </c>
      <c r="I8" s="10">
        <f t="shared" si="11"/>
        <v>0</v>
      </c>
      <c r="J8" s="10">
        <f t="shared" si="12"/>
        <v>0</v>
      </c>
      <c r="K8" s="10">
        <f t="shared" si="13"/>
        <v>0</v>
      </c>
      <c r="L8" s="10">
        <f t="shared" si="14"/>
        <v>0</v>
      </c>
      <c r="M8" s="10">
        <f t="shared" si="15"/>
        <v>0</v>
      </c>
      <c r="N8" s="10">
        <f t="shared" si="16"/>
        <v>0</v>
      </c>
      <c r="O8" s="10">
        <f t="shared" si="17"/>
        <v>0</v>
      </c>
      <c r="Q8" s="10">
        <v>1</v>
      </c>
      <c r="R8" s="10">
        <f t="shared" si="18"/>
        <v>1</v>
      </c>
      <c r="S8" s="10">
        <f t="shared" si="18"/>
        <v>1</v>
      </c>
      <c r="T8" s="10">
        <f t="shared" si="18"/>
        <v>1</v>
      </c>
      <c r="U8" s="10">
        <f t="shared" si="18"/>
        <v>1</v>
      </c>
      <c r="V8" s="10">
        <f t="shared" si="18"/>
        <v>1</v>
      </c>
      <c r="W8" s="10">
        <f t="shared" si="18"/>
        <v>1</v>
      </c>
      <c r="X8" s="10">
        <f t="shared" si="18"/>
        <v>1</v>
      </c>
      <c r="Y8" s="10">
        <f t="shared" si="18"/>
        <v>1</v>
      </c>
      <c r="Z8" s="10">
        <f t="shared" si="18"/>
        <v>1</v>
      </c>
      <c r="AA8" s="10">
        <f t="shared" si="18"/>
        <v>1</v>
      </c>
      <c r="AC8" s="10">
        <v>1</v>
      </c>
      <c r="AD8" s="10">
        <f t="shared" si="19"/>
        <v>1</v>
      </c>
      <c r="AE8" s="10">
        <f t="shared" si="19"/>
        <v>1</v>
      </c>
      <c r="AF8" s="10">
        <f t="shared" si="19"/>
        <v>1</v>
      </c>
      <c r="AG8" s="10">
        <f t="shared" si="19"/>
        <v>1</v>
      </c>
      <c r="AH8" s="10">
        <f t="shared" si="19"/>
        <v>1</v>
      </c>
      <c r="AI8" s="10">
        <f t="shared" si="19"/>
        <v>1</v>
      </c>
      <c r="AJ8" s="10">
        <f t="shared" si="19"/>
        <v>1</v>
      </c>
      <c r="AK8" s="10">
        <f t="shared" si="19"/>
        <v>1</v>
      </c>
      <c r="AL8" s="10">
        <f t="shared" si="19"/>
        <v>1</v>
      </c>
      <c r="AM8" s="10">
        <f t="shared" si="19"/>
        <v>1</v>
      </c>
      <c r="AO8" s="10">
        <v>0</v>
      </c>
      <c r="AP8" s="10">
        <f t="shared" si="20"/>
        <v>0</v>
      </c>
      <c r="AQ8" s="10">
        <f t="shared" si="20"/>
        <v>0</v>
      </c>
      <c r="AR8" s="10">
        <f t="shared" si="20"/>
        <v>0</v>
      </c>
      <c r="AS8" s="10">
        <f t="shared" si="20"/>
        <v>0</v>
      </c>
      <c r="AT8" s="10">
        <f t="shared" si="20"/>
        <v>0</v>
      </c>
      <c r="AU8" s="10">
        <f t="shared" si="20"/>
        <v>0</v>
      </c>
      <c r="AV8" s="10">
        <f t="shared" si="20"/>
        <v>0</v>
      </c>
      <c r="AW8" s="10">
        <f t="shared" si="20"/>
        <v>0</v>
      </c>
      <c r="AX8" s="10">
        <f t="shared" si="20"/>
        <v>0</v>
      </c>
      <c r="AY8" s="10">
        <f t="shared" si="20"/>
        <v>0</v>
      </c>
      <c r="BA8" s="10">
        <v>0</v>
      </c>
      <c r="BB8" s="10">
        <f t="shared" si="21"/>
        <v>0</v>
      </c>
      <c r="BC8" s="10">
        <f t="shared" si="21"/>
        <v>0</v>
      </c>
      <c r="BD8" s="10">
        <f t="shared" si="21"/>
        <v>0</v>
      </c>
      <c r="BE8" s="10">
        <f t="shared" si="21"/>
        <v>0</v>
      </c>
      <c r="BF8" s="10">
        <f t="shared" si="21"/>
        <v>0</v>
      </c>
      <c r="BG8" s="10">
        <f t="shared" si="21"/>
        <v>0</v>
      </c>
      <c r="BH8" s="10">
        <f t="shared" si="21"/>
        <v>0</v>
      </c>
      <c r="BI8" s="10">
        <f t="shared" si="21"/>
        <v>0</v>
      </c>
      <c r="BJ8" s="10">
        <f t="shared" si="21"/>
        <v>0</v>
      </c>
      <c r="BK8" s="10">
        <f t="shared" si="21"/>
        <v>0</v>
      </c>
    </row>
    <row r="9" spans="1:63" s="10" customFormat="1" x14ac:dyDescent="0.25">
      <c r="A9" s="11"/>
      <c r="C9" s="10" t="s">
        <v>118</v>
      </c>
      <c r="E9" s="10">
        <v>0</v>
      </c>
      <c r="F9" s="10">
        <f t="shared" si="8"/>
        <v>0</v>
      </c>
      <c r="G9" s="10">
        <f t="shared" si="9"/>
        <v>0</v>
      </c>
      <c r="H9" s="10">
        <f t="shared" si="10"/>
        <v>0</v>
      </c>
      <c r="I9" s="10">
        <f t="shared" si="11"/>
        <v>0</v>
      </c>
      <c r="J9" s="10">
        <f t="shared" si="12"/>
        <v>0</v>
      </c>
      <c r="K9" s="10">
        <f t="shared" si="13"/>
        <v>0</v>
      </c>
      <c r="L9" s="10">
        <f t="shared" si="14"/>
        <v>0</v>
      </c>
      <c r="M9" s="10">
        <f t="shared" si="15"/>
        <v>0</v>
      </c>
      <c r="N9" s="10">
        <f t="shared" si="16"/>
        <v>0</v>
      </c>
      <c r="O9" s="10">
        <f t="shared" si="17"/>
        <v>0</v>
      </c>
      <c r="Q9" s="10">
        <v>1</v>
      </c>
      <c r="R9" s="10">
        <f t="shared" si="18"/>
        <v>1</v>
      </c>
      <c r="S9" s="10">
        <f t="shared" si="18"/>
        <v>1</v>
      </c>
      <c r="T9" s="10">
        <f t="shared" si="18"/>
        <v>1</v>
      </c>
      <c r="U9" s="10">
        <f t="shared" si="18"/>
        <v>1</v>
      </c>
      <c r="V9" s="10">
        <f t="shared" si="18"/>
        <v>1</v>
      </c>
      <c r="W9" s="10">
        <f t="shared" si="18"/>
        <v>1</v>
      </c>
      <c r="X9" s="10">
        <f t="shared" si="18"/>
        <v>1</v>
      </c>
      <c r="Y9" s="10">
        <f t="shared" si="18"/>
        <v>1</v>
      </c>
      <c r="Z9" s="10">
        <f t="shared" si="18"/>
        <v>1</v>
      </c>
      <c r="AA9" s="10">
        <f t="shared" si="18"/>
        <v>1</v>
      </c>
      <c r="AC9" s="10">
        <v>0</v>
      </c>
      <c r="AD9" s="10">
        <f t="shared" si="19"/>
        <v>0</v>
      </c>
      <c r="AE9" s="10">
        <f t="shared" si="19"/>
        <v>0</v>
      </c>
      <c r="AF9" s="10">
        <f t="shared" si="19"/>
        <v>0</v>
      </c>
      <c r="AG9" s="10">
        <f t="shared" si="19"/>
        <v>0</v>
      </c>
      <c r="AH9" s="10">
        <f t="shared" si="19"/>
        <v>0</v>
      </c>
      <c r="AI9" s="10">
        <f t="shared" si="19"/>
        <v>0</v>
      </c>
      <c r="AJ9" s="10">
        <f t="shared" si="19"/>
        <v>0</v>
      </c>
      <c r="AK9" s="10">
        <f t="shared" si="19"/>
        <v>0</v>
      </c>
      <c r="AL9" s="10">
        <f t="shared" si="19"/>
        <v>0</v>
      </c>
      <c r="AM9" s="10">
        <f t="shared" si="19"/>
        <v>0</v>
      </c>
      <c r="AO9" s="10">
        <v>0</v>
      </c>
      <c r="AP9" s="10">
        <f t="shared" si="20"/>
        <v>0</v>
      </c>
      <c r="AQ9" s="10">
        <f t="shared" si="20"/>
        <v>0</v>
      </c>
      <c r="AR9" s="10">
        <f t="shared" si="20"/>
        <v>0</v>
      </c>
      <c r="AS9" s="10">
        <f t="shared" si="20"/>
        <v>0</v>
      </c>
      <c r="AT9" s="10">
        <f t="shared" si="20"/>
        <v>0</v>
      </c>
      <c r="AU9" s="10">
        <f t="shared" si="20"/>
        <v>0</v>
      </c>
      <c r="AV9" s="10">
        <f t="shared" si="20"/>
        <v>0</v>
      </c>
      <c r="AW9" s="10">
        <f t="shared" si="20"/>
        <v>0</v>
      </c>
      <c r="AX9" s="10">
        <f t="shared" si="20"/>
        <v>0</v>
      </c>
      <c r="AY9" s="10">
        <f t="shared" si="20"/>
        <v>0</v>
      </c>
      <c r="BA9" s="10">
        <v>0</v>
      </c>
      <c r="BB9" s="10">
        <f t="shared" si="21"/>
        <v>0</v>
      </c>
      <c r="BC9" s="10">
        <f t="shared" si="21"/>
        <v>0</v>
      </c>
      <c r="BD9" s="10">
        <f t="shared" si="21"/>
        <v>0</v>
      </c>
      <c r="BE9" s="10">
        <f t="shared" si="21"/>
        <v>0</v>
      </c>
      <c r="BF9" s="10">
        <f t="shared" si="21"/>
        <v>0</v>
      </c>
      <c r="BG9" s="10">
        <f t="shared" si="21"/>
        <v>0</v>
      </c>
      <c r="BH9" s="10">
        <f t="shared" si="21"/>
        <v>0</v>
      </c>
      <c r="BI9" s="10">
        <f t="shared" si="21"/>
        <v>0</v>
      </c>
      <c r="BJ9" s="10">
        <f t="shared" si="21"/>
        <v>0</v>
      </c>
      <c r="BK9" s="10">
        <f t="shared" si="21"/>
        <v>0</v>
      </c>
    </row>
    <row r="10" spans="1:63" x14ac:dyDescent="0.25">
      <c r="A10" s="2"/>
      <c r="E10" t="str">
        <f t="shared" ref="E10:G10" si="22">CONCATENATE(E9,E8,E7,E6,E5,E4,E3,E2)</f>
        <v>00000000</v>
      </c>
      <c r="F10" t="str">
        <f t="shared" si="22"/>
        <v>00000000</v>
      </c>
      <c r="G10" t="str">
        <f t="shared" si="22"/>
        <v>00000100</v>
      </c>
      <c r="H10" t="str">
        <f t="shared" ref="H10:N10" si="23">CONCATENATE(H9,H8,H7,H6,H5,H4,H3,H2)</f>
        <v>00000100</v>
      </c>
      <c r="I10" t="str">
        <f t="shared" si="23"/>
        <v>00000100</v>
      </c>
      <c r="J10" t="str">
        <f t="shared" si="23"/>
        <v>00000100</v>
      </c>
      <c r="K10" t="str">
        <f t="shared" si="23"/>
        <v>00000100</v>
      </c>
      <c r="L10" t="str">
        <f t="shared" si="23"/>
        <v>00000100</v>
      </c>
      <c r="M10" t="str">
        <f t="shared" si="23"/>
        <v>00000100</v>
      </c>
      <c r="N10" t="str">
        <f t="shared" si="23"/>
        <v>00000100</v>
      </c>
      <c r="O10" t="str">
        <f t="shared" ref="O10" si="24">CONCATENATE(O9,O8,O7,O6,O5,O4,O3,O2)</f>
        <v>00000100</v>
      </c>
      <c r="Q10" t="str">
        <f>CONCATENATE(Q9,Q8,Q7,Q6,Q5,Q4,Q3,Q2)</f>
        <v>11111011</v>
      </c>
      <c r="R10" t="str">
        <f t="shared" ref="R10:AA10" si="25">CONCATENATE(R9,R8,R7,R6,R5,R4,R3,R2)</f>
        <v>11111011</v>
      </c>
      <c r="S10" t="str">
        <f t="shared" si="25"/>
        <v>11111011</v>
      </c>
      <c r="T10" t="str">
        <f t="shared" si="25"/>
        <v>11111011</v>
      </c>
      <c r="U10" t="str">
        <f t="shared" si="25"/>
        <v>11111011</v>
      </c>
      <c r="V10" t="str">
        <f t="shared" si="25"/>
        <v>11111011</v>
      </c>
      <c r="W10" t="str">
        <f t="shared" si="25"/>
        <v>11111011</v>
      </c>
      <c r="X10" t="str">
        <f t="shared" si="25"/>
        <v>11111011</v>
      </c>
      <c r="Y10" t="str">
        <f t="shared" si="25"/>
        <v>11111011</v>
      </c>
      <c r="Z10" t="str">
        <f t="shared" si="25"/>
        <v>11111011</v>
      </c>
      <c r="AA10" t="str">
        <f t="shared" si="25"/>
        <v>11111011</v>
      </c>
      <c r="AC10" t="str">
        <f>CONCATENATE(AC9,AC8,AC7,AC6,AC5,AC4,AC3,AC2)</f>
        <v>01100000</v>
      </c>
      <c r="AD10" t="str">
        <f t="shared" ref="AD10:AM10" si="26">CONCATENATE(AD9,AD8,AD7,AD6,AD5,AD4,AD3,AD2)</f>
        <v>01100000</v>
      </c>
      <c r="AE10" t="str">
        <f t="shared" si="26"/>
        <v>01100000</v>
      </c>
      <c r="AF10" t="str">
        <f t="shared" si="26"/>
        <v>01100000</v>
      </c>
      <c r="AG10" t="str">
        <f t="shared" si="26"/>
        <v>01100000</v>
      </c>
      <c r="AH10" t="str">
        <f t="shared" si="26"/>
        <v>01100000</v>
      </c>
      <c r="AI10" t="str">
        <f t="shared" si="26"/>
        <v>01100000</v>
      </c>
      <c r="AJ10" t="str">
        <f t="shared" si="26"/>
        <v>01100000</v>
      </c>
      <c r="AK10" t="str">
        <f t="shared" si="26"/>
        <v>01100000</v>
      </c>
      <c r="AL10" t="str">
        <f t="shared" si="26"/>
        <v>01100000</v>
      </c>
      <c r="AM10" t="str">
        <f t="shared" si="26"/>
        <v>01100000</v>
      </c>
      <c r="AO10" t="str">
        <f t="shared" ref="AO10:AY10" si="27">CONCATENATE(AO9,AO8,AO7,AO6,AO5,AO4,AO3,AO2)</f>
        <v>00000000</v>
      </c>
      <c r="AP10" t="str">
        <f t="shared" si="27"/>
        <v>00000000</v>
      </c>
      <c r="AQ10" t="str">
        <f t="shared" si="27"/>
        <v>00000000</v>
      </c>
      <c r="AR10" t="str">
        <f t="shared" si="27"/>
        <v>00000000</v>
      </c>
      <c r="AS10" t="str">
        <f t="shared" si="27"/>
        <v>00000000</v>
      </c>
      <c r="AT10" t="str">
        <f t="shared" si="27"/>
        <v>00000000</v>
      </c>
      <c r="AU10" t="str">
        <f t="shared" si="27"/>
        <v>00000000</v>
      </c>
      <c r="AV10" t="str">
        <f t="shared" si="27"/>
        <v>00000000</v>
      </c>
      <c r="AW10" t="str">
        <f t="shared" si="27"/>
        <v>00000000</v>
      </c>
      <c r="AX10" t="str">
        <f t="shared" si="27"/>
        <v>00000000</v>
      </c>
      <c r="AY10" t="str">
        <f t="shared" si="27"/>
        <v>00000000</v>
      </c>
      <c r="BA10" t="str">
        <f t="shared" ref="BA10:BK10" si="28">CONCATENATE(BA9,BA8,BA7,BA6,BA5,BA4,BA3,BA2)</f>
        <v>00000000</v>
      </c>
      <c r="BB10" t="str">
        <f t="shared" si="28"/>
        <v>00000000</v>
      </c>
      <c r="BC10" t="str">
        <f t="shared" si="28"/>
        <v>00000000</v>
      </c>
      <c r="BD10" t="str">
        <f t="shared" si="28"/>
        <v>00000000</v>
      </c>
      <c r="BE10" t="str">
        <f t="shared" si="28"/>
        <v>00000000</v>
      </c>
      <c r="BF10" t="str">
        <f t="shared" si="28"/>
        <v>00000000</v>
      </c>
      <c r="BG10" t="str">
        <f t="shared" si="28"/>
        <v>00000000</v>
      </c>
      <c r="BH10" t="str">
        <f t="shared" si="28"/>
        <v>00000000</v>
      </c>
      <c r="BI10" t="str">
        <f t="shared" si="28"/>
        <v>00000000</v>
      </c>
      <c r="BJ10" t="str">
        <f t="shared" si="28"/>
        <v>00000000</v>
      </c>
      <c r="BK10" t="str">
        <f t="shared" si="28"/>
        <v>00000000</v>
      </c>
    </row>
    <row r="11" spans="1:63" x14ac:dyDescent="0.25">
      <c r="A11" s="2"/>
      <c r="E11" t="str">
        <f t="shared" ref="E11:G11" si="29">CONCATENATE(BIN2HEX(E10,2))</f>
        <v>00</v>
      </c>
      <c r="F11" t="str">
        <f t="shared" si="29"/>
        <v>00</v>
      </c>
      <c r="G11" t="str">
        <f t="shared" si="29"/>
        <v>04</v>
      </c>
      <c r="H11" t="str">
        <f t="shared" ref="H11:N11" si="30">CONCATENATE(BIN2HEX(H10,2))</f>
        <v>04</v>
      </c>
      <c r="I11" t="str">
        <f t="shared" si="30"/>
        <v>04</v>
      </c>
      <c r="J11" t="str">
        <f t="shared" si="30"/>
        <v>04</v>
      </c>
      <c r="K11" t="str">
        <f t="shared" si="30"/>
        <v>04</v>
      </c>
      <c r="L11" t="str">
        <f t="shared" si="30"/>
        <v>04</v>
      </c>
      <c r="M11" t="str">
        <f t="shared" si="30"/>
        <v>04</v>
      </c>
      <c r="N11" t="str">
        <f t="shared" si="30"/>
        <v>04</v>
      </c>
      <c r="O11" t="str">
        <f t="shared" ref="O11" si="31">CONCATENATE(BIN2HEX(O10,2))</f>
        <v>04</v>
      </c>
      <c r="Q11" t="str">
        <f>CONCATENATE(BIN2HEX(Q10,2))</f>
        <v>FB</v>
      </c>
      <c r="R11" t="str">
        <f t="shared" ref="R11:AA11" si="32">CONCATENATE(BIN2HEX(R10,2))</f>
        <v>FB</v>
      </c>
      <c r="S11" t="str">
        <f t="shared" si="32"/>
        <v>FB</v>
      </c>
      <c r="T11" t="str">
        <f t="shared" si="32"/>
        <v>FB</v>
      </c>
      <c r="U11" t="str">
        <f t="shared" si="32"/>
        <v>FB</v>
      </c>
      <c r="V11" t="str">
        <f t="shared" si="32"/>
        <v>FB</v>
      </c>
      <c r="W11" t="str">
        <f t="shared" si="32"/>
        <v>FB</v>
      </c>
      <c r="X11" t="str">
        <f t="shared" si="32"/>
        <v>FB</v>
      </c>
      <c r="Y11" t="str">
        <f t="shared" si="32"/>
        <v>FB</v>
      </c>
      <c r="Z11" t="str">
        <f t="shared" si="32"/>
        <v>FB</v>
      </c>
      <c r="AA11" t="str">
        <f t="shared" si="32"/>
        <v>FB</v>
      </c>
      <c r="AC11" t="str">
        <f>CONCATENATE(BIN2HEX(AC10,2))</f>
        <v>60</v>
      </c>
      <c r="AD11" t="str">
        <f t="shared" ref="AD11:AM11" si="33">CONCATENATE(BIN2HEX(AD10,2))</f>
        <v>60</v>
      </c>
      <c r="AE11" t="str">
        <f t="shared" si="33"/>
        <v>60</v>
      </c>
      <c r="AF11" t="str">
        <f t="shared" si="33"/>
        <v>60</v>
      </c>
      <c r="AG11" t="str">
        <f t="shared" si="33"/>
        <v>60</v>
      </c>
      <c r="AH11" t="str">
        <f t="shared" si="33"/>
        <v>60</v>
      </c>
      <c r="AI11" t="str">
        <f t="shared" si="33"/>
        <v>60</v>
      </c>
      <c r="AJ11" t="str">
        <f t="shared" si="33"/>
        <v>60</v>
      </c>
      <c r="AK11" t="str">
        <f t="shared" si="33"/>
        <v>60</v>
      </c>
      <c r="AL11" t="str">
        <f t="shared" si="33"/>
        <v>60</v>
      </c>
      <c r="AM11" t="str">
        <f t="shared" si="33"/>
        <v>60</v>
      </c>
      <c r="AO11" t="str">
        <f t="shared" ref="AO11:AY11" si="34">CONCATENATE(BIN2HEX(AO10,2))</f>
        <v>00</v>
      </c>
      <c r="AP11" t="str">
        <f t="shared" si="34"/>
        <v>00</v>
      </c>
      <c r="AQ11" t="str">
        <f t="shared" si="34"/>
        <v>00</v>
      </c>
      <c r="AR11" t="str">
        <f t="shared" si="34"/>
        <v>00</v>
      </c>
      <c r="AS11" t="str">
        <f t="shared" si="34"/>
        <v>00</v>
      </c>
      <c r="AT11" t="str">
        <f t="shared" si="34"/>
        <v>00</v>
      </c>
      <c r="AU11" t="str">
        <f t="shared" si="34"/>
        <v>00</v>
      </c>
      <c r="AV11" t="str">
        <f t="shared" si="34"/>
        <v>00</v>
      </c>
      <c r="AW11" t="str">
        <f t="shared" si="34"/>
        <v>00</v>
      </c>
      <c r="AX11" t="str">
        <f t="shared" si="34"/>
        <v>00</v>
      </c>
      <c r="AY11" t="str">
        <f t="shared" si="34"/>
        <v>00</v>
      </c>
      <c r="BA11" t="str">
        <f t="shared" ref="BA11:BK11" si="35">CONCATENATE(BIN2HEX(BA10,2))</f>
        <v>00</v>
      </c>
      <c r="BB11" t="str">
        <f t="shared" si="35"/>
        <v>00</v>
      </c>
      <c r="BC11" t="str">
        <f t="shared" si="35"/>
        <v>00</v>
      </c>
      <c r="BD11" t="str">
        <f t="shared" si="35"/>
        <v>00</v>
      </c>
      <c r="BE11" t="str">
        <f t="shared" si="35"/>
        <v>00</v>
      </c>
      <c r="BF11" t="str">
        <f t="shared" si="35"/>
        <v>00</v>
      </c>
      <c r="BG11" t="str">
        <f t="shared" si="35"/>
        <v>00</v>
      </c>
      <c r="BH11" t="str">
        <f t="shared" si="35"/>
        <v>00</v>
      </c>
      <c r="BI11" t="str">
        <f t="shared" si="35"/>
        <v>00</v>
      </c>
      <c r="BJ11" t="str">
        <f t="shared" si="35"/>
        <v>00</v>
      </c>
      <c r="BK11" t="str">
        <f t="shared" si="35"/>
        <v>00</v>
      </c>
    </row>
    <row r="12" spans="1:63" x14ac:dyDescent="0.25">
      <c r="A12" s="2"/>
    </row>
    <row r="13" spans="1:63" s="10" customFormat="1" x14ac:dyDescent="0.25">
      <c r="A13" s="11"/>
      <c r="C13" s="10" t="s">
        <v>118</v>
      </c>
      <c r="E13" s="10">
        <v>0</v>
      </c>
      <c r="F13" s="10">
        <f t="shared" ref="F13:F20" si="36">E13</f>
        <v>0</v>
      </c>
      <c r="G13" s="10">
        <f t="shared" ref="G13:G20" si="37">F13</f>
        <v>0</v>
      </c>
      <c r="H13" s="10">
        <f t="shared" ref="H13:H20" si="38">G13</f>
        <v>0</v>
      </c>
      <c r="I13" s="10">
        <f t="shared" ref="I13:I20" si="39">H13</f>
        <v>0</v>
      </c>
      <c r="J13" s="10">
        <f t="shared" ref="J13:J20" si="40">I13</f>
        <v>0</v>
      </c>
      <c r="K13" s="10">
        <f t="shared" ref="K13:K20" si="41">J13</f>
        <v>0</v>
      </c>
      <c r="L13" s="10">
        <f t="shared" ref="L13:L20" si="42">K13</f>
        <v>0</v>
      </c>
      <c r="M13" s="10">
        <f t="shared" ref="M13:M20" si="43">L13</f>
        <v>0</v>
      </c>
      <c r="N13" s="10">
        <f t="shared" ref="N13:N20" si="44">M13</f>
        <v>0</v>
      </c>
      <c r="O13" s="10">
        <f t="shared" ref="O13:O20" si="45">N13</f>
        <v>0</v>
      </c>
      <c r="Q13" s="10">
        <v>1</v>
      </c>
      <c r="R13" s="10">
        <f>Q13</f>
        <v>1</v>
      </c>
      <c r="S13" s="10">
        <f t="shared" ref="S13:AA13" si="46">R13</f>
        <v>1</v>
      </c>
      <c r="T13" s="10">
        <f t="shared" si="46"/>
        <v>1</v>
      </c>
      <c r="U13" s="10">
        <f t="shared" si="46"/>
        <v>1</v>
      </c>
      <c r="V13" s="10">
        <f t="shared" si="46"/>
        <v>1</v>
      </c>
      <c r="W13" s="10">
        <f t="shared" si="46"/>
        <v>1</v>
      </c>
      <c r="X13" s="10">
        <f t="shared" si="46"/>
        <v>1</v>
      </c>
      <c r="Y13" s="10">
        <f t="shared" si="46"/>
        <v>1</v>
      </c>
      <c r="Z13" s="10">
        <f t="shared" si="46"/>
        <v>1</v>
      </c>
      <c r="AA13" s="10">
        <f t="shared" si="46"/>
        <v>1</v>
      </c>
      <c r="AC13" s="10">
        <v>0</v>
      </c>
      <c r="AD13" s="10">
        <f>AC13</f>
        <v>0</v>
      </c>
      <c r="AE13" s="10">
        <f t="shared" ref="AE13:AM13" si="47">AD13</f>
        <v>0</v>
      </c>
      <c r="AF13" s="10">
        <f t="shared" si="47"/>
        <v>0</v>
      </c>
      <c r="AG13" s="10">
        <f t="shared" si="47"/>
        <v>0</v>
      </c>
      <c r="AH13" s="10">
        <f t="shared" si="47"/>
        <v>0</v>
      </c>
      <c r="AI13" s="10">
        <f t="shared" si="47"/>
        <v>0</v>
      </c>
      <c r="AJ13" s="10">
        <f t="shared" si="47"/>
        <v>0</v>
      </c>
      <c r="AK13" s="10">
        <f t="shared" si="47"/>
        <v>0</v>
      </c>
      <c r="AL13" s="10">
        <f t="shared" si="47"/>
        <v>0</v>
      </c>
      <c r="AM13" s="10">
        <f t="shared" si="47"/>
        <v>0</v>
      </c>
      <c r="AO13" s="10">
        <v>0</v>
      </c>
      <c r="AP13" s="10">
        <f>AO13</f>
        <v>0</v>
      </c>
      <c r="AQ13" s="10">
        <f t="shared" ref="AQ13:AY13" si="48">AP13</f>
        <v>0</v>
      </c>
      <c r="AR13" s="10">
        <f t="shared" si="48"/>
        <v>0</v>
      </c>
      <c r="AS13" s="10">
        <f t="shared" si="48"/>
        <v>0</v>
      </c>
      <c r="AT13" s="10">
        <f t="shared" si="48"/>
        <v>0</v>
      </c>
      <c r="AU13" s="10">
        <f t="shared" si="48"/>
        <v>0</v>
      </c>
      <c r="AV13" s="10">
        <f t="shared" si="48"/>
        <v>0</v>
      </c>
      <c r="AW13" s="10">
        <f t="shared" si="48"/>
        <v>0</v>
      </c>
      <c r="AX13" s="10">
        <f t="shared" si="48"/>
        <v>0</v>
      </c>
      <c r="AY13" s="10">
        <f t="shared" si="48"/>
        <v>0</v>
      </c>
      <c r="BA13" s="10">
        <v>0</v>
      </c>
      <c r="BB13" s="10">
        <f>BA13</f>
        <v>0</v>
      </c>
      <c r="BC13" s="10">
        <f t="shared" ref="BC13:BK13" si="49">BB13</f>
        <v>0</v>
      </c>
      <c r="BD13" s="10">
        <f t="shared" si="49"/>
        <v>0</v>
      </c>
      <c r="BE13" s="10">
        <f t="shared" si="49"/>
        <v>0</v>
      </c>
      <c r="BF13" s="10">
        <f t="shared" si="49"/>
        <v>0</v>
      </c>
      <c r="BG13" s="10">
        <f t="shared" si="49"/>
        <v>0</v>
      </c>
      <c r="BH13" s="10">
        <f t="shared" si="49"/>
        <v>0</v>
      </c>
      <c r="BI13" s="10">
        <f t="shared" si="49"/>
        <v>0</v>
      </c>
      <c r="BJ13" s="10">
        <f t="shared" si="49"/>
        <v>0</v>
      </c>
      <c r="BK13" s="10">
        <f t="shared" si="49"/>
        <v>0</v>
      </c>
    </row>
    <row r="14" spans="1:63" s="10" customFormat="1" x14ac:dyDescent="0.25">
      <c r="A14" s="11"/>
      <c r="C14" s="10" t="s">
        <v>118</v>
      </c>
      <c r="E14" s="10">
        <v>0</v>
      </c>
      <c r="F14" s="10">
        <f t="shared" si="36"/>
        <v>0</v>
      </c>
      <c r="G14" s="10">
        <f t="shared" si="37"/>
        <v>0</v>
      </c>
      <c r="H14" s="10">
        <f t="shared" si="38"/>
        <v>0</v>
      </c>
      <c r="I14" s="10">
        <f t="shared" si="39"/>
        <v>0</v>
      </c>
      <c r="J14" s="10">
        <f t="shared" si="40"/>
        <v>0</v>
      </c>
      <c r="K14" s="10">
        <f t="shared" si="41"/>
        <v>0</v>
      </c>
      <c r="L14" s="10">
        <f t="shared" si="42"/>
        <v>0</v>
      </c>
      <c r="M14" s="10">
        <f t="shared" si="43"/>
        <v>0</v>
      </c>
      <c r="N14" s="10">
        <f t="shared" si="44"/>
        <v>0</v>
      </c>
      <c r="O14" s="10">
        <f t="shared" si="45"/>
        <v>0</v>
      </c>
      <c r="Q14" s="10">
        <v>1</v>
      </c>
      <c r="R14" s="10">
        <f t="shared" ref="R14:AA20" si="50">Q14</f>
        <v>1</v>
      </c>
      <c r="S14" s="10">
        <f t="shared" si="50"/>
        <v>1</v>
      </c>
      <c r="T14" s="10">
        <f t="shared" si="50"/>
        <v>1</v>
      </c>
      <c r="U14" s="10">
        <f t="shared" si="50"/>
        <v>1</v>
      </c>
      <c r="V14" s="10">
        <f t="shared" si="50"/>
        <v>1</v>
      </c>
      <c r="W14" s="10">
        <f t="shared" si="50"/>
        <v>1</v>
      </c>
      <c r="X14" s="10">
        <f t="shared" si="50"/>
        <v>1</v>
      </c>
      <c r="Y14" s="10">
        <f t="shared" si="50"/>
        <v>1</v>
      </c>
      <c r="Z14" s="10">
        <f t="shared" si="50"/>
        <v>1</v>
      </c>
      <c r="AA14" s="10">
        <f t="shared" si="50"/>
        <v>1</v>
      </c>
      <c r="AC14" s="10">
        <v>0</v>
      </c>
      <c r="AD14" s="10">
        <f t="shared" ref="AD14:AM20" si="51">AC14</f>
        <v>0</v>
      </c>
      <c r="AE14" s="10">
        <f t="shared" si="51"/>
        <v>0</v>
      </c>
      <c r="AF14" s="10">
        <f t="shared" si="51"/>
        <v>0</v>
      </c>
      <c r="AG14" s="10">
        <f t="shared" si="51"/>
        <v>0</v>
      </c>
      <c r="AH14" s="10">
        <f t="shared" si="51"/>
        <v>0</v>
      </c>
      <c r="AI14" s="10">
        <f t="shared" si="51"/>
        <v>0</v>
      </c>
      <c r="AJ14" s="10">
        <f t="shared" si="51"/>
        <v>0</v>
      </c>
      <c r="AK14" s="10">
        <f t="shared" si="51"/>
        <v>0</v>
      </c>
      <c r="AL14" s="10">
        <f t="shared" si="51"/>
        <v>0</v>
      </c>
      <c r="AM14" s="10">
        <f t="shared" si="51"/>
        <v>0</v>
      </c>
      <c r="AO14" s="10">
        <v>0</v>
      </c>
      <c r="AP14" s="10">
        <f t="shared" ref="AP14:AY20" si="52">AO14</f>
        <v>0</v>
      </c>
      <c r="AQ14" s="10">
        <f t="shared" si="52"/>
        <v>0</v>
      </c>
      <c r="AR14" s="10">
        <f t="shared" si="52"/>
        <v>0</v>
      </c>
      <c r="AS14" s="10">
        <f t="shared" si="52"/>
        <v>0</v>
      </c>
      <c r="AT14" s="10">
        <f t="shared" si="52"/>
        <v>0</v>
      </c>
      <c r="AU14" s="10">
        <f t="shared" si="52"/>
        <v>0</v>
      </c>
      <c r="AV14" s="10">
        <f t="shared" si="52"/>
        <v>0</v>
      </c>
      <c r="AW14" s="10">
        <f t="shared" si="52"/>
        <v>0</v>
      </c>
      <c r="AX14" s="10">
        <f t="shared" si="52"/>
        <v>0</v>
      </c>
      <c r="AY14" s="10">
        <f t="shared" si="52"/>
        <v>0</v>
      </c>
      <c r="BA14" s="10">
        <v>0</v>
      </c>
      <c r="BB14" s="10">
        <f t="shared" ref="BB14:BK20" si="53">BA14</f>
        <v>0</v>
      </c>
      <c r="BC14" s="10">
        <f t="shared" si="53"/>
        <v>0</v>
      </c>
      <c r="BD14" s="10">
        <f t="shared" si="53"/>
        <v>0</v>
      </c>
      <c r="BE14" s="10">
        <f t="shared" si="53"/>
        <v>0</v>
      </c>
      <c r="BF14" s="10">
        <f t="shared" si="53"/>
        <v>0</v>
      </c>
      <c r="BG14" s="10">
        <f t="shared" si="53"/>
        <v>0</v>
      </c>
      <c r="BH14" s="10">
        <f t="shared" si="53"/>
        <v>0</v>
      </c>
      <c r="BI14" s="10">
        <f t="shared" si="53"/>
        <v>0</v>
      </c>
      <c r="BJ14" s="10">
        <f t="shared" si="53"/>
        <v>0</v>
      </c>
      <c r="BK14" s="10">
        <f t="shared" si="53"/>
        <v>0</v>
      </c>
    </row>
    <row r="15" spans="1:63" s="10" customFormat="1" x14ac:dyDescent="0.25">
      <c r="A15" s="11"/>
      <c r="C15" s="10" t="s">
        <v>118</v>
      </c>
      <c r="E15" s="10">
        <v>0</v>
      </c>
      <c r="F15" s="10">
        <f t="shared" si="36"/>
        <v>0</v>
      </c>
      <c r="G15" s="10">
        <f t="shared" si="37"/>
        <v>0</v>
      </c>
      <c r="H15" s="10">
        <f t="shared" si="38"/>
        <v>0</v>
      </c>
      <c r="I15" s="10">
        <f t="shared" si="39"/>
        <v>0</v>
      </c>
      <c r="J15" s="10">
        <f t="shared" si="40"/>
        <v>0</v>
      </c>
      <c r="K15" s="10">
        <f t="shared" si="41"/>
        <v>0</v>
      </c>
      <c r="L15" s="10">
        <f t="shared" si="42"/>
        <v>0</v>
      </c>
      <c r="M15" s="10">
        <f t="shared" si="43"/>
        <v>0</v>
      </c>
      <c r="N15" s="10">
        <f t="shared" si="44"/>
        <v>0</v>
      </c>
      <c r="O15" s="10">
        <f t="shared" si="45"/>
        <v>0</v>
      </c>
      <c r="Q15" s="10">
        <v>1</v>
      </c>
      <c r="R15" s="10">
        <f t="shared" si="50"/>
        <v>1</v>
      </c>
      <c r="S15" s="10">
        <f t="shared" si="50"/>
        <v>1</v>
      </c>
      <c r="T15" s="10">
        <f t="shared" si="50"/>
        <v>1</v>
      </c>
      <c r="U15" s="10">
        <f t="shared" si="50"/>
        <v>1</v>
      </c>
      <c r="V15" s="10">
        <f t="shared" si="50"/>
        <v>1</v>
      </c>
      <c r="W15" s="10">
        <f t="shared" si="50"/>
        <v>1</v>
      </c>
      <c r="X15" s="10">
        <f t="shared" si="50"/>
        <v>1</v>
      </c>
      <c r="Y15" s="10">
        <f t="shared" si="50"/>
        <v>1</v>
      </c>
      <c r="Z15" s="10">
        <f t="shared" si="50"/>
        <v>1</v>
      </c>
      <c r="AA15" s="10">
        <f t="shared" si="50"/>
        <v>1</v>
      </c>
      <c r="AC15" s="10">
        <v>0</v>
      </c>
      <c r="AD15" s="10">
        <f t="shared" si="51"/>
        <v>0</v>
      </c>
      <c r="AE15" s="10">
        <f t="shared" si="51"/>
        <v>0</v>
      </c>
      <c r="AF15" s="10">
        <f t="shared" si="51"/>
        <v>0</v>
      </c>
      <c r="AG15" s="10">
        <f t="shared" si="51"/>
        <v>0</v>
      </c>
      <c r="AH15" s="10">
        <f t="shared" si="51"/>
        <v>0</v>
      </c>
      <c r="AI15" s="10">
        <f t="shared" si="51"/>
        <v>0</v>
      </c>
      <c r="AJ15" s="10">
        <f t="shared" si="51"/>
        <v>0</v>
      </c>
      <c r="AK15" s="10">
        <f t="shared" si="51"/>
        <v>0</v>
      </c>
      <c r="AL15" s="10">
        <f t="shared" si="51"/>
        <v>0</v>
      </c>
      <c r="AM15" s="10">
        <f t="shared" si="51"/>
        <v>0</v>
      </c>
      <c r="AO15" s="10">
        <v>0</v>
      </c>
      <c r="AP15" s="10">
        <f t="shared" si="52"/>
        <v>0</v>
      </c>
      <c r="AQ15" s="10">
        <f t="shared" si="52"/>
        <v>0</v>
      </c>
      <c r="AR15" s="10">
        <f t="shared" si="52"/>
        <v>0</v>
      </c>
      <c r="AS15" s="10">
        <f t="shared" si="52"/>
        <v>0</v>
      </c>
      <c r="AT15" s="10">
        <f t="shared" si="52"/>
        <v>0</v>
      </c>
      <c r="AU15" s="10">
        <f t="shared" si="52"/>
        <v>0</v>
      </c>
      <c r="AV15" s="10">
        <f t="shared" si="52"/>
        <v>0</v>
      </c>
      <c r="AW15" s="10">
        <f t="shared" si="52"/>
        <v>0</v>
      </c>
      <c r="AX15" s="10">
        <f t="shared" si="52"/>
        <v>0</v>
      </c>
      <c r="AY15" s="10">
        <f t="shared" si="52"/>
        <v>0</v>
      </c>
      <c r="BA15" s="10">
        <v>0</v>
      </c>
      <c r="BB15" s="10">
        <f t="shared" si="53"/>
        <v>0</v>
      </c>
      <c r="BC15" s="10">
        <f t="shared" si="53"/>
        <v>0</v>
      </c>
      <c r="BD15" s="10">
        <f t="shared" si="53"/>
        <v>0</v>
      </c>
      <c r="BE15" s="10">
        <f t="shared" si="53"/>
        <v>0</v>
      </c>
      <c r="BF15" s="10">
        <f t="shared" si="53"/>
        <v>0</v>
      </c>
      <c r="BG15" s="10">
        <f t="shared" si="53"/>
        <v>0</v>
      </c>
      <c r="BH15" s="10">
        <f t="shared" si="53"/>
        <v>0</v>
      </c>
      <c r="BI15" s="10">
        <f t="shared" si="53"/>
        <v>0</v>
      </c>
      <c r="BJ15" s="10">
        <f t="shared" si="53"/>
        <v>0</v>
      </c>
      <c r="BK15" s="10">
        <f t="shared" si="53"/>
        <v>0</v>
      </c>
    </row>
    <row r="16" spans="1:63" s="10" customFormat="1" x14ac:dyDescent="0.25">
      <c r="A16" s="11"/>
      <c r="C16" s="10" t="s">
        <v>194</v>
      </c>
      <c r="D16" s="10" t="s">
        <v>200</v>
      </c>
      <c r="E16" s="10">
        <v>0</v>
      </c>
      <c r="F16" s="10">
        <f t="shared" si="36"/>
        <v>0</v>
      </c>
      <c r="G16" s="10">
        <f t="shared" si="37"/>
        <v>0</v>
      </c>
      <c r="H16" s="10">
        <f t="shared" si="38"/>
        <v>0</v>
      </c>
      <c r="I16" s="10">
        <f t="shared" si="39"/>
        <v>0</v>
      </c>
      <c r="J16" s="10">
        <f t="shared" si="40"/>
        <v>0</v>
      </c>
      <c r="K16" s="10">
        <f t="shared" si="41"/>
        <v>0</v>
      </c>
      <c r="L16" s="10">
        <f t="shared" si="42"/>
        <v>0</v>
      </c>
      <c r="M16" s="10">
        <f t="shared" si="43"/>
        <v>0</v>
      </c>
      <c r="N16" s="10">
        <f t="shared" si="44"/>
        <v>0</v>
      </c>
      <c r="O16" s="10">
        <f t="shared" si="45"/>
        <v>0</v>
      </c>
      <c r="Q16" s="10">
        <v>1</v>
      </c>
      <c r="R16" s="10">
        <f t="shared" si="50"/>
        <v>1</v>
      </c>
      <c r="S16" s="10">
        <f t="shared" si="50"/>
        <v>1</v>
      </c>
      <c r="T16" s="10">
        <f t="shared" si="50"/>
        <v>1</v>
      </c>
      <c r="U16" s="10">
        <f t="shared" si="50"/>
        <v>1</v>
      </c>
      <c r="V16" s="10">
        <f t="shared" si="50"/>
        <v>1</v>
      </c>
      <c r="W16" s="10">
        <f t="shared" si="50"/>
        <v>1</v>
      </c>
      <c r="X16" s="10">
        <f t="shared" si="50"/>
        <v>1</v>
      </c>
      <c r="Y16" s="10">
        <f t="shared" si="50"/>
        <v>1</v>
      </c>
      <c r="Z16" s="10">
        <f t="shared" si="50"/>
        <v>1</v>
      </c>
      <c r="AA16" s="10">
        <f t="shared" si="50"/>
        <v>1</v>
      </c>
      <c r="AC16" s="10">
        <v>0</v>
      </c>
      <c r="AD16" s="10">
        <f t="shared" si="51"/>
        <v>0</v>
      </c>
      <c r="AE16" s="10">
        <f t="shared" si="51"/>
        <v>0</v>
      </c>
      <c r="AF16" s="10">
        <f t="shared" si="51"/>
        <v>0</v>
      </c>
      <c r="AG16" s="10">
        <f t="shared" si="51"/>
        <v>0</v>
      </c>
      <c r="AH16" s="10">
        <f t="shared" si="51"/>
        <v>0</v>
      </c>
      <c r="AI16" s="10">
        <f t="shared" si="51"/>
        <v>0</v>
      </c>
      <c r="AJ16" s="10">
        <f t="shared" si="51"/>
        <v>0</v>
      </c>
      <c r="AK16" s="10">
        <f t="shared" si="51"/>
        <v>0</v>
      </c>
      <c r="AL16" s="10">
        <f t="shared" si="51"/>
        <v>0</v>
      </c>
      <c r="AM16" s="10">
        <f t="shared" si="51"/>
        <v>0</v>
      </c>
      <c r="AO16" s="10">
        <v>0</v>
      </c>
      <c r="AP16" s="10">
        <f t="shared" si="52"/>
        <v>0</v>
      </c>
      <c r="AQ16" s="10">
        <f t="shared" si="52"/>
        <v>0</v>
      </c>
      <c r="AR16" s="10">
        <f t="shared" si="52"/>
        <v>0</v>
      </c>
      <c r="AS16" s="10">
        <f t="shared" si="52"/>
        <v>0</v>
      </c>
      <c r="AT16" s="10">
        <f t="shared" si="52"/>
        <v>0</v>
      </c>
      <c r="AU16" s="10">
        <f t="shared" si="52"/>
        <v>0</v>
      </c>
      <c r="AV16" s="10">
        <f t="shared" si="52"/>
        <v>0</v>
      </c>
      <c r="AW16" s="10">
        <f t="shared" si="52"/>
        <v>0</v>
      </c>
      <c r="AX16" s="10">
        <f t="shared" si="52"/>
        <v>0</v>
      </c>
      <c r="AY16" s="10">
        <f t="shared" si="52"/>
        <v>0</v>
      </c>
      <c r="BA16" s="10">
        <v>0</v>
      </c>
      <c r="BB16" s="10">
        <f t="shared" si="53"/>
        <v>0</v>
      </c>
      <c r="BC16" s="10">
        <f t="shared" si="53"/>
        <v>0</v>
      </c>
      <c r="BD16" s="10">
        <f t="shared" si="53"/>
        <v>0</v>
      </c>
      <c r="BE16" s="10">
        <f t="shared" si="53"/>
        <v>0</v>
      </c>
      <c r="BF16" s="10">
        <f t="shared" si="53"/>
        <v>0</v>
      </c>
      <c r="BG16" s="10">
        <f t="shared" si="53"/>
        <v>0</v>
      </c>
      <c r="BH16" s="10">
        <f t="shared" si="53"/>
        <v>0</v>
      </c>
      <c r="BI16" s="10">
        <f t="shared" si="53"/>
        <v>0</v>
      </c>
      <c r="BJ16" s="10">
        <f t="shared" si="53"/>
        <v>0</v>
      </c>
      <c r="BK16" s="10">
        <f t="shared" si="53"/>
        <v>0</v>
      </c>
    </row>
    <row r="17" spans="1:63" s="10" customFormat="1" x14ac:dyDescent="0.25">
      <c r="A17" s="11"/>
      <c r="C17" s="10" t="s">
        <v>161</v>
      </c>
      <c r="D17" s="10" t="s">
        <v>200</v>
      </c>
      <c r="E17" s="10">
        <v>0</v>
      </c>
      <c r="F17" s="10">
        <f t="shared" si="36"/>
        <v>0</v>
      </c>
      <c r="G17" s="10">
        <f t="shared" si="37"/>
        <v>0</v>
      </c>
      <c r="H17" s="10">
        <f t="shared" si="38"/>
        <v>0</v>
      </c>
      <c r="I17" s="10">
        <f t="shared" si="39"/>
        <v>0</v>
      </c>
      <c r="J17" s="10">
        <f t="shared" si="40"/>
        <v>0</v>
      </c>
      <c r="K17" s="10">
        <f t="shared" si="41"/>
        <v>0</v>
      </c>
      <c r="L17" s="10">
        <f t="shared" si="42"/>
        <v>0</v>
      </c>
      <c r="M17" s="10">
        <f t="shared" si="43"/>
        <v>0</v>
      </c>
      <c r="N17" s="10">
        <f t="shared" si="44"/>
        <v>0</v>
      </c>
      <c r="O17" s="10">
        <f t="shared" si="45"/>
        <v>0</v>
      </c>
      <c r="Q17" s="10">
        <v>1</v>
      </c>
      <c r="R17" s="10">
        <f t="shared" si="50"/>
        <v>1</v>
      </c>
      <c r="S17" s="10">
        <f t="shared" si="50"/>
        <v>1</v>
      </c>
      <c r="T17" s="10">
        <f t="shared" si="50"/>
        <v>1</v>
      </c>
      <c r="U17" s="10">
        <f t="shared" si="50"/>
        <v>1</v>
      </c>
      <c r="V17" s="10">
        <f t="shared" si="50"/>
        <v>1</v>
      </c>
      <c r="W17" s="10">
        <f t="shared" si="50"/>
        <v>1</v>
      </c>
      <c r="X17" s="10">
        <f t="shared" si="50"/>
        <v>1</v>
      </c>
      <c r="Y17" s="10">
        <f t="shared" si="50"/>
        <v>1</v>
      </c>
      <c r="Z17" s="10">
        <f t="shared" si="50"/>
        <v>1</v>
      </c>
      <c r="AA17" s="10">
        <f t="shared" si="50"/>
        <v>1</v>
      </c>
      <c r="AC17" s="10">
        <v>0</v>
      </c>
      <c r="AD17" s="10">
        <f t="shared" si="51"/>
        <v>0</v>
      </c>
      <c r="AE17" s="10">
        <f t="shared" si="51"/>
        <v>0</v>
      </c>
      <c r="AF17" s="10">
        <f t="shared" si="51"/>
        <v>0</v>
      </c>
      <c r="AG17" s="10">
        <f t="shared" si="51"/>
        <v>0</v>
      </c>
      <c r="AH17" s="10">
        <f t="shared" si="51"/>
        <v>0</v>
      </c>
      <c r="AI17" s="10">
        <f t="shared" si="51"/>
        <v>0</v>
      </c>
      <c r="AJ17" s="10">
        <f t="shared" si="51"/>
        <v>0</v>
      </c>
      <c r="AK17" s="10">
        <f t="shared" si="51"/>
        <v>0</v>
      </c>
      <c r="AL17" s="10">
        <f t="shared" si="51"/>
        <v>0</v>
      </c>
      <c r="AM17" s="10">
        <f t="shared" si="51"/>
        <v>0</v>
      </c>
      <c r="AO17" s="10">
        <v>0</v>
      </c>
      <c r="AP17" s="10">
        <f t="shared" si="52"/>
        <v>0</v>
      </c>
      <c r="AQ17" s="10">
        <f t="shared" si="52"/>
        <v>0</v>
      </c>
      <c r="AR17" s="10">
        <f t="shared" si="52"/>
        <v>0</v>
      </c>
      <c r="AS17" s="10">
        <f t="shared" si="52"/>
        <v>0</v>
      </c>
      <c r="AT17" s="10">
        <f t="shared" si="52"/>
        <v>0</v>
      </c>
      <c r="AU17" s="10">
        <f t="shared" si="52"/>
        <v>0</v>
      </c>
      <c r="AV17" s="10">
        <f t="shared" si="52"/>
        <v>0</v>
      </c>
      <c r="AW17" s="10">
        <f t="shared" si="52"/>
        <v>0</v>
      </c>
      <c r="AX17" s="10">
        <f t="shared" si="52"/>
        <v>0</v>
      </c>
      <c r="AY17" s="10">
        <f t="shared" si="52"/>
        <v>0</v>
      </c>
      <c r="BA17" s="10">
        <v>0</v>
      </c>
      <c r="BB17" s="10">
        <f t="shared" si="53"/>
        <v>0</v>
      </c>
      <c r="BC17" s="10">
        <f t="shared" si="53"/>
        <v>0</v>
      </c>
      <c r="BD17" s="10">
        <f t="shared" si="53"/>
        <v>0</v>
      </c>
      <c r="BE17" s="10">
        <f t="shared" si="53"/>
        <v>0</v>
      </c>
      <c r="BF17" s="10">
        <f t="shared" si="53"/>
        <v>0</v>
      </c>
      <c r="BG17" s="10">
        <f t="shared" si="53"/>
        <v>0</v>
      </c>
      <c r="BH17" s="10">
        <f t="shared" si="53"/>
        <v>0</v>
      </c>
      <c r="BI17" s="10">
        <f t="shared" si="53"/>
        <v>0</v>
      </c>
      <c r="BJ17" s="10">
        <f t="shared" si="53"/>
        <v>0</v>
      </c>
      <c r="BK17" s="10">
        <f t="shared" si="53"/>
        <v>0</v>
      </c>
    </row>
    <row r="18" spans="1:63" s="10" customFormat="1" x14ac:dyDescent="0.25">
      <c r="A18" s="11"/>
      <c r="C18" s="10" t="s">
        <v>162</v>
      </c>
      <c r="D18" s="10" t="s">
        <v>200</v>
      </c>
      <c r="E18" s="10">
        <v>0</v>
      </c>
      <c r="F18" s="10">
        <f t="shared" si="36"/>
        <v>0</v>
      </c>
      <c r="G18" s="10">
        <f t="shared" si="37"/>
        <v>0</v>
      </c>
      <c r="H18" s="10">
        <f t="shared" si="38"/>
        <v>0</v>
      </c>
      <c r="I18" s="10">
        <f t="shared" si="39"/>
        <v>0</v>
      </c>
      <c r="J18" s="10">
        <f t="shared" si="40"/>
        <v>0</v>
      </c>
      <c r="K18" s="10">
        <f t="shared" si="41"/>
        <v>0</v>
      </c>
      <c r="L18" s="10">
        <f t="shared" si="42"/>
        <v>0</v>
      </c>
      <c r="M18" s="10">
        <f t="shared" si="43"/>
        <v>0</v>
      </c>
      <c r="N18" s="10">
        <f t="shared" si="44"/>
        <v>0</v>
      </c>
      <c r="O18" s="10">
        <f t="shared" si="45"/>
        <v>0</v>
      </c>
      <c r="Q18" s="10">
        <v>1</v>
      </c>
      <c r="R18" s="10">
        <f t="shared" si="50"/>
        <v>1</v>
      </c>
      <c r="S18" s="10">
        <f t="shared" si="50"/>
        <v>1</v>
      </c>
      <c r="T18" s="10">
        <f t="shared" si="50"/>
        <v>1</v>
      </c>
      <c r="U18" s="10">
        <f t="shared" si="50"/>
        <v>1</v>
      </c>
      <c r="V18" s="10">
        <f t="shared" si="50"/>
        <v>1</v>
      </c>
      <c r="W18" s="10">
        <f t="shared" si="50"/>
        <v>1</v>
      </c>
      <c r="X18" s="10">
        <f t="shared" si="50"/>
        <v>1</v>
      </c>
      <c r="Y18" s="10">
        <f t="shared" si="50"/>
        <v>1</v>
      </c>
      <c r="Z18" s="10">
        <f t="shared" si="50"/>
        <v>1</v>
      </c>
      <c r="AA18" s="10">
        <f t="shared" si="50"/>
        <v>1</v>
      </c>
      <c r="AC18" s="10">
        <v>0</v>
      </c>
      <c r="AD18" s="10">
        <f t="shared" si="51"/>
        <v>0</v>
      </c>
      <c r="AE18" s="10">
        <f t="shared" si="51"/>
        <v>0</v>
      </c>
      <c r="AF18" s="10">
        <f t="shared" si="51"/>
        <v>0</v>
      </c>
      <c r="AG18" s="10">
        <f t="shared" si="51"/>
        <v>0</v>
      </c>
      <c r="AH18" s="10">
        <f t="shared" si="51"/>
        <v>0</v>
      </c>
      <c r="AI18" s="10">
        <f t="shared" si="51"/>
        <v>0</v>
      </c>
      <c r="AJ18" s="10">
        <f t="shared" si="51"/>
        <v>0</v>
      </c>
      <c r="AK18" s="10">
        <f t="shared" si="51"/>
        <v>0</v>
      </c>
      <c r="AL18" s="10">
        <f t="shared" si="51"/>
        <v>0</v>
      </c>
      <c r="AM18" s="10">
        <f t="shared" si="51"/>
        <v>0</v>
      </c>
      <c r="AO18" s="10">
        <v>0</v>
      </c>
      <c r="AP18" s="10">
        <f t="shared" si="52"/>
        <v>0</v>
      </c>
      <c r="AQ18" s="10">
        <f t="shared" si="52"/>
        <v>0</v>
      </c>
      <c r="AR18" s="10">
        <f t="shared" si="52"/>
        <v>0</v>
      </c>
      <c r="AS18" s="10">
        <f t="shared" si="52"/>
        <v>0</v>
      </c>
      <c r="AT18" s="10">
        <f t="shared" si="52"/>
        <v>0</v>
      </c>
      <c r="AU18" s="10">
        <f t="shared" si="52"/>
        <v>0</v>
      </c>
      <c r="AV18" s="10">
        <f t="shared" si="52"/>
        <v>0</v>
      </c>
      <c r="AW18" s="10">
        <f t="shared" si="52"/>
        <v>0</v>
      </c>
      <c r="AX18" s="10">
        <f t="shared" si="52"/>
        <v>0</v>
      </c>
      <c r="AY18" s="10">
        <f t="shared" si="52"/>
        <v>0</v>
      </c>
      <c r="BA18" s="10">
        <v>0</v>
      </c>
      <c r="BB18" s="10">
        <f t="shared" si="53"/>
        <v>0</v>
      </c>
      <c r="BC18" s="10">
        <f t="shared" si="53"/>
        <v>0</v>
      </c>
      <c r="BD18" s="10">
        <f t="shared" si="53"/>
        <v>0</v>
      </c>
      <c r="BE18" s="10">
        <f t="shared" si="53"/>
        <v>0</v>
      </c>
      <c r="BF18" s="10">
        <f t="shared" si="53"/>
        <v>0</v>
      </c>
      <c r="BG18" s="10">
        <f t="shared" si="53"/>
        <v>0</v>
      </c>
      <c r="BH18" s="10">
        <f t="shared" si="53"/>
        <v>0</v>
      </c>
      <c r="BI18" s="10">
        <f t="shared" si="53"/>
        <v>0</v>
      </c>
      <c r="BJ18" s="10">
        <f t="shared" si="53"/>
        <v>0</v>
      </c>
      <c r="BK18" s="10">
        <f t="shared" si="53"/>
        <v>0</v>
      </c>
    </row>
    <row r="19" spans="1:63" s="10" customFormat="1" x14ac:dyDescent="0.25">
      <c r="A19" s="11"/>
      <c r="C19" s="10" t="s">
        <v>159</v>
      </c>
      <c r="D19" s="10" t="s">
        <v>200</v>
      </c>
      <c r="E19" s="10">
        <v>0</v>
      </c>
      <c r="F19" s="10">
        <f t="shared" si="36"/>
        <v>0</v>
      </c>
      <c r="G19" s="10">
        <f t="shared" si="37"/>
        <v>0</v>
      </c>
      <c r="H19" s="10">
        <f t="shared" si="38"/>
        <v>0</v>
      </c>
      <c r="I19" s="10">
        <f t="shared" si="39"/>
        <v>0</v>
      </c>
      <c r="J19" s="10">
        <f t="shared" si="40"/>
        <v>0</v>
      </c>
      <c r="K19" s="10">
        <f t="shared" si="41"/>
        <v>0</v>
      </c>
      <c r="L19" s="10">
        <f t="shared" si="42"/>
        <v>0</v>
      </c>
      <c r="M19" s="10">
        <f t="shared" si="43"/>
        <v>0</v>
      </c>
      <c r="N19" s="10">
        <f t="shared" si="44"/>
        <v>0</v>
      </c>
      <c r="O19" s="10">
        <f t="shared" si="45"/>
        <v>0</v>
      </c>
      <c r="Q19" s="10">
        <v>1</v>
      </c>
      <c r="R19" s="10">
        <f t="shared" si="50"/>
        <v>1</v>
      </c>
      <c r="S19" s="10">
        <f t="shared" si="50"/>
        <v>1</v>
      </c>
      <c r="T19" s="10">
        <f t="shared" si="50"/>
        <v>1</v>
      </c>
      <c r="U19" s="10">
        <f t="shared" si="50"/>
        <v>1</v>
      </c>
      <c r="V19" s="10">
        <f t="shared" si="50"/>
        <v>1</v>
      </c>
      <c r="W19" s="10">
        <f t="shared" si="50"/>
        <v>1</v>
      </c>
      <c r="X19" s="10">
        <f t="shared" si="50"/>
        <v>1</v>
      </c>
      <c r="Y19" s="10">
        <f t="shared" si="50"/>
        <v>1</v>
      </c>
      <c r="Z19" s="10">
        <f t="shared" si="50"/>
        <v>1</v>
      </c>
      <c r="AA19" s="10">
        <f t="shared" si="50"/>
        <v>1</v>
      </c>
      <c r="AC19" s="10">
        <v>0</v>
      </c>
      <c r="AD19" s="10">
        <f t="shared" si="51"/>
        <v>0</v>
      </c>
      <c r="AE19" s="10">
        <f t="shared" si="51"/>
        <v>0</v>
      </c>
      <c r="AF19" s="10">
        <f t="shared" si="51"/>
        <v>0</v>
      </c>
      <c r="AG19" s="10">
        <f t="shared" si="51"/>
        <v>0</v>
      </c>
      <c r="AH19" s="10">
        <f t="shared" si="51"/>
        <v>0</v>
      </c>
      <c r="AI19" s="10">
        <f t="shared" si="51"/>
        <v>0</v>
      </c>
      <c r="AJ19" s="10">
        <f t="shared" si="51"/>
        <v>0</v>
      </c>
      <c r="AK19" s="10">
        <f t="shared" si="51"/>
        <v>0</v>
      </c>
      <c r="AL19" s="10">
        <f t="shared" si="51"/>
        <v>0</v>
      </c>
      <c r="AM19" s="10">
        <f t="shared" si="51"/>
        <v>0</v>
      </c>
      <c r="AO19" s="10">
        <v>0</v>
      </c>
      <c r="AP19" s="10">
        <f t="shared" si="52"/>
        <v>0</v>
      </c>
      <c r="AQ19" s="10">
        <f t="shared" si="52"/>
        <v>0</v>
      </c>
      <c r="AR19" s="10">
        <f t="shared" si="52"/>
        <v>0</v>
      </c>
      <c r="AS19" s="10">
        <f t="shared" si="52"/>
        <v>0</v>
      </c>
      <c r="AT19" s="10">
        <f t="shared" si="52"/>
        <v>0</v>
      </c>
      <c r="AU19" s="10">
        <f t="shared" si="52"/>
        <v>0</v>
      </c>
      <c r="AV19" s="10">
        <f t="shared" si="52"/>
        <v>0</v>
      </c>
      <c r="AW19" s="10">
        <f t="shared" si="52"/>
        <v>0</v>
      </c>
      <c r="AX19" s="10">
        <f t="shared" si="52"/>
        <v>0</v>
      </c>
      <c r="AY19" s="10">
        <f t="shared" si="52"/>
        <v>0</v>
      </c>
      <c r="BA19" s="10">
        <v>0</v>
      </c>
      <c r="BB19" s="10">
        <f t="shared" si="53"/>
        <v>0</v>
      </c>
      <c r="BC19" s="10">
        <f t="shared" si="53"/>
        <v>0</v>
      </c>
      <c r="BD19" s="10">
        <f t="shared" si="53"/>
        <v>0</v>
      </c>
      <c r="BE19" s="10">
        <f t="shared" si="53"/>
        <v>0</v>
      </c>
      <c r="BF19" s="10">
        <f t="shared" si="53"/>
        <v>0</v>
      </c>
      <c r="BG19" s="10">
        <f t="shared" si="53"/>
        <v>0</v>
      </c>
      <c r="BH19" s="10">
        <f t="shared" si="53"/>
        <v>0</v>
      </c>
      <c r="BI19" s="10">
        <f t="shared" si="53"/>
        <v>0</v>
      </c>
      <c r="BJ19" s="10">
        <f t="shared" si="53"/>
        <v>0</v>
      </c>
      <c r="BK19" s="10">
        <f t="shared" si="53"/>
        <v>0</v>
      </c>
    </row>
    <row r="20" spans="1:63" s="10" customFormat="1" x14ac:dyDescent="0.25">
      <c r="A20" s="11"/>
      <c r="C20" s="10" t="s">
        <v>160</v>
      </c>
      <c r="D20" s="10" t="s">
        <v>200</v>
      </c>
      <c r="E20" s="10">
        <v>0</v>
      </c>
      <c r="F20" s="10">
        <f t="shared" si="36"/>
        <v>0</v>
      </c>
      <c r="G20" s="10">
        <f t="shared" si="37"/>
        <v>0</v>
      </c>
      <c r="H20" s="10">
        <f t="shared" si="38"/>
        <v>0</v>
      </c>
      <c r="I20" s="10">
        <f t="shared" si="39"/>
        <v>0</v>
      </c>
      <c r="J20" s="10">
        <f t="shared" si="40"/>
        <v>0</v>
      </c>
      <c r="K20" s="10">
        <f t="shared" si="41"/>
        <v>0</v>
      </c>
      <c r="L20" s="10">
        <f t="shared" si="42"/>
        <v>0</v>
      </c>
      <c r="M20" s="10">
        <f t="shared" si="43"/>
        <v>0</v>
      </c>
      <c r="N20" s="10">
        <f t="shared" si="44"/>
        <v>0</v>
      </c>
      <c r="O20" s="10">
        <f t="shared" si="45"/>
        <v>0</v>
      </c>
      <c r="Q20" s="10">
        <v>1</v>
      </c>
      <c r="R20" s="10">
        <f t="shared" si="50"/>
        <v>1</v>
      </c>
      <c r="S20" s="10">
        <f t="shared" si="50"/>
        <v>1</v>
      </c>
      <c r="T20" s="10">
        <f t="shared" si="50"/>
        <v>1</v>
      </c>
      <c r="U20" s="10">
        <f t="shared" si="50"/>
        <v>1</v>
      </c>
      <c r="V20" s="10">
        <f t="shared" si="50"/>
        <v>1</v>
      </c>
      <c r="W20" s="10">
        <f t="shared" si="50"/>
        <v>1</v>
      </c>
      <c r="X20" s="10">
        <f t="shared" si="50"/>
        <v>1</v>
      </c>
      <c r="Y20" s="10">
        <f t="shared" si="50"/>
        <v>1</v>
      </c>
      <c r="Z20" s="10">
        <f t="shared" si="50"/>
        <v>1</v>
      </c>
      <c r="AA20" s="10">
        <f t="shared" si="50"/>
        <v>1</v>
      </c>
      <c r="AC20" s="10">
        <v>0</v>
      </c>
      <c r="AD20" s="10">
        <f t="shared" si="51"/>
        <v>0</v>
      </c>
      <c r="AE20" s="10">
        <f t="shared" si="51"/>
        <v>0</v>
      </c>
      <c r="AF20" s="10">
        <f t="shared" si="51"/>
        <v>0</v>
      </c>
      <c r="AG20" s="10">
        <f t="shared" si="51"/>
        <v>0</v>
      </c>
      <c r="AH20" s="10">
        <f t="shared" si="51"/>
        <v>0</v>
      </c>
      <c r="AI20" s="10">
        <f t="shared" si="51"/>
        <v>0</v>
      </c>
      <c r="AJ20" s="10">
        <f t="shared" si="51"/>
        <v>0</v>
      </c>
      <c r="AK20" s="10">
        <f t="shared" si="51"/>
        <v>0</v>
      </c>
      <c r="AL20" s="10">
        <f t="shared" si="51"/>
        <v>0</v>
      </c>
      <c r="AM20" s="10">
        <f t="shared" si="51"/>
        <v>0</v>
      </c>
      <c r="AO20" s="10">
        <v>0</v>
      </c>
      <c r="AP20" s="10">
        <f t="shared" si="52"/>
        <v>0</v>
      </c>
      <c r="AQ20" s="10">
        <f t="shared" si="52"/>
        <v>0</v>
      </c>
      <c r="AR20" s="10">
        <f t="shared" si="52"/>
        <v>0</v>
      </c>
      <c r="AS20" s="10">
        <f t="shared" si="52"/>
        <v>0</v>
      </c>
      <c r="AT20" s="10">
        <f t="shared" si="52"/>
        <v>0</v>
      </c>
      <c r="AU20" s="10">
        <f t="shared" si="52"/>
        <v>0</v>
      </c>
      <c r="AV20" s="10">
        <f t="shared" si="52"/>
        <v>0</v>
      </c>
      <c r="AW20" s="10">
        <f t="shared" si="52"/>
        <v>0</v>
      </c>
      <c r="AX20" s="10">
        <f t="shared" si="52"/>
        <v>0</v>
      </c>
      <c r="AY20" s="10">
        <f t="shared" si="52"/>
        <v>0</v>
      </c>
      <c r="BA20" s="10">
        <v>0</v>
      </c>
      <c r="BB20" s="10">
        <f t="shared" si="53"/>
        <v>0</v>
      </c>
      <c r="BC20" s="10">
        <f t="shared" si="53"/>
        <v>0</v>
      </c>
      <c r="BD20" s="10">
        <f t="shared" si="53"/>
        <v>0</v>
      </c>
      <c r="BE20" s="10">
        <f t="shared" si="53"/>
        <v>0</v>
      </c>
      <c r="BF20" s="10">
        <f t="shared" si="53"/>
        <v>0</v>
      </c>
      <c r="BG20" s="10">
        <f t="shared" si="53"/>
        <v>0</v>
      </c>
      <c r="BH20" s="10">
        <f t="shared" si="53"/>
        <v>0</v>
      </c>
      <c r="BI20" s="10">
        <f t="shared" si="53"/>
        <v>0</v>
      </c>
      <c r="BJ20" s="10">
        <f t="shared" si="53"/>
        <v>0</v>
      </c>
      <c r="BK20" s="10">
        <f t="shared" si="53"/>
        <v>0</v>
      </c>
    </row>
    <row r="21" spans="1:63" x14ac:dyDescent="0.25">
      <c r="A21" s="2"/>
      <c r="B21" s="2"/>
      <c r="E21" t="str">
        <f t="shared" ref="E21:G21" si="54">CONCATENATE(E20,E19,E18,E17,E16,E15,E14,E13)</f>
        <v>00000000</v>
      </c>
      <c r="F21" t="str">
        <f t="shared" si="54"/>
        <v>00000000</v>
      </c>
      <c r="G21" t="str">
        <f t="shared" si="54"/>
        <v>00000000</v>
      </c>
      <c r="H21" t="str">
        <f t="shared" ref="H21:N21" si="55">CONCATENATE(H20,H19,H18,H17,H16,H15,H14,H13)</f>
        <v>00000000</v>
      </c>
      <c r="I21" t="str">
        <f t="shared" si="55"/>
        <v>00000000</v>
      </c>
      <c r="J21" t="str">
        <f t="shared" si="55"/>
        <v>00000000</v>
      </c>
      <c r="K21" t="str">
        <f t="shared" si="55"/>
        <v>00000000</v>
      </c>
      <c r="L21" t="str">
        <f t="shared" si="55"/>
        <v>00000000</v>
      </c>
      <c r="M21" t="str">
        <f t="shared" si="55"/>
        <v>00000000</v>
      </c>
      <c r="N21" t="str">
        <f t="shared" si="55"/>
        <v>00000000</v>
      </c>
      <c r="O21" t="str">
        <f t="shared" ref="O21" si="56">CONCATENATE(O20,O19,O18,O17,O16,O15,O14,O13)</f>
        <v>00000000</v>
      </c>
      <c r="Q21" t="str">
        <f>CONCATENATE(Q20,Q19,Q18,Q17,Q16,Q15,Q14,Q13)</f>
        <v>11111111</v>
      </c>
      <c r="R21" t="str">
        <f t="shared" ref="R21:AA21" si="57">CONCATENATE(R20,R19,R18,R17,R16,R15,R14,R13)</f>
        <v>11111111</v>
      </c>
      <c r="S21" t="str">
        <f t="shared" si="57"/>
        <v>11111111</v>
      </c>
      <c r="T21" t="str">
        <f t="shared" si="57"/>
        <v>11111111</v>
      </c>
      <c r="U21" t="str">
        <f t="shared" si="57"/>
        <v>11111111</v>
      </c>
      <c r="V21" t="str">
        <f t="shared" si="57"/>
        <v>11111111</v>
      </c>
      <c r="W21" t="str">
        <f t="shared" si="57"/>
        <v>11111111</v>
      </c>
      <c r="X21" t="str">
        <f t="shared" si="57"/>
        <v>11111111</v>
      </c>
      <c r="Y21" t="str">
        <f t="shared" si="57"/>
        <v>11111111</v>
      </c>
      <c r="Z21" t="str">
        <f t="shared" si="57"/>
        <v>11111111</v>
      </c>
      <c r="AA21" t="str">
        <f t="shared" si="57"/>
        <v>11111111</v>
      </c>
      <c r="AC21" t="str">
        <f>CONCATENATE(AC20,AC19,AC18,AC17,AC16,AC15,AC14,AC13)</f>
        <v>00000000</v>
      </c>
      <c r="AD21" t="str">
        <f t="shared" ref="AD21:AM21" si="58">CONCATENATE(AD20,AD19,AD18,AD17,AD16,AD15,AD14,AD13)</f>
        <v>00000000</v>
      </c>
      <c r="AE21" t="str">
        <f t="shared" si="58"/>
        <v>00000000</v>
      </c>
      <c r="AF21" t="str">
        <f t="shared" si="58"/>
        <v>00000000</v>
      </c>
      <c r="AG21" t="str">
        <f t="shared" si="58"/>
        <v>00000000</v>
      </c>
      <c r="AH21" t="str">
        <f t="shared" si="58"/>
        <v>00000000</v>
      </c>
      <c r="AI21" t="str">
        <f t="shared" si="58"/>
        <v>00000000</v>
      </c>
      <c r="AJ21" t="str">
        <f t="shared" si="58"/>
        <v>00000000</v>
      </c>
      <c r="AK21" t="str">
        <f t="shared" si="58"/>
        <v>00000000</v>
      </c>
      <c r="AL21" t="str">
        <f t="shared" si="58"/>
        <v>00000000</v>
      </c>
      <c r="AM21" t="str">
        <f t="shared" si="58"/>
        <v>00000000</v>
      </c>
      <c r="AO21" t="str">
        <f t="shared" ref="AO21:AY21" si="59">CONCATENATE(AO20,AO19,AO18,AO17,AO16,AO15,AO14,AO13)</f>
        <v>00000000</v>
      </c>
      <c r="AP21" t="str">
        <f t="shared" si="59"/>
        <v>00000000</v>
      </c>
      <c r="AQ21" t="str">
        <f t="shared" si="59"/>
        <v>00000000</v>
      </c>
      <c r="AR21" t="str">
        <f t="shared" si="59"/>
        <v>00000000</v>
      </c>
      <c r="AS21" t="str">
        <f t="shared" si="59"/>
        <v>00000000</v>
      </c>
      <c r="AT21" t="str">
        <f t="shared" si="59"/>
        <v>00000000</v>
      </c>
      <c r="AU21" t="str">
        <f t="shared" si="59"/>
        <v>00000000</v>
      </c>
      <c r="AV21" t="str">
        <f t="shared" si="59"/>
        <v>00000000</v>
      </c>
      <c r="AW21" t="str">
        <f t="shared" si="59"/>
        <v>00000000</v>
      </c>
      <c r="AX21" t="str">
        <f t="shared" si="59"/>
        <v>00000000</v>
      </c>
      <c r="AY21" t="str">
        <f t="shared" si="59"/>
        <v>00000000</v>
      </c>
      <c r="BA21" t="str">
        <f t="shared" ref="BA21:BK21" si="60">CONCATENATE(BA20,BA19,BA18,BA17,BA16,BA15,BA14,BA13)</f>
        <v>00000000</v>
      </c>
      <c r="BB21" t="str">
        <f t="shared" si="60"/>
        <v>00000000</v>
      </c>
      <c r="BC21" t="str">
        <f t="shared" si="60"/>
        <v>00000000</v>
      </c>
      <c r="BD21" t="str">
        <f t="shared" si="60"/>
        <v>00000000</v>
      </c>
      <c r="BE21" t="str">
        <f t="shared" si="60"/>
        <v>00000000</v>
      </c>
      <c r="BF21" t="str">
        <f t="shared" si="60"/>
        <v>00000000</v>
      </c>
      <c r="BG21" t="str">
        <f t="shared" si="60"/>
        <v>00000000</v>
      </c>
      <c r="BH21" t="str">
        <f t="shared" si="60"/>
        <v>00000000</v>
      </c>
      <c r="BI21" t="str">
        <f t="shared" si="60"/>
        <v>00000000</v>
      </c>
      <c r="BJ21" t="str">
        <f t="shared" si="60"/>
        <v>00000000</v>
      </c>
      <c r="BK21" t="str">
        <f t="shared" si="60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G22" si="61">CONCATENATE(BIN2HEX(E21,2))</f>
        <v>00</v>
      </c>
      <c r="F22" t="str">
        <f t="shared" si="61"/>
        <v>00</v>
      </c>
      <c r="G22" t="str">
        <f t="shared" si="61"/>
        <v>00</v>
      </c>
      <c r="H22" t="str">
        <f t="shared" ref="H22:N22" si="62">CONCATENATE(BIN2HEX(H21,2))</f>
        <v>00</v>
      </c>
      <c r="I22" t="str">
        <f t="shared" si="62"/>
        <v>00</v>
      </c>
      <c r="J22" t="str">
        <f t="shared" si="62"/>
        <v>00</v>
      </c>
      <c r="K22" t="str">
        <f t="shared" si="62"/>
        <v>00</v>
      </c>
      <c r="L22" t="str">
        <f t="shared" si="62"/>
        <v>00</v>
      </c>
      <c r="M22" t="str">
        <f t="shared" si="62"/>
        <v>00</v>
      </c>
      <c r="N22" t="str">
        <f t="shared" si="62"/>
        <v>00</v>
      </c>
      <c r="O22" t="str">
        <f t="shared" ref="O22" si="63">CONCATENATE(BIN2HEX(O21,2))</f>
        <v>00</v>
      </c>
      <c r="Q22" t="str">
        <f>CONCATENATE(BIN2HEX(Q21,2))</f>
        <v>FF</v>
      </c>
      <c r="R22" t="str">
        <f t="shared" ref="R22:AA22" si="64">CONCATENATE(BIN2HEX(R21,2))</f>
        <v>FF</v>
      </c>
      <c r="S22" t="str">
        <f t="shared" si="64"/>
        <v>FF</v>
      </c>
      <c r="T22" t="str">
        <f t="shared" si="64"/>
        <v>FF</v>
      </c>
      <c r="U22" t="str">
        <f t="shared" si="64"/>
        <v>FF</v>
      </c>
      <c r="V22" t="str">
        <f t="shared" si="64"/>
        <v>FF</v>
      </c>
      <c r="W22" t="str">
        <f t="shared" si="64"/>
        <v>FF</v>
      </c>
      <c r="X22" t="str">
        <f t="shared" si="64"/>
        <v>FF</v>
      </c>
      <c r="Y22" t="str">
        <f t="shared" si="64"/>
        <v>FF</v>
      </c>
      <c r="Z22" t="str">
        <f t="shared" si="64"/>
        <v>FF</v>
      </c>
      <c r="AA22" t="str">
        <f t="shared" si="64"/>
        <v>FF</v>
      </c>
      <c r="AC22" t="str">
        <f>CONCATENATE(BIN2HEX(AC21,2))</f>
        <v>00</v>
      </c>
      <c r="AD22" t="str">
        <f t="shared" ref="AD22:AM22" si="65">CONCATENATE(BIN2HEX(AD21,2))</f>
        <v>00</v>
      </c>
      <c r="AE22" t="str">
        <f t="shared" si="65"/>
        <v>00</v>
      </c>
      <c r="AF22" t="str">
        <f t="shared" si="65"/>
        <v>00</v>
      </c>
      <c r="AG22" t="str">
        <f t="shared" si="65"/>
        <v>00</v>
      </c>
      <c r="AH22" t="str">
        <f t="shared" si="65"/>
        <v>00</v>
      </c>
      <c r="AI22" t="str">
        <f t="shared" si="65"/>
        <v>00</v>
      </c>
      <c r="AJ22" t="str">
        <f t="shared" si="65"/>
        <v>00</v>
      </c>
      <c r="AK22" t="str">
        <f t="shared" si="65"/>
        <v>00</v>
      </c>
      <c r="AL22" t="str">
        <f t="shared" si="65"/>
        <v>00</v>
      </c>
      <c r="AM22" t="str">
        <f t="shared" si="65"/>
        <v>00</v>
      </c>
      <c r="AO22" t="str">
        <f t="shared" ref="AO22:AY22" si="66">CONCATENATE(BIN2HEX(AO21,2))</f>
        <v>00</v>
      </c>
      <c r="AP22" t="str">
        <f t="shared" si="66"/>
        <v>00</v>
      </c>
      <c r="AQ22" t="str">
        <f t="shared" si="66"/>
        <v>00</v>
      </c>
      <c r="AR22" t="str">
        <f t="shared" si="66"/>
        <v>00</v>
      </c>
      <c r="AS22" t="str">
        <f t="shared" si="66"/>
        <v>00</v>
      </c>
      <c r="AT22" t="str">
        <f t="shared" si="66"/>
        <v>00</v>
      </c>
      <c r="AU22" t="str">
        <f t="shared" si="66"/>
        <v>00</v>
      </c>
      <c r="AV22" t="str">
        <f t="shared" si="66"/>
        <v>00</v>
      </c>
      <c r="AW22" t="str">
        <f t="shared" si="66"/>
        <v>00</v>
      </c>
      <c r="AX22" t="str">
        <f t="shared" si="66"/>
        <v>00</v>
      </c>
      <c r="AY22" t="str">
        <f t="shared" si="66"/>
        <v>00</v>
      </c>
      <c r="BA22" t="str">
        <f t="shared" ref="BA22:BK22" si="67">CONCATENATE(BIN2HEX(BA21,2))</f>
        <v>00</v>
      </c>
      <c r="BB22" t="str">
        <f t="shared" si="67"/>
        <v>00</v>
      </c>
      <c r="BC22" t="str">
        <f t="shared" si="67"/>
        <v>00</v>
      </c>
      <c r="BD22" t="str">
        <f t="shared" si="67"/>
        <v>00</v>
      </c>
      <c r="BE22" t="str">
        <f t="shared" si="67"/>
        <v>00</v>
      </c>
      <c r="BF22" t="str">
        <f t="shared" si="67"/>
        <v>00</v>
      </c>
      <c r="BG22" t="str">
        <f t="shared" si="67"/>
        <v>00</v>
      </c>
      <c r="BH22" t="str">
        <f t="shared" si="67"/>
        <v>00</v>
      </c>
      <c r="BI22" t="str">
        <f t="shared" si="67"/>
        <v>00</v>
      </c>
      <c r="BJ22" t="str">
        <f t="shared" si="67"/>
        <v>00</v>
      </c>
      <c r="BK22" t="str">
        <f t="shared" si="67"/>
        <v>00</v>
      </c>
    </row>
    <row r="23" spans="1:63" x14ac:dyDescent="0.25">
      <c r="A23" s="2"/>
      <c r="B23" s="2"/>
      <c r="D23" s="13" t="s">
        <v>215</v>
      </c>
      <c r="E23" t="str">
        <f t="shared" ref="E23:O23" si="68">CONCATENATE("0x",E22,E11)</f>
        <v>0x0000</v>
      </c>
      <c r="F23" t="str">
        <f t="shared" si="68"/>
        <v>0x0000</v>
      </c>
      <c r="G23" t="str">
        <f t="shared" si="68"/>
        <v>0x0004</v>
      </c>
      <c r="H23" t="str">
        <f t="shared" si="68"/>
        <v>0x0004</v>
      </c>
      <c r="I23" t="str">
        <f t="shared" si="68"/>
        <v>0x0004</v>
      </c>
      <c r="J23" t="str">
        <f t="shared" si="68"/>
        <v>0x0004</v>
      </c>
      <c r="K23" t="str">
        <f t="shared" si="68"/>
        <v>0x0004</v>
      </c>
      <c r="L23" t="str">
        <f t="shared" si="68"/>
        <v>0x0004</v>
      </c>
      <c r="M23" t="str">
        <f t="shared" si="68"/>
        <v>0x0004</v>
      </c>
      <c r="N23" t="str">
        <f t="shared" si="68"/>
        <v>0x0004</v>
      </c>
      <c r="O23" t="str">
        <f t="shared" si="68"/>
        <v>0x0004</v>
      </c>
      <c r="Q23" t="str">
        <f>CONCATENATE("0x",Q22,Q11)</f>
        <v>0xFFFB</v>
      </c>
      <c r="R23" t="str">
        <f t="shared" ref="R23:AA23" si="69">CONCATENATE("0x",R22,R11)</f>
        <v>0xFFFB</v>
      </c>
      <c r="S23" t="str">
        <f t="shared" si="69"/>
        <v>0xFFFB</v>
      </c>
      <c r="T23" t="str">
        <f t="shared" si="69"/>
        <v>0xFFFB</v>
      </c>
      <c r="U23" t="str">
        <f t="shared" si="69"/>
        <v>0xFFFB</v>
      </c>
      <c r="V23" t="str">
        <f t="shared" si="69"/>
        <v>0xFFFB</v>
      </c>
      <c r="W23" t="str">
        <f t="shared" si="69"/>
        <v>0xFFFB</v>
      </c>
      <c r="X23" t="str">
        <f t="shared" si="69"/>
        <v>0xFFFB</v>
      </c>
      <c r="Y23" t="str">
        <f t="shared" si="69"/>
        <v>0xFFFB</v>
      </c>
      <c r="Z23" t="str">
        <f t="shared" si="69"/>
        <v>0xFFFB</v>
      </c>
      <c r="AA23" t="str">
        <f t="shared" si="69"/>
        <v>0xFFFB</v>
      </c>
      <c r="AC23" t="str">
        <f>CONCATENATE("0x",AC22,AC11)</f>
        <v>0x0060</v>
      </c>
      <c r="AD23" t="str">
        <f t="shared" ref="AD23:BK23" si="70">CONCATENATE("0x",AD22,AD11)</f>
        <v>0x0060</v>
      </c>
      <c r="AE23" t="str">
        <f t="shared" si="70"/>
        <v>0x0060</v>
      </c>
      <c r="AF23" t="str">
        <f t="shared" si="70"/>
        <v>0x0060</v>
      </c>
      <c r="AG23" t="str">
        <f t="shared" si="70"/>
        <v>0x0060</v>
      </c>
      <c r="AH23" t="str">
        <f t="shared" si="70"/>
        <v>0x0060</v>
      </c>
      <c r="AI23" t="str">
        <f t="shared" si="70"/>
        <v>0x0060</v>
      </c>
      <c r="AJ23" t="str">
        <f t="shared" si="70"/>
        <v>0x0060</v>
      </c>
      <c r="AK23" t="str">
        <f t="shared" si="70"/>
        <v>0x0060</v>
      </c>
      <c r="AL23" t="str">
        <f t="shared" si="70"/>
        <v>0x0060</v>
      </c>
      <c r="AM23" t="str">
        <f t="shared" si="70"/>
        <v>0x0060</v>
      </c>
      <c r="AO23" t="str">
        <f t="shared" si="70"/>
        <v>0x0000</v>
      </c>
      <c r="AP23" t="str">
        <f t="shared" si="70"/>
        <v>0x0000</v>
      </c>
      <c r="AQ23" t="str">
        <f t="shared" si="70"/>
        <v>0x0000</v>
      </c>
      <c r="AR23" t="str">
        <f t="shared" si="70"/>
        <v>0x0000</v>
      </c>
      <c r="AS23" t="str">
        <f t="shared" si="70"/>
        <v>0x0000</v>
      </c>
      <c r="AT23" t="str">
        <f t="shared" si="70"/>
        <v>0x0000</v>
      </c>
      <c r="AU23" t="str">
        <f t="shared" si="70"/>
        <v>0x0000</v>
      </c>
      <c r="AV23" t="str">
        <f t="shared" si="70"/>
        <v>0x0000</v>
      </c>
      <c r="AW23" t="str">
        <f t="shared" si="70"/>
        <v>0x0000</v>
      </c>
      <c r="AX23" t="str">
        <f t="shared" si="70"/>
        <v>0x0000</v>
      </c>
      <c r="AY23" t="str">
        <f t="shared" si="70"/>
        <v>0x0000</v>
      </c>
      <c r="BA23" t="str">
        <f t="shared" si="70"/>
        <v>0x0000</v>
      </c>
      <c r="BB23" t="str">
        <f t="shared" si="70"/>
        <v>0x0000</v>
      </c>
      <c r="BC23" t="str">
        <f t="shared" si="70"/>
        <v>0x0000</v>
      </c>
      <c r="BD23" t="str">
        <f t="shared" si="70"/>
        <v>0x0000</v>
      </c>
      <c r="BE23" t="str">
        <f t="shared" si="70"/>
        <v>0x0000</v>
      </c>
      <c r="BF23" t="str">
        <f t="shared" si="70"/>
        <v>0x0000</v>
      </c>
      <c r="BG23" t="str">
        <f t="shared" si="70"/>
        <v>0x0000</v>
      </c>
      <c r="BH23" t="str">
        <f t="shared" si="70"/>
        <v>0x0000</v>
      </c>
      <c r="BI23" t="str">
        <f t="shared" si="70"/>
        <v>0x0000</v>
      </c>
      <c r="BJ23" t="str">
        <f t="shared" si="70"/>
        <v>0x0000</v>
      </c>
      <c r="BK23" t="str">
        <f t="shared" si="70"/>
        <v>0x0000</v>
      </c>
    </row>
    <row r="24" spans="1:63" x14ac:dyDescent="0.25">
      <c r="A24" s="2"/>
      <c r="B24" s="2"/>
      <c r="D24" s="13" t="s">
        <v>216</v>
      </c>
      <c r="E24" t="str">
        <f>Q23</f>
        <v>0xFFFB</v>
      </c>
      <c r="F24" t="str">
        <f>R23</f>
        <v>0xFFFB</v>
      </c>
      <c r="G24" t="str">
        <f t="shared" ref="G24:O24" si="71">S23</f>
        <v>0xFFFB</v>
      </c>
      <c r="H24" t="str">
        <f t="shared" si="71"/>
        <v>0xFFFB</v>
      </c>
      <c r="I24" t="str">
        <f t="shared" si="71"/>
        <v>0xFFFB</v>
      </c>
      <c r="J24" t="str">
        <f t="shared" si="71"/>
        <v>0xFFFB</v>
      </c>
      <c r="K24" t="str">
        <f t="shared" si="71"/>
        <v>0xFFFB</v>
      </c>
      <c r="L24" t="str">
        <f t="shared" si="71"/>
        <v>0xFFFB</v>
      </c>
      <c r="M24" t="str">
        <f t="shared" si="71"/>
        <v>0xFFFB</v>
      </c>
      <c r="N24" t="str">
        <f t="shared" si="71"/>
        <v>0xFFFB</v>
      </c>
      <c r="O24" t="str">
        <f t="shared" si="71"/>
        <v>0xFFFB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0x0060</v>
      </c>
      <c r="F25" t="str">
        <f t="shared" ref="F25:O25" si="72">AD23</f>
        <v>0x0060</v>
      </c>
      <c r="G25" t="str">
        <f t="shared" si="72"/>
        <v>0x0060</v>
      </c>
      <c r="H25" t="str">
        <f t="shared" si="72"/>
        <v>0x0060</v>
      </c>
      <c r="I25" t="str">
        <f t="shared" si="72"/>
        <v>0x0060</v>
      </c>
      <c r="J25" t="str">
        <f t="shared" si="72"/>
        <v>0x0060</v>
      </c>
      <c r="K25" t="str">
        <f t="shared" si="72"/>
        <v>0x0060</v>
      </c>
      <c r="L25" t="str">
        <f t="shared" si="72"/>
        <v>0x0060</v>
      </c>
      <c r="M25" t="str">
        <f t="shared" si="72"/>
        <v>0x0060</v>
      </c>
      <c r="N25" t="str">
        <f t="shared" si="72"/>
        <v>0x0060</v>
      </c>
      <c r="O25" t="str">
        <f t="shared" si="72"/>
        <v>0x0060</v>
      </c>
    </row>
    <row r="26" spans="1:63" x14ac:dyDescent="0.25">
      <c r="A26" s="2" t="s">
        <v>42</v>
      </c>
      <c r="B26" s="11" t="s">
        <v>36</v>
      </c>
      <c r="C26" s="10" t="s">
        <v>156</v>
      </c>
      <c r="D26" s="13" t="s">
        <v>209</v>
      </c>
      <c r="E26" t="str">
        <f>AO23</f>
        <v>0x0000</v>
      </c>
      <c r="F26" t="str">
        <f t="shared" ref="F26:O26" si="73">AP23</f>
        <v>0x0000</v>
      </c>
      <c r="G26" t="str">
        <f t="shared" si="73"/>
        <v>0x0000</v>
      </c>
      <c r="H26" t="str">
        <f t="shared" si="73"/>
        <v>0x0000</v>
      </c>
      <c r="I26" t="str">
        <f t="shared" si="73"/>
        <v>0x0000</v>
      </c>
      <c r="J26" t="str">
        <f t="shared" si="73"/>
        <v>0x0000</v>
      </c>
      <c r="K26" t="str">
        <f t="shared" si="73"/>
        <v>0x0000</v>
      </c>
      <c r="L26" t="str">
        <f t="shared" si="73"/>
        <v>0x0000</v>
      </c>
      <c r="M26" t="str">
        <f t="shared" si="73"/>
        <v>0x0000</v>
      </c>
      <c r="N26" t="str">
        <f t="shared" si="73"/>
        <v>0x0000</v>
      </c>
      <c r="O26" t="str">
        <f t="shared" si="73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74">BB23</f>
        <v>0x0000</v>
      </c>
      <c r="G27" t="str">
        <f t="shared" si="74"/>
        <v>0x0000</v>
      </c>
      <c r="H27" t="str">
        <f t="shared" si="74"/>
        <v>0x0000</v>
      </c>
      <c r="I27" t="str">
        <f t="shared" si="74"/>
        <v>0x0000</v>
      </c>
      <c r="J27" t="str">
        <f t="shared" si="74"/>
        <v>0x0000</v>
      </c>
      <c r="K27" t="str">
        <f t="shared" si="74"/>
        <v>0x0000</v>
      </c>
      <c r="L27" t="str">
        <f t="shared" si="74"/>
        <v>0x0000</v>
      </c>
      <c r="M27" t="str">
        <f t="shared" si="74"/>
        <v>0x0000</v>
      </c>
      <c r="N27" t="str">
        <f t="shared" si="74"/>
        <v>0x0000</v>
      </c>
      <c r="O27" t="str">
        <f t="shared" si="74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221</v>
      </c>
    </row>
    <row r="31" spans="1:63" x14ac:dyDescent="0.25">
      <c r="A31" s="4" t="str">
        <f ca="1">CONCATENATE("#",C$26,":",INDIRECT(H33))</f>
        <v>#I2C_Expander_00:wartość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0x20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0xFFFB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#I2C_Expander_00:etap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0x20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0xFFFB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0x0000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75">INDIRECT(H57)</f>
        <v>0x0060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76">INDIRECT(G58)</f>
        <v>#pins_int</v>
      </c>
      <c r="B58" s="4" t="str">
        <f t="shared" ca="1" si="75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76"/>
        <v>#pins_def_val</v>
      </c>
      <c r="B59" s="4" t="str">
        <f t="shared" ca="1" si="75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#I2C_Expander_00:etap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0x20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0xFFFB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0x0004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77">INDIRECT(H77)</f>
        <v>0x0060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78">INDIRECT(G78)</f>
        <v>#pins_int</v>
      </c>
      <c r="B78" s="4" t="str">
        <f t="shared" ca="1" si="77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78"/>
        <v>#pins_def_val</v>
      </c>
      <c r="B79" s="4" t="str">
        <f t="shared" ca="1" si="77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#I2C_Expander_00:etap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0x20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0xFFFB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0x0004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79">INDIRECT(H97)</f>
        <v>0x0060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80">INDIRECT(G98)</f>
        <v>#pins_int</v>
      </c>
      <c r="B98" s="4" t="str">
        <f t="shared" ca="1" si="79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80"/>
        <v>#pins_def_val</v>
      </c>
      <c r="B99" s="4" t="str">
        <f t="shared" ca="1" si="79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#I2C_Expander_00:etap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0x20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0xFFFB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0x0004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81">INDIRECT(H117)</f>
        <v>0x0060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82">INDIRECT(G118)</f>
        <v>#pins_int</v>
      </c>
      <c r="B118" s="4" t="str">
        <f t="shared" ca="1" si="81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82"/>
        <v>#pins_def_val</v>
      </c>
      <c r="B119" s="4" t="str">
        <f t="shared" ca="1" si="81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#I2C_Expander_00:etap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0x20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0xFFFB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0x0004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83">INDIRECT(H137)</f>
        <v>0x0060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84">INDIRECT(G138)</f>
        <v>#pins_int</v>
      </c>
      <c r="B138" s="4" t="str">
        <f t="shared" ca="1" si="83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84"/>
        <v>#pins_def_val</v>
      </c>
      <c r="B139" s="4" t="str">
        <f t="shared" ca="1" si="83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#I2C_Expander_00:etap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0x20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0xFFFB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0x0004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85">INDIRECT(H157)</f>
        <v>0x0060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86">INDIRECT(G158)</f>
        <v>#pins_int</v>
      </c>
      <c r="B158" s="4" t="str">
        <f t="shared" ca="1" si="85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86"/>
        <v>#pins_def_val</v>
      </c>
      <c r="B159" s="4" t="str">
        <f t="shared" ca="1" si="85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#I2C_Expander_00:etap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0x20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0xFFFB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0x0004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87">INDIRECT(H177)</f>
        <v>0x0060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88">INDIRECT(G178)</f>
        <v>#pins_int</v>
      </c>
      <c r="B178" s="4" t="str">
        <f t="shared" ca="1" si="87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88"/>
        <v>#pins_def_val</v>
      </c>
      <c r="B179" s="4" t="str">
        <f t="shared" ca="1" si="87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#I2C_Expander_00:etap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0x20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0xFFFB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0x0004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89">INDIRECT(H197)</f>
        <v>0x0060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90">INDIRECT(G198)</f>
        <v>#pins_int</v>
      </c>
      <c r="B198" s="4" t="str">
        <f t="shared" ca="1" si="89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90"/>
        <v>#pins_def_val</v>
      </c>
      <c r="B199" s="4" t="str">
        <f t="shared" ca="1" si="89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#I2C_Expander_00:etap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0x20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0xFFFB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0x0004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91">INDIRECT(H217)</f>
        <v>0x0060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92">INDIRECT(G218)</f>
        <v>#pins_int</v>
      </c>
      <c r="B218" s="4" t="str">
        <f t="shared" ca="1" si="91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92"/>
        <v>#pins_def_val</v>
      </c>
      <c r="B219" s="4" t="str">
        <f t="shared" ca="1" si="91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#I2C_Expander_00:etap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0x20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0xFFFB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0x0004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93">INDIRECT(H237)</f>
        <v>0x0060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94">INDIRECT(G238)</f>
        <v>#pins_int</v>
      </c>
      <c r="B238" s="4" t="str">
        <f t="shared" ca="1" si="93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94"/>
        <v>#pins_def_val</v>
      </c>
      <c r="B239" s="4" t="str">
        <f t="shared" ca="1" si="93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7" priority="1" stopIfTrue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A31" sqref="A31:H37"/>
    </sheetView>
  </sheetViews>
  <sheetFormatPr defaultRowHeight="15" x14ac:dyDescent="0.25"/>
  <cols>
    <col min="1" max="1" width="18.5703125" customWidth="1"/>
    <col min="3" max="3" width="23.42578125" bestFit="1" customWidth="1"/>
    <col min="4" max="4" width="47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255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C2" s="10" t="s">
        <v>118</v>
      </c>
      <c r="E2" s="10">
        <v>0</v>
      </c>
      <c r="F2" s="10">
        <v>0</v>
      </c>
      <c r="G2" s="10">
        <v>0</v>
      </c>
      <c r="H2" s="10">
        <f>G2</f>
        <v>0</v>
      </c>
      <c r="I2" s="10">
        <f t="shared" ref="I2:O2" si="0">H2</f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Q2" s="10">
        <v>1</v>
      </c>
      <c r="R2" s="10">
        <f>Q2</f>
        <v>1</v>
      </c>
      <c r="S2" s="10">
        <f t="shared" ref="S2:AA2" si="1">R2</f>
        <v>1</v>
      </c>
      <c r="T2" s="10">
        <f t="shared" si="1"/>
        <v>1</v>
      </c>
      <c r="U2" s="10">
        <f t="shared" si="1"/>
        <v>1</v>
      </c>
      <c r="V2" s="10">
        <f t="shared" si="1"/>
        <v>1</v>
      </c>
      <c r="W2" s="10">
        <f t="shared" si="1"/>
        <v>1</v>
      </c>
      <c r="X2" s="10">
        <f t="shared" si="1"/>
        <v>1</v>
      </c>
      <c r="Y2" s="10">
        <f t="shared" si="1"/>
        <v>1</v>
      </c>
      <c r="Z2" s="10">
        <f t="shared" si="1"/>
        <v>1</v>
      </c>
      <c r="AA2" s="10">
        <f t="shared" si="1"/>
        <v>1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C3" s="10" t="s">
        <v>118</v>
      </c>
      <c r="E3" s="10">
        <v>0</v>
      </c>
      <c r="F3" s="10">
        <v>0</v>
      </c>
      <c r="G3" s="10">
        <v>0</v>
      </c>
      <c r="H3" s="10">
        <f t="shared" ref="H3:O9" si="5">G3</f>
        <v>0</v>
      </c>
      <c r="I3" s="10">
        <f t="shared" si="5"/>
        <v>0</v>
      </c>
      <c r="J3" s="10">
        <f t="shared" si="5"/>
        <v>0</v>
      </c>
      <c r="K3" s="10">
        <f t="shared" si="5"/>
        <v>0</v>
      </c>
      <c r="L3" s="10">
        <f t="shared" si="5"/>
        <v>0</v>
      </c>
      <c r="M3" s="10">
        <f t="shared" si="5"/>
        <v>0</v>
      </c>
      <c r="N3" s="10">
        <f t="shared" si="5"/>
        <v>0</v>
      </c>
      <c r="O3" s="10">
        <f t="shared" si="5"/>
        <v>0</v>
      </c>
      <c r="Q3" s="10">
        <v>1</v>
      </c>
      <c r="R3" s="10">
        <f t="shared" ref="R3:AA9" si="6">Q3</f>
        <v>1</v>
      </c>
      <c r="S3" s="10">
        <f t="shared" si="6"/>
        <v>1</v>
      </c>
      <c r="T3" s="10">
        <f t="shared" si="6"/>
        <v>1</v>
      </c>
      <c r="U3" s="10">
        <f t="shared" si="6"/>
        <v>1</v>
      </c>
      <c r="V3" s="10">
        <f t="shared" si="6"/>
        <v>1</v>
      </c>
      <c r="W3" s="10">
        <f t="shared" si="6"/>
        <v>1</v>
      </c>
      <c r="X3" s="10">
        <f t="shared" si="6"/>
        <v>1</v>
      </c>
      <c r="Y3" s="10">
        <f t="shared" si="6"/>
        <v>1</v>
      </c>
      <c r="Z3" s="10">
        <f t="shared" si="6"/>
        <v>1</v>
      </c>
      <c r="AA3" s="10">
        <f t="shared" si="6"/>
        <v>1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C4" s="10" t="s">
        <v>118</v>
      </c>
      <c r="E4" s="10">
        <v>0</v>
      </c>
      <c r="F4" s="10">
        <v>0</v>
      </c>
      <c r="G4" s="10">
        <v>0</v>
      </c>
      <c r="H4" s="10">
        <f t="shared" si="5"/>
        <v>0</v>
      </c>
      <c r="I4" s="10">
        <f t="shared" si="5"/>
        <v>0</v>
      </c>
      <c r="J4" s="10">
        <f t="shared" si="5"/>
        <v>0</v>
      </c>
      <c r="K4" s="10">
        <f t="shared" si="5"/>
        <v>0</v>
      </c>
      <c r="L4" s="10">
        <f t="shared" si="5"/>
        <v>0</v>
      </c>
      <c r="M4" s="10">
        <f t="shared" si="5"/>
        <v>0</v>
      </c>
      <c r="N4" s="10">
        <f t="shared" si="5"/>
        <v>0</v>
      </c>
      <c r="O4" s="10">
        <f t="shared" si="5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C5" s="10" t="s">
        <v>118</v>
      </c>
      <c r="E5" s="10">
        <v>0</v>
      </c>
      <c r="F5" s="10">
        <v>0</v>
      </c>
      <c r="G5" s="10">
        <v>0</v>
      </c>
      <c r="H5" s="10">
        <f t="shared" si="5"/>
        <v>0</v>
      </c>
      <c r="I5" s="10">
        <f t="shared" si="5"/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0</v>
      </c>
      <c r="AD5" s="10">
        <f t="shared" si="7"/>
        <v>0</v>
      </c>
      <c r="AE5" s="10">
        <f t="shared" si="7"/>
        <v>0</v>
      </c>
      <c r="AF5" s="10">
        <f t="shared" si="7"/>
        <v>0</v>
      </c>
      <c r="AG5" s="10">
        <f t="shared" si="7"/>
        <v>0</v>
      </c>
      <c r="AH5" s="10">
        <f t="shared" si="7"/>
        <v>0</v>
      </c>
      <c r="AI5" s="10">
        <f t="shared" si="7"/>
        <v>0</v>
      </c>
      <c r="AJ5" s="10">
        <f t="shared" si="7"/>
        <v>0</v>
      </c>
      <c r="AK5" s="10">
        <f t="shared" si="7"/>
        <v>0</v>
      </c>
      <c r="AL5" s="10">
        <f t="shared" si="7"/>
        <v>0</v>
      </c>
      <c r="AM5" s="10">
        <f t="shared" si="7"/>
        <v>0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C6" s="10" t="s">
        <v>118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C7" s="10" t="s">
        <v>165</v>
      </c>
      <c r="D7" s="10" t="s">
        <v>166</v>
      </c>
      <c r="E7" s="10">
        <v>0</v>
      </c>
      <c r="F7" s="10">
        <v>0</v>
      </c>
      <c r="G7" s="10"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1</v>
      </c>
      <c r="R7" s="10">
        <f t="shared" si="6"/>
        <v>1</v>
      </c>
      <c r="S7" s="10">
        <f t="shared" si="6"/>
        <v>1</v>
      </c>
      <c r="T7" s="10">
        <f t="shared" si="6"/>
        <v>1</v>
      </c>
      <c r="U7" s="10">
        <f t="shared" si="6"/>
        <v>1</v>
      </c>
      <c r="V7" s="10">
        <f t="shared" si="6"/>
        <v>1</v>
      </c>
      <c r="W7" s="10">
        <f t="shared" si="6"/>
        <v>1</v>
      </c>
      <c r="X7" s="10">
        <f t="shared" si="6"/>
        <v>1</v>
      </c>
      <c r="Y7" s="10">
        <f t="shared" si="6"/>
        <v>1</v>
      </c>
      <c r="Z7" s="10">
        <f t="shared" si="6"/>
        <v>1</v>
      </c>
      <c r="AA7" s="10">
        <f t="shared" si="6"/>
        <v>1</v>
      </c>
      <c r="AC7" s="10">
        <v>1</v>
      </c>
      <c r="AD7" s="10">
        <f t="shared" si="7"/>
        <v>1</v>
      </c>
      <c r="AE7" s="10">
        <f t="shared" si="7"/>
        <v>1</v>
      </c>
      <c r="AF7" s="10">
        <f t="shared" si="7"/>
        <v>1</v>
      </c>
      <c r="AG7" s="10">
        <f t="shared" si="7"/>
        <v>1</v>
      </c>
      <c r="AH7" s="10">
        <f t="shared" si="7"/>
        <v>1</v>
      </c>
      <c r="AI7" s="10">
        <f t="shared" si="7"/>
        <v>1</v>
      </c>
      <c r="AJ7" s="10">
        <f t="shared" si="7"/>
        <v>1</v>
      </c>
      <c r="AK7" s="10">
        <f t="shared" si="7"/>
        <v>1</v>
      </c>
      <c r="AL7" s="10">
        <f t="shared" si="7"/>
        <v>1</v>
      </c>
      <c r="AM7" s="10">
        <f t="shared" si="7"/>
        <v>1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C8" s="10" t="s">
        <v>118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si="6"/>
        <v>1</v>
      </c>
      <c r="S8" s="10">
        <f t="shared" si="6"/>
        <v>1</v>
      </c>
      <c r="T8" s="10">
        <f t="shared" si="6"/>
        <v>1</v>
      </c>
      <c r="U8" s="10">
        <f t="shared" si="6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C8" s="10">
        <v>0</v>
      </c>
      <c r="AD8" s="10">
        <f t="shared" si="7"/>
        <v>0</v>
      </c>
      <c r="AE8" s="10">
        <f t="shared" si="7"/>
        <v>0</v>
      </c>
      <c r="AF8" s="10">
        <f t="shared" si="7"/>
        <v>0</v>
      </c>
      <c r="AG8" s="10">
        <f t="shared" si="7"/>
        <v>0</v>
      </c>
      <c r="AH8" s="10">
        <f t="shared" si="7"/>
        <v>0</v>
      </c>
      <c r="AI8" s="10">
        <f t="shared" si="7"/>
        <v>0</v>
      </c>
      <c r="AJ8" s="10">
        <f t="shared" si="7"/>
        <v>0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C9" s="10" t="s">
        <v>118</v>
      </c>
      <c r="E9" s="10">
        <v>0</v>
      </c>
      <c r="F9" s="10">
        <v>0</v>
      </c>
      <c r="G9" s="10"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10">
        <f t="shared" si="5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E10" t="str">
        <f t="shared" ref="E10:AA10" si="10">CONCATENATE(E9,E8,E7,E6,E5,E4,E3,E2)</f>
        <v>00000000</v>
      </c>
      <c r="F10" t="str">
        <f t="shared" si="10"/>
        <v>00000000</v>
      </c>
      <c r="G10" t="str">
        <f t="shared" si="10"/>
        <v>00000000</v>
      </c>
      <c r="H10" t="str">
        <f t="shared" si="10"/>
        <v>00000000</v>
      </c>
      <c r="I10" t="str">
        <f t="shared" si="10"/>
        <v>00000000</v>
      </c>
      <c r="J10" t="str">
        <f t="shared" si="10"/>
        <v>00000000</v>
      </c>
      <c r="K10" t="str">
        <f t="shared" si="10"/>
        <v>00000000</v>
      </c>
      <c r="L10" t="str">
        <f t="shared" si="10"/>
        <v>00000000</v>
      </c>
      <c r="M10" t="str">
        <f t="shared" si="10"/>
        <v>00000000</v>
      </c>
      <c r="N10" t="str">
        <f t="shared" si="10"/>
        <v>00000000</v>
      </c>
      <c r="O10" t="str">
        <f t="shared" si="10"/>
        <v>00000000</v>
      </c>
      <c r="Q10" t="str">
        <f t="shared" si="10"/>
        <v>11111111</v>
      </c>
      <c r="R10" t="str">
        <f t="shared" si="10"/>
        <v>11111111</v>
      </c>
      <c r="S10" t="str">
        <f t="shared" si="10"/>
        <v>11111111</v>
      </c>
      <c r="T10" t="str">
        <f t="shared" si="10"/>
        <v>11111111</v>
      </c>
      <c r="U10" t="str">
        <f t="shared" si="10"/>
        <v>11111111</v>
      </c>
      <c r="V10" t="str">
        <f t="shared" si="10"/>
        <v>11111111</v>
      </c>
      <c r="W10" t="str">
        <f t="shared" si="10"/>
        <v>11111111</v>
      </c>
      <c r="X10" t="str">
        <f t="shared" si="10"/>
        <v>11111111</v>
      </c>
      <c r="Y10" t="str">
        <f t="shared" si="10"/>
        <v>11111111</v>
      </c>
      <c r="Z10" t="str">
        <f t="shared" si="10"/>
        <v>11111111</v>
      </c>
      <c r="AA10" t="str">
        <f t="shared" si="10"/>
        <v>11111111</v>
      </c>
      <c r="AC10" t="str">
        <f>CONCATENATE(AC9,AC8,AC7,AC6,AC5,AC4,AC3,AC2)</f>
        <v>00100000</v>
      </c>
      <c r="AD10" t="str">
        <f t="shared" ref="AD10:AM10" si="11">CONCATENATE(AD9,AD8,AD7,AD6,AD5,AD4,AD3,AD2)</f>
        <v>00100000</v>
      </c>
      <c r="AE10" t="str">
        <f t="shared" si="11"/>
        <v>00100000</v>
      </c>
      <c r="AF10" t="str">
        <f t="shared" si="11"/>
        <v>00100000</v>
      </c>
      <c r="AG10" t="str">
        <f t="shared" si="11"/>
        <v>00100000</v>
      </c>
      <c r="AH10" t="str">
        <f t="shared" si="11"/>
        <v>00100000</v>
      </c>
      <c r="AI10" t="str">
        <f t="shared" si="11"/>
        <v>00100000</v>
      </c>
      <c r="AJ10" t="str">
        <f t="shared" si="11"/>
        <v>00100000</v>
      </c>
      <c r="AK10" t="str">
        <f t="shared" si="11"/>
        <v>00100000</v>
      </c>
      <c r="AL10" t="str">
        <f t="shared" si="11"/>
        <v>00100000</v>
      </c>
      <c r="AM10" t="str">
        <f t="shared" si="11"/>
        <v>00100000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E11" t="str">
        <f t="shared" ref="E11:AA11" si="14">CONCATENATE(BIN2HEX(E10,2))</f>
        <v>00</v>
      </c>
      <c r="F11" t="str">
        <f t="shared" si="14"/>
        <v>00</v>
      </c>
      <c r="G11" t="str">
        <f t="shared" si="14"/>
        <v>00</v>
      </c>
      <c r="H11" t="str">
        <f t="shared" si="14"/>
        <v>00</v>
      </c>
      <c r="I11" t="str">
        <f t="shared" si="14"/>
        <v>00</v>
      </c>
      <c r="J11" t="str">
        <f t="shared" si="14"/>
        <v>00</v>
      </c>
      <c r="K11" t="str">
        <f t="shared" si="14"/>
        <v>00</v>
      </c>
      <c r="L11" t="str">
        <f t="shared" si="14"/>
        <v>00</v>
      </c>
      <c r="M11" t="str">
        <f t="shared" si="14"/>
        <v>00</v>
      </c>
      <c r="N11" t="str">
        <f t="shared" si="14"/>
        <v>00</v>
      </c>
      <c r="O11" t="str">
        <f t="shared" si="14"/>
        <v>00</v>
      </c>
      <c r="Q11" t="str">
        <f t="shared" si="14"/>
        <v>FF</v>
      </c>
      <c r="R11" t="str">
        <f t="shared" si="14"/>
        <v>FF</v>
      </c>
      <c r="S11" t="str">
        <f t="shared" si="14"/>
        <v>FF</v>
      </c>
      <c r="T11" t="str">
        <f t="shared" si="14"/>
        <v>FF</v>
      </c>
      <c r="U11" t="str">
        <f t="shared" si="14"/>
        <v>FF</v>
      </c>
      <c r="V11" t="str">
        <f t="shared" si="14"/>
        <v>FF</v>
      </c>
      <c r="W11" t="str">
        <f t="shared" si="14"/>
        <v>FF</v>
      </c>
      <c r="X11" t="str">
        <f t="shared" si="14"/>
        <v>FF</v>
      </c>
      <c r="Y11" t="str">
        <f t="shared" si="14"/>
        <v>FF</v>
      </c>
      <c r="Z11" t="str">
        <f t="shared" si="14"/>
        <v>FF</v>
      </c>
      <c r="AA11" t="str">
        <f t="shared" si="14"/>
        <v>FF</v>
      </c>
      <c r="AC11" t="str">
        <f>CONCATENATE(BIN2HEX(AC10,2))</f>
        <v>20</v>
      </c>
      <c r="AD11" t="str">
        <f t="shared" ref="AD11:AM11" si="15">CONCATENATE(BIN2HEX(AD10,2))</f>
        <v>20</v>
      </c>
      <c r="AE11" t="str">
        <f t="shared" si="15"/>
        <v>20</v>
      </c>
      <c r="AF11" t="str">
        <f t="shared" si="15"/>
        <v>20</v>
      </c>
      <c r="AG11" t="str">
        <f t="shared" si="15"/>
        <v>20</v>
      </c>
      <c r="AH11" t="str">
        <f t="shared" si="15"/>
        <v>20</v>
      </c>
      <c r="AI11" t="str">
        <f t="shared" si="15"/>
        <v>20</v>
      </c>
      <c r="AJ11" t="str">
        <f t="shared" si="15"/>
        <v>20</v>
      </c>
      <c r="AK11" t="str">
        <f t="shared" si="15"/>
        <v>20</v>
      </c>
      <c r="AL11" t="str">
        <f t="shared" si="15"/>
        <v>20</v>
      </c>
      <c r="AM11" t="str">
        <f t="shared" si="15"/>
        <v>20</v>
      </c>
      <c r="AO11" t="str">
        <f t="shared" ref="AO11:AY11" si="16">CONCATENATE(BIN2HEX(AO10,2))</f>
        <v>00</v>
      </c>
      <c r="AP11" t="str">
        <f t="shared" si="16"/>
        <v>00</v>
      </c>
      <c r="AQ11" t="str">
        <f t="shared" si="16"/>
        <v>00</v>
      </c>
      <c r="AR11" t="str">
        <f t="shared" si="16"/>
        <v>00</v>
      </c>
      <c r="AS11" t="str">
        <f t="shared" si="16"/>
        <v>00</v>
      </c>
      <c r="AT11" t="str">
        <f t="shared" si="16"/>
        <v>00</v>
      </c>
      <c r="AU11" t="str">
        <f t="shared" si="16"/>
        <v>00</v>
      </c>
      <c r="AV11" t="str">
        <f t="shared" si="16"/>
        <v>00</v>
      </c>
      <c r="AW11" t="str">
        <f t="shared" si="16"/>
        <v>00</v>
      </c>
      <c r="AX11" t="str">
        <f t="shared" si="16"/>
        <v>00</v>
      </c>
      <c r="AY11" t="str">
        <f t="shared" si="16"/>
        <v>00</v>
      </c>
      <c r="BA11" t="str">
        <f t="shared" ref="BA11:BK11" si="17">CONCATENATE(BIN2HEX(BA10,2))</f>
        <v>00</v>
      </c>
      <c r="BB11" t="str">
        <f t="shared" si="17"/>
        <v>00</v>
      </c>
      <c r="BC11" t="str">
        <f t="shared" si="17"/>
        <v>00</v>
      </c>
      <c r="BD11" t="str">
        <f t="shared" si="17"/>
        <v>00</v>
      </c>
      <c r="BE11" t="str">
        <f t="shared" si="17"/>
        <v>00</v>
      </c>
      <c r="BF11" t="str">
        <f t="shared" si="17"/>
        <v>00</v>
      </c>
      <c r="BG11" t="str">
        <f t="shared" si="17"/>
        <v>00</v>
      </c>
      <c r="BH11" t="str">
        <f t="shared" si="17"/>
        <v>00</v>
      </c>
      <c r="BI11" t="str">
        <f t="shared" si="17"/>
        <v>00</v>
      </c>
      <c r="BJ11" t="str">
        <f t="shared" si="17"/>
        <v>00</v>
      </c>
      <c r="BK11" t="str">
        <f t="shared" si="17"/>
        <v>00</v>
      </c>
    </row>
    <row r="12" spans="1:63" x14ac:dyDescent="0.25">
      <c r="A12" s="2"/>
    </row>
    <row r="13" spans="1:63" s="10" customFormat="1" x14ac:dyDescent="0.25">
      <c r="A13" s="11"/>
      <c r="C13" s="10" t="s">
        <v>118</v>
      </c>
      <c r="E13" s="10">
        <v>0</v>
      </c>
      <c r="F13" s="10">
        <v>0</v>
      </c>
      <c r="G13" s="10">
        <v>0</v>
      </c>
      <c r="H13" s="10">
        <f>G13</f>
        <v>0</v>
      </c>
      <c r="I13" s="10">
        <f t="shared" ref="I13:O13" si="18">H13</f>
        <v>0</v>
      </c>
      <c r="J13" s="10">
        <f t="shared" si="18"/>
        <v>0</v>
      </c>
      <c r="K13" s="10">
        <f t="shared" si="18"/>
        <v>0</v>
      </c>
      <c r="L13" s="10">
        <f t="shared" si="18"/>
        <v>0</v>
      </c>
      <c r="M13" s="10">
        <f t="shared" si="18"/>
        <v>0</v>
      </c>
      <c r="N13" s="10">
        <f t="shared" si="18"/>
        <v>0</v>
      </c>
      <c r="O13" s="10">
        <f t="shared" si="18"/>
        <v>0</v>
      </c>
      <c r="Q13" s="10">
        <v>1</v>
      </c>
      <c r="R13" s="10">
        <f>Q13</f>
        <v>1</v>
      </c>
      <c r="S13" s="10">
        <f t="shared" ref="S13:AA13" si="19">R13</f>
        <v>1</v>
      </c>
      <c r="T13" s="10">
        <f t="shared" si="19"/>
        <v>1</v>
      </c>
      <c r="U13" s="10">
        <f t="shared" si="19"/>
        <v>1</v>
      </c>
      <c r="V13" s="10">
        <f t="shared" si="19"/>
        <v>1</v>
      </c>
      <c r="W13" s="10">
        <f t="shared" si="19"/>
        <v>1</v>
      </c>
      <c r="X13" s="10">
        <f t="shared" si="19"/>
        <v>1</v>
      </c>
      <c r="Y13" s="10">
        <f t="shared" si="19"/>
        <v>1</v>
      </c>
      <c r="Z13" s="10">
        <f t="shared" si="19"/>
        <v>1</v>
      </c>
      <c r="AA13" s="10">
        <f t="shared" si="19"/>
        <v>1</v>
      </c>
      <c r="AC13" s="10">
        <v>0</v>
      </c>
      <c r="AD13" s="10">
        <f>AC13</f>
        <v>0</v>
      </c>
      <c r="AE13" s="10">
        <f t="shared" ref="AE13:AM13" si="20">AD13</f>
        <v>0</v>
      </c>
      <c r="AF13" s="10">
        <f t="shared" si="20"/>
        <v>0</v>
      </c>
      <c r="AG13" s="10">
        <f t="shared" si="20"/>
        <v>0</v>
      </c>
      <c r="AH13" s="10">
        <f t="shared" si="20"/>
        <v>0</v>
      </c>
      <c r="AI13" s="10">
        <f t="shared" si="20"/>
        <v>0</v>
      </c>
      <c r="AJ13" s="10">
        <f t="shared" si="20"/>
        <v>0</v>
      </c>
      <c r="AK13" s="10">
        <f t="shared" si="20"/>
        <v>0</v>
      </c>
      <c r="AL13" s="10">
        <f t="shared" si="20"/>
        <v>0</v>
      </c>
      <c r="AM13" s="10">
        <f t="shared" si="20"/>
        <v>0</v>
      </c>
      <c r="AO13" s="10">
        <v>0</v>
      </c>
      <c r="AP13" s="10">
        <f>AO13</f>
        <v>0</v>
      </c>
      <c r="AQ13" s="10">
        <f t="shared" ref="AQ13:AY13" si="21">AP13</f>
        <v>0</v>
      </c>
      <c r="AR13" s="10">
        <f t="shared" si="21"/>
        <v>0</v>
      </c>
      <c r="AS13" s="10">
        <f t="shared" si="21"/>
        <v>0</v>
      </c>
      <c r="AT13" s="10">
        <f t="shared" si="21"/>
        <v>0</v>
      </c>
      <c r="AU13" s="10">
        <f t="shared" si="21"/>
        <v>0</v>
      </c>
      <c r="AV13" s="10">
        <f t="shared" si="21"/>
        <v>0</v>
      </c>
      <c r="AW13" s="10">
        <f t="shared" si="21"/>
        <v>0</v>
      </c>
      <c r="AX13" s="10">
        <f t="shared" si="21"/>
        <v>0</v>
      </c>
      <c r="AY13" s="10">
        <f t="shared" si="21"/>
        <v>0</v>
      </c>
      <c r="BA13" s="10">
        <v>0</v>
      </c>
      <c r="BB13" s="10">
        <f>BA13</f>
        <v>0</v>
      </c>
      <c r="BC13" s="10">
        <f t="shared" ref="BC13:BK13" si="22">BB13</f>
        <v>0</v>
      </c>
      <c r="BD13" s="10">
        <f t="shared" si="22"/>
        <v>0</v>
      </c>
      <c r="BE13" s="10">
        <f t="shared" si="22"/>
        <v>0</v>
      </c>
      <c r="BF13" s="10">
        <f t="shared" si="22"/>
        <v>0</v>
      </c>
      <c r="BG13" s="10">
        <f t="shared" si="22"/>
        <v>0</v>
      </c>
      <c r="BH13" s="10">
        <f t="shared" si="22"/>
        <v>0</v>
      </c>
      <c r="BI13" s="10">
        <f t="shared" si="22"/>
        <v>0</v>
      </c>
      <c r="BJ13" s="10">
        <f t="shared" si="22"/>
        <v>0</v>
      </c>
      <c r="BK13" s="10">
        <f t="shared" si="22"/>
        <v>0</v>
      </c>
    </row>
    <row r="14" spans="1:63" s="10" customFormat="1" x14ac:dyDescent="0.25">
      <c r="A14" s="11"/>
      <c r="C14" s="10" t="s">
        <v>118</v>
      </c>
      <c r="E14" s="10">
        <v>0</v>
      </c>
      <c r="F14" s="10">
        <v>0</v>
      </c>
      <c r="G14" s="10">
        <v>0</v>
      </c>
      <c r="H14" s="10">
        <f t="shared" ref="H14:O20" si="23">G14</f>
        <v>0</v>
      </c>
      <c r="I14" s="10">
        <f t="shared" si="23"/>
        <v>0</v>
      </c>
      <c r="J14" s="10">
        <f t="shared" si="23"/>
        <v>0</v>
      </c>
      <c r="K14" s="10">
        <f t="shared" si="23"/>
        <v>0</v>
      </c>
      <c r="L14" s="10">
        <f t="shared" si="23"/>
        <v>0</v>
      </c>
      <c r="M14" s="10">
        <f t="shared" si="23"/>
        <v>0</v>
      </c>
      <c r="N14" s="10">
        <f t="shared" si="23"/>
        <v>0</v>
      </c>
      <c r="O14" s="10">
        <f t="shared" si="23"/>
        <v>0</v>
      </c>
      <c r="Q14" s="10">
        <v>1</v>
      </c>
      <c r="R14" s="10">
        <f t="shared" ref="R14:AA20" si="24">Q14</f>
        <v>1</v>
      </c>
      <c r="S14" s="10">
        <f t="shared" si="24"/>
        <v>1</v>
      </c>
      <c r="T14" s="10">
        <f t="shared" si="24"/>
        <v>1</v>
      </c>
      <c r="U14" s="10">
        <f t="shared" si="24"/>
        <v>1</v>
      </c>
      <c r="V14" s="10">
        <f t="shared" si="24"/>
        <v>1</v>
      </c>
      <c r="W14" s="10">
        <f t="shared" si="24"/>
        <v>1</v>
      </c>
      <c r="X14" s="10">
        <f t="shared" si="24"/>
        <v>1</v>
      </c>
      <c r="Y14" s="10">
        <f t="shared" si="24"/>
        <v>1</v>
      </c>
      <c r="Z14" s="10">
        <f t="shared" si="24"/>
        <v>1</v>
      </c>
      <c r="AA14" s="10">
        <f t="shared" si="24"/>
        <v>1</v>
      </c>
      <c r="AC14" s="10">
        <v>0</v>
      </c>
      <c r="AD14" s="10">
        <f t="shared" ref="AD14:AM20" si="25">AC14</f>
        <v>0</v>
      </c>
      <c r="AE14" s="10">
        <f t="shared" si="25"/>
        <v>0</v>
      </c>
      <c r="AF14" s="10">
        <f t="shared" si="25"/>
        <v>0</v>
      </c>
      <c r="AG14" s="10">
        <f t="shared" si="25"/>
        <v>0</v>
      </c>
      <c r="AH14" s="10">
        <f t="shared" si="25"/>
        <v>0</v>
      </c>
      <c r="AI14" s="10">
        <f t="shared" si="25"/>
        <v>0</v>
      </c>
      <c r="AJ14" s="10">
        <f t="shared" si="25"/>
        <v>0</v>
      </c>
      <c r="AK14" s="10">
        <f t="shared" si="25"/>
        <v>0</v>
      </c>
      <c r="AL14" s="10">
        <f t="shared" si="25"/>
        <v>0</v>
      </c>
      <c r="AM14" s="10">
        <f t="shared" si="25"/>
        <v>0</v>
      </c>
      <c r="AO14" s="10">
        <v>0</v>
      </c>
      <c r="AP14" s="10">
        <f t="shared" ref="AP14:AY20" si="26">AO14</f>
        <v>0</v>
      </c>
      <c r="AQ14" s="10">
        <f t="shared" si="26"/>
        <v>0</v>
      </c>
      <c r="AR14" s="10">
        <f t="shared" si="26"/>
        <v>0</v>
      </c>
      <c r="AS14" s="10">
        <f t="shared" si="26"/>
        <v>0</v>
      </c>
      <c r="AT14" s="10">
        <f t="shared" si="26"/>
        <v>0</v>
      </c>
      <c r="AU14" s="10">
        <f t="shared" si="26"/>
        <v>0</v>
      </c>
      <c r="AV14" s="10">
        <f t="shared" si="26"/>
        <v>0</v>
      </c>
      <c r="AW14" s="10">
        <f t="shared" si="26"/>
        <v>0</v>
      </c>
      <c r="AX14" s="10">
        <f t="shared" si="26"/>
        <v>0</v>
      </c>
      <c r="AY14" s="10">
        <f t="shared" si="26"/>
        <v>0</v>
      </c>
      <c r="BA14" s="10">
        <v>0</v>
      </c>
      <c r="BB14" s="10">
        <f t="shared" ref="BB14:BK20" si="27">BA14</f>
        <v>0</v>
      </c>
      <c r="BC14" s="10">
        <f t="shared" si="27"/>
        <v>0</v>
      </c>
      <c r="BD14" s="10">
        <f t="shared" si="27"/>
        <v>0</v>
      </c>
      <c r="BE14" s="10">
        <f t="shared" si="27"/>
        <v>0</v>
      </c>
      <c r="BF14" s="10">
        <f t="shared" si="27"/>
        <v>0</v>
      </c>
      <c r="BG14" s="10">
        <f t="shared" si="27"/>
        <v>0</v>
      </c>
      <c r="BH14" s="10">
        <f t="shared" si="27"/>
        <v>0</v>
      </c>
      <c r="BI14" s="10">
        <f t="shared" si="27"/>
        <v>0</v>
      </c>
      <c r="BJ14" s="10">
        <f t="shared" si="27"/>
        <v>0</v>
      </c>
      <c r="BK14" s="10">
        <f t="shared" si="27"/>
        <v>0</v>
      </c>
    </row>
    <row r="15" spans="1:63" s="10" customFormat="1" x14ac:dyDescent="0.25">
      <c r="A15" s="11"/>
      <c r="C15" s="10" t="s">
        <v>190</v>
      </c>
      <c r="D15" s="10" t="s">
        <v>191</v>
      </c>
      <c r="E15" s="10">
        <v>1</v>
      </c>
      <c r="F15" s="10">
        <v>1</v>
      </c>
      <c r="G15" s="10">
        <v>1</v>
      </c>
      <c r="H15" s="10">
        <v>0</v>
      </c>
      <c r="I15" s="10">
        <v>1</v>
      </c>
      <c r="J15" s="10">
        <f t="shared" si="23"/>
        <v>1</v>
      </c>
      <c r="K15" s="10">
        <f t="shared" si="23"/>
        <v>1</v>
      </c>
      <c r="L15" s="10">
        <f t="shared" si="23"/>
        <v>1</v>
      </c>
      <c r="M15" s="10">
        <f t="shared" si="23"/>
        <v>1</v>
      </c>
      <c r="N15" s="10">
        <f t="shared" si="23"/>
        <v>1</v>
      </c>
      <c r="O15" s="10">
        <f t="shared" si="23"/>
        <v>1</v>
      </c>
      <c r="Q15" s="10">
        <v>0</v>
      </c>
      <c r="R15" s="10">
        <f t="shared" si="24"/>
        <v>0</v>
      </c>
      <c r="S15" s="10">
        <f t="shared" si="24"/>
        <v>0</v>
      </c>
      <c r="T15" s="10">
        <f t="shared" si="24"/>
        <v>0</v>
      </c>
      <c r="U15" s="10">
        <f t="shared" si="24"/>
        <v>0</v>
      </c>
      <c r="V15" s="10">
        <f t="shared" si="24"/>
        <v>0</v>
      </c>
      <c r="W15" s="10">
        <f t="shared" si="24"/>
        <v>0</v>
      </c>
      <c r="X15" s="10">
        <f t="shared" si="24"/>
        <v>0</v>
      </c>
      <c r="Y15" s="10">
        <f t="shared" si="24"/>
        <v>0</v>
      </c>
      <c r="Z15" s="10">
        <f t="shared" si="24"/>
        <v>0</v>
      </c>
      <c r="AA15" s="10">
        <f t="shared" si="24"/>
        <v>0</v>
      </c>
      <c r="AC15" s="10">
        <v>0</v>
      </c>
      <c r="AD15" s="10">
        <f t="shared" si="25"/>
        <v>0</v>
      </c>
      <c r="AE15" s="10">
        <f t="shared" si="25"/>
        <v>0</v>
      </c>
      <c r="AF15" s="10">
        <f t="shared" si="25"/>
        <v>0</v>
      </c>
      <c r="AG15" s="10">
        <f t="shared" si="25"/>
        <v>0</v>
      </c>
      <c r="AH15" s="10">
        <f t="shared" si="25"/>
        <v>0</v>
      </c>
      <c r="AI15" s="10">
        <f t="shared" si="25"/>
        <v>0</v>
      </c>
      <c r="AJ15" s="10">
        <f t="shared" si="25"/>
        <v>0</v>
      </c>
      <c r="AK15" s="10">
        <f t="shared" si="25"/>
        <v>0</v>
      </c>
      <c r="AL15" s="10">
        <f t="shared" si="25"/>
        <v>0</v>
      </c>
      <c r="AM15" s="10">
        <f t="shared" si="25"/>
        <v>0</v>
      </c>
      <c r="AO15" s="10">
        <v>0</v>
      </c>
      <c r="AP15" s="10">
        <f t="shared" si="26"/>
        <v>0</v>
      </c>
      <c r="AQ15" s="10">
        <f t="shared" si="26"/>
        <v>0</v>
      </c>
      <c r="AR15" s="10">
        <f t="shared" si="26"/>
        <v>0</v>
      </c>
      <c r="AS15" s="10">
        <f t="shared" si="26"/>
        <v>0</v>
      </c>
      <c r="AT15" s="10">
        <f t="shared" si="26"/>
        <v>0</v>
      </c>
      <c r="AU15" s="10">
        <f t="shared" si="26"/>
        <v>0</v>
      </c>
      <c r="AV15" s="10">
        <f t="shared" si="26"/>
        <v>0</v>
      </c>
      <c r="AW15" s="10">
        <f t="shared" si="26"/>
        <v>0</v>
      </c>
      <c r="AX15" s="10">
        <f t="shared" si="26"/>
        <v>0</v>
      </c>
      <c r="AY15" s="10">
        <f t="shared" si="26"/>
        <v>0</v>
      </c>
      <c r="BA15" s="10">
        <v>0</v>
      </c>
      <c r="BB15" s="10">
        <f t="shared" si="27"/>
        <v>0</v>
      </c>
      <c r="BC15" s="10">
        <f t="shared" si="27"/>
        <v>0</v>
      </c>
      <c r="BD15" s="10">
        <f t="shared" si="27"/>
        <v>0</v>
      </c>
      <c r="BE15" s="10">
        <f t="shared" si="27"/>
        <v>0</v>
      </c>
      <c r="BF15" s="10">
        <f t="shared" si="27"/>
        <v>0</v>
      </c>
      <c r="BG15" s="10">
        <f t="shared" si="27"/>
        <v>0</v>
      </c>
      <c r="BH15" s="10">
        <f t="shared" si="27"/>
        <v>0</v>
      </c>
      <c r="BI15" s="10">
        <f t="shared" si="27"/>
        <v>0</v>
      </c>
      <c r="BJ15" s="10">
        <f t="shared" si="27"/>
        <v>0</v>
      </c>
      <c r="BK15" s="10">
        <f t="shared" si="27"/>
        <v>0</v>
      </c>
    </row>
    <row r="16" spans="1:63" s="10" customFormat="1" x14ac:dyDescent="0.25">
      <c r="A16" s="11"/>
      <c r="C16" s="10" t="s">
        <v>118</v>
      </c>
      <c r="E16" s="10">
        <v>0</v>
      </c>
      <c r="F16" s="10">
        <v>0</v>
      </c>
      <c r="G16" s="10">
        <v>0</v>
      </c>
      <c r="H16" s="10">
        <f t="shared" si="23"/>
        <v>0</v>
      </c>
      <c r="I16" s="10">
        <f t="shared" si="23"/>
        <v>0</v>
      </c>
      <c r="J16" s="10">
        <f t="shared" si="23"/>
        <v>0</v>
      </c>
      <c r="K16" s="10">
        <f t="shared" si="23"/>
        <v>0</v>
      </c>
      <c r="L16" s="10">
        <f t="shared" si="23"/>
        <v>0</v>
      </c>
      <c r="M16" s="10">
        <f t="shared" si="23"/>
        <v>0</v>
      </c>
      <c r="N16" s="10">
        <f t="shared" si="23"/>
        <v>0</v>
      </c>
      <c r="O16" s="10">
        <f t="shared" si="23"/>
        <v>0</v>
      </c>
      <c r="Q16" s="10">
        <v>1</v>
      </c>
      <c r="R16" s="10">
        <f t="shared" si="24"/>
        <v>1</v>
      </c>
      <c r="S16" s="10">
        <f t="shared" si="24"/>
        <v>1</v>
      </c>
      <c r="T16" s="10">
        <f t="shared" si="24"/>
        <v>1</v>
      </c>
      <c r="U16" s="10">
        <f t="shared" si="24"/>
        <v>1</v>
      </c>
      <c r="V16" s="10">
        <f t="shared" si="24"/>
        <v>1</v>
      </c>
      <c r="W16" s="10">
        <f t="shared" si="24"/>
        <v>1</v>
      </c>
      <c r="X16" s="10">
        <f t="shared" si="24"/>
        <v>1</v>
      </c>
      <c r="Y16" s="10">
        <f t="shared" si="24"/>
        <v>1</v>
      </c>
      <c r="Z16" s="10">
        <f t="shared" si="24"/>
        <v>1</v>
      </c>
      <c r="AA16" s="10">
        <f t="shared" si="24"/>
        <v>1</v>
      </c>
      <c r="AC16" s="10">
        <v>0</v>
      </c>
      <c r="AD16" s="10">
        <f t="shared" si="25"/>
        <v>0</v>
      </c>
      <c r="AE16" s="10">
        <f t="shared" si="25"/>
        <v>0</v>
      </c>
      <c r="AF16" s="10">
        <f t="shared" si="25"/>
        <v>0</v>
      </c>
      <c r="AG16" s="10">
        <f t="shared" si="25"/>
        <v>0</v>
      </c>
      <c r="AH16" s="10">
        <f t="shared" si="25"/>
        <v>0</v>
      </c>
      <c r="AI16" s="10">
        <f t="shared" si="25"/>
        <v>0</v>
      </c>
      <c r="AJ16" s="10">
        <f t="shared" si="25"/>
        <v>0</v>
      </c>
      <c r="AK16" s="10">
        <f t="shared" si="25"/>
        <v>0</v>
      </c>
      <c r="AL16" s="10">
        <f t="shared" si="25"/>
        <v>0</v>
      </c>
      <c r="AM16" s="10">
        <f t="shared" si="25"/>
        <v>0</v>
      </c>
      <c r="AO16" s="10">
        <v>0</v>
      </c>
      <c r="AP16" s="10">
        <f t="shared" si="26"/>
        <v>0</v>
      </c>
      <c r="AQ16" s="10">
        <f t="shared" si="26"/>
        <v>0</v>
      </c>
      <c r="AR16" s="10">
        <f t="shared" si="26"/>
        <v>0</v>
      </c>
      <c r="AS16" s="10">
        <f t="shared" si="26"/>
        <v>0</v>
      </c>
      <c r="AT16" s="10">
        <f t="shared" si="26"/>
        <v>0</v>
      </c>
      <c r="AU16" s="10">
        <f t="shared" si="26"/>
        <v>0</v>
      </c>
      <c r="AV16" s="10">
        <f t="shared" si="26"/>
        <v>0</v>
      </c>
      <c r="AW16" s="10">
        <f t="shared" si="26"/>
        <v>0</v>
      </c>
      <c r="AX16" s="10">
        <f t="shared" si="26"/>
        <v>0</v>
      </c>
      <c r="AY16" s="10">
        <f t="shared" si="26"/>
        <v>0</v>
      </c>
      <c r="BA16" s="10">
        <v>0</v>
      </c>
      <c r="BB16" s="10">
        <f t="shared" si="27"/>
        <v>0</v>
      </c>
      <c r="BC16" s="10">
        <f t="shared" si="27"/>
        <v>0</v>
      </c>
      <c r="BD16" s="10">
        <f t="shared" si="27"/>
        <v>0</v>
      </c>
      <c r="BE16" s="10">
        <f t="shared" si="27"/>
        <v>0</v>
      </c>
      <c r="BF16" s="10">
        <f t="shared" si="27"/>
        <v>0</v>
      </c>
      <c r="BG16" s="10">
        <f t="shared" si="27"/>
        <v>0</v>
      </c>
      <c r="BH16" s="10">
        <f t="shared" si="27"/>
        <v>0</v>
      </c>
      <c r="BI16" s="10">
        <f t="shared" si="27"/>
        <v>0</v>
      </c>
      <c r="BJ16" s="10">
        <f t="shared" si="27"/>
        <v>0</v>
      </c>
      <c r="BK16" s="10">
        <f t="shared" si="27"/>
        <v>0</v>
      </c>
    </row>
    <row r="17" spans="1:63" s="10" customFormat="1" x14ac:dyDescent="0.25">
      <c r="A17" s="11"/>
      <c r="C17" s="10" t="s">
        <v>118</v>
      </c>
      <c r="E17" s="10">
        <v>0</v>
      </c>
      <c r="F17" s="10">
        <v>0</v>
      </c>
      <c r="G17" s="10">
        <v>0</v>
      </c>
      <c r="H17" s="10">
        <f t="shared" si="23"/>
        <v>0</v>
      </c>
      <c r="I17" s="10">
        <f t="shared" si="23"/>
        <v>0</v>
      </c>
      <c r="J17" s="10">
        <f t="shared" si="23"/>
        <v>0</v>
      </c>
      <c r="K17" s="10">
        <f t="shared" si="23"/>
        <v>0</v>
      </c>
      <c r="L17" s="10">
        <f t="shared" si="23"/>
        <v>0</v>
      </c>
      <c r="M17" s="10">
        <f t="shared" si="23"/>
        <v>0</v>
      </c>
      <c r="N17" s="10">
        <f t="shared" si="23"/>
        <v>0</v>
      </c>
      <c r="O17" s="10">
        <f t="shared" si="23"/>
        <v>0</v>
      </c>
      <c r="Q17" s="10">
        <v>1</v>
      </c>
      <c r="R17" s="10">
        <f t="shared" si="24"/>
        <v>1</v>
      </c>
      <c r="S17" s="10">
        <f t="shared" si="24"/>
        <v>1</v>
      </c>
      <c r="T17" s="10">
        <f t="shared" si="24"/>
        <v>1</v>
      </c>
      <c r="U17" s="10">
        <f t="shared" si="24"/>
        <v>1</v>
      </c>
      <c r="V17" s="10">
        <f t="shared" si="24"/>
        <v>1</v>
      </c>
      <c r="W17" s="10">
        <f t="shared" si="24"/>
        <v>1</v>
      </c>
      <c r="X17" s="10">
        <f t="shared" si="24"/>
        <v>1</v>
      </c>
      <c r="Y17" s="10">
        <f t="shared" si="24"/>
        <v>1</v>
      </c>
      <c r="Z17" s="10">
        <f t="shared" si="24"/>
        <v>1</v>
      </c>
      <c r="AA17" s="10">
        <f t="shared" si="24"/>
        <v>1</v>
      </c>
      <c r="AC17" s="10">
        <v>0</v>
      </c>
      <c r="AD17" s="10">
        <f t="shared" si="25"/>
        <v>0</v>
      </c>
      <c r="AE17" s="10">
        <f t="shared" si="25"/>
        <v>0</v>
      </c>
      <c r="AF17" s="10">
        <f t="shared" si="25"/>
        <v>0</v>
      </c>
      <c r="AG17" s="10">
        <f t="shared" si="25"/>
        <v>0</v>
      </c>
      <c r="AH17" s="10">
        <f t="shared" si="25"/>
        <v>0</v>
      </c>
      <c r="AI17" s="10">
        <f t="shared" si="25"/>
        <v>0</v>
      </c>
      <c r="AJ17" s="10">
        <f t="shared" si="25"/>
        <v>0</v>
      </c>
      <c r="AK17" s="10">
        <f t="shared" si="25"/>
        <v>0</v>
      </c>
      <c r="AL17" s="10">
        <f t="shared" si="25"/>
        <v>0</v>
      </c>
      <c r="AM17" s="10">
        <f t="shared" si="25"/>
        <v>0</v>
      </c>
      <c r="AO17" s="10">
        <v>0</v>
      </c>
      <c r="AP17" s="10">
        <f t="shared" si="26"/>
        <v>0</v>
      </c>
      <c r="AQ17" s="10">
        <f t="shared" si="26"/>
        <v>0</v>
      </c>
      <c r="AR17" s="10">
        <f t="shared" si="26"/>
        <v>0</v>
      </c>
      <c r="AS17" s="10">
        <f t="shared" si="26"/>
        <v>0</v>
      </c>
      <c r="AT17" s="10">
        <f t="shared" si="26"/>
        <v>0</v>
      </c>
      <c r="AU17" s="10">
        <f t="shared" si="26"/>
        <v>0</v>
      </c>
      <c r="AV17" s="10">
        <f t="shared" si="26"/>
        <v>0</v>
      </c>
      <c r="AW17" s="10">
        <f t="shared" si="26"/>
        <v>0</v>
      </c>
      <c r="AX17" s="10">
        <f t="shared" si="26"/>
        <v>0</v>
      </c>
      <c r="AY17" s="10">
        <f t="shared" si="26"/>
        <v>0</v>
      </c>
      <c r="BA17" s="10">
        <v>0</v>
      </c>
      <c r="BB17" s="10">
        <f t="shared" si="27"/>
        <v>0</v>
      </c>
      <c r="BC17" s="10">
        <f t="shared" si="27"/>
        <v>0</v>
      </c>
      <c r="BD17" s="10">
        <f t="shared" si="27"/>
        <v>0</v>
      </c>
      <c r="BE17" s="10">
        <f t="shared" si="27"/>
        <v>0</v>
      </c>
      <c r="BF17" s="10">
        <f t="shared" si="27"/>
        <v>0</v>
      </c>
      <c r="BG17" s="10">
        <f t="shared" si="27"/>
        <v>0</v>
      </c>
      <c r="BH17" s="10">
        <f t="shared" si="27"/>
        <v>0</v>
      </c>
      <c r="BI17" s="10">
        <f t="shared" si="27"/>
        <v>0</v>
      </c>
      <c r="BJ17" s="10">
        <f t="shared" si="27"/>
        <v>0</v>
      </c>
      <c r="BK17" s="10">
        <f t="shared" si="27"/>
        <v>0</v>
      </c>
    </row>
    <row r="18" spans="1:63" s="10" customFormat="1" x14ac:dyDescent="0.25">
      <c r="A18" s="11"/>
      <c r="C18" s="10" t="s">
        <v>118</v>
      </c>
      <c r="E18" s="10">
        <v>0</v>
      </c>
      <c r="F18" s="10">
        <v>0</v>
      </c>
      <c r="G18" s="10">
        <v>0</v>
      </c>
      <c r="H18" s="10">
        <f t="shared" si="23"/>
        <v>0</v>
      </c>
      <c r="I18" s="10">
        <f t="shared" si="23"/>
        <v>0</v>
      </c>
      <c r="J18" s="10">
        <f t="shared" si="23"/>
        <v>0</v>
      </c>
      <c r="K18" s="10">
        <f t="shared" si="23"/>
        <v>0</v>
      </c>
      <c r="L18" s="10">
        <f t="shared" si="23"/>
        <v>0</v>
      </c>
      <c r="M18" s="10">
        <f t="shared" si="23"/>
        <v>0</v>
      </c>
      <c r="N18" s="10">
        <f t="shared" si="23"/>
        <v>0</v>
      </c>
      <c r="O18" s="10">
        <f t="shared" si="23"/>
        <v>0</v>
      </c>
      <c r="Q18" s="10">
        <v>1</v>
      </c>
      <c r="R18" s="10">
        <f t="shared" si="24"/>
        <v>1</v>
      </c>
      <c r="S18" s="10">
        <f t="shared" si="24"/>
        <v>1</v>
      </c>
      <c r="T18" s="10">
        <f t="shared" si="24"/>
        <v>1</v>
      </c>
      <c r="U18" s="10">
        <f t="shared" si="24"/>
        <v>1</v>
      </c>
      <c r="V18" s="10">
        <f t="shared" si="24"/>
        <v>1</v>
      </c>
      <c r="W18" s="10">
        <f t="shared" si="24"/>
        <v>1</v>
      </c>
      <c r="X18" s="10">
        <f t="shared" si="24"/>
        <v>1</v>
      </c>
      <c r="Y18" s="10">
        <f t="shared" si="24"/>
        <v>1</v>
      </c>
      <c r="Z18" s="10">
        <f t="shared" si="24"/>
        <v>1</v>
      </c>
      <c r="AA18" s="10">
        <f t="shared" si="24"/>
        <v>1</v>
      </c>
      <c r="AC18" s="10">
        <v>0</v>
      </c>
      <c r="AD18" s="10">
        <f t="shared" si="25"/>
        <v>0</v>
      </c>
      <c r="AE18" s="10">
        <f t="shared" si="25"/>
        <v>0</v>
      </c>
      <c r="AF18" s="10">
        <f t="shared" si="25"/>
        <v>0</v>
      </c>
      <c r="AG18" s="10">
        <f t="shared" si="25"/>
        <v>0</v>
      </c>
      <c r="AH18" s="10">
        <f t="shared" si="25"/>
        <v>0</v>
      </c>
      <c r="AI18" s="10">
        <f t="shared" si="25"/>
        <v>0</v>
      </c>
      <c r="AJ18" s="10">
        <f t="shared" si="25"/>
        <v>0</v>
      </c>
      <c r="AK18" s="10">
        <f t="shared" si="25"/>
        <v>0</v>
      </c>
      <c r="AL18" s="10">
        <f t="shared" si="25"/>
        <v>0</v>
      </c>
      <c r="AM18" s="10">
        <f t="shared" si="25"/>
        <v>0</v>
      </c>
      <c r="AO18" s="10">
        <v>0</v>
      </c>
      <c r="AP18" s="10">
        <f t="shared" si="26"/>
        <v>0</v>
      </c>
      <c r="AQ18" s="10">
        <f t="shared" si="26"/>
        <v>0</v>
      </c>
      <c r="AR18" s="10">
        <f t="shared" si="26"/>
        <v>0</v>
      </c>
      <c r="AS18" s="10">
        <f t="shared" si="26"/>
        <v>0</v>
      </c>
      <c r="AT18" s="10">
        <f t="shared" si="26"/>
        <v>0</v>
      </c>
      <c r="AU18" s="10">
        <f t="shared" si="26"/>
        <v>0</v>
      </c>
      <c r="AV18" s="10">
        <f t="shared" si="26"/>
        <v>0</v>
      </c>
      <c r="AW18" s="10">
        <f t="shared" si="26"/>
        <v>0</v>
      </c>
      <c r="AX18" s="10">
        <f t="shared" si="26"/>
        <v>0</v>
      </c>
      <c r="AY18" s="10">
        <f t="shared" si="26"/>
        <v>0</v>
      </c>
      <c r="BA18" s="10">
        <v>0</v>
      </c>
      <c r="BB18" s="10">
        <f t="shared" si="27"/>
        <v>0</v>
      </c>
      <c r="BC18" s="10">
        <f t="shared" si="27"/>
        <v>0</v>
      </c>
      <c r="BD18" s="10">
        <f t="shared" si="27"/>
        <v>0</v>
      </c>
      <c r="BE18" s="10">
        <f t="shared" si="27"/>
        <v>0</v>
      </c>
      <c r="BF18" s="10">
        <f t="shared" si="27"/>
        <v>0</v>
      </c>
      <c r="BG18" s="10">
        <f t="shared" si="27"/>
        <v>0</v>
      </c>
      <c r="BH18" s="10">
        <f t="shared" si="27"/>
        <v>0</v>
      </c>
      <c r="BI18" s="10">
        <f t="shared" si="27"/>
        <v>0</v>
      </c>
      <c r="BJ18" s="10">
        <f t="shared" si="27"/>
        <v>0</v>
      </c>
      <c r="BK18" s="10">
        <f t="shared" si="27"/>
        <v>0</v>
      </c>
    </row>
    <row r="19" spans="1:63" s="10" customFormat="1" x14ac:dyDescent="0.25">
      <c r="A19" s="11"/>
      <c r="C19" s="10" t="s">
        <v>167</v>
      </c>
      <c r="D19" s="10" t="s">
        <v>169</v>
      </c>
      <c r="E19" s="10">
        <v>0</v>
      </c>
      <c r="F19" s="10">
        <v>0</v>
      </c>
      <c r="G19" s="10">
        <v>0</v>
      </c>
      <c r="H19" s="10">
        <f t="shared" si="23"/>
        <v>0</v>
      </c>
      <c r="I19" s="10">
        <f t="shared" si="23"/>
        <v>0</v>
      </c>
      <c r="J19" s="10">
        <f t="shared" si="23"/>
        <v>0</v>
      </c>
      <c r="K19" s="10">
        <f t="shared" si="23"/>
        <v>0</v>
      </c>
      <c r="L19" s="10">
        <f t="shared" si="23"/>
        <v>0</v>
      </c>
      <c r="M19" s="10">
        <f t="shared" si="23"/>
        <v>0</v>
      </c>
      <c r="N19" s="10">
        <f t="shared" si="23"/>
        <v>0</v>
      </c>
      <c r="O19" s="10">
        <f t="shared" si="23"/>
        <v>0</v>
      </c>
      <c r="Q19" s="10">
        <v>1</v>
      </c>
      <c r="R19" s="10">
        <f t="shared" si="24"/>
        <v>1</v>
      </c>
      <c r="S19" s="10">
        <f t="shared" si="24"/>
        <v>1</v>
      </c>
      <c r="T19" s="10">
        <f t="shared" si="24"/>
        <v>1</v>
      </c>
      <c r="U19" s="10">
        <f t="shared" si="24"/>
        <v>1</v>
      </c>
      <c r="V19" s="10">
        <f t="shared" si="24"/>
        <v>1</v>
      </c>
      <c r="W19" s="10">
        <f t="shared" si="24"/>
        <v>1</v>
      </c>
      <c r="X19" s="10">
        <f t="shared" si="24"/>
        <v>1</v>
      </c>
      <c r="Y19" s="10">
        <f t="shared" si="24"/>
        <v>1</v>
      </c>
      <c r="Z19" s="10">
        <f t="shared" si="24"/>
        <v>1</v>
      </c>
      <c r="AA19" s="10">
        <f t="shared" si="24"/>
        <v>1</v>
      </c>
      <c r="AC19" s="10">
        <v>1</v>
      </c>
      <c r="AD19" s="10">
        <f t="shared" si="25"/>
        <v>1</v>
      </c>
      <c r="AE19" s="10">
        <f t="shared" si="25"/>
        <v>1</v>
      </c>
      <c r="AF19" s="10">
        <f t="shared" si="25"/>
        <v>1</v>
      </c>
      <c r="AG19" s="10">
        <f t="shared" si="25"/>
        <v>1</v>
      </c>
      <c r="AH19" s="10">
        <f t="shared" si="25"/>
        <v>1</v>
      </c>
      <c r="AI19" s="10">
        <f t="shared" si="25"/>
        <v>1</v>
      </c>
      <c r="AJ19" s="10">
        <f t="shared" si="25"/>
        <v>1</v>
      </c>
      <c r="AK19" s="10">
        <f t="shared" si="25"/>
        <v>1</v>
      </c>
      <c r="AL19" s="10">
        <f t="shared" si="25"/>
        <v>1</v>
      </c>
      <c r="AM19" s="10">
        <f t="shared" si="25"/>
        <v>1</v>
      </c>
      <c r="AO19" s="10">
        <v>0</v>
      </c>
      <c r="AP19" s="10">
        <f t="shared" si="26"/>
        <v>0</v>
      </c>
      <c r="AQ19" s="10">
        <f t="shared" si="26"/>
        <v>0</v>
      </c>
      <c r="AR19" s="10">
        <f t="shared" si="26"/>
        <v>0</v>
      </c>
      <c r="AS19" s="10">
        <f t="shared" si="26"/>
        <v>0</v>
      </c>
      <c r="AT19" s="10">
        <f t="shared" si="26"/>
        <v>0</v>
      </c>
      <c r="AU19" s="10">
        <f t="shared" si="26"/>
        <v>0</v>
      </c>
      <c r="AV19" s="10">
        <f t="shared" si="26"/>
        <v>0</v>
      </c>
      <c r="AW19" s="10">
        <f t="shared" si="26"/>
        <v>0</v>
      </c>
      <c r="AX19" s="10">
        <f t="shared" si="26"/>
        <v>0</v>
      </c>
      <c r="AY19" s="10">
        <f t="shared" si="26"/>
        <v>0</v>
      </c>
      <c r="BA19" s="10">
        <v>0</v>
      </c>
      <c r="BB19" s="10">
        <f t="shared" si="27"/>
        <v>0</v>
      </c>
      <c r="BC19" s="10">
        <f t="shared" si="27"/>
        <v>0</v>
      </c>
      <c r="BD19" s="10">
        <f t="shared" si="27"/>
        <v>0</v>
      </c>
      <c r="BE19" s="10">
        <f t="shared" si="27"/>
        <v>0</v>
      </c>
      <c r="BF19" s="10">
        <f t="shared" si="27"/>
        <v>0</v>
      </c>
      <c r="BG19" s="10">
        <f t="shared" si="27"/>
        <v>0</v>
      </c>
      <c r="BH19" s="10">
        <f t="shared" si="27"/>
        <v>0</v>
      </c>
      <c r="BI19" s="10">
        <f t="shared" si="27"/>
        <v>0</v>
      </c>
      <c r="BJ19" s="10">
        <f t="shared" si="27"/>
        <v>0</v>
      </c>
      <c r="BK19" s="10">
        <f t="shared" si="27"/>
        <v>0</v>
      </c>
    </row>
    <row r="20" spans="1:63" s="10" customFormat="1" x14ac:dyDescent="0.25">
      <c r="A20" s="11"/>
      <c r="C20" s="10" t="s">
        <v>168</v>
      </c>
      <c r="D20" s="10" t="s">
        <v>169</v>
      </c>
      <c r="E20" s="10">
        <v>0</v>
      </c>
      <c r="F20" s="10">
        <v>0</v>
      </c>
      <c r="G20" s="10">
        <v>0</v>
      </c>
      <c r="H20" s="10">
        <f t="shared" si="23"/>
        <v>0</v>
      </c>
      <c r="I20" s="10">
        <f t="shared" si="23"/>
        <v>0</v>
      </c>
      <c r="J20" s="10">
        <f t="shared" si="23"/>
        <v>0</v>
      </c>
      <c r="K20" s="10">
        <f t="shared" si="23"/>
        <v>0</v>
      </c>
      <c r="L20" s="10">
        <f t="shared" si="23"/>
        <v>0</v>
      </c>
      <c r="M20" s="10">
        <f t="shared" si="23"/>
        <v>0</v>
      </c>
      <c r="N20" s="10">
        <f t="shared" si="23"/>
        <v>0</v>
      </c>
      <c r="O20" s="10">
        <f t="shared" si="23"/>
        <v>0</v>
      </c>
      <c r="Q20" s="10">
        <v>1</v>
      </c>
      <c r="R20" s="10">
        <f t="shared" si="24"/>
        <v>1</v>
      </c>
      <c r="S20" s="10">
        <f t="shared" si="24"/>
        <v>1</v>
      </c>
      <c r="T20" s="10">
        <f t="shared" si="24"/>
        <v>1</v>
      </c>
      <c r="U20" s="10">
        <f t="shared" si="24"/>
        <v>1</v>
      </c>
      <c r="V20" s="10">
        <f t="shared" si="24"/>
        <v>1</v>
      </c>
      <c r="W20" s="10">
        <f t="shared" si="24"/>
        <v>1</v>
      </c>
      <c r="X20" s="10">
        <f t="shared" si="24"/>
        <v>1</v>
      </c>
      <c r="Y20" s="10">
        <f t="shared" si="24"/>
        <v>1</v>
      </c>
      <c r="Z20" s="10">
        <f t="shared" si="24"/>
        <v>1</v>
      </c>
      <c r="AA20" s="10">
        <f t="shared" si="24"/>
        <v>1</v>
      </c>
      <c r="AC20" s="10">
        <v>1</v>
      </c>
      <c r="AD20" s="10">
        <f t="shared" si="25"/>
        <v>1</v>
      </c>
      <c r="AE20" s="10">
        <f t="shared" si="25"/>
        <v>1</v>
      </c>
      <c r="AF20" s="10">
        <f t="shared" si="25"/>
        <v>1</v>
      </c>
      <c r="AG20" s="10">
        <f t="shared" si="25"/>
        <v>1</v>
      </c>
      <c r="AH20" s="10">
        <f t="shared" si="25"/>
        <v>1</v>
      </c>
      <c r="AI20" s="10">
        <f t="shared" si="25"/>
        <v>1</v>
      </c>
      <c r="AJ20" s="10">
        <f t="shared" si="25"/>
        <v>1</v>
      </c>
      <c r="AK20" s="10">
        <f t="shared" si="25"/>
        <v>1</v>
      </c>
      <c r="AL20" s="10">
        <f t="shared" si="25"/>
        <v>1</v>
      </c>
      <c r="AM20" s="10">
        <f t="shared" si="25"/>
        <v>1</v>
      </c>
      <c r="AO20" s="10">
        <v>0</v>
      </c>
      <c r="AP20" s="10">
        <f t="shared" si="26"/>
        <v>0</v>
      </c>
      <c r="AQ20" s="10">
        <f t="shared" si="26"/>
        <v>0</v>
      </c>
      <c r="AR20" s="10">
        <f t="shared" si="26"/>
        <v>0</v>
      </c>
      <c r="AS20" s="10">
        <f t="shared" si="26"/>
        <v>0</v>
      </c>
      <c r="AT20" s="10">
        <f t="shared" si="26"/>
        <v>0</v>
      </c>
      <c r="AU20" s="10">
        <f t="shared" si="26"/>
        <v>0</v>
      </c>
      <c r="AV20" s="10">
        <f t="shared" si="26"/>
        <v>0</v>
      </c>
      <c r="AW20" s="10">
        <f t="shared" si="26"/>
        <v>0</v>
      </c>
      <c r="AX20" s="10">
        <f t="shared" si="26"/>
        <v>0</v>
      </c>
      <c r="AY20" s="10">
        <f t="shared" si="26"/>
        <v>0</v>
      </c>
      <c r="BA20" s="10">
        <v>0</v>
      </c>
      <c r="BB20" s="10">
        <f t="shared" si="27"/>
        <v>0</v>
      </c>
      <c r="BC20" s="10">
        <f t="shared" si="27"/>
        <v>0</v>
      </c>
      <c r="BD20" s="10">
        <f t="shared" si="27"/>
        <v>0</v>
      </c>
      <c r="BE20" s="10">
        <f t="shared" si="27"/>
        <v>0</v>
      </c>
      <c r="BF20" s="10">
        <f t="shared" si="27"/>
        <v>0</v>
      </c>
      <c r="BG20" s="10">
        <f t="shared" si="27"/>
        <v>0</v>
      </c>
      <c r="BH20" s="10">
        <f t="shared" si="27"/>
        <v>0</v>
      </c>
      <c r="BI20" s="10">
        <f t="shared" si="27"/>
        <v>0</v>
      </c>
      <c r="BJ20" s="10">
        <f t="shared" si="27"/>
        <v>0</v>
      </c>
      <c r="BK20" s="10">
        <f t="shared" si="27"/>
        <v>0</v>
      </c>
    </row>
    <row r="21" spans="1:63" x14ac:dyDescent="0.25">
      <c r="A21" s="2"/>
      <c r="B21" s="2"/>
      <c r="E21" t="str">
        <f t="shared" ref="E21:AA21" si="28">CONCATENATE(E20,E19,E18,E17,E16,E15,E14,E13)</f>
        <v>00000100</v>
      </c>
      <c r="F21" t="str">
        <f t="shared" si="28"/>
        <v>00000100</v>
      </c>
      <c r="G21" t="str">
        <f t="shared" si="28"/>
        <v>00000100</v>
      </c>
      <c r="H21" t="str">
        <f t="shared" si="28"/>
        <v>00000000</v>
      </c>
      <c r="I21" t="str">
        <f t="shared" si="28"/>
        <v>00000100</v>
      </c>
      <c r="J21" t="str">
        <f t="shared" si="28"/>
        <v>00000100</v>
      </c>
      <c r="K21" t="str">
        <f t="shared" si="28"/>
        <v>00000100</v>
      </c>
      <c r="L21" t="str">
        <f t="shared" si="28"/>
        <v>00000100</v>
      </c>
      <c r="M21" t="str">
        <f t="shared" si="28"/>
        <v>00000100</v>
      </c>
      <c r="N21" t="str">
        <f t="shared" si="28"/>
        <v>00000100</v>
      </c>
      <c r="O21" t="str">
        <f t="shared" si="28"/>
        <v>00000100</v>
      </c>
      <c r="Q21" t="str">
        <f t="shared" si="28"/>
        <v>11111011</v>
      </c>
      <c r="R21" t="str">
        <f t="shared" si="28"/>
        <v>11111011</v>
      </c>
      <c r="S21" t="str">
        <f t="shared" si="28"/>
        <v>11111011</v>
      </c>
      <c r="T21" t="str">
        <f t="shared" si="28"/>
        <v>11111011</v>
      </c>
      <c r="U21" t="str">
        <f t="shared" si="28"/>
        <v>11111011</v>
      </c>
      <c r="V21" t="str">
        <f t="shared" si="28"/>
        <v>11111011</v>
      </c>
      <c r="W21" t="str">
        <f t="shared" si="28"/>
        <v>11111011</v>
      </c>
      <c r="X21" t="str">
        <f t="shared" si="28"/>
        <v>11111011</v>
      </c>
      <c r="Y21" t="str">
        <f t="shared" si="28"/>
        <v>11111011</v>
      </c>
      <c r="Z21" t="str">
        <f t="shared" si="28"/>
        <v>11111011</v>
      </c>
      <c r="AA21" t="str">
        <f t="shared" si="28"/>
        <v>11111011</v>
      </c>
      <c r="AC21" t="str">
        <f>CONCATENATE(AC20,AC19,AC18,AC17,AC16,AC15,AC14,AC13)</f>
        <v>11000000</v>
      </c>
      <c r="AD21" t="str">
        <f t="shared" ref="AD21:AM21" si="29">CONCATENATE(AD20,AD19,AD18,AD17,AD16,AD15,AD14,AD13)</f>
        <v>11000000</v>
      </c>
      <c r="AE21" t="str">
        <f t="shared" si="29"/>
        <v>11000000</v>
      </c>
      <c r="AF21" t="str">
        <f t="shared" si="29"/>
        <v>11000000</v>
      </c>
      <c r="AG21" t="str">
        <f t="shared" si="29"/>
        <v>11000000</v>
      </c>
      <c r="AH21" t="str">
        <f t="shared" si="29"/>
        <v>11000000</v>
      </c>
      <c r="AI21" t="str">
        <f t="shared" si="29"/>
        <v>11000000</v>
      </c>
      <c r="AJ21" t="str">
        <f t="shared" si="29"/>
        <v>11000000</v>
      </c>
      <c r="AK21" t="str">
        <f t="shared" si="29"/>
        <v>11000000</v>
      </c>
      <c r="AL21" t="str">
        <f t="shared" si="29"/>
        <v>11000000</v>
      </c>
      <c r="AM21" t="str">
        <f t="shared" si="29"/>
        <v>11000000</v>
      </c>
      <c r="AO21" t="str">
        <f t="shared" ref="AO21:AY21" si="30">CONCATENATE(AO20,AO19,AO18,AO17,AO16,AO15,AO14,AO13)</f>
        <v>00000000</v>
      </c>
      <c r="AP21" t="str">
        <f t="shared" si="30"/>
        <v>00000000</v>
      </c>
      <c r="AQ21" t="str">
        <f t="shared" si="30"/>
        <v>00000000</v>
      </c>
      <c r="AR21" t="str">
        <f t="shared" si="30"/>
        <v>00000000</v>
      </c>
      <c r="AS21" t="str">
        <f t="shared" si="30"/>
        <v>00000000</v>
      </c>
      <c r="AT21" t="str">
        <f t="shared" si="30"/>
        <v>00000000</v>
      </c>
      <c r="AU21" t="str">
        <f t="shared" si="30"/>
        <v>00000000</v>
      </c>
      <c r="AV21" t="str">
        <f t="shared" si="30"/>
        <v>00000000</v>
      </c>
      <c r="AW21" t="str">
        <f t="shared" si="30"/>
        <v>00000000</v>
      </c>
      <c r="AX21" t="str">
        <f t="shared" si="30"/>
        <v>00000000</v>
      </c>
      <c r="AY21" t="str">
        <f t="shared" si="30"/>
        <v>00000000</v>
      </c>
      <c r="BA21" t="str">
        <f t="shared" ref="BA21:BK21" si="31">CONCATENATE(BA20,BA19,BA18,BA17,BA16,BA15,BA14,BA13)</f>
        <v>00000000</v>
      </c>
      <c r="BB21" t="str">
        <f t="shared" si="31"/>
        <v>00000000</v>
      </c>
      <c r="BC21" t="str">
        <f t="shared" si="31"/>
        <v>00000000</v>
      </c>
      <c r="BD21" t="str">
        <f t="shared" si="31"/>
        <v>00000000</v>
      </c>
      <c r="BE21" t="str">
        <f t="shared" si="31"/>
        <v>00000000</v>
      </c>
      <c r="BF21" t="str">
        <f t="shared" si="31"/>
        <v>00000000</v>
      </c>
      <c r="BG21" t="str">
        <f t="shared" si="31"/>
        <v>00000000</v>
      </c>
      <c r="BH21" t="str">
        <f t="shared" si="31"/>
        <v>00000000</v>
      </c>
      <c r="BI21" t="str">
        <f t="shared" si="31"/>
        <v>00000000</v>
      </c>
      <c r="BJ21" t="str">
        <f t="shared" si="31"/>
        <v>00000000</v>
      </c>
      <c r="BK21" t="str">
        <f t="shared" si="31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32">CONCATENATE(BIN2HEX(E21,2))</f>
        <v>04</v>
      </c>
      <c r="F22" t="str">
        <f t="shared" si="32"/>
        <v>04</v>
      </c>
      <c r="G22" t="str">
        <f t="shared" si="32"/>
        <v>04</v>
      </c>
      <c r="H22" t="str">
        <f t="shared" si="32"/>
        <v>00</v>
      </c>
      <c r="I22" t="str">
        <f t="shared" si="32"/>
        <v>04</v>
      </c>
      <c r="J22" t="str">
        <f t="shared" si="32"/>
        <v>04</v>
      </c>
      <c r="K22" t="str">
        <f t="shared" si="32"/>
        <v>04</v>
      </c>
      <c r="L22" t="str">
        <f t="shared" si="32"/>
        <v>04</v>
      </c>
      <c r="M22" t="str">
        <f t="shared" si="32"/>
        <v>04</v>
      </c>
      <c r="N22" t="str">
        <f t="shared" si="32"/>
        <v>04</v>
      </c>
      <c r="O22" t="str">
        <f t="shared" si="32"/>
        <v>04</v>
      </c>
      <c r="Q22" t="str">
        <f t="shared" si="32"/>
        <v>FB</v>
      </c>
      <c r="R22" t="str">
        <f t="shared" si="32"/>
        <v>FB</v>
      </c>
      <c r="S22" t="str">
        <f t="shared" si="32"/>
        <v>FB</v>
      </c>
      <c r="T22" t="str">
        <f t="shared" si="32"/>
        <v>FB</v>
      </c>
      <c r="U22" t="str">
        <f t="shared" si="32"/>
        <v>FB</v>
      </c>
      <c r="V22" t="str">
        <f t="shared" si="32"/>
        <v>FB</v>
      </c>
      <c r="W22" t="str">
        <f t="shared" si="32"/>
        <v>FB</v>
      </c>
      <c r="X22" t="str">
        <f t="shared" si="32"/>
        <v>FB</v>
      </c>
      <c r="Y22" t="str">
        <f t="shared" si="32"/>
        <v>FB</v>
      </c>
      <c r="Z22" t="str">
        <f t="shared" si="32"/>
        <v>FB</v>
      </c>
      <c r="AA22" t="str">
        <f t="shared" si="32"/>
        <v>FB</v>
      </c>
      <c r="AC22" t="str">
        <f>CONCATENATE(BIN2HEX(AC21,2))</f>
        <v>C0</v>
      </c>
      <c r="AD22" t="str">
        <f t="shared" ref="AD22:AM22" si="33">CONCATENATE(BIN2HEX(AD21,2))</f>
        <v>C0</v>
      </c>
      <c r="AE22" t="str">
        <f t="shared" si="33"/>
        <v>C0</v>
      </c>
      <c r="AF22" t="str">
        <f t="shared" si="33"/>
        <v>C0</v>
      </c>
      <c r="AG22" t="str">
        <f t="shared" si="33"/>
        <v>C0</v>
      </c>
      <c r="AH22" t="str">
        <f t="shared" si="33"/>
        <v>C0</v>
      </c>
      <c r="AI22" t="str">
        <f t="shared" si="33"/>
        <v>C0</v>
      </c>
      <c r="AJ22" t="str">
        <f t="shared" si="33"/>
        <v>C0</v>
      </c>
      <c r="AK22" t="str">
        <f t="shared" si="33"/>
        <v>C0</v>
      </c>
      <c r="AL22" t="str">
        <f t="shared" si="33"/>
        <v>C0</v>
      </c>
      <c r="AM22" t="str">
        <f t="shared" si="33"/>
        <v>C0</v>
      </c>
      <c r="AO22" t="str">
        <f t="shared" ref="AO22:AY22" si="34">CONCATENATE(BIN2HEX(AO21,2))</f>
        <v>00</v>
      </c>
      <c r="AP22" t="str">
        <f t="shared" si="34"/>
        <v>00</v>
      </c>
      <c r="AQ22" t="str">
        <f t="shared" si="34"/>
        <v>00</v>
      </c>
      <c r="AR22" t="str">
        <f t="shared" si="34"/>
        <v>00</v>
      </c>
      <c r="AS22" t="str">
        <f t="shared" si="34"/>
        <v>00</v>
      </c>
      <c r="AT22" t="str">
        <f t="shared" si="34"/>
        <v>00</v>
      </c>
      <c r="AU22" t="str">
        <f t="shared" si="34"/>
        <v>00</v>
      </c>
      <c r="AV22" t="str">
        <f t="shared" si="34"/>
        <v>00</v>
      </c>
      <c r="AW22" t="str">
        <f t="shared" si="34"/>
        <v>00</v>
      </c>
      <c r="AX22" t="str">
        <f t="shared" si="34"/>
        <v>00</v>
      </c>
      <c r="AY22" t="str">
        <f t="shared" si="34"/>
        <v>00</v>
      </c>
      <c r="BA22" t="str">
        <f t="shared" ref="BA22:BK22" si="35">CONCATENATE(BIN2HEX(BA21,2))</f>
        <v>00</v>
      </c>
      <c r="BB22" t="str">
        <f t="shared" si="35"/>
        <v>00</v>
      </c>
      <c r="BC22" t="str">
        <f t="shared" si="35"/>
        <v>00</v>
      </c>
      <c r="BD22" t="str">
        <f t="shared" si="35"/>
        <v>00</v>
      </c>
      <c r="BE22" t="str">
        <f t="shared" si="35"/>
        <v>00</v>
      </c>
      <c r="BF22" t="str">
        <f t="shared" si="35"/>
        <v>00</v>
      </c>
      <c r="BG22" t="str">
        <f t="shared" si="35"/>
        <v>00</v>
      </c>
      <c r="BH22" t="str">
        <f t="shared" si="35"/>
        <v>00</v>
      </c>
      <c r="BI22" t="str">
        <f t="shared" si="35"/>
        <v>00</v>
      </c>
      <c r="BJ22" t="str">
        <f t="shared" si="35"/>
        <v>00</v>
      </c>
      <c r="BK22" t="str">
        <f t="shared" si="35"/>
        <v>00</v>
      </c>
    </row>
    <row r="23" spans="1:63" x14ac:dyDescent="0.25">
      <c r="A23" s="2"/>
      <c r="B23" s="2"/>
      <c r="D23" s="13" t="s">
        <v>215</v>
      </c>
      <c r="E23" t="str">
        <f t="shared" ref="E23:O23" si="36">CONCATENATE("0x",E22,E11)</f>
        <v>0x0400</v>
      </c>
      <c r="F23" t="str">
        <f t="shared" si="36"/>
        <v>0x0400</v>
      </c>
      <c r="G23" t="str">
        <f t="shared" si="36"/>
        <v>0x0400</v>
      </c>
      <c r="H23" t="str">
        <f t="shared" si="36"/>
        <v>0x0000</v>
      </c>
      <c r="I23" t="str">
        <f t="shared" si="36"/>
        <v>0x0400</v>
      </c>
      <c r="J23" t="str">
        <f t="shared" si="36"/>
        <v>0x0400</v>
      </c>
      <c r="K23" t="str">
        <f t="shared" si="36"/>
        <v>0x0400</v>
      </c>
      <c r="L23" t="str">
        <f t="shared" si="36"/>
        <v>0x0400</v>
      </c>
      <c r="M23" t="str">
        <f t="shared" si="36"/>
        <v>0x0400</v>
      </c>
      <c r="N23" t="str">
        <f t="shared" si="36"/>
        <v>0x0400</v>
      </c>
      <c r="O23" t="str">
        <f t="shared" si="36"/>
        <v>0x0400</v>
      </c>
      <c r="Q23" t="str">
        <f t="shared" ref="Q23:AA23" si="37">CONCATENATE("0x",Q22,Q11)</f>
        <v>0xFBFF</v>
      </c>
      <c r="R23" t="str">
        <f t="shared" si="37"/>
        <v>0xFBFF</v>
      </c>
      <c r="S23" t="str">
        <f t="shared" si="37"/>
        <v>0xFBFF</v>
      </c>
      <c r="T23" t="str">
        <f t="shared" si="37"/>
        <v>0xFBFF</v>
      </c>
      <c r="U23" t="str">
        <f t="shared" si="37"/>
        <v>0xFBFF</v>
      </c>
      <c r="V23" t="str">
        <f t="shared" si="37"/>
        <v>0xFBFF</v>
      </c>
      <c r="W23" t="str">
        <f t="shared" si="37"/>
        <v>0xFBFF</v>
      </c>
      <c r="X23" t="str">
        <f t="shared" si="37"/>
        <v>0xFBFF</v>
      </c>
      <c r="Y23" t="str">
        <f t="shared" si="37"/>
        <v>0xFBFF</v>
      </c>
      <c r="Z23" t="str">
        <f t="shared" si="37"/>
        <v>0xFBFF</v>
      </c>
      <c r="AA23" t="str">
        <f t="shared" si="37"/>
        <v>0xFBFF</v>
      </c>
      <c r="AC23" t="str">
        <f>CONCATENATE("0x",AC22,AC11)</f>
        <v>0xC020</v>
      </c>
      <c r="AD23" t="str">
        <f t="shared" ref="AD23:BK23" si="38">CONCATENATE("0x",AD22,AD11)</f>
        <v>0xC020</v>
      </c>
      <c r="AE23" t="str">
        <f t="shared" si="38"/>
        <v>0xC020</v>
      </c>
      <c r="AF23" t="str">
        <f t="shared" si="38"/>
        <v>0xC020</v>
      </c>
      <c r="AG23" t="str">
        <f t="shared" si="38"/>
        <v>0xC020</v>
      </c>
      <c r="AH23" t="str">
        <f t="shared" si="38"/>
        <v>0xC020</v>
      </c>
      <c r="AI23" t="str">
        <f t="shared" si="38"/>
        <v>0xC020</v>
      </c>
      <c r="AJ23" t="str">
        <f t="shared" si="38"/>
        <v>0xC020</v>
      </c>
      <c r="AK23" t="str">
        <f t="shared" si="38"/>
        <v>0xC020</v>
      </c>
      <c r="AL23" t="str">
        <f t="shared" si="38"/>
        <v>0xC020</v>
      </c>
      <c r="AM23" t="str">
        <f t="shared" si="38"/>
        <v>0xC020</v>
      </c>
      <c r="AO23" t="str">
        <f t="shared" si="38"/>
        <v>0x0000</v>
      </c>
      <c r="AP23" t="str">
        <f t="shared" si="38"/>
        <v>0x0000</v>
      </c>
      <c r="AQ23" t="str">
        <f t="shared" si="38"/>
        <v>0x0000</v>
      </c>
      <c r="AR23" t="str">
        <f t="shared" si="38"/>
        <v>0x0000</v>
      </c>
      <c r="AS23" t="str">
        <f t="shared" si="38"/>
        <v>0x0000</v>
      </c>
      <c r="AT23" t="str">
        <f t="shared" si="38"/>
        <v>0x0000</v>
      </c>
      <c r="AU23" t="str">
        <f t="shared" si="38"/>
        <v>0x0000</v>
      </c>
      <c r="AV23" t="str">
        <f t="shared" si="38"/>
        <v>0x0000</v>
      </c>
      <c r="AW23" t="str">
        <f t="shared" si="38"/>
        <v>0x0000</v>
      </c>
      <c r="AX23" t="str">
        <f t="shared" si="38"/>
        <v>0x0000</v>
      </c>
      <c r="AY23" t="str">
        <f t="shared" si="38"/>
        <v>0x0000</v>
      </c>
      <c r="BA23" t="str">
        <f t="shared" si="38"/>
        <v>0x0000</v>
      </c>
      <c r="BB23" t="str">
        <f t="shared" si="38"/>
        <v>0x0000</v>
      </c>
      <c r="BC23" t="str">
        <f t="shared" si="38"/>
        <v>0x0000</v>
      </c>
      <c r="BD23" t="str">
        <f t="shared" si="38"/>
        <v>0x0000</v>
      </c>
      <c r="BE23" t="str">
        <f t="shared" si="38"/>
        <v>0x0000</v>
      </c>
      <c r="BF23" t="str">
        <f t="shared" si="38"/>
        <v>0x0000</v>
      </c>
      <c r="BG23" t="str">
        <f t="shared" si="38"/>
        <v>0x0000</v>
      </c>
      <c r="BH23" t="str">
        <f t="shared" si="38"/>
        <v>0x0000</v>
      </c>
      <c r="BI23" t="str">
        <f t="shared" si="38"/>
        <v>0x0000</v>
      </c>
      <c r="BJ23" t="str">
        <f t="shared" si="38"/>
        <v>0x0000</v>
      </c>
      <c r="BK23" t="str">
        <f t="shared" si="38"/>
        <v>0x0000</v>
      </c>
    </row>
    <row r="24" spans="1:63" x14ac:dyDescent="0.25">
      <c r="A24" s="2"/>
      <c r="B24" s="2"/>
      <c r="D24" s="13" t="s">
        <v>216</v>
      </c>
      <c r="E24" t="str">
        <f>Q23</f>
        <v>0xFBFF</v>
      </c>
      <c r="F24" t="str">
        <f>R23</f>
        <v>0xFBFF</v>
      </c>
      <c r="G24" t="str">
        <f t="shared" ref="G24:O24" si="39">S23</f>
        <v>0xFBFF</v>
      </c>
      <c r="H24" t="str">
        <f t="shared" si="39"/>
        <v>0xFBFF</v>
      </c>
      <c r="I24" t="str">
        <f t="shared" si="39"/>
        <v>0xFBFF</v>
      </c>
      <c r="J24" t="str">
        <f t="shared" si="39"/>
        <v>0xFBFF</v>
      </c>
      <c r="K24" t="str">
        <f t="shared" si="39"/>
        <v>0xFBFF</v>
      </c>
      <c r="L24" t="str">
        <f t="shared" si="39"/>
        <v>0xFBFF</v>
      </c>
      <c r="M24" t="str">
        <f t="shared" si="39"/>
        <v>0xFBFF</v>
      </c>
      <c r="N24" t="str">
        <f t="shared" si="39"/>
        <v>0xFBFF</v>
      </c>
      <c r="O24" t="str">
        <f t="shared" si="39"/>
        <v>0xFBFF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0xC020</v>
      </c>
      <c r="F25" t="str">
        <f t="shared" ref="F25:O25" si="40">AD23</f>
        <v>0xC020</v>
      </c>
      <c r="G25" t="str">
        <f t="shared" si="40"/>
        <v>0xC020</v>
      </c>
      <c r="H25" t="str">
        <f t="shared" si="40"/>
        <v>0xC020</v>
      </c>
      <c r="I25" t="str">
        <f t="shared" si="40"/>
        <v>0xC020</v>
      </c>
      <c r="J25" t="str">
        <f t="shared" si="40"/>
        <v>0xC020</v>
      </c>
      <c r="K25" t="str">
        <f t="shared" si="40"/>
        <v>0xC020</v>
      </c>
      <c r="L25" t="str">
        <f t="shared" si="40"/>
        <v>0xC020</v>
      </c>
      <c r="M25" t="str">
        <f t="shared" si="40"/>
        <v>0xC020</v>
      </c>
      <c r="N25" t="str">
        <f t="shared" si="40"/>
        <v>0xC020</v>
      </c>
      <c r="O25" t="str">
        <f t="shared" si="40"/>
        <v>0xC020</v>
      </c>
    </row>
    <row r="26" spans="1:63" x14ac:dyDescent="0.25">
      <c r="A26" s="2" t="s">
        <v>42</v>
      </c>
      <c r="B26" s="2" t="s">
        <v>36</v>
      </c>
      <c r="C26" t="s">
        <v>201</v>
      </c>
      <c r="D26" s="13" t="s">
        <v>209</v>
      </c>
      <c r="E26" t="str">
        <f>AO23</f>
        <v>0x0000</v>
      </c>
      <c r="F26" t="str">
        <f t="shared" ref="F26:O26" si="41">AP23</f>
        <v>0x0000</v>
      </c>
      <c r="G26" t="str">
        <f t="shared" si="41"/>
        <v>0x0000</v>
      </c>
      <c r="H26" t="str">
        <f t="shared" si="41"/>
        <v>0x0000</v>
      </c>
      <c r="I26" t="str">
        <f t="shared" si="41"/>
        <v>0x0000</v>
      </c>
      <c r="J26" t="str">
        <f t="shared" si="41"/>
        <v>0x0000</v>
      </c>
      <c r="K26" t="str">
        <f t="shared" si="41"/>
        <v>0x0000</v>
      </c>
      <c r="L26" t="str">
        <f t="shared" si="41"/>
        <v>0x0000</v>
      </c>
      <c r="M26" t="str">
        <f t="shared" si="41"/>
        <v>0x0000</v>
      </c>
      <c r="N26" t="str">
        <f t="shared" si="41"/>
        <v>0x0000</v>
      </c>
      <c r="O26" t="str">
        <f t="shared" si="41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2">BB23</f>
        <v>0x0000</v>
      </c>
      <c r="G27" t="str">
        <f t="shared" si="42"/>
        <v>0x0000</v>
      </c>
      <c r="H27" t="str">
        <f t="shared" si="42"/>
        <v>0x0000</v>
      </c>
      <c r="I27" t="str">
        <f t="shared" si="42"/>
        <v>0x0000</v>
      </c>
      <c r="J27" t="str">
        <f t="shared" si="42"/>
        <v>0x0000</v>
      </c>
      <c r="K27" t="str">
        <f t="shared" si="42"/>
        <v>0x0000</v>
      </c>
      <c r="L27" t="str">
        <f t="shared" si="42"/>
        <v>0x0000</v>
      </c>
      <c r="M27" t="str">
        <f t="shared" si="42"/>
        <v>0x0000</v>
      </c>
      <c r="N27" t="str">
        <f t="shared" si="42"/>
        <v>0x0000</v>
      </c>
      <c r="O27" t="str">
        <f t="shared" si="42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222</v>
      </c>
    </row>
    <row r="31" spans="1:63" x14ac:dyDescent="0.25">
      <c r="A31" s="4" t="str">
        <f ca="1">CONCATENATE("#",C$26,":",INDIRECT(H33))</f>
        <v>#I2C_Expander_01:wartość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0x21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0xFBFF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0x0400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#I2C_Expander_01:etap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0x21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0xFBFF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0x0400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3">INDIRECT(H57)</f>
        <v>0xC020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4">INDIRECT(G58)</f>
        <v>#pins_int</v>
      </c>
      <c r="B58" s="4" t="str">
        <f t="shared" ca="1" si="43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4"/>
        <v>#pins_def_val</v>
      </c>
      <c r="B59" s="4" t="str">
        <f t="shared" ca="1" si="43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#I2C_Expander_01:etap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0x21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0xFBFF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0x0400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5">INDIRECT(H77)</f>
        <v>0xC020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6">INDIRECT(G78)</f>
        <v>#pins_int</v>
      </c>
      <c r="B78" s="4" t="str">
        <f t="shared" ca="1" si="45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6"/>
        <v>#pins_def_val</v>
      </c>
      <c r="B79" s="4" t="str">
        <f t="shared" ca="1" si="45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#I2C_Expander_01:LTC6952_1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0x21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0xFBFF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0x0000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7">INDIRECT(H97)</f>
        <v>0xC020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8">INDIRECT(G98)</f>
        <v>#pins_int</v>
      </c>
      <c r="B98" s="4" t="str">
        <f t="shared" ca="1" si="47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8"/>
        <v>#pins_def_val</v>
      </c>
      <c r="B99" s="4" t="str">
        <f t="shared" ca="1" si="47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#I2C_Expander_01:etap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0x21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0xFBFF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0x0400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9">INDIRECT(H117)</f>
        <v>0xC020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50">INDIRECT(G118)</f>
        <v>#pins_int</v>
      </c>
      <c r="B118" s="4" t="str">
        <f t="shared" ca="1" si="49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50"/>
        <v>#pins_def_val</v>
      </c>
      <c r="B119" s="4" t="str">
        <f t="shared" ca="1" si="49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#I2C_Expander_01:etap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0x21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0xFBFF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0x0400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51">INDIRECT(H137)</f>
        <v>0xC020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2">INDIRECT(G138)</f>
        <v>#pins_int</v>
      </c>
      <c r="B138" s="4" t="str">
        <f t="shared" ca="1" si="51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2"/>
        <v>#pins_def_val</v>
      </c>
      <c r="B139" s="4" t="str">
        <f t="shared" ca="1" si="51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#I2C_Expander_01:etap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0x21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0xFBFF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0x0400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3">INDIRECT(H157)</f>
        <v>0xC020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4">INDIRECT(G158)</f>
        <v>#pins_int</v>
      </c>
      <c r="B158" s="4" t="str">
        <f t="shared" ca="1" si="53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4"/>
        <v>#pins_def_val</v>
      </c>
      <c r="B159" s="4" t="str">
        <f t="shared" ca="1" si="53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#I2C_Expander_01:etap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0x21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0xFBFF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0x0400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5">INDIRECT(H177)</f>
        <v>0xC020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6">INDIRECT(G178)</f>
        <v>#pins_int</v>
      </c>
      <c r="B178" s="4" t="str">
        <f t="shared" ca="1" si="55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6"/>
        <v>#pins_def_val</v>
      </c>
      <c r="B179" s="4" t="str">
        <f t="shared" ca="1" si="55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#I2C_Expander_01:etap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0x21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0xFBFF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0x0400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7">INDIRECT(H197)</f>
        <v>0xC020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8">INDIRECT(G198)</f>
        <v>#pins_int</v>
      </c>
      <c r="B198" s="4" t="str">
        <f t="shared" ca="1" si="57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8"/>
        <v>#pins_def_val</v>
      </c>
      <c r="B199" s="4" t="str">
        <f t="shared" ca="1" si="57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#I2C_Expander_01:etap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0x21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0xFBFF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0x0400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9">INDIRECT(H217)</f>
        <v>0xC020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60">INDIRECT(G218)</f>
        <v>#pins_int</v>
      </c>
      <c r="B218" s="4" t="str">
        <f t="shared" ca="1" si="59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60"/>
        <v>#pins_def_val</v>
      </c>
      <c r="B219" s="4" t="str">
        <f t="shared" ca="1" si="59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#I2C_Expander_01:etap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0x21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0xFBFF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0x0400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61">INDIRECT(H237)</f>
        <v>0xC020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2">INDIRECT(G238)</f>
        <v>#pins_int</v>
      </c>
      <c r="B238" s="4" t="str">
        <f t="shared" ca="1" si="61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2"/>
        <v>#pins_def_val</v>
      </c>
      <c r="B239" s="4" t="str">
        <f t="shared" ca="1" si="61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6" priority="1" stopIfTrue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J17" sqref="J17"/>
    </sheetView>
  </sheetViews>
  <sheetFormatPr defaultRowHeight="15" x14ac:dyDescent="0.25"/>
  <cols>
    <col min="1" max="1" width="18.5703125" customWidth="1"/>
    <col min="3" max="3" width="33.85546875" bestFit="1" customWidth="1"/>
    <col min="4" max="4" width="48.7109375" bestFit="1" customWidth="1"/>
    <col min="9" max="9" width="13.42578125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45" x14ac:dyDescent="0.25">
      <c r="A1" s="2"/>
      <c r="B1" s="2" t="s">
        <v>0</v>
      </c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259</v>
      </c>
      <c r="I1" s="1" t="s">
        <v>425</v>
      </c>
      <c r="J1" s="1" t="s">
        <v>430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1" t="s">
        <v>290</v>
      </c>
      <c r="C2" s="10" t="s">
        <v>170</v>
      </c>
      <c r="D2" s="10" t="s">
        <v>171</v>
      </c>
      <c r="E2" s="10">
        <v>0</v>
      </c>
      <c r="F2" s="10">
        <v>1</v>
      </c>
      <c r="G2" s="10">
        <v>1</v>
      </c>
      <c r="H2" s="10">
        <f>G2</f>
        <v>1</v>
      </c>
      <c r="I2" s="10">
        <f t="shared" ref="I2:O2" si="0">H2</f>
        <v>1</v>
      </c>
      <c r="J2" s="10">
        <f t="shared" si="0"/>
        <v>1</v>
      </c>
      <c r="K2" s="10">
        <f t="shared" si="0"/>
        <v>1</v>
      </c>
      <c r="L2" s="10">
        <f t="shared" si="0"/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1" t="s">
        <v>291</v>
      </c>
      <c r="C3" s="10" t="s">
        <v>192</v>
      </c>
      <c r="D3" s="10" t="s">
        <v>193</v>
      </c>
      <c r="E3" s="10">
        <v>1</v>
      </c>
      <c r="F3" s="10">
        <v>1</v>
      </c>
      <c r="G3" s="10">
        <v>1</v>
      </c>
      <c r="H3" s="10">
        <v>0</v>
      </c>
      <c r="I3" s="10">
        <v>1</v>
      </c>
      <c r="J3" s="10">
        <f t="shared" ref="H3:O9" si="5">I3</f>
        <v>1</v>
      </c>
      <c r="K3" s="10">
        <f t="shared" si="5"/>
        <v>1</v>
      </c>
      <c r="L3" s="10">
        <f t="shared" si="5"/>
        <v>1</v>
      </c>
      <c r="M3" s="10">
        <f t="shared" si="5"/>
        <v>1</v>
      </c>
      <c r="N3" s="10">
        <f t="shared" si="5"/>
        <v>1</v>
      </c>
      <c r="O3" s="10">
        <f t="shared" si="5"/>
        <v>1</v>
      </c>
      <c r="Q3" s="10">
        <v>0</v>
      </c>
      <c r="R3" s="10">
        <f t="shared" ref="R3:AA9" si="6">Q3</f>
        <v>0</v>
      </c>
      <c r="S3" s="10">
        <f t="shared" si="6"/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1" t="s">
        <v>292</v>
      </c>
      <c r="C4" s="10" t="s">
        <v>118</v>
      </c>
      <c r="E4" s="10">
        <v>0</v>
      </c>
      <c r="F4" s="10">
        <v>0</v>
      </c>
      <c r="G4" s="10">
        <v>0</v>
      </c>
      <c r="H4" s="10">
        <f t="shared" si="5"/>
        <v>0</v>
      </c>
      <c r="I4" s="10">
        <f t="shared" si="5"/>
        <v>0</v>
      </c>
      <c r="J4" s="10">
        <f t="shared" si="5"/>
        <v>0</v>
      </c>
      <c r="K4" s="10">
        <f t="shared" si="5"/>
        <v>0</v>
      </c>
      <c r="L4" s="10">
        <f t="shared" si="5"/>
        <v>0</v>
      </c>
      <c r="M4" s="10">
        <f t="shared" si="5"/>
        <v>0</v>
      </c>
      <c r="N4" s="10">
        <f t="shared" si="5"/>
        <v>0</v>
      </c>
      <c r="O4" s="10">
        <f t="shared" si="5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1" t="s">
        <v>293</v>
      </c>
      <c r="C5" s="10" t="s">
        <v>118</v>
      </c>
      <c r="E5" s="10">
        <v>0</v>
      </c>
      <c r="F5" s="10">
        <v>0</v>
      </c>
      <c r="G5" s="10">
        <v>0</v>
      </c>
      <c r="H5" s="10">
        <f t="shared" si="5"/>
        <v>0</v>
      </c>
      <c r="I5" s="10">
        <f t="shared" si="5"/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0</v>
      </c>
      <c r="AD5" s="10">
        <f t="shared" si="7"/>
        <v>0</v>
      </c>
      <c r="AE5" s="10">
        <f t="shared" si="7"/>
        <v>0</v>
      </c>
      <c r="AF5" s="10">
        <f t="shared" si="7"/>
        <v>0</v>
      </c>
      <c r="AG5" s="10">
        <f t="shared" si="7"/>
        <v>0</v>
      </c>
      <c r="AH5" s="10">
        <f t="shared" si="7"/>
        <v>0</v>
      </c>
      <c r="AI5" s="10">
        <f t="shared" si="7"/>
        <v>0</v>
      </c>
      <c r="AJ5" s="10">
        <f t="shared" si="7"/>
        <v>0</v>
      </c>
      <c r="AK5" s="10">
        <f t="shared" si="7"/>
        <v>0</v>
      </c>
      <c r="AL5" s="10">
        <f t="shared" si="7"/>
        <v>0</v>
      </c>
      <c r="AM5" s="10">
        <f t="shared" si="7"/>
        <v>0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1" t="s">
        <v>294</v>
      </c>
      <c r="C6" s="10" t="s">
        <v>118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1" t="s">
        <v>295</v>
      </c>
      <c r="C7" s="10" t="s">
        <v>118</v>
      </c>
      <c r="E7" s="10">
        <v>0</v>
      </c>
      <c r="F7" s="10">
        <v>0</v>
      </c>
      <c r="G7" s="10"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1</v>
      </c>
      <c r="R7" s="10">
        <f t="shared" si="6"/>
        <v>1</v>
      </c>
      <c r="S7" s="10">
        <f t="shared" si="6"/>
        <v>1</v>
      </c>
      <c r="T7" s="10">
        <f t="shared" si="6"/>
        <v>1</v>
      </c>
      <c r="U7" s="10">
        <f t="shared" si="6"/>
        <v>1</v>
      </c>
      <c r="V7" s="10">
        <f t="shared" si="6"/>
        <v>1</v>
      </c>
      <c r="W7" s="10">
        <f t="shared" si="6"/>
        <v>1</v>
      </c>
      <c r="X7" s="10">
        <f t="shared" si="6"/>
        <v>1</v>
      </c>
      <c r="Y7" s="10">
        <f t="shared" si="6"/>
        <v>1</v>
      </c>
      <c r="Z7" s="10">
        <f t="shared" si="6"/>
        <v>1</v>
      </c>
      <c r="AA7" s="10">
        <f t="shared" si="6"/>
        <v>1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1" t="s">
        <v>296</v>
      </c>
      <c r="C8" s="10" t="s">
        <v>118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si="6"/>
        <v>1</v>
      </c>
      <c r="S8" s="10">
        <f t="shared" si="6"/>
        <v>1</v>
      </c>
      <c r="T8" s="10">
        <f t="shared" si="6"/>
        <v>1</v>
      </c>
      <c r="U8" s="10">
        <f t="shared" si="6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C8" s="10">
        <v>0</v>
      </c>
      <c r="AD8" s="10">
        <f t="shared" si="7"/>
        <v>0</v>
      </c>
      <c r="AE8" s="10">
        <f t="shared" si="7"/>
        <v>0</v>
      </c>
      <c r="AF8" s="10">
        <f t="shared" si="7"/>
        <v>0</v>
      </c>
      <c r="AG8" s="10">
        <f t="shared" si="7"/>
        <v>0</v>
      </c>
      <c r="AH8" s="10">
        <f t="shared" si="7"/>
        <v>0</v>
      </c>
      <c r="AI8" s="10">
        <f t="shared" si="7"/>
        <v>0</v>
      </c>
      <c r="AJ8" s="10">
        <f t="shared" si="7"/>
        <v>0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1" t="s">
        <v>297</v>
      </c>
      <c r="C9" s="10" t="s">
        <v>174</v>
      </c>
      <c r="D9" s="10" t="s">
        <v>175</v>
      </c>
      <c r="E9" s="10">
        <v>0</v>
      </c>
      <c r="F9" s="10">
        <v>0</v>
      </c>
      <c r="G9" s="10">
        <v>1</v>
      </c>
      <c r="H9" s="10">
        <f t="shared" si="5"/>
        <v>1</v>
      </c>
      <c r="I9" s="10">
        <f t="shared" si="5"/>
        <v>1</v>
      </c>
      <c r="J9" s="10">
        <f t="shared" si="5"/>
        <v>1</v>
      </c>
      <c r="K9" s="10">
        <f t="shared" si="5"/>
        <v>1</v>
      </c>
      <c r="L9" s="10">
        <f t="shared" si="5"/>
        <v>1</v>
      </c>
      <c r="M9" s="10">
        <f t="shared" si="5"/>
        <v>1</v>
      </c>
      <c r="N9" s="10">
        <f t="shared" si="5"/>
        <v>1</v>
      </c>
      <c r="O9" s="10">
        <f t="shared" si="5"/>
        <v>1</v>
      </c>
      <c r="Q9" s="10">
        <v>0</v>
      </c>
      <c r="R9" s="10">
        <f t="shared" si="6"/>
        <v>0</v>
      </c>
      <c r="S9" s="10">
        <f t="shared" si="6"/>
        <v>0</v>
      </c>
      <c r="T9" s="10">
        <f t="shared" si="6"/>
        <v>0</v>
      </c>
      <c r="U9" s="10">
        <f t="shared" si="6"/>
        <v>0</v>
      </c>
      <c r="V9" s="10">
        <f t="shared" si="6"/>
        <v>0</v>
      </c>
      <c r="W9" s="10">
        <f t="shared" si="6"/>
        <v>0</v>
      </c>
      <c r="X9" s="10">
        <f t="shared" si="6"/>
        <v>0</v>
      </c>
      <c r="Y9" s="10">
        <f t="shared" si="6"/>
        <v>0</v>
      </c>
      <c r="Z9" s="10">
        <f t="shared" si="6"/>
        <v>0</v>
      </c>
      <c r="AA9" s="10">
        <f t="shared" si="6"/>
        <v>0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B10" s="2"/>
      <c r="E10" t="str">
        <f t="shared" ref="E10:AA10" si="10">CONCATENATE(E9,E8,E7,E6,E5,E4,E3,E2)</f>
        <v>00000010</v>
      </c>
      <c r="F10" t="str">
        <f t="shared" si="10"/>
        <v>00000011</v>
      </c>
      <c r="G10" t="str">
        <f t="shared" si="10"/>
        <v>10000011</v>
      </c>
      <c r="H10" t="str">
        <f t="shared" si="10"/>
        <v>10000001</v>
      </c>
      <c r="I10" t="str">
        <f t="shared" si="10"/>
        <v>10000011</v>
      </c>
      <c r="J10" t="str">
        <f t="shared" si="10"/>
        <v>10000011</v>
      </c>
      <c r="K10" t="str">
        <f t="shared" si="10"/>
        <v>10000011</v>
      </c>
      <c r="L10" t="str">
        <f t="shared" si="10"/>
        <v>10000011</v>
      </c>
      <c r="M10" t="str">
        <f t="shared" si="10"/>
        <v>10000011</v>
      </c>
      <c r="N10" t="str">
        <f t="shared" si="10"/>
        <v>10000011</v>
      </c>
      <c r="O10" t="str">
        <f t="shared" si="10"/>
        <v>10000011</v>
      </c>
      <c r="Q10" t="str">
        <f t="shared" si="10"/>
        <v>01111100</v>
      </c>
      <c r="R10" t="str">
        <f t="shared" si="10"/>
        <v>01111100</v>
      </c>
      <c r="S10" t="str">
        <f t="shared" si="10"/>
        <v>01111100</v>
      </c>
      <c r="T10" t="str">
        <f t="shared" si="10"/>
        <v>01111100</v>
      </c>
      <c r="U10" t="str">
        <f t="shared" si="10"/>
        <v>01111100</v>
      </c>
      <c r="V10" t="str">
        <f t="shared" si="10"/>
        <v>01111100</v>
      </c>
      <c r="W10" t="str">
        <f t="shared" si="10"/>
        <v>01111100</v>
      </c>
      <c r="X10" t="str">
        <f t="shared" si="10"/>
        <v>01111100</v>
      </c>
      <c r="Y10" t="str">
        <f t="shared" si="10"/>
        <v>01111100</v>
      </c>
      <c r="Z10" t="str">
        <f t="shared" si="10"/>
        <v>01111100</v>
      </c>
      <c r="AA10" t="str">
        <f t="shared" si="10"/>
        <v>01111100</v>
      </c>
      <c r="AC10" t="str">
        <f>CONCATENATE(AC9,AC8,AC7,AC6,AC5,AC4,AC3,AC2)</f>
        <v>00000000</v>
      </c>
      <c r="AD10" t="str">
        <f t="shared" ref="AD10:AM10" si="11">CONCATENATE(AD9,AD8,AD7,AD6,AD5,AD4,AD3,AD2)</f>
        <v>00000000</v>
      </c>
      <c r="AE10" t="str">
        <f t="shared" si="11"/>
        <v>00000000</v>
      </c>
      <c r="AF10" t="str">
        <f t="shared" si="11"/>
        <v>00000000</v>
      </c>
      <c r="AG10" t="str">
        <f t="shared" si="11"/>
        <v>00000000</v>
      </c>
      <c r="AH10" t="str">
        <f t="shared" si="11"/>
        <v>00000000</v>
      </c>
      <c r="AI10" t="str">
        <f t="shared" si="11"/>
        <v>00000000</v>
      </c>
      <c r="AJ10" t="str">
        <f t="shared" si="11"/>
        <v>00000000</v>
      </c>
      <c r="AK10" t="str">
        <f t="shared" si="11"/>
        <v>00000000</v>
      </c>
      <c r="AL10" t="str">
        <f t="shared" si="11"/>
        <v>00000000</v>
      </c>
      <c r="AM10" t="str">
        <f t="shared" si="11"/>
        <v>00000000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B11" s="2" t="s">
        <v>4</v>
      </c>
      <c r="E11" t="str">
        <f t="shared" ref="E11:AA11" si="14">CONCATENATE(BIN2HEX(E10,2))</f>
        <v>02</v>
      </c>
      <c r="F11" t="str">
        <f t="shared" si="14"/>
        <v>03</v>
      </c>
      <c r="G11" t="str">
        <f t="shared" si="14"/>
        <v>83</v>
      </c>
      <c r="H11" t="str">
        <f t="shared" si="14"/>
        <v>81</v>
      </c>
      <c r="I11" t="str">
        <f t="shared" si="14"/>
        <v>83</v>
      </c>
      <c r="J11" t="str">
        <f t="shared" si="14"/>
        <v>83</v>
      </c>
      <c r="K11" t="str">
        <f t="shared" si="14"/>
        <v>83</v>
      </c>
      <c r="L11" t="str">
        <f t="shared" si="14"/>
        <v>83</v>
      </c>
      <c r="M11" t="str">
        <f t="shared" si="14"/>
        <v>83</v>
      </c>
      <c r="N11" t="str">
        <f t="shared" si="14"/>
        <v>83</v>
      </c>
      <c r="O11" t="str">
        <f t="shared" si="14"/>
        <v>83</v>
      </c>
      <c r="Q11" t="str">
        <f t="shared" si="14"/>
        <v>7C</v>
      </c>
      <c r="R11" t="str">
        <f t="shared" si="14"/>
        <v>7C</v>
      </c>
      <c r="S11" t="str">
        <f t="shared" si="14"/>
        <v>7C</v>
      </c>
      <c r="T11" t="str">
        <f t="shared" si="14"/>
        <v>7C</v>
      </c>
      <c r="U11" t="str">
        <f t="shared" si="14"/>
        <v>7C</v>
      </c>
      <c r="V11" t="str">
        <f t="shared" si="14"/>
        <v>7C</v>
      </c>
      <c r="W11" t="str">
        <f t="shared" si="14"/>
        <v>7C</v>
      </c>
      <c r="X11" t="str">
        <f t="shared" si="14"/>
        <v>7C</v>
      </c>
      <c r="Y11" t="str">
        <f t="shared" si="14"/>
        <v>7C</v>
      </c>
      <c r="Z11" t="str">
        <f t="shared" si="14"/>
        <v>7C</v>
      </c>
      <c r="AA11" t="str">
        <f t="shared" si="14"/>
        <v>7C</v>
      </c>
      <c r="AC11" t="str">
        <f>CONCATENATE(BIN2HEX(AC10,2))</f>
        <v>00</v>
      </c>
      <c r="AD11" t="str">
        <f t="shared" ref="AD11:AM11" si="15">CONCATENATE(BIN2HEX(AD10,2))</f>
        <v>00</v>
      </c>
      <c r="AE11" t="str">
        <f t="shared" si="15"/>
        <v>00</v>
      </c>
      <c r="AF11" t="str">
        <f t="shared" si="15"/>
        <v>00</v>
      </c>
      <c r="AG11" t="str">
        <f t="shared" si="15"/>
        <v>00</v>
      </c>
      <c r="AH11" t="str">
        <f t="shared" si="15"/>
        <v>00</v>
      </c>
      <c r="AI11" t="str">
        <f t="shared" si="15"/>
        <v>00</v>
      </c>
      <c r="AJ11" t="str">
        <f t="shared" si="15"/>
        <v>00</v>
      </c>
      <c r="AK11" t="str">
        <f t="shared" si="15"/>
        <v>00</v>
      </c>
      <c r="AL11" t="str">
        <f t="shared" si="15"/>
        <v>00</v>
      </c>
      <c r="AM11" t="str">
        <f t="shared" si="15"/>
        <v>00</v>
      </c>
      <c r="AO11" t="str">
        <f t="shared" ref="AO11:AY11" si="16">CONCATENATE(BIN2HEX(AO10,2))</f>
        <v>00</v>
      </c>
      <c r="AP11" t="str">
        <f t="shared" si="16"/>
        <v>00</v>
      </c>
      <c r="AQ11" t="str">
        <f t="shared" si="16"/>
        <v>00</v>
      </c>
      <c r="AR11" t="str">
        <f t="shared" si="16"/>
        <v>00</v>
      </c>
      <c r="AS11" t="str">
        <f t="shared" si="16"/>
        <v>00</v>
      </c>
      <c r="AT11" t="str">
        <f t="shared" si="16"/>
        <v>00</v>
      </c>
      <c r="AU11" t="str">
        <f t="shared" si="16"/>
        <v>00</v>
      </c>
      <c r="AV11" t="str">
        <f t="shared" si="16"/>
        <v>00</v>
      </c>
      <c r="AW11" t="str">
        <f t="shared" si="16"/>
        <v>00</v>
      </c>
      <c r="AX11" t="str">
        <f t="shared" si="16"/>
        <v>00</v>
      </c>
      <c r="AY11" t="str">
        <f t="shared" si="16"/>
        <v>00</v>
      </c>
      <c r="BA11" t="str">
        <f t="shared" ref="BA11:BK11" si="17">CONCATENATE(BIN2HEX(BA10,2))</f>
        <v>00</v>
      </c>
      <c r="BB11" t="str">
        <f t="shared" si="17"/>
        <v>00</v>
      </c>
      <c r="BC11" t="str">
        <f t="shared" si="17"/>
        <v>00</v>
      </c>
      <c r="BD11" t="str">
        <f t="shared" si="17"/>
        <v>00</v>
      </c>
      <c r="BE11" t="str">
        <f t="shared" si="17"/>
        <v>00</v>
      </c>
      <c r="BF11" t="str">
        <f t="shared" si="17"/>
        <v>00</v>
      </c>
      <c r="BG11" t="str">
        <f t="shared" si="17"/>
        <v>00</v>
      </c>
      <c r="BH11" t="str">
        <f t="shared" si="17"/>
        <v>00</v>
      </c>
      <c r="BI11" t="str">
        <f t="shared" si="17"/>
        <v>00</v>
      </c>
      <c r="BJ11" t="str">
        <f t="shared" si="17"/>
        <v>00</v>
      </c>
      <c r="BK11" t="str">
        <f t="shared" si="17"/>
        <v>00</v>
      </c>
    </row>
    <row r="12" spans="1:63" x14ac:dyDescent="0.25">
      <c r="A12" s="2"/>
      <c r="B12" s="2"/>
    </row>
    <row r="13" spans="1:63" s="10" customFormat="1" x14ac:dyDescent="0.25">
      <c r="A13" s="11"/>
      <c r="B13" s="11" t="s">
        <v>298</v>
      </c>
      <c r="C13" s="10" t="s">
        <v>176</v>
      </c>
      <c r="D13" s="10" t="s">
        <v>177</v>
      </c>
      <c r="E13" s="10">
        <v>0</v>
      </c>
      <c r="F13" s="10">
        <v>1</v>
      </c>
      <c r="G13" s="10">
        <v>1</v>
      </c>
      <c r="H13" s="10">
        <f>G13</f>
        <v>1</v>
      </c>
      <c r="I13" s="10">
        <f t="shared" ref="I13:O13" si="18">H13</f>
        <v>1</v>
      </c>
      <c r="J13" s="10">
        <f t="shared" si="18"/>
        <v>1</v>
      </c>
      <c r="K13" s="10">
        <f t="shared" si="18"/>
        <v>1</v>
      </c>
      <c r="L13" s="10">
        <f t="shared" si="18"/>
        <v>1</v>
      </c>
      <c r="M13" s="10">
        <f t="shared" si="18"/>
        <v>1</v>
      </c>
      <c r="N13" s="10">
        <f t="shared" si="18"/>
        <v>1</v>
      </c>
      <c r="O13" s="10">
        <f t="shared" si="18"/>
        <v>1</v>
      </c>
      <c r="Q13" s="10">
        <v>0</v>
      </c>
      <c r="R13" s="10">
        <f>Q13</f>
        <v>0</v>
      </c>
      <c r="S13" s="10">
        <f t="shared" ref="S13:AA13" si="19">R13</f>
        <v>0</v>
      </c>
      <c r="T13" s="10">
        <f t="shared" si="19"/>
        <v>0</v>
      </c>
      <c r="U13" s="10">
        <f t="shared" si="19"/>
        <v>0</v>
      </c>
      <c r="V13" s="10">
        <f t="shared" si="19"/>
        <v>0</v>
      </c>
      <c r="W13" s="10">
        <f t="shared" si="19"/>
        <v>0</v>
      </c>
      <c r="X13" s="10">
        <f t="shared" si="19"/>
        <v>0</v>
      </c>
      <c r="Y13" s="10">
        <f t="shared" si="19"/>
        <v>0</v>
      </c>
      <c r="Z13" s="10">
        <f t="shared" si="19"/>
        <v>0</v>
      </c>
      <c r="AA13" s="10">
        <f t="shared" si="19"/>
        <v>0</v>
      </c>
      <c r="AC13" s="10">
        <v>0</v>
      </c>
      <c r="AD13" s="10">
        <f>AC13</f>
        <v>0</v>
      </c>
      <c r="AE13" s="10">
        <f t="shared" ref="AE13:AM13" si="20">AD13</f>
        <v>0</v>
      </c>
      <c r="AF13" s="10">
        <f t="shared" si="20"/>
        <v>0</v>
      </c>
      <c r="AG13" s="10">
        <f t="shared" si="20"/>
        <v>0</v>
      </c>
      <c r="AH13" s="10">
        <f t="shared" si="20"/>
        <v>0</v>
      </c>
      <c r="AI13" s="10">
        <f t="shared" si="20"/>
        <v>0</v>
      </c>
      <c r="AJ13" s="10">
        <f t="shared" si="20"/>
        <v>0</v>
      </c>
      <c r="AK13" s="10">
        <f t="shared" si="20"/>
        <v>0</v>
      </c>
      <c r="AL13" s="10">
        <f t="shared" si="20"/>
        <v>0</v>
      </c>
      <c r="AM13" s="10">
        <f t="shared" si="20"/>
        <v>0</v>
      </c>
      <c r="AO13" s="10">
        <v>0</v>
      </c>
      <c r="AP13" s="10">
        <f>AO13</f>
        <v>0</v>
      </c>
      <c r="AQ13" s="10">
        <f t="shared" ref="AQ13:AY13" si="21">AP13</f>
        <v>0</v>
      </c>
      <c r="AR13" s="10">
        <f t="shared" si="21"/>
        <v>0</v>
      </c>
      <c r="AS13" s="10">
        <f t="shared" si="21"/>
        <v>0</v>
      </c>
      <c r="AT13" s="10">
        <f t="shared" si="21"/>
        <v>0</v>
      </c>
      <c r="AU13" s="10">
        <f t="shared" si="21"/>
        <v>0</v>
      </c>
      <c r="AV13" s="10">
        <f t="shared" si="21"/>
        <v>0</v>
      </c>
      <c r="AW13" s="10">
        <f t="shared" si="21"/>
        <v>0</v>
      </c>
      <c r="AX13" s="10">
        <f t="shared" si="21"/>
        <v>0</v>
      </c>
      <c r="AY13" s="10">
        <f t="shared" si="21"/>
        <v>0</v>
      </c>
      <c r="BA13" s="10">
        <v>0</v>
      </c>
      <c r="BB13" s="10">
        <f>BA13</f>
        <v>0</v>
      </c>
      <c r="BC13" s="10">
        <f t="shared" ref="BC13:BK13" si="22">BB13</f>
        <v>0</v>
      </c>
      <c r="BD13" s="10">
        <f t="shared" si="22"/>
        <v>0</v>
      </c>
      <c r="BE13" s="10">
        <f t="shared" si="22"/>
        <v>0</v>
      </c>
      <c r="BF13" s="10">
        <f t="shared" si="22"/>
        <v>0</v>
      </c>
      <c r="BG13" s="10">
        <f t="shared" si="22"/>
        <v>0</v>
      </c>
      <c r="BH13" s="10">
        <f t="shared" si="22"/>
        <v>0</v>
      </c>
      <c r="BI13" s="10">
        <f t="shared" si="22"/>
        <v>0</v>
      </c>
      <c r="BJ13" s="10">
        <f t="shared" si="22"/>
        <v>0</v>
      </c>
      <c r="BK13" s="10">
        <f t="shared" si="22"/>
        <v>0</v>
      </c>
    </row>
    <row r="14" spans="1:63" s="10" customFormat="1" x14ac:dyDescent="0.25">
      <c r="A14" s="11"/>
      <c r="B14" s="11" t="s">
        <v>299</v>
      </c>
      <c r="C14" s="10" t="s">
        <v>118</v>
      </c>
      <c r="E14" s="10">
        <v>0</v>
      </c>
      <c r="F14" s="10">
        <v>0</v>
      </c>
      <c r="G14" s="10">
        <v>0</v>
      </c>
      <c r="H14" s="10">
        <f t="shared" ref="H14:O20" si="23">G14</f>
        <v>0</v>
      </c>
      <c r="I14" s="10">
        <f t="shared" si="23"/>
        <v>0</v>
      </c>
      <c r="J14" s="10">
        <f t="shared" si="23"/>
        <v>0</v>
      </c>
      <c r="K14" s="10">
        <f t="shared" si="23"/>
        <v>0</v>
      </c>
      <c r="L14" s="10">
        <f t="shared" si="23"/>
        <v>0</v>
      </c>
      <c r="M14" s="10">
        <f t="shared" si="23"/>
        <v>0</v>
      </c>
      <c r="N14" s="10">
        <f t="shared" si="23"/>
        <v>0</v>
      </c>
      <c r="O14" s="10">
        <f t="shared" si="23"/>
        <v>0</v>
      </c>
      <c r="Q14" s="10">
        <v>1</v>
      </c>
      <c r="R14" s="10">
        <f t="shared" ref="R14:AA20" si="24">Q14</f>
        <v>1</v>
      </c>
      <c r="S14" s="10">
        <f t="shared" si="24"/>
        <v>1</v>
      </c>
      <c r="T14" s="10">
        <f t="shared" si="24"/>
        <v>1</v>
      </c>
      <c r="U14" s="10">
        <f t="shared" si="24"/>
        <v>1</v>
      </c>
      <c r="V14" s="10">
        <f t="shared" si="24"/>
        <v>1</v>
      </c>
      <c r="W14" s="10">
        <f t="shared" si="24"/>
        <v>1</v>
      </c>
      <c r="X14" s="10">
        <f t="shared" si="24"/>
        <v>1</v>
      </c>
      <c r="Y14" s="10">
        <f t="shared" si="24"/>
        <v>1</v>
      </c>
      <c r="Z14" s="10">
        <f t="shared" si="24"/>
        <v>1</v>
      </c>
      <c r="AA14" s="10">
        <f t="shared" si="24"/>
        <v>1</v>
      </c>
      <c r="AC14" s="10">
        <v>0</v>
      </c>
      <c r="AD14" s="10">
        <f t="shared" ref="AD14:AM20" si="25">AC14</f>
        <v>0</v>
      </c>
      <c r="AE14" s="10">
        <f t="shared" si="25"/>
        <v>0</v>
      </c>
      <c r="AF14" s="10">
        <f t="shared" si="25"/>
        <v>0</v>
      </c>
      <c r="AG14" s="10">
        <f t="shared" si="25"/>
        <v>0</v>
      </c>
      <c r="AH14" s="10">
        <f t="shared" si="25"/>
        <v>0</v>
      </c>
      <c r="AI14" s="10">
        <f t="shared" si="25"/>
        <v>0</v>
      </c>
      <c r="AJ14" s="10">
        <f t="shared" si="25"/>
        <v>0</v>
      </c>
      <c r="AK14" s="10">
        <f t="shared" si="25"/>
        <v>0</v>
      </c>
      <c r="AL14" s="10">
        <f t="shared" si="25"/>
        <v>0</v>
      </c>
      <c r="AM14" s="10">
        <f t="shared" si="25"/>
        <v>0</v>
      </c>
      <c r="AO14" s="10">
        <v>0</v>
      </c>
      <c r="AP14" s="10">
        <f t="shared" ref="AP14:AY20" si="26">AO14</f>
        <v>0</v>
      </c>
      <c r="AQ14" s="10">
        <f t="shared" si="26"/>
        <v>0</v>
      </c>
      <c r="AR14" s="10">
        <f t="shared" si="26"/>
        <v>0</v>
      </c>
      <c r="AS14" s="10">
        <f t="shared" si="26"/>
        <v>0</v>
      </c>
      <c r="AT14" s="10">
        <f t="shared" si="26"/>
        <v>0</v>
      </c>
      <c r="AU14" s="10">
        <f t="shared" si="26"/>
        <v>0</v>
      </c>
      <c r="AV14" s="10">
        <f t="shared" si="26"/>
        <v>0</v>
      </c>
      <c r="AW14" s="10">
        <f t="shared" si="26"/>
        <v>0</v>
      </c>
      <c r="AX14" s="10">
        <f t="shared" si="26"/>
        <v>0</v>
      </c>
      <c r="AY14" s="10">
        <f t="shared" si="26"/>
        <v>0</v>
      </c>
      <c r="BA14" s="10">
        <v>0</v>
      </c>
      <c r="BB14" s="10">
        <f t="shared" ref="BB14:BK20" si="27">BA14</f>
        <v>0</v>
      </c>
      <c r="BC14" s="10">
        <f t="shared" si="27"/>
        <v>0</v>
      </c>
      <c r="BD14" s="10">
        <f t="shared" si="27"/>
        <v>0</v>
      </c>
      <c r="BE14" s="10">
        <f t="shared" si="27"/>
        <v>0</v>
      </c>
      <c r="BF14" s="10">
        <f t="shared" si="27"/>
        <v>0</v>
      </c>
      <c r="BG14" s="10">
        <f t="shared" si="27"/>
        <v>0</v>
      </c>
      <c r="BH14" s="10">
        <f t="shared" si="27"/>
        <v>0</v>
      </c>
      <c r="BI14" s="10">
        <f t="shared" si="27"/>
        <v>0</v>
      </c>
      <c r="BJ14" s="10">
        <f t="shared" si="27"/>
        <v>0</v>
      </c>
      <c r="BK14" s="10">
        <f t="shared" si="27"/>
        <v>0</v>
      </c>
    </row>
    <row r="15" spans="1:63" s="10" customFormat="1" x14ac:dyDescent="0.25">
      <c r="A15" s="11"/>
      <c r="B15" s="11" t="s">
        <v>300</v>
      </c>
      <c r="C15" s="10" t="s">
        <v>180</v>
      </c>
      <c r="D15" s="10" t="s">
        <v>181</v>
      </c>
      <c r="E15" s="10">
        <v>0</v>
      </c>
      <c r="F15" s="10">
        <v>1</v>
      </c>
      <c r="G15" s="10">
        <v>1</v>
      </c>
      <c r="H15" s="10">
        <f t="shared" si="23"/>
        <v>1</v>
      </c>
      <c r="I15" s="10">
        <f t="shared" si="23"/>
        <v>1</v>
      </c>
      <c r="J15" s="10">
        <f t="shared" si="23"/>
        <v>1</v>
      </c>
      <c r="K15" s="10">
        <f t="shared" si="23"/>
        <v>1</v>
      </c>
      <c r="L15" s="10">
        <f t="shared" si="23"/>
        <v>1</v>
      </c>
      <c r="M15" s="10">
        <f t="shared" si="23"/>
        <v>1</v>
      </c>
      <c r="N15" s="10">
        <f t="shared" si="23"/>
        <v>1</v>
      </c>
      <c r="O15" s="10">
        <f t="shared" si="23"/>
        <v>1</v>
      </c>
      <c r="Q15" s="10">
        <v>0</v>
      </c>
      <c r="R15" s="10">
        <f t="shared" si="24"/>
        <v>0</v>
      </c>
      <c r="S15" s="10">
        <f t="shared" si="24"/>
        <v>0</v>
      </c>
      <c r="T15" s="10">
        <f t="shared" si="24"/>
        <v>0</v>
      </c>
      <c r="U15" s="10">
        <f t="shared" si="24"/>
        <v>0</v>
      </c>
      <c r="V15" s="10">
        <f t="shared" si="24"/>
        <v>0</v>
      </c>
      <c r="W15" s="10">
        <f t="shared" si="24"/>
        <v>0</v>
      </c>
      <c r="X15" s="10">
        <f t="shared" si="24"/>
        <v>0</v>
      </c>
      <c r="Y15" s="10">
        <f t="shared" si="24"/>
        <v>0</v>
      </c>
      <c r="Z15" s="10">
        <f t="shared" si="24"/>
        <v>0</v>
      </c>
      <c r="AA15" s="10">
        <f t="shared" si="24"/>
        <v>0</v>
      </c>
      <c r="AC15" s="10">
        <v>0</v>
      </c>
      <c r="AD15" s="10">
        <f t="shared" si="25"/>
        <v>0</v>
      </c>
      <c r="AE15" s="10">
        <f t="shared" si="25"/>
        <v>0</v>
      </c>
      <c r="AF15" s="10">
        <f t="shared" si="25"/>
        <v>0</v>
      </c>
      <c r="AG15" s="10">
        <f t="shared" si="25"/>
        <v>0</v>
      </c>
      <c r="AH15" s="10">
        <f t="shared" si="25"/>
        <v>0</v>
      </c>
      <c r="AI15" s="10">
        <f t="shared" si="25"/>
        <v>0</v>
      </c>
      <c r="AJ15" s="10">
        <f t="shared" si="25"/>
        <v>0</v>
      </c>
      <c r="AK15" s="10">
        <f t="shared" si="25"/>
        <v>0</v>
      </c>
      <c r="AL15" s="10">
        <f t="shared" si="25"/>
        <v>0</v>
      </c>
      <c r="AM15" s="10">
        <f t="shared" si="25"/>
        <v>0</v>
      </c>
      <c r="AO15" s="10">
        <v>0</v>
      </c>
      <c r="AP15" s="10">
        <f t="shared" si="26"/>
        <v>0</v>
      </c>
      <c r="AQ15" s="10">
        <f t="shared" si="26"/>
        <v>0</v>
      </c>
      <c r="AR15" s="10">
        <f t="shared" si="26"/>
        <v>0</v>
      </c>
      <c r="AS15" s="10">
        <f t="shared" si="26"/>
        <v>0</v>
      </c>
      <c r="AT15" s="10">
        <f t="shared" si="26"/>
        <v>0</v>
      </c>
      <c r="AU15" s="10">
        <f t="shared" si="26"/>
        <v>0</v>
      </c>
      <c r="AV15" s="10">
        <f t="shared" si="26"/>
        <v>0</v>
      </c>
      <c r="AW15" s="10">
        <f t="shared" si="26"/>
        <v>0</v>
      </c>
      <c r="AX15" s="10">
        <f t="shared" si="26"/>
        <v>0</v>
      </c>
      <c r="AY15" s="10">
        <f t="shared" si="26"/>
        <v>0</v>
      </c>
      <c r="BA15" s="10">
        <v>0</v>
      </c>
      <c r="BB15" s="10">
        <f t="shared" si="27"/>
        <v>0</v>
      </c>
      <c r="BC15" s="10">
        <f t="shared" si="27"/>
        <v>0</v>
      </c>
      <c r="BD15" s="10">
        <f t="shared" si="27"/>
        <v>0</v>
      </c>
      <c r="BE15" s="10">
        <f t="shared" si="27"/>
        <v>0</v>
      </c>
      <c r="BF15" s="10">
        <f t="shared" si="27"/>
        <v>0</v>
      </c>
      <c r="BG15" s="10">
        <f t="shared" si="27"/>
        <v>0</v>
      </c>
      <c r="BH15" s="10">
        <f t="shared" si="27"/>
        <v>0</v>
      </c>
      <c r="BI15" s="10">
        <f t="shared" si="27"/>
        <v>0</v>
      </c>
      <c r="BJ15" s="10">
        <f t="shared" si="27"/>
        <v>0</v>
      </c>
      <c r="BK15" s="10">
        <f t="shared" si="27"/>
        <v>0</v>
      </c>
    </row>
    <row r="16" spans="1:63" s="10" customFormat="1" x14ac:dyDescent="0.25">
      <c r="A16" s="11"/>
      <c r="B16" s="11" t="s">
        <v>301</v>
      </c>
      <c r="C16" s="10" t="s">
        <v>195</v>
      </c>
      <c r="D16" s="10" t="s">
        <v>182</v>
      </c>
      <c r="E16" s="10">
        <v>1</v>
      </c>
      <c r="F16" s="10">
        <v>1</v>
      </c>
      <c r="G16" s="10">
        <v>1</v>
      </c>
      <c r="H16" s="10">
        <f t="shared" si="23"/>
        <v>1</v>
      </c>
      <c r="I16" s="10">
        <f t="shared" si="23"/>
        <v>1</v>
      </c>
      <c r="J16" s="10">
        <v>0</v>
      </c>
      <c r="K16" s="10">
        <v>1</v>
      </c>
      <c r="L16" s="10">
        <f t="shared" si="23"/>
        <v>1</v>
      </c>
      <c r="M16" s="10">
        <f t="shared" si="23"/>
        <v>1</v>
      </c>
      <c r="N16" s="10">
        <f t="shared" si="23"/>
        <v>1</v>
      </c>
      <c r="O16" s="10">
        <f t="shared" si="23"/>
        <v>1</v>
      </c>
      <c r="Q16" s="10">
        <v>0</v>
      </c>
      <c r="R16" s="10">
        <f t="shared" si="24"/>
        <v>0</v>
      </c>
      <c r="S16" s="10">
        <f t="shared" si="24"/>
        <v>0</v>
      </c>
      <c r="T16" s="10">
        <f t="shared" si="24"/>
        <v>0</v>
      </c>
      <c r="U16" s="10">
        <f t="shared" si="24"/>
        <v>0</v>
      </c>
      <c r="V16" s="10">
        <f t="shared" si="24"/>
        <v>0</v>
      </c>
      <c r="W16" s="10">
        <f t="shared" si="24"/>
        <v>0</v>
      </c>
      <c r="X16" s="10">
        <f t="shared" si="24"/>
        <v>0</v>
      </c>
      <c r="Y16" s="10">
        <f t="shared" si="24"/>
        <v>0</v>
      </c>
      <c r="Z16" s="10">
        <f t="shared" si="24"/>
        <v>0</v>
      </c>
      <c r="AA16" s="10">
        <f t="shared" si="24"/>
        <v>0</v>
      </c>
      <c r="AC16" s="10">
        <v>0</v>
      </c>
      <c r="AD16" s="10">
        <f t="shared" si="25"/>
        <v>0</v>
      </c>
      <c r="AE16" s="10">
        <f t="shared" si="25"/>
        <v>0</v>
      </c>
      <c r="AF16" s="10">
        <f t="shared" si="25"/>
        <v>0</v>
      </c>
      <c r="AG16" s="10">
        <f t="shared" si="25"/>
        <v>0</v>
      </c>
      <c r="AH16" s="10">
        <f t="shared" si="25"/>
        <v>0</v>
      </c>
      <c r="AI16" s="10">
        <f t="shared" si="25"/>
        <v>0</v>
      </c>
      <c r="AJ16" s="10">
        <f t="shared" si="25"/>
        <v>0</v>
      </c>
      <c r="AK16" s="10">
        <f t="shared" si="25"/>
        <v>0</v>
      </c>
      <c r="AL16" s="10">
        <f t="shared" si="25"/>
        <v>0</v>
      </c>
      <c r="AM16" s="10">
        <f t="shared" si="25"/>
        <v>0</v>
      </c>
      <c r="AO16" s="10">
        <v>0</v>
      </c>
      <c r="AP16" s="10">
        <f t="shared" si="26"/>
        <v>0</v>
      </c>
      <c r="AQ16" s="10">
        <f t="shared" si="26"/>
        <v>0</v>
      </c>
      <c r="AR16" s="10">
        <f t="shared" si="26"/>
        <v>0</v>
      </c>
      <c r="AS16" s="10">
        <f t="shared" si="26"/>
        <v>0</v>
      </c>
      <c r="AT16" s="10">
        <f t="shared" si="26"/>
        <v>0</v>
      </c>
      <c r="AU16" s="10">
        <f t="shared" si="26"/>
        <v>0</v>
      </c>
      <c r="AV16" s="10">
        <f t="shared" si="26"/>
        <v>0</v>
      </c>
      <c r="AW16" s="10">
        <f t="shared" si="26"/>
        <v>0</v>
      </c>
      <c r="AX16" s="10">
        <f t="shared" si="26"/>
        <v>0</v>
      </c>
      <c r="AY16" s="10">
        <f t="shared" si="26"/>
        <v>0</v>
      </c>
      <c r="BA16" s="10">
        <v>0</v>
      </c>
      <c r="BB16" s="10">
        <f t="shared" si="27"/>
        <v>0</v>
      </c>
      <c r="BC16" s="10">
        <f t="shared" si="27"/>
        <v>0</v>
      </c>
      <c r="BD16" s="10">
        <f t="shared" si="27"/>
        <v>0</v>
      </c>
      <c r="BE16" s="10">
        <f t="shared" si="27"/>
        <v>0</v>
      </c>
      <c r="BF16" s="10">
        <f t="shared" si="27"/>
        <v>0</v>
      </c>
      <c r="BG16" s="10">
        <f t="shared" si="27"/>
        <v>0</v>
      </c>
      <c r="BH16" s="10">
        <f t="shared" si="27"/>
        <v>0</v>
      </c>
      <c r="BI16" s="10">
        <f t="shared" si="27"/>
        <v>0</v>
      </c>
      <c r="BJ16" s="10">
        <f t="shared" si="27"/>
        <v>0</v>
      </c>
      <c r="BK16" s="10">
        <f t="shared" si="27"/>
        <v>0</v>
      </c>
    </row>
    <row r="17" spans="1:63" s="10" customFormat="1" x14ac:dyDescent="0.25">
      <c r="A17" s="11"/>
      <c r="B17" s="11" t="s">
        <v>302</v>
      </c>
      <c r="C17" s="10" t="s">
        <v>183</v>
      </c>
      <c r="D17" s="10" t="s">
        <v>184</v>
      </c>
      <c r="E17" s="10">
        <v>0</v>
      </c>
      <c r="F17" s="10">
        <v>0</v>
      </c>
      <c r="G17" s="10">
        <v>0</v>
      </c>
      <c r="H17" s="10">
        <f t="shared" si="23"/>
        <v>0</v>
      </c>
      <c r="I17" s="10">
        <f t="shared" si="23"/>
        <v>0</v>
      </c>
      <c r="J17" s="10">
        <f t="shared" si="23"/>
        <v>0</v>
      </c>
      <c r="K17" s="10">
        <f t="shared" si="23"/>
        <v>0</v>
      </c>
      <c r="L17" s="10">
        <f t="shared" si="23"/>
        <v>0</v>
      </c>
      <c r="M17" s="10">
        <f t="shared" si="23"/>
        <v>0</v>
      </c>
      <c r="N17" s="10">
        <f t="shared" si="23"/>
        <v>0</v>
      </c>
      <c r="O17" s="10">
        <f t="shared" si="23"/>
        <v>0</v>
      </c>
      <c r="Q17" s="10">
        <v>1</v>
      </c>
      <c r="R17" s="10">
        <f t="shared" si="24"/>
        <v>1</v>
      </c>
      <c r="S17" s="10">
        <f t="shared" si="24"/>
        <v>1</v>
      </c>
      <c r="T17" s="10">
        <f t="shared" si="24"/>
        <v>1</v>
      </c>
      <c r="U17" s="10">
        <f t="shared" si="24"/>
        <v>1</v>
      </c>
      <c r="V17" s="10">
        <f t="shared" si="24"/>
        <v>1</v>
      </c>
      <c r="W17" s="10">
        <f t="shared" si="24"/>
        <v>1</v>
      </c>
      <c r="X17" s="10">
        <f t="shared" si="24"/>
        <v>1</v>
      </c>
      <c r="Y17" s="10">
        <f t="shared" si="24"/>
        <v>1</v>
      </c>
      <c r="Z17" s="10">
        <f t="shared" si="24"/>
        <v>1</v>
      </c>
      <c r="AA17" s="10">
        <f t="shared" si="24"/>
        <v>1</v>
      </c>
      <c r="AC17" s="10">
        <v>1</v>
      </c>
      <c r="AD17" s="10">
        <f t="shared" si="25"/>
        <v>1</v>
      </c>
      <c r="AE17" s="10">
        <f t="shared" si="25"/>
        <v>1</v>
      </c>
      <c r="AF17" s="10">
        <f t="shared" si="25"/>
        <v>1</v>
      </c>
      <c r="AG17" s="10">
        <f t="shared" si="25"/>
        <v>1</v>
      </c>
      <c r="AH17" s="10">
        <f t="shared" si="25"/>
        <v>1</v>
      </c>
      <c r="AI17" s="10">
        <f t="shared" si="25"/>
        <v>1</v>
      </c>
      <c r="AJ17" s="10">
        <f t="shared" si="25"/>
        <v>1</v>
      </c>
      <c r="AK17" s="10">
        <f t="shared" si="25"/>
        <v>1</v>
      </c>
      <c r="AL17" s="10">
        <f t="shared" si="25"/>
        <v>1</v>
      </c>
      <c r="AM17" s="10">
        <f t="shared" si="25"/>
        <v>1</v>
      </c>
      <c r="AO17" s="10">
        <v>0</v>
      </c>
      <c r="AP17" s="10">
        <f t="shared" si="26"/>
        <v>0</v>
      </c>
      <c r="AQ17" s="10">
        <f t="shared" si="26"/>
        <v>0</v>
      </c>
      <c r="AR17" s="10">
        <f t="shared" si="26"/>
        <v>0</v>
      </c>
      <c r="AS17" s="10">
        <f t="shared" si="26"/>
        <v>0</v>
      </c>
      <c r="AT17" s="10">
        <f t="shared" si="26"/>
        <v>0</v>
      </c>
      <c r="AU17" s="10">
        <f t="shared" si="26"/>
        <v>0</v>
      </c>
      <c r="AV17" s="10">
        <f t="shared" si="26"/>
        <v>0</v>
      </c>
      <c r="AW17" s="10">
        <f t="shared" si="26"/>
        <v>0</v>
      </c>
      <c r="AX17" s="10">
        <f t="shared" si="26"/>
        <v>0</v>
      </c>
      <c r="AY17" s="10">
        <f t="shared" si="26"/>
        <v>0</v>
      </c>
      <c r="BA17" s="10">
        <v>0</v>
      </c>
      <c r="BB17" s="10">
        <f t="shared" si="27"/>
        <v>0</v>
      </c>
      <c r="BC17" s="10">
        <f t="shared" si="27"/>
        <v>0</v>
      </c>
      <c r="BD17" s="10">
        <f t="shared" si="27"/>
        <v>0</v>
      </c>
      <c r="BE17" s="10">
        <f t="shared" si="27"/>
        <v>0</v>
      </c>
      <c r="BF17" s="10">
        <f t="shared" si="27"/>
        <v>0</v>
      </c>
      <c r="BG17" s="10">
        <f t="shared" si="27"/>
        <v>0</v>
      </c>
      <c r="BH17" s="10">
        <f t="shared" si="27"/>
        <v>0</v>
      </c>
      <c r="BI17" s="10">
        <f t="shared" si="27"/>
        <v>0</v>
      </c>
      <c r="BJ17" s="10">
        <f t="shared" si="27"/>
        <v>0</v>
      </c>
      <c r="BK17" s="10">
        <f t="shared" si="27"/>
        <v>0</v>
      </c>
    </row>
    <row r="18" spans="1:63" s="10" customFormat="1" x14ac:dyDescent="0.25">
      <c r="A18" s="11"/>
      <c r="B18" s="11" t="s">
        <v>303</v>
      </c>
      <c r="C18" s="10" t="s">
        <v>196</v>
      </c>
      <c r="D18" s="10" t="s">
        <v>185</v>
      </c>
      <c r="E18" s="10">
        <v>1</v>
      </c>
      <c r="F18" s="10">
        <v>1</v>
      </c>
      <c r="G18" s="10">
        <v>1</v>
      </c>
      <c r="H18" s="10">
        <f t="shared" si="23"/>
        <v>1</v>
      </c>
      <c r="I18" s="10">
        <v>0</v>
      </c>
      <c r="J18" s="10">
        <v>1</v>
      </c>
      <c r="K18" s="10">
        <f t="shared" si="23"/>
        <v>1</v>
      </c>
      <c r="L18" s="10">
        <f t="shared" si="23"/>
        <v>1</v>
      </c>
      <c r="M18" s="10">
        <f t="shared" si="23"/>
        <v>1</v>
      </c>
      <c r="N18" s="10">
        <f t="shared" si="23"/>
        <v>1</v>
      </c>
      <c r="O18" s="10">
        <f t="shared" si="23"/>
        <v>1</v>
      </c>
      <c r="Q18" s="10">
        <v>0</v>
      </c>
      <c r="R18" s="10">
        <f t="shared" si="24"/>
        <v>0</v>
      </c>
      <c r="S18" s="10">
        <f t="shared" si="24"/>
        <v>0</v>
      </c>
      <c r="T18" s="10">
        <f t="shared" si="24"/>
        <v>0</v>
      </c>
      <c r="U18" s="10">
        <f t="shared" si="24"/>
        <v>0</v>
      </c>
      <c r="V18" s="10">
        <f t="shared" si="24"/>
        <v>0</v>
      </c>
      <c r="W18" s="10">
        <f t="shared" si="24"/>
        <v>0</v>
      </c>
      <c r="X18" s="10">
        <f t="shared" si="24"/>
        <v>0</v>
      </c>
      <c r="Y18" s="10">
        <f t="shared" si="24"/>
        <v>0</v>
      </c>
      <c r="Z18" s="10">
        <f t="shared" si="24"/>
        <v>0</v>
      </c>
      <c r="AA18" s="10">
        <f t="shared" si="24"/>
        <v>0</v>
      </c>
      <c r="AC18" s="10">
        <v>0</v>
      </c>
      <c r="AD18" s="10">
        <f t="shared" si="25"/>
        <v>0</v>
      </c>
      <c r="AE18" s="10">
        <f t="shared" si="25"/>
        <v>0</v>
      </c>
      <c r="AF18" s="10">
        <f t="shared" si="25"/>
        <v>0</v>
      </c>
      <c r="AG18" s="10">
        <f t="shared" si="25"/>
        <v>0</v>
      </c>
      <c r="AH18" s="10">
        <f t="shared" si="25"/>
        <v>0</v>
      </c>
      <c r="AI18" s="10">
        <f t="shared" si="25"/>
        <v>0</v>
      </c>
      <c r="AJ18" s="10">
        <f t="shared" si="25"/>
        <v>0</v>
      </c>
      <c r="AK18" s="10">
        <f t="shared" si="25"/>
        <v>0</v>
      </c>
      <c r="AL18" s="10">
        <f t="shared" si="25"/>
        <v>0</v>
      </c>
      <c r="AM18" s="10">
        <f t="shared" si="25"/>
        <v>0</v>
      </c>
      <c r="AO18" s="10">
        <v>0</v>
      </c>
      <c r="AP18" s="10">
        <f t="shared" si="26"/>
        <v>0</v>
      </c>
      <c r="AQ18" s="10">
        <f t="shared" si="26"/>
        <v>0</v>
      </c>
      <c r="AR18" s="10">
        <f t="shared" si="26"/>
        <v>0</v>
      </c>
      <c r="AS18" s="10">
        <f t="shared" si="26"/>
        <v>0</v>
      </c>
      <c r="AT18" s="10">
        <f t="shared" si="26"/>
        <v>0</v>
      </c>
      <c r="AU18" s="10">
        <f t="shared" si="26"/>
        <v>0</v>
      </c>
      <c r="AV18" s="10">
        <f t="shared" si="26"/>
        <v>0</v>
      </c>
      <c r="AW18" s="10">
        <f t="shared" si="26"/>
        <v>0</v>
      </c>
      <c r="AX18" s="10">
        <f t="shared" si="26"/>
        <v>0</v>
      </c>
      <c r="AY18" s="10">
        <f t="shared" si="26"/>
        <v>0</v>
      </c>
      <c r="BA18" s="10">
        <v>0</v>
      </c>
      <c r="BB18" s="10">
        <f t="shared" si="27"/>
        <v>0</v>
      </c>
      <c r="BC18" s="10">
        <f t="shared" si="27"/>
        <v>0</v>
      </c>
      <c r="BD18" s="10">
        <f t="shared" si="27"/>
        <v>0</v>
      </c>
      <c r="BE18" s="10">
        <f t="shared" si="27"/>
        <v>0</v>
      </c>
      <c r="BF18" s="10">
        <f t="shared" si="27"/>
        <v>0</v>
      </c>
      <c r="BG18" s="10">
        <f t="shared" si="27"/>
        <v>0</v>
      </c>
      <c r="BH18" s="10">
        <f t="shared" si="27"/>
        <v>0</v>
      </c>
      <c r="BI18" s="10">
        <f t="shared" si="27"/>
        <v>0</v>
      </c>
      <c r="BJ18" s="10">
        <f t="shared" si="27"/>
        <v>0</v>
      </c>
      <c r="BK18" s="10">
        <f t="shared" si="27"/>
        <v>0</v>
      </c>
    </row>
    <row r="19" spans="1:63" s="10" customFormat="1" x14ac:dyDescent="0.25">
      <c r="A19" s="11"/>
      <c r="B19" s="11" t="s">
        <v>304</v>
      </c>
      <c r="C19" s="10" t="s">
        <v>118</v>
      </c>
      <c r="E19" s="10">
        <v>0</v>
      </c>
      <c r="F19" s="10">
        <v>0</v>
      </c>
      <c r="G19" s="10">
        <v>0</v>
      </c>
      <c r="H19" s="10">
        <f t="shared" si="23"/>
        <v>0</v>
      </c>
      <c r="I19" s="10">
        <f t="shared" si="23"/>
        <v>0</v>
      </c>
      <c r="J19" s="10">
        <f t="shared" si="23"/>
        <v>0</v>
      </c>
      <c r="K19" s="10">
        <f t="shared" si="23"/>
        <v>0</v>
      </c>
      <c r="L19" s="10">
        <f t="shared" si="23"/>
        <v>0</v>
      </c>
      <c r="M19" s="10">
        <f t="shared" si="23"/>
        <v>0</v>
      </c>
      <c r="N19" s="10">
        <f t="shared" si="23"/>
        <v>0</v>
      </c>
      <c r="O19" s="10">
        <f t="shared" si="23"/>
        <v>0</v>
      </c>
      <c r="Q19" s="10">
        <v>1</v>
      </c>
      <c r="R19" s="10">
        <f t="shared" si="24"/>
        <v>1</v>
      </c>
      <c r="S19" s="10">
        <f t="shared" si="24"/>
        <v>1</v>
      </c>
      <c r="T19" s="10">
        <f t="shared" si="24"/>
        <v>1</v>
      </c>
      <c r="U19" s="10">
        <f t="shared" si="24"/>
        <v>1</v>
      </c>
      <c r="V19" s="10">
        <f t="shared" si="24"/>
        <v>1</v>
      </c>
      <c r="W19" s="10">
        <f t="shared" si="24"/>
        <v>1</v>
      </c>
      <c r="X19" s="10">
        <f t="shared" si="24"/>
        <v>1</v>
      </c>
      <c r="Y19" s="10">
        <f t="shared" si="24"/>
        <v>1</v>
      </c>
      <c r="Z19" s="10">
        <f t="shared" si="24"/>
        <v>1</v>
      </c>
      <c r="AA19" s="10">
        <f t="shared" si="24"/>
        <v>1</v>
      </c>
      <c r="AC19" s="10">
        <v>0</v>
      </c>
      <c r="AD19" s="10">
        <f t="shared" si="25"/>
        <v>0</v>
      </c>
      <c r="AE19" s="10">
        <f t="shared" si="25"/>
        <v>0</v>
      </c>
      <c r="AF19" s="10">
        <f t="shared" si="25"/>
        <v>0</v>
      </c>
      <c r="AG19" s="10">
        <f t="shared" si="25"/>
        <v>0</v>
      </c>
      <c r="AH19" s="10">
        <f t="shared" si="25"/>
        <v>0</v>
      </c>
      <c r="AI19" s="10">
        <f t="shared" si="25"/>
        <v>0</v>
      </c>
      <c r="AJ19" s="10">
        <f t="shared" si="25"/>
        <v>0</v>
      </c>
      <c r="AK19" s="10">
        <f t="shared" si="25"/>
        <v>0</v>
      </c>
      <c r="AL19" s="10">
        <f t="shared" si="25"/>
        <v>0</v>
      </c>
      <c r="AM19" s="10">
        <f t="shared" si="25"/>
        <v>0</v>
      </c>
      <c r="AO19" s="10">
        <v>0</v>
      </c>
      <c r="AP19" s="10">
        <f t="shared" si="26"/>
        <v>0</v>
      </c>
      <c r="AQ19" s="10">
        <f t="shared" si="26"/>
        <v>0</v>
      </c>
      <c r="AR19" s="10">
        <f t="shared" si="26"/>
        <v>0</v>
      </c>
      <c r="AS19" s="10">
        <f t="shared" si="26"/>
        <v>0</v>
      </c>
      <c r="AT19" s="10">
        <f t="shared" si="26"/>
        <v>0</v>
      </c>
      <c r="AU19" s="10">
        <f t="shared" si="26"/>
        <v>0</v>
      </c>
      <c r="AV19" s="10">
        <f t="shared" si="26"/>
        <v>0</v>
      </c>
      <c r="AW19" s="10">
        <f t="shared" si="26"/>
        <v>0</v>
      </c>
      <c r="AX19" s="10">
        <f t="shared" si="26"/>
        <v>0</v>
      </c>
      <c r="AY19" s="10">
        <f t="shared" si="26"/>
        <v>0</v>
      </c>
      <c r="BA19" s="10">
        <v>0</v>
      </c>
      <c r="BB19" s="10">
        <f t="shared" si="27"/>
        <v>0</v>
      </c>
      <c r="BC19" s="10">
        <f t="shared" si="27"/>
        <v>0</v>
      </c>
      <c r="BD19" s="10">
        <f t="shared" si="27"/>
        <v>0</v>
      </c>
      <c r="BE19" s="10">
        <f t="shared" si="27"/>
        <v>0</v>
      </c>
      <c r="BF19" s="10">
        <f t="shared" si="27"/>
        <v>0</v>
      </c>
      <c r="BG19" s="10">
        <f t="shared" si="27"/>
        <v>0</v>
      </c>
      <c r="BH19" s="10">
        <f t="shared" si="27"/>
        <v>0</v>
      </c>
      <c r="BI19" s="10">
        <f t="shared" si="27"/>
        <v>0</v>
      </c>
      <c r="BJ19" s="10">
        <f t="shared" si="27"/>
        <v>0</v>
      </c>
      <c r="BK19" s="10">
        <f t="shared" si="27"/>
        <v>0</v>
      </c>
    </row>
    <row r="20" spans="1:63" s="10" customFormat="1" x14ac:dyDescent="0.25">
      <c r="A20" s="11"/>
      <c r="B20" s="11" t="s">
        <v>305</v>
      </c>
      <c r="C20" s="10" t="s">
        <v>118</v>
      </c>
      <c r="E20" s="10">
        <v>0</v>
      </c>
      <c r="F20" s="10">
        <v>0</v>
      </c>
      <c r="G20" s="10">
        <v>0</v>
      </c>
      <c r="H20" s="10">
        <f t="shared" si="23"/>
        <v>0</v>
      </c>
      <c r="I20" s="10">
        <f t="shared" si="23"/>
        <v>0</v>
      </c>
      <c r="J20" s="10">
        <f t="shared" si="23"/>
        <v>0</v>
      </c>
      <c r="K20" s="10">
        <f t="shared" si="23"/>
        <v>0</v>
      </c>
      <c r="L20" s="10">
        <f t="shared" si="23"/>
        <v>0</v>
      </c>
      <c r="M20" s="10">
        <f t="shared" si="23"/>
        <v>0</v>
      </c>
      <c r="N20" s="10">
        <f t="shared" si="23"/>
        <v>0</v>
      </c>
      <c r="O20" s="10">
        <f t="shared" si="23"/>
        <v>0</v>
      </c>
      <c r="Q20" s="10">
        <v>1</v>
      </c>
      <c r="R20" s="10">
        <f t="shared" si="24"/>
        <v>1</v>
      </c>
      <c r="S20" s="10">
        <f t="shared" si="24"/>
        <v>1</v>
      </c>
      <c r="T20" s="10">
        <f t="shared" si="24"/>
        <v>1</v>
      </c>
      <c r="U20" s="10">
        <f t="shared" si="24"/>
        <v>1</v>
      </c>
      <c r="V20" s="10">
        <f t="shared" si="24"/>
        <v>1</v>
      </c>
      <c r="W20" s="10">
        <f t="shared" si="24"/>
        <v>1</v>
      </c>
      <c r="X20" s="10">
        <f t="shared" si="24"/>
        <v>1</v>
      </c>
      <c r="Y20" s="10">
        <f t="shared" si="24"/>
        <v>1</v>
      </c>
      <c r="Z20" s="10">
        <f t="shared" si="24"/>
        <v>1</v>
      </c>
      <c r="AA20" s="10">
        <f t="shared" si="24"/>
        <v>1</v>
      </c>
      <c r="AC20" s="10">
        <v>0</v>
      </c>
      <c r="AD20" s="10">
        <f t="shared" si="25"/>
        <v>0</v>
      </c>
      <c r="AE20" s="10">
        <f t="shared" si="25"/>
        <v>0</v>
      </c>
      <c r="AF20" s="10">
        <f t="shared" si="25"/>
        <v>0</v>
      </c>
      <c r="AG20" s="10">
        <f t="shared" si="25"/>
        <v>0</v>
      </c>
      <c r="AH20" s="10">
        <f t="shared" si="25"/>
        <v>0</v>
      </c>
      <c r="AI20" s="10">
        <f t="shared" si="25"/>
        <v>0</v>
      </c>
      <c r="AJ20" s="10">
        <f t="shared" si="25"/>
        <v>0</v>
      </c>
      <c r="AK20" s="10">
        <f t="shared" si="25"/>
        <v>0</v>
      </c>
      <c r="AL20" s="10">
        <f t="shared" si="25"/>
        <v>0</v>
      </c>
      <c r="AM20" s="10">
        <f t="shared" si="25"/>
        <v>0</v>
      </c>
      <c r="AO20" s="10">
        <v>0</v>
      </c>
      <c r="AP20" s="10">
        <f t="shared" si="26"/>
        <v>0</v>
      </c>
      <c r="AQ20" s="10">
        <f t="shared" si="26"/>
        <v>0</v>
      </c>
      <c r="AR20" s="10">
        <f t="shared" si="26"/>
        <v>0</v>
      </c>
      <c r="AS20" s="10">
        <f t="shared" si="26"/>
        <v>0</v>
      </c>
      <c r="AT20" s="10">
        <f t="shared" si="26"/>
        <v>0</v>
      </c>
      <c r="AU20" s="10">
        <f t="shared" si="26"/>
        <v>0</v>
      </c>
      <c r="AV20" s="10">
        <f t="shared" si="26"/>
        <v>0</v>
      </c>
      <c r="AW20" s="10">
        <f t="shared" si="26"/>
        <v>0</v>
      </c>
      <c r="AX20" s="10">
        <f t="shared" si="26"/>
        <v>0</v>
      </c>
      <c r="AY20" s="10">
        <f t="shared" si="26"/>
        <v>0</v>
      </c>
      <c r="BA20" s="10">
        <v>0</v>
      </c>
      <c r="BB20" s="10">
        <f t="shared" si="27"/>
        <v>0</v>
      </c>
      <c r="BC20" s="10">
        <f t="shared" si="27"/>
        <v>0</v>
      </c>
      <c r="BD20" s="10">
        <f t="shared" si="27"/>
        <v>0</v>
      </c>
      <c r="BE20" s="10">
        <f t="shared" si="27"/>
        <v>0</v>
      </c>
      <c r="BF20" s="10">
        <f t="shared" si="27"/>
        <v>0</v>
      </c>
      <c r="BG20" s="10">
        <f t="shared" si="27"/>
        <v>0</v>
      </c>
      <c r="BH20" s="10">
        <f t="shared" si="27"/>
        <v>0</v>
      </c>
      <c r="BI20" s="10">
        <f t="shared" si="27"/>
        <v>0</v>
      </c>
      <c r="BJ20" s="10">
        <f t="shared" si="27"/>
        <v>0</v>
      </c>
      <c r="BK20" s="10">
        <f t="shared" si="27"/>
        <v>0</v>
      </c>
    </row>
    <row r="21" spans="1:63" x14ac:dyDescent="0.25">
      <c r="A21" s="2"/>
      <c r="B21" s="2"/>
      <c r="E21" t="str">
        <f t="shared" ref="E21:AA21" si="28">CONCATENATE(E20,E19,E18,E17,E16,E15,E14,E13)</f>
        <v>00101000</v>
      </c>
      <c r="F21" t="str">
        <f t="shared" si="28"/>
        <v>00101101</v>
      </c>
      <c r="G21" t="str">
        <f t="shared" si="28"/>
        <v>00101101</v>
      </c>
      <c r="H21" t="str">
        <f t="shared" si="28"/>
        <v>00101101</v>
      </c>
      <c r="I21" t="str">
        <f t="shared" si="28"/>
        <v>00001101</v>
      </c>
      <c r="J21" t="str">
        <f t="shared" si="28"/>
        <v>00100101</v>
      </c>
      <c r="K21" t="str">
        <f t="shared" si="28"/>
        <v>00101101</v>
      </c>
      <c r="L21" t="str">
        <f t="shared" si="28"/>
        <v>00101101</v>
      </c>
      <c r="M21" t="str">
        <f t="shared" si="28"/>
        <v>00101101</v>
      </c>
      <c r="N21" t="str">
        <f t="shared" si="28"/>
        <v>00101101</v>
      </c>
      <c r="O21" t="str">
        <f t="shared" si="28"/>
        <v>00101101</v>
      </c>
      <c r="Q21" t="str">
        <f t="shared" si="28"/>
        <v>11010010</v>
      </c>
      <c r="R21" t="str">
        <f t="shared" si="28"/>
        <v>11010010</v>
      </c>
      <c r="S21" t="str">
        <f t="shared" si="28"/>
        <v>11010010</v>
      </c>
      <c r="T21" t="str">
        <f t="shared" si="28"/>
        <v>11010010</v>
      </c>
      <c r="U21" t="str">
        <f t="shared" si="28"/>
        <v>11010010</v>
      </c>
      <c r="V21" t="str">
        <f t="shared" si="28"/>
        <v>11010010</v>
      </c>
      <c r="W21" t="str">
        <f t="shared" si="28"/>
        <v>11010010</v>
      </c>
      <c r="X21" t="str">
        <f t="shared" si="28"/>
        <v>11010010</v>
      </c>
      <c r="Y21" t="str">
        <f t="shared" si="28"/>
        <v>11010010</v>
      </c>
      <c r="Z21" t="str">
        <f t="shared" si="28"/>
        <v>11010010</v>
      </c>
      <c r="AA21" t="str">
        <f t="shared" si="28"/>
        <v>11010010</v>
      </c>
      <c r="AC21" t="str">
        <f>CONCATENATE(AC20,AC19,AC18,AC17,AC16,AC15,AC14,AC13)</f>
        <v>00010000</v>
      </c>
      <c r="AD21" t="str">
        <f t="shared" ref="AD21:AM21" si="29">CONCATENATE(AD20,AD19,AD18,AD17,AD16,AD15,AD14,AD13)</f>
        <v>00010000</v>
      </c>
      <c r="AE21" t="str">
        <f t="shared" si="29"/>
        <v>00010000</v>
      </c>
      <c r="AF21" t="str">
        <f t="shared" si="29"/>
        <v>00010000</v>
      </c>
      <c r="AG21" t="str">
        <f t="shared" si="29"/>
        <v>00010000</v>
      </c>
      <c r="AH21" t="str">
        <f t="shared" si="29"/>
        <v>00010000</v>
      </c>
      <c r="AI21" t="str">
        <f t="shared" si="29"/>
        <v>00010000</v>
      </c>
      <c r="AJ21" t="str">
        <f t="shared" si="29"/>
        <v>00010000</v>
      </c>
      <c r="AK21" t="str">
        <f t="shared" si="29"/>
        <v>00010000</v>
      </c>
      <c r="AL21" t="str">
        <f t="shared" si="29"/>
        <v>00010000</v>
      </c>
      <c r="AM21" t="str">
        <f t="shared" si="29"/>
        <v>00010000</v>
      </c>
      <c r="AO21" t="str">
        <f t="shared" ref="AO21:AY21" si="30">CONCATENATE(AO20,AO19,AO18,AO17,AO16,AO15,AO14,AO13)</f>
        <v>00000000</v>
      </c>
      <c r="AP21" t="str">
        <f t="shared" si="30"/>
        <v>00000000</v>
      </c>
      <c r="AQ21" t="str">
        <f t="shared" si="30"/>
        <v>00000000</v>
      </c>
      <c r="AR21" t="str">
        <f t="shared" si="30"/>
        <v>00000000</v>
      </c>
      <c r="AS21" t="str">
        <f t="shared" si="30"/>
        <v>00000000</v>
      </c>
      <c r="AT21" t="str">
        <f t="shared" si="30"/>
        <v>00000000</v>
      </c>
      <c r="AU21" t="str">
        <f t="shared" si="30"/>
        <v>00000000</v>
      </c>
      <c r="AV21" t="str">
        <f t="shared" si="30"/>
        <v>00000000</v>
      </c>
      <c r="AW21" t="str">
        <f t="shared" si="30"/>
        <v>00000000</v>
      </c>
      <c r="AX21" t="str">
        <f t="shared" si="30"/>
        <v>00000000</v>
      </c>
      <c r="AY21" t="str">
        <f t="shared" si="30"/>
        <v>00000000</v>
      </c>
      <c r="BA21" t="str">
        <f t="shared" ref="BA21:BK21" si="31">CONCATENATE(BA20,BA19,BA18,BA17,BA16,BA15,BA14,BA13)</f>
        <v>00000000</v>
      </c>
      <c r="BB21" t="str">
        <f t="shared" si="31"/>
        <v>00000000</v>
      </c>
      <c r="BC21" t="str">
        <f t="shared" si="31"/>
        <v>00000000</v>
      </c>
      <c r="BD21" t="str">
        <f t="shared" si="31"/>
        <v>00000000</v>
      </c>
      <c r="BE21" t="str">
        <f t="shared" si="31"/>
        <v>00000000</v>
      </c>
      <c r="BF21" t="str">
        <f t="shared" si="31"/>
        <v>00000000</v>
      </c>
      <c r="BG21" t="str">
        <f t="shared" si="31"/>
        <v>00000000</v>
      </c>
      <c r="BH21" t="str">
        <f t="shared" si="31"/>
        <v>00000000</v>
      </c>
      <c r="BI21" t="str">
        <f t="shared" si="31"/>
        <v>00000000</v>
      </c>
      <c r="BJ21" t="str">
        <f t="shared" si="31"/>
        <v>00000000</v>
      </c>
      <c r="BK21" t="str">
        <f t="shared" si="31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32">CONCATENATE(BIN2HEX(E21,2))</f>
        <v>28</v>
      </c>
      <c r="F22" t="str">
        <f t="shared" si="32"/>
        <v>2D</v>
      </c>
      <c r="G22" t="str">
        <f t="shared" si="32"/>
        <v>2D</v>
      </c>
      <c r="H22" t="str">
        <f t="shared" si="32"/>
        <v>2D</v>
      </c>
      <c r="I22" t="str">
        <f t="shared" si="32"/>
        <v>0D</v>
      </c>
      <c r="J22" t="str">
        <f t="shared" si="32"/>
        <v>25</v>
      </c>
      <c r="K22" t="str">
        <f t="shared" si="32"/>
        <v>2D</v>
      </c>
      <c r="L22" t="str">
        <f t="shared" si="32"/>
        <v>2D</v>
      </c>
      <c r="M22" t="str">
        <f t="shared" si="32"/>
        <v>2D</v>
      </c>
      <c r="N22" t="str">
        <f t="shared" si="32"/>
        <v>2D</v>
      </c>
      <c r="O22" t="str">
        <f t="shared" si="32"/>
        <v>2D</v>
      </c>
      <c r="Q22" t="str">
        <f t="shared" si="32"/>
        <v>D2</v>
      </c>
      <c r="R22" t="str">
        <f t="shared" si="32"/>
        <v>D2</v>
      </c>
      <c r="S22" t="str">
        <f t="shared" si="32"/>
        <v>D2</v>
      </c>
      <c r="T22" t="str">
        <f t="shared" si="32"/>
        <v>D2</v>
      </c>
      <c r="U22" t="str">
        <f t="shared" si="32"/>
        <v>D2</v>
      </c>
      <c r="V22" t="str">
        <f t="shared" si="32"/>
        <v>D2</v>
      </c>
      <c r="W22" t="str">
        <f t="shared" si="32"/>
        <v>D2</v>
      </c>
      <c r="X22" t="str">
        <f t="shared" si="32"/>
        <v>D2</v>
      </c>
      <c r="Y22" t="str">
        <f t="shared" si="32"/>
        <v>D2</v>
      </c>
      <c r="Z22" t="str">
        <f t="shared" si="32"/>
        <v>D2</v>
      </c>
      <c r="AA22" t="str">
        <f t="shared" si="32"/>
        <v>D2</v>
      </c>
      <c r="AC22" t="str">
        <f>CONCATENATE(BIN2HEX(AC21,2))</f>
        <v>10</v>
      </c>
      <c r="AD22" t="str">
        <f t="shared" ref="AD22:AM22" si="33">CONCATENATE(BIN2HEX(AD21,2))</f>
        <v>10</v>
      </c>
      <c r="AE22" t="str">
        <f t="shared" si="33"/>
        <v>10</v>
      </c>
      <c r="AF22" t="str">
        <f t="shared" si="33"/>
        <v>10</v>
      </c>
      <c r="AG22" t="str">
        <f t="shared" si="33"/>
        <v>10</v>
      </c>
      <c r="AH22" t="str">
        <f t="shared" si="33"/>
        <v>10</v>
      </c>
      <c r="AI22" t="str">
        <f t="shared" si="33"/>
        <v>10</v>
      </c>
      <c r="AJ22" t="str">
        <f t="shared" si="33"/>
        <v>10</v>
      </c>
      <c r="AK22" t="str">
        <f t="shared" si="33"/>
        <v>10</v>
      </c>
      <c r="AL22" t="str">
        <f t="shared" si="33"/>
        <v>10</v>
      </c>
      <c r="AM22" t="str">
        <f t="shared" si="33"/>
        <v>10</v>
      </c>
      <c r="AO22" t="str">
        <f t="shared" ref="AO22:AY22" si="34">CONCATENATE(BIN2HEX(AO21,2))</f>
        <v>00</v>
      </c>
      <c r="AP22" t="str">
        <f t="shared" si="34"/>
        <v>00</v>
      </c>
      <c r="AQ22" t="str">
        <f t="shared" si="34"/>
        <v>00</v>
      </c>
      <c r="AR22" t="str">
        <f t="shared" si="34"/>
        <v>00</v>
      </c>
      <c r="AS22" t="str">
        <f t="shared" si="34"/>
        <v>00</v>
      </c>
      <c r="AT22" t="str">
        <f t="shared" si="34"/>
        <v>00</v>
      </c>
      <c r="AU22" t="str">
        <f t="shared" si="34"/>
        <v>00</v>
      </c>
      <c r="AV22" t="str">
        <f t="shared" si="34"/>
        <v>00</v>
      </c>
      <c r="AW22" t="str">
        <f t="shared" si="34"/>
        <v>00</v>
      </c>
      <c r="AX22" t="str">
        <f t="shared" si="34"/>
        <v>00</v>
      </c>
      <c r="AY22" t="str">
        <f t="shared" si="34"/>
        <v>00</v>
      </c>
      <c r="BA22" t="str">
        <f t="shared" ref="BA22:BK22" si="35">CONCATENATE(BIN2HEX(BA21,2))</f>
        <v>00</v>
      </c>
      <c r="BB22" t="str">
        <f t="shared" si="35"/>
        <v>00</v>
      </c>
      <c r="BC22" t="str">
        <f t="shared" si="35"/>
        <v>00</v>
      </c>
      <c r="BD22" t="str">
        <f t="shared" si="35"/>
        <v>00</v>
      </c>
      <c r="BE22" t="str">
        <f t="shared" si="35"/>
        <v>00</v>
      </c>
      <c r="BF22" t="str">
        <f t="shared" si="35"/>
        <v>00</v>
      </c>
      <c r="BG22" t="str">
        <f t="shared" si="35"/>
        <v>00</v>
      </c>
      <c r="BH22" t="str">
        <f t="shared" si="35"/>
        <v>00</v>
      </c>
      <c r="BI22" t="str">
        <f t="shared" si="35"/>
        <v>00</v>
      </c>
      <c r="BJ22" t="str">
        <f t="shared" si="35"/>
        <v>00</v>
      </c>
      <c r="BK22" t="str">
        <f t="shared" si="35"/>
        <v>00</v>
      </c>
    </row>
    <row r="23" spans="1:63" x14ac:dyDescent="0.25">
      <c r="A23" s="2"/>
      <c r="B23" s="2"/>
      <c r="D23" s="13" t="s">
        <v>215</v>
      </c>
      <c r="E23" t="str">
        <f t="shared" ref="E23:O23" si="36">CONCATENATE("0x",E22,E11)</f>
        <v>0x2802</v>
      </c>
      <c r="F23" t="str">
        <f t="shared" si="36"/>
        <v>0x2D03</v>
      </c>
      <c r="G23" t="str">
        <f t="shared" si="36"/>
        <v>0x2D83</v>
      </c>
      <c r="H23" t="str">
        <f t="shared" si="36"/>
        <v>0x2D81</v>
      </c>
      <c r="I23" t="str">
        <f t="shared" si="36"/>
        <v>0x0D83</v>
      </c>
      <c r="J23" t="str">
        <f t="shared" si="36"/>
        <v>0x2583</v>
      </c>
      <c r="K23" t="str">
        <f t="shared" si="36"/>
        <v>0x2D83</v>
      </c>
      <c r="L23" t="str">
        <f t="shared" si="36"/>
        <v>0x2D83</v>
      </c>
      <c r="M23" t="str">
        <f t="shared" si="36"/>
        <v>0x2D83</v>
      </c>
      <c r="N23" t="str">
        <f t="shared" si="36"/>
        <v>0x2D83</v>
      </c>
      <c r="O23" t="str">
        <f t="shared" si="36"/>
        <v>0x2D83</v>
      </c>
      <c r="Q23" t="str">
        <f t="shared" ref="Q23:AA23" si="37">CONCATENATE("0x",Q22,Q11)</f>
        <v>0xD27C</v>
      </c>
      <c r="R23" t="str">
        <f t="shared" si="37"/>
        <v>0xD27C</v>
      </c>
      <c r="S23" t="str">
        <f t="shared" si="37"/>
        <v>0xD27C</v>
      </c>
      <c r="T23" t="str">
        <f t="shared" si="37"/>
        <v>0xD27C</v>
      </c>
      <c r="U23" t="str">
        <f t="shared" si="37"/>
        <v>0xD27C</v>
      </c>
      <c r="V23" t="str">
        <f t="shared" si="37"/>
        <v>0xD27C</v>
      </c>
      <c r="W23" t="str">
        <f t="shared" si="37"/>
        <v>0xD27C</v>
      </c>
      <c r="X23" t="str">
        <f t="shared" si="37"/>
        <v>0xD27C</v>
      </c>
      <c r="Y23" t="str">
        <f t="shared" si="37"/>
        <v>0xD27C</v>
      </c>
      <c r="Z23" t="str">
        <f t="shared" si="37"/>
        <v>0xD27C</v>
      </c>
      <c r="AA23" t="str">
        <f t="shared" si="37"/>
        <v>0xD27C</v>
      </c>
      <c r="AC23" t="str">
        <f>CONCATENATE("0x",AC22,AC11)</f>
        <v>0x1000</v>
      </c>
      <c r="AD23" t="str">
        <f t="shared" ref="AD23:BK23" si="38">CONCATENATE("0x",AD22,AD11)</f>
        <v>0x1000</v>
      </c>
      <c r="AE23" t="str">
        <f t="shared" si="38"/>
        <v>0x1000</v>
      </c>
      <c r="AF23" t="str">
        <f t="shared" si="38"/>
        <v>0x1000</v>
      </c>
      <c r="AG23" t="str">
        <f t="shared" si="38"/>
        <v>0x1000</v>
      </c>
      <c r="AH23" t="str">
        <f t="shared" si="38"/>
        <v>0x1000</v>
      </c>
      <c r="AI23" t="str">
        <f t="shared" si="38"/>
        <v>0x1000</v>
      </c>
      <c r="AJ23" t="str">
        <f t="shared" si="38"/>
        <v>0x1000</v>
      </c>
      <c r="AK23" t="str">
        <f t="shared" si="38"/>
        <v>0x1000</v>
      </c>
      <c r="AL23" t="str">
        <f t="shared" si="38"/>
        <v>0x1000</v>
      </c>
      <c r="AM23" t="str">
        <f t="shared" si="38"/>
        <v>0x1000</v>
      </c>
      <c r="AO23" t="str">
        <f t="shared" si="38"/>
        <v>0x0000</v>
      </c>
      <c r="AP23" t="str">
        <f t="shared" si="38"/>
        <v>0x0000</v>
      </c>
      <c r="AQ23" t="str">
        <f t="shared" si="38"/>
        <v>0x0000</v>
      </c>
      <c r="AR23" t="str">
        <f t="shared" si="38"/>
        <v>0x0000</v>
      </c>
      <c r="AS23" t="str">
        <f t="shared" si="38"/>
        <v>0x0000</v>
      </c>
      <c r="AT23" t="str">
        <f t="shared" si="38"/>
        <v>0x0000</v>
      </c>
      <c r="AU23" t="str">
        <f t="shared" si="38"/>
        <v>0x0000</v>
      </c>
      <c r="AV23" t="str">
        <f t="shared" si="38"/>
        <v>0x0000</v>
      </c>
      <c r="AW23" t="str">
        <f t="shared" si="38"/>
        <v>0x0000</v>
      </c>
      <c r="AX23" t="str">
        <f t="shared" si="38"/>
        <v>0x0000</v>
      </c>
      <c r="AY23" t="str">
        <f t="shared" si="38"/>
        <v>0x0000</v>
      </c>
      <c r="BA23" t="str">
        <f t="shared" si="38"/>
        <v>0x0000</v>
      </c>
      <c r="BB23" t="str">
        <f t="shared" si="38"/>
        <v>0x0000</v>
      </c>
      <c r="BC23" t="str">
        <f t="shared" si="38"/>
        <v>0x0000</v>
      </c>
      <c r="BD23" t="str">
        <f t="shared" si="38"/>
        <v>0x0000</v>
      </c>
      <c r="BE23" t="str">
        <f t="shared" si="38"/>
        <v>0x0000</v>
      </c>
      <c r="BF23" t="str">
        <f t="shared" si="38"/>
        <v>0x0000</v>
      </c>
      <c r="BG23" t="str">
        <f t="shared" si="38"/>
        <v>0x0000</v>
      </c>
      <c r="BH23" t="str">
        <f t="shared" si="38"/>
        <v>0x0000</v>
      </c>
      <c r="BI23" t="str">
        <f t="shared" si="38"/>
        <v>0x0000</v>
      </c>
      <c r="BJ23" t="str">
        <f t="shared" si="38"/>
        <v>0x0000</v>
      </c>
      <c r="BK23" t="str">
        <f t="shared" si="38"/>
        <v>0x0000</v>
      </c>
    </row>
    <row r="24" spans="1:63" x14ac:dyDescent="0.25">
      <c r="A24" s="2"/>
      <c r="B24" s="2"/>
      <c r="D24" s="13" t="s">
        <v>216</v>
      </c>
      <c r="E24" t="str">
        <f>Q23</f>
        <v>0xD27C</v>
      </c>
      <c r="F24" t="str">
        <f>R23</f>
        <v>0xD27C</v>
      </c>
      <c r="G24" t="str">
        <f t="shared" ref="G24:O24" si="39">S23</f>
        <v>0xD27C</v>
      </c>
      <c r="H24" t="str">
        <f t="shared" si="39"/>
        <v>0xD27C</v>
      </c>
      <c r="I24" t="str">
        <f t="shared" si="39"/>
        <v>0xD27C</v>
      </c>
      <c r="J24" t="str">
        <f t="shared" si="39"/>
        <v>0xD27C</v>
      </c>
      <c r="K24" t="str">
        <f t="shared" si="39"/>
        <v>0xD27C</v>
      </c>
      <c r="L24" t="str">
        <f t="shared" si="39"/>
        <v>0xD27C</v>
      </c>
      <c r="M24" t="str">
        <f t="shared" si="39"/>
        <v>0xD27C</v>
      </c>
      <c r="N24" t="str">
        <f t="shared" si="39"/>
        <v>0xD27C</v>
      </c>
      <c r="O24" t="str">
        <f t="shared" si="39"/>
        <v>0xD27C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0x1000</v>
      </c>
      <c r="F25" t="str">
        <f t="shared" ref="F25:O25" si="40">AD23</f>
        <v>0x1000</v>
      </c>
      <c r="G25" t="str">
        <f t="shared" si="40"/>
        <v>0x1000</v>
      </c>
      <c r="H25" t="str">
        <f t="shared" si="40"/>
        <v>0x1000</v>
      </c>
      <c r="I25" t="str">
        <f t="shared" si="40"/>
        <v>0x1000</v>
      </c>
      <c r="J25" t="str">
        <f t="shared" si="40"/>
        <v>0x1000</v>
      </c>
      <c r="K25" t="str">
        <f t="shared" si="40"/>
        <v>0x1000</v>
      </c>
      <c r="L25" t="str">
        <f t="shared" si="40"/>
        <v>0x1000</v>
      </c>
      <c r="M25" t="str">
        <f t="shared" si="40"/>
        <v>0x1000</v>
      </c>
      <c r="N25" t="str">
        <f t="shared" si="40"/>
        <v>0x1000</v>
      </c>
      <c r="O25" t="str">
        <f t="shared" si="40"/>
        <v>0x1000</v>
      </c>
    </row>
    <row r="26" spans="1:63" x14ac:dyDescent="0.25">
      <c r="A26" s="2" t="s">
        <v>42</v>
      </c>
      <c r="B26" s="11" t="s">
        <v>36</v>
      </c>
      <c r="C26" s="10" t="s">
        <v>202</v>
      </c>
      <c r="D26" s="13" t="s">
        <v>209</v>
      </c>
      <c r="E26" t="str">
        <f>AO23</f>
        <v>0x0000</v>
      </c>
      <c r="F26" t="str">
        <f t="shared" ref="F26:O26" si="41">AP23</f>
        <v>0x0000</v>
      </c>
      <c r="G26" t="str">
        <f t="shared" si="41"/>
        <v>0x0000</v>
      </c>
      <c r="H26" t="str">
        <f t="shared" si="41"/>
        <v>0x0000</v>
      </c>
      <c r="I26" t="str">
        <f t="shared" si="41"/>
        <v>0x0000</v>
      </c>
      <c r="J26" t="str">
        <f t="shared" si="41"/>
        <v>0x0000</v>
      </c>
      <c r="K26" t="str">
        <f t="shared" si="41"/>
        <v>0x0000</v>
      </c>
      <c r="L26" t="str">
        <f t="shared" si="41"/>
        <v>0x0000</v>
      </c>
      <c r="M26" t="str">
        <f t="shared" si="41"/>
        <v>0x0000</v>
      </c>
      <c r="N26" t="str">
        <f t="shared" si="41"/>
        <v>0x0000</v>
      </c>
      <c r="O26" t="str">
        <f t="shared" si="41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2">BB23</f>
        <v>0x0000</v>
      </c>
      <c r="G27" t="str">
        <f t="shared" si="42"/>
        <v>0x0000</v>
      </c>
      <c r="H27" t="str">
        <f t="shared" si="42"/>
        <v>0x0000</v>
      </c>
      <c r="I27" t="str">
        <f t="shared" si="42"/>
        <v>0x0000</v>
      </c>
      <c r="J27" t="str">
        <f t="shared" si="42"/>
        <v>0x0000</v>
      </c>
      <c r="K27" t="str">
        <f t="shared" si="42"/>
        <v>0x0000</v>
      </c>
      <c r="L27" t="str">
        <f t="shared" si="42"/>
        <v>0x0000</v>
      </c>
      <c r="M27" t="str">
        <f t="shared" si="42"/>
        <v>0x0000</v>
      </c>
      <c r="N27" t="str">
        <f t="shared" si="42"/>
        <v>0x0000</v>
      </c>
      <c r="O27" t="str">
        <f t="shared" si="42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223</v>
      </c>
    </row>
    <row r="31" spans="1:63" x14ac:dyDescent="0.25">
      <c r="A31" s="4" t="str">
        <f ca="1">CONCATENATE("#",C$26,":",INDIRECT(H33))</f>
        <v>#I2C_Expander_02:wartość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0x22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0xD27C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0x2802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#I2C_Expander_02:etap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0x22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0xD27C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0x2D03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3">INDIRECT(H57)</f>
        <v>0x1000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4">INDIRECT(G58)</f>
        <v>#pins_int</v>
      </c>
      <c r="B58" s="4" t="str">
        <f t="shared" ca="1" si="43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4"/>
        <v>#pins_def_val</v>
      </c>
      <c r="B59" s="4" t="str">
        <f t="shared" ca="1" si="43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#I2C_Expander_02:etap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0x22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0xD27C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0x2D83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5">INDIRECT(H77)</f>
        <v>0x1000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6">INDIRECT(G78)</f>
        <v>#pins_int</v>
      </c>
      <c r="B78" s="4" t="str">
        <f t="shared" ca="1" si="45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6"/>
        <v>#pins_def_val</v>
      </c>
      <c r="B79" s="4" t="str">
        <f t="shared" ca="1" si="45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#I2C_Expander_02:DAC1220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0x22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0xD27C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0x2D81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7">INDIRECT(H97)</f>
        <v>0x1000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8">INDIRECT(G98)</f>
        <v>#pins_int</v>
      </c>
      <c r="B98" s="4" t="str">
        <f t="shared" ca="1" si="47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8"/>
        <v>#pins_def_val</v>
      </c>
      <c r="B99" s="4" t="str">
        <f t="shared" ca="1" si="47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#I2C_Expander_02:etap 4 En_SPI_PCIE0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0x22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0xD27C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0x0D83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9">INDIRECT(H117)</f>
        <v>0x1000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50">INDIRECT(G118)</f>
        <v>#pins_int</v>
      </c>
      <c r="B118" s="4" t="str">
        <f t="shared" ca="1" si="49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50"/>
        <v>#pins_def_val</v>
      </c>
      <c r="B119" s="4" t="str">
        <f t="shared" ca="1" si="49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#I2C_Expander_02:etap 5 En_SPI_PCIE3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0x22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0xD27C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0x2583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51">INDIRECT(H137)</f>
        <v>0x1000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2">INDIRECT(G138)</f>
        <v>#pins_int</v>
      </c>
      <c r="B138" s="4" t="str">
        <f t="shared" ca="1" si="51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2"/>
        <v>#pins_def_val</v>
      </c>
      <c r="B139" s="4" t="str">
        <f t="shared" ca="1" si="51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#I2C_Expander_02:etap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0x22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0xD27C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0x2D83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3">INDIRECT(H157)</f>
        <v>0x1000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4">INDIRECT(G158)</f>
        <v>#pins_int</v>
      </c>
      <c r="B158" s="4" t="str">
        <f t="shared" ca="1" si="53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4"/>
        <v>#pins_def_val</v>
      </c>
      <c r="B159" s="4" t="str">
        <f t="shared" ca="1" si="53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#I2C_Expander_02:etap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0x22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0xD27C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0x2D83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5">INDIRECT(H177)</f>
        <v>0x1000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6">INDIRECT(G178)</f>
        <v>#pins_int</v>
      </c>
      <c r="B178" s="4" t="str">
        <f t="shared" ca="1" si="55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6"/>
        <v>#pins_def_val</v>
      </c>
      <c r="B179" s="4" t="str">
        <f t="shared" ca="1" si="55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#I2C_Expander_02:etap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0x22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0xD27C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0x2D83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7">INDIRECT(H197)</f>
        <v>0x1000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8">INDIRECT(G198)</f>
        <v>#pins_int</v>
      </c>
      <c r="B198" s="4" t="str">
        <f t="shared" ca="1" si="57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8"/>
        <v>#pins_def_val</v>
      </c>
      <c r="B199" s="4" t="str">
        <f t="shared" ca="1" si="57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#I2C_Expander_02:etap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0x22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0xD27C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0x2D83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9">INDIRECT(H217)</f>
        <v>0x1000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60">INDIRECT(G218)</f>
        <v>#pins_int</v>
      </c>
      <c r="B218" s="4" t="str">
        <f t="shared" ca="1" si="59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60"/>
        <v>#pins_def_val</v>
      </c>
      <c r="B219" s="4" t="str">
        <f t="shared" ca="1" si="59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#I2C_Expander_02:etap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0x22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0xD27C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0x2D83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61">INDIRECT(H237)</f>
        <v>0x1000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2">INDIRECT(G238)</f>
        <v>#pins_int</v>
      </c>
      <c r="B238" s="4" t="str">
        <f t="shared" ca="1" si="61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2"/>
        <v>#pins_def_val</v>
      </c>
      <c r="B239" s="4" t="str">
        <f t="shared" ca="1" si="61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L70" sqref="L70"/>
    </sheetView>
  </sheetViews>
  <sheetFormatPr defaultRowHeight="15" x14ac:dyDescent="0.25"/>
  <cols>
    <col min="1" max="1" width="28.28515625" customWidth="1"/>
    <col min="3" max="3" width="33.85546875" bestFit="1" customWidth="1"/>
    <col min="4" max="4" width="48.710937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60" x14ac:dyDescent="0.25">
      <c r="A1" s="2"/>
      <c r="B1" s="2" t="s">
        <v>1</v>
      </c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444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1" t="s">
        <v>290</v>
      </c>
      <c r="C2" s="10" t="s">
        <v>186</v>
      </c>
      <c r="D2" s="10" t="s">
        <v>197</v>
      </c>
      <c r="E2" s="10">
        <v>0</v>
      </c>
      <c r="F2" s="10">
        <v>0</v>
      </c>
      <c r="G2" s="10">
        <v>1</v>
      </c>
      <c r="H2" s="10">
        <f>G2</f>
        <v>1</v>
      </c>
      <c r="I2" s="10">
        <f t="shared" ref="I2:O2" si="0">H2</f>
        <v>1</v>
      </c>
      <c r="J2" s="10">
        <f t="shared" si="0"/>
        <v>1</v>
      </c>
      <c r="K2" s="10">
        <f t="shared" si="0"/>
        <v>1</v>
      </c>
      <c r="L2" s="10">
        <f t="shared" si="0"/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1" t="s">
        <v>291</v>
      </c>
      <c r="C3" s="10" t="s">
        <v>118</v>
      </c>
      <c r="E3" s="10">
        <v>0</v>
      </c>
      <c r="F3" s="10">
        <v>0</v>
      </c>
      <c r="G3" s="10">
        <v>0</v>
      </c>
      <c r="H3" s="10">
        <f t="shared" ref="H3:O9" si="5">G3</f>
        <v>0</v>
      </c>
      <c r="I3" s="10">
        <f t="shared" si="5"/>
        <v>0</v>
      </c>
      <c r="J3" s="10">
        <f t="shared" si="5"/>
        <v>0</v>
      </c>
      <c r="K3" s="10">
        <f t="shared" si="5"/>
        <v>0</v>
      </c>
      <c r="L3" s="10">
        <f t="shared" si="5"/>
        <v>0</v>
      </c>
      <c r="M3" s="10">
        <f t="shared" si="5"/>
        <v>0</v>
      </c>
      <c r="N3" s="10">
        <f t="shared" si="5"/>
        <v>0</v>
      </c>
      <c r="O3" s="10">
        <f t="shared" si="5"/>
        <v>0</v>
      </c>
      <c r="Q3" s="10">
        <v>1</v>
      </c>
      <c r="R3" s="10">
        <f t="shared" ref="R3:AA9" si="6">Q3</f>
        <v>1</v>
      </c>
      <c r="S3" s="10">
        <f t="shared" si="6"/>
        <v>1</v>
      </c>
      <c r="T3" s="10">
        <f t="shared" si="6"/>
        <v>1</v>
      </c>
      <c r="U3" s="10">
        <f t="shared" si="6"/>
        <v>1</v>
      </c>
      <c r="V3" s="10">
        <f t="shared" si="6"/>
        <v>1</v>
      </c>
      <c r="W3" s="10">
        <f t="shared" si="6"/>
        <v>1</v>
      </c>
      <c r="X3" s="10">
        <f t="shared" si="6"/>
        <v>1</v>
      </c>
      <c r="Y3" s="10">
        <f t="shared" si="6"/>
        <v>1</v>
      </c>
      <c r="Z3" s="10">
        <f t="shared" si="6"/>
        <v>1</v>
      </c>
      <c r="AA3" s="10">
        <f t="shared" si="6"/>
        <v>1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1" t="s">
        <v>292</v>
      </c>
      <c r="C4" s="10" t="s">
        <v>118</v>
      </c>
      <c r="E4" s="10">
        <v>0</v>
      </c>
      <c r="F4" s="10">
        <v>0</v>
      </c>
      <c r="G4" s="10">
        <v>0</v>
      </c>
      <c r="H4" s="10">
        <f t="shared" si="5"/>
        <v>0</v>
      </c>
      <c r="I4" s="10">
        <f t="shared" si="5"/>
        <v>0</v>
      </c>
      <c r="J4" s="10">
        <f t="shared" si="5"/>
        <v>0</v>
      </c>
      <c r="K4" s="10">
        <f t="shared" si="5"/>
        <v>0</v>
      </c>
      <c r="L4" s="10">
        <f t="shared" si="5"/>
        <v>0</v>
      </c>
      <c r="M4" s="10">
        <f t="shared" si="5"/>
        <v>0</v>
      </c>
      <c r="N4" s="10">
        <f t="shared" si="5"/>
        <v>0</v>
      </c>
      <c r="O4" s="10">
        <f t="shared" si="5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1" t="s">
        <v>293</v>
      </c>
      <c r="C5" s="10" t="s">
        <v>118</v>
      </c>
      <c r="E5" s="10">
        <v>0</v>
      </c>
      <c r="F5" s="10">
        <v>0</v>
      </c>
      <c r="G5" s="10">
        <v>0</v>
      </c>
      <c r="H5" s="10">
        <f t="shared" si="5"/>
        <v>0</v>
      </c>
      <c r="I5" s="10">
        <f t="shared" si="5"/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0</v>
      </c>
      <c r="AD5" s="10">
        <f t="shared" si="7"/>
        <v>0</v>
      </c>
      <c r="AE5" s="10">
        <f t="shared" si="7"/>
        <v>0</v>
      </c>
      <c r="AF5" s="10">
        <f t="shared" si="7"/>
        <v>0</v>
      </c>
      <c r="AG5" s="10">
        <f t="shared" si="7"/>
        <v>0</v>
      </c>
      <c r="AH5" s="10">
        <f t="shared" si="7"/>
        <v>0</v>
      </c>
      <c r="AI5" s="10">
        <f t="shared" si="7"/>
        <v>0</v>
      </c>
      <c r="AJ5" s="10">
        <f t="shared" si="7"/>
        <v>0</v>
      </c>
      <c r="AK5" s="10">
        <f t="shared" si="7"/>
        <v>0</v>
      </c>
      <c r="AL5" s="10">
        <f t="shared" si="7"/>
        <v>0</v>
      </c>
      <c r="AM5" s="10">
        <f t="shared" si="7"/>
        <v>0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1" t="s">
        <v>294</v>
      </c>
      <c r="C6" s="10" t="s">
        <v>118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1" t="s">
        <v>295</v>
      </c>
      <c r="C7" s="10" t="s">
        <v>118</v>
      </c>
      <c r="E7" s="10">
        <v>0</v>
      </c>
      <c r="F7" s="10">
        <v>0</v>
      </c>
      <c r="G7" s="10"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1</v>
      </c>
      <c r="R7" s="10">
        <f t="shared" si="6"/>
        <v>1</v>
      </c>
      <c r="S7" s="10">
        <f t="shared" si="6"/>
        <v>1</v>
      </c>
      <c r="T7" s="10">
        <f t="shared" si="6"/>
        <v>1</v>
      </c>
      <c r="U7" s="10">
        <f t="shared" si="6"/>
        <v>1</v>
      </c>
      <c r="V7" s="10">
        <f t="shared" si="6"/>
        <v>1</v>
      </c>
      <c r="W7" s="10">
        <f t="shared" si="6"/>
        <v>1</v>
      </c>
      <c r="X7" s="10">
        <f t="shared" si="6"/>
        <v>1</v>
      </c>
      <c r="Y7" s="10">
        <f t="shared" si="6"/>
        <v>1</v>
      </c>
      <c r="Z7" s="10">
        <f t="shared" si="6"/>
        <v>1</v>
      </c>
      <c r="AA7" s="10">
        <f t="shared" si="6"/>
        <v>1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1" t="s">
        <v>296</v>
      </c>
      <c r="C8" s="10" t="s">
        <v>118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si="6"/>
        <v>1</v>
      </c>
      <c r="S8" s="10">
        <f t="shared" si="6"/>
        <v>1</v>
      </c>
      <c r="T8" s="10">
        <f t="shared" si="6"/>
        <v>1</v>
      </c>
      <c r="U8" s="10">
        <f t="shared" si="6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C8" s="10">
        <v>0</v>
      </c>
      <c r="AD8" s="10">
        <f t="shared" si="7"/>
        <v>0</v>
      </c>
      <c r="AE8" s="10">
        <f t="shared" si="7"/>
        <v>0</v>
      </c>
      <c r="AF8" s="10">
        <f t="shared" si="7"/>
        <v>0</v>
      </c>
      <c r="AG8" s="10">
        <f t="shared" si="7"/>
        <v>0</v>
      </c>
      <c r="AH8" s="10">
        <f t="shared" si="7"/>
        <v>0</v>
      </c>
      <c r="AI8" s="10">
        <f t="shared" si="7"/>
        <v>0</v>
      </c>
      <c r="AJ8" s="10">
        <f t="shared" si="7"/>
        <v>0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1" t="s">
        <v>297</v>
      </c>
      <c r="C9" s="10" t="s">
        <v>118</v>
      </c>
      <c r="E9" s="10">
        <v>0</v>
      </c>
      <c r="F9" s="10">
        <v>0</v>
      </c>
      <c r="G9" s="10"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10">
        <f t="shared" si="5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B10" s="2"/>
      <c r="E10" t="str">
        <f t="shared" ref="E10:AA10" si="10">CONCATENATE(E9,E8,E7,E6,E5,E4,E3,E2)</f>
        <v>00000000</v>
      </c>
      <c r="F10" t="str">
        <f t="shared" si="10"/>
        <v>00000000</v>
      </c>
      <c r="G10" t="str">
        <f t="shared" si="10"/>
        <v>00000001</v>
      </c>
      <c r="H10" t="str">
        <f t="shared" si="10"/>
        <v>00000001</v>
      </c>
      <c r="I10" t="str">
        <f t="shared" si="10"/>
        <v>00000001</v>
      </c>
      <c r="J10" t="str">
        <f t="shared" si="10"/>
        <v>00000001</v>
      </c>
      <c r="K10" t="str">
        <f t="shared" si="10"/>
        <v>00000001</v>
      </c>
      <c r="L10" t="str">
        <f t="shared" si="10"/>
        <v>00000001</v>
      </c>
      <c r="M10" t="str">
        <f t="shared" si="10"/>
        <v>00000001</v>
      </c>
      <c r="N10" t="str">
        <f t="shared" si="10"/>
        <v>00000001</v>
      </c>
      <c r="O10" t="str">
        <f t="shared" si="10"/>
        <v>00000001</v>
      </c>
      <c r="Q10" t="str">
        <f t="shared" si="10"/>
        <v>11111110</v>
      </c>
      <c r="R10" t="str">
        <f t="shared" si="10"/>
        <v>11111110</v>
      </c>
      <c r="S10" t="str">
        <f t="shared" si="10"/>
        <v>11111110</v>
      </c>
      <c r="T10" t="str">
        <f t="shared" si="10"/>
        <v>11111110</v>
      </c>
      <c r="U10" t="str">
        <f t="shared" si="10"/>
        <v>11111110</v>
      </c>
      <c r="V10" t="str">
        <f t="shared" si="10"/>
        <v>11111110</v>
      </c>
      <c r="W10" t="str">
        <f t="shared" si="10"/>
        <v>11111110</v>
      </c>
      <c r="X10" t="str">
        <f t="shared" si="10"/>
        <v>11111110</v>
      </c>
      <c r="Y10" t="str">
        <f t="shared" si="10"/>
        <v>11111110</v>
      </c>
      <c r="Z10" t="str">
        <f t="shared" si="10"/>
        <v>11111110</v>
      </c>
      <c r="AA10" t="str">
        <f t="shared" si="10"/>
        <v>11111110</v>
      </c>
      <c r="AC10" t="str">
        <f t="shared" ref="AC10:AM10" si="11">CONCATENATE(AC9,AC8,AC7,AC6,AC5,AC4,AC3,AC2)</f>
        <v>00000000</v>
      </c>
      <c r="AD10" t="str">
        <f t="shared" si="11"/>
        <v>00000000</v>
      </c>
      <c r="AE10" t="str">
        <f t="shared" si="11"/>
        <v>00000000</v>
      </c>
      <c r="AF10" t="str">
        <f t="shared" si="11"/>
        <v>00000000</v>
      </c>
      <c r="AG10" t="str">
        <f t="shared" si="11"/>
        <v>00000000</v>
      </c>
      <c r="AH10" t="str">
        <f t="shared" si="11"/>
        <v>00000000</v>
      </c>
      <c r="AI10" t="str">
        <f t="shared" si="11"/>
        <v>00000000</v>
      </c>
      <c r="AJ10" t="str">
        <f t="shared" si="11"/>
        <v>00000000</v>
      </c>
      <c r="AK10" t="str">
        <f t="shared" si="11"/>
        <v>00000000</v>
      </c>
      <c r="AL10" t="str">
        <f t="shared" si="11"/>
        <v>00000000</v>
      </c>
      <c r="AM10" t="str">
        <f t="shared" si="11"/>
        <v>00000000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B11" s="2" t="s">
        <v>4</v>
      </c>
      <c r="E11" t="str">
        <f t="shared" ref="E11:AA11" si="14">CONCATENATE(BIN2HEX(E10,2))</f>
        <v>00</v>
      </c>
      <c r="F11" t="str">
        <f t="shared" si="14"/>
        <v>00</v>
      </c>
      <c r="G11" t="str">
        <f t="shared" si="14"/>
        <v>01</v>
      </c>
      <c r="H11" t="str">
        <f t="shared" si="14"/>
        <v>01</v>
      </c>
      <c r="I11" t="str">
        <f t="shared" si="14"/>
        <v>01</v>
      </c>
      <c r="J11" t="str">
        <f t="shared" si="14"/>
        <v>01</v>
      </c>
      <c r="K11" t="str">
        <f t="shared" si="14"/>
        <v>01</v>
      </c>
      <c r="L11" t="str">
        <f t="shared" si="14"/>
        <v>01</v>
      </c>
      <c r="M11" t="str">
        <f t="shared" si="14"/>
        <v>01</v>
      </c>
      <c r="N11" t="str">
        <f t="shared" si="14"/>
        <v>01</v>
      </c>
      <c r="O11" t="str">
        <f t="shared" si="14"/>
        <v>01</v>
      </c>
      <c r="Q11" t="str">
        <f t="shared" si="14"/>
        <v>FE</v>
      </c>
      <c r="R11" t="str">
        <f t="shared" si="14"/>
        <v>FE</v>
      </c>
      <c r="S11" t="str">
        <f t="shared" si="14"/>
        <v>FE</v>
      </c>
      <c r="T11" t="str">
        <f t="shared" si="14"/>
        <v>FE</v>
      </c>
      <c r="U11" t="str">
        <f t="shared" si="14"/>
        <v>FE</v>
      </c>
      <c r="V11" t="str">
        <f t="shared" si="14"/>
        <v>FE</v>
      </c>
      <c r="W11" t="str">
        <f t="shared" si="14"/>
        <v>FE</v>
      </c>
      <c r="X11" t="str">
        <f t="shared" si="14"/>
        <v>FE</v>
      </c>
      <c r="Y11" t="str">
        <f t="shared" si="14"/>
        <v>FE</v>
      </c>
      <c r="Z11" t="str">
        <f t="shared" si="14"/>
        <v>FE</v>
      </c>
      <c r="AA11" t="str">
        <f t="shared" si="14"/>
        <v>FE</v>
      </c>
      <c r="AC11" t="str">
        <f t="shared" ref="AC11:AM11" si="15">CONCATENATE(BIN2HEX(AC10,2))</f>
        <v>00</v>
      </c>
      <c r="AD11" t="str">
        <f t="shared" si="15"/>
        <v>00</v>
      </c>
      <c r="AE11" t="str">
        <f t="shared" si="15"/>
        <v>00</v>
      </c>
      <c r="AF11" t="str">
        <f t="shared" si="15"/>
        <v>00</v>
      </c>
      <c r="AG11" t="str">
        <f t="shared" si="15"/>
        <v>00</v>
      </c>
      <c r="AH11" t="str">
        <f t="shared" si="15"/>
        <v>00</v>
      </c>
      <c r="AI11" t="str">
        <f t="shared" si="15"/>
        <v>00</v>
      </c>
      <c r="AJ11" t="str">
        <f t="shared" si="15"/>
        <v>00</v>
      </c>
      <c r="AK11" t="str">
        <f t="shared" si="15"/>
        <v>00</v>
      </c>
      <c r="AL11" t="str">
        <f t="shared" si="15"/>
        <v>00</v>
      </c>
      <c r="AM11" t="str">
        <f t="shared" si="15"/>
        <v>00</v>
      </c>
      <c r="AO11" t="str">
        <f t="shared" ref="AO11:AY11" si="16">CONCATENATE(BIN2HEX(AO10,2))</f>
        <v>00</v>
      </c>
      <c r="AP11" t="str">
        <f t="shared" si="16"/>
        <v>00</v>
      </c>
      <c r="AQ11" t="str">
        <f t="shared" si="16"/>
        <v>00</v>
      </c>
      <c r="AR11" t="str">
        <f t="shared" si="16"/>
        <v>00</v>
      </c>
      <c r="AS11" t="str">
        <f t="shared" si="16"/>
        <v>00</v>
      </c>
      <c r="AT11" t="str">
        <f t="shared" si="16"/>
        <v>00</v>
      </c>
      <c r="AU11" t="str">
        <f t="shared" si="16"/>
        <v>00</v>
      </c>
      <c r="AV11" t="str">
        <f t="shared" si="16"/>
        <v>00</v>
      </c>
      <c r="AW11" t="str">
        <f t="shared" si="16"/>
        <v>00</v>
      </c>
      <c r="AX11" t="str">
        <f t="shared" si="16"/>
        <v>00</v>
      </c>
      <c r="AY11" t="str">
        <f t="shared" si="16"/>
        <v>00</v>
      </c>
      <c r="BA11" t="str">
        <f t="shared" ref="BA11:BK11" si="17">CONCATENATE(BIN2HEX(BA10,2))</f>
        <v>00</v>
      </c>
      <c r="BB11" t="str">
        <f t="shared" si="17"/>
        <v>00</v>
      </c>
      <c r="BC11" t="str">
        <f t="shared" si="17"/>
        <v>00</v>
      </c>
      <c r="BD11" t="str">
        <f t="shared" si="17"/>
        <v>00</v>
      </c>
      <c r="BE11" t="str">
        <f t="shared" si="17"/>
        <v>00</v>
      </c>
      <c r="BF11" t="str">
        <f t="shared" si="17"/>
        <v>00</v>
      </c>
      <c r="BG11" t="str">
        <f t="shared" si="17"/>
        <v>00</v>
      </c>
      <c r="BH11" t="str">
        <f t="shared" si="17"/>
        <v>00</v>
      </c>
      <c r="BI11" t="str">
        <f t="shared" si="17"/>
        <v>00</v>
      </c>
      <c r="BJ11" t="str">
        <f t="shared" si="17"/>
        <v>00</v>
      </c>
      <c r="BK11" t="str">
        <f t="shared" si="17"/>
        <v>00</v>
      </c>
    </row>
    <row r="12" spans="1:63" x14ac:dyDescent="0.25">
      <c r="A12" s="2"/>
      <c r="B12" s="2"/>
    </row>
    <row r="13" spans="1:63" s="10" customFormat="1" x14ac:dyDescent="0.25">
      <c r="A13" s="11"/>
      <c r="B13" s="11" t="s">
        <v>298</v>
      </c>
      <c r="C13" s="10" t="s">
        <v>118</v>
      </c>
      <c r="E13" s="10">
        <v>0</v>
      </c>
      <c r="F13" s="10">
        <v>0</v>
      </c>
      <c r="G13" s="10">
        <v>0</v>
      </c>
      <c r="H13" s="10">
        <f>G13</f>
        <v>0</v>
      </c>
      <c r="I13" s="10">
        <f t="shared" ref="I13:O13" si="18">H13</f>
        <v>0</v>
      </c>
      <c r="J13" s="10">
        <f t="shared" si="18"/>
        <v>0</v>
      </c>
      <c r="K13" s="10">
        <f t="shared" si="18"/>
        <v>0</v>
      </c>
      <c r="L13" s="10">
        <f t="shared" si="18"/>
        <v>0</v>
      </c>
      <c r="M13" s="10">
        <f t="shared" si="18"/>
        <v>0</v>
      </c>
      <c r="N13" s="10">
        <f t="shared" si="18"/>
        <v>0</v>
      </c>
      <c r="O13" s="10">
        <f t="shared" si="18"/>
        <v>0</v>
      </c>
      <c r="Q13" s="10">
        <v>1</v>
      </c>
      <c r="R13" s="10">
        <f>Q13</f>
        <v>1</v>
      </c>
      <c r="S13" s="10">
        <f t="shared" ref="S13:AA13" si="19">R13</f>
        <v>1</v>
      </c>
      <c r="T13" s="10">
        <f t="shared" si="19"/>
        <v>1</v>
      </c>
      <c r="U13" s="10">
        <f t="shared" si="19"/>
        <v>1</v>
      </c>
      <c r="V13" s="10">
        <f t="shared" si="19"/>
        <v>1</v>
      </c>
      <c r="W13" s="10">
        <f t="shared" si="19"/>
        <v>1</v>
      </c>
      <c r="X13" s="10">
        <f t="shared" si="19"/>
        <v>1</v>
      </c>
      <c r="Y13" s="10">
        <f t="shared" si="19"/>
        <v>1</v>
      </c>
      <c r="Z13" s="10">
        <f t="shared" si="19"/>
        <v>1</v>
      </c>
      <c r="AA13" s="10">
        <f t="shared" si="19"/>
        <v>1</v>
      </c>
      <c r="AC13" s="10">
        <v>0</v>
      </c>
      <c r="AD13" s="10">
        <f>AC13</f>
        <v>0</v>
      </c>
      <c r="AE13" s="10">
        <f t="shared" ref="AE13:AM13" si="20">AD13</f>
        <v>0</v>
      </c>
      <c r="AF13" s="10">
        <f t="shared" si="20"/>
        <v>0</v>
      </c>
      <c r="AG13" s="10">
        <f t="shared" si="20"/>
        <v>0</v>
      </c>
      <c r="AH13" s="10">
        <f t="shared" si="20"/>
        <v>0</v>
      </c>
      <c r="AI13" s="10">
        <f t="shared" si="20"/>
        <v>0</v>
      </c>
      <c r="AJ13" s="10">
        <f t="shared" si="20"/>
        <v>0</v>
      </c>
      <c r="AK13" s="10">
        <f t="shared" si="20"/>
        <v>0</v>
      </c>
      <c r="AL13" s="10">
        <f t="shared" si="20"/>
        <v>0</v>
      </c>
      <c r="AM13" s="10">
        <f t="shared" si="20"/>
        <v>0</v>
      </c>
      <c r="AO13" s="10">
        <v>0</v>
      </c>
      <c r="AP13" s="10">
        <f>AO13</f>
        <v>0</v>
      </c>
      <c r="AQ13" s="10">
        <f t="shared" ref="AQ13:AY13" si="21">AP13</f>
        <v>0</v>
      </c>
      <c r="AR13" s="10">
        <f t="shared" si="21"/>
        <v>0</v>
      </c>
      <c r="AS13" s="10">
        <f t="shared" si="21"/>
        <v>0</v>
      </c>
      <c r="AT13" s="10">
        <f t="shared" si="21"/>
        <v>0</v>
      </c>
      <c r="AU13" s="10">
        <f t="shared" si="21"/>
        <v>0</v>
      </c>
      <c r="AV13" s="10">
        <f t="shared" si="21"/>
        <v>0</v>
      </c>
      <c r="AW13" s="10">
        <f t="shared" si="21"/>
        <v>0</v>
      </c>
      <c r="AX13" s="10">
        <f t="shared" si="21"/>
        <v>0</v>
      </c>
      <c r="AY13" s="10">
        <f t="shared" si="21"/>
        <v>0</v>
      </c>
      <c r="BA13" s="10">
        <v>0</v>
      </c>
      <c r="BB13" s="10">
        <f>BA13</f>
        <v>0</v>
      </c>
      <c r="BC13" s="10">
        <f t="shared" ref="BC13:BK13" si="22">BB13</f>
        <v>0</v>
      </c>
      <c r="BD13" s="10">
        <f t="shared" si="22"/>
        <v>0</v>
      </c>
      <c r="BE13" s="10">
        <f t="shared" si="22"/>
        <v>0</v>
      </c>
      <c r="BF13" s="10">
        <f t="shared" si="22"/>
        <v>0</v>
      </c>
      <c r="BG13" s="10">
        <f t="shared" si="22"/>
        <v>0</v>
      </c>
      <c r="BH13" s="10">
        <f t="shared" si="22"/>
        <v>0</v>
      </c>
      <c r="BI13" s="10">
        <f t="shared" si="22"/>
        <v>0</v>
      </c>
      <c r="BJ13" s="10">
        <f t="shared" si="22"/>
        <v>0</v>
      </c>
      <c r="BK13" s="10">
        <f t="shared" si="22"/>
        <v>0</v>
      </c>
    </row>
    <row r="14" spans="1:63" s="10" customFormat="1" x14ac:dyDescent="0.25">
      <c r="A14" s="11"/>
      <c r="B14" s="11" t="s">
        <v>299</v>
      </c>
      <c r="C14" s="10" t="s">
        <v>118</v>
      </c>
      <c r="E14" s="10">
        <v>0</v>
      </c>
      <c r="F14" s="10">
        <v>0</v>
      </c>
      <c r="G14" s="10">
        <v>0</v>
      </c>
      <c r="H14" s="10">
        <f t="shared" ref="H14:O20" si="23">G14</f>
        <v>0</v>
      </c>
      <c r="I14" s="10">
        <f t="shared" si="23"/>
        <v>0</v>
      </c>
      <c r="J14" s="10">
        <f t="shared" si="23"/>
        <v>0</v>
      </c>
      <c r="K14" s="10">
        <f t="shared" si="23"/>
        <v>0</v>
      </c>
      <c r="L14" s="10">
        <f t="shared" si="23"/>
        <v>0</v>
      </c>
      <c r="M14" s="10">
        <f t="shared" si="23"/>
        <v>0</v>
      </c>
      <c r="N14" s="10">
        <f t="shared" si="23"/>
        <v>0</v>
      </c>
      <c r="O14" s="10">
        <f t="shared" si="23"/>
        <v>0</v>
      </c>
      <c r="Q14" s="10">
        <v>1</v>
      </c>
      <c r="R14" s="10">
        <f t="shared" ref="R14:AA20" si="24">Q14</f>
        <v>1</v>
      </c>
      <c r="S14" s="10">
        <f t="shared" si="24"/>
        <v>1</v>
      </c>
      <c r="T14" s="10">
        <f t="shared" si="24"/>
        <v>1</v>
      </c>
      <c r="U14" s="10">
        <f t="shared" si="24"/>
        <v>1</v>
      </c>
      <c r="V14" s="10">
        <f t="shared" si="24"/>
        <v>1</v>
      </c>
      <c r="W14" s="10">
        <f t="shared" si="24"/>
        <v>1</v>
      </c>
      <c r="X14" s="10">
        <f t="shared" si="24"/>
        <v>1</v>
      </c>
      <c r="Y14" s="10">
        <f t="shared" si="24"/>
        <v>1</v>
      </c>
      <c r="Z14" s="10">
        <f t="shared" si="24"/>
        <v>1</v>
      </c>
      <c r="AA14" s="10">
        <f t="shared" si="24"/>
        <v>1</v>
      </c>
      <c r="AC14" s="10">
        <v>0</v>
      </c>
      <c r="AD14" s="10">
        <f t="shared" ref="AD14:AM20" si="25">AC14</f>
        <v>0</v>
      </c>
      <c r="AE14" s="10">
        <f t="shared" si="25"/>
        <v>0</v>
      </c>
      <c r="AF14" s="10">
        <f t="shared" si="25"/>
        <v>0</v>
      </c>
      <c r="AG14" s="10">
        <f t="shared" si="25"/>
        <v>0</v>
      </c>
      <c r="AH14" s="10">
        <f t="shared" si="25"/>
        <v>0</v>
      </c>
      <c r="AI14" s="10">
        <f t="shared" si="25"/>
        <v>0</v>
      </c>
      <c r="AJ14" s="10">
        <f t="shared" si="25"/>
        <v>0</v>
      </c>
      <c r="AK14" s="10">
        <f t="shared" si="25"/>
        <v>0</v>
      </c>
      <c r="AL14" s="10">
        <f t="shared" si="25"/>
        <v>0</v>
      </c>
      <c r="AM14" s="10">
        <f t="shared" si="25"/>
        <v>0</v>
      </c>
      <c r="AO14" s="10">
        <v>0</v>
      </c>
      <c r="AP14" s="10">
        <f t="shared" ref="AP14:AY20" si="26">AO14</f>
        <v>0</v>
      </c>
      <c r="AQ14" s="10">
        <f t="shared" si="26"/>
        <v>0</v>
      </c>
      <c r="AR14" s="10">
        <f t="shared" si="26"/>
        <v>0</v>
      </c>
      <c r="AS14" s="10">
        <f t="shared" si="26"/>
        <v>0</v>
      </c>
      <c r="AT14" s="10">
        <f t="shared" si="26"/>
        <v>0</v>
      </c>
      <c r="AU14" s="10">
        <f t="shared" si="26"/>
        <v>0</v>
      </c>
      <c r="AV14" s="10">
        <f t="shared" si="26"/>
        <v>0</v>
      </c>
      <c r="AW14" s="10">
        <f t="shared" si="26"/>
        <v>0</v>
      </c>
      <c r="AX14" s="10">
        <f t="shared" si="26"/>
        <v>0</v>
      </c>
      <c r="AY14" s="10">
        <f t="shared" si="26"/>
        <v>0</v>
      </c>
      <c r="BA14" s="10">
        <v>0</v>
      </c>
      <c r="BB14" s="10">
        <f t="shared" ref="BB14:BK20" si="27">BA14</f>
        <v>0</v>
      </c>
      <c r="BC14" s="10">
        <f t="shared" si="27"/>
        <v>0</v>
      </c>
      <c r="BD14" s="10">
        <f t="shared" si="27"/>
        <v>0</v>
      </c>
      <c r="BE14" s="10">
        <f t="shared" si="27"/>
        <v>0</v>
      </c>
      <c r="BF14" s="10">
        <f t="shared" si="27"/>
        <v>0</v>
      </c>
      <c r="BG14" s="10">
        <f t="shared" si="27"/>
        <v>0</v>
      </c>
      <c r="BH14" s="10">
        <f t="shared" si="27"/>
        <v>0</v>
      </c>
      <c r="BI14" s="10">
        <f t="shared" si="27"/>
        <v>0</v>
      </c>
      <c r="BJ14" s="10">
        <f t="shared" si="27"/>
        <v>0</v>
      </c>
      <c r="BK14" s="10">
        <f t="shared" si="27"/>
        <v>0</v>
      </c>
    </row>
    <row r="15" spans="1:63" s="10" customFormat="1" x14ac:dyDescent="0.25">
      <c r="A15" s="11"/>
      <c r="B15" s="11" t="s">
        <v>300</v>
      </c>
      <c r="C15" s="10" t="s">
        <v>187</v>
      </c>
      <c r="D15" s="10" t="s">
        <v>198</v>
      </c>
      <c r="E15" s="10">
        <v>0</v>
      </c>
      <c r="F15" s="10">
        <v>0</v>
      </c>
      <c r="G15" s="10">
        <v>1</v>
      </c>
      <c r="H15" s="10">
        <f t="shared" si="23"/>
        <v>1</v>
      </c>
      <c r="I15" s="10">
        <f t="shared" si="23"/>
        <v>1</v>
      </c>
      <c r="J15" s="10">
        <f t="shared" si="23"/>
        <v>1</v>
      </c>
      <c r="K15" s="10">
        <f t="shared" si="23"/>
        <v>1</v>
      </c>
      <c r="L15" s="10">
        <f t="shared" si="23"/>
        <v>1</v>
      </c>
      <c r="M15" s="10">
        <f t="shared" si="23"/>
        <v>1</v>
      </c>
      <c r="N15" s="10">
        <f t="shared" si="23"/>
        <v>1</v>
      </c>
      <c r="O15" s="10">
        <f t="shared" si="23"/>
        <v>1</v>
      </c>
      <c r="Q15" s="10">
        <v>0</v>
      </c>
      <c r="R15" s="10">
        <f t="shared" si="24"/>
        <v>0</v>
      </c>
      <c r="S15" s="10">
        <f t="shared" si="24"/>
        <v>0</v>
      </c>
      <c r="T15" s="10">
        <f t="shared" si="24"/>
        <v>0</v>
      </c>
      <c r="U15" s="10">
        <f t="shared" si="24"/>
        <v>0</v>
      </c>
      <c r="V15" s="10">
        <f t="shared" si="24"/>
        <v>0</v>
      </c>
      <c r="W15" s="10">
        <f t="shared" si="24"/>
        <v>0</v>
      </c>
      <c r="X15" s="10">
        <f t="shared" si="24"/>
        <v>0</v>
      </c>
      <c r="Y15" s="10">
        <f t="shared" si="24"/>
        <v>0</v>
      </c>
      <c r="Z15" s="10">
        <f t="shared" si="24"/>
        <v>0</v>
      </c>
      <c r="AA15" s="10">
        <f t="shared" si="24"/>
        <v>0</v>
      </c>
      <c r="AC15" s="10">
        <v>0</v>
      </c>
      <c r="AD15" s="10">
        <f t="shared" si="25"/>
        <v>0</v>
      </c>
      <c r="AE15" s="10">
        <f t="shared" si="25"/>
        <v>0</v>
      </c>
      <c r="AF15" s="10">
        <f t="shared" si="25"/>
        <v>0</v>
      </c>
      <c r="AG15" s="10">
        <f t="shared" si="25"/>
        <v>0</v>
      </c>
      <c r="AH15" s="10">
        <f t="shared" si="25"/>
        <v>0</v>
      </c>
      <c r="AI15" s="10">
        <f t="shared" si="25"/>
        <v>0</v>
      </c>
      <c r="AJ15" s="10">
        <f t="shared" si="25"/>
        <v>0</v>
      </c>
      <c r="AK15" s="10">
        <f t="shared" si="25"/>
        <v>0</v>
      </c>
      <c r="AL15" s="10">
        <f t="shared" si="25"/>
        <v>0</v>
      </c>
      <c r="AM15" s="10">
        <f t="shared" si="25"/>
        <v>0</v>
      </c>
      <c r="AO15" s="10">
        <v>0</v>
      </c>
      <c r="AP15" s="10">
        <f t="shared" si="26"/>
        <v>0</v>
      </c>
      <c r="AQ15" s="10">
        <f t="shared" si="26"/>
        <v>0</v>
      </c>
      <c r="AR15" s="10">
        <f t="shared" si="26"/>
        <v>0</v>
      </c>
      <c r="AS15" s="10">
        <f t="shared" si="26"/>
        <v>0</v>
      </c>
      <c r="AT15" s="10">
        <f t="shared" si="26"/>
        <v>0</v>
      </c>
      <c r="AU15" s="10">
        <f t="shared" si="26"/>
        <v>0</v>
      </c>
      <c r="AV15" s="10">
        <f t="shared" si="26"/>
        <v>0</v>
      </c>
      <c r="AW15" s="10">
        <f t="shared" si="26"/>
        <v>0</v>
      </c>
      <c r="AX15" s="10">
        <f t="shared" si="26"/>
        <v>0</v>
      </c>
      <c r="AY15" s="10">
        <f t="shared" si="26"/>
        <v>0</v>
      </c>
      <c r="BA15" s="10">
        <v>0</v>
      </c>
      <c r="BB15" s="10">
        <f t="shared" si="27"/>
        <v>0</v>
      </c>
      <c r="BC15" s="10">
        <f t="shared" si="27"/>
        <v>0</v>
      </c>
      <c r="BD15" s="10">
        <f t="shared" si="27"/>
        <v>0</v>
      </c>
      <c r="BE15" s="10">
        <f t="shared" si="27"/>
        <v>0</v>
      </c>
      <c r="BF15" s="10">
        <f t="shared" si="27"/>
        <v>0</v>
      </c>
      <c r="BG15" s="10">
        <f t="shared" si="27"/>
        <v>0</v>
      </c>
      <c r="BH15" s="10">
        <f t="shared" si="27"/>
        <v>0</v>
      </c>
      <c r="BI15" s="10">
        <f t="shared" si="27"/>
        <v>0</v>
      </c>
      <c r="BJ15" s="10">
        <f t="shared" si="27"/>
        <v>0</v>
      </c>
      <c r="BK15" s="10">
        <f t="shared" si="27"/>
        <v>0</v>
      </c>
    </row>
    <row r="16" spans="1:63" s="10" customFormat="1" x14ac:dyDescent="0.25">
      <c r="A16" s="11"/>
      <c r="B16" s="11" t="s">
        <v>301</v>
      </c>
      <c r="C16" s="10" t="s">
        <v>118</v>
      </c>
      <c r="E16" s="10">
        <v>0</v>
      </c>
      <c r="F16" s="10">
        <v>0</v>
      </c>
      <c r="G16" s="10">
        <v>0</v>
      </c>
      <c r="H16" s="10">
        <f t="shared" si="23"/>
        <v>0</v>
      </c>
      <c r="I16" s="10">
        <f t="shared" si="23"/>
        <v>0</v>
      </c>
      <c r="J16" s="10">
        <f t="shared" si="23"/>
        <v>0</v>
      </c>
      <c r="K16" s="10">
        <f t="shared" si="23"/>
        <v>0</v>
      </c>
      <c r="L16" s="10">
        <f t="shared" si="23"/>
        <v>0</v>
      </c>
      <c r="M16" s="10">
        <f t="shared" si="23"/>
        <v>0</v>
      </c>
      <c r="N16" s="10">
        <f t="shared" si="23"/>
        <v>0</v>
      </c>
      <c r="O16" s="10">
        <f t="shared" si="23"/>
        <v>0</v>
      </c>
      <c r="Q16" s="10">
        <v>1</v>
      </c>
      <c r="R16" s="10">
        <f t="shared" si="24"/>
        <v>1</v>
      </c>
      <c r="S16" s="10">
        <f t="shared" si="24"/>
        <v>1</v>
      </c>
      <c r="T16" s="10">
        <f t="shared" si="24"/>
        <v>1</v>
      </c>
      <c r="U16" s="10">
        <f t="shared" si="24"/>
        <v>1</v>
      </c>
      <c r="V16" s="10">
        <f t="shared" si="24"/>
        <v>1</v>
      </c>
      <c r="W16" s="10">
        <f t="shared" si="24"/>
        <v>1</v>
      </c>
      <c r="X16" s="10">
        <f t="shared" si="24"/>
        <v>1</v>
      </c>
      <c r="Y16" s="10">
        <f t="shared" si="24"/>
        <v>1</v>
      </c>
      <c r="Z16" s="10">
        <f t="shared" si="24"/>
        <v>1</v>
      </c>
      <c r="AA16" s="10">
        <f t="shared" si="24"/>
        <v>1</v>
      </c>
      <c r="AC16" s="10">
        <v>0</v>
      </c>
      <c r="AD16" s="10">
        <f t="shared" si="25"/>
        <v>0</v>
      </c>
      <c r="AE16" s="10">
        <f t="shared" si="25"/>
        <v>0</v>
      </c>
      <c r="AF16" s="10">
        <f t="shared" si="25"/>
        <v>0</v>
      </c>
      <c r="AG16" s="10">
        <f t="shared" si="25"/>
        <v>0</v>
      </c>
      <c r="AH16" s="10">
        <f t="shared" si="25"/>
        <v>0</v>
      </c>
      <c r="AI16" s="10">
        <f t="shared" si="25"/>
        <v>0</v>
      </c>
      <c r="AJ16" s="10">
        <f t="shared" si="25"/>
        <v>0</v>
      </c>
      <c r="AK16" s="10">
        <f t="shared" si="25"/>
        <v>0</v>
      </c>
      <c r="AL16" s="10">
        <f t="shared" si="25"/>
        <v>0</v>
      </c>
      <c r="AM16" s="10">
        <f t="shared" si="25"/>
        <v>0</v>
      </c>
      <c r="AO16" s="10">
        <v>0</v>
      </c>
      <c r="AP16" s="10">
        <f t="shared" si="26"/>
        <v>0</v>
      </c>
      <c r="AQ16" s="10">
        <f t="shared" si="26"/>
        <v>0</v>
      </c>
      <c r="AR16" s="10">
        <f t="shared" si="26"/>
        <v>0</v>
      </c>
      <c r="AS16" s="10">
        <f t="shared" si="26"/>
        <v>0</v>
      </c>
      <c r="AT16" s="10">
        <f t="shared" si="26"/>
        <v>0</v>
      </c>
      <c r="AU16" s="10">
        <f t="shared" si="26"/>
        <v>0</v>
      </c>
      <c r="AV16" s="10">
        <f t="shared" si="26"/>
        <v>0</v>
      </c>
      <c r="AW16" s="10">
        <f t="shared" si="26"/>
        <v>0</v>
      </c>
      <c r="AX16" s="10">
        <f t="shared" si="26"/>
        <v>0</v>
      </c>
      <c r="AY16" s="10">
        <f t="shared" si="26"/>
        <v>0</v>
      </c>
      <c r="BA16" s="10">
        <v>0</v>
      </c>
      <c r="BB16" s="10">
        <f t="shared" si="27"/>
        <v>0</v>
      </c>
      <c r="BC16" s="10">
        <f t="shared" si="27"/>
        <v>0</v>
      </c>
      <c r="BD16" s="10">
        <f t="shared" si="27"/>
        <v>0</v>
      </c>
      <c r="BE16" s="10">
        <f t="shared" si="27"/>
        <v>0</v>
      </c>
      <c r="BF16" s="10">
        <f t="shared" si="27"/>
        <v>0</v>
      </c>
      <c r="BG16" s="10">
        <f t="shared" si="27"/>
        <v>0</v>
      </c>
      <c r="BH16" s="10">
        <f t="shared" si="27"/>
        <v>0</v>
      </c>
      <c r="BI16" s="10">
        <f t="shared" si="27"/>
        <v>0</v>
      </c>
      <c r="BJ16" s="10">
        <f t="shared" si="27"/>
        <v>0</v>
      </c>
      <c r="BK16" s="10">
        <f t="shared" si="27"/>
        <v>0</v>
      </c>
    </row>
    <row r="17" spans="1:63" s="10" customFormat="1" x14ac:dyDescent="0.25">
      <c r="A17" s="11"/>
      <c r="B17" s="11" t="s">
        <v>302</v>
      </c>
      <c r="C17" s="10" t="s">
        <v>118</v>
      </c>
      <c r="E17" s="10">
        <v>0</v>
      </c>
      <c r="F17" s="10">
        <v>0</v>
      </c>
      <c r="G17" s="10">
        <v>0</v>
      </c>
      <c r="H17" s="10">
        <f t="shared" si="23"/>
        <v>0</v>
      </c>
      <c r="I17" s="10">
        <f t="shared" si="23"/>
        <v>0</v>
      </c>
      <c r="J17" s="10">
        <f t="shared" si="23"/>
        <v>0</v>
      </c>
      <c r="K17" s="10">
        <f t="shared" si="23"/>
        <v>0</v>
      </c>
      <c r="L17" s="10">
        <f t="shared" si="23"/>
        <v>0</v>
      </c>
      <c r="M17" s="10">
        <f t="shared" si="23"/>
        <v>0</v>
      </c>
      <c r="N17" s="10">
        <f t="shared" si="23"/>
        <v>0</v>
      </c>
      <c r="O17" s="10">
        <f t="shared" si="23"/>
        <v>0</v>
      </c>
      <c r="Q17" s="10">
        <v>1</v>
      </c>
      <c r="R17" s="10">
        <f t="shared" si="24"/>
        <v>1</v>
      </c>
      <c r="S17" s="10">
        <f t="shared" si="24"/>
        <v>1</v>
      </c>
      <c r="T17" s="10">
        <f t="shared" si="24"/>
        <v>1</v>
      </c>
      <c r="U17" s="10">
        <f t="shared" si="24"/>
        <v>1</v>
      </c>
      <c r="V17" s="10">
        <f t="shared" si="24"/>
        <v>1</v>
      </c>
      <c r="W17" s="10">
        <f t="shared" si="24"/>
        <v>1</v>
      </c>
      <c r="X17" s="10">
        <f t="shared" si="24"/>
        <v>1</v>
      </c>
      <c r="Y17" s="10">
        <f t="shared" si="24"/>
        <v>1</v>
      </c>
      <c r="Z17" s="10">
        <f t="shared" si="24"/>
        <v>1</v>
      </c>
      <c r="AA17" s="10">
        <f t="shared" si="24"/>
        <v>1</v>
      </c>
      <c r="AC17" s="10">
        <v>0</v>
      </c>
      <c r="AD17" s="10">
        <f t="shared" si="25"/>
        <v>0</v>
      </c>
      <c r="AE17" s="10">
        <f t="shared" si="25"/>
        <v>0</v>
      </c>
      <c r="AF17" s="10">
        <f t="shared" si="25"/>
        <v>0</v>
      </c>
      <c r="AG17" s="10">
        <f t="shared" si="25"/>
        <v>0</v>
      </c>
      <c r="AH17" s="10">
        <f t="shared" si="25"/>
        <v>0</v>
      </c>
      <c r="AI17" s="10">
        <f t="shared" si="25"/>
        <v>0</v>
      </c>
      <c r="AJ17" s="10">
        <f t="shared" si="25"/>
        <v>0</v>
      </c>
      <c r="AK17" s="10">
        <f t="shared" si="25"/>
        <v>0</v>
      </c>
      <c r="AL17" s="10">
        <f t="shared" si="25"/>
        <v>0</v>
      </c>
      <c r="AM17" s="10">
        <f t="shared" si="25"/>
        <v>0</v>
      </c>
      <c r="AO17" s="10">
        <v>0</v>
      </c>
      <c r="AP17" s="10">
        <f t="shared" si="26"/>
        <v>0</v>
      </c>
      <c r="AQ17" s="10">
        <f t="shared" si="26"/>
        <v>0</v>
      </c>
      <c r="AR17" s="10">
        <f t="shared" si="26"/>
        <v>0</v>
      </c>
      <c r="AS17" s="10">
        <f t="shared" si="26"/>
        <v>0</v>
      </c>
      <c r="AT17" s="10">
        <f t="shared" si="26"/>
        <v>0</v>
      </c>
      <c r="AU17" s="10">
        <f t="shared" si="26"/>
        <v>0</v>
      </c>
      <c r="AV17" s="10">
        <f t="shared" si="26"/>
        <v>0</v>
      </c>
      <c r="AW17" s="10">
        <f t="shared" si="26"/>
        <v>0</v>
      </c>
      <c r="AX17" s="10">
        <f t="shared" si="26"/>
        <v>0</v>
      </c>
      <c r="AY17" s="10">
        <f t="shared" si="26"/>
        <v>0</v>
      </c>
      <c r="BA17" s="10">
        <v>0</v>
      </c>
      <c r="BB17" s="10">
        <f t="shared" si="27"/>
        <v>0</v>
      </c>
      <c r="BC17" s="10">
        <f t="shared" si="27"/>
        <v>0</v>
      </c>
      <c r="BD17" s="10">
        <f t="shared" si="27"/>
        <v>0</v>
      </c>
      <c r="BE17" s="10">
        <f t="shared" si="27"/>
        <v>0</v>
      </c>
      <c r="BF17" s="10">
        <f t="shared" si="27"/>
        <v>0</v>
      </c>
      <c r="BG17" s="10">
        <f t="shared" si="27"/>
        <v>0</v>
      </c>
      <c r="BH17" s="10">
        <f t="shared" si="27"/>
        <v>0</v>
      </c>
      <c r="BI17" s="10">
        <f t="shared" si="27"/>
        <v>0</v>
      </c>
      <c r="BJ17" s="10">
        <f t="shared" si="27"/>
        <v>0</v>
      </c>
      <c r="BK17" s="10">
        <f t="shared" si="27"/>
        <v>0</v>
      </c>
    </row>
    <row r="18" spans="1:63" s="10" customFormat="1" x14ac:dyDescent="0.25">
      <c r="A18" s="11"/>
      <c r="B18" s="11" t="s">
        <v>303</v>
      </c>
      <c r="C18" s="10" t="s">
        <v>188</v>
      </c>
      <c r="D18" s="10" t="s">
        <v>189</v>
      </c>
      <c r="E18" s="10">
        <v>0</v>
      </c>
      <c r="F18" s="10">
        <v>1</v>
      </c>
      <c r="G18" s="10">
        <v>1</v>
      </c>
      <c r="H18" s="10">
        <f t="shared" si="23"/>
        <v>1</v>
      </c>
      <c r="I18" s="10">
        <f t="shared" si="23"/>
        <v>1</v>
      </c>
      <c r="J18" s="10">
        <f t="shared" si="23"/>
        <v>1</v>
      </c>
      <c r="K18" s="10">
        <f t="shared" si="23"/>
        <v>1</v>
      </c>
      <c r="L18" s="10">
        <f t="shared" si="23"/>
        <v>1</v>
      </c>
      <c r="M18" s="10">
        <f t="shared" si="23"/>
        <v>1</v>
      </c>
      <c r="N18" s="10">
        <f t="shared" si="23"/>
        <v>1</v>
      </c>
      <c r="O18" s="10">
        <f t="shared" si="23"/>
        <v>1</v>
      </c>
      <c r="Q18" s="10">
        <v>0</v>
      </c>
      <c r="R18" s="10">
        <f t="shared" si="24"/>
        <v>0</v>
      </c>
      <c r="S18" s="10">
        <f t="shared" si="24"/>
        <v>0</v>
      </c>
      <c r="T18" s="10">
        <f t="shared" si="24"/>
        <v>0</v>
      </c>
      <c r="U18" s="10">
        <f t="shared" si="24"/>
        <v>0</v>
      </c>
      <c r="V18" s="10">
        <f t="shared" si="24"/>
        <v>0</v>
      </c>
      <c r="W18" s="10">
        <f t="shared" si="24"/>
        <v>0</v>
      </c>
      <c r="X18" s="10">
        <f t="shared" si="24"/>
        <v>0</v>
      </c>
      <c r="Y18" s="10">
        <f t="shared" si="24"/>
        <v>0</v>
      </c>
      <c r="Z18" s="10">
        <f t="shared" si="24"/>
        <v>0</v>
      </c>
      <c r="AA18" s="10">
        <f t="shared" si="24"/>
        <v>0</v>
      </c>
      <c r="AC18" s="10">
        <v>0</v>
      </c>
      <c r="AD18" s="10">
        <f t="shared" si="25"/>
        <v>0</v>
      </c>
      <c r="AE18" s="10">
        <f t="shared" si="25"/>
        <v>0</v>
      </c>
      <c r="AF18" s="10">
        <f t="shared" si="25"/>
        <v>0</v>
      </c>
      <c r="AG18" s="10">
        <f t="shared" si="25"/>
        <v>0</v>
      </c>
      <c r="AH18" s="10">
        <f t="shared" si="25"/>
        <v>0</v>
      </c>
      <c r="AI18" s="10">
        <f t="shared" si="25"/>
        <v>0</v>
      </c>
      <c r="AJ18" s="10">
        <f t="shared" si="25"/>
        <v>0</v>
      </c>
      <c r="AK18" s="10">
        <f t="shared" si="25"/>
        <v>0</v>
      </c>
      <c r="AL18" s="10">
        <f t="shared" si="25"/>
        <v>0</v>
      </c>
      <c r="AM18" s="10">
        <f t="shared" si="25"/>
        <v>0</v>
      </c>
      <c r="AO18" s="10">
        <v>0</v>
      </c>
      <c r="AP18" s="10">
        <f t="shared" si="26"/>
        <v>0</v>
      </c>
      <c r="AQ18" s="10">
        <f t="shared" si="26"/>
        <v>0</v>
      </c>
      <c r="AR18" s="10">
        <f t="shared" si="26"/>
        <v>0</v>
      </c>
      <c r="AS18" s="10">
        <f t="shared" si="26"/>
        <v>0</v>
      </c>
      <c r="AT18" s="10">
        <f t="shared" si="26"/>
        <v>0</v>
      </c>
      <c r="AU18" s="10">
        <f t="shared" si="26"/>
        <v>0</v>
      </c>
      <c r="AV18" s="10">
        <f t="shared" si="26"/>
        <v>0</v>
      </c>
      <c r="AW18" s="10">
        <f t="shared" si="26"/>
        <v>0</v>
      </c>
      <c r="AX18" s="10">
        <f t="shared" si="26"/>
        <v>0</v>
      </c>
      <c r="AY18" s="10">
        <f t="shared" si="26"/>
        <v>0</v>
      </c>
      <c r="BA18" s="10">
        <v>0</v>
      </c>
      <c r="BB18" s="10">
        <f t="shared" si="27"/>
        <v>0</v>
      </c>
      <c r="BC18" s="10">
        <f t="shared" si="27"/>
        <v>0</v>
      </c>
      <c r="BD18" s="10">
        <f t="shared" si="27"/>
        <v>0</v>
      </c>
      <c r="BE18" s="10">
        <f t="shared" si="27"/>
        <v>0</v>
      </c>
      <c r="BF18" s="10">
        <f t="shared" si="27"/>
        <v>0</v>
      </c>
      <c r="BG18" s="10">
        <f t="shared" si="27"/>
        <v>0</v>
      </c>
      <c r="BH18" s="10">
        <f t="shared" si="27"/>
        <v>0</v>
      </c>
      <c r="BI18" s="10">
        <f t="shared" si="27"/>
        <v>0</v>
      </c>
      <c r="BJ18" s="10">
        <f t="shared" si="27"/>
        <v>0</v>
      </c>
      <c r="BK18" s="10">
        <f t="shared" si="27"/>
        <v>0</v>
      </c>
    </row>
    <row r="19" spans="1:63" s="10" customFormat="1" x14ac:dyDescent="0.25">
      <c r="A19" s="11"/>
      <c r="B19" s="11" t="s">
        <v>304</v>
      </c>
      <c r="C19" s="10" t="s">
        <v>178</v>
      </c>
      <c r="D19" s="10" t="s">
        <v>179</v>
      </c>
      <c r="E19" s="10">
        <v>0</v>
      </c>
      <c r="F19" s="10">
        <v>1</v>
      </c>
      <c r="G19" s="10">
        <v>1</v>
      </c>
      <c r="H19" s="10">
        <f t="shared" si="23"/>
        <v>1</v>
      </c>
      <c r="I19" s="10">
        <f t="shared" si="23"/>
        <v>1</v>
      </c>
      <c r="J19" s="10">
        <f t="shared" si="23"/>
        <v>1</v>
      </c>
      <c r="K19" s="10">
        <f t="shared" si="23"/>
        <v>1</v>
      </c>
      <c r="L19" s="10">
        <f t="shared" si="23"/>
        <v>1</v>
      </c>
      <c r="M19" s="10">
        <f t="shared" si="23"/>
        <v>1</v>
      </c>
      <c r="N19" s="10">
        <f t="shared" si="23"/>
        <v>1</v>
      </c>
      <c r="O19" s="10">
        <f t="shared" si="23"/>
        <v>1</v>
      </c>
      <c r="Q19" s="10">
        <v>0</v>
      </c>
      <c r="R19" s="10">
        <f t="shared" si="24"/>
        <v>0</v>
      </c>
      <c r="S19" s="10">
        <f t="shared" si="24"/>
        <v>0</v>
      </c>
      <c r="T19" s="10">
        <f t="shared" si="24"/>
        <v>0</v>
      </c>
      <c r="U19" s="10">
        <f t="shared" si="24"/>
        <v>0</v>
      </c>
      <c r="V19" s="10">
        <f t="shared" si="24"/>
        <v>0</v>
      </c>
      <c r="W19" s="10">
        <f t="shared" si="24"/>
        <v>0</v>
      </c>
      <c r="X19" s="10">
        <f t="shared" si="24"/>
        <v>0</v>
      </c>
      <c r="Y19" s="10">
        <f t="shared" si="24"/>
        <v>0</v>
      </c>
      <c r="Z19" s="10">
        <f t="shared" si="24"/>
        <v>0</v>
      </c>
      <c r="AA19" s="10">
        <f t="shared" si="24"/>
        <v>0</v>
      </c>
      <c r="AC19" s="10">
        <v>0</v>
      </c>
      <c r="AD19" s="10">
        <f t="shared" si="25"/>
        <v>0</v>
      </c>
      <c r="AE19" s="10">
        <f t="shared" si="25"/>
        <v>0</v>
      </c>
      <c r="AF19" s="10">
        <f t="shared" si="25"/>
        <v>0</v>
      </c>
      <c r="AG19" s="10">
        <f t="shared" si="25"/>
        <v>0</v>
      </c>
      <c r="AH19" s="10">
        <f t="shared" si="25"/>
        <v>0</v>
      </c>
      <c r="AI19" s="10">
        <f t="shared" si="25"/>
        <v>0</v>
      </c>
      <c r="AJ19" s="10">
        <f t="shared" si="25"/>
        <v>0</v>
      </c>
      <c r="AK19" s="10">
        <f t="shared" si="25"/>
        <v>0</v>
      </c>
      <c r="AL19" s="10">
        <f t="shared" si="25"/>
        <v>0</v>
      </c>
      <c r="AM19" s="10">
        <f t="shared" si="25"/>
        <v>0</v>
      </c>
      <c r="AO19" s="10">
        <v>0</v>
      </c>
      <c r="AP19" s="10">
        <f t="shared" si="26"/>
        <v>0</v>
      </c>
      <c r="AQ19" s="10">
        <f t="shared" si="26"/>
        <v>0</v>
      </c>
      <c r="AR19" s="10">
        <f t="shared" si="26"/>
        <v>0</v>
      </c>
      <c r="AS19" s="10">
        <f t="shared" si="26"/>
        <v>0</v>
      </c>
      <c r="AT19" s="10">
        <f t="shared" si="26"/>
        <v>0</v>
      </c>
      <c r="AU19" s="10">
        <f t="shared" si="26"/>
        <v>0</v>
      </c>
      <c r="AV19" s="10">
        <f t="shared" si="26"/>
        <v>0</v>
      </c>
      <c r="AW19" s="10">
        <f t="shared" si="26"/>
        <v>0</v>
      </c>
      <c r="AX19" s="10">
        <f t="shared" si="26"/>
        <v>0</v>
      </c>
      <c r="AY19" s="10">
        <f t="shared" si="26"/>
        <v>0</v>
      </c>
      <c r="BA19" s="10">
        <v>0</v>
      </c>
      <c r="BB19" s="10">
        <f t="shared" si="27"/>
        <v>0</v>
      </c>
      <c r="BC19" s="10">
        <f t="shared" si="27"/>
        <v>0</v>
      </c>
      <c r="BD19" s="10">
        <f t="shared" si="27"/>
        <v>0</v>
      </c>
      <c r="BE19" s="10">
        <f t="shared" si="27"/>
        <v>0</v>
      </c>
      <c r="BF19" s="10">
        <f t="shared" si="27"/>
        <v>0</v>
      </c>
      <c r="BG19" s="10">
        <f t="shared" si="27"/>
        <v>0</v>
      </c>
      <c r="BH19" s="10">
        <f t="shared" si="27"/>
        <v>0</v>
      </c>
      <c r="BI19" s="10">
        <f t="shared" si="27"/>
        <v>0</v>
      </c>
      <c r="BJ19" s="10">
        <f t="shared" si="27"/>
        <v>0</v>
      </c>
      <c r="BK19" s="10">
        <f t="shared" si="27"/>
        <v>0</v>
      </c>
    </row>
    <row r="20" spans="1:63" s="10" customFormat="1" x14ac:dyDescent="0.25">
      <c r="A20" s="11"/>
      <c r="B20" s="11" t="s">
        <v>305</v>
      </c>
      <c r="C20" s="10" t="s">
        <v>199</v>
      </c>
      <c r="D20" s="10" t="s">
        <v>172</v>
      </c>
      <c r="E20" s="10">
        <v>1</v>
      </c>
      <c r="F20" s="10">
        <v>1</v>
      </c>
      <c r="G20" s="10">
        <v>1</v>
      </c>
      <c r="H20" s="10">
        <f t="shared" si="23"/>
        <v>1</v>
      </c>
      <c r="I20" s="10">
        <v>0</v>
      </c>
      <c r="J20" s="10">
        <v>1</v>
      </c>
      <c r="K20" s="10">
        <f t="shared" si="23"/>
        <v>1</v>
      </c>
      <c r="L20" s="10">
        <f t="shared" si="23"/>
        <v>1</v>
      </c>
      <c r="M20" s="10">
        <f t="shared" si="23"/>
        <v>1</v>
      </c>
      <c r="N20" s="10">
        <f t="shared" si="23"/>
        <v>1</v>
      </c>
      <c r="O20" s="10">
        <f t="shared" si="23"/>
        <v>1</v>
      </c>
      <c r="Q20" s="10">
        <v>0</v>
      </c>
      <c r="R20" s="10">
        <f t="shared" si="24"/>
        <v>0</v>
      </c>
      <c r="S20" s="10">
        <f t="shared" si="24"/>
        <v>0</v>
      </c>
      <c r="T20" s="10">
        <f t="shared" si="24"/>
        <v>0</v>
      </c>
      <c r="U20" s="10">
        <f t="shared" si="24"/>
        <v>0</v>
      </c>
      <c r="V20" s="10">
        <f t="shared" si="24"/>
        <v>0</v>
      </c>
      <c r="W20" s="10">
        <f t="shared" si="24"/>
        <v>0</v>
      </c>
      <c r="X20" s="10">
        <f t="shared" si="24"/>
        <v>0</v>
      </c>
      <c r="Y20" s="10">
        <f t="shared" si="24"/>
        <v>0</v>
      </c>
      <c r="Z20" s="10">
        <f t="shared" si="24"/>
        <v>0</v>
      </c>
      <c r="AA20" s="10">
        <f t="shared" si="24"/>
        <v>0</v>
      </c>
      <c r="AC20" s="10">
        <v>0</v>
      </c>
      <c r="AD20" s="10">
        <f t="shared" si="25"/>
        <v>0</v>
      </c>
      <c r="AE20" s="10">
        <f t="shared" si="25"/>
        <v>0</v>
      </c>
      <c r="AF20" s="10">
        <f t="shared" si="25"/>
        <v>0</v>
      </c>
      <c r="AG20" s="10">
        <f t="shared" si="25"/>
        <v>0</v>
      </c>
      <c r="AH20" s="10">
        <f t="shared" si="25"/>
        <v>0</v>
      </c>
      <c r="AI20" s="10">
        <f t="shared" si="25"/>
        <v>0</v>
      </c>
      <c r="AJ20" s="10">
        <f t="shared" si="25"/>
        <v>0</v>
      </c>
      <c r="AK20" s="10">
        <f t="shared" si="25"/>
        <v>0</v>
      </c>
      <c r="AL20" s="10">
        <f t="shared" si="25"/>
        <v>0</v>
      </c>
      <c r="AM20" s="10">
        <f t="shared" si="25"/>
        <v>0</v>
      </c>
      <c r="AO20" s="10">
        <v>0</v>
      </c>
      <c r="AP20" s="10">
        <f t="shared" si="26"/>
        <v>0</v>
      </c>
      <c r="AQ20" s="10">
        <f t="shared" si="26"/>
        <v>0</v>
      </c>
      <c r="AR20" s="10">
        <f t="shared" si="26"/>
        <v>0</v>
      </c>
      <c r="AS20" s="10">
        <f t="shared" si="26"/>
        <v>0</v>
      </c>
      <c r="AT20" s="10">
        <f t="shared" si="26"/>
        <v>0</v>
      </c>
      <c r="AU20" s="10">
        <f t="shared" si="26"/>
        <v>0</v>
      </c>
      <c r="AV20" s="10">
        <f t="shared" si="26"/>
        <v>0</v>
      </c>
      <c r="AW20" s="10">
        <f t="shared" si="26"/>
        <v>0</v>
      </c>
      <c r="AX20" s="10">
        <f t="shared" si="26"/>
        <v>0</v>
      </c>
      <c r="AY20" s="10">
        <f t="shared" si="26"/>
        <v>0</v>
      </c>
      <c r="BA20" s="10">
        <v>0</v>
      </c>
      <c r="BB20" s="10">
        <f t="shared" si="27"/>
        <v>0</v>
      </c>
      <c r="BC20" s="10">
        <f t="shared" si="27"/>
        <v>0</v>
      </c>
      <c r="BD20" s="10">
        <f t="shared" si="27"/>
        <v>0</v>
      </c>
      <c r="BE20" s="10">
        <f t="shared" si="27"/>
        <v>0</v>
      </c>
      <c r="BF20" s="10">
        <f t="shared" si="27"/>
        <v>0</v>
      </c>
      <c r="BG20" s="10">
        <f t="shared" si="27"/>
        <v>0</v>
      </c>
      <c r="BH20" s="10">
        <f t="shared" si="27"/>
        <v>0</v>
      </c>
      <c r="BI20" s="10">
        <f t="shared" si="27"/>
        <v>0</v>
      </c>
      <c r="BJ20" s="10">
        <f t="shared" si="27"/>
        <v>0</v>
      </c>
      <c r="BK20" s="10">
        <f t="shared" si="27"/>
        <v>0</v>
      </c>
    </row>
    <row r="21" spans="1:63" x14ac:dyDescent="0.25">
      <c r="A21" s="2"/>
      <c r="B21" s="2"/>
      <c r="E21" t="str">
        <f t="shared" ref="E21:AA21" si="28">CONCATENATE(E20,E19,E18,E17,E16,E15,E14,E13)</f>
        <v>10000000</v>
      </c>
      <c r="F21" t="str">
        <f t="shared" si="28"/>
        <v>11100000</v>
      </c>
      <c r="G21" t="str">
        <f t="shared" si="28"/>
        <v>11100100</v>
      </c>
      <c r="H21" t="str">
        <f t="shared" si="28"/>
        <v>11100100</v>
      </c>
      <c r="I21" t="str">
        <f t="shared" si="28"/>
        <v>01100100</v>
      </c>
      <c r="J21" t="str">
        <f t="shared" si="28"/>
        <v>11100100</v>
      </c>
      <c r="K21" t="str">
        <f t="shared" si="28"/>
        <v>11100100</v>
      </c>
      <c r="L21" t="str">
        <f t="shared" si="28"/>
        <v>11100100</v>
      </c>
      <c r="M21" t="str">
        <f t="shared" si="28"/>
        <v>11100100</v>
      </c>
      <c r="N21" t="str">
        <f t="shared" si="28"/>
        <v>11100100</v>
      </c>
      <c r="O21" t="str">
        <f t="shared" si="28"/>
        <v>11100100</v>
      </c>
      <c r="Q21" t="str">
        <f t="shared" si="28"/>
        <v>00011011</v>
      </c>
      <c r="R21" t="str">
        <f t="shared" si="28"/>
        <v>00011011</v>
      </c>
      <c r="S21" t="str">
        <f t="shared" si="28"/>
        <v>00011011</v>
      </c>
      <c r="T21" t="str">
        <f t="shared" si="28"/>
        <v>00011011</v>
      </c>
      <c r="U21" t="str">
        <f t="shared" si="28"/>
        <v>00011011</v>
      </c>
      <c r="V21" t="str">
        <f t="shared" si="28"/>
        <v>00011011</v>
      </c>
      <c r="W21" t="str">
        <f t="shared" si="28"/>
        <v>00011011</v>
      </c>
      <c r="X21" t="str">
        <f t="shared" si="28"/>
        <v>00011011</v>
      </c>
      <c r="Y21" t="str">
        <f t="shared" si="28"/>
        <v>00011011</v>
      </c>
      <c r="Z21" t="str">
        <f t="shared" si="28"/>
        <v>00011011</v>
      </c>
      <c r="AA21" t="str">
        <f t="shared" si="28"/>
        <v>00011011</v>
      </c>
      <c r="AC21" t="str">
        <f t="shared" ref="AC21:AM21" si="29">CONCATENATE(AC20,AC19,AC18,AC17,AC16,AC15,AC14,AC13)</f>
        <v>00000000</v>
      </c>
      <c r="AD21" t="str">
        <f t="shared" si="29"/>
        <v>00000000</v>
      </c>
      <c r="AE21" t="str">
        <f t="shared" si="29"/>
        <v>00000000</v>
      </c>
      <c r="AF21" t="str">
        <f t="shared" si="29"/>
        <v>00000000</v>
      </c>
      <c r="AG21" t="str">
        <f t="shared" si="29"/>
        <v>00000000</v>
      </c>
      <c r="AH21" t="str">
        <f t="shared" si="29"/>
        <v>00000000</v>
      </c>
      <c r="AI21" t="str">
        <f t="shared" si="29"/>
        <v>00000000</v>
      </c>
      <c r="AJ21" t="str">
        <f t="shared" si="29"/>
        <v>00000000</v>
      </c>
      <c r="AK21" t="str">
        <f t="shared" si="29"/>
        <v>00000000</v>
      </c>
      <c r="AL21" t="str">
        <f t="shared" si="29"/>
        <v>00000000</v>
      </c>
      <c r="AM21" t="str">
        <f t="shared" si="29"/>
        <v>00000000</v>
      </c>
      <c r="AO21" t="str">
        <f t="shared" ref="AO21:AY21" si="30">CONCATENATE(AO20,AO19,AO18,AO17,AO16,AO15,AO14,AO13)</f>
        <v>00000000</v>
      </c>
      <c r="AP21" t="str">
        <f t="shared" si="30"/>
        <v>00000000</v>
      </c>
      <c r="AQ21" t="str">
        <f t="shared" si="30"/>
        <v>00000000</v>
      </c>
      <c r="AR21" t="str">
        <f t="shared" si="30"/>
        <v>00000000</v>
      </c>
      <c r="AS21" t="str">
        <f t="shared" si="30"/>
        <v>00000000</v>
      </c>
      <c r="AT21" t="str">
        <f t="shared" si="30"/>
        <v>00000000</v>
      </c>
      <c r="AU21" t="str">
        <f t="shared" si="30"/>
        <v>00000000</v>
      </c>
      <c r="AV21" t="str">
        <f t="shared" si="30"/>
        <v>00000000</v>
      </c>
      <c r="AW21" t="str">
        <f t="shared" si="30"/>
        <v>00000000</v>
      </c>
      <c r="AX21" t="str">
        <f t="shared" si="30"/>
        <v>00000000</v>
      </c>
      <c r="AY21" t="str">
        <f t="shared" si="30"/>
        <v>00000000</v>
      </c>
      <c r="BA21" t="str">
        <f t="shared" ref="BA21:BK21" si="31">CONCATENATE(BA20,BA19,BA18,BA17,BA16,BA15,BA14,BA13)</f>
        <v>00000000</v>
      </c>
      <c r="BB21" t="str">
        <f t="shared" si="31"/>
        <v>00000000</v>
      </c>
      <c r="BC21" t="str">
        <f t="shared" si="31"/>
        <v>00000000</v>
      </c>
      <c r="BD21" t="str">
        <f t="shared" si="31"/>
        <v>00000000</v>
      </c>
      <c r="BE21" t="str">
        <f t="shared" si="31"/>
        <v>00000000</v>
      </c>
      <c r="BF21" t="str">
        <f t="shared" si="31"/>
        <v>00000000</v>
      </c>
      <c r="BG21" t="str">
        <f t="shared" si="31"/>
        <v>00000000</v>
      </c>
      <c r="BH21" t="str">
        <f t="shared" si="31"/>
        <v>00000000</v>
      </c>
      <c r="BI21" t="str">
        <f t="shared" si="31"/>
        <v>00000000</v>
      </c>
      <c r="BJ21" t="str">
        <f t="shared" si="31"/>
        <v>00000000</v>
      </c>
      <c r="BK21" t="str">
        <f t="shared" si="31"/>
        <v>00000000</v>
      </c>
    </row>
    <row r="22" spans="1:63" x14ac:dyDescent="0.25">
      <c r="A22" s="2"/>
      <c r="B22" s="2" t="s">
        <v>16</v>
      </c>
      <c r="E22" t="str">
        <f t="shared" ref="E22:AA22" si="32">CONCATENATE(BIN2HEX(E21,2))</f>
        <v>80</v>
      </c>
      <c r="F22" t="str">
        <f t="shared" si="32"/>
        <v>E0</v>
      </c>
      <c r="G22" t="str">
        <f t="shared" si="32"/>
        <v>E4</v>
      </c>
      <c r="H22" t="str">
        <f t="shared" si="32"/>
        <v>E4</v>
      </c>
      <c r="I22" t="str">
        <f t="shared" si="32"/>
        <v>64</v>
      </c>
      <c r="J22" t="str">
        <f t="shared" si="32"/>
        <v>E4</v>
      </c>
      <c r="K22" t="str">
        <f t="shared" si="32"/>
        <v>E4</v>
      </c>
      <c r="L22" t="str">
        <f t="shared" si="32"/>
        <v>E4</v>
      </c>
      <c r="M22" t="str">
        <f t="shared" si="32"/>
        <v>E4</v>
      </c>
      <c r="N22" t="str">
        <f t="shared" si="32"/>
        <v>E4</v>
      </c>
      <c r="O22" t="str">
        <f t="shared" si="32"/>
        <v>E4</v>
      </c>
      <c r="Q22" t="str">
        <f t="shared" si="32"/>
        <v>1B</v>
      </c>
      <c r="R22" t="str">
        <f t="shared" si="32"/>
        <v>1B</v>
      </c>
      <c r="S22" t="str">
        <f t="shared" si="32"/>
        <v>1B</v>
      </c>
      <c r="T22" t="str">
        <f t="shared" si="32"/>
        <v>1B</v>
      </c>
      <c r="U22" t="str">
        <f t="shared" si="32"/>
        <v>1B</v>
      </c>
      <c r="V22" t="str">
        <f t="shared" si="32"/>
        <v>1B</v>
      </c>
      <c r="W22" t="str">
        <f t="shared" si="32"/>
        <v>1B</v>
      </c>
      <c r="X22" t="str">
        <f t="shared" si="32"/>
        <v>1B</v>
      </c>
      <c r="Y22" t="str">
        <f t="shared" si="32"/>
        <v>1B</v>
      </c>
      <c r="Z22" t="str">
        <f t="shared" si="32"/>
        <v>1B</v>
      </c>
      <c r="AA22" t="str">
        <f t="shared" si="32"/>
        <v>1B</v>
      </c>
      <c r="AC22" t="str">
        <f t="shared" ref="AC22:AM22" si="33">CONCATENATE(BIN2HEX(AC21,2))</f>
        <v>00</v>
      </c>
      <c r="AD22" t="str">
        <f t="shared" si="33"/>
        <v>00</v>
      </c>
      <c r="AE22" t="str">
        <f t="shared" si="33"/>
        <v>00</v>
      </c>
      <c r="AF22" t="str">
        <f t="shared" si="33"/>
        <v>00</v>
      </c>
      <c r="AG22" t="str">
        <f t="shared" si="33"/>
        <v>00</v>
      </c>
      <c r="AH22" t="str">
        <f t="shared" si="33"/>
        <v>00</v>
      </c>
      <c r="AI22" t="str">
        <f t="shared" si="33"/>
        <v>00</v>
      </c>
      <c r="AJ22" t="str">
        <f t="shared" si="33"/>
        <v>00</v>
      </c>
      <c r="AK22" t="str">
        <f t="shared" si="33"/>
        <v>00</v>
      </c>
      <c r="AL22" t="str">
        <f t="shared" si="33"/>
        <v>00</v>
      </c>
      <c r="AM22" t="str">
        <f t="shared" si="33"/>
        <v>00</v>
      </c>
      <c r="AO22" t="str">
        <f t="shared" ref="AO22:AY22" si="34">CONCATENATE(BIN2HEX(AO21,2))</f>
        <v>00</v>
      </c>
      <c r="AP22" t="str">
        <f t="shared" si="34"/>
        <v>00</v>
      </c>
      <c r="AQ22" t="str">
        <f t="shared" si="34"/>
        <v>00</v>
      </c>
      <c r="AR22" t="str">
        <f t="shared" si="34"/>
        <v>00</v>
      </c>
      <c r="AS22" t="str">
        <f t="shared" si="34"/>
        <v>00</v>
      </c>
      <c r="AT22" t="str">
        <f t="shared" si="34"/>
        <v>00</v>
      </c>
      <c r="AU22" t="str">
        <f t="shared" si="34"/>
        <v>00</v>
      </c>
      <c r="AV22" t="str">
        <f t="shared" si="34"/>
        <v>00</v>
      </c>
      <c r="AW22" t="str">
        <f t="shared" si="34"/>
        <v>00</v>
      </c>
      <c r="AX22" t="str">
        <f t="shared" si="34"/>
        <v>00</v>
      </c>
      <c r="AY22" t="str">
        <f t="shared" si="34"/>
        <v>00</v>
      </c>
      <c r="BA22" t="str">
        <f t="shared" ref="BA22:BK22" si="35">CONCATENATE(BIN2HEX(BA21,2))</f>
        <v>00</v>
      </c>
      <c r="BB22" t="str">
        <f t="shared" si="35"/>
        <v>00</v>
      </c>
      <c r="BC22" t="str">
        <f t="shared" si="35"/>
        <v>00</v>
      </c>
      <c r="BD22" t="str">
        <f t="shared" si="35"/>
        <v>00</v>
      </c>
      <c r="BE22" t="str">
        <f t="shared" si="35"/>
        <v>00</v>
      </c>
      <c r="BF22" t="str">
        <f t="shared" si="35"/>
        <v>00</v>
      </c>
      <c r="BG22" t="str">
        <f t="shared" si="35"/>
        <v>00</v>
      </c>
      <c r="BH22" t="str">
        <f t="shared" si="35"/>
        <v>00</v>
      </c>
      <c r="BI22" t="str">
        <f t="shared" si="35"/>
        <v>00</v>
      </c>
      <c r="BJ22" t="str">
        <f t="shared" si="35"/>
        <v>00</v>
      </c>
      <c r="BK22" t="str">
        <f t="shared" si="35"/>
        <v>00</v>
      </c>
    </row>
    <row r="23" spans="1:63" x14ac:dyDescent="0.25">
      <c r="A23" s="2"/>
      <c r="B23" s="2"/>
      <c r="D23" s="13" t="s">
        <v>215</v>
      </c>
      <c r="E23" t="str">
        <f t="shared" ref="E23:O23" si="36">CONCATENATE("0x",E22,E11)</f>
        <v>0x8000</v>
      </c>
      <c r="F23" t="str">
        <f t="shared" si="36"/>
        <v>0xE000</v>
      </c>
      <c r="G23" t="str">
        <f t="shared" si="36"/>
        <v>0xE401</v>
      </c>
      <c r="H23" t="str">
        <f t="shared" si="36"/>
        <v>0xE401</v>
      </c>
      <c r="I23" t="str">
        <f t="shared" si="36"/>
        <v>0x6401</v>
      </c>
      <c r="J23" t="str">
        <f t="shared" si="36"/>
        <v>0xE401</v>
      </c>
      <c r="K23" t="str">
        <f t="shared" si="36"/>
        <v>0xE401</v>
      </c>
      <c r="L23" t="str">
        <f t="shared" si="36"/>
        <v>0xE401</v>
      </c>
      <c r="M23" t="str">
        <f t="shared" si="36"/>
        <v>0xE401</v>
      </c>
      <c r="N23" t="str">
        <f t="shared" si="36"/>
        <v>0xE401</v>
      </c>
      <c r="O23" t="str">
        <f t="shared" si="36"/>
        <v>0xE401</v>
      </c>
      <c r="Q23" t="str">
        <f t="shared" ref="Q23:AA23" si="37">CONCATENATE("0x",Q22,Q11)</f>
        <v>0x1BFE</v>
      </c>
      <c r="R23" t="str">
        <f t="shared" si="37"/>
        <v>0x1BFE</v>
      </c>
      <c r="S23" t="str">
        <f t="shared" si="37"/>
        <v>0x1BFE</v>
      </c>
      <c r="T23" t="str">
        <f t="shared" si="37"/>
        <v>0x1BFE</v>
      </c>
      <c r="U23" t="str">
        <f t="shared" si="37"/>
        <v>0x1BFE</v>
      </c>
      <c r="V23" t="str">
        <f t="shared" si="37"/>
        <v>0x1BFE</v>
      </c>
      <c r="W23" t="str">
        <f t="shared" si="37"/>
        <v>0x1BFE</v>
      </c>
      <c r="X23" t="str">
        <f t="shared" si="37"/>
        <v>0x1BFE</v>
      </c>
      <c r="Y23" t="str">
        <f t="shared" si="37"/>
        <v>0x1BFE</v>
      </c>
      <c r="Z23" t="str">
        <f t="shared" si="37"/>
        <v>0x1BFE</v>
      </c>
      <c r="AA23" t="str">
        <f t="shared" si="37"/>
        <v>0x1BFE</v>
      </c>
      <c r="AC23" t="str">
        <f t="shared" ref="AC23:BK23" si="38">CONCATENATE("0x",AC22,AC11)</f>
        <v>0x0000</v>
      </c>
      <c r="AD23" t="str">
        <f t="shared" si="38"/>
        <v>0x0000</v>
      </c>
      <c r="AE23" t="str">
        <f t="shared" si="38"/>
        <v>0x0000</v>
      </c>
      <c r="AF23" t="str">
        <f t="shared" si="38"/>
        <v>0x0000</v>
      </c>
      <c r="AG23" t="str">
        <f t="shared" si="38"/>
        <v>0x0000</v>
      </c>
      <c r="AH23" t="str">
        <f t="shared" si="38"/>
        <v>0x0000</v>
      </c>
      <c r="AI23" t="str">
        <f t="shared" si="38"/>
        <v>0x0000</v>
      </c>
      <c r="AJ23" t="str">
        <f t="shared" si="38"/>
        <v>0x0000</v>
      </c>
      <c r="AK23" t="str">
        <f t="shared" si="38"/>
        <v>0x0000</v>
      </c>
      <c r="AL23" t="str">
        <f t="shared" si="38"/>
        <v>0x0000</v>
      </c>
      <c r="AM23" t="str">
        <f t="shared" si="38"/>
        <v>0x0000</v>
      </c>
      <c r="AO23" t="str">
        <f t="shared" si="38"/>
        <v>0x0000</v>
      </c>
      <c r="AP23" t="str">
        <f t="shared" si="38"/>
        <v>0x0000</v>
      </c>
      <c r="AQ23" t="str">
        <f t="shared" si="38"/>
        <v>0x0000</v>
      </c>
      <c r="AR23" t="str">
        <f t="shared" si="38"/>
        <v>0x0000</v>
      </c>
      <c r="AS23" t="str">
        <f t="shared" si="38"/>
        <v>0x0000</v>
      </c>
      <c r="AT23" t="str">
        <f t="shared" si="38"/>
        <v>0x0000</v>
      </c>
      <c r="AU23" t="str">
        <f t="shared" si="38"/>
        <v>0x0000</v>
      </c>
      <c r="AV23" t="str">
        <f t="shared" si="38"/>
        <v>0x0000</v>
      </c>
      <c r="AW23" t="str">
        <f t="shared" si="38"/>
        <v>0x0000</v>
      </c>
      <c r="AX23" t="str">
        <f t="shared" si="38"/>
        <v>0x0000</v>
      </c>
      <c r="AY23" t="str">
        <f t="shared" si="38"/>
        <v>0x0000</v>
      </c>
      <c r="BA23" t="str">
        <f t="shared" si="38"/>
        <v>0x0000</v>
      </c>
      <c r="BB23" t="str">
        <f t="shared" si="38"/>
        <v>0x0000</v>
      </c>
      <c r="BC23" t="str">
        <f t="shared" si="38"/>
        <v>0x0000</v>
      </c>
      <c r="BD23" t="str">
        <f t="shared" si="38"/>
        <v>0x0000</v>
      </c>
      <c r="BE23" t="str">
        <f t="shared" si="38"/>
        <v>0x0000</v>
      </c>
      <c r="BF23" t="str">
        <f t="shared" si="38"/>
        <v>0x0000</v>
      </c>
      <c r="BG23" t="str">
        <f t="shared" si="38"/>
        <v>0x0000</v>
      </c>
      <c r="BH23" t="str">
        <f t="shared" si="38"/>
        <v>0x0000</v>
      </c>
      <c r="BI23" t="str">
        <f t="shared" si="38"/>
        <v>0x0000</v>
      </c>
      <c r="BJ23" t="str">
        <f t="shared" si="38"/>
        <v>0x0000</v>
      </c>
      <c r="BK23" t="str">
        <f t="shared" si="38"/>
        <v>0x0000</v>
      </c>
    </row>
    <row r="24" spans="1:63" x14ac:dyDescent="0.25">
      <c r="A24" s="2"/>
      <c r="B24" s="2"/>
      <c r="D24" s="13" t="s">
        <v>216</v>
      </c>
      <c r="E24" t="str">
        <f>Q23</f>
        <v>0x1BFE</v>
      </c>
      <c r="F24" t="str">
        <f>R23</f>
        <v>0x1BFE</v>
      </c>
      <c r="G24" t="str">
        <f t="shared" ref="G24:O24" si="39">S23</f>
        <v>0x1BFE</v>
      </c>
      <c r="H24" t="str">
        <f t="shared" si="39"/>
        <v>0x1BFE</v>
      </c>
      <c r="I24" t="str">
        <f t="shared" si="39"/>
        <v>0x1BFE</v>
      </c>
      <c r="J24" t="str">
        <f t="shared" si="39"/>
        <v>0x1BFE</v>
      </c>
      <c r="K24" t="str">
        <f t="shared" si="39"/>
        <v>0x1BFE</v>
      </c>
      <c r="L24" t="str">
        <f t="shared" si="39"/>
        <v>0x1BFE</v>
      </c>
      <c r="M24" t="str">
        <f t="shared" si="39"/>
        <v>0x1BFE</v>
      </c>
      <c r="N24" t="str">
        <f t="shared" si="39"/>
        <v>0x1BFE</v>
      </c>
      <c r="O24" t="str">
        <f t="shared" si="39"/>
        <v>0x1BFE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0x0000</v>
      </c>
      <c r="F25" t="str">
        <f t="shared" ref="F25:O25" si="40">AD23</f>
        <v>0x0000</v>
      </c>
      <c r="G25" t="str">
        <f t="shared" si="40"/>
        <v>0x0000</v>
      </c>
      <c r="H25" t="str">
        <f t="shared" si="40"/>
        <v>0x0000</v>
      </c>
      <c r="I25" t="str">
        <f t="shared" si="40"/>
        <v>0x0000</v>
      </c>
      <c r="J25" t="str">
        <f t="shared" si="40"/>
        <v>0x0000</v>
      </c>
      <c r="K25" t="str">
        <f t="shared" si="40"/>
        <v>0x0000</v>
      </c>
      <c r="L25" t="str">
        <f t="shared" si="40"/>
        <v>0x0000</v>
      </c>
      <c r="M25" t="str">
        <f t="shared" si="40"/>
        <v>0x0000</v>
      </c>
      <c r="N25" t="str">
        <f t="shared" si="40"/>
        <v>0x0000</v>
      </c>
      <c r="O25" t="str">
        <f t="shared" si="40"/>
        <v>0x0000</v>
      </c>
    </row>
    <row r="26" spans="1:63" x14ac:dyDescent="0.25">
      <c r="A26" s="2" t="s">
        <v>42</v>
      </c>
      <c r="B26" s="11" t="s">
        <v>36</v>
      </c>
      <c r="C26" s="10" t="s">
        <v>203</v>
      </c>
      <c r="D26" s="13" t="s">
        <v>209</v>
      </c>
      <c r="E26" t="str">
        <f>AO23</f>
        <v>0x0000</v>
      </c>
      <c r="F26" t="str">
        <f t="shared" ref="F26:O26" si="41">AP23</f>
        <v>0x0000</v>
      </c>
      <c r="G26" t="str">
        <f t="shared" si="41"/>
        <v>0x0000</v>
      </c>
      <c r="H26" t="str">
        <f t="shared" si="41"/>
        <v>0x0000</v>
      </c>
      <c r="I26" t="str">
        <f t="shared" si="41"/>
        <v>0x0000</v>
      </c>
      <c r="J26" t="str">
        <f t="shared" si="41"/>
        <v>0x0000</v>
      </c>
      <c r="K26" t="str">
        <f t="shared" si="41"/>
        <v>0x0000</v>
      </c>
      <c r="L26" t="str">
        <f t="shared" si="41"/>
        <v>0x0000</v>
      </c>
      <c r="M26" t="str">
        <f t="shared" si="41"/>
        <v>0x0000</v>
      </c>
      <c r="N26" t="str">
        <f t="shared" si="41"/>
        <v>0x0000</v>
      </c>
      <c r="O26" t="str">
        <f t="shared" si="41"/>
        <v>0x0000</v>
      </c>
    </row>
    <row r="27" spans="1:63" ht="30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2">BB23</f>
        <v>0x0000</v>
      </c>
      <c r="G27" t="str">
        <f t="shared" si="42"/>
        <v>0x0000</v>
      </c>
      <c r="H27" t="str">
        <f t="shared" si="42"/>
        <v>0x0000</v>
      </c>
      <c r="I27" t="str">
        <f t="shared" si="42"/>
        <v>0x0000</v>
      </c>
      <c r="J27" t="str">
        <f t="shared" si="42"/>
        <v>0x0000</v>
      </c>
      <c r="K27" t="str">
        <f t="shared" si="42"/>
        <v>0x0000</v>
      </c>
      <c r="L27" t="str">
        <f t="shared" si="42"/>
        <v>0x0000</v>
      </c>
      <c r="M27" t="str">
        <f t="shared" si="42"/>
        <v>0x0000</v>
      </c>
      <c r="N27" t="str">
        <f t="shared" si="42"/>
        <v>0x0000</v>
      </c>
      <c r="O27" t="str">
        <f t="shared" si="42"/>
        <v>0x0000</v>
      </c>
    </row>
    <row r="28" spans="1:63" x14ac:dyDescent="0.25">
      <c r="A28" s="1" t="s">
        <v>37</v>
      </c>
      <c r="B28" s="2">
        <v>10</v>
      </c>
    </row>
    <row r="29" spans="1:63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221</v>
      </c>
    </row>
    <row r="31" spans="1:63" x14ac:dyDescent="0.25">
      <c r="A31" s="4" t="str">
        <f ca="1">CONCATENATE("#",C$26,":",INDIRECT(H33))</f>
        <v>#I2C_Expander_10:wartość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0x20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0x1BFE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0x8000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#I2C_Expander_10:etap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0x20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0x1BFE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0xE000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3">INDIRECT(H57)</f>
        <v>0x0000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4">INDIRECT(G58)</f>
        <v>#pins_int</v>
      </c>
      <c r="B58" s="4" t="str">
        <f t="shared" ca="1" si="43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4"/>
        <v>#pins_def_val</v>
      </c>
      <c r="B59" s="4" t="str">
        <f t="shared" ca="1" si="43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#I2C_Expander_10:etap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0x20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0x1BFE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0xE401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5">INDIRECT(H77)</f>
        <v>0x0000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6">INDIRECT(G78)</f>
        <v>#pins_int</v>
      </c>
      <c r="B78" s="4" t="str">
        <f t="shared" ca="1" si="45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6"/>
        <v>#pins_def_val</v>
      </c>
      <c r="B79" s="4" t="str">
        <f t="shared" ca="1" si="45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#I2C_Expander_10:etap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0x20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0x1BFE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0xE401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7">INDIRECT(H97)</f>
        <v>0x0000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8">INDIRECT(G98)</f>
        <v>#pins_int</v>
      </c>
      <c r="B98" s="4" t="str">
        <f t="shared" ca="1" si="47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8"/>
        <v>#pins_def_val</v>
      </c>
      <c r="B99" s="4" t="str">
        <f t="shared" ca="1" si="47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#I2C_Expander_10:etap 4 złacze En_SPI_PCIE2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0x20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0x1BFE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0x6401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9">INDIRECT(H117)</f>
        <v>0x0000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50">INDIRECT(G118)</f>
        <v>#pins_int</v>
      </c>
      <c r="B118" s="4" t="str">
        <f t="shared" ca="1" si="49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50"/>
        <v>#pins_def_val</v>
      </c>
      <c r="B119" s="4" t="str">
        <f t="shared" ca="1" si="49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#I2C_Expander_10:etap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0x20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0x1BFE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0xE401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51">INDIRECT(H137)</f>
        <v>0x0000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2">INDIRECT(G138)</f>
        <v>#pins_int</v>
      </c>
      <c r="B138" s="4" t="str">
        <f t="shared" ca="1" si="51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2"/>
        <v>#pins_def_val</v>
      </c>
      <c r="B139" s="4" t="str">
        <f t="shared" ca="1" si="51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#I2C_Expander_10:etap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0x20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0x1BFE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0xE401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3">INDIRECT(H157)</f>
        <v>0x0000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4">INDIRECT(G158)</f>
        <v>#pins_int</v>
      </c>
      <c r="B158" s="4" t="str">
        <f t="shared" ca="1" si="53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4"/>
        <v>#pins_def_val</v>
      </c>
      <c r="B159" s="4" t="str">
        <f t="shared" ca="1" si="53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#I2C_Expander_10:etap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0x20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0x1BFE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0xE401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5">INDIRECT(H177)</f>
        <v>0x0000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6">INDIRECT(G178)</f>
        <v>#pins_int</v>
      </c>
      <c r="B178" s="4" t="str">
        <f t="shared" ca="1" si="55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6"/>
        <v>#pins_def_val</v>
      </c>
      <c r="B179" s="4" t="str">
        <f t="shared" ca="1" si="55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#I2C_Expander_10:etap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0x20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0x1BFE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0xE401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7">INDIRECT(H197)</f>
        <v>0x0000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8">INDIRECT(G198)</f>
        <v>#pins_int</v>
      </c>
      <c r="B198" s="4" t="str">
        <f t="shared" ca="1" si="57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8"/>
        <v>#pins_def_val</v>
      </c>
      <c r="B199" s="4" t="str">
        <f t="shared" ca="1" si="57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#I2C_Expander_10:etap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0x20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0x1BFE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0xE401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9">INDIRECT(H217)</f>
        <v>0x0000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60">INDIRECT(G218)</f>
        <v>#pins_int</v>
      </c>
      <c r="B218" s="4" t="str">
        <f t="shared" ca="1" si="59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60"/>
        <v>#pins_def_val</v>
      </c>
      <c r="B219" s="4" t="str">
        <f t="shared" ca="1" si="59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#I2C_Expander_10:etap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0x20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0x1BFE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0xE401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61">INDIRECT(H237)</f>
        <v>0x0000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2">INDIRECT(G238)</f>
        <v>#pins_int</v>
      </c>
      <c r="B238" s="4" t="str">
        <f t="shared" ca="1" si="61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2"/>
        <v>#pins_def_val</v>
      </c>
      <c r="B239" s="4" t="str">
        <f t="shared" ca="1" si="61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Q19" sqref="Q19"/>
    </sheetView>
  </sheetViews>
  <sheetFormatPr defaultRowHeight="15" x14ac:dyDescent="0.25"/>
  <cols>
    <col min="1" max="1" width="18.5703125" customWidth="1"/>
    <col min="3" max="3" width="33.85546875" bestFit="1" customWidth="1"/>
    <col min="4" max="4" width="48.7109375" bestFit="1" customWidth="1"/>
    <col min="11" max="11" width="16.140625" customWidth="1"/>
    <col min="17" max="17" width="13.140625" customWidth="1"/>
    <col min="18" max="27" width="10.85546875" customWidth="1"/>
    <col min="28" max="28" width="13.14062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2" t="s">
        <v>1</v>
      </c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257</v>
      </c>
      <c r="I1" s="1" t="s">
        <v>258</v>
      </c>
      <c r="J1" s="1" t="s">
        <v>418</v>
      </c>
      <c r="K1" s="1" t="s">
        <v>424</v>
      </c>
      <c r="L1" s="1" t="s">
        <v>431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/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1" t="s">
        <v>290</v>
      </c>
      <c r="C2" s="10" t="s">
        <v>322</v>
      </c>
      <c r="D2" s="10" t="s">
        <v>323</v>
      </c>
      <c r="E2" s="10">
        <v>1</v>
      </c>
      <c r="F2" s="10">
        <v>1</v>
      </c>
      <c r="G2" s="10">
        <v>1</v>
      </c>
      <c r="H2" s="10">
        <f>G2</f>
        <v>1</v>
      </c>
      <c r="I2" s="10">
        <f t="shared" ref="I2:O2" si="0">H2</f>
        <v>1</v>
      </c>
      <c r="J2" s="10">
        <f t="shared" si="0"/>
        <v>1</v>
      </c>
      <c r="K2" s="10">
        <v>0</v>
      </c>
      <c r="L2" s="10"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1" t="s">
        <v>291</v>
      </c>
      <c r="C3" s="10" t="s">
        <v>324</v>
      </c>
      <c r="D3" s="10" t="s">
        <v>325</v>
      </c>
      <c r="E3" s="10">
        <v>0</v>
      </c>
      <c r="F3" s="10">
        <v>1</v>
      </c>
      <c r="G3" s="10">
        <v>1</v>
      </c>
      <c r="H3" s="10">
        <f t="shared" ref="H3:O9" si="5">G3</f>
        <v>1</v>
      </c>
      <c r="I3" s="10">
        <f t="shared" si="5"/>
        <v>1</v>
      </c>
      <c r="J3" s="10">
        <f t="shared" si="5"/>
        <v>1</v>
      </c>
      <c r="K3" s="10">
        <f t="shared" si="5"/>
        <v>1</v>
      </c>
      <c r="L3" s="10">
        <f t="shared" si="5"/>
        <v>1</v>
      </c>
      <c r="M3" s="10">
        <f t="shared" si="5"/>
        <v>1</v>
      </c>
      <c r="N3" s="10">
        <f t="shared" si="5"/>
        <v>1</v>
      </c>
      <c r="O3" s="10">
        <f t="shared" si="5"/>
        <v>1</v>
      </c>
      <c r="Q3" s="10">
        <v>0</v>
      </c>
      <c r="R3" s="10">
        <f t="shared" ref="R3:AA9" si="6">Q3</f>
        <v>0</v>
      </c>
      <c r="S3" s="10">
        <f t="shared" si="6"/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1" t="s">
        <v>292</v>
      </c>
      <c r="C4" s="10" t="s">
        <v>326</v>
      </c>
      <c r="D4" s="10" t="s">
        <v>327</v>
      </c>
      <c r="E4" s="10">
        <v>0</v>
      </c>
      <c r="F4" s="10">
        <v>0</v>
      </c>
      <c r="G4" s="10">
        <v>1</v>
      </c>
      <c r="H4" s="10">
        <f t="shared" si="5"/>
        <v>1</v>
      </c>
      <c r="I4" s="10">
        <f t="shared" si="5"/>
        <v>1</v>
      </c>
      <c r="J4" s="10">
        <f t="shared" si="5"/>
        <v>1</v>
      </c>
      <c r="K4" s="10">
        <f t="shared" si="5"/>
        <v>1</v>
      </c>
      <c r="L4" s="10">
        <f t="shared" si="5"/>
        <v>1</v>
      </c>
      <c r="M4" s="10">
        <f t="shared" si="5"/>
        <v>1</v>
      </c>
      <c r="N4" s="10">
        <f t="shared" si="5"/>
        <v>1</v>
      </c>
      <c r="O4" s="10">
        <f t="shared" si="5"/>
        <v>1</v>
      </c>
      <c r="Q4" s="10">
        <v>0</v>
      </c>
      <c r="R4" s="10">
        <f t="shared" si="6"/>
        <v>0</v>
      </c>
      <c r="S4" s="10">
        <f t="shared" si="6"/>
        <v>0</v>
      </c>
      <c r="T4" s="10">
        <f t="shared" si="6"/>
        <v>0</v>
      </c>
      <c r="U4" s="10">
        <f t="shared" si="6"/>
        <v>0</v>
      </c>
      <c r="V4" s="10">
        <f t="shared" si="6"/>
        <v>0</v>
      </c>
      <c r="W4" s="10">
        <f t="shared" si="6"/>
        <v>0</v>
      </c>
      <c r="X4" s="10">
        <f t="shared" si="6"/>
        <v>0</v>
      </c>
      <c r="Y4" s="10">
        <f t="shared" si="6"/>
        <v>0</v>
      </c>
      <c r="Z4" s="10">
        <f t="shared" si="6"/>
        <v>0</v>
      </c>
      <c r="AA4" s="10">
        <f t="shared" si="6"/>
        <v>0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1" t="s">
        <v>293</v>
      </c>
      <c r="C5" s="10" t="s">
        <v>328</v>
      </c>
      <c r="D5" s="10" t="s">
        <v>329</v>
      </c>
      <c r="E5" s="10">
        <v>1</v>
      </c>
      <c r="F5" s="10">
        <v>1</v>
      </c>
      <c r="G5" s="10">
        <v>1</v>
      </c>
      <c r="H5" s="10">
        <f t="shared" si="5"/>
        <v>1</v>
      </c>
      <c r="I5" s="10">
        <f t="shared" si="5"/>
        <v>1</v>
      </c>
      <c r="J5" s="10"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0</v>
      </c>
      <c r="R5" s="10">
        <f t="shared" si="6"/>
        <v>0</v>
      </c>
      <c r="S5" s="10">
        <f t="shared" si="6"/>
        <v>0</v>
      </c>
      <c r="T5" s="10">
        <f t="shared" si="6"/>
        <v>0</v>
      </c>
      <c r="U5" s="10">
        <f t="shared" si="6"/>
        <v>0</v>
      </c>
      <c r="V5" s="10">
        <f t="shared" si="6"/>
        <v>0</v>
      </c>
      <c r="W5" s="10">
        <f t="shared" si="6"/>
        <v>0</v>
      </c>
      <c r="X5" s="10">
        <f t="shared" si="6"/>
        <v>0</v>
      </c>
      <c r="Y5" s="10">
        <f t="shared" si="6"/>
        <v>0</v>
      </c>
      <c r="Z5" s="10">
        <f t="shared" si="6"/>
        <v>0</v>
      </c>
      <c r="AA5" s="10">
        <f t="shared" si="6"/>
        <v>0</v>
      </c>
      <c r="AC5" s="10">
        <v>0</v>
      </c>
      <c r="AD5" s="10">
        <f t="shared" si="7"/>
        <v>0</v>
      </c>
      <c r="AE5" s="10">
        <f t="shared" si="7"/>
        <v>0</v>
      </c>
      <c r="AF5" s="10">
        <f t="shared" si="7"/>
        <v>0</v>
      </c>
      <c r="AG5" s="10">
        <f t="shared" si="7"/>
        <v>0</v>
      </c>
      <c r="AH5" s="10">
        <f t="shared" si="7"/>
        <v>0</v>
      </c>
      <c r="AI5" s="10">
        <f t="shared" si="7"/>
        <v>0</v>
      </c>
      <c r="AJ5" s="10">
        <f t="shared" si="7"/>
        <v>0</v>
      </c>
      <c r="AK5" s="10">
        <f t="shared" si="7"/>
        <v>0</v>
      </c>
      <c r="AL5" s="10">
        <f t="shared" si="7"/>
        <v>0</v>
      </c>
      <c r="AM5" s="10">
        <f t="shared" si="7"/>
        <v>0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1" t="s">
        <v>294</v>
      </c>
      <c r="C6" s="10" t="s">
        <v>118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1" t="s">
        <v>295</v>
      </c>
      <c r="C7" s="10" t="s">
        <v>330</v>
      </c>
      <c r="D7" s="10" t="s">
        <v>331</v>
      </c>
      <c r="E7" s="10">
        <v>1</v>
      </c>
      <c r="F7" s="10">
        <v>1</v>
      </c>
      <c r="G7" s="10">
        <v>1</v>
      </c>
      <c r="H7" s="10">
        <v>0</v>
      </c>
      <c r="I7" s="10">
        <v>1</v>
      </c>
      <c r="J7" s="10">
        <f t="shared" si="5"/>
        <v>1</v>
      </c>
      <c r="K7" s="10">
        <f t="shared" si="5"/>
        <v>1</v>
      </c>
      <c r="L7" s="10">
        <f t="shared" si="5"/>
        <v>1</v>
      </c>
      <c r="M7" s="10">
        <f t="shared" si="5"/>
        <v>1</v>
      </c>
      <c r="N7" s="10">
        <f t="shared" si="5"/>
        <v>1</v>
      </c>
      <c r="O7" s="10">
        <f t="shared" si="5"/>
        <v>1</v>
      </c>
      <c r="Q7" s="10">
        <v>0</v>
      </c>
      <c r="R7" s="10">
        <f t="shared" si="6"/>
        <v>0</v>
      </c>
      <c r="S7" s="10">
        <f t="shared" si="6"/>
        <v>0</v>
      </c>
      <c r="T7" s="10">
        <f t="shared" si="6"/>
        <v>0</v>
      </c>
      <c r="U7" s="10">
        <f t="shared" si="6"/>
        <v>0</v>
      </c>
      <c r="V7" s="10">
        <f t="shared" si="6"/>
        <v>0</v>
      </c>
      <c r="W7" s="10">
        <f t="shared" si="6"/>
        <v>0</v>
      </c>
      <c r="X7" s="10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1" t="s">
        <v>296</v>
      </c>
      <c r="C8" s="10" t="s">
        <v>118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si="6"/>
        <v>1</v>
      </c>
      <c r="S8" s="10">
        <f t="shared" si="6"/>
        <v>1</v>
      </c>
      <c r="T8" s="10">
        <f t="shared" si="6"/>
        <v>1</v>
      </c>
      <c r="U8" s="10">
        <f t="shared" si="6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C8" s="10">
        <v>0</v>
      </c>
      <c r="AD8" s="10">
        <f t="shared" si="7"/>
        <v>0</v>
      </c>
      <c r="AE8" s="10">
        <f t="shared" si="7"/>
        <v>0</v>
      </c>
      <c r="AF8" s="10">
        <f t="shared" si="7"/>
        <v>0</v>
      </c>
      <c r="AG8" s="10">
        <f t="shared" si="7"/>
        <v>0</v>
      </c>
      <c r="AH8" s="10">
        <f t="shared" si="7"/>
        <v>0</v>
      </c>
      <c r="AI8" s="10">
        <f t="shared" si="7"/>
        <v>0</v>
      </c>
      <c r="AJ8" s="10">
        <f t="shared" si="7"/>
        <v>0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1" t="s">
        <v>297</v>
      </c>
      <c r="C9" s="10" t="s">
        <v>332</v>
      </c>
      <c r="E9" s="10">
        <v>1</v>
      </c>
      <c r="F9" s="10">
        <f t="shared" ref="F9:G9" si="10">E9</f>
        <v>1</v>
      </c>
      <c r="G9" s="10">
        <f t="shared" si="10"/>
        <v>1</v>
      </c>
      <c r="H9" s="10">
        <f t="shared" si="5"/>
        <v>1</v>
      </c>
      <c r="I9" s="10">
        <f t="shared" si="5"/>
        <v>1</v>
      </c>
      <c r="J9" s="10">
        <f t="shared" si="5"/>
        <v>1</v>
      </c>
      <c r="K9" s="10">
        <f t="shared" si="5"/>
        <v>1</v>
      </c>
      <c r="L9" s="10">
        <f t="shared" si="5"/>
        <v>1</v>
      </c>
      <c r="M9" s="10">
        <f t="shared" si="5"/>
        <v>1</v>
      </c>
      <c r="N9" s="10">
        <f t="shared" si="5"/>
        <v>1</v>
      </c>
      <c r="O9" s="10">
        <f t="shared" si="5"/>
        <v>1</v>
      </c>
      <c r="Q9" s="10">
        <v>0</v>
      </c>
      <c r="R9" s="10">
        <f t="shared" si="6"/>
        <v>0</v>
      </c>
      <c r="S9" s="10">
        <f t="shared" si="6"/>
        <v>0</v>
      </c>
      <c r="T9" s="10">
        <f t="shared" si="6"/>
        <v>0</v>
      </c>
      <c r="U9" s="10">
        <f t="shared" si="6"/>
        <v>0</v>
      </c>
      <c r="V9" s="10">
        <f t="shared" si="6"/>
        <v>0</v>
      </c>
      <c r="W9" s="10">
        <f t="shared" si="6"/>
        <v>0</v>
      </c>
      <c r="X9" s="10">
        <f t="shared" si="6"/>
        <v>0</v>
      </c>
      <c r="Y9" s="10">
        <f t="shared" si="6"/>
        <v>0</v>
      </c>
      <c r="Z9" s="10">
        <f t="shared" si="6"/>
        <v>0</v>
      </c>
      <c r="AA9" s="10">
        <f t="shared" si="6"/>
        <v>0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B10" s="2"/>
      <c r="E10" t="str">
        <f t="shared" ref="E10:AM10" si="11">CONCATENATE(E9,E8,E7,E6,E5,E4,E3,E2)</f>
        <v>10101001</v>
      </c>
      <c r="F10" t="str">
        <f t="shared" si="11"/>
        <v>10101011</v>
      </c>
      <c r="G10" t="str">
        <f t="shared" si="11"/>
        <v>10101111</v>
      </c>
      <c r="H10" t="str">
        <f t="shared" si="11"/>
        <v>10001111</v>
      </c>
      <c r="I10" t="str">
        <f t="shared" si="11"/>
        <v>10101111</v>
      </c>
      <c r="J10" t="str">
        <f t="shared" si="11"/>
        <v>10100111</v>
      </c>
      <c r="K10" t="str">
        <f t="shared" si="11"/>
        <v>10100110</v>
      </c>
      <c r="L10" t="str">
        <f t="shared" si="11"/>
        <v>10100111</v>
      </c>
      <c r="M10" t="str">
        <f t="shared" si="11"/>
        <v>10100111</v>
      </c>
      <c r="N10" t="str">
        <f t="shared" si="11"/>
        <v>10100111</v>
      </c>
      <c r="O10" t="str">
        <f t="shared" si="11"/>
        <v>10100111</v>
      </c>
      <c r="Q10" t="str">
        <f t="shared" si="11"/>
        <v>01010000</v>
      </c>
      <c r="R10" t="str">
        <f t="shared" si="11"/>
        <v>01010000</v>
      </c>
      <c r="S10" t="str">
        <f t="shared" si="11"/>
        <v>01010000</v>
      </c>
      <c r="T10" t="str">
        <f t="shared" si="11"/>
        <v>01010000</v>
      </c>
      <c r="U10" t="str">
        <f t="shared" si="11"/>
        <v>01010000</v>
      </c>
      <c r="V10" t="str">
        <f t="shared" si="11"/>
        <v>01010000</v>
      </c>
      <c r="W10" t="str">
        <f t="shared" si="11"/>
        <v>01010000</v>
      </c>
      <c r="X10" t="str">
        <f t="shared" si="11"/>
        <v>01010000</v>
      </c>
      <c r="Y10" t="str">
        <f t="shared" si="11"/>
        <v>01010000</v>
      </c>
      <c r="Z10" t="str">
        <f t="shared" si="11"/>
        <v>01010000</v>
      </c>
      <c r="AA10" t="str">
        <f t="shared" si="11"/>
        <v>01010000</v>
      </c>
      <c r="AC10" t="str">
        <f t="shared" si="11"/>
        <v>00000000</v>
      </c>
      <c r="AD10" t="str">
        <f t="shared" si="11"/>
        <v>00000000</v>
      </c>
      <c r="AE10" t="str">
        <f t="shared" si="11"/>
        <v>00000000</v>
      </c>
      <c r="AF10" t="str">
        <f t="shared" si="11"/>
        <v>00000000</v>
      </c>
      <c r="AG10" t="str">
        <f t="shared" si="11"/>
        <v>00000000</v>
      </c>
      <c r="AH10" t="str">
        <f t="shared" si="11"/>
        <v>00000000</v>
      </c>
      <c r="AI10" t="str">
        <f t="shared" si="11"/>
        <v>00000000</v>
      </c>
      <c r="AJ10" t="str">
        <f t="shared" si="11"/>
        <v>00000000</v>
      </c>
      <c r="AK10" t="str">
        <f t="shared" si="11"/>
        <v>00000000</v>
      </c>
      <c r="AL10" t="str">
        <f t="shared" si="11"/>
        <v>00000000</v>
      </c>
      <c r="AM10" t="str">
        <f t="shared" si="11"/>
        <v>00000000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B11" s="2" t="s">
        <v>4</v>
      </c>
      <c r="E11" t="str">
        <f t="shared" ref="E11:AM11" si="14">CONCATENATE(BIN2HEX(E10,2))</f>
        <v>A9</v>
      </c>
      <c r="F11" t="str">
        <f t="shared" si="14"/>
        <v>AB</v>
      </c>
      <c r="G11" t="str">
        <f t="shared" si="14"/>
        <v>AF</v>
      </c>
      <c r="H11" t="str">
        <f t="shared" si="14"/>
        <v>8F</v>
      </c>
      <c r="I11" t="str">
        <f t="shared" si="14"/>
        <v>AF</v>
      </c>
      <c r="J11" t="str">
        <f t="shared" si="14"/>
        <v>A7</v>
      </c>
      <c r="K11" t="str">
        <f t="shared" si="14"/>
        <v>A6</v>
      </c>
      <c r="L11" t="str">
        <f t="shared" si="14"/>
        <v>A7</v>
      </c>
      <c r="M11" t="str">
        <f t="shared" si="14"/>
        <v>A7</v>
      </c>
      <c r="N11" t="str">
        <f t="shared" si="14"/>
        <v>A7</v>
      </c>
      <c r="O11" t="str">
        <f t="shared" si="14"/>
        <v>A7</v>
      </c>
      <c r="Q11" t="str">
        <f t="shared" si="14"/>
        <v>50</v>
      </c>
      <c r="R11" t="str">
        <f t="shared" si="14"/>
        <v>50</v>
      </c>
      <c r="S11" t="str">
        <f t="shared" si="14"/>
        <v>50</v>
      </c>
      <c r="T11" t="str">
        <f t="shared" si="14"/>
        <v>50</v>
      </c>
      <c r="U11" t="str">
        <f t="shared" si="14"/>
        <v>50</v>
      </c>
      <c r="V11" t="str">
        <f t="shared" si="14"/>
        <v>50</v>
      </c>
      <c r="W11" t="str">
        <f t="shared" si="14"/>
        <v>50</v>
      </c>
      <c r="X11" t="str">
        <f t="shared" si="14"/>
        <v>50</v>
      </c>
      <c r="Y11" t="str">
        <f t="shared" si="14"/>
        <v>50</v>
      </c>
      <c r="Z11" t="str">
        <f t="shared" si="14"/>
        <v>50</v>
      </c>
      <c r="AA11" t="str">
        <f t="shared" si="14"/>
        <v>50</v>
      </c>
      <c r="AC11" t="str">
        <f t="shared" si="14"/>
        <v>00</v>
      </c>
      <c r="AD11" t="str">
        <f t="shared" si="14"/>
        <v>00</v>
      </c>
      <c r="AE11" t="str">
        <f t="shared" si="14"/>
        <v>00</v>
      </c>
      <c r="AF11" t="str">
        <f t="shared" si="14"/>
        <v>00</v>
      </c>
      <c r="AG11" t="str">
        <f t="shared" si="14"/>
        <v>00</v>
      </c>
      <c r="AH11" t="str">
        <f t="shared" si="14"/>
        <v>00</v>
      </c>
      <c r="AI11" t="str">
        <f t="shared" si="14"/>
        <v>00</v>
      </c>
      <c r="AJ11" t="str">
        <f t="shared" si="14"/>
        <v>00</v>
      </c>
      <c r="AK11" t="str">
        <f t="shared" si="14"/>
        <v>00</v>
      </c>
      <c r="AL11" t="str">
        <f t="shared" si="14"/>
        <v>00</v>
      </c>
      <c r="AM11" t="str">
        <f t="shared" si="14"/>
        <v>00</v>
      </c>
      <c r="AO11" t="str">
        <f t="shared" ref="AO11:AY11" si="15">CONCATENATE(BIN2HEX(AO10,2))</f>
        <v>00</v>
      </c>
      <c r="AP11" t="str">
        <f t="shared" si="15"/>
        <v>00</v>
      </c>
      <c r="AQ11" t="str">
        <f t="shared" si="15"/>
        <v>00</v>
      </c>
      <c r="AR11" t="str">
        <f t="shared" si="15"/>
        <v>00</v>
      </c>
      <c r="AS11" t="str">
        <f t="shared" si="15"/>
        <v>00</v>
      </c>
      <c r="AT11" t="str">
        <f t="shared" si="15"/>
        <v>00</v>
      </c>
      <c r="AU11" t="str">
        <f t="shared" si="15"/>
        <v>00</v>
      </c>
      <c r="AV11" t="str">
        <f t="shared" si="15"/>
        <v>00</v>
      </c>
      <c r="AW11" t="str">
        <f t="shared" si="15"/>
        <v>00</v>
      </c>
      <c r="AX11" t="str">
        <f t="shared" si="15"/>
        <v>00</v>
      </c>
      <c r="AY11" t="str">
        <f t="shared" si="15"/>
        <v>00</v>
      </c>
      <c r="BA11" t="str">
        <f t="shared" ref="BA11:BK11" si="16">CONCATENATE(BIN2HEX(BA10,2))</f>
        <v>00</v>
      </c>
      <c r="BB11" t="str">
        <f t="shared" si="16"/>
        <v>00</v>
      </c>
      <c r="BC11" t="str">
        <f t="shared" si="16"/>
        <v>00</v>
      </c>
      <c r="BD11" t="str">
        <f t="shared" si="16"/>
        <v>00</v>
      </c>
      <c r="BE11" t="str">
        <f t="shared" si="16"/>
        <v>00</v>
      </c>
      <c r="BF11" t="str">
        <f t="shared" si="16"/>
        <v>00</v>
      </c>
      <c r="BG11" t="str">
        <f t="shared" si="16"/>
        <v>00</v>
      </c>
      <c r="BH11" t="str">
        <f t="shared" si="16"/>
        <v>00</v>
      </c>
      <c r="BI11" t="str">
        <f t="shared" si="16"/>
        <v>00</v>
      </c>
      <c r="BJ11" t="str">
        <f t="shared" si="16"/>
        <v>00</v>
      </c>
      <c r="BK11" t="str">
        <f t="shared" si="16"/>
        <v>00</v>
      </c>
    </row>
    <row r="12" spans="1:63" x14ac:dyDescent="0.25">
      <c r="A12" s="2"/>
      <c r="B12" s="2"/>
    </row>
    <row r="13" spans="1:63" s="10" customFormat="1" x14ac:dyDescent="0.25">
      <c r="A13" s="11"/>
      <c r="B13" s="11" t="s">
        <v>298</v>
      </c>
      <c r="C13" s="10" t="s">
        <v>333</v>
      </c>
      <c r="D13" s="10" t="s">
        <v>334</v>
      </c>
      <c r="E13" s="10">
        <v>1</v>
      </c>
      <c r="F13" s="10">
        <v>1</v>
      </c>
      <c r="G13" s="10">
        <v>1</v>
      </c>
      <c r="H13" s="10">
        <f>G13</f>
        <v>1</v>
      </c>
      <c r="I13" s="10">
        <f t="shared" ref="I13:O13" si="17">H13</f>
        <v>1</v>
      </c>
      <c r="J13" s="10">
        <f t="shared" si="17"/>
        <v>1</v>
      </c>
      <c r="K13" s="10">
        <f t="shared" si="17"/>
        <v>1</v>
      </c>
      <c r="L13" s="10">
        <v>0</v>
      </c>
      <c r="M13" s="10">
        <v>1</v>
      </c>
      <c r="N13" s="10">
        <f t="shared" si="17"/>
        <v>1</v>
      </c>
      <c r="O13" s="10">
        <f t="shared" si="17"/>
        <v>1</v>
      </c>
      <c r="Q13" s="10">
        <v>0</v>
      </c>
      <c r="R13" s="10">
        <f>Q13</f>
        <v>0</v>
      </c>
      <c r="S13" s="10">
        <f t="shared" ref="S13:AA13" si="18">R13</f>
        <v>0</v>
      </c>
      <c r="T13" s="10">
        <f t="shared" si="18"/>
        <v>0</v>
      </c>
      <c r="U13" s="10">
        <f t="shared" si="18"/>
        <v>0</v>
      </c>
      <c r="V13" s="10">
        <f t="shared" si="18"/>
        <v>0</v>
      </c>
      <c r="W13" s="10">
        <f t="shared" si="18"/>
        <v>0</v>
      </c>
      <c r="X13" s="10">
        <f t="shared" si="18"/>
        <v>0</v>
      </c>
      <c r="Y13" s="10">
        <f t="shared" si="18"/>
        <v>0</v>
      </c>
      <c r="Z13" s="10">
        <f t="shared" si="18"/>
        <v>0</v>
      </c>
      <c r="AA13" s="10">
        <f t="shared" si="18"/>
        <v>0</v>
      </c>
      <c r="AC13" s="10">
        <v>0</v>
      </c>
      <c r="AD13" s="10">
        <f>AC13</f>
        <v>0</v>
      </c>
      <c r="AE13" s="10">
        <f t="shared" ref="AE13:AM13" si="19">AD13</f>
        <v>0</v>
      </c>
      <c r="AF13" s="10">
        <f t="shared" si="19"/>
        <v>0</v>
      </c>
      <c r="AG13" s="10">
        <f t="shared" si="19"/>
        <v>0</v>
      </c>
      <c r="AH13" s="10">
        <f t="shared" si="19"/>
        <v>0</v>
      </c>
      <c r="AI13" s="10">
        <f t="shared" si="19"/>
        <v>0</v>
      </c>
      <c r="AJ13" s="10">
        <f t="shared" si="19"/>
        <v>0</v>
      </c>
      <c r="AK13" s="10">
        <f t="shared" si="19"/>
        <v>0</v>
      </c>
      <c r="AL13" s="10">
        <f t="shared" si="19"/>
        <v>0</v>
      </c>
      <c r="AM13" s="10">
        <f t="shared" si="19"/>
        <v>0</v>
      </c>
      <c r="AO13" s="10">
        <v>0</v>
      </c>
      <c r="AP13" s="10">
        <f>AO13</f>
        <v>0</v>
      </c>
      <c r="AQ13" s="10">
        <f t="shared" ref="AQ13:AY13" si="20">AP13</f>
        <v>0</v>
      </c>
      <c r="AR13" s="10">
        <f t="shared" si="20"/>
        <v>0</v>
      </c>
      <c r="AS13" s="10">
        <f t="shared" si="20"/>
        <v>0</v>
      </c>
      <c r="AT13" s="10">
        <f t="shared" si="20"/>
        <v>0</v>
      </c>
      <c r="AU13" s="10">
        <f t="shared" si="20"/>
        <v>0</v>
      </c>
      <c r="AV13" s="10">
        <f t="shared" si="20"/>
        <v>0</v>
      </c>
      <c r="AW13" s="10">
        <f t="shared" si="20"/>
        <v>0</v>
      </c>
      <c r="AX13" s="10">
        <f t="shared" si="20"/>
        <v>0</v>
      </c>
      <c r="AY13" s="10">
        <f t="shared" si="20"/>
        <v>0</v>
      </c>
      <c r="BA13" s="10">
        <v>0</v>
      </c>
      <c r="BB13" s="10">
        <f>BA13</f>
        <v>0</v>
      </c>
      <c r="BC13" s="10">
        <f t="shared" ref="BC13:BK13" si="21">BB13</f>
        <v>0</v>
      </c>
      <c r="BD13" s="10">
        <f t="shared" si="21"/>
        <v>0</v>
      </c>
      <c r="BE13" s="10">
        <f t="shared" si="21"/>
        <v>0</v>
      </c>
      <c r="BF13" s="10">
        <f t="shared" si="21"/>
        <v>0</v>
      </c>
      <c r="BG13" s="10">
        <f t="shared" si="21"/>
        <v>0</v>
      </c>
      <c r="BH13" s="10">
        <f t="shared" si="21"/>
        <v>0</v>
      </c>
      <c r="BI13" s="10">
        <f t="shared" si="21"/>
        <v>0</v>
      </c>
      <c r="BJ13" s="10">
        <f t="shared" si="21"/>
        <v>0</v>
      </c>
      <c r="BK13" s="10">
        <f t="shared" si="21"/>
        <v>0</v>
      </c>
    </row>
    <row r="14" spans="1:63" s="10" customFormat="1" x14ac:dyDescent="0.25">
      <c r="A14" s="11"/>
      <c r="B14" s="11" t="s">
        <v>299</v>
      </c>
      <c r="C14" s="10" t="s">
        <v>335</v>
      </c>
      <c r="D14" s="10" t="s">
        <v>336</v>
      </c>
      <c r="E14" s="10">
        <v>0</v>
      </c>
      <c r="F14" s="10">
        <v>1</v>
      </c>
      <c r="G14" s="10">
        <v>1</v>
      </c>
      <c r="H14" s="10">
        <f t="shared" ref="H14:O20" si="22">G14</f>
        <v>1</v>
      </c>
      <c r="I14" s="10">
        <f t="shared" si="22"/>
        <v>1</v>
      </c>
      <c r="J14" s="10">
        <f t="shared" si="22"/>
        <v>1</v>
      </c>
      <c r="K14" s="10">
        <f t="shared" si="22"/>
        <v>1</v>
      </c>
      <c r="L14" s="10">
        <f t="shared" si="22"/>
        <v>1</v>
      </c>
      <c r="M14" s="10">
        <f t="shared" si="22"/>
        <v>1</v>
      </c>
      <c r="N14" s="10">
        <f t="shared" si="22"/>
        <v>1</v>
      </c>
      <c r="O14" s="10">
        <f t="shared" si="22"/>
        <v>1</v>
      </c>
      <c r="Q14" s="10">
        <v>0</v>
      </c>
      <c r="R14" s="10">
        <f t="shared" ref="R14:AA20" si="23">Q14</f>
        <v>0</v>
      </c>
      <c r="S14" s="10">
        <f t="shared" si="23"/>
        <v>0</v>
      </c>
      <c r="T14" s="10">
        <f t="shared" si="23"/>
        <v>0</v>
      </c>
      <c r="U14" s="10">
        <f t="shared" si="23"/>
        <v>0</v>
      </c>
      <c r="V14" s="10">
        <f t="shared" si="23"/>
        <v>0</v>
      </c>
      <c r="W14" s="10">
        <f t="shared" si="23"/>
        <v>0</v>
      </c>
      <c r="X14" s="10">
        <f t="shared" si="23"/>
        <v>0</v>
      </c>
      <c r="Y14" s="10">
        <f t="shared" si="23"/>
        <v>0</v>
      </c>
      <c r="Z14" s="10">
        <f t="shared" si="23"/>
        <v>0</v>
      </c>
      <c r="AA14" s="10">
        <f t="shared" si="23"/>
        <v>0</v>
      </c>
      <c r="AC14" s="10">
        <v>0</v>
      </c>
      <c r="AD14" s="10">
        <f t="shared" ref="AD14:AM20" si="24">AC14</f>
        <v>0</v>
      </c>
      <c r="AE14" s="10">
        <f t="shared" si="24"/>
        <v>0</v>
      </c>
      <c r="AF14" s="10">
        <f t="shared" si="24"/>
        <v>0</v>
      </c>
      <c r="AG14" s="10">
        <f t="shared" si="24"/>
        <v>0</v>
      </c>
      <c r="AH14" s="10">
        <f t="shared" si="24"/>
        <v>0</v>
      </c>
      <c r="AI14" s="10">
        <f t="shared" si="24"/>
        <v>0</v>
      </c>
      <c r="AJ14" s="10">
        <f t="shared" si="24"/>
        <v>0</v>
      </c>
      <c r="AK14" s="10">
        <f t="shared" si="24"/>
        <v>0</v>
      </c>
      <c r="AL14" s="10">
        <f t="shared" si="24"/>
        <v>0</v>
      </c>
      <c r="AM14" s="10">
        <f t="shared" si="24"/>
        <v>0</v>
      </c>
      <c r="AO14" s="10">
        <v>0</v>
      </c>
      <c r="AP14" s="10">
        <f t="shared" ref="AP14:AY20" si="25">AO14</f>
        <v>0</v>
      </c>
      <c r="AQ14" s="10">
        <f t="shared" si="25"/>
        <v>0</v>
      </c>
      <c r="AR14" s="10">
        <f t="shared" si="25"/>
        <v>0</v>
      </c>
      <c r="AS14" s="10">
        <f t="shared" si="25"/>
        <v>0</v>
      </c>
      <c r="AT14" s="10">
        <f t="shared" si="25"/>
        <v>0</v>
      </c>
      <c r="AU14" s="10">
        <f t="shared" si="25"/>
        <v>0</v>
      </c>
      <c r="AV14" s="10">
        <f t="shared" si="25"/>
        <v>0</v>
      </c>
      <c r="AW14" s="10">
        <f t="shared" si="25"/>
        <v>0</v>
      </c>
      <c r="AX14" s="10">
        <f t="shared" si="25"/>
        <v>0</v>
      </c>
      <c r="AY14" s="10">
        <f t="shared" si="25"/>
        <v>0</v>
      </c>
      <c r="BA14" s="10">
        <v>0</v>
      </c>
      <c r="BB14" s="10">
        <f t="shared" ref="BB14:BK20" si="26">BA14</f>
        <v>0</v>
      </c>
      <c r="BC14" s="10">
        <f t="shared" si="26"/>
        <v>0</v>
      </c>
      <c r="BD14" s="10">
        <f t="shared" si="26"/>
        <v>0</v>
      </c>
      <c r="BE14" s="10">
        <f t="shared" si="26"/>
        <v>0</v>
      </c>
      <c r="BF14" s="10">
        <f t="shared" si="26"/>
        <v>0</v>
      </c>
      <c r="BG14" s="10">
        <f t="shared" si="26"/>
        <v>0</v>
      </c>
      <c r="BH14" s="10">
        <f t="shared" si="26"/>
        <v>0</v>
      </c>
      <c r="BI14" s="10">
        <f t="shared" si="26"/>
        <v>0</v>
      </c>
      <c r="BJ14" s="10">
        <f t="shared" si="26"/>
        <v>0</v>
      </c>
      <c r="BK14" s="10">
        <f t="shared" si="26"/>
        <v>0</v>
      </c>
    </row>
    <row r="15" spans="1:63" s="10" customFormat="1" x14ac:dyDescent="0.25">
      <c r="A15" s="11"/>
      <c r="B15" s="11" t="s">
        <v>300</v>
      </c>
      <c r="C15" s="10" t="s">
        <v>118</v>
      </c>
      <c r="E15" s="10">
        <v>0</v>
      </c>
      <c r="F15" s="10">
        <v>0</v>
      </c>
      <c r="G15" s="10">
        <v>0</v>
      </c>
      <c r="H15" s="10">
        <f t="shared" si="22"/>
        <v>0</v>
      </c>
      <c r="I15" s="10">
        <f t="shared" si="22"/>
        <v>0</v>
      </c>
      <c r="J15" s="10">
        <f t="shared" si="22"/>
        <v>0</v>
      </c>
      <c r="K15" s="10">
        <f t="shared" si="22"/>
        <v>0</v>
      </c>
      <c r="L15" s="10">
        <f t="shared" si="22"/>
        <v>0</v>
      </c>
      <c r="M15" s="10">
        <f t="shared" si="22"/>
        <v>0</v>
      </c>
      <c r="N15" s="10">
        <f t="shared" si="22"/>
        <v>0</v>
      </c>
      <c r="O15" s="10">
        <f t="shared" si="22"/>
        <v>0</v>
      </c>
      <c r="Q15" s="10">
        <v>1</v>
      </c>
      <c r="R15" s="10">
        <f t="shared" si="23"/>
        <v>1</v>
      </c>
      <c r="S15" s="10">
        <f t="shared" si="23"/>
        <v>1</v>
      </c>
      <c r="T15" s="10">
        <f t="shared" si="23"/>
        <v>1</v>
      </c>
      <c r="U15" s="10">
        <f t="shared" si="23"/>
        <v>1</v>
      </c>
      <c r="V15" s="10">
        <f t="shared" si="23"/>
        <v>1</v>
      </c>
      <c r="W15" s="10">
        <f t="shared" si="23"/>
        <v>1</v>
      </c>
      <c r="X15" s="10">
        <f t="shared" si="23"/>
        <v>1</v>
      </c>
      <c r="Y15" s="10">
        <f t="shared" si="23"/>
        <v>1</v>
      </c>
      <c r="Z15" s="10">
        <f t="shared" si="23"/>
        <v>1</v>
      </c>
      <c r="AA15" s="10">
        <f t="shared" si="23"/>
        <v>1</v>
      </c>
      <c r="AC15" s="10">
        <v>0</v>
      </c>
      <c r="AD15" s="10">
        <f t="shared" si="24"/>
        <v>0</v>
      </c>
      <c r="AE15" s="10">
        <f t="shared" si="24"/>
        <v>0</v>
      </c>
      <c r="AF15" s="10">
        <f t="shared" si="24"/>
        <v>0</v>
      </c>
      <c r="AG15" s="10">
        <f t="shared" si="24"/>
        <v>0</v>
      </c>
      <c r="AH15" s="10">
        <f t="shared" si="24"/>
        <v>0</v>
      </c>
      <c r="AI15" s="10">
        <f t="shared" si="24"/>
        <v>0</v>
      </c>
      <c r="AJ15" s="10">
        <f t="shared" si="24"/>
        <v>0</v>
      </c>
      <c r="AK15" s="10">
        <f t="shared" si="24"/>
        <v>0</v>
      </c>
      <c r="AL15" s="10">
        <f t="shared" si="24"/>
        <v>0</v>
      </c>
      <c r="AM15" s="10">
        <f t="shared" si="24"/>
        <v>0</v>
      </c>
      <c r="AO15" s="10">
        <v>0</v>
      </c>
      <c r="AP15" s="10">
        <f t="shared" si="25"/>
        <v>0</v>
      </c>
      <c r="AQ15" s="10">
        <f t="shared" si="25"/>
        <v>0</v>
      </c>
      <c r="AR15" s="10">
        <f t="shared" si="25"/>
        <v>0</v>
      </c>
      <c r="AS15" s="10">
        <f t="shared" si="25"/>
        <v>0</v>
      </c>
      <c r="AT15" s="10">
        <f t="shared" si="25"/>
        <v>0</v>
      </c>
      <c r="AU15" s="10">
        <f t="shared" si="25"/>
        <v>0</v>
      </c>
      <c r="AV15" s="10">
        <f t="shared" si="25"/>
        <v>0</v>
      </c>
      <c r="AW15" s="10">
        <f t="shared" si="25"/>
        <v>0</v>
      </c>
      <c r="AX15" s="10">
        <f t="shared" si="25"/>
        <v>0</v>
      </c>
      <c r="AY15" s="10">
        <f t="shared" si="25"/>
        <v>0</v>
      </c>
      <c r="BA15" s="10">
        <v>0</v>
      </c>
      <c r="BB15" s="10">
        <f t="shared" si="26"/>
        <v>0</v>
      </c>
      <c r="BC15" s="10">
        <f t="shared" si="26"/>
        <v>0</v>
      </c>
      <c r="BD15" s="10">
        <f t="shared" si="26"/>
        <v>0</v>
      </c>
      <c r="BE15" s="10">
        <f t="shared" si="26"/>
        <v>0</v>
      </c>
      <c r="BF15" s="10">
        <f t="shared" si="26"/>
        <v>0</v>
      </c>
      <c r="BG15" s="10">
        <f t="shared" si="26"/>
        <v>0</v>
      </c>
      <c r="BH15" s="10">
        <f t="shared" si="26"/>
        <v>0</v>
      </c>
      <c r="BI15" s="10">
        <f t="shared" si="26"/>
        <v>0</v>
      </c>
      <c r="BJ15" s="10">
        <f t="shared" si="26"/>
        <v>0</v>
      </c>
      <c r="BK15" s="10">
        <f t="shared" si="26"/>
        <v>0</v>
      </c>
    </row>
    <row r="16" spans="1:63" s="10" customFormat="1" x14ac:dyDescent="0.25">
      <c r="A16" s="11"/>
      <c r="B16" s="11" t="s">
        <v>301</v>
      </c>
      <c r="C16" s="10" t="s">
        <v>337</v>
      </c>
      <c r="D16" s="10" t="s">
        <v>338</v>
      </c>
      <c r="E16" s="10">
        <v>1</v>
      </c>
      <c r="F16" s="10">
        <v>1</v>
      </c>
      <c r="G16" s="10">
        <v>1</v>
      </c>
      <c r="H16" s="10">
        <f t="shared" si="22"/>
        <v>1</v>
      </c>
      <c r="I16" s="10">
        <v>0</v>
      </c>
      <c r="J16" s="10">
        <v>1</v>
      </c>
      <c r="K16" s="10">
        <f t="shared" si="22"/>
        <v>1</v>
      </c>
      <c r="L16" s="10">
        <f t="shared" si="22"/>
        <v>1</v>
      </c>
      <c r="M16" s="10">
        <f t="shared" si="22"/>
        <v>1</v>
      </c>
      <c r="N16" s="10">
        <f t="shared" si="22"/>
        <v>1</v>
      </c>
      <c r="O16" s="10">
        <f t="shared" si="22"/>
        <v>1</v>
      </c>
      <c r="Q16" s="10">
        <v>0</v>
      </c>
      <c r="R16" s="10">
        <f t="shared" si="23"/>
        <v>0</v>
      </c>
      <c r="S16" s="10">
        <f t="shared" si="23"/>
        <v>0</v>
      </c>
      <c r="T16" s="10">
        <f t="shared" si="23"/>
        <v>0</v>
      </c>
      <c r="U16" s="10">
        <f t="shared" si="23"/>
        <v>0</v>
      </c>
      <c r="V16" s="10">
        <f t="shared" si="23"/>
        <v>0</v>
      </c>
      <c r="W16" s="10">
        <f t="shared" si="23"/>
        <v>0</v>
      </c>
      <c r="X16" s="10">
        <f t="shared" si="23"/>
        <v>0</v>
      </c>
      <c r="Y16" s="10">
        <f t="shared" si="23"/>
        <v>0</v>
      </c>
      <c r="Z16" s="10">
        <f t="shared" si="23"/>
        <v>0</v>
      </c>
      <c r="AA16" s="10">
        <f t="shared" si="23"/>
        <v>0</v>
      </c>
      <c r="AC16" s="10">
        <v>0</v>
      </c>
      <c r="AD16" s="10">
        <f t="shared" si="24"/>
        <v>0</v>
      </c>
      <c r="AE16" s="10">
        <f t="shared" si="24"/>
        <v>0</v>
      </c>
      <c r="AF16" s="10">
        <f t="shared" si="24"/>
        <v>0</v>
      </c>
      <c r="AG16" s="10">
        <f t="shared" si="24"/>
        <v>0</v>
      </c>
      <c r="AH16" s="10">
        <f t="shared" si="24"/>
        <v>0</v>
      </c>
      <c r="AI16" s="10">
        <f t="shared" si="24"/>
        <v>0</v>
      </c>
      <c r="AJ16" s="10">
        <f t="shared" si="24"/>
        <v>0</v>
      </c>
      <c r="AK16" s="10">
        <f t="shared" si="24"/>
        <v>0</v>
      </c>
      <c r="AL16" s="10">
        <f t="shared" si="24"/>
        <v>0</v>
      </c>
      <c r="AM16" s="10">
        <f t="shared" si="24"/>
        <v>0</v>
      </c>
      <c r="AO16" s="10">
        <v>0</v>
      </c>
      <c r="AP16" s="10">
        <f t="shared" si="25"/>
        <v>0</v>
      </c>
      <c r="AQ16" s="10">
        <f t="shared" si="25"/>
        <v>0</v>
      </c>
      <c r="AR16" s="10">
        <f t="shared" si="25"/>
        <v>0</v>
      </c>
      <c r="AS16" s="10">
        <f t="shared" si="25"/>
        <v>0</v>
      </c>
      <c r="AT16" s="10">
        <f t="shared" si="25"/>
        <v>0</v>
      </c>
      <c r="AU16" s="10">
        <f t="shared" si="25"/>
        <v>0</v>
      </c>
      <c r="AV16" s="10">
        <f t="shared" si="25"/>
        <v>0</v>
      </c>
      <c r="AW16" s="10">
        <f t="shared" si="25"/>
        <v>0</v>
      </c>
      <c r="AX16" s="10">
        <f t="shared" si="25"/>
        <v>0</v>
      </c>
      <c r="AY16" s="10">
        <f t="shared" si="25"/>
        <v>0</v>
      </c>
      <c r="BA16" s="10">
        <v>0</v>
      </c>
      <c r="BB16" s="10">
        <f t="shared" si="26"/>
        <v>0</v>
      </c>
      <c r="BC16" s="10">
        <f t="shared" si="26"/>
        <v>0</v>
      </c>
      <c r="BD16" s="10">
        <f t="shared" si="26"/>
        <v>0</v>
      </c>
      <c r="BE16" s="10">
        <f t="shared" si="26"/>
        <v>0</v>
      </c>
      <c r="BF16" s="10">
        <f t="shared" si="26"/>
        <v>0</v>
      </c>
      <c r="BG16" s="10">
        <f t="shared" si="26"/>
        <v>0</v>
      </c>
      <c r="BH16" s="10">
        <f t="shared" si="26"/>
        <v>0</v>
      </c>
      <c r="BI16" s="10">
        <f t="shared" si="26"/>
        <v>0</v>
      </c>
      <c r="BJ16" s="10">
        <f t="shared" si="26"/>
        <v>0</v>
      </c>
      <c r="BK16" s="10">
        <f t="shared" si="26"/>
        <v>0</v>
      </c>
    </row>
    <row r="17" spans="1:63" s="10" customFormat="1" x14ac:dyDescent="0.25">
      <c r="A17" s="11"/>
      <c r="B17" s="11" t="s">
        <v>302</v>
      </c>
      <c r="C17" s="10" t="s">
        <v>339</v>
      </c>
      <c r="D17" s="10" t="s">
        <v>340</v>
      </c>
      <c r="E17" s="10">
        <v>0</v>
      </c>
      <c r="F17" s="10">
        <v>0</v>
      </c>
      <c r="G17" s="10">
        <v>0</v>
      </c>
      <c r="H17" s="10">
        <f t="shared" si="22"/>
        <v>0</v>
      </c>
      <c r="I17" s="10">
        <f t="shared" si="22"/>
        <v>0</v>
      </c>
      <c r="J17" s="10">
        <f t="shared" si="22"/>
        <v>0</v>
      </c>
      <c r="K17" s="10">
        <f t="shared" si="22"/>
        <v>0</v>
      </c>
      <c r="L17" s="10">
        <f t="shared" si="22"/>
        <v>0</v>
      </c>
      <c r="M17" s="10">
        <f t="shared" si="22"/>
        <v>0</v>
      </c>
      <c r="N17" s="10">
        <f t="shared" si="22"/>
        <v>0</v>
      </c>
      <c r="O17" s="10">
        <f t="shared" si="22"/>
        <v>0</v>
      </c>
      <c r="Q17" s="10">
        <v>1</v>
      </c>
      <c r="R17" s="10">
        <f t="shared" si="23"/>
        <v>1</v>
      </c>
      <c r="S17" s="10">
        <f t="shared" si="23"/>
        <v>1</v>
      </c>
      <c r="T17" s="10">
        <f t="shared" si="23"/>
        <v>1</v>
      </c>
      <c r="U17" s="10">
        <f t="shared" si="23"/>
        <v>1</v>
      </c>
      <c r="V17" s="10">
        <f t="shared" si="23"/>
        <v>1</v>
      </c>
      <c r="W17" s="10">
        <f t="shared" si="23"/>
        <v>1</v>
      </c>
      <c r="X17" s="10">
        <f t="shared" si="23"/>
        <v>1</v>
      </c>
      <c r="Y17" s="10">
        <f t="shared" si="23"/>
        <v>1</v>
      </c>
      <c r="Z17" s="10">
        <f t="shared" si="23"/>
        <v>1</v>
      </c>
      <c r="AA17" s="10">
        <f t="shared" si="23"/>
        <v>1</v>
      </c>
      <c r="AC17" s="10">
        <v>0</v>
      </c>
      <c r="AD17" s="10">
        <f t="shared" si="24"/>
        <v>0</v>
      </c>
      <c r="AE17" s="10">
        <f t="shared" si="24"/>
        <v>0</v>
      </c>
      <c r="AF17" s="10">
        <f t="shared" si="24"/>
        <v>0</v>
      </c>
      <c r="AG17" s="10">
        <f t="shared" si="24"/>
        <v>0</v>
      </c>
      <c r="AH17" s="10">
        <f t="shared" si="24"/>
        <v>0</v>
      </c>
      <c r="AI17" s="10">
        <f t="shared" si="24"/>
        <v>0</v>
      </c>
      <c r="AJ17" s="10">
        <f t="shared" si="24"/>
        <v>0</v>
      </c>
      <c r="AK17" s="10">
        <f t="shared" si="24"/>
        <v>0</v>
      </c>
      <c r="AL17" s="10">
        <f t="shared" si="24"/>
        <v>0</v>
      </c>
      <c r="AM17" s="10">
        <f t="shared" si="24"/>
        <v>0</v>
      </c>
      <c r="AO17" s="10">
        <v>0</v>
      </c>
      <c r="AP17" s="10">
        <f t="shared" si="25"/>
        <v>0</v>
      </c>
      <c r="AQ17" s="10">
        <f t="shared" si="25"/>
        <v>0</v>
      </c>
      <c r="AR17" s="10">
        <f t="shared" si="25"/>
        <v>0</v>
      </c>
      <c r="AS17" s="10">
        <f t="shared" si="25"/>
        <v>0</v>
      </c>
      <c r="AT17" s="10">
        <f t="shared" si="25"/>
        <v>0</v>
      </c>
      <c r="AU17" s="10">
        <f t="shared" si="25"/>
        <v>0</v>
      </c>
      <c r="AV17" s="10">
        <f t="shared" si="25"/>
        <v>0</v>
      </c>
      <c r="AW17" s="10">
        <f t="shared" si="25"/>
        <v>0</v>
      </c>
      <c r="AX17" s="10">
        <f t="shared" si="25"/>
        <v>0</v>
      </c>
      <c r="AY17" s="10">
        <f t="shared" si="25"/>
        <v>0</v>
      </c>
      <c r="BA17" s="10">
        <v>0</v>
      </c>
      <c r="BB17" s="10">
        <f t="shared" si="26"/>
        <v>0</v>
      </c>
      <c r="BC17" s="10">
        <f t="shared" si="26"/>
        <v>0</v>
      </c>
      <c r="BD17" s="10">
        <f t="shared" si="26"/>
        <v>0</v>
      </c>
      <c r="BE17" s="10">
        <f t="shared" si="26"/>
        <v>0</v>
      </c>
      <c r="BF17" s="10">
        <f t="shared" si="26"/>
        <v>0</v>
      </c>
      <c r="BG17" s="10">
        <f t="shared" si="26"/>
        <v>0</v>
      </c>
      <c r="BH17" s="10">
        <f t="shared" si="26"/>
        <v>0</v>
      </c>
      <c r="BI17" s="10">
        <f t="shared" si="26"/>
        <v>0</v>
      </c>
      <c r="BJ17" s="10">
        <f t="shared" si="26"/>
        <v>0</v>
      </c>
      <c r="BK17" s="10">
        <f t="shared" si="26"/>
        <v>0</v>
      </c>
    </row>
    <row r="18" spans="1:63" s="10" customFormat="1" x14ac:dyDescent="0.25">
      <c r="A18" s="11"/>
      <c r="B18" s="11" t="s">
        <v>303</v>
      </c>
      <c r="C18" s="10" t="s">
        <v>118</v>
      </c>
      <c r="E18" s="10">
        <v>0</v>
      </c>
      <c r="F18" s="10">
        <v>0</v>
      </c>
      <c r="G18" s="10">
        <v>0</v>
      </c>
      <c r="H18" s="10">
        <f t="shared" si="22"/>
        <v>0</v>
      </c>
      <c r="I18" s="10">
        <f t="shared" si="22"/>
        <v>0</v>
      </c>
      <c r="J18" s="10">
        <f t="shared" si="22"/>
        <v>0</v>
      </c>
      <c r="K18" s="10">
        <f t="shared" si="22"/>
        <v>0</v>
      </c>
      <c r="L18" s="10">
        <f t="shared" si="22"/>
        <v>0</v>
      </c>
      <c r="M18" s="10">
        <f t="shared" si="22"/>
        <v>0</v>
      </c>
      <c r="N18" s="10">
        <f t="shared" si="22"/>
        <v>0</v>
      </c>
      <c r="O18" s="10">
        <f t="shared" si="22"/>
        <v>0</v>
      </c>
      <c r="Q18" s="10">
        <v>1</v>
      </c>
      <c r="R18" s="10">
        <f t="shared" si="23"/>
        <v>1</v>
      </c>
      <c r="S18" s="10">
        <f t="shared" si="23"/>
        <v>1</v>
      </c>
      <c r="T18" s="10">
        <f t="shared" si="23"/>
        <v>1</v>
      </c>
      <c r="U18" s="10">
        <f t="shared" si="23"/>
        <v>1</v>
      </c>
      <c r="V18" s="10">
        <f t="shared" si="23"/>
        <v>1</v>
      </c>
      <c r="W18" s="10">
        <f t="shared" si="23"/>
        <v>1</v>
      </c>
      <c r="X18" s="10">
        <f t="shared" si="23"/>
        <v>1</v>
      </c>
      <c r="Y18" s="10">
        <f t="shared" si="23"/>
        <v>1</v>
      </c>
      <c r="Z18" s="10">
        <f t="shared" si="23"/>
        <v>1</v>
      </c>
      <c r="AA18" s="10">
        <f t="shared" si="23"/>
        <v>1</v>
      </c>
      <c r="AC18" s="10">
        <v>0</v>
      </c>
      <c r="AD18" s="10">
        <f t="shared" si="24"/>
        <v>0</v>
      </c>
      <c r="AE18" s="10">
        <f t="shared" si="24"/>
        <v>0</v>
      </c>
      <c r="AF18" s="10">
        <f t="shared" si="24"/>
        <v>0</v>
      </c>
      <c r="AG18" s="10">
        <f t="shared" si="24"/>
        <v>0</v>
      </c>
      <c r="AH18" s="10">
        <f t="shared" si="24"/>
        <v>0</v>
      </c>
      <c r="AI18" s="10">
        <f t="shared" si="24"/>
        <v>0</v>
      </c>
      <c r="AJ18" s="10">
        <f t="shared" si="24"/>
        <v>0</v>
      </c>
      <c r="AK18" s="10">
        <f t="shared" si="24"/>
        <v>0</v>
      </c>
      <c r="AL18" s="10">
        <f t="shared" si="24"/>
        <v>0</v>
      </c>
      <c r="AM18" s="10">
        <f t="shared" si="24"/>
        <v>0</v>
      </c>
      <c r="AO18" s="10">
        <v>0</v>
      </c>
      <c r="AP18" s="10">
        <f t="shared" si="25"/>
        <v>0</v>
      </c>
      <c r="AQ18" s="10">
        <f t="shared" si="25"/>
        <v>0</v>
      </c>
      <c r="AR18" s="10">
        <f t="shared" si="25"/>
        <v>0</v>
      </c>
      <c r="AS18" s="10">
        <f t="shared" si="25"/>
        <v>0</v>
      </c>
      <c r="AT18" s="10">
        <f t="shared" si="25"/>
        <v>0</v>
      </c>
      <c r="AU18" s="10">
        <f t="shared" si="25"/>
        <v>0</v>
      </c>
      <c r="AV18" s="10">
        <f t="shared" si="25"/>
        <v>0</v>
      </c>
      <c r="AW18" s="10">
        <f t="shared" si="25"/>
        <v>0</v>
      </c>
      <c r="AX18" s="10">
        <f t="shared" si="25"/>
        <v>0</v>
      </c>
      <c r="AY18" s="10">
        <f t="shared" si="25"/>
        <v>0</v>
      </c>
      <c r="BA18" s="10">
        <v>0</v>
      </c>
      <c r="BB18" s="10">
        <f t="shared" si="26"/>
        <v>0</v>
      </c>
      <c r="BC18" s="10">
        <f t="shared" si="26"/>
        <v>0</v>
      </c>
      <c r="BD18" s="10">
        <f t="shared" si="26"/>
        <v>0</v>
      </c>
      <c r="BE18" s="10">
        <f t="shared" si="26"/>
        <v>0</v>
      </c>
      <c r="BF18" s="10">
        <f t="shared" si="26"/>
        <v>0</v>
      </c>
      <c r="BG18" s="10">
        <f t="shared" si="26"/>
        <v>0</v>
      </c>
      <c r="BH18" s="10">
        <f t="shared" si="26"/>
        <v>0</v>
      </c>
      <c r="BI18" s="10">
        <f t="shared" si="26"/>
        <v>0</v>
      </c>
      <c r="BJ18" s="10">
        <f t="shared" si="26"/>
        <v>0</v>
      </c>
      <c r="BK18" s="10">
        <f t="shared" si="26"/>
        <v>0</v>
      </c>
    </row>
    <row r="19" spans="1:63" s="10" customFormat="1" x14ac:dyDescent="0.25">
      <c r="A19" s="11"/>
      <c r="B19" s="11" t="s">
        <v>304</v>
      </c>
      <c r="C19" s="10" t="s">
        <v>118</v>
      </c>
      <c r="E19" s="10">
        <v>0</v>
      </c>
      <c r="F19" s="10">
        <v>0</v>
      </c>
      <c r="G19" s="10">
        <v>0</v>
      </c>
      <c r="H19" s="10">
        <f t="shared" si="22"/>
        <v>0</v>
      </c>
      <c r="I19" s="10">
        <f t="shared" si="22"/>
        <v>0</v>
      </c>
      <c r="J19" s="10">
        <f t="shared" si="22"/>
        <v>0</v>
      </c>
      <c r="K19" s="10">
        <f t="shared" si="22"/>
        <v>0</v>
      </c>
      <c r="L19" s="10">
        <f t="shared" si="22"/>
        <v>0</v>
      </c>
      <c r="M19" s="10">
        <f t="shared" si="22"/>
        <v>0</v>
      </c>
      <c r="N19" s="10">
        <f t="shared" si="22"/>
        <v>0</v>
      </c>
      <c r="O19" s="10">
        <f t="shared" si="22"/>
        <v>0</v>
      </c>
      <c r="Q19" s="10">
        <v>1</v>
      </c>
      <c r="R19" s="10">
        <f t="shared" si="23"/>
        <v>1</v>
      </c>
      <c r="S19" s="10">
        <f t="shared" si="23"/>
        <v>1</v>
      </c>
      <c r="T19" s="10">
        <f t="shared" si="23"/>
        <v>1</v>
      </c>
      <c r="U19" s="10">
        <f t="shared" si="23"/>
        <v>1</v>
      </c>
      <c r="V19" s="10">
        <f t="shared" si="23"/>
        <v>1</v>
      </c>
      <c r="W19" s="10">
        <f t="shared" si="23"/>
        <v>1</v>
      </c>
      <c r="X19" s="10">
        <f t="shared" si="23"/>
        <v>1</v>
      </c>
      <c r="Y19" s="10">
        <f t="shared" si="23"/>
        <v>1</v>
      </c>
      <c r="Z19" s="10">
        <f t="shared" si="23"/>
        <v>1</v>
      </c>
      <c r="AA19" s="10">
        <f t="shared" si="23"/>
        <v>1</v>
      </c>
      <c r="AC19" s="10">
        <v>0</v>
      </c>
      <c r="AD19" s="10">
        <f t="shared" si="24"/>
        <v>0</v>
      </c>
      <c r="AE19" s="10">
        <f t="shared" si="24"/>
        <v>0</v>
      </c>
      <c r="AF19" s="10">
        <f t="shared" si="24"/>
        <v>0</v>
      </c>
      <c r="AG19" s="10">
        <f t="shared" si="24"/>
        <v>0</v>
      </c>
      <c r="AH19" s="10">
        <f t="shared" si="24"/>
        <v>0</v>
      </c>
      <c r="AI19" s="10">
        <f t="shared" si="24"/>
        <v>0</v>
      </c>
      <c r="AJ19" s="10">
        <f t="shared" si="24"/>
        <v>0</v>
      </c>
      <c r="AK19" s="10">
        <f t="shared" si="24"/>
        <v>0</v>
      </c>
      <c r="AL19" s="10">
        <f t="shared" si="24"/>
        <v>0</v>
      </c>
      <c r="AM19" s="10">
        <f t="shared" si="24"/>
        <v>0</v>
      </c>
      <c r="AO19" s="10">
        <v>0</v>
      </c>
      <c r="AP19" s="10">
        <f t="shared" si="25"/>
        <v>0</v>
      </c>
      <c r="AQ19" s="10">
        <f t="shared" si="25"/>
        <v>0</v>
      </c>
      <c r="AR19" s="10">
        <f t="shared" si="25"/>
        <v>0</v>
      </c>
      <c r="AS19" s="10">
        <f t="shared" si="25"/>
        <v>0</v>
      </c>
      <c r="AT19" s="10">
        <f t="shared" si="25"/>
        <v>0</v>
      </c>
      <c r="AU19" s="10">
        <f t="shared" si="25"/>
        <v>0</v>
      </c>
      <c r="AV19" s="10">
        <f t="shared" si="25"/>
        <v>0</v>
      </c>
      <c r="AW19" s="10">
        <f t="shared" si="25"/>
        <v>0</v>
      </c>
      <c r="AX19" s="10">
        <f t="shared" si="25"/>
        <v>0</v>
      </c>
      <c r="AY19" s="10">
        <f t="shared" si="25"/>
        <v>0</v>
      </c>
      <c r="BA19" s="10">
        <v>0</v>
      </c>
      <c r="BB19" s="10">
        <f t="shared" si="26"/>
        <v>0</v>
      </c>
      <c r="BC19" s="10">
        <f t="shared" si="26"/>
        <v>0</v>
      </c>
      <c r="BD19" s="10">
        <f t="shared" si="26"/>
        <v>0</v>
      </c>
      <c r="BE19" s="10">
        <f t="shared" si="26"/>
        <v>0</v>
      </c>
      <c r="BF19" s="10">
        <f t="shared" si="26"/>
        <v>0</v>
      </c>
      <c r="BG19" s="10">
        <f t="shared" si="26"/>
        <v>0</v>
      </c>
      <c r="BH19" s="10">
        <f t="shared" si="26"/>
        <v>0</v>
      </c>
      <c r="BI19" s="10">
        <f t="shared" si="26"/>
        <v>0</v>
      </c>
      <c r="BJ19" s="10">
        <f t="shared" si="26"/>
        <v>0</v>
      </c>
      <c r="BK19" s="10">
        <f t="shared" si="26"/>
        <v>0</v>
      </c>
    </row>
    <row r="20" spans="1:63" s="10" customFormat="1" x14ac:dyDescent="0.25">
      <c r="A20" s="11"/>
      <c r="B20" s="11" t="s">
        <v>305</v>
      </c>
      <c r="C20" s="10" t="s">
        <v>341</v>
      </c>
      <c r="E20" s="10">
        <v>0</v>
      </c>
      <c r="F20" s="10">
        <v>0</v>
      </c>
      <c r="G20" s="10">
        <v>0</v>
      </c>
      <c r="H20" s="10">
        <f t="shared" si="22"/>
        <v>0</v>
      </c>
      <c r="I20" s="10">
        <f t="shared" si="22"/>
        <v>0</v>
      </c>
      <c r="J20" s="10">
        <f t="shared" si="22"/>
        <v>0</v>
      </c>
      <c r="K20" s="10">
        <f t="shared" si="22"/>
        <v>0</v>
      </c>
      <c r="L20" s="10">
        <f t="shared" si="22"/>
        <v>0</v>
      </c>
      <c r="M20" s="10">
        <f t="shared" si="22"/>
        <v>0</v>
      </c>
      <c r="N20" s="10">
        <f t="shared" si="22"/>
        <v>0</v>
      </c>
      <c r="O20" s="10">
        <f t="shared" si="22"/>
        <v>0</v>
      </c>
      <c r="Q20" s="10">
        <v>0</v>
      </c>
      <c r="R20" s="10">
        <f t="shared" si="23"/>
        <v>0</v>
      </c>
      <c r="S20" s="10">
        <f t="shared" si="23"/>
        <v>0</v>
      </c>
      <c r="T20" s="10">
        <f t="shared" si="23"/>
        <v>0</v>
      </c>
      <c r="U20" s="10">
        <f t="shared" si="23"/>
        <v>0</v>
      </c>
      <c r="V20" s="10">
        <f t="shared" si="23"/>
        <v>0</v>
      </c>
      <c r="W20" s="10">
        <f t="shared" si="23"/>
        <v>0</v>
      </c>
      <c r="X20" s="10">
        <f t="shared" si="23"/>
        <v>0</v>
      </c>
      <c r="Y20" s="10">
        <f t="shared" si="23"/>
        <v>0</v>
      </c>
      <c r="Z20" s="10">
        <f t="shared" si="23"/>
        <v>0</v>
      </c>
      <c r="AA20" s="10">
        <f t="shared" si="23"/>
        <v>0</v>
      </c>
      <c r="AC20" s="10">
        <v>0</v>
      </c>
      <c r="AD20" s="10">
        <f t="shared" si="24"/>
        <v>0</v>
      </c>
      <c r="AE20" s="10">
        <f t="shared" si="24"/>
        <v>0</v>
      </c>
      <c r="AF20" s="10">
        <f t="shared" si="24"/>
        <v>0</v>
      </c>
      <c r="AG20" s="10">
        <f t="shared" si="24"/>
        <v>0</v>
      </c>
      <c r="AH20" s="10">
        <f t="shared" si="24"/>
        <v>0</v>
      </c>
      <c r="AI20" s="10">
        <f t="shared" si="24"/>
        <v>0</v>
      </c>
      <c r="AJ20" s="10">
        <f t="shared" si="24"/>
        <v>0</v>
      </c>
      <c r="AK20" s="10">
        <f t="shared" si="24"/>
        <v>0</v>
      </c>
      <c r="AL20" s="10">
        <f t="shared" si="24"/>
        <v>0</v>
      </c>
      <c r="AM20" s="10">
        <f t="shared" si="24"/>
        <v>0</v>
      </c>
      <c r="AO20" s="10">
        <v>0</v>
      </c>
      <c r="AP20" s="10">
        <f t="shared" si="25"/>
        <v>0</v>
      </c>
      <c r="AQ20" s="10">
        <f t="shared" si="25"/>
        <v>0</v>
      </c>
      <c r="AR20" s="10">
        <f t="shared" si="25"/>
        <v>0</v>
      </c>
      <c r="AS20" s="10">
        <f t="shared" si="25"/>
        <v>0</v>
      </c>
      <c r="AT20" s="10">
        <f t="shared" si="25"/>
        <v>0</v>
      </c>
      <c r="AU20" s="10">
        <f t="shared" si="25"/>
        <v>0</v>
      </c>
      <c r="AV20" s="10">
        <f t="shared" si="25"/>
        <v>0</v>
      </c>
      <c r="AW20" s="10">
        <f t="shared" si="25"/>
        <v>0</v>
      </c>
      <c r="AX20" s="10">
        <f t="shared" si="25"/>
        <v>0</v>
      </c>
      <c r="AY20" s="10">
        <f t="shared" si="25"/>
        <v>0</v>
      </c>
      <c r="BA20" s="10">
        <v>0</v>
      </c>
      <c r="BB20" s="10">
        <f t="shared" si="26"/>
        <v>0</v>
      </c>
      <c r="BC20" s="10">
        <f t="shared" si="26"/>
        <v>0</v>
      </c>
      <c r="BD20" s="10">
        <f t="shared" si="26"/>
        <v>0</v>
      </c>
      <c r="BE20" s="10">
        <f t="shared" si="26"/>
        <v>0</v>
      </c>
      <c r="BF20" s="10">
        <f t="shared" si="26"/>
        <v>0</v>
      </c>
      <c r="BG20" s="10">
        <f t="shared" si="26"/>
        <v>0</v>
      </c>
      <c r="BH20" s="10">
        <f t="shared" si="26"/>
        <v>0</v>
      </c>
      <c r="BI20" s="10">
        <f t="shared" si="26"/>
        <v>0</v>
      </c>
      <c r="BJ20" s="10">
        <f t="shared" si="26"/>
        <v>0</v>
      </c>
      <c r="BK20" s="10">
        <f t="shared" si="26"/>
        <v>0</v>
      </c>
    </row>
    <row r="21" spans="1:63" x14ac:dyDescent="0.25">
      <c r="A21" s="2"/>
      <c r="B21" s="2"/>
      <c r="E21" t="str">
        <f t="shared" ref="E21:AM21" si="27">CONCATENATE(E20,E19,E18,E17,E16,E15,E14,E13)</f>
        <v>00001001</v>
      </c>
      <c r="F21" t="str">
        <f t="shared" si="27"/>
        <v>00001011</v>
      </c>
      <c r="G21" t="str">
        <f t="shared" si="27"/>
        <v>00001011</v>
      </c>
      <c r="H21" t="str">
        <f t="shared" si="27"/>
        <v>00001011</v>
      </c>
      <c r="I21" t="str">
        <f t="shared" si="27"/>
        <v>00000011</v>
      </c>
      <c r="J21" t="str">
        <f t="shared" si="27"/>
        <v>00001011</v>
      </c>
      <c r="K21" t="str">
        <f t="shared" si="27"/>
        <v>00001011</v>
      </c>
      <c r="L21" t="str">
        <f t="shared" si="27"/>
        <v>00001010</v>
      </c>
      <c r="M21" t="str">
        <f t="shared" si="27"/>
        <v>00001011</v>
      </c>
      <c r="N21" t="str">
        <f t="shared" si="27"/>
        <v>00001011</v>
      </c>
      <c r="O21" t="str">
        <f t="shared" si="27"/>
        <v>00001011</v>
      </c>
      <c r="Q21" t="str">
        <f t="shared" si="27"/>
        <v>01110100</v>
      </c>
      <c r="R21" t="str">
        <f t="shared" si="27"/>
        <v>01110100</v>
      </c>
      <c r="S21" t="str">
        <f t="shared" si="27"/>
        <v>01110100</v>
      </c>
      <c r="T21" t="str">
        <f t="shared" si="27"/>
        <v>01110100</v>
      </c>
      <c r="U21" t="str">
        <f t="shared" si="27"/>
        <v>01110100</v>
      </c>
      <c r="V21" t="str">
        <f t="shared" si="27"/>
        <v>01110100</v>
      </c>
      <c r="W21" t="str">
        <f t="shared" si="27"/>
        <v>01110100</v>
      </c>
      <c r="X21" t="str">
        <f t="shared" si="27"/>
        <v>01110100</v>
      </c>
      <c r="Y21" t="str">
        <f t="shared" si="27"/>
        <v>01110100</v>
      </c>
      <c r="Z21" t="str">
        <f t="shared" si="27"/>
        <v>01110100</v>
      </c>
      <c r="AA21" t="str">
        <f t="shared" si="27"/>
        <v>01110100</v>
      </c>
      <c r="AC21" t="str">
        <f t="shared" si="27"/>
        <v>00000000</v>
      </c>
      <c r="AD21" t="str">
        <f t="shared" si="27"/>
        <v>00000000</v>
      </c>
      <c r="AE21" t="str">
        <f t="shared" si="27"/>
        <v>00000000</v>
      </c>
      <c r="AF21" t="str">
        <f t="shared" si="27"/>
        <v>00000000</v>
      </c>
      <c r="AG21" t="str">
        <f t="shared" si="27"/>
        <v>00000000</v>
      </c>
      <c r="AH21" t="str">
        <f t="shared" si="27"/>
        <v>00000000</v>
      </c>
      <c r="AI21" t="str">
        <f t="shared" si="27"/>
        <v>00000000</v>
      </c>
      <c r="AJ21" t="str">
        <f t="shared" si="27"/>
        <v>00000000</v>
      </c>
      <c r="AK21" t="str">
        <f t="shared" si="27"/>
        <v>00000000</v>
      </c>
      <c r="AL21" t="str">
        <f t="shared" si="27"/>
        <v>00000000</v>
      </c>
      <c r="AM21" t="str">
        <f t="shared" si="27"/>
        <v>00000000</v>
      </c>
      <c r="AO21" t="str">
        <f t="shared" ref="AO21:AY21" si="28">CONCATENATE(AO20,AO19,AO18,AO17,AO16,AO15,AO14,AO13)</f>
        <v>00000000</v>
      </c>
      <c r="AP21" t="str">
        <f t="shared" si="28"/>
        <v>00000000</v>
      </c>
      <c r="AQ21" t="str">
        <f t="shared" si="28"/>
        <v>00000000</v>
      </c>
      <c r="AR21" t="str">
        <f t="shared" si="28"/>
        <v>00000000</v>
      </c>
      <c r="AS21" t="str">
        <f t="shared" si="28"/>
        <v>00000000</v>
      </c>
      <c r="AT21" t="str">
        <f t="shared" si="28"/>
        <v>00000000</v>
      </c>
      <c r="AU21" t="str">
        <f t="shared" si="28"/>
        <v>00000000</v>
      </c>
      <c r="AV21" t="str">
        <f t="shared" si="28"/>
        <v>00000000</v>
      </c>
      <c r="AW21" t="str">
        <f t="shared" si="28"/>
        <v>00000000</v>
      </c>
      <c r="AX21" t="str">
        <f t="shared" si="28"/>
        <v>00000000</v>
      </c>
      <c r="AY21" t="str">
        <f t="shared" si="28"/>
        <v>00000000</v>
      </c>
      <c r="BA21" t="str">
        <f t="shared" ref="BA21:BK21" si="29">CONCATENATE(BA20,BA19,BA18,BA17,BA16,BA15,BA14,BA13)</f>
        <v>00000000</v>
      </c>
      <c r="BB21" t="str">
        <f t="shared" si="29"/>
        <v>00000000</v>
      </c>
      <c r="BC21" t="str">
        <f t="shared" si="29"/>
        <v>00000000</v>
      </c>
      <c r="BD21" t="str">
        <f t="shared" si="29"/>
        <v>00000000</v>
      </c>
      <c r="BE21" t="str">
        <f t="shared" si="29"/>
        <v>00000000</v>
      </c>
      <c r="BF21" t="str">
        <f t="shared" si="29"/>
        <v>00000000</v>
      </c>
      <c r="BG21" t="str">
        <f t="shared" si="29"/>
        <v>00000000</v>
      </c>
      <c r="BH21" t="str">
        <f t="shared" si="29"/>
        <v>00000000</v>
      </c>
      <c r="BI21" t="str">
        <f t="shared" si="29"/>
        <v>00000000</v>
      </c>
      <c r="BJ21" t="str">
        <f t="shared" si="29"/>
        <v>00000000</v>
      </c>
      <c r="BK21" t="str">
        <f t="shared" si="29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M22" si="30">CONCATENATE(BIN2HEX(E21,2))</f>
        <v>09</v>
      </c>
      <c r="F22" t="str">
        <f t="shared" si="30"/>
        <v>0B</v>
      </c>
      <c r="G22" t="str">
        <f t="shared" si="30"/>
        <v>0B</v>
      </c>
      <c r="H22" t="str">
        <f t="shared" si="30"/>
        <v>0B</v>
      </c>
      <c r="I22" t="str">
        <f t="shared" si="30"/>
        <v>03</v>
      </c>
      <c r="J22" t="str">
        <f t="shared" si="30"/>
        <v>0B</v>
      </c>
      <c r="K22" t="str">
        <f>CONCATENATE(BIN2HEX(K21,2))</f>
        <v>0B</v>
      </c>
      <c r="L22" t="str">
        <f t="shared" si="30"/>
        <v>0A</v>
      </c>
      <c r="M22" t="str">
        <f t="shared" si="30"/>
        <v>0B</v>
      </c>
      <c r="N22" t="str">
        <f t="shared" si="30"/>
        <v>0B</v>
      </c>
      <c r="O22" t="str">
        <f t="shared" si="30"/>
        <v>0B</v>
      </c>
      <c r="Q22" t="str">
        <f t="shared" si="30"/>
        <v>74</v>
      </c>
      <c r="R22" t="str">
        <f t="shared" si="30"/>
        <v>74</v>
      </c>
      <c r="S22" t="str">
        <f t="shared" si="30"/>
        <v>74</v>
      </c>
      <c r="T22" t="str">
        <f t="shared" si="30"/>
        <v>74</v>
      </c>
      <c r="U22" t="str">
        <f t="shared" si="30"/>
        <v>74</v>
      </c>
      <c r="V22" t="str">
        <f t="shared" si="30"/>
        <v>74</v>
      </c>
      <c r="W22" t="str">
        <f t="shared" si="30"/>
        <v>74</v>
      </c>
      <c r="X22" t="str">
        <f t="shared" si="30"/>
        <v>74</v>
      </c>
      <c r="Y22" t="str">
        <f t="shared" si="30"/>
        <v>74</v>
      </c>
      <c r="Z22" t="str">
        <f t="shared" si="30"/>
        <v>74</v>
      </c>
      <c r="AA22" t="str">
        <f t="shared" si="30"/>
        <v>74</v>
      </c>
      <c r="AC22" t="str">
        <f t="shared" si="30"/>
        <v>00</v>
      </c>
      <c r="AD22" t="str">
        <f t="shared" si="30"/>
        <v>00</v>
      </c>
      <c r="AE22" t="str">
        <f t="shared" si="30"/>
        <v>00</v>
      </c>
      <c r="AF22" t="str">
        <f t="shared" si="30"/>
        <v>00</v>
      </c>
      <c r="AG22" t="str">
        <f t="shared" si="30"/>
        <v>00</v>
      </c>
      <c r="AH22" t="str">
        <f t="shared" si="30"/>
        <v>00</v>
      </c>
      <c r="AI22" t="str">
        <f t="shared" si="30"/>
        <v>00</v>
      </c>
      <c r="AJ22" t="str">
        <f t="shared" si="30"/>
        <v>00</v>
      </c>
      <c r="AK22" t="str">
        <f t="shared" si="30"/>
        <v>00</v>
      </c>
      <c r="AL22" t="str">
        <f t="shared" si="30"/>
        <v>00</v>
      </c>
      <c r="AM22" t="str">
        <f t="shared" si="30"/>
        <v>00</v>
      </c>
      <c r="AO22" t="str">
        <f t="shared" ref="AO22:AY22" si="31">CONCATENATE(BIN2HEX(AO21,2))</f>
        <v>00</v>
      </c>
      <c r="AP22" t="str">
        <f t="shared" si="31"/>
        <v>00</v>
      </c>
      <c r="AQ22" t="str">
        <f t="shared" si="31"/>
        <v>00</v>
      </c>
      <c r="AR22" t="str">
        <f t="shared" si="31"/>
        <v>00</v>
      </c>
      <c r="AS22" t="str">
        <f t="shared" si="31"/>
        <v>00</v>
      </c>
      <c r="AT22" t="str">
        <f t="shared" si="31"/>
        <v>00</v>
      </c>
      <c r="AU22" t="str">
        <f t="shared" si="31"/>
        <v>00</v>
      </c>
      <c r="AV22" t="str">
        <f t="shared" si="31"/>
        <v>00</v>
      </c>
      <c r="AW22" t="str">
        <f t="shared" si="31"/>
        <v>00</v>
      </c>
      <c r="AX22" t="str">
        <f t="shared" si="31"/>
        <v>00</v>
      </c>
      <c r="AY22" t="str">
        <f t="shared" si="31"/>
        <v>00</v>
      </c>
      <c r="BA22" t="str">
        <f t="shared" ref="BA22:BK22" si="32">CONCATENATE(BIN2HEX(BA21,2))</f>
        <v>00</v>
      </c>
      <c r="BB22" t="str">
        <f t="shared" si="32"/>
        <v>00</v>
      </c>
      <c r="BC22" t="str">
        <f t="shared" si="32"/>
        <v>00</v>
      </c>
      <c r="BD22" t="str">
        <f t="shared" si="32"/>
        <v>00</v>
      </c>
      <c r="BE22" t="str">
        <f t="shared" si="32"/>
        <v>00</v>
      </c>
      <c r="BF22" t="str">
        <f t="shared" si="32"/>
        <v>00</v>
      </c>
      <c r="BG22" t="str">
        <f t="shared" si="32"/>
        <v>00</v>
      </c>
      <c r="BH22" t="str">
        <f t="shared" si="32"/>
        <v>00</v>
      </c>
      <c r="BI22" t="str">
        <f t="shared" si="32"/>
        <v>00</v>
      </c>
      <c r="BJ22" t="str">
        <f t="shared" si="32"/>
        <v>00</v>
      </c>
      <c r="BK22" t="str">
        <f t="shared" si="32"/>
        <v>00</v>
      </c>
    </row>
    <row r="23" spans="1:63" x14ac:dyDescent="0.25">
      <c r="A23" s="2"/>
      <c r="B23" s="2"/>
      <c r="D23" s="13" t="s">
        <v>215</v>
      </c>
      <c r="E23" t="str">
        <f t="shared" ref="E23:O23" si="33">CONCATENATE("0x",E22,E11)</f>
        <v>0x09A9</v>
      </c>
      <c r="F23" t="str">
        <f t="shared" si="33"/>
        <v>0x0BAB</v>
      </c>
      <c r="G23" t="str">
        <f t="shared" si="33"/>
        <v>0x0BAF</v>
      </c>
      <c r="H23" t="str">
        <f t="shared" si="33"/>
        <v>0x0B8F</v>
      </c>
      <c r="I23" t="str">
        <f t="shared" si="33"/>
        <v>0x03AF</v>
      </c>
      <c r="J23" t="str">
        <f t="shared" si="33"/>
        <v>0x0BA7</v>
      </c>
      <c r="K23" t="str">
        <f t="shared" si="33"/>
        <v>0x0BA6</v>
      </c>
      <c r="L23" t="str">
        <f t="shared" si="33"/>
        <v>0x0AA7</v>
      </c>
      <c r="M23" t="str">
        <f t="shared" si="33"/>
        <v>0x0BA7</v>
      </c>
      <c r="N23" t="str">
        <f t="shared" si="33"/>
        <v>0x0BA7</v>
      </c>
      <c r="O23" t="str">
        <f t="shared" si="33"/>
        <v>0x0BA7</v>
      </c>
      <c r="Q23" t="str">
        <f t="shared" ref="Q23:BK23" si="34">CONCATENATE("0x",Q22,Q11)</f>
        <v>0x7450</v>
      </c>
      <c r="R23" t="str">
        <f t="shared" si="34"/>
        <v>0x7450</v>
      </c>
      <c r="S23" t="str">
        <f t="shared" si="34"/>
        <v>0x7450</v>
      </c>
      <c r="T23" t="str">
        <f t="shared" si="34"/>
        <v>0x7450</v>
      </c>
      <c r="U23" t="str">
        <f t="shared" si="34"/>
        <v>0x7450</v>
      </c>
      <c r="V23" t="str">
        <f t="shared" si="34"/>
        <v>0x7450</v>
      </c>
      <c r="W23" t="str">
        <f t="shared" si="34"/>
        <v>0x7450</v>
      </c>
      <c r="X23" t="str">
        <f t="shared" si="34"/>
        <v>0x7450</v>
      </c>
      <c r="Y23" t="str">
        <f t="shared" si="34"/>
        <v>0x7450</v>
      </c>
      <c r="Z23" t="str">
        <f t="shared" si="34"/>
        <v>0x7450</v>
      </c>
      <c r="AA23" t="str">
        <f t="shared" si="34"/>
        <v>0x7450</v>
      </c>
      <c r="AC23" t="str">
        <f t="shared" si="34"/>
        <v>0x0000</v>
      </c>
      <c r="AD23" t="str">
        <f t="shared" si="34"/>
        <v>0x0000</v>
      </c>
      <c r="AE23" t="str">
        <f t="shared" si="34"/>
        <v>0x0000</v>
      </c>
      <c r="AF23" t="str">
        <f t="shared" si="34"/>
        <v>0x0000</v>
      </c>
      <c r="AG23" t="str">
        <f t="shared" si="34"/>
        <v>0x0000</v>
      </c>
      <c r="AH23" t="str">
        <f t="shared" si="34"/>
        <v>0x0000</v>
      </c>
      <c r="AI23" t="str">
        <f t="shared" si="34"/>
        <v>0x0000</v>
      </c>
      <c r="AJ23" t="str">
        <f t="shared" si="34"/>
        <v>0x0000</v>
      </c>
      <c r="AK23" t="str">
        <f t="shared" si="34"/>
        <v>0x0000</v>
      </c>
      <c r="AL23" t="str">
        <f t="shared" si="34"/>
        <v>0x0000</v>
      </c>
      <c r="AM23" t="str">
        <f t="shared" si="34"/>
        <v>0x0000</v>
      </c>
      <c r="AO23" t="str">
        <f t="shared" si="34"/>
        <v>0x0000</v>
      </c>
      <c r="AP23" t="str">
        <f t="shared" si="34"/>
        <v>0x0000</v>
      </c>
      <c r="AQ23" t="str">
        <f t="shared" si="34"/>
        <v>0x0000</v>
      </c>
      <c r="AR23" t="str">
        <f t="shared" si="34"/>
        <v>0x0000</v>
      </c>
      <c r="AS23" t="str">
        <f t="shared" si="34"/>
        <v>0x0000</v>
      </c>
      <c r="AT23" t="str">
        <f t="shared" si="34"/>
        <v>0x0000</v>
      </c>
      <c r="AU23" t="str">
        <f t="shared" si="34"/>
        <v>0x0000</v>
      </c>
      <c r="AV23" t="str">
        <f t="shared" si="34"/>
        <v>0x0000</v>
      </c>
      <c r="AW23" t="str">
        <f t="shared" si="34"/>
        <v>0x0000</v>
      </c>
      <c r="AX23" t="str">
        <f t="shared" si="34"/>
        <v>0x0000</v>
      </c>
      <c r="AY23" t="str">
        <f t="shared" si="34"/>
        <v>0x0000</v>
      </c>
      <c r="BA23" t="str">
        <f t="shared" si="34"/>
        <v>0x0000</v>
      </c>
      <c r="BB23" t="str">
        <f t="shared" si="34"/>
        <v>0x0000</v>
      </c>
      <c r="BC23" t="str">
        <f t="shared" si="34"/>
        <v>0x0000</v>
      </c>
      <c r="BD23" t="str">
        <f t="shared" si="34"/>
        <v>0x0000</v>
      </c>
      <c r="BE23" t="str">
        <f t="shared" si="34"/>
        <v>0x0000</v>
      </c>
      <c r="BF23" t="str">
        <f t="shared" si="34"/>
        <v>0x0000</v>
      </c>
      <c r="BG23" t="str">
        <f t="shared" si="34"/>
        <v>0x0000</v>
      </c>
      <c r="BH23" t="str">
        <f t="shared" si="34"/>
        <v>0x0000</v>
      </c>
      <c r="BI23" t="str">
        <f t="shared" si="34"/>
        <v>0x0000</v>
      </c>
      <c r="BJ23" t="str">
        <f t="shared" si="34"/>
        <v>0x0000</v>
      </c>
      <c r="BK23" t="str">
        <f t="shared" si="34"/>
        <v>0x0000</v>
      </c>
    </row>
    <row r="24" spans="1:63" x14ac:dyDescent="0.25">
      <c r="A24" s="2"/>
      <c r="B24" s="2"/>
      <c r="D24" s="13" t="s">
        <v>216</v>
      </c>
      <c r="E24" t="str">
        <f>Q23</f>
        <v>0x7450</v>
      </c>
      <c r="F24" t="str">
        <f>R23</f>
        <v>0x7450</v>
      </c>
      <c r="G24" t="str">
        <f t="shared" ref="G24:O24" si="35">S23</f>
        <v>0x7450</v>
      </c>
      <c r="H24" t="str">
        <f t="shared" si="35"/>
        <v>0x7450</v>
      </c>
      <c r="I24" t="str">
        <f t="shared" si="35"/>
        <v>0x7450</v>
      </c>
      <c r="J24" t="str">
        <f t="shared" si="35"/>
        <v>0x7450</v>
      </c>
      <c r="K24" t="str">
        <f t="shared" si="35"/>
        <v>0x7450</v>
      </c>
      <c r="L24" t="str">
        <f t="shared" si="35"/>
        <v>0x7450</v>
      </c>
      <c r="M24" t="str">
        <f t="shared" si="35"/>
        <v>0x7450</v>
      </c>
      <c r="N24" t="str">
        <f t="shared" si="35"/>
        <v>0x7450</v>
      </c>
      <c r="O24" t="str">
        <f t="shared" si="35"/>
        <v>0x7450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0x0000</v>
      </c>
      <c r="F25" t="str">
        <f t="shared" ref="F25:O25" si="36">AD23</f>
        <v>0x0000</v>
      </c>
      <c r="G25" t="str">
        <f t="shared" si="36"/>
        <v>0x0000</v>
      </c>
      <c r="H25" t="str">
        <f t="shared" si="36"/>
        <v>0x0000</v>
      </c>
      <c r="I25" t="str">
        <f t="shared" si="36"/>
        <v>0x0000</v>
      </c>
      <c r="J25" t="str">
        <f t="shared" si="36"/>
        <v>0x0000</v>
      </c>
      <c r="K25" t="str">
        <f t="shared" si="36"/>
        <v>0x0000</v>
      </c>
      <c r="L25" t="str">
        <f t="shared" si="36"/>
        <v>0x0000</v>
      </c>
      <c r="M25" t="str">
        <f t="shared" si="36"/>
        <v>0x0000</v>
      </c>
      <c r="N25" t="str">
        <f t="shared" si="36"/>
        <v>0x0000</v>
      </c>
      <c r="O25" t="str">
        <f t="shared" si="36"/>
        <v>0x0000</v>
      </c>
    </row>
    <row r="26" spans="1:63" x14ac:dyDescent="0.25">
      <c r="A26" s="2" t="s">
        <v>42</v>
      </c>
      <c r="B26" s="11" t="s">
        <v>36</v>
      </c>
      <c r="C26" s="10" t="s">
        <v>204</v>
      </c>
      <c r="D26" s="13" t="s">
        <v>209</v>
      </c>
      <c r="E26" t="str">
        <f>AO23</f>
        <v>0x0000</v>
      </c>
      <c r="F26" t="str">
        <f t="shared" ref="F26:O26" si="37">AP23</f>
        <v>0x0000</v>
      </c>
      <c r="G26" t="str">
        <f t="shared" si="37"/>
        <v>0x0000</v>
      </c>
      <c r="H26" t="str">
        <f t="shared" si="37"/>
        <v>0x0000</v>
      </c>
      <c r="I26" t="str">
        <f t="shared" si="37"/>
        <v>0x0000</v>
      </c>
      <c r="J26" t="str">
        <f t="shared" si="37"/>
        <v>0x0000</v>
      </c>
      <c r="K26" t="str">
        <f t="shared" si="37"/>
        <v>0x0000</v>
      </c>
      <c r="L26" t="str">
        <f t="shared" si="37"/>
        <v>0x0000</v>
      </c>
      <c r="M26" t="str">
        <f t="shared" si="37"/>
        <v>0x0000</v>
      </c>
      <c r="N26" t="str">
        <f t="shared" si="37"/>
        <v>0x0000</v>
      </c>
      <c r="O26" t="str">
        <f t="shared" si="37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38">BB23</f>
        <v>0x0000</v>
      </c>
      <c r="G27" t="str">
        <f t="shared" si="38"/>
        <v>0x0000</v>
      </c>
      <c r="H27" t="str">
        <f t="shared" si="38"/>
        <v>0x0000</v>
      </c>
      <c r="I27" t="str">
        <f t="shared" si="38"/>
        <v>0x0000</v>
      </c>
      <c r="J27" t="str">
        <f t="shared" si="38"/>
        <v>0x0000</v>
      </c>
      <c r="K27" t="str">
        <f t="shared" si="38"/>
        <v>0x0000</v>
      </c>
      <c r="L27" t="str">
        <f t="shared" si="38"/>
        <v>0x0000</v>
      </c>
      <c r="M27" t="str">
        <f t="shared" si="38"/>
        <v>0x0000</v>
      </c>
      <c r="N27" t="str">
        <f t="shared" si="38"/>
        <v>0x0000</v>
      </c>
      <c r="O27" t="str">
        <f t="shared" si="38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222</v>
      </c>
    </row>
    <row r="31" spans="1:63" x14ac:dyDescent="0.25">
      <c r="A31" s="4" t="str">
        <f ca="1">CONCATENATE("#",C$26,":",INDIRECT(H33))</f>
        <v>#I2C_Expander_11:wartość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0x21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0x7450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0x09A9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#I2C_Expander_11:etap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0x21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0x7450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0x0BAB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39">INDIRECT(H57)</f>
        <v>0x0000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0">INDIRECT(G58)</f>
        <v>#pins_int</v>
      </c>
      <c r="B58" s="4" t="str">
        <f t="shared" ca="1" si="39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0"/>
        <v>#pins_def_val</v>
      </c>
      <c r="B59" s="4" t="str">
        <f t="shared" ca="1" si="39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#I2C_Expander_11:etap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0x21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0x7450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0x0BAF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1">INDIRECT(H77)</f>
        <v>0x0000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2">INDIRECT(G78)</f>
        <v>#pins_int</v>
      </c>
      <c r="B78" s="4" t="str">
        <f t="shared" ca="1" si="41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2"/>
        <v>#pins_def_val</v>
      </c>
      <c r="B79" s="4" t="str">
        <f t="shared" ca="1" si="41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#I2C_Expander_11:LTC6952_2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0x21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0x7450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0x0B8F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3">INDIRECT(H97)</f>
        <v>0x0000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4">INDIRECT(G98)</f>
        <v>#pins_int</v>
      </c>
      <c r="B98" s="4" t="str">
        <f t="shared" ca="1" si="43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4"/>
        <v>#pins_def_val</v>
      </c>
      <c r="B99" s="4" t="str">
        <f t="shared" ca="1" si="43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#I2C_Expander_11:LMK05028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0x21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0x7450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0x03AF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5">INDIRECT(H117)</f>
        <v>0x0000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6">INDIRECT(G118)</f>
        <v>#pins_int</v>
      </c>
      <c r="B118" s="4" t="str">
        <f t="shared" ca="1" si="45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6"/>
        <v>#pins_def_val</v>
      </c>
      <c r="B119" s="4" t="str">
        <f t="shared" ca="1" si="45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#I2C_Expander_11:etap 5- Karty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0x21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0x7450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0x0BA7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47">INDIRECT(H137)</f>
        <v>0x0000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48">INDIRECT(G138)</f>
        <v>#pins_int</v>
      </c>
      <c r="B138" s="4" t="str">
        <f t="shared" ca="1" si="47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48"/>
        <v>#pins_def_val</v>
      </c>
      <c r="B139" s="4" t="str">
        <f t="shared" ca="1" si="47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#I2C_Expander_11:etap 6- En_SPI_PCIE1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0x21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0x7450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0x0BA6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49">INDIRECT(H157)</f>
        <v>0x0000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0">INDIRECT(G158)</f>
        <v>#pins_int</v>
      </c>
      <c r="B158" s="4" t="str">
        <f t="shared" ca="1" si="49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0"/>
        <v>#pins_def_val</v>
      </c>
      <c r="B159" s="4" t="str">
        <f t="shared" ca="1" si="49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#I2C_Expander_11:etap 7 En_PCIE4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0x21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0x7450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0x0AA7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1">INDIRECT(H177)</f>
        <v>0x0000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2">INDIRECT(G178)</f>
        <v>#pins_int</v>
      </c>
      <c r="B178" s="4" t="str">
        <f t="shared" ca="1" si="51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2"/>
        <v>#pins_def_val</v>
      </c>
      <c r="B179" s="4" t="str">
        <f t="shared" ca="1" si="51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#I2C_Expander_11:etap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0x21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0x7450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0x0BA7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3">INDIRECT(H197)</f>
        <v>0x0000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4">INDIRECT(G198)</f>
        <v>#pins_int</v>
      </c>
      <c r="B198" s="4" t="str">
        <f t="shared" ca="1" si="53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4"/>
        <v>#pins_def_val</v>
      </c>
      <c r="B199" s="4" t="str">
        <f t="shared" ca="1" si="53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#I2C_Expander_11:etap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0x21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0x7450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0x0BA7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5">INDIRECT(H217)</f>
        <v>0x0000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6">INDIRECT(G218)</f>
        <v>#pins_int</v>
      </c>
      <c r="B218" s="4" t="str">
        <f t="shared" ca="1" si="55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6"/>
        <v>#pins_def_val</v>
      </c>
      <c r="B219" s="4" t="str">
        <f t="shared" ca="1" si="55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#I2C_Expander_11:etap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0x21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0x7450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0x0BA7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57">INDIRECT(H237)</f>
        <v>0x0000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58">INDIRECT(G238)</f>
        <v>#pins_int</v>
      </c>
      <c r="B238" s="4" t="str">
        <f t="shared" ca="1" si="57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58"/>
        <v>#pins_def_val</v>
      </c>
      <c r="B239" s="4" t="str">
        <f t="shared" ca="1" si="57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A31" sqref="A31:H37"/>
    </sheetView>
  </sheetViews>
  <sheetFormatPr defaultRowHeight="15" x14ac:dyDescent="0.25"/>
  <cols>
    <col min="1" max="1" width="18.5703125" customWidth="1"/>
    <col min="3" max="3" width="27.28515625" bestFit="1" customWidth="1"/>
    <col min="4" max="4" width="49.7109375" bestFit="1" customWidth="1"/>
    <col min="17" max="17" width="13.140625" customWidth="1"/>
    <col min="18" max="27" width="10.85546875" customWidth="1"/>
    <col min="28" max="28" width="13.14062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2" t="s">
        <v>1</v>
      </c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/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1" t="s">
        <v>290</v>
      </c>
      <c r="C2" s="10" t="s">
        <v>342</v>
      </c>
      <c r="D2" s="10" t="s">
        <v>343</v>
      </c>
      <c r="E2" s="10">
        <v>0</v>
      </c>
      <c r="F2" s="10">
        <v>0</v>
      </c>
      <c r="G2" s="10">
        <v>0</v>
      </c>
      <c r="H2" s="10">
        <f>G2</f>
        <v>0</v>
      </c>
      <c r="I2" s="10">
        <f t="shared" ref="I2:O2" si="0">H2</f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Q2" s="10">
        <v>1</v>
      </c>
      <c r="R2" s="10">
        <f>Q2</f>
        <v>1</v>
      </c>
      <c r="S2" s="10">
        <f t="shared" ref="S2:AA2" si="1">R2</f>
        <v>1</v>
      </c>
      <c r="T2" s="10">
        <f t="shared" si="1"/>
        <v>1</v>
      </c>
      <c r="U2" s="10">
        <f t="shared" si="1"/>
        <v>1</v>
      </c>
      <c r="V2" s="10">
        <f t="shared" si="1"/>
        <v>1</v>
      </c>
      <c r="W2" s="10">
        <f t="shared" si="1"/>
        <v>1</v>
      </c>
      <c r="X2" s="10">
        <f t="shared" si="1"/>
        <v>1</v>
      </c>
      <c r="Y2" s="10">
        <f t="shared" si="1"/>
        <v>1</v>
      </c>
      <c r="Z2" s="10">
        <f t="shared" si="1"/>
        <v>1</v>
      </c>
      <c r="AA2" s="10">
        <f t="shared" si="1"/>
        <v>1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1" t="s">
        <v>291</v>
      </c>
      <c r="C3" s="10" t="s">
        <v>342</v>
      </c>
      <c r="D3" s="10" t="s">
        <v>343</v>
      </c>
      <c r="E3" s="10">
        <v>0</v>
      </c>
      <c r="F3" s="10">
        <v>0</v>
      </c>
      <c r="G3" s="10">
        <v>0</v>
      </c>
      <c r="H3" s="10">
        <f t="shared" ref="H3:O9" si="5">G3</f>
        <v>0</v>
      </c>
      <c r="I3" s="10">
        <f t="shared" si="5"/>
        <v>0</v>
      </c>
      <c r="J3" s="10">
        <f t="shared" si="5"/>
        <v>0</v>
      </c>
      <c r="K3" s="10">
        <f t="shared" si="5"/>
        <v>0</v>
      </c>
      <c r="L3" s="10">
        <f t="shared" si="5"/>
        <v>0</v>
      </c>
      <c r="M3" s="10">
        <f t="shared" si="5"/>
        <v>0</v>
      </c>
      <c r="N3" s="10">
        <f t="shared" si="5"/>
        <v>0</v>
      </c>
      <c r="O3" s="10">
        <f t="shared" si="5"/>
        <v>0</v>
      </c>
      <c r="Q3" s="10">
        <v>1</v>
      </c>
      <c r="R3" s="10">
        <f t="shared" ref="R3:AA9" si="6">Q3</f>
        <v>1</v>
      </c>
      <c r="S3" s="10">
        <f t="shared" si="6"/>
        <v>1</v>
      </c>
      <c r="T3" s="10">
        <f t="shared" si="6"/>
        <v>1</v>
      </c>
      <c r="U3" s="10">
        <f t="shared" si="6"/>
        <v>1</v>
      </c>
      <c r="V3" s="10">
        <f t="shared" si="6"/>
        <v>1</v>
      </c>
      <c r="W3" s="10">
        <f t="shared" si="6"/>
        <v>1</v>
      </c>
      <c r="X3" s="10">
        <f t="shared" si="6"/>
        <v>1</v>
      </c>
      <c r="Y3" s="10">
        <f t="shared" si="6"/>
        <v>1</v>
      </c>
      <c r="Z3" s="10">
        <f t="shared" si="6"/>
        <v>1</v>
      </c>
      <c r="AA3" s="10">
        <f t="shared" si="6"/>
        <v>1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1" t="s">
        <v>292</v>
      </c>
      <c r="C4" s="10" t="s">
        <v>342</v>
      </c>
      <c r="D4" s="10" t="s">
        <v>343</v>
      </c>
      <c r="E4" s="10">
        <v>0</v>
      </c>
      <c r="F4" s="10">
        <v>0</v>
      </c>
      <c r="G4" s="10">
        <v>0</v>
      </c>
      <c r="H4" s="10">
        <f t="shared" si="5"/>
        <v>0</v>
      </c>
      <c r="I4" s="10">
        <f t="shared" si="5"/>
        <v>0</v>
      </c>
      <c r="J4" s="10">
        <f t="shared" si="5"/>
        <v>0</v>
      </c>
      <c r="K4" s="10">
        <f t="shared" si="5"/>
        <v>0</v>
      </c>
      <c r="L4" s="10">
        <f t="shared" si="5"/>
        <v>0</v>
      </c>
      <c r="M4" s="10">
        <f t="shared" si="5"/>
        <v>0</v>
      </c>
      <c r="N4" s="10">
        <f t="shared" si="5"/>
        <v>0</v>
      </c>
      <c r="O4" s="10">
        <f t="shared" si="5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1" t="s">
        <v>293</v>
      </c>
      <c r="C5" s="10" t="s">
        <v>342</v>
      </c>
      <c r="D5" s="10" t="s">
        <v>343</v>
      </c>
      <c r="E5" s="10">
        <v>0</v>
      </c>
      <c r="F5" s="10">
        <v>0</v>
      </c>
      <c r="G5" s="10">
        <v>0</v>
      </c>
      <c r="H5" s="10">
        <f t="shared" si="5"/>
        <v>0</v>
      </c>
      <c r="I5" s="10">
        <f t="shared" si="5"/>
        <v>0</v>
      </c>
      <c r="J5" s="10">
        <f t="shared" si="5"/>
        <v>0</v>
      </c>
      <c r="K5" s="10">
        <f t="shared" si="5"/>
        <v>0</v>
      </c>
      <c r="L5" s="10">
        <f t="shared" si="5"/>
        <v>0</v>
      </c>
      <c r="M5" s="10">
        <f t="shared" si="5"/>
        <v>0</v>
      </c>
      <c r="N5" s="10">
        <f t="shared" si="5"/>
        <v>0</v>
      </c>
      <c r="O5" s="10">
        <f t="shared" si="5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0</v>
      </c>
      <c r="AD5" s="10">
        <f t="shared" si="7"/>
        <v>0</v>
      </c>
      <c r="AE5" s="10">
        <f t="shared" si="7"/>
        <v>0</v>
      </c>
      <c r="AF5" s="10">
        <f t="shared" si="7"/>
        <v>0</v>
      </c>
      <c r="AG5" s="10">
        <f t="shared" si="7"/>
        <v>0</v>
      </c>
      <c r="AH5" s="10">
        <f t="shared" si="7"/>
        <v>0</v>
      </c>
      <c r="AI5" s="10">
        <f t="shared" si="7"/>
        <v>0</v>
      </c>
      <c r="AJ5" s="10">
        <f t="shared" si="7"/>
        <v>0</v>
      </c>
      <c r="AK5" s="10">
        <f t="shared" si="7"/>
        <v>0</v>
      </c>
      <c r="AL5" s="10">
        <f t="shared" si="7"/>
        <v>0</v>
      </c>
      <c r="AM5" s="10">
        <f t="shared" si="7"/>
        <v>0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1" t="s">
        <v>294</v>
      </c>
      <c r="C6" s="10" t="s">
        <v>344</v>
      </c>
      <c r="D6" s="10" t="s">
        <v>345</v>
      </c>
      <c r="E6" s="10">
        <v>0</v>
      </c>
      <c r="F6" s="10">
        <v>0</v>
      </c>
      <c r="G6" s="10">
        <v>0</v>
      </c>
      <c r="H6" s="10">
        <f t="shared" si="5"/>
        <v>0</v>
      </c>
      <c r="I6" s="10">
        <f t="shared" si="5"/>
        <v>0</v>
      </c>
      <c r="J6" s="10">
        <f t="shared" si="5"/>
        <v>0</v>
      </c>
      <c r="K6" s="10">
        <f t="shared" si="5"/>
        <v>0</v>
      </c>
      <c r="L6" s="10">
        <f t="shared" si="5"/>
        <v>0</v>
      </c>
      <c r="M6" s="10">
        <f t="shared" si="5"/>
        <v>0</v>
      </c>
      <c r="N6" s="10">
        <f t="shared" si="5"/>
        <v>0</v>
      </c>
      <c r="O6" s="10">
        <f t="shared" si="5"/>
        <v>0</v>
      </c>
      <c r="Q6" s="10">
        <v>1</v>
      </c>
      <c r="R6" s="10">
        <f t="shared" si="6"/>
        <v>1</v>
      </c>
      <c r="S6" s="10">
        <f t="shared" si="6"/>
        <v>1</v>
      </c>
      <c r="T6" s="10">
        <f t="shared" si="6"/>
        <v>1</v>
      </c>
      <c r="U6" s="10">
        <f t="shared" si="6"/>
        <v>1</v>
      </c>
      <c r="V6" s="10">
        <f t="shared" si="6"/>
        <v>1</v>
      </c>
      <c r="W6" s="10">
        <f t="shared" si="6"/>
        <v>1</v>
      </c>
      <c r="X6" s="10">
        <f t="shared" si="6"/>
        <v>1</v>
      </c>
      <c r="Y6" s="10">
        <f t="shared" si="6"/>
        <v>1</v>
      </c>
      <c r="Z6" s="10">
        <f t="shared" si="6"/>
        <v>1</v>
      </c>
      <c r="AA6" s="10">
        <f t="shared" si="6"/>
        <v>1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1" t="s">
        <v>295</v>
      </c>
      <c r="C7" s="10" t="s">
        <v>346</v>
      </c>
      <c r="D7" s="10" t="s">
        <v>345</v>
      </c>
      <c r="E7" s="10">
        <v>0</v>
      </c>
      <c r="F7" s="10">
        <v>0</v>
      </c>
      <c r="G7" s="10">
        <v>0</v>
      </c>
      <c r="H7" s="10">
        <f t="shared" si="5"/>
        <v>0</v>
      </c>
      <c r="I7" s="10">
        <f t="shared" si="5"/>
        <v>0</v>
      </c>
      <c r="J7" s="10">
        <f t="shared" si="5"/>
        <v>0</v>
      </c>
      <c r="K7" s="10">
        <f t="shared" si="5"/>
        <v>0</v>
      </c>
      <c r="L7" s="10">
        <f t="shared" si="5"/>
        <v>0</v>
      </c>
      <c r="M7" s="10">
        <f t="shared" si="5"/>
        <v>0</v>
      </c>
      <c r="N7" s="10">
        <f t="shared" si="5"/>
        <v>0</v>
      </c>
      <c r="O7" s="10">
        <f t="shared" si="5"/>
        <v>0</v>
      </c>
      <c r="Q7" s="10">
        <v>1</v>
      </c>
      <c r="R7" s="10">
        <f t="shared" si="6"/>
        <v>1</v>
      </c>
      <c r="S7" s="10">
        <f t="shared" si="6"/>
        <v>1</v>
      </c>
      <c r="T7" s="10">
        <f t="shared" si="6"/>
        <v>1</v>
      </c>
      <c r="U7" s="10">
        <f t="shared" si="6"/>
        <v>1</v>
      </c>
      <c r="V7" s="10">
        <f t="shared" si="6"/>
        <v>1</v>
      </c>
      <c r="W7" s="10">
        <f t="shared" si="6"/>
        <v>1</v>
      </c>
      <c r="X7" s="10">
        <f t="shared" si="6"/>
        <v>1</v>
      </c>
      <c r="Y7" s="10">
        <f t="shared" si="6"/>
        <v>1</v>
      </c>
      <c r="Z7" s="10">
        <f t="shared" si="6"/>
        <v>1</v>
      </c>
      <c r="AA7" s="10">
        <f t="shared" si="6"/>
        <v>1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1" t="s">
        <v>296</v>
      </c>
      <c r="C8" s="10" t="s">
        <v>347</v>
      </c>
      <c r="D8" s="10" t="s">
        <v>345</v>
      </c>
      <c r="E8" s="10">
        <v>0</v>
      </c>
      <c r="F8" s="10">
        <v>0</v>
      </c>
      <c r="G8" s="10">
        <v>0</v>
      </c>
      <c r="H8" s="10">
        <f t="shared" si="5"/>
        <v>0</v>
      </c>
      <c r="I8" s="10">
        <f t="shared" si="5"/>
        <v>0</v>
      </c>
      <c r="J8" s="10">
        <f t="shared" si="5"/>
        <v>0</v>
      </c>
      <c r="K8" s="10">
        <f t="shared" si="5"/>
        <v>0</v>
      </c>
      <c r="L8" s="10">
        <f t="shared" si="5"/>
        <v>0</v>
      </c>
      <c r="M8" s="10">
        <f t="shared" si="5"/>
        <v>0</v>
      </c>
      <c r="N8" s="10">
        <f t="shared" si="5"/>
        <v>0</v>
      </c>
      <c r="O8" s="10">
        <f t="shared" si="5"/>
        <v>0</v>
      </c>
      <c r="Q8" s="10">
        <v>1</v>
      </c>
      <c r="R8" s="10">
        <f t="shared" si="6"/>
        <v>1</v>
      </c>
      <c r="S8" s="10">
        <f t="shared" si="6"/>
        <v>1</v>
      </c>
      <c r="T8" s="10">
        <f t="shared" si="6"/>
        <v>1</v>
      </c>
      <c r="U8" s="10">
        <f t="shared" si="6"/>
        <v>1</v>
      </c>
      <c r="V8" s="10">
        <f t="shared" si="6"/>
        <v>1</v>
      </c>
      <c r="W8" s="10">
        <f t="shared" si="6"/>
        <v>1</v>
      </c>
      <c r="X8" s="10">
        <f t="shared" si="6"/>
        <v>1</v>
      </c>
      <c r="Y8" s="10">
        <f t="shared" si="6"/>
        <v>1</v>
      </c>
      <c r="Z8" s="10">
        <f t="shared" si="6"/>
        <v>1</v>
      </c>
      <c r="AA8" s="10">
        <f t="shared" si="6"/>
        <v>1</v>
      </c>
      <c r="AC8" s="10">
        <v>1</v>
      </c>
      <c r="AD8" s="10">
        <f t="shared" si="7"/>
        <v>1</v>
      </c>
      <c r="AE8" s="10">
        <f t="shared" si="7"/>
        <v>1</v>
      </c>
      <c r="AF8" s="10">
        <f t="shared" si="7"/>
        <v>1</v>
      </c>
      <c r="AG8" s="10">
        <f t="shared" si="7"/>
        <v>1</v>
      </c>
      <c r="AH8" s="10">
        <f t="shared" si="7"/>
        <v>1</v>
      </c>
      <c r="AI8" s="10">
        <f t="shared" si="7"/>
        <v>1</v>
      </c>
      <c r="AJ8" s="10">
        <f t="shared" si="7"/>
        <v>1</v>
      </c>
      <c r="AK8" s="10">
        <f t="shared" si="7"/>
        <v>1</v>
      </c>
      <c r="AL8" s="10">
        <f t="shared" si="7"/>
        <v>1</v>
      </c>
      <c r="AM8" s="10">
        <f t="shared" si="7"/>
        <v>1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1" t="s">
        <v>297</v>
      </c>
      <c r="C9" s="10" t="s">
        <v>348</v>
      </c>
      <c r="D9" s="10" t="s">
        <v>345</v>
      </c>
      <c r="E9" s="10">
        <v>0</v>
      </c>
      <c r="F9" s="10">
        <v>0</v>
      </c>
      <c r="G9" s="10"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10">
        <f t="shared" si="5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1</v>
      </c>
      <c r="AD9" s="10">
        <f t="shared" si="7"/>
        <v>1</v>
      </c>
      <c r="AE9" s="10">
        <f t="shared" si="7"/>
        <v>1</v>
      </c>
      <c r="AF9" s="10">
        <f t="shared" si="7"/>
        <v>1</v>
      </c>
      <c r="AG9" s="10">
        <f t="shared" si="7"/>
        <v>1</v>
      </c>
      <c r="AH9" s="10">
        <f t="shared" si="7"/>
        <v>1</v>
      </c>
      <c r="AI9" s="10">
        <f t="shared" si="7"/>
        <v>1</v>
      </c>
      <c r="AJ9" s="10">
        <f t="shared" si="7"/>
        <v>1</v>
      </c>
      <c r="AK9" s="10">
        <f t="shared" si="7"/>
        <v>1</v>
      </c>
      <c r="AL9" s="10">
        <f t="shared" si="7"/>
        <v>1</v>
      </c>
      <c r="AM9" s="10">
        <f t="shared" si="7"/>
        <v>1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B10" s="2"/>
      <c r="E10" t="str">
        <f t="shared" ref="E10:AM10" si="10">CONCATENATE(E9,E8,E7,E6,E5,E4,E3,E2)</f>
        <v>00000000</v>
      </c>
      <c r="F10" t="str">
        <f t="shared" si="10"/>
        <v>00000000</v>
      </c>
      <c r="G10" t="str">
        <f t="shared" si="10"/>
        <v>00000000</v>
      </c>
      <c r="H10" t="str">
        <f t="shared" si="10"/>
        <v>00000000</v>
      </c>
      <c r="I10" t="str">
        <f t="shared" si="10"/>
        <v>00000000</v>
      </c>
      <c r="J10" t="str">
        <f t="shared" si="10"/>
        <v>00000000</v>
      </c>
      <c r="K10" t="str">
        <f t="shared" si="10"/>
        <v>00000000</v>
      </c>
      <c r="L10" t="str">
        <f t="shared" si="10"/>
        <v>00000000</v>
      </c>
      <c r="M10" t="str">
        <f t="shared" si="10"/>
        <v>00000000</v>
      </c>
      <c r="N10" t="str">
        <f t="shared" si="10"/>
        <v>00000000</v>
      </c>
      <c r="O10" t="str">
        <f t="shared" si="10"/>
        <v>00000000</v>
      </c>
      <c r="Q10" t="str">
        <f t="shared" si="10"/>
        <v>11111111</v>
      </c>
      <c r="R10" t="str">
        <f t="shared" si="10"/>
        <v>11111111</v>
      </c>
      <c r="S10" t="str">
        <f t="shared" si="10"/>
        <v>11111111</v>
      </c>
      <c r="T10" t="str">
        <f t="shared" si="10"/>
        <v>11111111</v>
      </c>
      <c r="U10" t="str">
        <f t="shared" si="10"/>
        <v>11111111</v>
      </c>
      <c r="V10" t="str">
        <f t="shared" si="10"/>
        <v>11111111</v>
      </c>
      <c r="W10" t="str">
        <f t="shared" si="10"/>
        <v>11111111</v>
      </c>
      <c r="X10" t="str">
        <f t="shared" si="10"/>
        <v>11111111</v>
      </c>
      <c r="Y10" t="str">
        <f t="shared" si="10"/>
        <v>11111111</v>
      </c>
      <c r="Z10" t="str">
        <f t="shared" si="10"/>
        <v>11111111</v>
      </c>
      <c r="AA10" t="str">
        <f t="shared" si="10"/>
        <v>11111111</v>
      </c>
      <c r="AC10" t="str">
        <f t="shared" si="10"/>
        <v>11000000</v>
      </c>
      <c r="AD10" t="str">
        <f t="shared" si="10"/>
        <v>11000000</v>
      </c>
      <c r="AE10" t="str">
        <f t="shared" si="10"/>
        <v>11000000</v>
      </c>
      <c r="AF10" t="str">
        <f t="shared" si="10"/>
        <v>11000000</v>
      </c>
      <c r="AG10" t="str">
        <f t="shared" si="10"/>
        <v>11000000</v>
      </c>
      <c r="AH10" t="str">
        <f t="shared" si="10"/>
        <v>11000000</v>
      </c>
      <c r="AI10" t="str">
        <f t="shared" si="10"/>
        <v>11000000</v>
      </c>
      <c r="AJ10" t="str">
        <f t="shared" si="10"/>
        <v>11000000</v>
      </c>
      <c r="AK10" t="str">
        <f t="shared" si="10"/>
        <v>11000000</v>
      </c>
      <c r="AL10" t="str">
        <f t="shared" si="10"/>
        <v>11000000</v>
      </c>
      <c r="AM10" t="str">
        <f t="shared" si="10"/>
        <v>11000000</v>
      </c>
      <c r="AO10" t="str">
        <f t="shared" ref="AO10:AY10" si="11">CONCATENATE(AO9,AO8,AO7,AO6,AO5,AO4,AO3,AO2)</f>
        <v>00000000</v>
      </c>
      <c r="AP10" t="str">
        <f t="shared" si="11"/>
        <v>00000000</v>
      </c>
      <c r="AQ10" t="str">
        <f t="shared" si="11"/>
        <v>00000000</v>
      </c>
      <c r="AR10" t="str">
        <f t="shared" si="11"/>
        <v>00000000</v>
      </c>
      <c r="AS10" t="str">
        <f t="shared" si="11"/>
        <v>00000000</v>
      </c>
      <c r="AT10" t="str">
        <f t="shared" si="11"/>
        <v>00000000</v>
      </c>
      <c r="AU10" t="str">
        <f t="shared" si="11"/>
        <v>00000000</v>
      </c>
      <c r="AV10" t="str">
        <f t="shared" si="11"/>
        <v>00000000</v>
      </c>
      <c r="AW10" t="str">
        <f t="shared" si="11"/>
        <v>00000000</v>
      </c>
      <c r="AX10" t="str">
        <f t="shared" si="11"/>
        <v>00000000</v>
      </c>
      <c r="AY10" t="str">
        <f t="shared" si="11"/>
        <v>00000000</v>
      </c>
      <c r="BA10" t="str">
        <f t="shared" ref="BA10:BK10" si="12">CONCATENATE(BA9,BA8,BA7,BA6,BA5,BA4,BA3,BA2)</f>
        <v>00000000</v>
      </c>
      <c r="BB10" t="str">
        <f t="shared" si="12"/>
        <v>00000000</v>
      </c>
      <c r="BC10" t="str">
        <f t="shared" si="12"/>
        <v>00000000</v>
      </c>
      <c r="BD10" t="str">
        <f t="shared" si="12"/>
        <v>00000000</v>
      </c>
      <c r="BE10" t="str">
        <f t="shared" si="12"/>
        <v>00000000</v>
      </c>
      <c r="BF10" t="str">
        <f t="shared" si="12"/>
        <v>00000000</v>
      </c>
      <c r="BG10" t="str">
        <f t="shared" si="12"/>
        <v>00000000</v>
      </c>
      <c r="BH10" t="str">
        <f t="shared" si="12"/>
        <v>00000000</v>
      </c>
      <c r="BI10" t="str">
        <f t="shared" si="12"/>
        <v>00000000</v>
      </c>
      <c r="BJ10" t="str">
        <f t="shared" si="12"/>
        <v>00000000</v>
      </c>
      <c r="BK10" t="str">
        <f t="shared" si="12"/>
        <v>00000000</v>
      </c>
    </row>
    <row r="11" spans="1:63" x14ac:dyDescent="0.25">
      <c r="A11" s="2"/>
      <c r="B11" s="2" t="s">
        <v>4</v>
      </c>
      <c r="E11" t="str">
        <f t="shared" ref="E11:AM11" si="13">CONCATENATE(BIN2HEX(E10,2))</f>
        <v>00</v>
      </c>
      <c r="F11" t="str">
        <f t="shared" si="13"/>
        <v>00</v>
      </c>
      <c r="G11" t="str">
        <f t="shared" si="13"/>
        <v>00</v>
      </c>
      <c r="H11" t="str">
        <f t="shared" si="13"/>
        <v>00</v>
      </c>
      <c r="I11" t="str">
        <f t="shared" si="13"/>
        <v>00</v>
      </c>
      <c r="J11" t="str">
        <f t="shared" si="13"/>
        <v>00</v>
      </c>
      <c r="K11" t="str">
        <f t="shared" si="13"/>
        <v>00</v>
      </c>
      <c r="L11" t="str">
        <f t="shared" si="13"/>
        <v>00</v>
      </c>
      <c r="M11" t="str">
        <f t="shared" si="13"/>
        <v>00</v>
      </c>
      <c r="N11" t="str">
        <f t="shared" si="13"/>
        <v>00</v>
      </c>
      <c r="O11" t="str">
        <f t="shared" si="13"/>
        <v>00</v>
      </c>
      <c r="Q11" t="str">
        <f t="shared" si="13"/>
        <v>FF</v>
      </c>
      <c r="R11" t="str">
        <f t="shared" si="13"/>
        <v>FF</v>
      </c>
      <c r="S11" t="str">
        <f t="shared" si="13"/>
        <v>FF</v>
      </c>
      <c r="T11" t="str">
        <f t="shared" si="13"/>
        <v>FF</v>
      </c>
      <c r="U11" t="str">
        <f t="shared" si="13"/>
        <v>FF</v>
      </c>
      <c r="V11" t="str">
        <f t="shared" si="13"/>
        <v>FF</v>
      </c>
      <c r="W11" t="str">
        <f t="shared" si="13"/>
        <v>FF</v>
      </c>
      <c r="X11" t="str">
        <f t="shared" si="13"/>
        <v>FF</v>
      </c>
      <c r="Y11" t="str">
        <f t="shared" si="13"/>
        <v>FF</v>
      </c>
      <c r="Z11" t="str">
        <f t="shared" si="13"/>
        <v>FF</v>
      </c>
      <c r="AA11" t="str">
        <f t="shared" si="13"/>
        <v>FF</v>
      </c>
      <c r="AC11" t="str">
        <f t="shared" si="13"/>
        <v>C0</v>
      </c>
      <c r="AD11" t="str">
        <f t="shared" si="13"/>
        <v>C0</v>
      </c>
      <c r="AE11" t="str">
        <f t="shared" si="13"/>
        <v>C0</v>
      </c>
      <c r="AF11" t="str">
        <f t="shared" si="13"/>
        <v>C0</v>
      </c>
      <c r="AG11" t="str">
        <f t="shared" si="13"/>
        <v>C0</v>
      </c>
      <c r="AH11" t="str">
        <f t="shared" si="13"/>
        <v>C0</v>
      </c>
      <c r="AI11" t="str">
        <f t="shared" si="13"/>
        <v>C0</v>
      </c>
      <c r="AJ11" t="str">
        <f t="shared" si="13"/>
        <v>C0</v>
      </c>
      <c r="AK11" t="str">
        <f t="shared" si="13"/>
        <v>C0</v>
      </c>
      <c r="AL11" t="str">
        <f t="shared" si="13"/>
        <v>C0</v>
      </c>
      <c r="AM11" t="str">
        <f t="shared" si="13"/>
        <v>C0</v>
      </c>
      <c r="AO11" t="str">
        <f t="shared" ref="AO11:AY11" si="14">CONCATENATE(BIN2HEX(AO10,2))</f>
        <v>00</v>
      </c>
      <c r="AP11" t="str">
        <f t="shared" si="14"/>
        <v>00</v>
      </c>
      <c r="AQ11" t="str">
        <f t="shared" si="14"/>
        <v>00</v>
      </c>
      <c r="AR11" t="str">
        <f t="shared" si="14"/>
        <v>00</v>
      </c>
      <c r="AS11" t="str">
        <f t="shared" si="14"/>
        <v>00</v>
      </c>
      <c r="AT11" t="str">
        <f t="shared" si="14"/>
        <v>00</v>
      </c>
      <c r="AU11" t="str">
        <f t="shared" si="14"/>
        <v>00</v>
      </c>
      <c r="AV11" t="str">
        <f t="shared" si="14"/>
        <v>00</v>
      </c>
      <c r="AW11" t="str">
        <f t="shared" si="14"/>
        <v>00</v>
      </c>
      <c r="AX11" t="str">
        <f t="shared" si="14"/>
        <v>00</v>
      </c>
      <c r="AY11" t="str">
        <f t="shared" si="14"/>
        <v>00</v>
      </c>
      <c r="BA11" t="str">
        <f t="shared" ref="BA11:BK11" si="15">CONCATENATE(BIN2HEX(BA10,2))</f>
        <v>00</v>
      </c>
      <c r="BB11" t="str">
        <f t="shared" si="15"/>
        <v>00</v>
      </c>
      <c r="BC11" t="str">
        <f t="shared" si="15"/>
        <v>00</v>
      </c>
      <c r="BD11" t="str">
        <f t="shared" si="15"/>
        <v>00</v>
      </c>
      <c r="BE11" t="str">
        <f t="shared" si="15"/>
        <v>00</v>
      </c>
      <c r="BF11" t="str">
        <f t="shared" si="15"/>
        <v>00</v>
      </c>
      <c r="BG11" t="str">
        <f t="shared" si="15"/>
        <v>00</v>
      </c>
      <c r="BH11" t="str">
        <f t="shared" si="15"/>
        <v>00</v>
      </c>
      <c r="BI11" t="str">
        <f t="shared" si="15"/>
        <v>00</v>
      </c>
      <c r="BJ11" t="str">
        <f t="shared" si="15"/>
        <v>00</v>
      </c>
      <c r="BK11" t="str">
        <f t="shared" si="15"/>
        <v>00</v>
      </c>
    </row>
    <row r="12" spans="1:63" x14ac:dyDescent="0.25">
      <c r="A12" s="2"/>
      <c r="B12" s="2"/>
    </row>
    <row r="13" spans="1:63" s="10" customFormat="1" x14ac:dyDescent="0.25">
      <c r="A13" s="11"/>
      <c r="B13" s="11" t="s">
        <v>298</v>
      </c>
      <c r="C13" s="10" t="s">
        <v>349</v>
      </c>
      <c r="D13" s="10" t="s">
        <v>345</v>
      </c>
      <c r="E13" s="10">
        <v>0</v>
      </c>
      <c r="F13" s="10">
        <v>0</v>
      </c>
      <c r="G13" s="10">
        <v>0</v>
      </c>
      <c r="H13" s="10">
        <f>G13</f>
        <v>0</v>
      </c>
      <c r="I13" s="10">
        <f t="shared" ref="I13:O13" si="16">H13</f>
        <v>0</v>
      </c>
      <c r="J13" s="10">
        <f t="shared" si="16"/>
        <v>0</v>
      </c>
      <c r="K13" s="10">
        <f t="shared" si="16"/>
        <v>0</v>
      </c>
      <c r="L13" s="10">
        <f t="shared" si="16"/>
        <v>0</v>
      </c>
      <c r="M13" s="10">
        <f t="shared" si="16"/>
        <v>0</v>
      </c>
      <c r="N13" s="10">
        <f t="shared" si="16"/>
        <v>0</v>
      </c>
      <c r="O13" s="10">
        <f t="shared" si="16"/>
        <v>0</v>
      </c>
      <c r="Q13" s="10">
        <v>1</v>
      </c>
      <c r="R13" s="10">
        <f>Q13</f>
        <v>1</v>
      </c>
      <c r="S13" s="10">
        <f t="shared" ref="S13:AA13" si="17">R13</f>
        <v>1</v>
      </c>
      <c r="T13" s="10">
        <f t="shared" si="17"/>
        <v>1</v>
      </c>
      <c r="U13" s="10">
        <f t="shared" si="17"/>
        <v>1</v>
      </c>
      <c r="V13" s="10">
        <f t="shared" si="17"/>
        <v>1</v>
      </c>
      <c r="W13" s="10">
        <f t="shared" si="17"/>
        <v>1</v>
      </c>
      <c r="X13" s="10">
        <f t="shared" si="17"/>
        <v>1</v>
      </c>
      <c r="Y13" s="10">
        <f t="shared" si="17"/>
        <v>1</v>
      </c>
      <c r="Z13" s="10">
        <f t="shared" si="17"/>
        <v>1</v>
      </c>
      <c r="AA13" s="10">
        <f t="shared" si="17"/>
        <v>1</v>
      </c>
      <c r="AC13" s="10">
        <v>0</v>
      </c>
      <c r="AD13" s="10">
        <f>AC13</f>
        <v>0</v>
      </c>
      <c r="AE13" s="10">
        <f t="shared" ref="AE13:AM13" si="18">AD13</f>
        <v>0</v>
      </c>
      <c r="AF13" s="10">
        <f t="shared" si="18"/>
        <v>0</v>
      </c>
      <c r="AG13" s="10">
        <f t="shared" si="18"/>
        <v>0</v>
      </c>
      <c r="AH13" s="10">
        <f t="shared" si="18"/>
        <v>0</v>
      </c>
      <c r="AI13" s="10">
        <f t="shared" si="18"/>
        <v>0</v>
      </c>
      <c r="AJ13" s="10">
        <f t="shared" si="18"/>
        <v>0</v>
      </c>
      <c r="AK13" s="10">
        <f t="shared" si="18"/>
        <v>0</v>
      </c>
      <c r="AL13" s="10">
        <f t="shared" si="18"/>
        <v>0</v>
      </c>
      <c r="AM13" s="10">
        <f t="shared" si="18"/>
        <v>0</v>
      </c>
      <c r="AO13" s="10">
        <v>0</v>
      </c>
      <c r="AP13" s="10">
        <f>AO13</f>
        <v>0</v>
      </c>
      <c r="AQ13" s="10">
        <f t="shared" ref="AQ13:AY13" si="19">AP13</f>
        <v>0</v>
      </c>
      <c r="AR13" s="10">
        <f t="shared" si="19"/>
        <v>0</v>
      </c>
      <c r="AS13" s="10">
        <f t="shared" si="19"/>
        <v>0</v>
      </c>
      <c r="AT13" s="10">
        <f t="shared" si="19"/>
        <v>0</v>
      </c>
      <c r="AU13" s="10">
        <f t="shared" si="19"/>
        <v>0</v>
      </c>
      <c r="AV13" s="10">
        <f t="shared" si="19"/>
        <v>0</v>
      </c>
      <c r="AW13" s="10">
        <f t="shared" si="19"/>
        <v>0</v>
      </c>
      <c r="AX13" s="10">
        <f t="shared" si="19"/>
        <v>0</v>
      </c>
      <c r="AY13" s="10">
        <f t="shared" si="19"/>
        <v>0</v>
      </c>
      <c r="BA13" s="10">
        <v>0</v>
      </c>
      <c r="BB13" s="10">
        <f>BA13</f>
        <v>0</v>
      </c>
      <c r="BC13" s="10">
        <f t="shared" ref="BC13:BK13" si="20">BB13</f>
        <v>0</v>
      </c>
      <c r="BD13" s="10">
        <f t="shared" si="20"/>
        <v>0</v>
      </c>
      <c r="BE13" s="10">
        <f t="shared" si="20"/>
        <v>0</v>
      </c>
      <c r="BF13" s="10">
        <f t="shared" si="20"/>
        <v>0</v>
      </c>
      <c r="BG13" s="10">
        <f t="shared" si="20"/>
        <v>0</v>
      </c>
      <c r="BH13" s="10">
        <f t="shared" si="20"/>
        <v>0</v>
      </c>
      <c r="BI13" s="10">
        <f t="shared" si="20"/>
        <v>0</v>
      </c>
      <c r="BJ13" s="10">
        <f t="shared" si="20"/>
        <v>0</v>
      </c>
      <c r="BK13" s="10">
        <f t="shared" si="20"/>
        <v>0</v>
      </c>
    </row>
    <row r="14" spans="1:63" s="10" customFormat="1" x14ac:dyDescent="0.25">
      <c r="A14" s="11"/>
      <c r="B14" s="11" t="s">
        <v>299</v>
      </c>
      <c r="C14" s="10" t="s">
        <v>118</v>
      </c>
      <c r="E14" s="10">
        <v>0</v>
      </c>
      <c r="F14" s="10">
        <v>0</v>
      </c>
      <c r="G14" s="10">
        <v>0</v>
      </c>
      <c r="H14" s="10">
        <f t="shared" ref="H14:O20" si="21">G14</f>
        <v>0</v>
      </c>
      <c r="I14" s="10">
        <f t="shared" si="21"/>
        <v>0</v>
      </c>
      <c r="J14" s="10">
        <f t="shared" si="21"/>
        <v>0</v>
      </c>
      <c r="K14" s="10">
        <f t="shared" si="21"/>
        <v>0</v>
      </c>
      <c r="L14" s="10">
        <f t="shared" si="21"/>
        <v>0</v>
      </c>
      <c r="M14" s="10">
        <f t="shared" si="21"/>
        <v>0</v>
      </c>
      <c r="N14" s="10">
        <f t="shared" si="21"/>
        <v>0</v>
      </c>
      <c r="O14" s="10">
        <f t="shared" si="21"/>
        <v>0</v>
      </c>
      <c r="Q14" s="10">
        <v>1</v>
      </c>
      <c r="R14" s="10">
        <f t="shared" ref="R14:AA20" si="22">Q14</f>
        <v>1</v>
      </c>
      <c r="S14" s="10">
        <f t="shared" si="22"/>
        <v>1</v>
      </c>
      <c r="T14" s="10">
        <f t="shared" si="22"/>
        <v>1</v>
      </c>
      <c r="U14" s="10">
        <f t="shared" si="22"/>
        <v>1</v>
      </c>
      <c r="V14" s="10">
        <f t="shared" si="22"/>
        <v>1</v>
      </c>
      <c r="W14" s="10">
        <f t="shared" si="22"/>
        <v>1</v>
      </c>
      <c r="X14" s="10">
        <f t="shared" si="22"/>
        <v>1</v>
      </c>
      <c r="Y14" s="10">
        <f t="shared" si="22"/>
        <v>1</v>
      </c>
      <c r="Z14" s="10">
        <f t="shared" si="22"/>
        <v>1</v>
      </c>
      <c r="AA14" s="10">
        <f t="shared" si="22"/>
        <v>1</v>
      </c>
      <c r="AC14" s="10">
        <v>0</v>
      </c>
      <c r="AD14" s="10">
        <f t="shared" ref="AD14:AM20" si="23">AC14</f>
        <v>0</v>
      </c>
      <c r="AE14" s="10">
        <f t="shared" si="23"/>
        <v>0</v>
      </c>
      <c r="AF14" s="10">
        <f t="shared" si="23"/>
        <v>0</v>
      </c>
      <c r="AG14" s="10">
        <f t="shared" si="23"/>
        <v>0</v>
      </c>
      <c r="AH14" s="10">
        <f t="shared" si="23"/>
        <v>0</v>
      </c>
      <c r="AI14" s="10">
        <f t="shared" si="23"/>
        <v>0</v>
      </c>
      <c r="AJ14" s="10">
        <f t="shared" si="23"/>
        <v>0</v>
      </c>
      <c r="AK14" s="10">
        <f t="shared" si="23"/>
        <v>0</v>
      </c>
      <c r="AL14" s="10">
        <f t="shared" si="23"/>
        <v>0</v>
      </c>
      <c r="AM14" s="10">
        <f t="shared" si="23"/>
        <v>0</v>
      </c>
      <c r="AO14" s="10">
        <v>0</v>
      </c>
      <c r="AP14" s="10">
        <f t="shared" ref="AP14:AY20" si="24">AO14</f>
        <v>0</v>
      </c>
      <c r="AQ14" s="10">
        <f t="shared" si="24"/>
        <v>0</v>
      </c>
      <c r="AR14" s="10">
        <f t="shared" si="24"/>
        <v>0</v>
      </c>
      <c r="AS14" s="10">
        <f t="shared" si="24"/>
        <v>0</v>
      </c>
      <c r="AT14" s="10">
        <f t="shared" si="24"/>
        <v>0</v>
      </c>
      <c r="AU14" s="10">
        <f t="shared" si="24"/>
        <v>0</v>
      </c>
      <c r="AV14" s="10">
        <f t="shared" si="24"/>
        <v>0</v>
      </c>
      <c r="AW14" s="10">
        <f t="shared" si="24"/>
        <v>0</v>
      </c>
      <c r="AX14" s="10">
        <f t="shared" si="24"/>
        <v>0</v>
      </c>
      <c r="AY14" s="10">
        <f t="shared" si="24"/>
        <v>0</v>
      </c>
      <c r="BA14" s="10">
        <v>0</v>
      </c>
      <c r="BB14" s="10">
        <f t="shared" ref="BB14:BK20" si="25">BA14</f>
        <v>0</v>
      </c>
      <c r="BC14" s="10">
        <f t="shared" si="25"/>
        <v>0</v>
      </c>
      <c r="BD14" s="10">
        <f t="shared" si="25"/>
        <v>0</v>
      </c>
      <c r="BE14" s="10">
        <f t="shared" si="25"/>
        <v>0</v>
      </c>
      <c r="BF14" s="10">
        <f t="shared" si="25"/>
        <v>0</v>
      </c>
      <c r="BG14" s="10">
        <f t="shared" si="25"/>
        <v>0</v>
      </c>
      <c r="BH14" s="10">
        <f t="shared" si="25"/>
        <v>0</v>
      </c>
      <c r="BI14" s="10">
        <f t="shared" si="25"/>
        <v>0</v>
      </c>
      <c r="BJ14" s="10">
        <f t="shared" si="25"/>
        <v>0</v>
      </c>
      <c r="BK14" s="10">
        <f t="shared" si="25"/>
        <v>0</v>
      </c>
    </row>
    <row r="15" spans="1:63" s="10" customFormat="1" x14ac:dyDescent="0.25">
      <c r="A15" s="11"/>
      <c r="B15" s="11" t="s">
        <v>300</v>
      </c>
      <c r="C15" s="10" t="s">
        <v>350</v>
      </c>
      <c r="D15" s="10" t="s">
        <v>351</v>
      </c>
      <c r="E15" s="10">
        <v>0</v>
      </c>
      <c r="F15" s="10">
        <v>0</v>
      </c>
      <c r="G15" s="10">
        <v>0</v>
      </c>
      <c r="H15" s="10">
        <f t="shared" si="21"/>
        <v>0</v>
      </c>
      <c r="I15" s="10">
        <f t="shared" si="21"/>
        <v>0</v>
      </c>
      <c r="J15" s="10">
        <f t="shared" si="21"/>
        <v>0</v>
      </c>
      <c r="K15" s="10">
        <f t="shared" si="21"/>
        <v>0</v>
      </c>
      <c r="L15" s="10">
        <f t="shared" si="21"/>
        <v>0</v>
      </c>
      <c r="M15" s="10">
        <f t="shared" si="21"/>
        <v>0</v>
      </c>
      <c r="N15" s="10">
        <f t="shared" si="21"/>
        <v>0</v>
      </c>
      <c r="O15" s="10">
        <f t="shared" si="21"/>
        <v>0</v>
      </c>
      <c r="Q15" s="10">
        <v>1</v>
      </c>
      <c r="R15" s="10">
        <f t="shared" si="22"/>
        <v>1</v>
      </c>
      <c r="S15" s="10">
        <f t="shared" si="22"/>
        <v>1</v>
      </c>
      <c r="T15" s="10">
        <f t="shared" si="22"/>
        <v>1</v>
      </c>
      <c r="U15" s="10">
        <f t="shared" si="22"/>
        <v>1</v>
      </c>
      <c r="V15" s="10">
        <f t="shared" si="22"/>
        <v>1</v>
      </c>
      <c r="W15" s="10">
        <f t="shared" si="22"/>
        <v>1</v>
      </c>
      <c r="X15" s="10">
        <f t="shared" si="22"/>
        <v>1</v>
      </c>
      <c r="Y15" s="10">
        <f t="shared" si="22"/>
        <v>1</v>
      </c>
      <c r="Z15" s="10">
        <f t="shared" si="22"/>
        <v>1</v>
      </c>
      <c r="AA15" s="10">
        <f t="shared" si="22"/>
        <v>1</v>
      </c>
      <c r="AC15" s="10">
        <v>1</v>
      </c>
      <c r="AD15" s="10">
        <f t="shared" si="23"/>
        <v>1</v>
      </c>
      <c r="AE15" s="10">
        <f t="shared" si="23"/>
        <v>1</v>
      </c>
      <c r="AF15" s="10">
        <f t="shared" si="23"/>
        <v>1</v>
      </c>
      <c r="AG15" s="10">
        <f t="shared" si="23"/>
        <v>1</v>
      </c>
      <c r="AH15" s="10">
        <f t="shared" si="23"/>
        <v>1</v>
      </c>
      <c r="AI15" s="10">
        <f t="shared" si="23"/>
        <v>1</v>
      </c>
      <c r="AJ15" s="10">
        <f t="shared" si="23"/>
        <v>1</v>
      </c>
      <c r="AK15" s="10">
        <f t="shared" si="23"/>
        <v>1</v>
      </c>
      <c r="AL15" s="10">
        <f t="shared" si="23"/>
        <v>1</v>
      </c>
      <c r="AM15" s="10">
        <f t="shared" si="23"/>
        <v>1</v>
      </c>
      <c r="AO15" s="10">
        <v>0</v>
      </c>
      <c r="AP15" s="10">
        <f t="shared" si="24"/>
        <v>0</v>
      </c>
      <c r="AQ15" s="10">
        <f t="shared" si="24"/>
        <v>0</v>
      </c>
      <c r="AR15" s="10">
        <f t="shared" si="24"/>
        <v>0</v>
      </c>
      <c r="AS15" s="10">
        <f t="shared" si="24"/>
        <v>0</v>
      </c>
      <c r="AT15" s="10">
        <f t="shared" si="24"/>
        <v>0</v>
      </c>
      <c r="AU15" s="10">
        <f t="shared" si="24"/>
        <v>0</v>
      </c>
      <c r="AV15" s="10">
        <f t="shared" si="24"/>
        <v>0</v>
      </c>
      <c r="AW15" s="10">
        <f t="shared" si="24"/>
        <v>0</v>
      </c>
      <c r="AX15" s="10">
        <f t="shared" si="24"/>
        <v>0</v>
      </c>
      <c r="AY15" s="10">
        <f t="shared" si="24"/>
        <v>0</v>
      </c>
      <c r="BA15" s="10">
        <v>0</v>
      </c>
      <c r="BB15" s="10">
        <f t="shared" si="25"/>
        <v>0</v>
      </c>
      <c r="BC15" s="10">
        <f t="shared" si="25"/>
        <v>0</v>
      </c>
      <c r="BD15" s="10">
        <f t="shared" si="25"/>
        <v>0</v>
      </c>
      <c r="BE15" s="10">
        <f t="shared" si="25"/>
        <v>0</v>
      </c>
      <c r="BF15" s="10">
        <f t="shared" si="25"/>
        <v>0</v>
      </c>
      <c r="BG15" s="10">
        <f t="shared" si="25"/>
        <v>0</v>
      </c>
      <c r="BH15" s="10">
        <f t="shared" si="25"/>
        <v>0</v>
      </c>
      <c r="BI15" s="10">
        <f t="shared" si="25"/>
        <v>0</v>
      </c>
      <c r="BJ15" s="10">
        <f t="shared" si="25"/>
        <v>0</v>
      </c>
      <c r="BK15" s="10">
        <f t="shared" si="25"/>
        <v>0</v>
      </c>
    </row>
    <row r="16" spans="1:63" s="10" customFormat="1" x14ac:dyDescent="0.25">
      <c r="A16" s="11"/>
      <c r="B16" s="11" t="s">
        <v>301</v>
      </c>
      <c r="C16" s="10" t="s">
        <v>118</v>
      </c>
      <c r="E16" s="10">
        <v>0</v>
      </c>
      <c r="F16" s="10">
        <v>0</v>
      </c>
      <c r="G16" s="10">
        <v>0</v>
      </c>
      <c r="H16" s="10">
        <f t="shared" si="21"/>
        <v>0</v>
      </c>
      <c r="I16" s="10">
        <f t="shared" si="21"/>
        <v>0</v>
      </c>
      <c r="J16" s="10">
        <f t="shared" si="21"/>
        <v>0</v>
      </c>
      <c r="K16" s="10">
        <f t="shared" si="21"/>
        <v>0</v>
      </c>
      <c r="L16" s="10">
        <f t="shared" si="21"/>
        <v>0</v>
      </c>
      <c r="M16" s="10">
        <f t="shared" si="21"/>
        <v>0</v>
      </c>
      <c r="N16" s="10">
        <f t="shared" si="21"/>
        <v>0</v>
      </c>
      <c r="O16" s="10">
        <f t="shared" si="21"/>
        <v>0</v>
      </c>
      <c r="Q16" s="10">
        <v>1</v>
      </c>
      <c r="R16" s="10">
        <f t="shared" si="22"/>
        <v>1</v>
      </c>
      <c r="S16" s="10">
        <f t="shared" si="22"/>
        <v>1</v>
      </c>
      <c r="T16" s="10">
        <f t="shared" si="22"/>
        <v>1</v>
      </c>
      <c r="U16" s="10">
        <f t="shared" si="22"/>
        <v>1</v>
      </c>
      <c r="V16" s="10">
        <f t="shared" si="22"/>
        <v>1</v>
      </c>
      <c r="W16" s="10">
        <f t="shared" si="22"/>
        <v>1</v>
      </c>
      <c r="X16" s="10">
        <f t="shared" si="22"/>
        <v>1</v>
      </c>
      <c r="Y16" s="10">
        <f t="shared" si="22"/>
        <v>1</v>
      </c>
      <c r="Z16" s="10">
        <f t="shared" si="22"/>
        <v>1</v>
      </c>
      <c r="AA16" s="10">
        <f t="shared" si="22"/>
        <v>1</v>
      </c>
      <c r="AC16" s="10">
        <v>0</v>
      </c>
      <c r="AD16" s="10">
        <f t="shared" si="23"/>
        <v>0</v>
      </c>
      <c r="AE16" s="10">
        <f t="shared" si="23"/>
        <v>0</v>
      </c>
      <c r="AF16" s="10">
        <f t="shared" si="23"/>
        <v>0</v>
      </c>
      <c r="AG16" s="10">
        <f t="shared" si="23"/>
        <v>0</v>
      </c>
      <c r="AH16" s="10">
        <f t="shared" si="23"/>
        <v>0</v>
      </c>
      <c r="AI16" s="10">
        <f t="shared" si="23"/>
        <v>0</v>
      </c>
      <c r="AJ16" s="10">
        <f t="shared" si="23"/>
        <v>0</v>
      </c>
      <c r="AK16" s="10">
        <f t="shared" si="23"/>
        <v>0</v>
      </c>
      <c r="AL16" s="10">
        <f t="shared" si="23"/>
        <v>0</v>
      </c>
      <c r="AM16" s="10">
        <f t="shared" si="23"/>
        <v>0</v>
      </c>
      <c r="AO16" s="10">
        <v>0</v>
      </c>
      <c r="AP16" s="10">
        <f t="shared" si="24"/>
        <v>0</v>
      </c>
      <c r="AQ16" s="10">
        <f t="shared" si="24"/>
        <v>0</v>
      </c>
      <c r="AR16" s="10">
        <f t="shared" si="24"/>
        <v>0</v>
      </c>
      <c r="AS16" s="10">
        <f t="shared" si="24"/>
        <v>0</v>
      </c>
      <c r="AT16" s="10">
        <f t="shared" si="24"/>
        <v>0</v>
      </c>
      <c r="AU16" s="10">
        <f t="shared" si="24"/>
        <v>0</v>
      </c>
      <c r="AV16" s="10">
        <f t="shared" si="24"/>
        <v>0</v>
      </c>
      <c r="AW16" s="10">
        <f t="shared" si="24"/>
        <v>0</v>
      </c>
      <c r="AX16" s="10">
        <f t="shared" si="24"/>
        <v>0</v>
      </c>
      <c r="AY16" s="10">
        <f t="shared" si="24"/>
        <v>0</v>
      </c>
      <c r="BA16" s="10">
        <v>0</v>
      </c>
      <c r="BB16" s="10">
        <f t="shared" si="25"/>
        <v>0</v>
      </c>
      <c r="BC16" s="10">
        <f t="shared" si="25"/>
        <v>0</v>
      </c>
      <c r="BD16" s="10">
        <f t="shared" si="25"/>
        <v>0</v>
      </c>
      <c r="BE16" s="10">
        <f t="shared" si="25"/>
        <v>0</v>
      </c>
      <c r="BF16" s="10">
        <f t="shared" si="25"/>
        <v>0</v>
      </c>
      <c r="BG16" s="10">
        <f t="shared" si="25"/>
        <v>0</v>
      </c>
      <c r="BH16" s="10">
        <f t="shared" si="25"/>
        <v>0</v>
      </c>
      <c r="BI16" s="10">
        <f t="shared" si="25"/>
        <v>0</v>
      </c>
      <c r="BJ16" s="10">
        <f t="shared" si="25"/>
        <v>0</v>
      </c>
      <c r="BK16" s="10">
        <f t="shared" si="25"/>
        <v>0</v>
      </c>
    </row>
    <row r="17" spans="1:63" s="10" customFormat="1" x14ac:dyDescent="0.25">
      <c r="A17" s="11"/>
      <c r="B17" s="11" t="s">
        <v>302</v>
      </c>
      <c r="C17" s="10" t="s">
        <v>118</v>
      </c>
      <c r="E17" s="10">
        <v>0</v>
      </c>
      <c r="F17" s="10">
        <v>0</v>
      </c>
      <c r="G17" s="10">
        <v>0</v>
      </c>
      <c r="H17" s="10">
        <f t="shared" si="21"/>
        <v>0</v>
      </c>
      <c r="I17" s="10">
        <f t="shared" si="21"/>
        <v>0</v>
      </c>
      <c r="J17" s="10">
        <f t="shared" si="21"/>
        <v>0</v>
      </c>
      <c r="K17" s="10">
        <f t="shared" si="21"/>
        <v>0</v>
      </c>
      <c r="L17" s="10">
        <f t="shared" si="21"/>
        <v>0</v>
      </c>
      <c r="M17" s="10">
        <f t="shared" si="21"/>
        <v>0</v>
      </c>
      <c r="N17" s="10">
        <f t="shared" si="21"/>
        <v>0</v>
      </c>
      <c r="O17" s="10">
        <f t="shared" si="21"/>
        <v>0</v>
      </c>
      <c r="Q17" s="10">
        <v>1</v>
      </c>
      <c r="R17" s="10">
        <f t="shared" si="22"/>
        <v>1</v>
      </c>
      <c r="S17" s="10">
        <f t="shared" si="22"/>
        <v>1</v>
      </c>
      <c r="T17" s="10">
        <f t="shared" si="22"/>
        <v>1</v>
      </c>
      <c r="U17" s="10">
        <f t="shared" si="22"/>
        <v>1</v>
      </c>
      <c r="V17" s="10">
        <f t="shared" si="22"/>
        <v>1</v>
      </c>
      <c r="W17" s="10">
        <f t="shared" si="22"/>
        <v>1</v>
      </c>
      <c r="X17" s="10">
        <f t="shared" si="22"/>
        <v>1</v>
      </c>
      <c r="Y17" s="10">
        <f t="shared" si="22"/>
        <v>1</v>
      </c>
      <c r="Z17" s="10">
        <f t="shared" si="22"/>
        <v>1</v>
      </c>
      <c r="AA17" s="10">
        <f t="shared" si="22"/>
        <v>1</v>
      </c>
      <c r="AC17" s="10">
        <v>0</v>
      </c>
      <c r="AD17" s="10">
        <f t="shared" si="23"/>
        <v>0</v>
      </c>
      <c r="AE17" s="10">
        <f t="shared" si="23"/>
        <v>0</v>
      </c>
      <c r="AF17" s="10">
        <f t="shared" si="23"/>
        <v>0</v>
      </c>
      <c r="AG17" s="10">
        <f t="shared" si="23"/>
        <v>0</v>
      </c>
      <c r="AH17" s="10">
        <f t="shared" si="23"/>
        <v>0</v>
      </c>
      <c r="AI17" s="10">
        <f t="shared" si="23"/>
        <v>0</v>
      </c>
      <c r="AJ17" s="10">
        <f t="shared" si="23"/>
        <v>0</v>
      </c>
      <c r="AK17" s="10">
        <f t="shared" si="23"/>
        <v>0</v>
      </c>
      <c r="AL17" s="10">
        <f t="shared" si="23"/>
        <v>0</v>
      </c>
      <c r="AM17" s="10">
        <f t="shared" si="23"/>
        <v>0</v>
      </c>
      <c r="AO17" s="10">
        <v>0</v>
      </c>
      <c r="AP17" s="10">
        <f t="shared" si="24"/>
        <v>0</v>
      </c>
      <c r="AQ17" s="10">
        <f t="shared" si="24"/>
        <v>0</v>
      </c>
      <c r="AR17" s="10">
        <f t="shared" si="24"/>
        <v>0</v>
      </c>
      <c r="AS17" s="10">
        <f t="shared" si="24"/>
        <v>0</v>
      </c>
      <c r="AT17" s="10">
        <f t="shared" si="24"/>
        <v>0</v>
      </c>
      <c r="AU17" s="10">
        <f t="shared" si="24"/>
        <v>0</v>
      </c>
      <c r="AV17" s="10">
        <f t="shared" si="24"/>
        <v>0</v>
      </c>
      <c r="AW17" s="10">
        <f t="shared" si="24"/>
        <v>0</v>
      </c>
      <c r="AX17" s="10">
        <f t="shared" si="24"/>
        <v>0</v>
      </c>
      <c r="AY17" s="10">
        <f t="shared" si="24"/>
        <v>0</v>
      </c>
      <c r="BA17" s="10">
        <v>0</v>
      </c>
      <c r="BB17" s="10">
        <f t="shared" si="25"/>
        <v>0</v>
      </c>
      <c r="BC17" s="10">
        <f t="shared" si="25"/>
        <v>0</v>
      </c>
      <c r="BD17" s="10">
        <f t="shared" si="25"/>
        <v>0</v>
      </c>
      <c r="BE17" s="10">
        <f t="shared" si="25"/>
        <v>0</v>
      </c>
      <c r="BF17" s="10">
        <f t="shared" si="25"/>
        <v>0</v>
      </c>
      <c r="BG17" s="10">
        <f t="shared" si="25"/>
        <v>0</v>
      </c>
      <c r="BH17" s="10">
        <f t="shared" si="25"/>
        <v>0</v>
      </c>
      <c r="BI17" s="10">
        <f t="shared" si="25"/>
        <v>0</v>
      </c>
      <c r="BJ17" s="10">
        <f t="shared" si="25"/>
        <v>0</v>
      </c>
      <c r="BK17" s="10">
        <f t="shared" si="25"/>
        <v>0</v>
      </c>
    </row>
    <row r="18" spans="1:63" s="10" customFormat="1" x14ac:dyDescent="0.25">
      <c r="A18" s="11"/>
      <c r="B18" s="11" t="s">
        <v>303</v>
      </c>
      <c r="C18" s="10" t="s">
        <v>118</v>
      </c>
      <c r="E18" s="10">
        <v>0</v>
      </c>
      <c r="F18" s="10">
        <v>0</v>
      </c>
      <c r="G18" s="10">
        <v>0</v>
      </c>
      <c r="H18" s="10">
        <f t="shared" si="21"/>
        <v>0</v>
      </c>
      <c r="I18" s="10">
        <f t="shared" si="21"/>
        <v>0</v>
      </c>
      <c r="J18" s="10">
        <f t="shared" si="21"/>
        <v>0</v>
      </c>
      <c r="K18" s="10">
        <f t="shared" si="21"/>
        <v>0</v>
      </c>
      <c r="L18" s="10">
        <f t="shared" si="21"/>
        <v>0</v>
      </c>
      <c r="M18" s="10">
        <f t="shared" si="21"/>
        <v>0</v>
      </c>
      <c r="N18" s="10">
        <f t="shared" si="21"/>
        <v>0</v>
      </c>
      <c r="O18" s="10">
        <f t="shared" si="21"/>
        <v>0</v>
      </c>
      <c r="Q18" s="10">
        <v>1</v>
      </c>
      <c r="R18" s="10">
        <f t="shared" si="22"/>
        <v>1</v>
      </c>
      <c r="S18" s="10">
        <f t="shared" si="22"/>
        <v>1</v>
      </c>
      <c r="T18" s="10">
        <f t="shared" si="22"/>
        <v>1</v>
      </c>
      <c r="U18" s="10">
        <f t="shared" si="22"/>
        <v>1</v>
      </c>
      <c r="V18" s="10">
        <f t="shared" si="22"/>
        <v>1</v>
      </c>
      <c r="W18" s="10">
        <f t="shared" si="22"/>
        <v>1</v>
      </c>
      <c r="X18" s="10">
        <f t="shared" si="22"/>
        <v>1</v>
      </c>
      <c r="Y18" s="10">
        <f t="shared" si="22"/>
        <v>1</v>
      </c>
      <c r="Z18" s="10">
        <f t="shared" si="22"/>
        <v>1</v>
      </c>
      <c r="AA18" s="10">
        <f t="shared" si="22"/>
        <v>1</v>
      </c>
      <c r="AC18" s="10">
        <v>0</v>
      </c>
      <c r="AD18" s="10">
        <f t="shared" si="23"/>
        <v>0</v>
      </c>
      <c r="AE18" s="10">
        <f t="shared" si="23"/>
        <v>0</v>
      </c>
      <c r="AF18" s="10">
        <f t="shared" si="23"/>
        <v>0</v>
      </c>
      <c r="AG18" s="10">
        <f t="shared" si="23"/>
        <v>0</v>
      </c>
      <c r="AH18" s="10">
        <f t="shared" si="23"/>
        <v>0</v>
      </c>
      <c r="AI18" s="10">
        <f t="shared" si="23"/>
        <v>0</v>
      </c>
      <c r="AJ18" s="10">
        <f t="shared" si="23"/>
        <v>0</v>
      </c>
      <c r="AK18" s="10">
        <f t="shared" si="23"/>
        <v>0</v>
      </c>
      <c r="AL18" s="10">
        <f t="shared" si="23"/>
        <v>0</v>
      </c>
      <c r="AM18" s="10">
        <f t="shared" si="23"/>
        <v>0</v>
      </c>
      <c r="AO18" s="10">
        <v>0</v>
      </c>
      <c r="AP18" s="10">
        <f t="shared" si="24"/>
        <v>0</v>
      </c>
      <c r="AQ18" s="10">
        <f t="shared" si="24"/>
        <v>0</v>
      </c>
      <c r="AR18" s="10">
        <f t="shared" si="24"/>
        <v>0</v>
      </c>
      <c r="AS18" s="10">
        <f t="shared" si="24"/>
        <v>0</v>
      </c>
      <c r="AT18" s="10">
        <f t="shared" si="24"/>
        <v>0</v>
      </c>
      <c r="AU18" s="10">
        <f t="shared" si="24"/>
        <v>0</v>
      </c>
      <c r="AV18" s="10">
        <f t="shared" si="24"/>
        <v>0</v>
      </c>
      <c r="AW18" s="10">
        <f t="shared" si="24"/>
        <v>0</v>
      </c>
      <c r="AX18" s="10">
        <f t="shared" si="24"/>
        <v>0</v>
      </c>
      <c r="AY18" s="10">
        <f t="shared" si="24"/>
        <v>0</v>
      </c>
      <c r="BA18" s="10">
        <v>0</v>
      </c>
      <c r="BB18" s="10">
        <f t="shared" si="25"/>
        <v>0</v>
      </c>
      <c r="BC18" s="10">
        <f t="shared" si="25"/>
        <v>0</v>
      </c>
      <c r="BD18" s="10">
        <f t="shared" si="25"/>
        <v>0</v>
      </c>
      <c r="BE18" s="10">
        <f t="shared" si="25"/>
        <v>0</v>
      </c>
      <c r="BF18" s="10">
        <f t="shared" si="25"/>
        <v>0</v>
      </c>
      <c r="BG18" s="10">
        <f t="shared" si="25"/>
        <v>0</v>
      </c>
      <c r="BH18" s="10">
        <f t="shared" si="25"/>
        <v>0</v>
      </c>
      <c r="BI18" s="10">
        <f t="shared" si="25"/>
        <v>0</v>
      </c>
      <c r="BJ18" s="10">
        <f t="shared" si="25"/>
        <v>0</v>
      </c>
      <c r="BK18" s="10">
        <f t="shared" si="25"/>
        <v>0</v>
      </c>
    </row>
    <row r="19" spans="1:63" s="10" customFormat="1" x14ac:dyDescent="0.25">
      <c r="A19" s="11"/>
      <c r="B19" s="11" t="s">
        <v>304</v>
      </c>
      <c r="C19" s="10" t="s">
        <v>352</v>
      </c>
      <c r="E19" s="10">
        <v>0</v>
      </c>
      <c r="F19" s="10">
        <v>0</v>
      </c>
      <c r="G19" s="10">
        <v>0</v>
      </c>
      <c r="H19" s="10">
        <f t="shared" si="21"/>
        <v>0</v>
      </c>
      <c r="I19" s="10">
        <f t="shared" si="21"/>
        <v>0</v>
      </c>
      <c r="J19" s="10">
        <f t="shared" si="21"/>
        <v>0</v>
      </c>
      <c r="K19" s="10">
        <f t="shared" si="21"/>
        <v>0</v>
      </c>
      <c r="L19" s="10">
        <f t="shared" si="21"/>
        <v>0</v>
      </c>
      <c r="M19" s="10">
        <f t="shared" si="21"/>
        <v>0</v>
      </c>
      <c r="N19" s="10">
        <f t="shared" si="21"/>
        <v>0</v>
      </c>
      <c r="O19" s="10">
        <f t="shared" si="21"/>
        <v>0</v>
      </c>
      <c r="Q19" s="10">
        <v>1</v>
      </c>
      <c r="R19" s="10">
        <f t="shared" si="22"/>
        <v>1</v>
      </c>
      <c r="S19" s="10">
        <f t="shared" si="22"/>
        <v>1</v>
      </c>
      <c r="T19" s="10">
        <f t="shared" si="22"/>
        <v>1</v>
      </c>
      <c r="U19" s="10">
        <f t="shared" si="22"/>
        <v>1</v>
      </c>
      <c r="V19" s="10">
        <f t="shared" si="22"/>
        <v>1</v>
      </c>
      <c r="W19" s="10">
        <f t="shared" si="22"/>
        <v>1</v>
      </c>
      <c r="X19" s="10">
        <f t="shared" si="22"/>
        <v>1</v>
      </c>
      <c r="Y19" s="10">
        <f t="shared" si="22"/>
        <v>1</v>
      </c>
      <c r="Z19" s="10">
        <f t="shared" si="22"/>
        <v>1</v>
      </c>
      <c r="AA19" s="10">
        <f t="shared" si="22"/>
        <v>1</v>
      </c>
      <c r="AC19" s="10">
        <v>0</v>
      </c>
      <c r="AD19" s="10">
        <f t="shared" si="23"/>
        <v>0</v>
      </c>
      <c r="AE19" s="10">
        <f t="shared" si="23"/>
        <v>0</v>
      </c>
      <c r="AF19" s="10">
        <f t="shared" si="23"/>
        <v>0</v>
      </c>
      <c r="AG19" s="10">
        <f t="shared" si="23"/>
        <v>0</v>
      </c>
      <c r="AH19" s="10">
        <f t="shared" si="23"/>
        <v>0</v>
      </c>
      <c r="AI19" s="10">
        <f t="shared" si="23"/>
        <v>0</v>
      </c>
      <c r="AJ19" s="10">
        <f t="shared" si="23"/>
        <v>0</v>
      </c>
      <c r="AK19" s="10">
        <f t="shared" si="23"/>
        <v>0</v>
      </c>
      <c r="AL19" s="10">
        <f t="shared" si="23"/>
        <v>0</v>
      </c>
      <c r="AM19" s="10">
        <f t="shared" si="23"/>
        <v>0</v>
      </c>
      <c r="AO19" s="10">
        <v>0</v>
      </c>
      <c r="AP19" s="10">
        <f t="shared" si="24"/>
        <v>0</v>
      </c>
      <c r="AQ19" s="10">
        <f t="shared" si="24"/>
        <v>0</v>
      </c>
      <c r="AR19" s="10">
        <f t="shared" si="24"/>
        <v>0</v>
      </c>
      <c r="AS19" s="10">
        <f t="shared" si="24"/>
        <v>0</v>
      </c>
      <c r="AT19" s="10">
        <f t="shared" si="24"/>
        <v>0</v>
      </c>
      <c r="AU19" s="10">
        <f t="shared" si="24"/>
        <v>0</v>
      </c>
      <c r="AV19" s="10">
        <f t="shared" si="24"/>
        <v>0</v>
      </c>
      <c r="AW19" s="10">
        <f t="shared" si="24"/>
        <v>0</v>
      </c>
      <c r="AX19" s="10">
        <f t="shared" si="24"/>
        <v>0</v>
      </c>
      <c r="AY19" s="10">
        <f t="shared" si="24"/>
        <v>0</v>
      </c>
      <c r="BA19" s="10">
        <v>0</v>
      </c>
      <c r="BB19" s="10">
        <f t="shared" si="25"/>
        <v>0</v>
      </c>
      <c r="BC19" s="10">
        <f t="shared" si="25"/>
        <v>0</v>
      </c>
      <c r="BD19" s="10">
        <f t="shared" si="25"/>
        <v>0</v>
      </c>
      <c r="BE19" s="10">
        <f t="shared" si="25"/>
        <v>0</v>
      </c>
      <c r="BF19" s="10">
        <f t="shared" si="25"/>
        <v>0</v>
      </c>
      <c r="BG19" s="10">
        <f t="shared" si="25"/>
        <v>0</v>
      </c>
      <c r="BH19" s="10">
        <f t="shared" si="25"/>
        <v>0</v>
      </c>
      <c r="BI19" s="10">
        <f t="shared" si="25"/>
        <v>0</v>
      </c>
      <c r="BJ19" s="10">
        <f t="shared" si="25"/>
        <v>0</v>
      </c>
      <c r="BK19" s="10">
        <f t="shared" si="25"/>
        <v>0</v>
      </c>
    </row>
    <row r="20" spans="1:63" s="10" customFormat="1" x14ac:dyDescent="0.25">
      <c r="A20" s="11"/>
      <c r="B20" s="11" t="s">
        <v>305</v>
      </c>
      <c r="C20" s="10" t="s">
        <v>353</v>
      </c>
      <c r="D20" s="10" t="s">
        <v>354</v>
      </c>
      <c r="E20" s="10">
        <v>0</v>
      </c>
      <c r="F20" s="10">
        <v>0</v>
      </c>
      <c r="G20" s="10">
        <v>0</v>
      </c>
      <c r="H20" s="10">
        <f t="shared" si="21"/>
        <v>0</v>
      </c>
      <c r="I20" s="10">
        <f t="shared" si="21"/>
        <v>0</v>
      </c>
      <c r="J20" s="10">
        <f t="shared" si="21"/>
        <v>0</v>
      </c>
      <c r="K20" s="10">
        <f t="shared" si="21"/>
        <v>0</v>
      </c>
      <c r="L20" s="10">
        <f t="shared" si="21"/>
        <v>0</v>
      </c>
      <c r="M20" s="10">
        <f t="shared" si="21"/>
        <v>0</v>
      </c>
      <c r="N20" s="10">
        <f t="shared" si="21"/>
        <v>0</v>
      </c>
      <c r="O20" s="10">
        <f t="shared" si="21"/>
        <v>0</v>
      </c>
      <c r="Q20" s="10">
        <v>1</v>
      </c>
      <c r="R20" s="10">
        <f t="shared" si="22"/>
        <v>1</v>
      </c>
      <c r="S20" s="10">
        <f t="shared" si="22"/>
        <v>1</v>
      </c>
      <c r="T20" s="10">
        <f t="shared" si="22"/>
        <v>1</v>
      </c>
      <c r="U20" s="10">
        <f t="shared" si="22"/>
        <v>1</v>
      </c>
      <c r="V20" s="10">
        <f t="shared" si="22"/>
        <v>1</v>
      </c>
      <c r="W20" s="10">
        <f t="shared" si="22"/>
        <v>1</v>
      </c>
      <c r="X20" s="10">
        <f t="shared" si="22"/>
        <v>1</v>
      </c>
      <c r="Y20" s="10">
        <f t="shared" si="22"/>
        <v>1</v>
      </c>
      <c r="Z20" s="10">
        <f t="shared" si="22"/>
        <v>1</v>
      </c>
      <c r="AA20" s="10">
        <f t="shared" si="22"/>
        <v>1</v>
      </c>
      <c r="AC20" s="10">
        <v>1</v>
      </c>
      <c r="AD20" s="10">
        <f t="shared" si="23"/>
        <v>1</v>
      </c>
      <c r="AE20" s="10">
        <f t="shared" si="23"/>
        <v>1</v>
      </c>
      <c r="AF20" s="10">
        <f t="shared" si="23"/>
        <v>1</v>
      </c>
      <c r="AG20" s="10">
        <f t="shared" si="23"/>
        <v>1</v>
      </c>
      <c r="AH20" s="10">
        <f t="shared" si="23"/>
        <v>1</v>
      </c>
      <c r="AI20" s="10">
        <f t="shared" si="23"/>
        <v>1</v>
      </c>
      <c r="AJ20" s="10">
        <f t="shared" si="23"/>
        <v>1</v>
      </c>
      <c r="AK20" s="10">
        <f t="shared" si="23"/>
        <v>1</v>
      </c>
      <c r="AL20" s="10">
        <f t="shared" si="23"/>
        <v>1</v>
      </c>
      <c r="AM20" s="10">
        <f t="shared" si="23"/>
        <v>1</v>
      </c>
      <c r="AO20" s="10">
        <v>0</v>
      </c>
      <c r="AP20" s="10">
        <f t="shared" si="24"/>
        <v>0</v>
      </c>
      <c r="AQ20" s="10">
        <f t="shared" si="24"/>
        <v>0</v>
      </c>
      <c r="AR20" s="10">
        <f t="shared" si="24"/>
        <v>0</v>
      </c>
      <c r="AS20" s="10">
        <f t="shared" si="24"/>
        <v>0</v>
      </c>
      <c r="AT20" s="10">
        <f t="shared" si="24"/>
        <v>0</v>
      </c>
      <c r="AU20" s="10">
        <f t="shared" si="24"/>
        <v>0</v>
      </c>
      <c r="AV20" s="10">
        <f t="shared" si="24"/>
        <v>0</v>
      </c>
      <c r="AW20" s="10">
        <f t="shared" si="24"/>
        <v>0</v>
      </c>
      <c r="AX20" s="10">
        <f t="shared" si="24"/>
        <v>0</v>
      </c>
      <c r="AY20" s="10">
        <f t="shared" si="24"/>
        <v>0</v>
      </c>
      <c r="BA20" s="10">
        <v>0</v>
      </c>
      <c r="BB20" s="10">
        <f t="shared" si="25"/>
        <v>0</v>
      </c>
      <c r="BC20" s="10">
        <f t="shared" si="25"/>
        <v>0</v>
      </c>
      <c r="BD20" s="10">
        <f t="shared" si="25"/>
        <v>0</v>
      </c>
      <c r="BE20" s="10">
        <f t="shared" si="25"/>
        <v>0</v>
      </c>
      <c r="BF20" s="10">
        <f t="shared" si="25"/>
        <v>0</v>
      </c>
      <c r="BG20" s="10">
        <f t="shared" si="25"/>
        <v>0</v>
      </c>
      <c r="BH20" s="10">
        <f t="shared" si="25"/>
        <v>0</v>
      </c>
      <c r="BI20" s="10">
        <f t="shared" si="25"/>
        <v>0</v>
      </c>
      <c r="BJ20" s="10">
        <f t="shared" si="25"/>
        <v>0</v>
      </c>
      <c r="BK20" s="10">
        <f t="shared" si="25"/>
        <v>0</v>
      </c>
    </row>
    <row r="21" spans="1:63" x14ac:dyDescent="0.25">
      <c r="A21" s="2"/>
      <c r="B21" s="2"/>
      <c r="E21" t="str">
        <f t="shared" ref="E21:AM21" si="26">CONCATENATE(E20,E19,E18,E17,E16,E15,E14,E13)</f>
        <v>00000000</v>
      </c>
      <c r="F21" t="str">
        <f t="shared" si="26"/>
        <v>00000000</v>
      </c>
      <c r="G21" t="str">
        <f t="shared" si="26"/>
        <v>00000000</v>
      </c>
      <c r="H21" t="str">
        <f t="shared" si="26"/>
        <v>00000000</v>
      </c>
      <c r="I21" t="str">
        <f t="shared" si="26"/>
        <v>00000000</v>
      </c>
      <c r="J21" t="str">
        <f t="shared" si="26"/>
        <v>00000000</v>
      </c>
      <c r="K21" t="str">
        <f t="shared" si="26"/>
        <v>00000000</v>
      </c>
      <c r="L21" t="str">
        <f t="shared" si="26"/>
        <v>00000000</v>
      </c>
      <c r="M21" t="str">
        <f t="shared" si="26"/>
        <v>00000000</v>
      </c>
      <c r="N21" t="str">
        <f t="shared" si="26"/>
        <v>00000000</v>
      </c>
      <c r="O21" t="str">
        <f t="shared" si="26"/>
        <v>00000000</v>
      </c>
      <c r="Q21" t="str">
        <f t="shared" si="26"/>
        <v>11111111</v>
      </c>
      <c r="R21" t="str">
        <f t="shared" si="26"/>
        <v>11111111</v>
      </c>
      <c r="S21" t="str">
        <f t="shared" si="26"/>
        <v>11111111</v>
      </c>
      <c r="T21" t="str">
        <f t="shared" si="26"/>
        <v>11111111</v>
      </c>
      <c r="U21" t="str">
        <f t="shared" si="26"/>
        <v>11111111</v>
      </c>
      <c r="V21" t="str">
        <f t="shared" si="26"/>
        <v>11111111</v>
      </c>
      <c r="W21" t="str">
        <f t="shared" si="26"/>
        <v>11111111</v>
      </c>
      <c r="X21" t="str">
        <f t="shared" si="26"/>
        <v>11111111</v>
      </c>
      <c r="Y21" t="str">
        <f t="shared" si="26"/>
        <v>11111111</v>
      </c>
      <c r="Z21" t="str">
        <f t="shared" si="26"/>
        <v>11111111</v>
      </c>
      <c r="AA21" t="str">
        <f t="shared" si="26"/>
        <v>11111111</v>
      </c>
      <c r="AC21" t="str">
        <f t="shared" si="26"/>
        <v>10000100</v>
      </c>
      <c r="AD21" t="str">
        <f t="shared" si="26"/>
        <v>10000100</v>
      </c>
      <c r="AE21" t="str">
        <f t="shared" si="26"/>
        <v>10000100</v>
      </c>
      <c r="AF21" t="str">
        <f t="shared" si="26"/>
        <v>10000100</v>
      </c>
      <c r="AG21" t="str">
        <f t="shared" si="26"/>
        <v>10000100</v>
      </c>
      <c r="AH21" t="str">
        <f t="shared" si="26"/>
        <v>10000100</v>
      </c>
      <c r="AI21" t="str">
        <f t="shared" si="26"/>
        <v>10000100</v>
      </c>
      <c r="AJ21" t="str">
        <f t="shared" si="26"/>
        <v>10000100</v>
      </c>
      <c r="AK21" t="str">
        <f t="shared" si="26"/>
        <v>10000100</v>
      </c>
      <c r="AL21" t="str">
        <f t="shared" si="26"/>
        <v>10000100</v>
      </c>
      <c r="AM21" t="str">
        <f t="shared" si="26"/>
        <v>10000100</v>
      </c>
      <c r="AO21" t="str">
        <f t="shared" ref="AO21:AY21" si="27">CONCATENATE(AO20,AO19,AO18,AO17,AO16,AO15,AO14,AO13)</f>
        <v>00000000</v>
      </c>
      <c r="AP21" t="str">
        <f t="shared" si="27"/>
        <v>00000000</v>
      </c>
      <c r="AQ21" t="str">
        <f t="shared" si="27"/>
        <v>00000000</v>
      </c>
      <c r="AR21" t="str">
        <f t="shared" si="27"/>
        <v>00000000</v>
      </c>
      <c r="AS21" t="str">
        <f t="shared" si="27"/>
        <v>00000000</v>
      </c>
      <c r="AT21" t="str">
        <f t="shared" si="27"/>
        <v>00000000</v>
      </c>
      <c r="AU21" t="str">
        <f t="shared" si="27"/>
        <v>00000000</v>
      </c>
      <c r="AV21" t="str">
        <f t="shared" si="27"/>
        <v>00000000</v>
      </c>
      <c r="AW21" t="str">
        <f t="shared" si="27"/>
        <v>00000000</v>
      </c>
      <c r="AX21" t="str">
        <f t="shared" si="27"/>
        <v>00000000</v>
      </c>
      <c r="AY21" t="str">
        <f t="shared" si="27"/>
        <v>00000000</v>
      </c>
      <c r="BA21" t="str">
        <f t="shared" ref="BA21:BK21" si="28">CONCATENATE(BA20,BA19,BA18,BA17,BA16,BA15,BA14,BA13)</f>
        <v>00000000</v>
      </c>
      <c r="BB21" t="str">
        <f t="shared" si="28"/>
        <v>00000000</v>
      </c>
      <c r="BC21" t="str">
        <f t="shared" si="28"/>
        <v>00000000</v>
      </c>
      <c r="BD21" t="str">
        <f t="shared" si="28"/>
        <v>00000000</v>
      </c>
      <c r="BE21" t="str">
        <f t="shared" si="28"/>
        <v>00000000</v>
      </c>
      <c r="BF21" t="str">
        <f t="shared" si="28"/>
        <v>00000000</v>
      </c>
      <c r="BG21" t="str">
        <f t="shared" si="28"/>
        <v>00000000</v>
      </c>
      <c r="BH21" t="str">
        <f t="shared" si="28"/>
        <v>00000000</v>
      </c>
      <c r="BI21" t="str">
        <f t="shared" si="28"/>
        <v>00000000</v>
      </c>
      <c r="BJ21" t="str">
        <f t="shared" si="28"/>
        <v>00000000</v>
      </c>
      <c r="BK21" t="str">
        <f t="shared" si="28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M22" si="29">CONCATENATE(BIN2HEX(E21,2))</f>
        <v>00</v>
      </c>
      <c r="F22" t="str">
        <f t="shared" si="29"/>
        <v>00</v>
      </c>
      <c r="G22" t="str">
        <f t="shared" si="29"/>
        <v>00</v>
      </c>
      <c r="H22" t="str">
        <f t="shared" si="29"/>
        <v>00</v>
      </c>
      <c r="I22" t="str">
        <f t="shared" si="29"/>
        <v>00</v>
      </c>
      <c r="J22" t="str">
        <f t="shared" si="29"/>
        <v>00</v>
      </c>
      <c r="K22" t="str">
        <f t="shared" si="29"/>
        <v>00</v>
      </c>
      <c r="L22" t="str">
        <f t="shared" si="29"/>
        <v>00</v>
      </c>
      <c r="M22" t="str">
        <f t="shared" si="29"/>
        <v>00</v>
      </c>
      <c r="N22" t="str">
        <f t="shared" si="29"/>
        <v>00</v>
      </c>
      <c r="O22" t="str">
        <f t="shared" si="29"/>
        <v>00</v>
      </c>
      <c r="Q22" t="str">
        <f t="shared" si="29"/>
        <v>FF</v>
      </c>
      <c r="R22" t="str">
        <f t="shared" si="29"/>
        <v>FF</v>
      </c>
      <c r="S22" t="str">
        <f t="shared" si="29"/>
        <v>FF</v>
      </c>
      <c r="T22" t="str">
        <f t="shared" si="29"/>
        <v>FF</v>
      </c>
      <c r="U22" t="str">
        <f t="shared" si="29"/>
        <v>FF</v>
      </c>
      <c r="V22" t="str">
        <f t="shared" si="29"/>
        <v>FF</v>
      </c>
      <c r="W22" t="str">
        <f t="shared" si="29"/>
        <v>FF</v>
      </c>
      <c r="X22" t="str">
        <f t="shared" si="29"/>
        <v>FF</v>
      </c>
      <c r="Y22" t="str">
        <f t="shared" si="29"/>
        <v>FF</v>
      </c>
      <c r="Z22" t="str">
        <f t="shared" si="29"/>
        <v>FF</v>
      </c>
      <c r="AA22" t="str">
        <f t="shared" si="29"/>
        <v>FF</v>
      </c>
      <c r="AC22" t="str">
        <f t="shared" si="29"/>
        <v>84</v>
      </c>
      <c r="AD22" t="str">
        <f t="shared" si="29"/>
        <v>84</v>
      </c>
      <c r="AE22" t="str">
        <f t="shared" si="29"/>
        <v>84</v>
      </c>
      <c r="AF22" t="str">
        <f t="shared" si="29"/>
        <v>84</v>
      </c>
      <c r="AG22" t="str">
        <f t="shared" si="29"/>
        <v>84</v>
      </c>
      <c r="AH22" t="str">
        <f t="shared" si="29"/>
        <v>84</v>
      </c>
      <c r="AI22" t="str">
        <f t="shared" si="29"/>
        <v>84</v>
      </c>
      <c r="AJ22" t="str">
        <f t="shared" si="29"/>
        <v>84</v>
      </c>
      <c r="AK22" t="str">
        <f t="shared" si="29"/>
        <v>84</v>
      </c>
      <c r="AL22" t="str">
        <f t="shared" si="29"/>
        <v>84</v>
      </c>
      <c r="AM22" t="str">
        <f t="shared" si="29"/>
        <v>84</v>
      </c>
      <c r="AO22" t="str">
        <f t="shared" ref="AO22:AY22" si="30">CONCATENATE(BIN2HEX(AO21,2))</f>
        <v>00</v>
      </c>
      <c r="AP22" t="str">
        <f t="shared" si="30"/>
        <v>00</v>
      </c>
      <c r="AQ22" t="str">
        <f t="shared" si="30"/>
        <v>00</v>
      </c>
      <c r="AR22" t="str">
        <f t="shared" si="30"/>
        <v>00</v>
      </c>
      <c r="AS22" t="str">
        <f t="shared" si="30"/>
        <v>00</v>
      </c>
      <c r="AT22" t="str">
        <f t="shared" si="30"/>
        <v>00</v>
      </c>
      <c r="AU22" t="str">
        <f t="shared" si="30"/>
        <v>00</v>
      </c>
      <c r="AV22" t="str">
        <f t="shared" si="30"/>
        <v>00</v>
      </c>
      <c r="AW22" t="str">
        <f t="shared" si="30"/>
        <v>00</v>
      </c>
      <c r="AX22" t="str">
        <f t="shared" si="30"/>
        <v>00</v>
      </c>
      <c r="AY22" t="str">
        <f t="shared" si="30"/>
        <v>00</v>
      </c>
      <c r="BA22" t="str">
        <f t="shared" ref="BA22:BK22" si="31">CONCATENATE(BIN2HEX(BA21,2))</f>
        <v>00</v>
      </c>
      <c r="BB22" t="str">
        <f t="shared" si="31"/>
        <v>00</v>
      </c>
      <c r="BC22" t="str">
        <f t="shared" si="31"/>
        <v>00</v>
      </c>
      <c r="BD22" t="str">
        <f t="shared" si="31"/>
        <v>00</v>
      </c>
      <c r="BE22" t="str">
        <f t="shared" si="31"/>
        <v>00</v>
      </c>
      <c r="BF22" t="str">
        <f t="shared" si="31"/>
        <v>00</v>
      </c>
      <c r="BG22" t="str">
        <f t="shared" si="31"/>
        <v>00</v>
      </c>
      <c r="BH22" t="str">
        <f t="shared" si="31"/>
        <v>00</v>
      </c>
      <c r="BI22" t="str">
        <f t="shared" si="31"/>
        <v>00</v>
      </c>
      <c r="BJ22" t="str">
        <f t="shared" si="31"/>
        <v>00</v>
      </c>
      <c r="BK22" t="str">
        <f t="shared" si="31"/>
        <v>00</v>
      </c>
    </row>
    <row r="23" spans="1:63" x14ac:dyDescent="0.25">
      <c r="A23" s="2"/>
      <c r="B23" s="2"/>
      <c r="D23" s="13" t="s">
        <v>215</v>
      </c>
      <c r="E23" t="str">
        <f t="shared" ref="E23:O23" si="32">CONCATENATE("0x",E22,E11)</f>
        <v>0x0000</v>
      </c>
      <c r="F23" t="str">
        <f t="shared" si="32"/>
        <v>0x0000</v>
      </c>
      <c r="G23" t="str">
        <f t="shared" si="32"/>
        <v>0x0000</v>
      </c>
      <c r="H23" t="str">
        <f t="shared" si="32"/>
        <v>0x0000</v>
      </c>
      <c r="I23" t="str">
        <f t="shared" si="32"/>
        <v>0x0000</v>
      </c>
      <c r="J23" t="str">
        <f t="shared" si="32"/>
        <v>0x0000</v>
      </c>
      <c r="K23" t="str">
        <f t="shared" si="32"/>
        <v>0x0000</v>
      </c>
      <c r="L23" t="str">
        <f t="shared" si="32"/>
        <v>0x0000</v>
      </c>
      <c r="M23" t="str">
        <f t="shared" si="32"/>
        <v>0x0000</v>
      </c>
      <c r="N23" t="str">
        <f t="shared" si="32"/>
        <v>0x0000</v>
      </c>
      <c r="O23" t="str">
        <f t="shared" si="32"/>
        <v>0x0000</v>
      </c>
      <c r="Q23" t="str">
        <f t="shared" ref="Q23:BK23" si="33">CONCATENATE("0x",Q22,Q11)</f>
        <v>0xFFFF</v>
      </c>
      <c r="R23" t="str">
        <f t="shared" si="33"/>
        <v>0xFFFF</v>
      </c>
      <c r="S23" t="str">
        <f t="shared" si="33"/>
        <v>0xFFFF</v>
      </c>
      <c r="T23" t="str">
        <f t="shared" si="33"/>
        <v>0xFFFF</v>
      </c>
      <c r="U23" t="str">
        <f t="shared" si="33"/>
        <v>0xFFFF</v>
      </c>
      <c r="V23" t="str">
        <f t="shared" si="33"/>
        <v>0xFFFF</v>
      </c>
      <c r="W23" t="str">
        <f t="shared" si="33"/>
        <v>0xFFFF</v>
      </c>
      <c r="X23" t="str">
        <f t="shared" si="33"/>
        <v>0xFFFF</v>
      </c>
      <c r="Y23" t="str">
        <f t="shared" si="33"/>
        <v>0xFFFF</v>
      </c>
      <c r="Z23" t="str">
        <f t="shared" si="33"/>
        <v>0xFFFF</v>
      </c>
      <c r="AA23" t="str">
        <f t="shared" si="33"/>
        <v>0xFFFF</v>
      </c>
      <c r="AC23" t="str">
        <f t="shared" si="33"/>
        <v>0x84C0</v>
      </c>
      <c r="AD23" t="str">
        <f t="shared" si="33"/>
        <v>0x84C0</v>
      </c>
      <c r="AE23" t="str">
        <f t="shared" si="33"/>
        <v>0x84C0</v>
      </c>
      <c r="AF23" t="str">
        <f t="shared" si="33"/>
        <v>0x84C0</v>
      </c>
      <c r="AG23" t="str">
        <f t="shared" si="33"/>
        <v>0x84C0</v>
      </c>
      <c r="AH23" t="str">
        <f t="shared" si="33"/>
        <v>0x84C0</v>
      </c>
      <c r="AI23" t="str">
        <f t="shared" si="33"/>
        <v>0x84C0</v>
      </c>
      <c r="AJ23" t="str">
        <f t="shared" si="33"/>
        <v>0x84C0</v>
      </c>
      <c r="AK23" t="str">
        <f t="shared" si="33"/>
        <v>0x84C0</v>
      </c>
      <c r="AL23" t="str">
        <f t="shared" si="33"/>
        <v>0x84C0</v>
      </c>
      <c r="AM23" t="str">
        <f t="shared" si="33"/>
        <v>0x84C0</v>
      </c>
      <c r="AO23" t="str">
        <f t="shared" si="33"/>
        <v>0x0000</v>
      </c>
      <c r="AP23" t="str">
        <f t="shared" si="33"/>
        <v>0x0000</v>
      </c>
      <c r="AQ23" t="str">
        <f t="shared" si="33"/>
        <v>0x0000</v>
      </c>
      <c r="AR23" t="str">
        <f t="shared" si="33"/>
        <v>0x0000</v>
      </c>
      <c r="AS23" t="str">
        <f t="shared" si="33"/>
        <v>0x0000</v>
      </c>
      <c r="AT23" t="str">
        <f t="shared" si="33"/>
        <v>0x0000</v>
      </c>
      <c r="AU23" t="str">
        <f t="shared" si="33"/>
        <v>0x0000</v>
      </c>
      <c r="AV23" t="str">
        <f t="shared" si="33"/>
        <v>0x0000</v>
      </c>
      <c r="AW23" t="str">
        <f t="shared" si="33"/>
        <v>0x0000</v>
      </c>
      <c r="AX23" t="str">
        <f t="shared" si="33"/>
        <v>0x0000</v>
      </c>
      <c r="AY23" t="str">
        <f t="shared" si="33"/>
        <v>0x0000</v>
      </c>
      <c r="BA23" t="str">
        <f t="shared" si="33"/>
        <v>0x0000</v>
      </c>
      <c r="BB23" t="str">
        <f t="shared" si="33"/>
        <v>0x0000</v>
      </c>
      <c r="BC23" t="str">
        <f t="shared" si="33"/>
        <v>0x0000</v>
      </c>
      <c r="BD23" t="str">
        <f t="shared" si="33"/>
        <v>0x0000</v>
      </c>
      <c r="BE23" t="str">
        <f t="shared" si="33"/>
        <v>0x0000</v>
      </c>
      <c r="BF23" t="str">
        <f t="shared" si="33"/>
        <v>0x0000</v>
      </c>
      <c r="BG23" t="str">
        <f t="shared" si="33"/>
        <v>0x0000</v>
      </c>
      <c r="BH23" t="str">
        <f t="shared" si="33"/>
        <v>0x0000</v>
      </c>
      <c r="BI23" t="str">
        <f t="shared" si="33"/>
        <v>0x0000</v>
      </c>
      <c r="BJ23" t="str">
        <f t="shared" si="33"/>
        <v>0x0000</v>
      </c>
      <c r="BK23" t="str">
        <f t="shared" si="33"/>
        <v>0x0000</v>
      </c>
    </row>
    <row r="24" spans="1:63" x14ac:dyDescent="0.25">
      <c r="A24" s="2"/>
      <c r="B24" s="2"/>
      <c r="D24" s="13" t="s">
        <v>216</v>
      </c>
      <c r="E24" t="str">
        <f>Q23</f>
        <v>0xFFFF</v>
      </c>
      <c r="F24" t="str">
        <f>R23</f>
        <v>0xFFFF</v>
      </c>
      <c r="G24" t="str">
        <f t="shared" ref="G24:O24" si="34">S23</f>
        <v>0xFFFF</v>
      </c>
      <c r="H24" t="str">
        <f t="shared" si="34"/>
        <v>0xFFFF</v>
      </c>
      <c r="I24" t="str">
        <f t="shared" si="34"/>
        <v>0xFFFF</v>
      </c>
      <c r="J24" t="str">
        <f t="shared" si="34"/>
        <v>0xFFFF</v>
      </c>
      <c r="K24" t="str">
        <f t="shared" si="34"/>
        <v>0xFFFF</v>
      </c>
      <c r="L24" t="str">
        <f t="shared" si="34"/>
        <v>0xFFFF</v>
      </c>
      <c r="M24" t="str">
        <f t="shared" si="34"/>
        <v>0xFFFF</v>
      </c>
      <c r="N24" t="str">
        <f t="shared" si="34"/>
        <v>0xFFFF</v>
      </c>
      <c r="O24" t="str">
        <f t="shared" si="34"/>
        <v>0xFFFF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0x84C0</v>
      </c>
      <c r="F25" t="str">
        <f t="shared" ref="F25:O25" si="35">AD23</f>
        <v>0x84C0</v>
      </c>
      <c r="G25" t="str">
        <f t="shared" si="35"/>
        <v>0x84C0</v>
      </c>
      <c r="H25" t="str">
        <f t="shared" si="35"/>
        <v>0x84C0</v>
      </c>
      <c r="I25" t="str">
        <f t="shared" si="35"/>
        <v>0x84C0</v>
      </c>
      <c r="J25" t="str">
        <f t="shared" si="35"/>
        <v>0x84C0</v>
      </c>
      <c r="K25" t="str">
        <f t="shared" si="35"/>
        <v>0x84C0</v>
      </c>
      <c r="L25" t="str">
        <f t="shared" si="35"/>
        <v>0x84C0</v>
      </c>
      <c r="M25" t="str">
        <f t="shared" si="35"/>
        <v>0x84C0</v>
      </c>
      <c r="N25" t="str">
        <f t="shared" si="35"/>
        <v>0x84C0</v>
      </c>
      <c r="O25" t="str">
        <f t="shared" si="35"/>
        <v>0x84C0</v>
      </c>
    </row>
    <row r="26" spans="1:63" x14ac:dyDescent="0.25">
      <c r="A26" s="2" t="s">
        <v>42</v>
      </c>
      <c r="B26" s="11" t="s">
        <v>36</v>
      </c>
      <c r="C26" s="10" t="s">
        <v>205</v>
      </c>
      <c r="D26" s="13" t="s">
        <v>209</v>
      </c>
      <c r="E26" t="str">
        <f>AO23</f>
        <v>0x0000</v>
      </c>
      <c r="F26" t="str">
        <f t="shared" ref="F26:O26" si="36">AP23</f>
        <v>0x0000</v>
      </c>
      <c r="G26" t="str">
        <f t="shared" si="36"/>
        <v>0x0000</v>
      </c>
      <c r="H26" t="str">
        <f t="shared" si="36"/>
        <v>0x0000</v>
      </c>
      <c r="I26" t="str">
        <f t="shared" si="36"/>
        <v>0x0000</v>
      </c>
      <c r="J26" t="str">
        <f t="shared" si="36"/>
        <v>0x0000</v>
      </c>
      <c r="K26" t="str">
        <f t="shared" si="36"/>
        <v>0x0000</v>
      </c>
      <c r="L26" t="str">
        <f t="shared" si="36"/>
        <v>0x0000</v>
      </c>
      <c r="M26" t="str">
        <f t="shared" si="36"/>
        <v>0x0000</v>
      </c>
      <c r="N26" t="str">
        <f t="shared" si="36"/>
        <v>0x0000</v>
      </c>
      <c r="O26" t="str">
        <f t="shared" si="36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37">BB23</f>
        <v>0x0000</v>
      </c>
      <c r="G27" t="str">
        <f t="shared" si="37"/>
        <v>0x0000</v>
      </c>
      <c r="H27" t="str">
        <f t="shared" si="37"/>
        <v>0x0000</v>
      </c>
      <c r="I27" t="str">
        <f t="shared" si="37"/>
        <v>0x0000</v>
      </c>
      <c r="J27" t="str">
        <f t="shared" si="37"/>
        <v>0x0000</v>
      </c>
      <c r="K27" t="str">
        <f t="shared" si="37"/>
        <v>0x0000</v>
      </c>
      <c r="L27" t="str">
        <f t="shared" si="37"/>
        <v>0x0000</v>
      </c>
      <c r="M27" t="str">
        <f t="shared" si="37"/>
        <v>0x0000</v>
      </c>
      <c r="N27" t="str">
        <f t="shared" si="37"/>
        <v>0x0000</v>
      </c>
      <c r="O27" t="str">
        <f t="shared" si="37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223</v>
      </c>
    </row>
    <row r="31" spans="1:63" x14ac:dyDescent="0.25">
      <c r="A31" s="4" t="str">
        <f ca="1">CONCATENATE("#",C$26,":",INDIRECT(H33))</f>
        <v>#I2C_Expander_12:wartość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0x22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0xFFFF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#I2C_Expander_12:etap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0x22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0xFFFF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0x0000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38">INDIRECT(H57)</f>
        <v>0x84C0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39">INDIRECT(G58)</f>
        <v>#pins_int</v>
      </c>
      <c r="B58" s="4" t="str">
        <f t="shared" ca="1" si="38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39"/>
        <v>#pins_def_val</v>
      </c>
      <c r="B59" s="4" t="str">
        <f t="shared" ca="1" si="38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#I2C_Expander_12:etap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0x22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0xFFFF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0x0000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0">INDIRECT(H77)</f>
        <v>0x84C0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1">INDIRECT(G78)</f>
        <v>#pins_int</v>
      </c>
      <c r="B78" s="4" t="str">
        <f t="shared" ca="1" si="40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1"/>
        <v>#pins_def_val</v>
      </c>
      <c r="B79" s="4" t="str">
        <f t="shared" ca="1" si="40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#I2C_Expander_12:etap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0x22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0xFFFF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0x0000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2">INDIRECT(H97)</f>
        <v>0x84C0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3">INDIRECT(G98)</f>
        <v>#pins_int</v>
      </c>
      <c r="B98" s="4" t="str">
        <f t="shared" ca="1" si="42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3"/>
        <v>#pins_def_val</v>
      </c>
      <c r="B99" s="4" t="str">
        <f t="shared" ca="1" si="42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#I2C_Expander_12:etap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0x22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0xFFFF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0x0000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4">INDIRECT(H117)</f>
        <v>0x84C0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5">INDIRECT(G118)</f>
        <v>#pins_int</v>
      </c>
      <c r="B118" s="4" t="str">
        <f t="shared" ca="1" si="44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5"/>
        <v>#pins_def_val</v>
      </c>
      <c r="B119" s="4" t="str">
        <f t="shared" ca="1" si="44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#I2C_Expander_12:etap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0x22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0xFFFF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0x0000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46">INDIRECT(H137)</f>
        <v>0x84C0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47">INDIRECT(G138)</f>
        <v>#pins_int</v>
      </c>
      <c r="B138" s="4" t="str">
        <f t="shared" ca="1" si="46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47"/>
        <v>#pins_def_val</v>
      </c>
      <c r="B139" s="4" t="str">
        <f t="shared" ca="1" si="46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#I2C_Expander_12:etap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0x22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0xFFFF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0x0000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48">INDIRECT(H157)</f>
        <v>0x84C0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49">INDIRECT(G158)</f>
        <v>#pins_int</v>
      </c>
      <c r="B158" s="4" t="str">
        <f t="shared" ca="1" si="48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49"/>
        <v>#pins_def_val</v>
      </c>
      <c r="B159" s="4" t="str">
        <f t="shared" ca="1" si="48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#I2C_Expander_12:etap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0x22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0xFFFF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0x0000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0">INDIRECT(H177)</f>
        <v>0x84C0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1">INDIRECT(G178)</f>
        <v>#pins_int</v>
      </c>
      <c r="B178" s="4" t="str">
        <f t="shared" ca="1" si="50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1"/>
        <v>#pins_def_val</v>
      </c>
      <c r="B179" s="4" t="str">
        <f t="shared" ca="1" si="50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#I2C_Expander_12:etap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0x22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0xFFFF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0x0000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2">INDIRECT(H197)</f>
        <v>0x84C0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3">INDIRECT(G198)</f>
        <v>#pins_int</v>
      </c>
      <c r="B198" s="4" t="str">
        <f t="shared" ca="1" si="52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3"/>
        <v>#pins_def_val</v>
      </c>
      <c r="B199" s="4" t="str">
        <f t="shared" ca="1" si="52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#I2C_Expander_12:etap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0x22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0xFFFF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0x0000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4">INDIRECT(H217)</f>
        <v>0x84C0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5">INDIRECT(G218)</f>
        <v>#pins_int</v>
      </c>
      <c r="B218" s="4" t="str">
        <f t="shared" ca="1" si="54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5"/>
        <v>#pins_def_val</v>
      </c>
      <c r="B219" s="4" t="str">
        <f t="shared" ca="1" si="54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#I2C_Expander_12:etap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0x22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0xFFFF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0x0000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56">INDIRECT(H237)</f>
        <v>0x84C0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57">INDIRECT(G238)</f>
        <v>#pins_int</v>
      </c>
      <c r="B238" s="4" t="str">
        <f t="shared" ca="1" si="56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57"/>
        <v>#pins_def_val</v>
      </c>
      <c r="B239" s="4" t="str">
        <f t="shared" ca="1" si="56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1:B34"/>
  <sheetViews>
    <sheetView topLeftCell="A10" workbookViewId="0">
      <selection activeCell="AB151" sqref="AB151"/>
    </sheetView>
  </sheetViews>
  <sheetFormatPr defaultRowHeight="15" x14ac:dyDescent="0.25"/>
  <sheetData>
    <row r="31" spans="1:2" x14ac:dyDescent="0.25">
      <c r="A31" t="s">
        <v>261</v>
      </c>
    </row>
    <row r="32" spans="1:2" x14ac:dyDescent="0.25">
      <c r="A32" t="s">
        <v>208</v>
      </c>
      <c r="B32" t="s">
        <v>259</v>
      </c>
    </row>
    <row r="33" spans="1:2" x14ac:dyDescent="0.25">
      <c r="A33" t="s">
        <v>226</v>
      </c>
      <c r="B33" t="s">
        <v>228</v>
      </c>
    </row>
    <row r="34" spans="1:2" x14ac:dyDescent="0.25">
      <c r="A34" t="s">
        <v>227</v>
      </c>
      <c r="B34" t="s">
        <v>262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C98"/>
  <sheetViews>
    <sheetView workbookViewId="0">
      <selection activeCell="Y68" sqref="Y68"/>
    </sheetView>
  </sheetViews>
  <sheetFormatPr defaultRowHeight="15" x14ac:dyDescent="0.25"/>
  <sheetData>
    <row r="26" spans="1:3" x14ac:dyDescent="0.25">
      <c r="A26" s="2" t="s">
        <v>42</v>
      </c>
      <c r="B26" s="2" t="s">
        <v>255</v>
      </c>
      <c r="C26" t="s">
        <v>225</v>
      </c>
    </row>
    <row r="31" spans="1:3" x14ac:dyDescent="0.25">
      <c r="A31" t="s">
        <v>256</v>
      </c>
    </row>
    <row r="32" spans="1:3" x14ac:dyDescent="0.25">
      <c r="A32" t="s">
        <v>208</v>
      </c>
      <c r="B32" t="s">
        <v>230</v>
      </c>
    </row>
    <row r="33" spans="1:2" x14ac:dyDescent="0.25">
      <c r="A33" t="s">
        <v>226</v>
      </c>
      <c r="B33" t="s">
        <v>228</v>
      </c>
    </row>
    <row r="34" spans="1:2" x14ac:dyDescent="0.25">
      <c r="A34" t="s">
        <v>227</v>
      </c>
      <c r="B34" t="s">
        <v>233</v>
      </c>
    </row>
    <row r="36" spans="1:2" x14ac:dyDescent="0.25">
      <c r="A36" t="s">
        <v>212</v>
      </c>
      <c r="B36">
        <v>10</v>
      </c>
    </row>
    <row r="51" spans="1:2" x14ac:dyDescent="0.25">
      <c r="A51" t="s">
        <v>232</v>
      </c>
      <c r="B51" t="s">
        <v>231</v>
      </c>
    </row>
    <row r="52" spans="1:2" x14ac:dyDescent="0.25">
      <c r="A52" t="s">
        <v>208</v>
      </c>
      <c r="B52" t="s">
        <v>230</v>
      </c>
    </row>
    <row r="53" spans="1:2" x14ac:dyDescent="0.25">
      <c r="A53" t="s">
        <v>226</v>
      </c>
      <c r="B53" t="s">
        <v>228</v>
      </c>
    </row>
    <row r="54" spans="1:2" x14ac:dyDescent="0.25">
      <c r="A54" t="s">
        <v>227</v>
      </c>
      <c r="B54" t="s">
        <v>234</v>
      </c>
    </row>
    <row r="56" spans="1:2" x14ac:dyDescent="0.25">
      <c r="A56" t="s">
        <v>212</v>
      </c>
      <c r="B56">
        <v>10</v>
      </c>
    </row>
    <row r="58" spans="1:2" x14ac:dyDescent="0.25">
      <c r="A58" t="s">
        <v>232</v>
      </c>
      <c r="B58" t="s">
        <v>231</v>
      </c>
    </row>
    <row r="59" spans="1:2" x14ac:dyDescent="0.25">
      <c r="A59" t="s">
        <v>208</v>
      </c>
      <c r="B59" t="s">
        <v>230</v>
      </c>
    </row>
    <row r="60" spans="1:2" x14ac:dyDescent="0.25">
      <c r="A60" t="s">
        <v>226</v>
      </c>
      <c r="B60" t="s">
        <v>228</v>
      </c>
    </row>
    <row r="61" spans="1:2" x14ac:dyDescent="0.25">
      <c r="A61" t="s">
        <v>227</v>
      </c>
      <c r="B61" t="s">
        <v>235</v>
      </c>
    </row>
    <row r="63" spans="1:2" x14ac:dyDescent="0.25">
      <c r="A63" t="s">
        <v>212</v>
      </c>
      <c r="B63">
        <v>10</v>
      </c>
    </row>
    <row r="65" spans="1:2" x14ac:dyDescent="0.25">
      <c r="A65" t="s">
        <v>232</v>
      </c>
      <c r="B65" t="s">
        <v>231</v>
      </c>
    </row>
    <row r="66" spans="1:2" x14ac:dyDescent="0.25">
      <c r="A66" t="s">
        <v>208</v>
      </c>
      <c r="B66" t="s">
        <v>230</v>
      </c>
    </row>
    <row r="67" spans="1:2" x14ac:dyDescent="0.25">
      <c r="A67" t="s">
        <v>226</v>
      </c>
      <c r="B67" t="s">
        <v>228</v>
      </c>
    </row>
    <row r="68" spans="1:2" x14ac:dyDescent="0.25">
      <c r="A68" t="s">
        <v>227</v>
      </c>
      <c r="B68" t="s">
        <v>236</v>
      </c>
    </row>
    <row r="70" spans="1:2" x14ac:dyDescent="0.25">
      <c r="A70" t="s">
        <v>212</v>
      </c>
      <c r="B70">
        <v>10</v>
      </c>
    </row>
    <row r="72" spans="1:2" x14ac:dyDescent="0.25">
      <c r="A72" t="s">
        <v>232</v>
      </c>
      <c r="B72" t="s">
        <v>231</v>
      </c>
    </row>
    <row r="73" spans="1:2" x14ac:dyDescent="0.25">
      <c r="A73" t="s">
        <v>208</v>
      </c>
      <c r="B73" t="s">
        <v>230</v>
      </c>
    </row>
    <row r="74" spans="1:2" x14ac:dyDescent="0.25">
      <c r="A74" t="s">
        <v>226</v>
      </c>
      <c r="B74" t="s">
        <v>228</v>
      </c>
    </row>
    <row r="75" spans="1:2" x14ac:dyDescent="0.25">
      <c r="A75" t="s">
        <v>227</v>
      </c>
      <c r="B75" t="s">
        <v>237</v>
      </c>
    </row>
    <row r="77" spans="1:2" x14ac:dyDescent="0.25">
      <c r="A77" t="s">
        <v>212</v>
      </c>
      <c r="B77">
        <v>10</v>
      </c>
    </row>
    <row r="79" spans="1:2" x14ac:dyDescent="0.25">
      <c r="A79" t="s">
        <v>232</v>
      </c>
      <c r="B79" t="s">
        <v>231</v>
      </c>
    </row>
    <row r="80" spans="1:2" x14ac:dyDescent="0.25">
      <c r="A80" t="s">
        <v>208</v>
      </c>
      <c r="B80" t="s">
        <v>230</v>
      </c>
    </row>
    <row r="81" spans="1:2" x14ac:dyDescent="0.25">
      <c r="A81" t="s">
        <v>226</v>
      </c>
      <c r="B81" t="s">
        <v>228</v>
      </c>
    </row>
    <row r="82" spans="1:2" x14ac:dyDescent="0.25">
      <c r="A82" t="s">
        <v>227</v>
      </c>
      <c r="B82" t="s">
        <v>238</v>
      </c>
    </row>
    <row r="84" spans="1:2" x14ac:dyDescent="0.25">
      <c r="A84" t="s">
        <v>212</v>
      </c>
      <c r="B84">
        <v>10</v>
      </c>
    </row>
    <row r="86" spans="1:2" x14ac:dyDescent="0.25">
      <c r="A86" t="s">
        <v>232</v>
      </c>
      <c r="B86" t="s">
        <v>231</v>
      </c>
    </row>
    <row r="87" spans="1:2" x14ac:dyDescent="0.25">
      <c r="A87" t="s">
        <v>208</v>
      </c>
      <c r="B87" t="s">
        <v>230</v>
      </c>
    </row>
    <row r="88" spans="1:2" x14ac:dyDescent="0.25">
      <c r="A88" t="s">
        <v>226</v>
      </c>
      <c r="B88" t="s">
        <v>228</v>
      </c>
    </row>
    <row r="89" spans="1:2" x14ac:dyDescent="0.25">
      <c r="A89" t="s">
        <v>227</v>
      </c>
      <c r="B89" t="s">
        <v>239</v>
      </c>
    </row>
    <row r="91" spans="1:2" x14ac:dyDescent="0.25">
      <c r="A91" t="s">
        <v>212</v>
      </c>
      <c r="B91">
        <v>10</v>
      </c>
    </row>
    <row r="93" spans="1:2" x14ac:dyDescent="0.25">
      <c r="A93" t="s">
        <v>232</v>
      </c>
      <c r="B93" t="s">
        <v>231</v>
      </c>
    </row>
    <row r="94" spans="1:2" x14ac:dyDescent="0.25">
      <c r="A94" t="s">
        <v>208</v>
      </c>
      <c r="B94" t="s">
        <v>230</v>
      </c>
    </row>
    <row r="95" spans="1:2" x14ac:dyDescent="0.25">
      <c r="A95" t="s">
        <v>226</v>
      </c>
      <c r="B95" t="s">
        <v>228</v>
      </c>
    </row>
    <row r="96" spans="1:2" x14ac:dyDescent="0.25">
      <c r="A96" t="s">
        <v>227</v>
      </c>
      <c r="B96" t="s">
        <v>229</v>
      </c>
    </row>
    <row r="98" spans="1:2" x14ac:dyDescent="0.25">
      <c r="A98" t="s">
        <v>212</v>
      </c>
      <c r="B98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C36"/>
  <sheetViews>
    <sheetView workbookViewId="0">
      <selection activeCell="C47" sqref="C47"/>
    </sheetView>
  </sheetViews>
  <sheetFormatPr defaultRowHeight="15" x14ac:dyDescent="0.25"/>
  <sheetData>
    <row r="26" spans="1:3" x14ac:dyDescent="0.25">
      <c r="A26" s="2" t="s">
        <v>42</v>
      </c>
      <c r="B26" s="2" t="s">
        <v>255</v>
      </c>
      <c r="C26" t="s">
        <v>225</v>
      </c>
    </row>
    <row r="31" spans="1:3" x14ac:dyDescent="0.25">
      <c r="A31" t="s">
        <v>256</v>
      </c>
    </row>
    <row r="32" spans="1:3" x14ac:dyDescent="0.25">
      <c r="A32" t="s">
        <v>208</v>
      </c>
      <c r="B32" t="s">
        <v>230</v>
      </c>
    </row>
    <row r="33" spans="1:2" x14ac:dyDescent="0.25">
      <c r="A33" t="s">
        <v>226</v>
      </c>
      <c r="B33" t="s">
        <v>228</v>
      </c>
    </row>
    <row r="34" spans="1:2" x14ac:dyDescent="0.25">
      <c r="A34" t="s">
        <v>227</v>
      </c>
      <c r="B34" t="s">
        <v>263</v>
      </c>
    </row>
    <row r="36" spans="1:2" x14ac:dyDescent="0.25">
      <c r="A36" t="s">
        <v>212</v>
      </c>
      <c r="B36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B36"/>
  <sheetViews>
    <sheetView workbookViewId="0">
      <selection activeCell="H45" sqref="A26:H45"/>
    </sheetView>
  </sheetViews>
  <sheetFormatPr defaultRowHeight="15" x14ac:dyDescent="0.25"/>
  <sheetData>
    <row r="26" spans="1:2" x14ac:dyDescent="0.25">
      <c r="A26" s="2" t="s">
        <v>42</v>
      </c>
      <c r="B26" s="2" t="s">
        <v>258</v>
      </c>
    </row>
    <row r="31" spans="1:2" x14ac:dyDescent="0.25">
      <c r="A31" t="s">
        <v>265</v>
      </c>
    </row>
    <row r="32" spans="1:2" x14ac:dyDescent="0.25">
      <c r="A32" t="s">
        <v>208</v>
      </c>
      <c r="B32" t="s">
        <v>258</v>
      </c>
    </row>
    <row r="33" spans="1:2" x14ac:dyDescent="0.25">
      <c r="A33" t="s">
        <v>226</v>
      </c>
      <c r="B33" t="s">
        <v>228</v>
      </c>
    </row>
    <row r="34" spans="1:2" x14ac:dyDescent="0.25">
      <c r="A34" t="s">
        <v>227</v>
      </c>
      <c r="B34" t="s">
        <v>264</v>
      </c>
    </row>
    <row r="36" spans="1:2" x14ac:dyDescent="0.25">
      <c r="A36" t="s">
        <v>212</v>
      </c>
      <c r="B36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C27" sqref="C27"/>
    </sheetView>
  </sheetViews>
  <sheetFormatPr defaultRowHeight="15" x14ac:dyDescent="0.25"/>
  <cols>
    <col min="1" max="1" width="18.5703125" customWidth="1"/>
    <col min="3" max="3" width="23.42578125" bestFit="1" customWidth="1"/>
    <col min="4" max="4" width="47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0" t="s">
        <v>290</v>
      </c>
      <c r="C2" s="10" t="s">
        <v>361</v>
      </c>
      <c r="D2" s="10" t="s">
        <v>371</v>
      </c>
      <c r="E2" s="10">
        <v>0</v>
      </c>
      <c r="F2" s="10">
        <f t="shared" ref="F2:F9" si="0">E2</f>
        <v>0</v>
      </c>
      <c r="G2" s="10">
        <f t="shared" ref="G2:G9" si="1">F2</f>
        <v>0</v>
      </c>
      <c r="H2" s="10">
        <f t="shared" ref="H2:H9" si="2">G2</f>
        <v>0</v>
      </c>
      <c r="I2" s="10">
        <f t="shared" ref="I2:I9" si="3">H2</f>
        <v>0</v>
      </c>
      <c r="J2" s="10">
        <f t="shared" ref="J2:J9" si="4">I2</f>
        <v>0</v>
      </c>
      <c r="K2" s="10">
        <f t="shared" ref="K2:K9" si="5">J2</f>
        <v>0</v>
      </c>
      <c r="L2" s="10">
        <f t="shared" ref="L2:L9" si="6">K2</f>
        <v>0</v>
      </c>
      <c r="M2" s="10">
        <f t="shared" ref="M2:M9" si="7">L2</f>
        <v>0</v>
      </c>
      <c r="N2" s="10">
        <f t="shared" ref="N2:N9" si="8">M2</f>
        <v>0</v>
      </c>
      <c r="O2" s="10">
        <f t="shared" ref="O2" si="9">N2</f>
        <v>0</v>
      </c>
      <c r="Q2" s="10">
        <v>0</v>
      </c>
      <c r="R2" s="10">
        <f>Q2</f>
        <v>0</v>
      </c>
      <c r="S2" s="10">
        <f t="shared" ref="S2:AA2" si="10">R2</f>
        <v>0</v>
      </c>
      <c r="T2" s="10">
        <f t="shared" si="10"/>
        <v>0</v>
      </c>
      <c r="U2" s="10">
        <f t="shared" si="10"/>
        <v>0</v>
      </c>
      <c r="V2" s="10">
        <f t="shared" si="10"/>
        <v>0</v>
      </c>
      <c r="W2" s="10">
        <f t="shared" si="10"/>
        <v>0</v>
      </c>
      <c r="X2" s="10">
        <f t="shared" si="10"/>
        <v>0</v>
      </c>
      <c r="Y2" s="10">
        <f t="shared" si="10"/>
        <v>0</v>
      </c>
      <c r="Z2" s="10">
        <f t="shared" si="10"/>
        <v>0</v>
      </c>
      <c r="AA2" s="10">
        <f t="shared" si="10"/>
        <v>0</v>
      </c>
      <c r="AC2" s="10">
        <v>0</v>
      </c>
      <c r="AD2" s="10">
        <f>AC2</f>
        <v>0</v>
      </c>
      <c r="AE2" s="10">
        <f t="shared" ref="AE2:AM2" si="11">AD2</f>
        <v>0</v>
      </c>
      <c r="AF2" s="10">
        <f t="shared" si="11"/>
        <v>0</v>
      </c>
      <c r="AG2" s="10">
        <f t="shared" si="11"/>
        <v>0</v>
      </c>
      <c r="AH2" s="10">
        <f t="shared" si="11"/>
        <v>0</v>
      </c>
      <c r="AI2" s="10">
        <f t="shared" si="11"/>
        <v>0</v>
      </c>
      <c r="AJ2" s="10">
        <f t="shared" si="11"/>
        <v>0</v>
      </c>
      <c r="AK2" s="10">
        <f t="shared" si="11"/>
        <v>0</v>
      </c>
      <c r="AL2" s="10">
        <f t="shared" si="11"/>
        <v>0</v>
      </c>
      <c r="AM2" s="10">
        <f t="shared" si="11"/>
        <v>0</v>
      </c>
      <c r="AO2" s="10">
        <v>0</v>
      </c>
      <c r="AP2" s="10">
        <f>AO2</f>
        <v>0</v>
      </c>
      <c r="AQ2" s="10">
        <f t="shared" ref="AQ2:AY2" si="12">AP2</f>
        <v>0</v>
      </c>
      <c r="AR2" s="10">
        <f t="shared" si="12"/>
        <v>0</v>
      </c>
      <c r="AS2" s="10">
        <f t="shared" si="12"/>
        <v>0</v>
      </c>
      <c r="AT2" s="10">
        <f t="shared" si="12"/>
        <v>0</v>
      </c>
      <c r="AU2" s="10">
        <f t="shared" si="12"/>
        <v>0</v>
      </c>
      <c r="AV2" s="10">
        <f t="shared" si="12"/>
        <v>0</v>
      </c>
      <c r="AW2" s="10">
        <f t="shared" si="12"/>
        <v>0</v>
      </c>
      <c r="AX2" s="10">
        <f t="shared" si="12"/>
        <v>0</v>
      </c>
      <c r="AY2" s="10">
        <f t="shared" si="12"/>
        <v>0</v>
      </c>
      <c r="BA2" s="10">
        <v>0</v>
      </c>
      <c r="BB2" s="10">
        <f>BA2</f>
        <v>0</v>
      </c>
      <c r="BC2" s="10">
        <f t="shared" ref="BC2:BK2" si="13">BB2</f>
        <v>0</v>
      </c>
      <c r="BD2" s="10">
        <f t="shared" si="13"/>
        <v>0</v>
      </c>
      <c r="BE2" s="10">
        <f t="shared" si="13"/>
        <v>0</v>
      </c>
      <c r="BF2" s="10">
        <f t="shared" si="13"/>
        <v>0</v>
      </c>
      <c r="BG2" s="10">
        <f t="shared" si="13"/>
        <v>0</v>
      </c>
      <c r="BH2" s="10">
        <f t="shared" si="13"/>
        <v>0</v>
      </c>
      <c r="BI2" s="10">
        <f t="shared" si="13"/>
        <v>0</v>
      </c>
      <c r="BJ2" s="10">
        <f t="shared" si="13"/>
        <v>0</v>
      </c>
      <c r="BK2" s="10">
        <f t="shared" si="13"/>
        <v>0</v>
      </c>
    </row>
    <row r="3" spans="1:63" s="10" customFormat="1" x14ac:dyDescent="0.25">
      <c r="A3" s="11"/>
      <c r="B3" s="10" t="s">
        <v>291</v>
      </c>
      <c r="C3" s="10" t="s">
        <v>362</v>
      </c>
      <c r="D3" s="10" t="s">
        <v>372</v>
      </c>
      <c r="E3" s="10">
        <v>0</v>
      </c>
      <c r="F3" s="10">
        <f t="shared" si="0"/>
        <v>0</v>
      </c>
      <c r="G3" s="10">
        <f t="shared" si="1"/>
        <v>0</v>
      </c>
      <c r="H3" s="10">
        <f t="shared" si="2"/>
        <v>0</v>
      </c>
      <c r="I3" s="10">
        <f t="shared" si="3"/>
        <v>0</v>
      </c>
      <c r="J3" s="10">
        <f t="shared" si="4"/>
        <v>0</v>
      </c>
      <c r="K3" s="10">
        <f t="shared" si="5"/>
        <v>0</v>
      </c>
      <c r="L3" s="10">
        <f t="shared" si="6"/>
        <v>0</v>
      </c>
      <c r="M3" s="10">
        <f t="shared" si="7"/>
        <v>0</v>
      </c>
      <c r="N3" s="10">
        <f t="shared" si="8"/>
        <v>0</v>
      </c>
      <c r="O3" s="10">
        <f t="shared" ref="O3:O9" si="14">N3</f>
        <v>0</v>
      </c>
      <c r="Q3" s="10">
        <v>0</v>
      </c>
      <c r="R3" s="10">
        <f t="shared" ref="R3:AA9" si="15">Q3</f>
        <v>0</v>
      </c>
      <c r="S3" s="10">
        <f t="shared" si="15"/>
        <v>0</v>
      </c>
      <c r="T3" s="10">
        <f t="shared" si="15"/>
        <v>0</v>
      </c>
      <c r="U3" s="10">
        <f t="shared" si="15"/>
        <v>0</v>
      </c>
      <c r="V3" s="10">
        <f t="shared" si="15"/>
        <v>0</v>
      </c>
      <c r="W3" s="10">
        <f t="shared" si="15"/>
        <v>0</v>
      </c>
      <c r="X3" s="10">
        <f t="shared" si="15"/>
        <v>0</v>
      </c>
      <c r="Y3" s="10">
        <f t="shared" si="15"/>
        <v>0</v>
      </c>
      <c r="Z3" s="10">
        <f t="shared" si="15"/>
        <v>0</v>
      </c>
      <c r="AA3" s="10">
        <f t="shared" si="15"/>
        <v>0</v>
      </c>
      <c r="AC3" s="10">
        <v>0</v>
      </c>
      <c r="AD3" s="10">
        <f t="shared" ref="AD3:AM9" si="16">AC3</f>
        <v>0</v>
      </c>
      <c r="AE3" s="10">
        <f t="shared" si="16"/>
        <v>0</v>
      </c>
      <c r="AF3" s="10">
        <f t="shared" si="16"/>
        <v>0</v>
      </c>
      <c r="AG3" s="10">
        <f t="shared" si="16"/>
        <v>0</v>
      </c>
      <c r="AH3" s="10">
        <f t="shared" si="16"/>
        <v>0</v>
      </c>
      <c r="AI3" s="10">
        <f t="shared" si="16"/>
        <v>0</v>
      </c>
      <c r="AJ3" s="10">
        <f t="shared" si="16"/>
        <v>0</v>
      </c>
      <c r="AK3" s="10">
        <f t="shared" si="16"/>
        <v>0</v>
      </c>
      <c r="AL3" s="10">
        <f t="shared" si="16"/>
        <v>0</v>
      </c>
      <c r="AM3" s="10">
        <f t="shared" si="16"/>
        <v>0</v>
      </c>
      <c r="AO3" s="10">
        <v>0</v>
      </c>
      <c r="AP3" s="10">
        <f t="shared" ref="AP3:AY9" si="17">AO3</f>
        <v>0</v>
      </c>
      <c r="AQ3" s="10">
        <f t="shared" si="17"/>
        <v>0</v>
      </c>
      <c r="AR3" s="10">
        <f t="shared" si="17"/>
        <v>0</v>
      </c>
      <c r="AS3" s="10">
        <f t="shared" si="17"/>
        <v>0</v>
      </c>
      <c r="AT3" s="10">
        <f t="shared" si="17"/>
        <v>0</v>
      </c>
      <c r="AU3" s="10">
        <f t="shared" si="17"/>
        <v>0</v>
      </c>
      <c r="AV3" s="10">
        <f t="shared" si="17"/>
        <v>0</v>
      </c>
      <c r="AW3" s="10">
        <f t="shared" si="17"/>
        <v>0</v>
      </c>
      <c r="AX3" s="10">
        <f t="shared" si="17"/>
        <v>0</v>
      </c>
      <c r="AY3" s="10">
        <f t="shared" si="17"/>
        <v>0</v>
      </c>
      <c r="BA3" s="10">
        <v>0</v>
      </c>
      <c r="BB3" s="10">
        <f t="shared" ref="BB3:BK9" si="18">BA3</f>
        <v>0</v>
      </c>
      <c r="BC3" s="10">
        <f t="shared" si="18"/>
        <v>0</v>
      </c>
      <c r="BD3" s="10">
        <f t="shared" si="18"/>
        <v>0</v>
      </c>
      <c r="BE3" s="10">
        <f t="shared" si="18"/>
        <v>0</v>
      </c>
      <c r="BF3" s="10">
        <f t="shared" si="18"/>
        <v>0</v>
      </c>
      <c r="BG3" s="10">
        <f t="shared" si="18"/>
        <v>0</v>
      </c>
      <c r="BH3" s="10">
        <f t="shared" si="18"/>
        <v>0</v>
      </c>
      <c r="BI3" s="10">
        <f t="shared" si="18"/>
        <v>0</v>
      </c>
      <c r="BJ3" s="10">
        <f t="shared" si="18"/>
        <v>0</v>
      </c>
      <c r="BK3" s="10">
        <f t="shared" si="18"/>
        <v>0</v>
      </c>
    </row>
    <row r="4" spans="1:63" s="10" customFormat="1" x14ac:dyDescent="0.25">
      <c r="A4" s="11"/>
      <c r="B4" s="10" t="s">
        <v>292</v>
      </c>
      <c r="C4" s="10" t="s">
        <v>363</v>
      </c>
      <c r="D4" s="10" t="s">
        <v>373</v>
      </c>
      <c r="E4" s="10">
        <v>0</v>
      </c>
      <c r="F4" s="10">
        <f t="shared" si="0"/>
        <v>0</v>
      </c>
      <c r="G4" s="10">
        <f t="shared" si="1"/>
        <v>0</v>
      </c>
      <c r="H4" s="10">
        <f t="shared" si="2"/>
        <v>0</v>
      </c>
      <c r="I4" s="10">
        <f t="shared" si="3"/>
        <v>0</v>
      </c>
      <c r="J4" s="10">
        <f t="shared" si="4"/>
        <v>0</v>
      </c>
      <c r="K4" s="10">
        <f t="shared" si="5"/>
        <v>0</v>
      </c>
      <c r="L4" s="10">
        <f t="shared" si="6"/>
        <v>0</v>
      </c>
      <c r="M4" s="10">
        <f t="shared" si="7"/>
        <v>0</v>
      </c>
      <c r="N4" s="10">
        <f t="shared" si="8"/>
        <v>0</v>
      </c>
      <c r="O4" s="10">
        <f t="shared" si="14"/>
        <v>0</v>
      </c>
      <c r="Q4" s="10">
        <v>0</v>
      </c>
      <c r="R4" s="10">
        <f t="shared" si="15"/>
        <v>0</v>
      </c>
      <c r="S4" s="10">
        <f t="shared" si="15"/>
        <v>0</v>
      </c>
      <c r="T4" s="10">
        <f t="shared" si="15"/>
        <v>0</v>
      </c>
      <c r="U4" s="10">
        <f t="shared" si="15"/>
        <v>0</v>
      </c>
      <c r="V4" s="10">
        <f t="shared" si="15"/>
        <v>0</v>
      </c>
      <c r="W4" s="10">
        <f t="shared" si="15"/>
        <v>0</v>
      </c>
      <c r="X4" s="10">
        <f t="shared" si="15"/>
        <v>0</v>
      </c>
      <c r="Y4" s="10">
        <f t="shared" si="15"/>
        <v>0</v>
      </c>
      <c r="Z4" s="10">
        <f t="shared" si="15"/>
        <v>0</v>
      </c>
      <c r="AA4" s="10">
        <f t="shared" si="15"/>
        <v>0</v>
      </c>
      <c r="AC4" s="10">
        <v>0</v>
      </c>
      <c r="AD4" s="10">
        <f t="shared" si="16"/>
        <v>0</v>
      </c>
      <c r="AE4" s="10">
        <f t="shared" si="16"/>
        <v>0</v>
      </c>
      <c r="AF4" s="10">
        <f t="shared" si="16"/>
        <v>0</v>
      </c>
      <c r="AG4" s="10">
        <f t="shared" si="16"/>
        <v>0</v>
      </c>
      <c r="AH4" s="10">
        <f t="shared" si="16"/>
        <v>0</v>
      </c>
      <c r="AI4" s="10">
        <f t="shared" si="16"/>
        <v>0</v>
      </c>
      <c r="AJ4" s="10">
        <f t="shared" si="16"/>
        <v>0</v>
      </c>
      <c r="AK4" s="10">
        <f t="shared" si="16"/>
        <v>0</v>
      </c>
      <c r="AL4" s="10">
        <f t="shared" si="16"/>
        <v>0</v>
      </c>
      <c r="AM4" s="10">
        <f t="shared" si="16"/>
        <v>0</v>
      </c>
      <c r="AO4" s="10">
        <v>0</v>
      </c>
      <c r="AP4" s="10">
        <f t="shared" si="17"/>
        <v>0</v>
      </c>
      <c r="AQ4" s="10">
        <f t="shared" si="17"/>
        <v>0</v>
      </c>
      <c r="AR4" s="10">
        <f t="shared" si="17"/>
        <v>0</v>
      </c>
      <c r="AS4" s="10">
        <f t="shared" si="17"/>
        <v>0</v>
      </c>
      <c r="AT4" s="10">
        <f t="shared" si="17"/>
        <v>0</v>
      </c>
      <c r="AU4" s="10">
        <f t="shared" si="17"/>
        <v>0</v>
      </c>
      <c r="AV4" s="10">
        <f t="shared" si="17"/>
        <v>0</v>
      </c>
      <c r="AW4" s="10">
        <f t="shared" si="17"/>
        <v>0</v>
      </c>
      <c r="AX4" s="10">
        <f t="shared" si="17"/>
        <v>0</v>
      </c>
      <c r="AY4" s="10">
        <f t="shared" si="17"/>
        <v>0</v>
      </c>
      <c r="BA4" s="10">
        <v>0</v>
      </c>
      <c r="BB4" s="10">
        <f t="shared" si="18"/>
        <v>0</v>
      </c>
      <c r="BC4" s="10">
        <f t="shared" si="18"/>
        <v>0</v>
      </c>
      <c r="BD4" s="10">
        <f t="shared" si="18"/>
        <v>0</v>
      </c>
      <c r="BE4" s="10">
        <f t="shared" si="18"/>
        <v>0</v>
      </c>
      <c r="BF4" s="10">
        <f t="shared" si="18"/>
        <v>0</v>
      </c>
      <c r="BG4" s="10">
        <f t="shared" si="18"/>
        <v>0</v>
      </c>
      <c r="BH4" s="10">
        <f t="shared" si="18"/>
        <v>0</v>
      </c>
      <c r="BI4" s="10">
        <f t="shared" si="18"/>
        <v>0</v>
      </c>
      <c r="BJ4" s="10">
        <f t="shared" si="18"/>
        <v>0</v>
      </c>
      <c r="BK4" s="10">
        <f t="shared" si="18"/>
        <v>0</v>
      </c>
    </row>
    <row r="5" spans="1:63" s="10" customFormat="1" x14ac:dyDescent="0.25">
      <c r="A5" s="11"/>
      <c r="B5" s="10" t="s">
        <v>293</v>
      </c>
      <c r="C5" s="10" t="s">
        <v>364</v>
      </c>
      <c r="D5" s="10" t="s">
        <v>374</v>
      </c>
      <c r="E5" s="10">
        <v>0</v>
      </c>
      <c r="F5" s="10">
        <f t="shared" si="0"/>
        <v>0</v>
      </c>
      <c r="G5" s="10">
        <f t="shared" si="1"/>
        <v>0</v>
      </c>
      <c r="H5" s="10">
        <f t="shared" si="2"/>
        <v>0</v>
      </c>
      <c r="I5" s="10">
        <f t="shared" si="3"/>
        <v>0</v>
      </c>
      <c r="J5" s="10">
        <f t="shared" si="4"/>
        <v>0</v>
      </c>
      <c r="K5" s="10">
        <f t="shared" si="5"/>
        <v>0</v>
      </c>
      <c r="L5" s="10">
        <f t="shared" si="6"/>
        <v>0</v>
      </c>
      <c r="M5" s="10">
        <f t="shared" si="7"/>
        <v>0</v>
      </c>
      <c r="N5" s="10">
        <f t="shared" si="8"/>
        <v>0</v>
      </c>
      <c r="O5" s="10">
        <f t="shared" si="14"/>
        <v>0</v>
      </c>
      <c r="Q5" s="10">
        <v>0</v>
      </c>
      <c r="R5" s="10">
        <f t="shared" si="15"/>
        <v>0</v>
      </c>
      <c r="S5" s="10">
        <f t="shared" si="15"/>
        <v>0</v>
      </c>
      <c r="T5" s="10">
        <f t="shared" si="15"/>
        <v>0</v>
      </c>
      <c r="U5" s="10">
        <f t="shared" si="15"/>
        <v>0</v>
      </c>
      <c r="V5" s="10">
        <f t="shared" si="15"/>
        <v>0</v>
      </c>
      <c r="W5" s="10">
        <f t="shared" si="15"/>
        <v>0</v>
      </c>
      <c r="X5" s="10">
        <f t="shared" si="15"/>
        <v>0</v>
      </c>
      <c r="Y5" s="10">
        <f t="shared" si="15"/>
        <v>0</v>
      </c>
      <c r="Z5" s="10">
        <f t="shared" si="15"/>
        <v>0</v>
      </c>
      <c r="AA5" s="10">
        <f t="shared" si="15"/>
        <v>0</v>
      </c>
      <c r="AC5" s="10">
        <v>0</v>
      </c>
      <c r="AD5" s="10">
        <f t="shared" si="16"/>
        <v>0</v>
      </c>
      <c r="AE5" s="10">
        <f t="shared" si="16"/>
        <v>0</v>
      </c>
      <c r="AF5" s="10">
        <f t="shared" si="16"/>
        <v>0</v>
      </c>
      <c r="AG5" s="10">
        <f t="shared" si="16"/>
        <v>0</v>
      </c>
      <c r="AH5" s="10">
        <f t="shared" si="16"/>
        <v>0</v>
      </c>
      <c r="AI5" s="10">
        <f t="shared" si="16"/>
        <v>0</v>
      </c>
      <c r="AJ5" s="10">
        <f t="shared" si="16"/>
        <v>0</v>
      </c>
      <c r="AK5" s="10">
        <f t="shared" si="16"/>
        <v>0</v>
      </c>
      <c r="AL5" s="10">
        <f t="shared" si="16"/>
        <v>0</v>
      </c>
      <c r="AM5" s="10">
        <f t="shared" si="16"/>
        <v>0</v>
      </c>
      <c r="AO5" s="10">
        <v>0</v>
      </c>
      <c r="AP5" s="10">
        <f t="shared" si="17"/>
        <v>0</v>
      </c>
      <c r="AQ5" s="10">
        <f t="shared" si="17"/>
        <v>0</v>
      </c>
      <c r="AR5" s="10">
        <f t="shared" si="17"/>
        <v>0</v>
      </c>
      <c r="AS5" s="10">
        <f t="shared" si="17"/>
        <v>0</v>
      </c>
      <c r="AT5" s="10">
        <f t="shared" si="17"/>
        <v>0</v>
      </c>
      <c r="AU5" s="10">
        <f t="shared" si="17"/>
        <v>0</v>
      </c>
      <c r="AV5" s="10">
        <f t="shared" si="17"/>
        <v>0</v>
      </c>
      <c r="AW5" s="10">
        <f t="shared" si="17"/>
        <v>0</v>
      </c>
      <c r="AX5" s="10">
        <f t="shared" si="17"/>
        <v>0</v>
      </c>
      <c r="AY5" s="10">
        <f t="shared" si="17"/>
        <v>0</v>
      </c>
      <c r="BA5" s="10">
        <v>0</v>
      </c>
      <c r="BB5" s="10">
        <f t="shared" si="18"/>
        <v>0</v>
      </c>
      <c r="BC5" s="10">
        <f t="shared" si="18"/>
        <v>0</v>
      </c>
      <c r="BD5" s="10">
        <f t="shared" si="18"/>
        <v>0</v>
      </c>
      <c r="BE5" s="10">
        <f t="shared" si="18"/>
        <v>0</v>
      </c>
      <c r="BF5" s="10">
        <f t="shared" si="18"/>
        <v>0</v>
      </c>
      <c r="BG5" s="10">
        <f t="shared" si="18"/>
        <v>0</v>
      </c>
      <c r="BH5" s="10">
        <f t="shared" si="18"/>
        <v>0</v>
      </c>
      <c r="BI5" s="10">
        <f t="shared" si="18"/>
        <v>0</v>
      </c>
      <c r="BJ5" s="10">
        <f t="shared" si="18"/>
        <v>0</v>
      </c>
      <c r="BK5" s="10">
        <f t="shared" si="18"/>
        <v>0</v>
      </c>
    </row>
    <row r="6" spans="1:63" s="10" customFormat="1" x14ac:dyDescent="0.25">
      <c r="A6" s="11"/>
      <c r="B6" s="10" t="s">
        <v>294</v>
      </c>
      <c r="C6" s="10" t="s">
        <v>365</v>
      </c>
      <c r="D6" s="10" t="s">
        <v>375</v>
      </c>
      <c r="E6" s="10">
        <v>0</v>
      </c>
      <c r="F6" s="10">
        <f t="shared" si="0"/>
        <v>0</v>
      </c>
      <c r="G6" s="10">
        <f t="shared" si="1"/>
        <v>0</v>
      </c>
      <c r="H6" s="10">
        <f t="shared" si="2"/>
        <v>0</v>
      </c>
      <c r="I6" s="10">
        <f t="shared" si="3"/>
        <v>0</v>
      </c>
      <c r="J6" s="10">
        <f t="shared" si="4"/>
        <v>0</v>
      </c>
      <c r="K6" s="10">
        <f t="shared" si="5"/>
        <v>0</v>
      </c>
      <c r="L6" s="10">
        <f t="shared" si="6"/>
        <v>0</v>
      </c>
      <c r="M6" s="10">
        <f t="shared" si="7"/>
        <v>0</v>
      </c>
      <c r="N6" s="10">
        <f t="shared" si="8"/>
        <v>0</v>
      </c>
      <c r="O6" s="10">
        <f t="shared" si="14"/>
        <v>0</v>
      </c>
      <c r="Q6" s="10">
        <v>0</v>
      </c>
      <c r="R6" s="10">
        <f t="shared" si="15"/>
        <v>0</v>
      </c>
      <c r="S6" s="10">
        <f t="shared" si="15"/>
        <v>0</v>
      </c>
      <c r="T6" s="10">
        <f t="shared" si="15"/>
        <v>0</v>
      </c>
      <c r="U6" s="10">
        <f t="shared" si="15"/>
        <v>0</v>
      </c>
      <c r="V6" s="10">
        <f t="shared" si="15"/>
        <v>0</v>
      </c>
      <c r="W6" s="10">
        <f t="shared" si="15"/>
        <v>0</v>
      </c>
      <c r="X6" s="10">
        <f t="shared" si="15"/>
        <v>0</v>
      </c>
      <c r="Y6" s="10">
        <f t="shared" si="15"/>
        <v>0</v>
      </c>
      <c r="Z6" s="10">
        <f t="shared" si="15"/>
        <v>0</v>
      </c>
      <c r="AA6" s="10">
        <f t="shared" si="15"/>
        <v>0</v>
      </c>
      <c r="AC6" s="10">
        <v>0</v>
      </c>
      <c r="AD6" s="10">
        <f t="shared" si="16"/>
        <v>0</v>
      </c>
      <c r="AE6" s="10">
        <f t="shared" si="16"/>
        <v>0</v>
      </c>
      <c r="AF6" s="10">
        <f t="shared" si="16"/>
        <v>0</v>
      </c>
      <c r="AG6" s="10">
        <f t="shared" si="16"/>
        <v>0</v>
      </c>
      <c r="AH6" s="10">
        <f t="shared" si="16"/>
        <v>0</v>
      </c>
      <c r="AI6" s="10">
        <f t="shared" si="16"/>
        <v>0</v>
      </c>
      <c r="AJ6" s="10">
        <f t="shared" si="16"/>
        <v>0</v>
      </c>
      <c r="AK6" s="10">
        <f t="shared" si="16"/>
        <v>0</v>
      </c>
      <c r="AL6" s="10">
        <f t="shared" si="16"/>
        <v>0</v>
      </c>
      <c r="AM6" s="10">
        <f t="shared" si="16"/>
        <v>0</v>
      </c>
      <c r="AO6" s="10">
        <v>0</v>
      </c>
      <c r="AP6" s="10">
        <f t="shared" si="17"/>
        <v>0</v>
      </c>
      <c r="AQ6" s="10">
        <f t="shared" si="17"/>
        <v>0</v>
      </c>
      <c r="AR6" s="10">
        <f t="shared" si="17"/>
        <v>0</v>
      </c>
      <c r="AS6" s="10">
        <f t="shared" si="17"/>
        <v>0</v>
      </c>
      <c r="AT6" s="10">
        <f t="shared" si="17"/>
        <v>0</v>
      </c>
      <c r="AU6" s="10">
        <f t="shared" si="17"/>
        <v>0</v>
      </c>
      <c r="AV6" s="10">
        <f t="shared" si="17"/>
        <v>0</v>
      </c>
      <c r="AW6" s="10">
        <f t="shared" si="17"/>
        <v>0</v>
      </c>
      <c r="AX6" s="10">
        <f t="shared" si="17"/>
        <v>0</v>
      </c>
      <c r="AY6" s="10">
        <f t="shared" si="17"/>
        <v>0</v>
      </c>
      <c r="BA6" s="10">
        <v>0</v>
      </c>
      <c r="BB6" s="10">
        <f t="shared" si="18"/>
        <v>0</v>
      </c>
      <c r="BC6" s="10">
        <f t="shared" si="18"/>
        <v>0</v>
      </c>
      <c r="BD6" s="10">
        <f t="shared" si="18"/>
        <v>0</v>
      </c>
      <c r="BE6" s="10">
        <f t="shared" si="18"/>
        <v>0</v>
      </c>
      <c r="BF6" s="10">
        <f t="shared" si="18"/>
        <v>0</v>
      </c>
      <c r="BG6" s="10">
        <f t="shared" si="18"/>
        <v>0</v>
      </c>
      <c r="BH6" s="10">
        <f t="shared" si="18"/>
        <v>0</v>
      </c>
      <c r="BI6" s="10">
        <f t="shared" si="18"/>
        <v>0</v>
      </c>
      <c r="BJ6" s="10">
        <f t="shared" si="18"/>
        <v>0</v>
      </c>
      <c r="BK6" s="10">
        <f t="shared" si="18"/>
        <v>0</v>
      </c>
    </row>
    <row r="7" spans="1:63" s="10" customFormat="1" x14ac:dyDescent="0.25">
      <c r="A7" s="11"/>
      <c r="B7" s="10" t="s">
        <v>295</v>
      </c>
      <c r="C7" s="10" t="s">
        <v>366</v>
      </c>
      <c r="D7" s="10" t="s">
        <v>376</v>
      </c>
      <c r="E7" s="10">
        <v>0</v>
      </c>
      <c r="F7" s="10">
        <f t="shared" si="0"/>
        <v>0</v>
      </c>
      <c r="G7" s="10">
        <f t="shared" si="1"/>
        <v>0</v>
      </c>
      <c r="H7" s="10">
        <f t="shared" si="2"/>
        <v>0</v>
      </c>
      <c r="I7" s="10">
        <f t="shared" si="3"/>
        <v>0</v>
      </c>
      <c r="J7" s="10">
        <f t="shared" si="4"/>
        <v>0</v>
      </c>
      <c r="K7" s="10">
        <f t="shared" si="5"/>
        <v>0</v>
      </c>
      <c r="L7" s="10">
        <f t="shared" si="6"/>
        <v>0</v>
      </c>
      <c r="M7" s="10">
        <f t="shared" si="7"/>
        <v>0</v>
      </c>
      <c r="N7" s="10">
        <f t="shared" si="8"/>
        <v>0</v>
      </c>
      <c r="O7" s="10">
        <f t="shared" si="14"/>
        <v>0</v>
      </c>
      <c r="Q7" s="10">
        <v>0</v>
      </c>
      <c r="R7" s="10">
        <f t="shared" si="15"/>
        <v>0</v>
      </c>
      <c r="S7" s="10">
        <f t="shared" si="15"/>
        <v>0</v>
      </c>
      <c r="T7" s="10">
        <f t="shared" si="15"/>
        <v>0</v>
      </c>
      <c r="U7" s="10">
        <f t="shared" si="15"/>
        <v>0</v>
      </c>
      <c r="V7" s="10">
        <f t="shared" si="15"/>
        <v>0</v>
      </c>
      <c r="W7" s="10">
        <f t="shared" si="15"/>
        <v>0</v>
      </c>
      <c r="X7" s="10">
        <f t="shared" si="15"/>
        <v>0</v>
      </c>
      <c r="Y7" s="10">
        <f t="shared" si="15"/>
        <v>0</v>
      </c>
      <c r="Z7" s="10">
        <f t="shared" si="15"/>
        <v>0</v>
      </c>
      <c r="AA7" s="10">
        <f t="shared" si="15"/>
        <v>0</v>
      </c>
      <c r="AC7" s="10">
        <v>0</v>
      </c>
      <c r="AD7" s="10">
        <f t="shared" si="16"/>
        <v>0</v>
      </c>
      <c r="AE7" s="10">
        <f t="shared" si="16"/>
        <v>0</v>
      </c>
      <c r="AF7" s="10">
        <f t="shared" si="16"/>
        <v>0</v>
      </c>
      <c r="AG7" s="10">
        <f t="shared" si="16"/>
        <v>0</v>
      </c>
      <c r="AH7" s="10">
        <f t="shared" si="16"/>
        <v>0</v>
      </c>
      <c r="AI7" s="10">
        <f t="shared" si="16"/>
        <v>0</v>
      </c>
      <c r="AJ7" s="10">
        <f t="shared" si="16"/>
        <v>0</v>
      </c>
      <c r="AK7" s="10">
        <f t="shared" si="16"/>
        <v>0</v>
      </c>
      <c r="AL7" s="10">
        <f t="shared" si="16"/>
        <v>0</v>
      </c>
      <c r="AM7" s="10">
        <f t="shared" si="16"/>
        <v>0</v>
      </c>
      <c r="AO7" s="10">
        <v>0</v>
      </c>
      <c r="AP7" s="10">
        <f t="shared" si="17"/>
        <v>0</v>
      </c>
      <c r="AQ7" s="10">
        <f t="shared" si="17"/>
        <v>0</v>
      </c>
      <c r="AR7" s="10">
        <f t="shared" si="17"/>
        <v>0</v>
      </c>
      <c r="AS7" s="10">
        <f t="shared" si="17"/>
        <v>0</v>
      </c>
      <c r="AT7" s="10">
        <f t="shared" si="17"/>
        <v>0</v>
      </c>
      <c r="AU7" s="10">
        <f t="shared" si="17"/>
        <v>0</v>
      </c>
      <c r="AV7" s="10">
        <f t="shared" si="17"/>
        <v>0</v>
      </c>
      <c r="AW7" s="10">
        <f t="shared" si="17"/>
        <v>0</v>
      </c>
      <c r="AX7" s="10">
        <f t="shared" si="17"/>
        <v>0</v>
      </c>
      <c r="AY7" s="10">
        <f t="shared" si="17"/>
        <v>0</v>
      </c>
      <c r="BA7" s="10">
        <v>0</v>
      </c>
      <c r="BB7" s="10">
        <f t="shared" si="18"/>
        <v>0</v>
      </c>
      <c r="BC7" s="10">
        <f t="shared" si="18"/>
        <v>0</v>
      </c>
      <c r="BD7" s="10">
        <f t="shared" si="18"/>
        <v>0</v>
      </c>
      <c r="BE7" s="10">
        <f t="shared" si="18"/>
        <v>0</v>
      </c>
      <c r="BF7" s="10">
        <f t="shared" si="18"/>
        <v>0</v>
      </c>
      <c r="BG7" s="10">
        <f t="shared" si="18"/>
        <v>0</v>
      </c>
      <c r="BH7" s="10">
        <f t="shared" si="18"/>
        <v>0</v>
      </c>
      <c r="BI7" s="10">
        <f t="shared" si="18"/>
        <v>0</v>
      </c>
      <c r="BJ7" s="10">
        <f t="shared" si="18"/>
        <v>0</v>
      </c>
      <c r="BK7" s="10">
        <f t="shared" si="18"/>
        <v>0</v>
      </c>
    </row>
    <row r="8" spans="1:63" s="10" customFormat="1" x14ac:dyDescent="0.25">
      <c r="A8" s="11"/>
      <c r="B8" s="10" t="s">
        <v>296</v>
      </c>
      <c r="C8" s="10" t="s">
        <v>367</v>
      </c>
      <c r="D8" s="10" t="s">
        <v>377</v>
      </c>
      <c r="E8" s="10">
        <v>0</v>
      </c>
      <c r="F8" s="10">
        <f t="shared" si="0"/>
        <v>0</v>
      </c>
      <c r="G8" s="10">
        <f t="shared" si="1"/>
        <v>0</v>
      </c>
      <c r="H8" s="10">
        <f t="shared" si="2"/>
        <v>0</v>
      </c>
      <c r="I8" s="10">
        <f t="shared" si="3"/>
        <v>0</v>
      </c>
      <c r="J8" s="10">
        <f t="shared" si="4"/>
        <v>0</v>
      </c>
      <c r="K8" s="10">
        <f t="shared" si="5"/>
        <v>0</v>
      </c>
      <c r="L8" s="10">
        <f t="shared" si="6"/>
        <v>0</v>
      </c>
      <c r="M8" s="10">
        <f t="shared" si="7"/>
        <v>0</v>
      </c>
      <c r="N8" s="10">
        <f t="shared" si="8"/>
        <v>0</v>
      </c>
      <c r="O8" s="10">
        <f t="shared" si="14"/>
        <v>0</v>
      </c>
      <c r="Q8" s="10">
        <v>0</v>
      </c>
      <c r="R8" s="10">
        <f t="shared" si="15"/>
        <v>0</v>
      </c>
      <c r="S8" s="10">
        <f t="shared" si="15"/>
        <v>0</v>
      </c>
      <c r="T8" s="10">
        <f t="shared" si="15"/>
        <v>0</v>
      </c>
      <c r="U8" s="10">
        <f t="shared" si="15"/>
        <v>0</v>
      </c>
      <c r="V8" s="10">
        <f t="shared" si="15"/>
        <v>0</v>
      </c>
      <c r="W8" s="10">
        <f t="shared" si="15"/>
        <v>0</v>
      </c>
      <c r="X8" s="10">
        <f t="shared" si="15"/>
        <v>0</v>
      </c>
      <c r="Y8" s="10">
        <f t="shared" si="15"/>
        <v>0</v>
      </c>
      <c r="Z8" s="10">
        <f t="shared" si="15"/>
        <v>0</v>
      </c>
      <c r="AA8" s="10">
        <f t="shared" si="15"/>
        <v>0</v>
      </c>
      <c r="AC8" s="10">
        <v>0</v>
      </c>
      <c r="AD8" s="10">
        <f t="shared" si="16"/>
        <v>0</v>
      </c>
      <c r="AE8" s="10">
        <f t="shared" si="16"/>
        <v>0</v>
      </c>
      <c r="AF8" s="10">
        <f t="shared" si="16"/>
        <v>0</v>
      </c>
      <c r="AG8" s="10">
        <f t="shared" si="16"/>
        <v>0</v>
      </c>
      <c r="AH8" s="10">
        <f t="shared" si="16"/>
        <v>0</v>
      </c>
      <c r="AI8" s="10">
        <f t="shared" si="16"/>
        <v>0</v>
      </c>
      <c r="AJ8" s="10">
        <f t="shared" si="16"/>
        <v>0</v>
      </c>
      <c r="AK8" s="10">
        <f t="shared" si="16"/>
        <v>0</v>
      </c>
      <c r="AL8" s="10">
        <f t="shared" si="16"/>
        <v>0</v>
      </c>
      <c r="AM8" s="10">
        <f t="shared" si="16"/>
        <v>0</v>
      </c>
      <c r="AO8" s="10">
        <v>0</v>
      </c>
      <c r="AP8" s="10">
        <f t="shared" si="17"/>
        <v>0</v>
      </c>
      <c r="AQ8" s="10">
        <f t="shared" si="17"/>
        <v>0</v>
      </c>
      <c r="AR8" s="10">
        <f t="shared" si="17"/>
        <v>0</v>
      </c>
      <c r="AS8" s="10">
        <f t="shared" si="17"/>
        <v>0</v>
      </c>
      <c r="AT8" s="10">
        <f t="shared" si="17"/>
        <v>0</v>
      </c>
      <c r="AU8" s="10">
        <f t="shared" si="17"/>
        <v>0</v>
      </c>
      <c r="AV8" s="10">
        <f t="shared" si="17"/>
        <v>0</v>
      </c>
      <c r="AW8" s="10">
        <f t="shared" si="17"/>
        <v>0</v>
      </c>
      <c r="AX8" s="10">
        <f t="shared" si="17"/>
        <v>0</v>
      </c>
      <c r="AY8" s="10">
        <f t="shared" si="17"/>
        <v>0</v>
      </c>
      <c r="BA8" s="10">
        <v>0</v>
      </c>
      <c r="BB8" s="10">
        <f t="shared" si="18"/>
        <v>0</v>
      </c>
      <c r="BC8" s="10">
        <f t="shared" si="18"/>
        <v>0</v>
      </c>
      <c r="BD8" s="10">
        <f t="shared" si="18"/>
        <v>0</v>
      </c>
      <c r="BE8" s="10">
        <f t="shared" si="18"/>
        <v>0</v>
      </c>
      <c r="BF8" s="10">
        <f t="shared" si="18"/>
        <v>0</v>
      </c>
      <c r="BG8" s="10">
        <f t="shared" si="18"/>
        <v>0</v>
      </c>
      <c r="BH8" s="10">
        <f t="shared" si="18"/>
        <v>0</v>
      </c>
      <c r="BI8" s="10">
        <f t="shared" si="18"/>
        <v>0</v>
      </c>
      <c r="BJ8" s="10">
        <f t="shared" si="18"/>
        <v>0</v>
      </c>
      <c r="BK8" s="10">
        <f t="shared" si="18"/>
        <v>0</v>
      </c>
    </row>
    <row r="9" spans="1:63" s="10" customFormat="1" x14ac:dyDescent="0.25">
      <c r="A9" s="11"/>
      <c r="B9" s="10" t="s">
        <v>297</v>
      </c>
      <c r="C9" s="10" t="s">
        <v>368</v>
      </c>
      <c r="D9" s="10" t="s">
        <v>378</v>
      </c>
      <c r="E9" s="10">
        <v>0</v>
      </c>
      <c r="F9" s="10">
        <f t="shared" si="0"/>
        <v>0</v>
      </c>
      <c r="G9" s="10">
        <f t="shared" si="1"/>
        <v>0</v>
      </c>
      <c r="H9" s="10">
        <f t="shared" si="2"/>
        <v>0</v>
      </c>
      <c r="I9" s="10">
        <f t="shared" si="3"/>
        <v>0</v>
      </c>
      <c r="J9" s="10">
        <f t="shared" si="4"/>
        <v>0</v>
      </c>
      <c r="K9" s="10">
        <f t="shared" si="5"/>
        <v>0</v>
      </c>
      <c r="L9" s="10">
        <f t="shared" si="6"/>
        <v>0</v>
      </c>
      <c r="M9" s="10">
        <f t="shared" si="7"/>
        <v>0</v>
      </c>
      <c r="N9" s="10">
        <f t="shared" si="8"/>
        <v>0</v>
      </c>
      <c r="O9" s="10">
        <f t="shared" si="14"/>
        <v>0</v>
      </c>
      <c r="Q9" s="10">
        <v>0</v>
      </c>
      <c r="R9" s="10">
        <f t="shared" si="15"/>
        <v>0</v>
      </c>
      <c r="S9" s="10">
        <f t="shared" si="15"/>
        <v>0</v>
      </c>
      <c r="T9" s="10">
        <f t="shared" si="15"/>
        <v>0</v>
      </c>
      <c r="U9" s="10">
        <f t="shared" si="15"/>
        <v>0</v>
      </c>
      <c r="V9" s="10">
        <f t="shared" si="15"/>
        <v>0</v>
      </c>
      <c r="W9" s="10">
        <f t="shared" si="15"/>
        <v>0</v>
      </c>
      <c r="X9" s="10">
        <f t="shared" si="15"/>
        <v>0</v>
      </c>
      <c r="Y9" s="10">
        <f t="shared" si="15"/>
        <v>0</v>
      </c>
      <c r="Z9" s="10">
        <f t="shared" si="15"/>
        <v>0</v>
      </c>
      <c r="AA9" s="10">
        <f t="shared" si="15"/>
        <v>0</v>
      </c>
      <c r="AC9" s="10">
        <v>0</v>
      </c>
      <c r="AD9" s="10">
        <f t="shared" si="16"/>
        <v>0</v>
      </c>
      <c r="AE9" s="10">
        <f t="shared" si="16"/>
        <v>0</v>
      </c>
      <c r="AF9" s="10">
        <f t="shared" si="16"/>
        <v>0</v>
      </c>
      <c r="AG9" s="10">
        <f t="shared" si="16"/>
        <v>0</v>
      </c>
      <c r="AH9" s="10">
        <f t="shared" si="16"/>
        <v>0</v>
      </c>
      <c r="AI9" s="10">
        <f t="shared" si="16"/>
        <v>0</v>
      </c>
      <c r="AJ9" s="10">
        <f t="shared" si="16"/>
        <v>0</v>
      </c>
      <c r="AK9" s="10">
        <f t="shared" si="16"/>
        <v>0</v>
      </c>
      <c r="AL9" s="10">
        <f t="shared" si="16"/>
        <v>0</v>
      </c>
      <c r="AM9" s="10">
        <f t="shared" si="16"/>
        <v>0</v>
      </c>
      <c r="AO9" s="10">
        <v>0</v>
      </c>
      <c r="AP9" s="10">
        <f t="shared" si="17"/>
        <v>0</v>
      </c>
      <c r="AQ9" s="10">
        <f t="shared" si="17"/>
        <v>0</v>
      </c>
      <c r="AR9" s="10">
        <f t="shared" si="17"/>
        <v>0</v>
      </c>
      <c r="AS9" s="10">
        <f t="shared" si="17"/>
        <v>0</v>
      </c>
      <c r="AT9" s="10">
        <f t="shared" si="17"/>
        <v>0</v>
      </c>
      <c r="AU9" s="10">
        <f t="shared" si="17"/>
        <v>0</v>
      </c>
      <c r="AV9" s="10">
        <f t="shared" si="17"/>
        <v>0</v>
      </c>
      <c r="AW9" s="10">
        <f t="shared" si="17"/>
        <v>0</v>
      </c>
      <c r="AX9" s="10">
        <f t="shared" si="17"/>
        <v>0</v>
      </c>
      <c r="AY9" s="10">
        <f t="shared" si="17"/>
        <v>0</v>
      </c>
      <c r="BA9" s="10">
        <v>0</v>
      </c>
      <c r="BB9" s="10">
        <f t="shared" si="18"/>
        <v>0</v>
      </c>
      <c r="BC9" s="10">
        <f t="shared" si="18"/>
        <v>0</v>
      </c>
      <c r="BD9" s="10">
        <f t="shared" si="18"/>
        <v>0</v>
      </c>
      <c r="BE9" s="10">
        <f t="shared" si="18"/>
        <v>0</v>
      </c>
      <c r="BF9" s="10">
        <f t="shared" si="18"/>
        <v>0</v>
      </c>
      <c r="BG9" s="10">
        <f t="shared" si="18"/>
        <v>0</v>
      </c>
      <c r="BH9" s="10">
        <f t="shared" si="18"/>
        <v>0</v>
      </c>
      <c r="BI9" s="10">
        <f t="shared" si="18"/>
        <v>0</v>
      </c>
      <c r="BJ9" s="10">
        <f t="shared" si="18"/>
        <v>0</v>
      </c>
      <c r="BK9" s="10">
        <f t="shared" si="18"/>
        <v>0</v>
      </c>
    </row>
    <row r="10" spans="1:63" x14ac:dyDescent="0.25">
      <c r="A10" s="2"/>
      <c r="E10" t="str">
        <f t="shared" ref="E10:AA10" si="19">CONCATENATE(E9,E8,E7,E6,E5,E4,E3,E2)</f>
        <v>00000000</v>
      </c>
      <c r="F10" t="str">
        <f t="shared" ref="F10:N10" si="20">CONCATENATE(F9,F8,F7,F6,F5,F4,F3,F2)</f>
        <v>00000000</v>
      </c>
      <c r="G10" t="str">
        <f t="shared" si="20"/>
        <v>00000000</v>
      </c>
      <c r="H10" t="str">
        <f t="shared" si="20"/>
        <v>00000000</v>
      </c>
      <c r="I10" t="str">
        <f t="shared" si="20"/>
        <v>00000000</v>
      </c>
      <c r="J10" t="str">
        <f t="shared" si="20"/>
        <v>00000000</v>
      </c>
      <c r="K10" t="str">
        <f t="shared" si="20"/>
        <v>00000000</v>
      </c>
      <c r="L10" t="str">
        <f t="shared" si="20"/>
        <v>00000000</v>
      </c>
      <c r="M10" t="str">
        <f t="shared" si="20"/>
        <v>00000000</v>
      </c>
      <c r="N10" t="str">
        <f t="shared" si="20"/>
        <v>00000000</v>
      </c>
      <c r="O10" t="str">
        <f t="shared" si="19"/>
        <v>00000000</v>
      </c>
      <c r="Q10" t="str">
        <f t="shared" si="19"/>
        <v>00000000</v>
      </c>
      <c r="R10" t="str">
        <f t="shared" si="19"/>
        <v>00000000</v>
      </c>
      <c r="S10" t="str">
        <f t="shared" si="19"/>
        <v>00000000</v>
      </c>
      <c r="T10" t="str">
        <f t="shared" si="19"/>
        <v>00000000</v>
      </c>
      <c r="U10" t="str">
        <f t="shared" si="19"/>
        <v>00000000</v>
      </c>
      <c r="V10" t="str">
        <f t="shared" si="19"/>
        <v>00000000</v>
      </c>
      <c r="W10" t="str">
        <f t="shared" si="19"/>
        <v>00000000</v>
      </c>
      <c r="X10" t="str">
        <f t="shared" si="19"/>
        <v>00000000</v>
      </c>
      <c r="Y10" t="str">
        <f t="shared" si="19"/>
        <v>00000000</v>
      </c>
      <c r="Z10" t="str">
        <f t="shared" si="19"/>
        <v>00000000</v>
      </c>
      <c r="AA10" t="str">
        <f t="shared" si="19"/>
        <v>00000000</v>
      </c>
      <c r="AC10" t="str">
        <f>CONCATENATE(AC9,AC8,AC7,AC6,AC5,AC4,AC3,AC2)</f>
        <v>00000000</v>
      </c>
      <c r="AD10" t="str">
        <f t="shared" ref="AD10:AM10" si="21">CONCATENATE(AD9,AD8,AD7,AD6,AD5,AD4,AD3,AD2)</f>
        <v>00000000</v>
      </c>
      <c r="AE10" t="str">
        <f t="shared" si="21"/>
        <v>00000000</v>
      </c>
      <c r="AF10" t="str">
        <f t="shared" si="21"/>
        <v>00000000</v>
      </c>
      <c r="AG10" t="str">
        <f t="shared" si="21"/>
        <v>00000000</v>
      </c>
      <c r="AH10" t="str">
        <f t="shared" si="21"/>
        <v>00000000</v>
      </c>
      <c r="AI10" t="str">
        <f t="shared" si="21"/>
        <v>00000000</v>
      </c>
      <c r="AJ10" t="str">
        <f t="shared" si="21"/>
        <v>00000000</v>
      </c>
      <c r="AK10" t="str">
        <f t="shared" si="21"/>
        <v>00000000</v>
      </c>
      <c r="AL10" t="str">
        <f t="shared" si="21"/>
        <v>00000000</v>
      </c>
      <c r="AM10" t="str">
        <f t="shared" si="21"/>
        <v>00000000</v>
      </c>
      <c r="AO10" t="str">
        <f t="shared" ref="AO10:AY10" si="22">CONCATENATE(AO9,AO8,AO7,AO6,AO5,AO4,AO3,AO2)</f>
        <v>00000000</v>
      </c>
      <c r="AP10" t="str">
        <f t="shared" si="22"/>
        <v>00000000</v>
      </c>
      <c r="AQ10" t="str">
        <f t="shared" si="22"/>
        <v>00000000</v>
      </c>
      <c r="AR10" t="str">
        <f t="shared" si="22"/>
        <v>00000000</v>
      </c>
      <c r="AS10" t="str">
        <f t="shared" si="22"/>
        <v>00000000</v>
      </c>
      <c r="AT10" t="str">
        <f t="shared" si="22"/>
        <v>00000000</v>
      </c>
      <c r="AU10" t="str">
        <f t="shared" si="22"/>
        <v>00000000</v>
      </c>
      <c r="AV10" t="str">
        <f t="shared" si="22"/>
        <v>00000000</v>
      </c>
      <c r="AW10" t="str">
        <f t="shared" si="22"/>
        <v>00000000</v>
      </c>
      <c r="AX10" t="str">
        <f t="shared" si="22"/>
        <v>00000000</v>
      </c>
      <c r="AY10" t="str">
        <f t="shared" si="22"/>
        <v>00000000</v>
      </c>
      <c r="BA10" t="str">
        <f t="shared" ref="BA10:BK10" si="23">CONCATENATE(BA9,BA8,BA7,BA6,BA5,BA4,BA3,BA2)</f>
        <v>00000000</v>
      </c>
      <c r="BB10" t="str">
        <f t="shared" si="23"/>
        <v>00000000</v>
      </c>
      <c r="BC10" t="str">
        <f t="shared" si="23"/>
        <v>00000000</v>
      </c>
      <c r="BD10" t="str">
        <f t="shared" si="23"/>
        <v>00000000</v>
      </c>
      <c r="BE10" t="str">
        <f t="shared" si="23"/>
        <v>00000000</v>
      </c>
      <c r="BF10" t="str">
        <f t="shared" si="23"/>
        <v>00000000</v>
      </c>
      <c r="BG10" t="str">
        <f t="shared" si="23"/>
        <v>00000000</v>
      </c>
      <c r="BH10" t="str">
        <f t="shared" si="23"/>
        <v>00000000</v>
      </c>
      <c r="BI10" t="str">
        <f t="shared" si="23"/>
        <v>00000000</v>
      </c>
      <c r="BJ10" t="str">
        <f t="shared" si="23"/>
        <v>00000000</v>
      </c>
      <c r="BK10" t="str">
        <f t="shared" si="23"/>
        <v>00000000</v>
      </c>
    </row>
    <row r="11" spans="1:63" x14ac:dyDescent="0.25">
      <c r="A11" s="2"/>
      <c r="E11" t="str">
        <f t="shared" ref="E11:AA11" si="24">CONCATENATE(BIN2HEX(E10,2))</f>
        <v>00</v>
      </c>
      <c r="F11" t="str">
        <f t="shared" ref="F11:N11" si="25">CONCATENATE(BIN2HEX(F10,2))</f>
        <v>00</v>
      </c>
      <c r="G11" t="str">
        <f t="shared" si="25"/>
        <v>00</v>
      </c>
      <c r="H11" t="str">
        <f t="shared" si="25"/>
        <v>00</v>
      </c>
      <c r="I11" t="str">
        <f t="shared" si="25"/>
        <v>00</v>
      </c>
      <c r="J11" t="str">
        <f t="shared" si="25"/>
        <v>00</v>
      </c>
      <c r="K11" t="str">
        <f t="shared" si="25"/>
        <v>00</v>
      </c>
      <c r="L11" t="str">
        <f t="shared" si="25"/>
        <v>00</v>
      </c>
      <c r="M11" t="str">
        <f t="shared" si="25"/>
        <v>00</v>
      </c>
      <c r="N11" t="str">
        <f t="shared" si="25"/>
        <v>00</v>
      </c>
      <c r="O11" t="str">
        <f t="shared" si="24"/>
        <v>00</v>
      </c>
      <c r="Q11" t="str">
        <f t="shared" si="24"/>
        <v>00</v>
      </c>
      <c r="R11" t="str">
        <f t="shared" si="24"/>
        <v>00</v>
      </c>
      <c r="S11" t="str">
        <f t="shared" si="24"/>
        <v>00</v>
      </c>
      <c r="T11" t="str">
        <f t="shared" si="24"/>
        <v>00</v>
      </c>
      <c r="U11" t="str">
        <f t="shared" si="24"/>
        <v>00</v>
      </c>
      <c r="V11" t="str">
        <f t="shared" si="24"/>
        <v>00</v>
      </c>
      <c r="W11" t="str">
        <f t="shared" si="24"/>
        <v>00</v>
      </c>
      <c r="X11" t="str">
        <f t="shared" si="24"/>
        <v>00</v>
      </c>
      <c r="Y11" t="str">
        <f t="shared" si="24"/>
        <v>00</v>
      </c>
      <c r="Z11" t="str">
        <f t="shared" si="24"/>
        <v>00</v>
      </c>
      <c r="AA11" t="str">
        <f t="shared" si="24"/>
        <v>00</v>
      </c>
      <c r="AC11" t="str">
        <f>CONCATENATE(BIN2HEX(AC10,2))</f>
        <v>00</v>
      </c>
      <c r="AD11" t="str">
        <f t="shared" ref="AD11:AM11" si="26">CONCATENATE(BIN2HEX(AD10,2))</f>
        <v>00</v>
      </c>
      <c r="AE11" t="str">
        <f t="shared" si="26"/>
        <v>00</v>
      </c>
      <c r="AF11" t="str">
        <f t="shared" si="26"/>
        <v>00</v>
      </c>
      <c r="AG11" t="str">
        <f t="shared" si="26"/>
        <v>00</v>
      </c>
      <c r="AH11" t="str">
        <f t="shared" si="26"/>
        <v>00</v>
      </c>
      <c r="AI11" t="str">
        <f t="shared" si="26"/>
        <v>00</v>
      </c>
      <c r="AJ11" t="str">
        <f t="shared" si="26"/>
        <v>00</v>
      </c>
      <c r="AK11" t="str">
        <f t="shared" si="26"/>
        <v>00</v>
      </c>
      <c r="AL11" t="str">
        <f t="shared" si="26"/>
        <v>00</v>
      </c>
      <c r="AM11" t="str">
        <f t="shared" si="26"/>
        <v>00</v>
      </c>
      <c r="AO11" t="str">
        <f t="shared" ref="AO11:AY11" si="27">CONCATENATE(BIN2HEX(AO10,2))</f>
        <v>00</v>
      </c>
      <c r="AP11" t="str">
        <f t="shared" si="27"/>
        <v>00</v>
      </c>
      <c r="AQ11" t="str">
        <f t="shared" si="27"/>
        <v>00</v>
      </c>
      <c r="AR11" t="str">
        <f t="shared" si="27"/>
        <v>00</v>
      </c>
      <c r="AS11" t="str">
        <f t="shared" si="27"/>
        <v>00</v>
      </c>
      <c r="AT11" t="str">
        <f t="shared" si="27"/>
        <v>00</v>
      </c>
      <c r="AU11" t="str">
        <f t="shared" si="27"/>
        <v>00</v>
      </c>
      <c r="AV11" t="str">
        <f t="shared" si="27"/>
        <v>00</v>
      </c>
      <c r="AW11" t="str">
        <f t="shared" si="27"/>
        <v>00</v>
      </c>
      <c r="AX11" t="str">
        <f t="shared" si="27"/>
        <v>00</v>
      </c>
      <c r="AY11" t="str">
        <f t="shared" si="27"/>
        <v>00</v>
      </c>
      <c r="BA11" t="str">
        <f t="shared" ref="BA11:BK11" si="28">CONCATENATE(BIN2HEX(BA10,2))</f>
        <v>00</v>
      </c>
      <c r="BB11" t="str">
        <f t="shared" si="28"/>
        <v>00</v>
      </c>
      <c r="BC11" t="str">
        <f t="shared" si="28"/>
        <v>00</v>
      </c>
      <c r="BD11" t="str">
        <f t="shared" si="28"/>
        <v>00</v>
      </c>
      <c r="BE11" t="str">
        <f t="shared" si="28"/>
        <v>00</v>
      </c>
      <c r="BF11" t="str">
        <f t="shared" si="28"/>
        <v>00</v>
      </c>
      <c r="BG11" t="str">
        <f t="shared" si="28"/>
        <v>00</v>
      </c>
      <c r="BH11" t="str">
        <f t="shared" si="28"/>
        <v>00</v>
      </c>
      <c r="BI11" t="str">
        <f t="shared" si="28"/>
        <v>00</v>
      </c>
      <c r="BJ11" t="str">
        <f t="shared" si="28"/>
        <v>00</v>
      </c>
      <c r="BK11" t="str">
        <f t="shared" si="28"/>
        <v>00</v>
      </c>
    </row>
    <row r="12" spans="1:63" x14ac:dyDescent="0.25">
      <c r="A12" s="2"/>
    </row>
    <row r="13" spans="1:63" s="10" customFormat="1" x14ac:dyDescent="0.25">
      <c r="A13" s="11"/>
      <c r="B13" s="10" t="s">
        <v>298</v>
      </c>
      <c r="C13" s="10" t="s">
        <v>370</v>
      </c>
      <c r="D13" s="10" t="s">
        <v>379</v>
      </c>
      <c r="E13" s="10">
        <v>0</v>
      </c>
      <c r="F13" s="10">
        <f t="shared" ref="F13:F20" si="29">E13</f>
        <v>0</v>
      </c>
      <c r="G13" s="10">
        <f t="shared" ref="G13:G20" si="30">F13</f>
        <v>0</v>
      </c>
      <c r="H13" s="10">
        <f t="shared" ref="H13:H20" si="31">G13</f>
        <v>0</v>
      </c>
      <c r="I13" s="10">
        <f t="shared" ref="I13:I20" si="32">H13</f>
        <v>0</v>
      </c>
      <c r="J13" s="10">
        <f t="shared" ref="J13:J20" si="33">I13</f>
        <v>0</v>
      </c>
      <c r="K13" s="10">
        <f t="shared" ref="K13:K20" si="34">J13</f>
        <v>0</v>
      </c>
      <c r="L13" s="10">
        <f t="shared" ref="L13:L20" si="35">K13</f>
        <v>0</v>
      </c>
      <c r="M13" s="10">
        <f t="shared" ref="M13:M20" si="36">L13</f>
        <v>0</v>
      </c>
      <c r="N13" s="10">
        <f t="shared" ref="N13:N20" si="37">M13</f>
        <v>0</v>
      </c>
      <c r="O13" s="10">
        <f t="shared" ref="O13" si="38">N13</f>
        <v>0</v>
      </c>
      <c r="Q13" s="10">
        <v>0</v>
      </c>
      <c r="R13" s="10">
        <f>Q13</f>
        <v>0</v>
      </c>
      <c r="S13" s="10">
        <f t="shared" ref="S13:AA13" si="39">R13</f>
        <v>0</v>
      </c>
      <c r="T13" s="10">
        <f t="shared" si="39"/>
        <v>0</v>
      </c>
      <c r="U13" s="10">
        <f t="shared" si="39"/>
        <v>0</v>
      </c>
      <c r="V13" s="10">
        <f t="shared" si="39"/>
        <v>0</v>
      </c>
      <c r="W13" s="10">
        <f t="shared" si="39"/>
        <v>0</v>
      </c>
      <c r="X13" s="10">
        <f t="shared" si="39"/>
        <v>0</v>
      </c>
      <c r="Y13" s="10">
        <f t="shared" si="39"/>
        <v>0</v>
      </c>
      <c r="Z13" s="10">
        <f t="shared" si="39"/>
        <v>0</v>
      </c>
      <c r="AA13" s="10">
        <f t="shared" si="39"/>
        <v>0</v>
      </c>
      <c r="AC13" s="10">
        <v>0</v>
      </c>
      <c r="AD13" s="10">
        <f>AC13</f>
        <v>0</v>
      </c>
      <c r="AE13" s="10">
        <f t="shared" ref="AE13:AM13" si="40">AD13</f>
        <v>0</v>
      </c>
      <c r="AF13" s="10">
        <f t="shared" si="40"/>
        <v>0</v>
      </c>
      <c r="AG13" s="10">
        <f t="shared" si="40"/>
        <v>0</v>
      </c>
      <c r="AH13" s="10">
        <f t="shared" si="40"/>
        <v>0</v>
      </c>
      <c r="AI13" s="10">
        <f t="shared" si="40"/>
        <v>0</v>
      </c>
      <c r="AJ13" s="10">
        <f t="shared" si="40"/>
        <v>0</v>
      </c>
      <c r="AK13" s="10">
        <f t="shared" si="40"/>
        <v>0</v>
      </c>
      <c r="AL13" s="10">
        <f t="shared" si="40"/>
        <v>0</v>
      </c>
      <c r="AM13" s="10">
        <f t="shared" si="40"/>
        <v>0</v>
      </c>
      <c r="AO13" s="10">
        <v>0</v>
      </c>
      <c r="AP13" s="10">
        <f>AO13</f>
        <v>0</v>
      </c>
      <c r="AQ13" s="10">
        <f t="shared" ref="AQ13:AY13" si="41">AP13</f>
        <v>0</v>
      </c>
      <c r="AR13" s="10">
        <f t="shared" si="41"/>
        <v>0</v>
      </c>
      <c r="AS13" s="10">
        <f t="shared" si="41"/>
        <v>0</v>
      </c>
      <c r="AT13" s="10">
        <f t="shared" si="41"/>
        <v>0</v>
      </c>
      <c r="AU13" s="10">
        <f t="shared" si="41"/>
        <v>0</v>
      </c>
      <c r="AV13" s="10">
        <f t="shared" si="41"/>
        <v>0</v>
      </c>
      <c r="AW13" s="10">
        <f t="shared" si="41"/>
        <v>0</v>
      </c>
      <c r="AX13" s="10">
        <f t="shared" si="41"/>
        <v>0</v>
      </c>
      <c r="AY13" s="10">
        <f t="shared" si="41"/>
        <v>0</v>
      </c>
      <c r="BA13" s="10">
        <v>0</v>
      </c>
      <c r="BB13" s="10">
        <f>BA13</f>
        <v>0</v>
      </c>
      <c r="BC13" s="10">
        <f t="shared" ref="BC13:BK13" si="42">BB13</f>
        <v>0</v>
      </c>
      <c r="BD13" s="10">
        <f t="shared" si="42"/>
        <v>0</v>
      </c>
      <c r="BE13" s="10">
        <f t="shared" si="42"/>
        <v>0</v>
      </c>
      <c r="BF13" s="10">
        <f t="shared" si="42"/>
        <v>0</v>
      </c>
      <c r="BG13" s="10">
        <f t="shared" si="42"/>
        <v>0</v>
      </c>
      <c r="BH13" s="10">
        <f t="shared" si="42"/>
        <v>0</v>
      </c>
      <c r="BI13" s="10">
        <f t="shared" si="42"/>
        <v>0</v>
      </c>
      <c r="BJ13" s="10">
        <f t="shared" si="42"/>
        <v>0</v>
      </c>
      <c r="BK13" s="10">
        <f t="shared" si="42"/>
        <v>0</v>
      </c>
    </row>
    <row r="14" spans="1:63" s="10" customFormat="1" x14ac:dyDescent="0.25">
      <c r="A14" s="11"/>
      <c r="B14" s="10" t="s">
        <v>299</v>
      </c>
      <c r="C14" s="10" t="s">
        <v>369</v>
      </c>
      <c r="D14" s="10" t="s">
        <v>380</v>
      </c>
      <c r="E14" s="10">
        <v>0</v>
      </c>
      <c r="F14" s="10">
        <f t="shared" si="29"/>
        <v>0</v>
      </c>
      <c r="G14" s="10">
        <f t="shared" si="30"/>
        <v>0</v>
      </c>
      <c r="H14" s="10">
        <f t="shared" si="31"/>
        <v>0</v>
      </c>
      <c r="I14" s="10">
        <f t="shared" si="32"/>
        <v>0</v>
      </c>
      <c r="J14" s="10">
        <f t="shared" si="33"/>
        <v>0</v>
      </c>
      <c r="K14" s="10">
        <f t="shared" si="34"/>
        <v>0</v>
      </c>
      <c r="L14" s="10">
        <f t="shared" si="35"/>
        <v>0</v>
      </c>
      <c r="M14" s="10">
        <f t="shared" si="36"/>
        <v>0</v>
      </c>
      <c r="N14" s="10">
        <f t="shared" si="37"/>
        <v>0</v>
      </c>
      <c r="O14" s="10">
        <f t="shared" ref="O14:O20" si="43">N14</f>
        <v>0</v>
      </c>
      <c r="Q14" s="10">
        <v>0</v>
      </c>
      <c r="R14" s="10">
        <f t="shared" ref="R14:AA20" si="44">Q14</f>
        <v>0</v>
      </c>
      <c r="S14" s="10">
        <f t="shared" si="44"/>
        <v>0</v>
      </c>
      <c r="T14" s="10">
        <f t="shared" si="44"/>
        <v>0</v>
      </c>
      <c r="U14" s="10">
        <f t="shared" si="44"/>
        <v>0</v>
      </c>
      <c r="V14" s="10">
        <f t="shared" si="44"/>
        <v>0</v>
      </c>
      <c r="W14" s="10">
        <f t="shared" si="44"/>
        <v>0</v>
      </c>
      <c r="X14" s="10">
        <f t="shared" si="44"/>
        <v>0</v>
      </c>
      <c r="Y14" s="10">
        <f t="shared" si="44"/>
        <v>0</v>
      </c>
      <c r="Z14" s="10">
        <f t="shared" si="44"/>
        <v>0</v>
      </c>
      <c r="AA14" s="10">
        <f t="shared" si="44"/>
        <v>0</v>
      </c>
      <c r="AC14" s="10">
        <v>0</v>
      </c>
      <c r="AD14" s="10">
        <f t="shared" ref="AD14:AM20" si="45">AC14</f>
        <v>0</v>
      </c>
      <c r="AE14" s="10">
        <f t="shared" si="45"/>
        <v>0</v>
      </c>
      <c r="AF14" s="10">
        <f t="shared" si="45"/>
        <v>0</v>
      </c>
      <c r="AG14" s="10">
        <f t="shared" si="45"/>
        <v>0</v>
      </c>
      <c r="AH14" s="10">
        <f t="shared" si="45"/>
        <v>0</v>
      </c>
      <c r="AI14" s="10">
        <f t="shared" si="45"/>
        <v>0</v>
      </c>
      <c r="AJ14" s="10">
        <f t="shared" si="45"/>
        <v>0</v>
      </c>
      <c r="AK14" s="10">
        <f t="shared" si="45"/>
        <v>0</v>
      </c>
      <c r="AL14" s="10">
        <f t="shared" si="45"/>
        <v>0</v>
      </c>
      <c r="AM14" s="10">
        <f t="shared" si="45"/>
        <v>0</v>
      </c>
      <c r="AO14" s="10">
        <v>0</v>
      </c>
      <c r="AP14" s="10">
        <f t="shared" ref="AP14:AY20" si="46">AO14</f>
        <v>0</v>
      </c>
      <c r="AQ14" s="10">
        <f t="shared" si="46"/>
        <v>0</v>
      </c>
      <c r="AR14" s="10">
        <f t="shared" si="46"/>
        <v>0</v>
      </c>
      <c r="AS14" s="10">
        <f t="shared" si="46"/>
        <v>0</v>
      </c>
      <c r="AT14" s="10">
        <f t="shared" si="46"/>
        <v>0</v>
      </c>
      <c r="AU14" s="10">
        <f t="shared" si="46"/>
        <v>0</v>
      </c>
      <c r="AV14" s="10">
        <f t="shared" si="46"/>
        <v>0</v>
      </c>
      <c r="AW14" s="10">
        <f t="shared" si="46"/>
        <v>0</v>
      </c>
      <c r="AX14" s="10">
        <f t="shared" si="46"/>
        <v>0</v>
      </c>
      <c r="AY14" s="10">
        <f t="shared" si="46"/>
        <v>0</v>
      </c>
      <c r="BA14" s="10">
        <v>0</v>
      </c>
      <c r="BB14" s="10">
        <f t="shared" ref="BB14:BK20" si="47">BA14</f>
        <v>0</v>
      </c>
      <c r="BC14" s="10">
        <f t="shared" si="47"/>
        <v>0</v>
      </c>
      <c r="BD14" s="10">
        <f t="shared" si="47"/>
        <v>0</v>
      </c>
      <c r="BE14" s="10">
        <f t="shared" si="47"/>
        <v>0</v>
      </c>
      <c r="BF14" s="10">
        <f t="shared" si="47"/>
        <v>0</v>
      </c>
      <c r="BG14" s="10">
        <f t="shared" si="47"/>
        <v>0</v>
      </c>
      <c r="BH14" s="10">
        <f t="shared" si="47"/>
        <v>0</v>
      </c>
      <c r="BI14" s="10">
        <f t="shared" si="47"/>
        <v>0</v>
      </c>
      <c r="BJ14" s="10">
        <f t="shared" si="47"/>
        <v>0</v>
      </c>
      <c r="BK14" s="10">
        <f t="shared" si="47"/>
        <v>0</v>
      </c>
    </row>
    <row r="15" spans="1:63" s="10" customFormat="1" x14ac:dyDescent="0.25">
      <c r="A15" s="11"/>
      <c r="B15" s="10" t="s">
        <v>300</v>
      </c>
      <c r="C15" s="10" t="s">
        <v>363</v>
      </c>
      <c r="D15" s="10" t="s">
        <v>373</v>
      </c>
      <c r="E15" s="10">
        <v>0</v>
      </c>
      <c r="F15" s="10">
        <f t="shared" si="29"/>
        <v>0</v>
      </c>
      <c r="G15" s="10">
        <f t="shared" si="30"/>
        <v>0</v>
      </c>
      <c r="H15" s="10">
        <f t="shared" si="31"/>
        <v>0</v>
      </c>
      <c r="I15" s="10">
        <f t="shared" si="32"/>
        <v>0</v>
      </c>
      <c r="J15" s="10">
        <f t="shared" si="33"/>
        <v>0</v>
      </c>
      <c r="K15" s="10">
        <f t="shared" si="34"/>
        <v>0</v>
      </c>
      <c r="L15" s="10">
        <f t="shared" si="35"/>
        <v>0</v>
      </c>
      <c r="M15" s="10">
        <f t="shared" si="36"/>
        <v>0</v>
      </c>
      <c r="N15" s="10">
        <f t="shared" si="37"/>
        <v>0</v>
      </c>
      <c r="O15" s="10">
        <f t="shared" si="43"/>
        <v>0</v>
      </c>
      <c r="Q15" s="10">
        <v>0</v>
      </c>
      <c r="R15" s="10">
        <f t="shared" si="44"/>
        <v>0</v>
      </c>
      <c r="S15" s="10">
        <f t="shared" si="44"/>
        <v>0</v>
      </c>
      <c r="T15" s="10">
        <f t="shared" si="44"/>
        <v>0</v>
      </c>
      <c r="U15" s="10">
        <f t="shared" si="44"/>
        <v>0</v>
      </c>
      <c r="V15" s="10">
        <f t="shared" si="44"/>
        <v>0</v>
      </c>
      <c r="W15" s="10">
        <f t="shared" si="44"/>
        <v>0</v>
      </c>
      <c r="X15" s="10">
        <f t="shared" si="44"/>
        <v>0</v>
      </c>
      <c r="Y15" s="10">
        <f t="shared" si="44"/>
        <v>0</v>
      </c>
      <c r="Z15" s="10">
        <f t="shared" si="44"/>
        <v>0</v>
      </c>
      <c r="AA15" s="10">
        <f t="shared" si="44"/>
        <v>0</v>
      </c>
      <c r="AC15" s="10">
        <v>0</v>
      </c>
      <c r="AD15" s="10">
        <f t="shared" si="45"/>
        <v>0</v>
      </c>
      <c r="AE15" s="10">
        <f t="shared" si="45"/>
        <v>0</v>
      </c>
      <c r="AF15" s="10">
        <f t="shared" si="45"/>
        <v>0</v>
      </c>
      <c r="AG15" s="10">
        <f t="shared" si="45"/>
        <v>0</v>
      </c>
      <c r="AH15" s="10">
        <f t="shared" si="45"/>
        <v>0</v>
      </c>
      <c r="AI15" s="10">
        <f t="shared" si="45"/>
        <v>0</v>
      </c>
      <c r="AJ15" s="10">
        <f t="shared" si="45"/>
        <v>0</v>
      </c>
      <c r="AK15" s="10">
        <f t="shared" si="45"/>
        <v>0</v>
      </c>
      <c r="AL15" s="10">
        <f t="shared" si="45"/>
        <v>0</v>
      </c>
      <c r="AM15" s="10">
        <f t="shared" si="45"/>
        <v>0</v>
      </c>
      <c r="AO15" s="10">
        <v>0</v>
      </c>
      <c r="AP15" s="10">
        <f t="shared" si="46"/>
        <v>0</v>
      </c>
      <c r="AQ15" s="10">
        <f t="shared" si="46"/>
        <v>0</v>
      </c>
      <c r="AR15" s="10">
        <f t="shared" si="46"/>
        <v>0</v>
      </c>
      <c r="AS15" s="10">
        <f t="shared" si="46"/>
        <v>0</v>
      </c>
      <c r="AT15" s="10">
        <f t="shared" si="46"/>
        <v>0</v>
      </c>
      <c r="AU15" s="10">
        <f t="shared" si="46"/>
        <v>0</v>
      </c>
      <c r="AV15" s="10">
        <f t="shared" si="46"/>
        <v>0</v>
      </c>
      <c r="AW15" s="10">
        <f t="shared" si="46"/>
        <v>0</v>
      </c>
      <c r="AX15" s="10">
        <f t="shared" si="46"/>
        <v>0</v>
      </c>
      <c r="AY15" s="10">
        <f t="shared" si="46"/>
        <v>0</v>
      </c>
      <c r="BA15" s="10">
        <v>0</v>
      </c>
      <c r="BB15" s="10">
        <f t="shared" si="47"/>
        <v>0</v>
      </c>
      <c r="BC15" s="10">
        <f t="shared" si="47"/>
        <v>0</v>
      </c>
      <c r="BD15" s="10">
        <f t="shared" si="47"/>
        <v>0</v>
      </c>
      <c r="BE15" s="10">
        <f t="shared" si="47"/>
        <v>0</v>
      </c>
      <c r="BF15" s="10">
        <f t="shared" si="47"/>
        <v>0</v>
      </c>
      <c r="BG15" s="10">
        <f t="shared" si="47"/>
        <v>0</v>
      </c>
      <c r="BH15" s="10">
        <f t="shared" si="47"/>
        <v>0</v>
      </c>
      <c r="BI15" s="10">
        <f t="shared" si="47"/>
        <v>0</v>
      </c>
      <c r="BJ15" s="10">
        <f t="shared" si="47"/>
        <v>0</v>
      </c>
      <c r="BK15" s="10">
        <f t="shared" si="47"/>
        <v>0</v>
      </c>
    </row>
    <row r="16" spans="1:63" s="10" customFormat="1" x14ac:dyDescent="0.25">
      <c r="A16" s="11"/>
      <c r="B16" s="10" t="s">
        <v>301</v>
      </c>
      <c r="C16" s="10" t="s">
        <v>364</v>
      </c>
      <c r="D16" s="10" t="s">
        <v>374</v>
      </c>
      <c r="E16" s="10">
        <v>0</v>
      </c>
      <c r="F16" s="10">
        <f t="shared" si="29"/>
        <v>0</v>
      </c>
      <c r="G16" s="10">
        <f t="shared" si="30"/>
        <v>0</v>
      </c>
      <c r="H16" s="10">
        <f t="shared" si="31"/>
        <v>0</v>
      </c>
      <c r="I16" s="10">
        <f t="shared" si="32"/>
        <v>0</v>
      </c>
      <c r="J16" s="10">
        <f t="shared" si="33"/>
        <v>0</v>
      </c>
      <c r="K16" s="10">
        <f t="shared" si="34"/>
        <v>0</v>
      </c>
      <c r="L16" s="10">
        <f t="shared" si="35"/>
        <v>0</v>
      </c>
      <c r="M16" s="10">
        <f t="shared" si="36"/>
        <v>0</v>
      </c>
      <c r="N16" s="10">
        <f t="shared" si="37"/>
        <v>0</v>
      </c>
      <c r="O16" s="10">
        <f t="shared" si="43"/>
        <v>0</v>
      </c>
      <c r="Q16" s="10">
        <v>0</v>
      </c>
      <c r="R16" s="10">
        <f t="shared" si="44"/>
        <v>0</v>
      </c>
      <c r="S16" s="10">
        <f t="shared" si="44"/>
        <v>0</v>
      </c>
      <c r="T16" s="10">
        <f t="shared" si="44"/>
        <v>0</v>
      </c>
      <c r="U16" s="10">
        <f t="shared" si="44"/>
        <v>0</v>
      </c>
      <c r="V16" s="10">
        <f t="shared" si="44"/>
        <v>0</v>
      </c>
      <c r="W16" s="10">
        <f t="shared" si="44"/>
        <v>0</v>
      </c>
      <c r="X16" s="10">
        <f t="shared" si="44"/>
        <v>0</v>
      </c>
      <c r="Y16" s="10">
        <f t="shared" si="44"/>
        <v>0</v>
      </c>
      <c r="Z16" s="10">
        <f t="shared" si="44"/>
        <v>0</v>
      </c>
      <c r="AA16" s="10">
        <f t="shared" si="44"/>
        <v>0</v>
      </c>
      <c r="AC16" s="10">
        <v>0</v>
      </c>
      <c r="AD16" s="10">
        <f t="shared" si="45"/>
        <v>0</v>
      </c>
      <c r="AE16" s="10">
        <f t="shared" si="45"/>
        <v>0</v>
      </c>
      <c r="AF16" s="10">
        <f t="shared" si="45"/>
        <v>0</v>
      </c>
      <c r="AG16" s="10">
        <f t="shared" si="45"/>
        <v>0</v>
      </c>
      <c r="AH16" s="10">
        <f t="shared" si="45"/>
        <v>0</v>
      </c>
      <c r="AI16" s="10">
        <f t="shared" si="45"/>
        <v>0</v>
      </c>
      <c r="AJ16" s="10">
        <f t="shared" si="45"/>
        <v>0</v>
      </c>
      <c r="AK16" s="10">
        <f t="shared" si="45"/>
        <v>0</v>
      </c>
      <c r="AL16" s="10">
        <f t="shared" si="45"/>
        <v>0</v>
      </c>
      <c r="AM16" s="10">
        <f t="shared" si="45"/>
        <v>0</v>
      </c>
      <c r="AO16" s="10">
        <v>0</v>
      </c>
      <c r="AP16" s="10">
        <f t="shared" si="46"/>
        <v>0</v>
      </c>
      <c r="AQ16" s="10">
        <f t="shared" si="46"/>
        <v>0</v>
      </c>
      <c r="AR16" s="10">
        <f t="shared" si="46"/>
        <v>0</v>
      </c>
      <c r="AS16" s="10">
        <f t="shared" si="46"/>
        <v>0</v>
      </c>
      <c r="AT16" s="10">
        <f t="shared" si="46"/>
        <v>0</v>
      </c>
      <c r="AU16" s="10">
        <f t="shared" si="46"/>
        <v>0</v>
      </c>
      <c r="AV16" s="10">
        <f t="shared" si="46"/>
        <v>0</v>
      </c>
      <c r="AW16" s="10">
        <f t="shared" si="46"/>
        <v>0</v>
      </c>
      <c r="AX16" s="10">
        <f t="shared" si="46"/>
        <v>0</v>
      </c>
      <c r="AY16" s="10">
        <f t="shared" si="46"/>
        <v>0</v>
      </c>
      <c r="BA16" s="10">
        <v>0</v>
      </c>
      <c r="BB16" s="10">
        <f t="shared" si="47"/>
        <v>0</v>
      </c>
      <c r="BC16" s="10">
        <f t="shared" si="47"/>
        <v>0</v>
      </c>
      <c r="BD16" s="10">
        <f t="shared" si="47"/>
        <v>0</v>
      </c>
      <c r="BE16" s="10">
        <f t="shared" si="47"/>
        <v>0</v>
      </c>
      <c r="BF16" s="10">
        <f t="shared" si="47"/>
        <v>0</v>
      </c>
      <c r="BG16" s="10">
        <f t="shared" si="47"/>
        <v>0</v>
      </c>
      <c r="BH16" s="10">
        <f t="shared" si="47"/>
        <v>0</v>
      </c>
      <c r="BI16" s="10">
        <f t="shared" si="47"/>
        <v>0</v>
      </c>
      <c r="BJ16" s="10">
        <f t="shared" si="47"/>
        <v>0</v>
      </c>
      <c r="BK16" s="10">
        <f t="shared" si="47"/>
        <v>0</v>
      </c>
    </row>
    <row r="17" spans="1:63" s="10" customFormat="1" x14ac:dyDescent="0.25">
      <c r="A17" s="11"/>
      <c r="B17" s="10" t="s">
        <v>302</v>
      </c>
      <c r="C17" s="10" t="s">
        <v>365</v>
      </c>
      <c r="D17" s="10" t="s">
        <v>375</v>
      </c>
      <c r="E17" s="10">
        <v>0</v>
      </c>
      <c r="F17" s="10">
        <f t="shared" si="29"/>
        <v>0</v>
      </c>
      <c r="G17" s="10">
        <f t="shared" si="30"/>
        <v>0</v>
      </c>
      <c r="H17" s="10">
        <f t="shared" si="31"/>
        <v>0</v>
      </c>
      <c r="I17" s="10">
        <f t="shared" si="32"/>
        <v>0</v>
      </c>
      <c r="J17" s="10">
        <f t="shared" si="33"/>
        <v>0</v>
      </c>
      <c r="K17" s="10">
        <f t="shared" si="34"/>
        <v>0</v>
      </c>
      <c r="L17" s="10">
        <f t="shared" si="35"/>
        <v>0</v>
      </c>
      <c r="M17" s="10">
        <f t="shared" si="36"/>
        <v>0</v>
      </c>
      <c r="N17" s="10">
        <f t="shared" si="37"/>
        <v>0</v>
      </c>
      <c r="O17" s="10">
        <f t="shared" si="43"/>
        <v>0</v>
      </c>
      <c r="Q17" s="10">
        <v>0</v>
      </c>
      <c r="R17" s="10">
        <f t="shared" si="44"/>
        <v>0</v>
      </c>
      <c r="S17" s="10">
        <f t="shared" si="44"/>
        <v>0</v>
      </c>
      <c r="T17" s="10">
        <f t="shared" si="44"/>
        <v>0</v>
      </c>
      <c r="U17" s="10">
        <f t="shared" si="44"/>
        <v>0</v>
      </c>
      <c r="V17" s="10">
        <f t="shared" si="44"/>
        <v>0</v>
      </c>
      <c r="W17" s="10">
        <f t="shared" si="44"/>
        <v>0</v>
      </c>
      <c r="X17" s="10">
        <f t="shared" si="44"/>
        <v>0</v>
      </c>
      <c r="Y17" s="10">
        <f t="shared" si="44"/>
        <v>0</v>
      </c>
      <c r="Z17" s="10">
        <f t="shared" si="44"/>
        <v>0</v>
      </c>
      <c r="AA17" s="10">
        <f t="shared" si="44"/>
        <v>0</v>
      </c>
      <c r="AC17" s="10">
        <v>0</v>
      </c>
      <c r="AD17" s="10">
        <f t="shared" si="45"/>
        <v>0</v>
      </c>
      <c r="AE17" s="10">
        <f t="shared" si="45"/>
        <v>0</v>
      </c>
      <c r="AF17" s="10">
        <f t="shared" si="45"/>
        <v>0</v>
      </c>
      <c r="AG17" s="10">
        <f t="shared" si="45"/>
        <v>0</v>
      </c>
      <c r="AH17" s="10">
        <f t="shared" si="45"/>
        <v>0</v>
      </c>
      <c r="AI17" s="10">
        <f t="shared" si="45"/>
        <v>0</v>
      </c>
      <c r="AJ17" s="10">
        <f t="shared" si="45"/>
        <v>0</v>
      </c>
      <c r="AK17" s="10">
        <f t="shared" si="45"/>
        <v>0</v>
      </c>
      <c r="AL17" s="10">
        <f t="shared" si="45"/>
        <v>0</v>
      </c>
      <c r="AM17" s="10">
        <f t="shared" si="45"/>
        <v>0</v>
      </c>
      <c r="AO17" s="10">
        <v>0</v>
      </c>
      <c r="AP17" s="10">
        <f t="shared" si="46"/>
        <v>0</v>
      </c>
      <c r="AQ17" s="10">
        <f t="shared" si="46"/>
        <v>0</v>
      </c>
      <c r="AR17" s="10">
        <f t="shared" si="46"/>
        <v>0</v>
      </c>
      <c r="AS17" s="10">
        <f t="shared" si="46"/>
        <v>0</v>
      </c>
      <c r="AT17" s="10">
        <f t="shared" si="46"/>
        <v>0</v>
      </c>
      <c r="AU17" s="10">
        <f t="shared" si="46"/>
        <v>0</v>
      </c>
      <c r="AV17" s="10">
        <f t="shared" si="46"/>
        <v>0</v>
      </c>
      <c r="AW17" s="10">
        <f t="shared" si="46"/>
        <v>0</v>
      </c>
      <c r="AX17" s="10">
        <f t="shared" si="46"/>
        <v>0</v>
      </c>
      <c r="AY17" s="10">
        <f t="shared" si="46"/>
        <v>0</v>
      </c>
      <c r="BA17" s="10">
        <v>0</v>
      </c>
      <c r="BB17" s="10">
        <f t="shared" si="47"/>
        <v>0</v>
      </c>
      <c r="BC17" s="10">
        <f t="shared" si="47"/>
        <v>0</v>
      </c>
      <c r="BD17" s="10">
        <f t="shared" si="47"/>
        <v>0</v>
      </c>
      <c r="BE17" s="10">
        <f t="shared" si="47"/>
        <v>0</v>
      </c>
      <c r="BF17" s="10">
        <f t="shared" si="47"/>
        <v>0</v>
      </c>
      <c r="BG17" s="10">
        <f t="shared" si="47"/>
        <v>0</v>
      </c>
      <c r="BH17" s="10">
        <f t="shared" si="47"/>
        <v>0</v>
      </c>
      <c r="BI17" s="10">
        <f t="shared" si="47"/>
        <v>0</v>
      </c>
      <c r="BJ17" s="10">
        <f t="shared" si="47"/>
        <v>0</v>
      </c>
      <c r="BK17" s="10">
        <f t="shared" si="47"/>
        <v>0</v>
      </c>
    </row>
    <row r="18" spans="1:63" s="10" customFormat="1" x14ac:dyDescent="0.25">
      <c r="A18" s="11"/>
      <c r="B18" s="10" t="s">
        <v>303</v>
      </c>
      <c r="C18" s="10" t="s">
        <v>366</v>
      </c>
      <c r="D18" s="10" t="s">
        <v>376</v>
      </c>
      <c r="E18" s="10">
        <v>0</v>
      </c>
      <c r="F18" s="10">
        <f t="shared" si="29"/>
        <v>0</v>
      </c>
      <c r="G18" s="10">
        <f t="shared" si="30"/>
        <v>0</v>
      </c>
      <c r="H18" s="10">
        <f t="shared" si="31"/>
        <v>0</v>
      </c>
      <c r="I18" s="10">
        <f t="shared" si="32"/>
        <v>0</v>
      </c>
      <c r="J18" s="10">
        <f t="shared" si="33"/>
        <v>0</v>
      </c>
      <c r="K18" s="10">
        <f t="shared" si="34"/>
        <v>0</v>
      </c>
      <c r="L18" s="10">
        <f t="shared" si="35"/>
        <v>0</v>
      </c>
      <c r="M18" s="10">
        <f t="shared" si="36"/>
        <v>0</v>
      </c>
      <c r="N18" s="10">
        <f t="shared" si="37"/>
        <v>0</v>
      </c>
      <c r="O18" s="10">
        <f t="shared" si="43"/>
        <v>0</v>
      </c>
      <c r="Q18" s="10">
        <v>0</v>
      </c>
      <c r="R18" s="10">
        <f t="shared" si="44"/>
        <v>0</v>
      </c>
      <c r="S18" s="10">
        <f t="shared" si="44"/>
        <v>0</v>
      </c>
      <c r="T18" s="10">
        <f t="shared" si="44"/>
        <v>0</v>
      </c>
      <c r="U18" s="10">
        <f t="shared" si="44"/>
        <v>0</v>
      </c>
      <c r="V18" s="10">
        <f t="shared" si="44"/>
        <v>0</v>
      </c>
      <c r="W18" s="10">
        <f t="shared" si="44"/>
        <v>0</v>
      </c>
      <c r="X18" s="10">
        <f t="shared" si="44"/>
        <v>0</v>
      </c>
      <c r="Y18" s="10">
        <f t="shared" si="44"/>
        <v>0</v>
      </c>
      <c r="Z18" s="10">
        <f t="shared" si="44"/>
        <v>0</v>
      </c>
      <c r="AA18" s="10">
        <f t="shared" si="44"/>
        <v>0</v>
      </c>
      <c r="AC18" s="10">
        <v>0</v>
      </c>
      <c r="AD18" s="10">
        <f t="shared" si="45"/>
        <v>0</v>
      </c>
      <c r="AE18" s="10">
        <f t="shared" si="45"/>
        <v>0</v>
      </c>
      <c r="AF18" s="10">
        <f t="shared" si="45"/>
        <v>0</v>
      </c>
      <c r="AG18" s="10">
        <f t="shared" si="45"/>
        <v>0</v>
      </c>
      <c r="AH18" s="10">
        <f t="shared" si="45"/>
        <v>0</v>
      </c>
      <c r="AI18" s="10">
        <f t="shared" si="45"/>
        <v>0</v>
      </c>
      <c r="AJ18" s="10">
        <f t="shared" si="45"/>
        <v>0</v>
      </c>
      <c r="AK18" s="10">
        <f t="shared" si="45"/>
        <v>0</v>
      </c>
      <c r="AL18" s="10">
        <f t="shared" si="45"/>
        <v>0</v>
      </c>
      <c r="AM18" s="10">
        <f t="shared" si="45"/>
        <v>0</v>
      </c>
      <c r="AO18" s="10">
        <v>0</v>
      </c>
      <c r="AP18" s="10">
        <f t="shared" si="46"/>
        <v>0</v>
      </c>
      <c r="AQ18" s="10">
        <f t="shared" si="46"/>
        <v>0</v>
      </c>
      <c r="AR18" s="10">
        <f t="shared" si="46"/>
        <v>0</v>
      </c>
      <c r="AS18" s="10">
        <f t="shared" si="46"/>
        <v>0</v>
      </c>
      <c r="AT18" s="10">
        <f t="shared" si="46"/>
        <v>0</v>
      </c>
      <c r="AU18" s="10">
        <f t="shared" si="46"/>
        <v>0</v>
      </c>
      <c r="AV18" s="10">
        <f t="shared" si="46"/>
        <v>0</v>
      </c>
      <c r="AW18" s="10">
        <f t="shared" si="46"/>
        <v>0</v>
      </c>
      <c r="AX18" s="10">
        <f t="shared" si="46"/>
        <v>0</v>
      </c>
      <c r="AY18" s="10">
        <f t="shared" si="46"/>
        <v>0</v>
      </c>
      <c r="BA18" s="10">
        <v>0</v>
      </c>
      <c r="BB18" s="10">
        <f t="shared" si="47"/>
        <v>0</v>
      </c>
      <c r="BC18" s="10">
        <f t="shared" si="47"/>
        <v>0</v>
      </c>
      <c r="BD18" s="10">
        <f t="shared" si="47"/>
        <v>0</v>
      </c>
      <c r="BE18" s="10">
        <f t="shared" si="47"/>
        <v>0</v>
      </c>
      <c r="BF18" s="10">
        <f t="shared" si="47"/>
        <v>0</v>
      </c>
      <c r="BG18" s="10">
        <f t="shared" si="47"/>
        <v>0</v>
      </c>
      <c r="BH18" s="10">
        <f t="shared" si="47"/>
        <v>0</v>
      </c>
      <c r="BI18" s="10">
        <f t="shared" si="47"/>
        <v>0</v>
      </c>
      <c r="BJ18" s="10">
        <f t="shared" si="47"/>
        <v>0</v>
      </c>
      <c r="BK18" s="10">
        <f t="shared" si="47"/>
        <v>0</v>
      </c>
    </row>
    <row r="19" spans="1:63" s="10" customFormat="1" x14ac:dyDescent="0.25">
      <c r="A19" s="11"/>
      <c r="B19" s="10" t="s">
        <v>304</v>
      </c>
      <c r="C19" s="10" t="s">
        <v>367</v>
      </c>
      <c r="D19" s="10" t="s">
        <v>377</v>
      </c>
      <c r="E19" s="10">
        <v>0</v>
      </c>
      <c r="F19" s="10">
        <f t="shared" si="29"/>
        <v>0</v>
      </c>
      <c r="G19" s="10">
        <f t="shared" si="30"/>
        <v>0</v>
      </c>
      <c r="H19" s="10">
        <f t="shared" si="31"/>
        <v>0</v>
      </c>
      <c r="I19" s="10">
        <f t="shared" si="32"/>
        <v>0</v>
      </c>
      <c r="J19" s="10">
        <f t="shared" si="33"/>
        <v>0</v>
      </c>
      <c r="K19" s="10">
        <f t="shared" si="34"/>
        <v>0</v>
      </c>
      <c r="L19" s="10">
        <f t="shared" si="35"/>
        <v>0</v>
      </c>
      <c r="M19" s="10">
        <f t="shared" si="36"/>
        <v>0</v>
      </c>
      <c r="N19" s="10">
        <f t="shared" si="37"/>
        <v>0</v>
      </c>
      <c r="O19" s="10">
        <f t="shared" si="43"/>
        <v>0</v>
      </c>
      <c r="Q19" s="10">
        <v>0</v>
      </c>
      <c r="R19" s="10">
        <f t="shared" si="44"/>
        <v>0</v>
      </c>
      <c r="S19" s="10">
        <f t="shared" si="44"/>
        <v>0</v>
      </c>
      <c r="T19" s="10">
        <f t="shared" si="44"/>
        <v>0</v>
      </c>
      <c r="U19" s="10">
        <f t="shared" si="44"/>
        <v>0</v>
      </c>
      <c r="V19" s="10">
        <f t="shared" si="44"/>
        <v>0</v>
      </c>
      <c r="W19" s="10">
        <f t="shared" si="44"/>
        <v>0</v>
      </c>
      <c r="X19" s="10">
        <f t="shared" si="44"/>
        <v>0</v>
      </c>
      <c r="Y19" s="10">
        <f t="shared" si="44"/>
        <v>0</v>
      </c>
      <c r="Z19" s="10">
        <f t="shared" si="44"/>
        <v>0</v>
      </c>
      <c r="AA19" s="10">
        <f t="shared" si="44"/>
        <v>0</v>
      </c>
      <c r="AC19" s="10">
        <v>0</v>
      </c>
      <c r="AD19" s="10">
        <f t="shared" si="45"/>
        <v>0</v>
      </c>
      <c r="AE19" s="10">
        <f t="shared" si="45"/>
        <v>0</v>
      </c>
      <c r="AF19" s="10">
        <f t="shared" si="45"/>
        <v>0</v>
      </c>
      <c r="AG19" s="10">
        <f t="shared" si="45"/>
        <v>0</v>
      </c>
      <c r="AH19" s="10">
        <f t="shared" si="45"/>
        <v>0</v>
      </c>
      <c r="AI19" s="10">
        <f t="shared" si="45"/>
        <v>0</v>
      </c>
      <c r="AJ19" s="10">
        <f t="shared" si="45"/>
        <v>0</v>
      </c>
      <c r="AK19" s="10">
        <f t="shared" si="45"/>
        <v>0</v>
      </c>
      <c r="AL19" s="10">
        <f t="shared" si="45"/>
        <v>0</v>
      </c>
      <c r="AM19" s="10">
        <f t="shared" si="45"/>
        <v>0</v>
      </c>
      <c r="AO19" s="10">
        <v>0</v>
      </c>
      <c r="AP19" s="10">
        <f t="shared" si="46"/>
        <v>0</v>
      </c>
      <c r="AQ19" s="10">
        <f t="shared" si="46"/>
        <v>0</v>
      </c>
      <c r="AR19" s="10">
        <f t="shared" si="46"/>
        <v>0</v>
      </c>
      <c r="AS19" s="10">
        <f t="shared" si="46"/>
        <v>0</v>
      </c>
      <c r="AT19" s="10">
        <f t="shared" si="46"/>
        <v>0</v>
      </c>
      <c r="AU19" s="10">
        <f t="shared" si="46"/>
        <v>0</v>
      </c>
      <c r="AV19" s="10">
        <f t="shared" si="46"/>
        <v>0</v>
      </c>
      <c r="AW19" s="10">
        <f t="shared" si="46"/>
        <v>0</v>
      </c>
      <c r="AX19" s="10">
        <f t="shared" si="46"/>
        <v>0</v>
      </c>
      <c r="AY19" s="10">
        <f t="shared" si="46"/>
        <v>0</v>
      </c>
      <c r="BA19" s="10">
        <v>0</v>
      </c>
      <c r="BB19" s="10">
        <f t="shared" si="47"/>
        <v>0</v>
      </c>
      <c r="BC19" s="10">
        <f t="shared" si="47"/>
        <v>0</v>
      </c>
      <c r="BD19" s="10">
        <f t="shared" si="47"/>
        <v>0</v>
      </c>
      <c r="BE19" s="10">
        <f t="shared" si="47"/>
        <v>0</v>
      </c>
      <c r="BF19" s="10">
        <f t="shared" si="47"/>
        <v>0</v>
      </c>
      <c r="BG19" s="10">
        <f t="shared" si="47"/>
        <v>0</v>
      </c>
      <c r="BH19" s="10">
        <f t="shared" si="47"/>
        <v>0</v>
      </c>
      <c r="BI19" s="10">
        <f t="shared" si="47"/>
        <v>0</v>
      </c>
      <c r="BJ19" s="10">
        <f t="shared" si="47"/>
        <v>0</v>
      </c>
      <c r="BK19" s="10">
        <f t="shared" si="47"/>
        <v>0</v>
      </c>
    </row>
    <row r="20" spans="1:63" s="10" customFormat="1" x14ac:dyDescent="0.25">
      <c r="A20" s="11"/>
      <c r="B20" s="10" t="s">
        <v>305</v>
      </c>
      <c r="C20" s="10" t="s">
        <v>368</v>
      </c>
      <c r="D20" s="10" t="s">
        <v>378</v>
      </c>
      <c r="E20" s="10">
        <v>0</v>
      </c>
      <c r="F20" s="10">
        <f t="shared" si="29"/>
        <v>0</v>
      </c>
      <c r="G20" s="10">
        <f t="shared" si="30"/>
        <v>0</v>
      </c>
      <c r="H20" s="10">
        <f t="shared" si="31"/>
        <v>0</v>
      </c>
      <c r="I20" s="10">
        <f t="shared" si="32"/>
        <v>0</v>
      </c>
      <c r="J20" s="10">
        <f t="shared" si="33"/>
        <v>0</v>
      </c>
      <c r="K20" s="10">
        <f t="shared" si="34"/>
        <v>0</v>
      </c>
      <c r="L20" s="10">
        <f t="shared" si="35"/>
        <v>0</v>
      </c>
      <c r="M20" s="10">
        <f t="shared" si="36"/>
        <v>0</v>
      </c>
      <c r="N20" s="10">
        <f t="shared" si="37"/>
        <v>0</v>
      </c>
      <c r="O20" s="10">
        <f t="shared" si="43"/>
        <v>0</v>
      </c>
      <c r="Q20" s="10">
        <v>0</v>
      </c>
      <c r="R20" s="10">
        <f t="shared" si="44"/>
        <v>0</v>
      </c>
      <c r="S20" s="10">
        <f t="shared" si="44"/>
        <v>0</v>
      </c>
      <c r="T20" s="10">
        <f t="shared" si="44"/>
        <v>0</v>
      </c>
      <c r="U20" s="10">
        <f t="shared" si="44"/>
        <v>0</v>
      </c>
      <c r="V20" s="10">
        <f t="shared" si="44"/>
        <v>0</v>
      </c>
      <c r="W20" s="10">
        <f t="shared" si="44"/>
        <v>0</v>
      </c>
      <c r="X20" s="10">
        <f t="shared" si="44"/>
        <v>0</v>
      </c>
      <c r="Y20" s="10">
        <f t="shared" si="44"/>
        <v>0</v>
      </c>
      <c r="Z20" s="10">
        <f t="shared" si="44"/>
        <v>0</v>
      </c>
      <c r="AA20" s="10">
        <f t="shared" si="44"/>
        <v>0</v>
      </c>
      <c r="AC20" s="10">
        <v>0</v>
      </c>
      <c r="AD20" s="10">
        <f t="shared" si="45"/>
        <v>0</v>
      </c>
      <c r="AE20" s="10">
        <f t="shared" si="45"/>
        <v>0</v>
      </c>
      <c r="AF20" s="10">
        <f t="shared" si="45"/>
        <v>0</v>
      </c>
      <c r="AG20" s="10">
        <f t="shared" si="45"/>
        <v>0</v>
      </c>
      <c r="AH20" s="10">
        <f t="shared" si="45"/>
        <v>0</v>
      </c>
      <c r="AI20" s="10">
        <f t="shared" si="45"/>
        <v>0</v>
      </c>
      <c r="AJ20" s="10">
        <f t="shared" si="45"/>
        <v>0</v>
      </c>
      <c r="AK20" s="10">
        <f t="shared" si="45"/>
        <v>0</v>
      </c>
      <c r="AL20" s="10">
        <f t="shared" si="45"/>
        <v>0</v>
      </c>
      <c r="AM20" s="10">
        <f t="shared" si="45"/>
        <v>0</v>
      </c>
      <c r="AO20" s="10">
        <v>0</v>
      </c>
      <c r="AP20" s="10">
        <f t="shared" si="46"/>
        <v>0</v>
      </c>
      <c r="AQ20" s="10">
        <f t="shared" si="46"/>
        <v>0</v>
      </c>
      <c r="AR20" s="10">
        <f t="shared" si="46"/>
        <v>0</v>
      </c>
      <c r="AS20" s="10">
        <f t="shared" si="46"/>
        <v>0</v>
      </c>
      <c r="AT20" s="10">
        <f t="shared" si="46"/>
        <v>0</v>
      </c>
      <c r="AU20" s="10">
        <f t="shared" si="46"/>
        <v>0</v>
      </c>
      <c r="AV20" s="10">
        <f t="shared" si="46"/>
        <v>0</v>
      </c>
      <c r="AW20" s="10">
        <f t="shared" si="46"/>
        <v>0</v>
      </c>
      <c r="AX20" s="10">
        <f t="shared" si="46"/>
        <v>0</v>
      </c>
      <c r="AY20" s="10">
        <f t="shared" si="46"/>
        <v>0</v>
      </c>
      <c r="BA20" s="10">
        <v>0</v>
      </c>
      <c r="BB20" s="10">
        <f t="shared" si="47"/>
        <v>0</v>
      </c>
      <c r="BC20" s="10">
        <f t="shared" si="47"/>
        <v>0</v>
      </c>
      <c r="BD20" s="10">
        <f t="shared" si="47"/>
        <v>0</v>
      </c>
      <c r="BE20" s="10">
        <f t="shared" si="47"/>
        <v>0</v>
      </c>
      <c r="BF20" s="10">
        <f t="shared" si="47"/>
        <v>0</v>
      </c>
      <c r="BG20" s="10">
        <f t="shared" si="47"/>
        <v>0</v>
      </c>
      <c r="BH20" s="10">
        <f t="shared" si="47"/>
        <v>0</v>
      </c>
      <c r="BI20" s="10">
        <f t="shared" si="47"/>
        <v>0</v>
      </c>
      <c r="BJ20" s="10">
        <f t="shared" si="47"/>
        <v>0</v>
      </c>
      <c r="BK20" s="10">
        <f t="shared" si="47"/>
        <v>0</v>
      </c>
    </row>
    <row r="21" spans="1:63" x14ac:dyDescent="0.25">
      <c r="A21" s="2"/>
      <c r="B21" s="2"/>
      <c r="E21" t="str">
        <f t="shared" ref="E21:AA21" si="48">CONCATENATE(E20,E19,E18,E17,E16,E15,E14,E13)</f>
        <v>00000000</v>
      </c>
      <c r="F21" t="str">
        <f t="shared" si="48"/>
        <v>00000000</v>
      </c>
      <c r="G21" t="str">
        <f t="shared" si="48"/>
        <v>00000000</v>
      </c>
      <c r="H21" t="str">
        <f t="shared" si="48"/>
        <v>00000000</v>
      </c>
      <c r="I21" t="str">
        <f t="shared" si="48"/>
        <v>00000000</v>
      </c>
      <c r="J21" t="str">
        <f t="shared" si="48"/>
        <v>00000000</v>
      </c>
      <c r="K21" t="str">
        <f t="shared" si="48"/>
        <v>00000000</v>
      </c>
      <c r="L21" t="str">
        <f t="shared" si="48"/>
        <v>00000000</v>
      </c>
      <c r="M21" t="str">
        <f t="shared" si="48"/>
        <v>00000000</v>
      </c>
      <c r="N21" t="str">
        <f t="shared" si="48"/>
        <v>00000000</v>
      </c>
      <c r="O21" t="str">
        <f t="shared" si="48"/>
        <v>00000000</v>
      </c>
      <c r="Q21" t="str">
        <f t="shared" si="48"/>
        <v>00000000</v>
      </c>
      <c r="R21" t="str">
        <f t="shared" si="48"/>
        <v>00000000</v>
      </c>
      <c r="S21" t="str">
        <f t="shared" si="48"/>
        <v>00000000</v>
      </c>
      <c r="T21" t="str">
        <f t="shared" si="48"/>
        <v>00000000</v>
      </c>
      <c r="U21" t="str">
        <f t="shared" si="48"/>
        <v>00000000</v>
      </c>
      <c r="V21" t="str">
        <f t="shared" si="48"/>
        <v>00000000</v>
      </c>
      <c r="W21" t="str">
        <f t="shared" si="48"/>
        <v>00000000</v>
      </c>
      <c r="X21" t="str">
        <f t="shared" si="48"/>
        <v>00000000</v>
      </c>
      <c r="Y21" t="str">
        <f t="shared" si="48"/>
        <v>00000000</v>
      </c>
      <c r="Z21" t="str">
        <f t="shared" si="48"/>
        <v>00000000</v>
      </c>
      <c r="AA21" t="str">
        <f t="shared" si="48"/>
        <v>00000000</v>
      </c>
      <c r="AC21" t="str">
        <f>CONCATENATE(AC20,AC19,AC18,AC17,AC16,AC15,AC14,AC13)</f>
        <v>00000000</v>
      </c>
      <c r="AD21" t="str">
        <f t="shared" ref="AD21:AM21" si="49">CONCATENATE(AD20,AD19,AD18,AD17,AD16,AD15,AD14,AD13)</f>
        <v>00000000</v>
      </c>
      <c r="AE21" t="str">
        <f t="shared" si="49"/>
        <v>00000000</v>
      </c>
      <c r="AF21" t="str">
        <f t="shared" si="49"/>
        <v>00000000</v>
      </c>
      <c r="AG21" t="str">
        <f t="shared" si="49"/>
        <v>00000000</v>
      </c>
      <c r="AH21" t="str">
        <f t="shared" si="49"/>
        <v>00000000</v>
      </c>
      <c r="AI21" t="str">
        <f t="shared" si="49"/>
        <v>00000000</v>
      </c>
      <c r="AJ21" t="str">
        <f t="shared" si="49"/>
        <v>00000000</v>
      </c>
      <c r="AK21" t="str">
        <f t="shared" si="49"/>
        <v>00000000</v>
      </c>
      <c r="AL21" t="str">
        <f t="shared" si="49"/>
        <v>00000000</v>
      </c>
      <c r="AM21" t="str">
        <f t="shared" si="49"/>
        <v>00000000</v>
      </c>
      <c r="AO21" t="str">
        <f t="shared" ref="AO21:AY21" si="50">CONCATENATE(AO20,AO19,AO18,AO17,AO16,AO15,AO14,AO13)</f>
        <v>00000000</v>
      </c>
      <c r="AP21" t="str">
        <f t="shared" si="50"/>
        <v>00000000</v>
      </c>
      <c r="AQ21" t="str">
        <f t="shared" si="50"/>
        <v>00000000</v>
      </c>
      <c r="AR21" t="str">
        <f t="shared" si="50"/>
        <v>00000000</v>
      </c>
      <c r="AS21" t="str">
        <f t="shared" si="50"/>
        <v>00000000</v>
      </c>
      <c r="AT21" t="str">
        <f t="shared" si="50"/>
        <v>00000000</v>
      </c>
      <c r="AU21" t="str">
        <f t="shared" si="50"/>
        <v>00000000</v>
      </c>
      <c r="AV21" t="str">
        <f t="shared" si="50"/>
        <v>00000000</v>
      </c>
      <c r="AW21" t="str">
        <f t="shared" si="50"/>
        <v>00000000</v>
      </c>
      <c r="AX21" t="str">
        <f t="shared" si="50"/>
        <v>00000000</v>
      </c>
      <c r="AY21" t="str">
        <f t="shared" si="50"/>
        <v>00000000</v>
      </c>
      <c r="BA21" t="str">
        <f t="shared" ref="BA21:BK21" si="51">CONCATENATE(BA20,BA19,BA18,BA17,BA16,BA15,BA14,BA13)</f>
        <v>00000000</v>
      </c>
      <c r="BB21" t="str">
        <f t="shared" si="51"/>
        <v>00000000</v>
      </c>
      <c r="BC21" t="str">
        <f t="shared" si="51"/>
        <v>00000000</v>
      </c>
      <c r="BD21" t="str">
        <f t="shared" si="51"/>
        <v>00000000</v>
      </c>
      <c r="BE21" t="str">
        <f t="shared" si="51"/>
        <v>00000000</v>
      </c>
      <c r="BF21" t="str">
        <f t="shared" si="51"/>
        <v>00000000</v>
      </c>
      <c r="BG21" t="str">
        <f t="shared" si="51"/>
        <v>00000000</v>
      </c>
      <c r="BH21" t="str">
        <f t="shared" si="51"/>
        <v>00000000</v>
      </c>
      <c r="BI21" t="str">
        <f t="shared" si="51"/>
        <v>00000000</v>
      </c>
      <c r="BJ21" t="str">
        <f t="shared" si="51"/>
        <v>00000000</v>
      </c>
      <c r="BK21" t="str">
        <f t="shared" si="51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52">CONCATENATE(BIN2HEX(E21,2))</f>
        <v>00</v>
      </c>
      <c r="F22" t="str">
        <f t="shared" si="52"/>
        <v>00</v>
      </c>
      <c r="G22" t="str">
        <f t="shared" si="52"/>
        <v>00</v>
      </c>
      <c r="H22" t="str">
        <f t="shared" si="52"/>
        <v>00</v>
      </c>
      <c r="I22" t="str">
        <f t="shared" si="52"/>
        <v>00</v>
      </c>
      <c r="J22" t="str">
        <f t="shared" si="52"/>
        <v>00</v>
      </c>
      <c r="K22" t="str">
        <f t="shared" si="52"/>
        <v>00</v>
      </c>
      <c r="L22" t="str">
        <f t="shared" si="52"/>
        <v>00</v>
      </c>
      <c r="M22" t="str">
        <f t="shared" si="52"/>
        <v>00</v>
      </c>
      <c r="N22" t="str">
        <f t="shared" si="52"/>
        <v>00</v>
      </c>
      <c r="O22" t="str">
        <f t="shared" si="52"/>
        <v>00</v>
      </c>
      <c r="Q22" t="str">
        <f t="shared" si="52"/>
        <v>00</v>
      </c>
      <c r="R22" t="str">
        <f t="shared" si="52"/>
        <v>00</v>
      </c>
      <c r="S22" t="str">
        <f t="shared" si="52"/>
        <v>00</v>
      </c>
      <c r="T22" t="str">
        <f t="shared" si="52"/>
        <v>00</v>
      </c>
      <c r="U22" t="str">
        <f t="shared" si="52"/>
        <v>00</v>
      </c>
      <c r="V22" t="str">
        <f t="shared" si="52"/>
        <v>00</v>
      </c>
      <c r="W22" t="str">
        <f t="shared" si="52"/>
        <v>00</v>
      </c>
      <c r="X22" t="str">
        <f t="shared" si="52"/>
        <v>00</v>
      </c>
      <c r="Y22" t="str">
        <f t="shared" si="52"/>
        <v>00</v>
      </c>
      <c r="Z22" t="str">
        <f t="shared" si="52"/>
        <v>00</v>
      </c>
      <c r="AA22" t="str">
        <f t="shared" si="52"/>
        <v>00</v>
      </c>
      <c r="AC22" t="str">
        <f>CONCATENATE(BIN2HEX(AC21,2))</f>
        <v>00</v>
      </c>
      <c r="AD22" t="str">
        <f t="shared" ref="AD22:AM22" si="53">CONCATENATE(BIN2HEX(AD21,2))</f>
        <v>00</v>
      </c>
      <c r="AE22" t="str">
        <f t="shared" si="53"/>
        <v>00</v>
      </c>
      <c r="AF22" t="str">
        <f t="shared" si="53"/>
        <v>00</v>
      </c>
      <c r="AG22" t="str">
        <f t="shared" si="53"/>
        <v>00</v>
      </c>
      <c r="AH22" t="str">
        <f t="shared" si="53"/>
        <v>00</v>
      </c>
      <c r="AI22" t="str">
        <f t="shared" si="53"/>
        <v>00</v>
      </c>
      <c r="AJ22" t="str">
        <f t="shared" si="53"/>
        <v>00</v>
      </c>
      <c r="AK22" t="str">
        <f t="shared" si="53"/>
        <v>00</v>
      </c>
      <c r="AL22" t="str">
        <f t="shared" si="53"/>
        <v>00</v>
      </c>
      <c r="AM22" t="str">
        <f t="shared" si="53"/>
        <v>00</v>
      </c>
      <c r="AO22" t="str">
        <f t="shared" ref="AO22:AY22" si="54">CONCATENATE(BIN2HEX(AO21,2))</f>
        <v>00</v>
      </c>
      <c r="AP22" t="str">
        <f t="shared" si="54"/>
        <v>00</v>
      </c>
      <c r="AQ22" t="str">
        <f t="shared" si="54"/>
        <v>00</v>
      </c>
      <c r="AR22" t="str">
        <f t="shared" si="54"/>
        <v>00</v>
      </c>
      <c r="AS22" t="str">
        <f t="shared" si="54"/>
        <v>00</v>
      </c>
      <c r="AT22" t="str">
        <f t="shared" si="54"/>
        <v>00</v>
      </c>
      <c r="AU22" t="str">
        <f t="shared" si="54"/>
        <v>00</v>
      </c>
      <c r="AV22" t="str">
        <f t="shared" si="54"/>
        <v>00</v>
      </c>
      <c r="AW22" t="str">
        <f t="shared" si="54"/>
        <v>00</v>
      </c>
      <c r="AX22" t="str">
        <f t="shared" si="54"/>
        <v>00</v>
      </c>
      <c r="AY22" t="str">
        <f t="shared" si="54"/>
        <v>00</v>
      </c>
      <c r="BA22" t="str">
        <f t="shared" ref="BA22:BK22" si="55">CONCATENATE(BIN2HEX(BA21,2))</f>
        <v>00</v>
      </c>
      <c r="BB22" t="str">
        <f t="shared" si="55"/>
        <v>00</v>
      </c>
      <c r="BC22" t="str">
        <f t="shared" si="55"/>
        <v>00</v>
      </c>
      <c r="BD22" t="str">
        <f t="shared" si="55"/>
        <v>00</v>
      </c>
      <c r="BE22" t="str">
        <f t="shared" si="55"/>
        <v>00</v>
      </c>
      <c r="BF22" t="str">
        <f t="shared" si="55"/>
        <v>00</v>
      </c>
      <c r="BG22" t="str">
        <f t="shared" si="55"/>
        <v>00</v>
      </c>
      <c r="BH22" t="str">
        <f t="shared" si="55"/>
        <v>00</v>
      </c>
      <c r="BI22" t="str">
        <f t="shared" si="55"/>
        <v>00</v>
      </c>
      <c r="BJ22" t="str">
        <f t="shared" si="55"/>
        <v>00</v>
      </c>
      <c r="BK22" t="str">
        <f t="shared" si="55"/>
        <v>00</v>
      </c>
    </row>
    <row r="23" spans="1:63" x14ac:dyDescent="0.25">
      <c r="A23" s="2"/>
      <c r="B23" s="2"/>
      <c r="D23" s="13" t="s">
        <v>215</v>
      </c>
      <c r="E23" t="str">
        <f t="shared" ref="E23:O23" si="56">CONCATENATE("0x",E22,E11)</f>
        <v>0x0000</v>
      </c>
      <c r="F23" t="str">
        <f t="shared" si="56"/>
        <v>0x0000</v>
      </c>
      <c r="G23" t="str">
        <f t="shared" si="56"/>
        <v>0x0000</v>
      </c>
      <c r="H23" t="str">
        <f t="shared" si="56"/>
        <v>0x0000</v>
      </c>
      <c r="I23" t="str">
        <f t="shared" si="56"/>
        <v>0x0000</v>
      </c>
      <c r="J23" t="str">
        <f t="shared" si="56"/>
        <v>0x0000</v>
      </c>
      <c r="K23" t="str">
        <f t="shared" si="56"/>
        <v>0x0000</v>
      </c>
      <c r="L23" t="str">
        <f t="shared" si="56"/>
        <v>0x0000</v>
      </c>
      <c r="M23" t="str">
        <f t="shared" si="56"/>
        <v>0x0000</v>
      </c>
      <c r="N23" t="str">
        <f t="shared" si="56"/>
        <v>0x0000</v>
      </c>
      <c r="O23" t="str">
        <f t="shared" si="56"/>
        <v>0x0000</v>
      </c>
      <c r="Q23" t="str">
        <f t="shared" ref="Q23:AA23" si="57">CONCATENATE("0x",Q22,Q11)</f>
        <v>0x0000</v>
      </c>
      <c r="R23" t="str">
        <f t="shared" si="57"/>
        <v>0x0000</v>
      </c>
      <c r="S23" t="str">
        <f t="shared" si="57"/>
        <v>0x0000</v>
      </c>
      <c r="T23" t="str">
        <f t="shared" si="57"/>
        <v>0x0000</v>
      </c>
      <c r="U23" t="str">
        <f t="shared" si="57"/>
        <v>0x0000</v>
      </c>
      <c r="V23" t="str">
        <f t="shared" si="57"/>
        <v>0x0000</v>
      </c>
      <c r="W23" t="str">
        <f t="shared" si="57"/>
        <v>0x0000</v>
      </c>
      <c r="X23" t="str">
        <f t="shared" si="57"/>
        <v>0x0000</v>
      </c>
      <c r="Y23" t="str">
        <f t="shared" si="57"/>
        <v>0x0000</v>
      </c>
      <c r="Z23" t="str">
        <f t="shared" si="57"/>
        <v>0x0000</v>
      </c>
      <c r="AA23" t="str">
        <f t="shared" si="57"/>
        <v>0x0000</v>
      </c>
      <c r="AC23" t="str">
        <f>CONCATENATE("0x",AC22,AC11)</f>
        <v>0x0000</v>
      </c>
      <c r="AD23" t="str">
        <f t="shared" ref="AD23:BK23" si="58">CONCATENATE("0x",AD22,AD11)</f>
        <v>0x0000</v>
      </c>
      <c r="AE23" t="str">
        <f t="shared" si="58"/>
        <v>0x0000</v>
      </c>
      <c r="AF23" t="str">
        <f t="shared" si="58"/>
        <v>0x0000</v>
      </c>
      <c r="AG23" t="str">
        <f t="shared" si="58"/>
        <v>0x0000</v>
      </c>
      <c r="AH23" t="str">
        <f t="shared" si="58"/>
        <v>0x0000</v>
      </c>
      <c r="AI23" t="str">
        <f t="shared" si="58"/>
        <v>0x0000</v>
      </c>
      <c r="AJ23" t="str">
        <f t="shared" si="58"/>
        <v>0x0000</v>
      </c>
      <c r="AK23" t="str">
        <f t="shared" si="58"/>
        <v>0x0000</v>
      </c>
      <c r="AL23" t="str">
        <f t="shared" si="58"/>
        <v>0x0000</v>
      </c>
      <c r="AM23" t="str">
        <f t="shared" si="58"/>
        <v>0x0000</v>
      </c>
      <c r="AO23" t="str">
        <f t="shared" si="58"/>
        <v>0x0000</v>
      </c>
      <c r="AP23" t="str">
        <f t="shared" si="58"/>
        <v>0x0000</v>
      </c>
      <c r="AQ23" t="str">
        <f t="shared" si="58"/>
        <v>0x0000</v>
      </c>
      <c r="AR23" t="str">
        <f t="shared" si="58"/>
        <v>0x0000</v>
      </c>
      <c r="AS23" t="str">
        <f t="shared" si="58"/>
        <v>0x0000</v>
      </c>
      <c r="AT23" t="str">
        <f t="shared" si="58"/>
        <v>0x0000</v>
      </c>
      <c r="AU23" t="str">
        <f t="shared" si="58"/>
        <v>0x0000</v>
      </c>
      <c r="AV23" t="str">
        <f t="shared" si="58"/>
        <v>0x0000</v>
      </c>
      <c r="AW23" t="str">
        <f t="shared" si="58"/>
        <v>0x0000</v>
      </c>
      <c r="AX23" t="str">
        <f t="shared" si="58"/>
        <v>0x0000</v>
      </c>
      <c r="AY23" t="str">
        <f t="shared" si="58"/>
        <v>0x0000</v>
      </c>
      <c r="BA23" t="str">
        <f t="shared" si="58"/>
        <v>0x0000</v>
      </c>
      <c r="BB23" t="str">
        <f t="shared" si="58"/>
        <v>0x0000</v>
      </c>
      <c r="BC23" t="str">
        <f t="shared" si="58"/>
        <v>0x0000</v>
      </c>
      <c r="BD23" t="str">
        <f t="shared" si="58"/>
        <v>0x0000</v>
      </c>
      <c r="BE23" t="str">
        <f t="shared" si="58"/>
        <v>0x0000</v>
      </c>
      <c r="BF23" t="str">
        <f t="shared" si="58"/>
        <v>0x0000</v>
      </c>
      <c r="BG23" t="str">
        <f t="shared" si="58"/>
        <v>0x0000</v>
      </c>
      <c r="BH23" t="str">
        <f t="shared" si="58"/>
        <v>0x0000</v>
      </c>
      <c r="BI23" t="str">
        <f t="shared" si="58"/>
        <v>0x0000</v>
      </c>
      <c r="BJ23" t="str">
        <f t="shared" si="58"/>
        <v>0x0000</v>
      </c>
      <c r="BK23" t="str">
        <f t="shared" si="58"/>
        <v>0x0000</v>
      </c>
    </row>
    <row r="24" spans="1:63" x14ac:dyDescent="0.25">
      <c r="A24" s="2"/>
      <c r="B24" s="2"/>
      <c r="D24" s="13" t="s">
        <v>216</v>
      </c>
      <c r="E24" t="str">
        <f>Q23</f>
        <v>0x0000</v>
      </c>
      <c r="F24" t="str">
        <f>R23</f>
        <v>0x0000</v>
      </c>
      <c r="G24" t="str">
        <f t="shared" ref="G24:O24" si="59">S23</f>
        <v>0x0000</v>
      </c>
      <c r="H24" t="str">
        <f t="shared" si="59"/>
        <v>0x0000</v>
      </c>
      <c r="I24" t="str">
        <f t="shared" si="59"/>
        <v>0x0000</v>
      </c>
      <c r="J24" t="str">
        <f t="shared" si="59"/>
        <v>0x0000</v>
      </c>
      <c r="K24" t="str">
        <f t="shared" si="59"/>
        <v>0x0000</v>
      </c>
      <c r="L24" t="str">
        <f t="shared" si="59"/>
        <v>0x0000</v>
      </c>
      <c r="M24" t="str">
        <f t="shared" si="59"/>
        <v>0x0000</v>
      </c>
      <c r="N24" t="str">
        <f t="shared" si="59"/>
        <v>0x0000</v>
      </c>
      <c r="O24" t="str">
        <f t="shared" si="59"/>
        <v>0x0000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0x0000</v>
      </c>
      <c r="F25" t="str">
        <f t="shared" ref="F25:O25" si="60">AD23</f>
        <v>0x0000</v>
      </c>
      <c r="G25" t="str">
        <f t="shared" si="60"/>
        <v>0x0000</v>
      </c>
      <c r="H25" t="str">
        <f t="shared" si="60"/>
        <v>0x0000</v>
      </c>
      <c r="I25" t="str">
        <f t="shared" si="60"/>
        <v>0x0000</v>
      </c>
      <c r="J25" t="str">
        <f t="shared" si="60"/>
        <v>0x0000</v>
      </c>
      <c r="K25" t="str">
        <f t="shared" si="60"/>
        <v>0x0000</v>
      </c>
      <c r="L25" t="str">
        <f t="shared" si="60"/>
        <v>0x0000</v>
      </c>
      <c r="M25" t="str">
        <f t="shared" si="60"/>
        <v>0x0000</v>
      </c>
      <c r="N25" t="str">
        <f t="shared" si="60"/>
        <v>0x0000</v>
      </c>
      <c r="O25" t="str">
        <f t="shared" si="60"/>
        <v>0x0000</v>
      </c>
    </row>
    <row r="26" spans="1:63" x14ac:dyDescent="0.25">
      <c r="A26" s="2" t="s">
        <v>42</v>
      </c>
      <c r="B26" s="2" t="s">
        <v>36</v>
      </c>
      <c r="C26" t="s">
        <v>412</v>
      </c>
      <c r="D26" s="13" t="s">
        <v>209</v>
      </c>
      <c r="E26" t="str">
        <f>AO23</f>
        <v>0x0000</v>
      </c>
      <c r="F26" t="str">
        <f t="shared" ref="F26:O26" si="61">AP23</f>
        <v>0x0000</v>
      </c>
      <c r="G26" t="str">
        <f t="shared" si="61"/>
        <v>0x0000</v>
      </c>
      <c r="H26" t="str">
        <f t="shared" si="61"/>
        <v>0x0000</v>
      </c>
      <c r="I26" t="str">
        <f t="shared" si="61"/>
        <v>0x0000</v>
      </c>
      <c r="J26" t="str">
        <f t="shared" si="61"/>
        <v>0x0000</v>
      </c>
      <c r="K26" t="str">
        <f t="shared" si="61"/>
        <v>0x0000</v>
      </c>
      <c r="L26" t="str">
        <f t="shared" si="61"/>
        <v>0x0000</v>
      </c>
      <c r="M26" t="str">
        <f t="shared" si="61"/>
        <v>0x0000</v>
      </c>
      <c r="N26" t="str">
        <f t="shared" si="61"/>
        <v>0x0000</v>
      </c>
      <c r="O26" t="str">
        <f t="shared" si="61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62">BB23</f>
        <v>0x0000</v>
      </c>
      <c r="G27" t="str">
        <f t="shared" si="62"/>
        <v>0x0000</v>
      </c>
      <c r="H27" t="str">
        <f t="shared" si="62"/>
        <v>0x0000</v>
      </c>
      <c r="I27" t="str">
        <f t="shared" si="62"/>
        <v>0x0000</v>
      </c>
      <c r="J27" t="str">
        <f t="shared" si="62"/>
        <v>0x0000</v>
      </c>
      <c r="K27" t="str">
        <f t="shared" si="62"/>
        <v>0x0000</v>
      </c>
      <c r="L27" t="str">
        <f t="shared" si="62"/>
        <v>0x0000</v>
      </c>
      <c r="M27" t="str">
        <f t="shared" si="62"/>
        <v>0x0000</v>
      </c>
      <c r="N27" t="str">
        <f t="shared" si="62"/>
        <v>0x0000</v>
      </c>
      <c r="O27" t="str">
        <f t="shared" si="62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224</v>
      </c>
    </row>
    <row r="31" spans="1:63" x14ac:dyDescent="0.25">
      <c r="A31" s="4" t="str">
        <f ca="1">CONCATENATE("#",C$26,":",INDIRECT(H33))</f>
        <v>#RadioCard_ILS_Exp1:wartość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0x26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0x0000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#RadioCard_ILS_Exp1:etap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0x26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0x0000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0x0000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63">INDIRECT(H57)</f>
        <v>0x0000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64">INDIRECT(G58)</f>
        <v>#pins_int</v>
      </c>
      <c r="B58" s="4" t="str">
        <f t="shared" ca="1" si="63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64"/>
        <v>#pins_def_val</v>
      </c>
      <c r="B59" s="4" t="str">
        <f t="shared" ca="1" si="63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#RadioCard_ILS_Exp1:etap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0x26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0x0000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0x0000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65">INDIRECT(H77)</f>
        <v>0x0000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66">INDIRECT(G78)</f>
        <v>#pins_int</v>
      </c>
      <c r="B78" s="4" t="str">
        <f t="shared" ca="1" si="65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66"/>
        <v>#pins_def_val</v>
      </c>
      <c r="B79" s="4" t="str">
        <f t="shared" ca="1" si="65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#RadioCard_ILS_Exp1:etap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0x26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0x0000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0x0000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67">INDIRECT(H97)</f>
        <v>0x0000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68">INDIRECT(G98)</f>
        <v>#pins_int</v>
      </c>
      <c r="B98" s="4" t="str">
        <f t="shared" ca="1" si="67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68"/>
        <v>#pins_def_val</v>
      </c>
      <c r="B99" s="4" t="str">
        <f t="shared" ca="1" si="67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#RadioCard_ILS_Exp1:etap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0x26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0x0000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0x0000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69">INDIRECT(H117)</f>
        <v>0x0000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70">INDIRECT(G118)</f>
        <v>#pins_int</v>
      </c>
      <c r="B118" s="4" t="str">
        <f t="shared" ca="1" si="69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70"/>
        <v>#pins_def_val</v>
      </c>
      <c r="B119" s="4" t="str">
        <f t="shared" ca="1" si="69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#RadioCard_ILS_Exp1:etap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0x26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0x0000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0x0000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71">INDIRECT(H137)</f>
        <v>0x0000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72">INDIRECT(G138)</f>
        <v>#pins_int</v>
      </c>
      <c r="B138" s="4" t="str">
        <f t="shared" ca="1" si="71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72"/>
        <v>#pins_def_val</v>
      </c>
      <c r="B139" s="4" t="str">
        <f t="shared" ca="1" si="71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#RadioCard_ILS_Exp1:etap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0x26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0x0000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0x0000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73">INDIRECT(H157)</f>
        <v>0x0000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74">INDIRECT(G158)</f>
        <v>#pins_int</v>
      </c>
      <c r="B158" s="4" t="str">
        <f t="shared" ca="1" si="73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74"/>
        <v>#pins_def_val</v>
      </c>
      <c r="B159" s="4" t="str">
        <f t="shared" ca="1" si="73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#RadioCard_ILS_Exp1:etap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0x26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0x0000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0x0000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75">INDIRECT(H177)</f>
        <v>0x0000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76">INDIRECT(G178)</f>
        <v>#pins_int</v>
      </c>
      <c r="B178" s="4" t="str">
        <f t="shared" ca="1" si="75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76"/>
        <v>#pins_def_val</v>
      </c>
      <c r="B179" s="4" t="str">
        <f t="shared" ca="1" si="75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#RadioCard_ILS_Exp1:etap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0x26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0x0000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0x0000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77">INDIRECT(H197)</f>
        <v>0x0000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78">INDIRECT(G198)</f>
        <v>#pins_int</v>
      </c>
      <c r="B198" s="4" t="str">
        <f t="shared" ca="1" si="77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78"/>
        <v>#pins_def_val</v>
      </c>
      <c r="B199" s="4" t="str">
        <f t="shared" ca="1" si="77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#RadioCard_ILS_Exp1:etap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0x26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0x0000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0x0000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79">INDIRECT(H217)</f>
        <v>0x0000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80">INDIRECT(G218)</f>
        <v>#pins_int</v>
      </c>
      <c r="B218" s="4" t="str">
        <f t="shared" ca="1" si="79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80"/>
        <v>#pins_def_val</v>
      </c>
      <c r="B219" s="4" t="str">
        <f t="shared" ca="1" si="79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#RadioCard_ILS_Exp1:etap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0x26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0x0000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0x0000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81">INDIRECT(H237)</f>
        <v>0x0000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82">INDIRECT(G238)</f>
        <v>#pins_int</v>
      </c>
      <c r="B238" s="4" t="str">
        <f t="shared" ca="1" si="81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82"/>
        <v>#pins_def_val</v>
      </c>
      <c r="B239" s="4" t="str">
        <f t="shared" ca="1" si="81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5" priority="1" stopIfTrue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C27" sqref="C27"/>
    </sheetView>
  </sheetViews>
  <sheetFormatPr defaultRowHeight="15" x14ac:dyDescent="0.25"/>
  <cols>
    <col min="1" max="1" width="18.5703125" customWidth="1"/>
    <col min="3" max="3" width="23.42578125" bestFit="1" customWidth="1"/>
    <col min="4" max="4" width="47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409</v>
      </c>
      <c r="J1" s="1" t="s">
        <v>410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0" t="s">
        <v>290</v>
      </c>
      <c r="C2" s="10" t="s">
        <v>381</v>
      </c>
      <c r="D2" t="s">
        <v>396</v>
      </c>
      <c r="E2" s="10">
        <v>0</v>
      </c>
      <c r="F2" s="10">
        <v>0</v>
      </c>
      <c r="G2" s="10">
        <v>0</v>
      </c>
      <c r="H2" s="10">
        <v>1</v>
      </c>
      <c r="I2" s="10">
        <f t="shared" ref="H2:O9" si="0">H2</f>
        <v>1</v>
      </c>
      <c r="J2" s="10">
        <f t="shared" si="0"/>
        <v>1</v>
      </c>
      <c r="K2" s="10">
        <f t="shared" si="0"/>
        <v>1</v>
      </c>
      <c r="L2" s="10">
        <f t="shared" si="0"/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0" t="s">
        <v>291</v>
      </c>
      <c r="C3" s="10" t="s">
        <v>382</v>
      </c>
      <c r="D3" t="s">
        <v>397</v>
      </c>
      <c r="E3" s="10">
        <v>0</v>
      </c>
      <c r="F3" s="10">
        <v>0</v>
      </c>
      <c r="G3" s="10">
        <v>1</v>
      </c>
      <c r="H3" s="10">
        <f t="shared" ref="H3" si="5">G3</f>
        <v>1</v>
      </c>
      <c r="I3" s="10">
        <f t="shared" si="0"/>
        <v>1</v>
      </c>
      <c r="J3" s="10">
        <f t="shared" si="0"/>
        <v>1</v>
      </c>
      <c r="K3" s="10">
        <f t="shared" si="0"/>
        <v>1</v>
      </c>
      <c r="L3" s="10">
        <f t="shared" si="0"/>
        <v>1</v>
      </c>
      <c r="M3" s="10">
        <f t="shared" si="0"/>
        <v>1</v>
      </c>
      <c r="N3" s="10">
        <f t="shared" si="0"/>
        <v>1</v>
      </c>
      <c r="O3" s="10">
        <f t="shared" si="0"/>
        <v>1</v>
      </c>
      <c r="Q3" s="10">
        <v>0</v>
      </c>
      <c r="R3" s="10">
        <f t="shared" ref="R3:AA9" si="6">Q3</f>
        <v>0</v>
      </c>
      <c r="S3" s="10">
        <f t="shared" si="6"/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0" t="s">
        <v>292</v>
      </c>
      <c r="C4" s="10" t="s">
        <v>383</v>
      </c>
      <c r="D4" t="s">
        <v>398</v>
      </c>
      <c r="E4" s="10">
        <v>0</v>
      </c>
      <c r="F4" s="10">
        <v>0</v>
      </c>
      <c r="G4" s="10">
        <v>0</v>
      </c>
      <c r="H4" s="10">
        <f t="shared" si="0"/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10">
        <f t="shared" si="0"/>
        <v>0</v>
      </c>
      <c r="O4" s="10">
        <f t="shared" si="0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0" t="s">
        <v>293</v>
      </c>
      <c r="C5" s="10" t="s">
        <v>384</v>
      </c>
      <c r="D5" t="s">
        <v>399</v>
      </c>
      <c r="E5" s="10">
        <v>0</v>
      </c>
      <c r="F5" s="10">
        <v>0</v>
      </c>
      <c r="G5" s="10"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 t="shared" si="0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1</v>
      </c>
      <c r="AD5" s="10">
        <f t="shared" si="7"/>
        <v>1</v>
      </c>
      <c r="AE5" s="10">
        <f t="shared" si="7"/>
        <v>1</v>
      </c>
      <c r="AF5" s="10">
        <f t="shared" si="7"/>
        <v>1</v>
      </c>
      <c r="AG5" s="10">
        <f t="shared" si="7"/>
        <v>1</v>
      </c>
      <c r="AH5" s="10">
        <f t="shared" si="7"/>
        <v>1</v>
      </c>
      <c r="AI5" s="10">
        <f t="shared" si="7"/>
        <v>1</v>
      </c>
      <c r="AJ5" s="10">
        <f t="shared" si="7"/>
        <v>1</v>
      </c>
      <c r="AK5" s="10">
        <f t="shared" si="7"/>
        <v>1</v>
      </c>
      <c r="AL5" s="10">
        <f t="shared" si="7"/>
        <v>1</v>
      </c>
      <c r="AM5" s="10">
        <f t="shared" si="7"/>
        <v>1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0" t="s">
        <v>294</v>
      </c>
      <c r="C6" s="10" t="s">
        <v>385</v>
      </c>
      <c r="D6" t="s">
        <v>400</v>
      </c>
      <c r="E6" s="10">
        <v>0</v>
      </c>
      <c r="F6" s="10">
        <v>0</v>
      </c>
      <c r="G6" s="10">
        <v>1</v>
      </c>
      <c r="H6" s="10">
        <v>1</v>
      </c>
      <c r="I6" s="10">
        <f t="shared" si="0"/>
        <v>1</v>
      </c>
      <c r="J6" s="10">
        <v>0</v>
      </c>
      <c r="K6" s="10"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Q6" s="10">
        <v>0</v>
      </c>
      <c r="R6" s="10">
        <f t="shared" si="6"/>
        <v>0</v>
      </c>
      <c r="S6" s="10">
        <f t="shared" si="6"/>
        <v>0</v>
      </c>
      <c r="T6" s="10">
        <f t="shared" si="6"/>
        <v>0</v>
      </c>
      <c r="U6" s="10">
        <f t="shared" si="6"/>
        <v>0</v>
      </c>
      <c r="V6" s="10">
        <f t="shared" si="6"/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0" t="s">
        <v>295</v>
      </c>
      <c r="C7" s="10" t="s">
        <v>386</v>
      </c>
      <c r="D7" t="s">
        <v>401</v>
      </c>
      <c r="E7" s="10">
        <v>0</v>
      </c>
      <c r="F7" s="10">
        <v>0</v>
      </c>
      <c r="G7" s="10">
        <v>1</v>
      </c>
      <c r="H7" s="10">
        <v>1</v>
      </c>
      <c r="I7" s="10">
        <v>0</v>
      </c>
      <c r="J7" s="10"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Q7" s="10">
        <v>0</v>
      </c>
      <c r="R7" s="10">
        <f t="shared" si="6"/>
        <v>0</v>
      </c>
      <c r="S7" s="10">
        <f t="shared" si="6"/>
        <v>0</v>
      </c>
      <c r="T7" s="10">
        <f t="shared" si="6"/>
        <v>0</v>
      </c>
      <c r="U7" s="10">
        <f t="shared" si="6"/>
        <v>0</v>
      </c>
      <c r="V7" s="10">
        <f t="shared" si="6"/>
        <v>0</v>
      </c>
      <c r="W7" s="10">
        <f t="shared" si="6"/>
        <v>0</v>
      </c>
      <c r="X7" s="10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0" t="s">
        <v>296</v>
      </c>
      <c r="C8" s="10" t="s">
        <v>387</v>
      </c>
      <c r="D8" t="s">
        <v>402</v>
      </c>
      <c r="E8" s="10">
        <v>0</v>
      </c>
      <c r="F8" s="10">
        <v>0</v>
      </c>
      <c r="G8" s="10"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0">
        <f t="shared" si="0"/>
        <v>0</v>
      </c>
      <c r="Q8" s="10">
        <v>0</v>
      </c>
      <c r="R8" s="10">
        <f t="shared" si="6"/>
        <v>0</v>
      </c>
      <c r="S8" s="10">
        <f t="shared" si="6"/>
        <v>0</v>
      </c>
      <c r="T8" s="10">
        <f t="shared" si="6"/>
        <v>0</v>
      </c>
      <c r="U8" s="10">
        <f t="shared" si="6"/>
        <v>0</v>
      </c>
      <c r="V8" s="10">
        <f t="shared" si="6"/>
        <v>0</v>
      </c>
      <c r="W8" s="10">
        <f t="shared" si="6"/>
        <v>0</v>
      </c>
      <c r="X8" s="10">
        <f t="shared" si="6"/>
        <v>0</v>
      </c>
      <c r="Y8" s="10">
        <f t="shared" si="6"/>
        <v>0</v>
      </c>
      <c r="Z8" s="10">
        <f t="shared" si="6"/>
        <v>0</v>
      </c>
      <c r="AA8" s="10">
        <f t="shared" si="6"/>
        <v>0</v>
      </c>
      <c r="AC8" s="10">
        <v>0</v>
      </c>
      <c r="AD8" s="10">
        <f t="shared" si="7"/>
        <v>0</v>
      </c>
      <c r="AE8" s="10">
        <f t="shared" si="7"/>
        <v>0</v>
      </c>
      <c r="AF8" s="10">
        <f t="shared" si="7"/>
        <v>0</v>
      </c>
      <c r="AG8" s="10">
        <f t="shared" si="7"/>
        <v>0</v>
      </c>
      <c r="AH8" s="10">
        <f t="shared" si="7"/>
        <v>0</v>
      </c>
      <c r="AI8" s="10">
        <f t="shared" si="7"/>
        <v>0</v>
      </c>
      <c r="AJ8" s="10">
        <f t="shared" si="7"/>
        <v>0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0" t="s">
        <v>297</v>
      </c>
      <c r="C9" s="10" t="s">
        <v>388</v>
      </c>
      <c r="D9" t="s">
        <v>403</v>
      </c>
      <c r="E9" s="10">
        <v>0</v>
      </c>
      <c r="F9" s="10">
        <v>0</v>
      </c>
      <c r="G9" s="10"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0</v>
      </c>
      <c r="O9" s="10">
        <f t="shared" si="0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E10" t="str">
        <f t="shared" ref="E10:AA10" si="10">CONCATENATE(E9,E8,E7,E6,E5,E4,E3,E2)</f>
        <v>00000000</v>
      </c>
      <c r="F10" t="str">
        <f t="shared" si="10"/>
        <v>00000000</v>
      </c>
      <c r="G10" t="str">
        <f t="shared" si="10"/>
        <v>00110010</v>
      </c>
      <c r="H10" t="str">
        <f t="shared" si="10"/>
        <v>00110011</v>
      </c>
      <c r="I10" t="str">
        <f t="shared" si="10"/>
        <v>00010011</v>
      </c>
      <c r="J10" t="str">
        <f t="shared" si="10"/>
        <v>00100011</v>
      </c>
      <c r="K10" t="str">
        <f t="shared" si="10"/>
        <v>00110011</v>
      </c>
      <c r="L10" t="str">
        <f t="shared" si="10"/>
        <v>00110011</v>
      </c>
      <c r="M10" t="str">
        <f t="shared" si="10"/>
        <v>00110011</v>
      </c>
      <c r="N10" t="str">
        <f t="shared" si="10"/>
        <v>00110011</v>
      </c>
      <c r="O10" t="str">
        <f t="shared" si="10"/>
        <v>00110011</v>
      </c>
      <c r="Q10" t="str">
        <f t="shared" si="10"/>
        <v>10001100</v>
      </c>
      <c r="R10" t="str">
        <f t="shared" si="10"/>
        <v>10001100</v>
      </c>
      <c r="S10" t="str">
        <f t="shared" si="10"/>
        <v>10001100</v>
      </c>
      <c r="T10" t="str">
        <f t="shared" si="10"/>
        <v>10001100</v>
      </c>
      <c r="U10" t="str">
        <f t="shared" si="10"/>
        <v>10001100</v>
      </c>
      <c r="V10" t="str">
        <f t="shared" si="10"/>
        <v>10001100</v>
      </c>
      <c r="W10" t="str">
        <f t="shared" si="10"/>
        <v>10001100</v>
      </c>
      <c r="X10" t="str">
        <f t="shared" si="10"/>
        <v>10001100</v>
      </c>
      <c r="Y10" t="str">
        <f t="shared" si="10"/>
        <v>10001100</v>
      </c>
      <c r="Z10" t="str">
        <f t="shared" si="10"/>
        <v>10001100</v>
      </c>
      <c r="AA10" t="str">
        <f t="shared" si="10"/>
        <v>10001100</v>
      </c>
      <c r="AC10" t="str">
        <f>CONCATENATE(AC9,AC8,AC7,AC6,AC5,AC4,AC3,AC2)</f>
        <v>00001000</v>
      </c>
      <c r="AD10" t="str">
        <f t="shared" ref="AD10:AM10" si="11">CONCATENATE(AD9,AD8,AD7,AD6,AD5,AD4,AD3,AD2)</f>
        <v>00001000</v>
      </c>
      <c r="AE10" t="str">
        <f t="shared" si="11"/>
        <v>00001000</v>
      </c>
      <c r="AF10" t="str">
        <f t="shared" si="11"/>
        <v>00001000</v>
      </c>
      <c r="AG10" t="str">
        <f t="shared" si="11"/>
        <v>00001000</v>
      </c>
      <c r="AH10" t="str">
        <f t="shared" si="11"/>
        <v>00001000</v>
      </c>
      <c r="AI10" t="str">
        <f t="shared" si="11"/>
        <v>00001000</v>
      </c>
      <c r="AJ10" t="str">
        <f t="shared" si="11"/>
        <v>00001000</v>
      </c>
      <c r="AK10" t="str">
        <f t="shared" si="11"/>
        <v>00001000</v>
      </c>
      <c r="AL10" t="str">
        <f t="shared" si="11"/>
        <v>00001000</v>
      </c>
      <c r="AM10" t="str">
        <f t="shared" si="11"/>
        <v>00001000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E11" t="str">
        <f t="shared" ref="E11:AA11" si="14">CONCATENATE(BIN2HEX(E10,2))</f>
        <v>00</v>
      </c>
      <c r="F11" t="str">
        <f t="shared" si="14"/>
        <v>00</v>
      </c>
      <c r="G11" t="str">
        <f t="shared" si="14"/>
        <v>32</v>
      </c>
      <c r="H11" t="str">
        <f t="shared" si="14"/>
        <v>33</v>
      </c>
      <c r="I11" t="str">
        <f t="shared" si="14"/>
        <v>13</v>
      </c>
      <c r="J11" t="str">
        <f t="shared" si="14"/>
        <v>23</v>
      </c>
      <c r="K11" t="str">
        <f t="shared" si="14"/>
        <v>33</v>
      </c>
      <c r="L11" t="str">
        <f t="shared" si="14"/>
        <v>33</v>
      </c>
      <c r="M11" t="str">
        <f t="shared" si="14"/>
        <v>33</v>
      </c>
      <c r="N11" t="str">
        <f t="shared" si="14"/>
        <v>33</v>
      </c>
      <c r="O11" t="str">
        <f t="shared" si="14"/>
        <v>33</v>
      </c>
      <c r="Q11" t="str">
        <f t="shared" si="14"/>
        <v>8C</v>
      </c>
      <c r="R11" t="str">
        <f t="shared" si="14"/>
        <v>8C</v>
      </c>
      <c r="S11" t="str">
        <f t="shared" si="14"/>
        <v>8C</v>
      </c>
      <c r="T11" t="str">
        <f t="shared" si="14"/>
        <v>8C</v>
      </c>
      <c r="U11" t="str">
        <f t="shared" si="14"/>
        <v>8C</v>
      </c>
      <c r="V11" t="str">
        <f t="shared" si="14"/>
        <v>8C</v>
      </c>
      <c r="W11" t="str">
        <f t="shared" si="14"/>
        <v>8C</v>
      </c>
      <c r="X11" t="str">
        <f t="shared" si="14"/>
        <v>8C</v>
      </c>
      <c r="Y11" t="str">
        <f t="shared" si="14"/>
        <v>8C</v>
      </c>
      <c r="Z11" t="str">
        <f t="shared" si="14"/>
        <v>8C</v>
      </c>
      <c r="AA11" t="str">
        <f t="shared" si="14"/>
        <v>8C</v>
      </c>
      <c r="AC11" t="str">
        <f>CONCATENATE(BIN2HEX(AC10,2))</f>
        <v>08</v>
      </c>
      <c r="AD11" t="str">
        <f t="shared" ref="AD11:AM11" si="15">CONCATENATE(BIN2HEX(AD10,2))</f>
        <v>08</v>
      </c>
      <c r="AE11" t="str">
        <f t="shared" si="15"/>
        <v>08</v>
      </c>
      <c r="AF11" t="str">
        <f t="shared" si="15"/>
        <v>08</v>
      </c>
      <c r="AG11" t="str">
        <f t="shared" si="15"/>
        <v>08</v>
      </c>
      <c r="AH11" t="str">
        <f t="shared" si="15"/>
        <v>08</v>
      </c>
      <c r="AI11" t="str">
        <f t="shared" si="15"/>
        <v>08</v>
      </c>
      <c r="AJ11" t="str">
        <f t="shared" si="15"/>
        <v>08</v>
      </c>
      <c r="AK11" t="str">
        <f t="shared" si="15"/>
        <v>08</v>
      </c>
      <c r="AL11" t="str">
        <f t="shared" si="15"/>
        <v>08</v>
      </c>
      <c r="AM11" t="str">
        <f t="shared" si="15"/>
        <v>08</v>
      </c>
      <c r="AO11" t="str">
        <f t="shared" ref="AO11:AY11" si="16">CONCATENATE(BIN2HEX(AO10,2))</f>
        <v>00</v>
      </c>
      <c r="AP11" t="str">
        <f t="shared" si="16"/>
        <v>00</v>
      </c>
      <c r="AQ11" t="str">
        <f t="shared" si="16"/>
        <v>00</v>
      </c>
      <c r="AR11" t="str">
        <f t="shared" si="16"/>
        <v>00</v>
      </c>
      <c r="AS11" t="str">
        <f t="shared" si="16"/>
        <v>00</v>
      </c>
      <c r="AT11" t="str">
        <f t="shared" si="16"/>
        <v>00</v>
      </c>
      <c r="AU11" t="str">
        <f t="shared" si="16"/>
        <v>00</v>
      </c>
      <c r="AV11" t="str">
        <f t="shared" si="16"/>
        <v>00</v>
      </c>
      <c r="AW11" t="str">
        <f t="shared" si="16"/>
        <v>00</v>
      </c>
      <c r="AX11" t="str">
        <f t="shared" si="16"/>
        <v>00</v>
      </c>
      <c r="AY11" t="str">
        <f t="shared" si="16"/>
        <v>00</v>
      </c>
      <c r="BA11" t="str">
        <f t="shared" ref="BA11:BK11" si="17">CONCATENATE(BIN2HEX(BA10,2))</f>
        <v>00</v>
      </c>
      <c r="BB11" t="str">
        <f t="shared" si="17"/>
        <v>00</v>
      </c>
      <c r="BC11" t="str">
        <f t="shared" si="17"/>
        <v>00</v>
      </c>
      <c r="BD11" t="str">
        <f t="shared" si="17"/>
        <v>00</v>
      </c>
      <c r="BE11" t="str">
        <f t="shared" si="17"/>
        <v>00</v>
      </c>
      <c r="BF11" t="str">
        <f t="shared" si="17"/>
        <v>00</v>
      </c>
      <c r="BG11" t="str">
        <f t="shared" si="17"/>
        <v>00</v>
      </c>
      <c r="BH11" t="str">
        <f t="shared" si="17"/>
        <v>00</v>
      </c>
      <c r="BI11" t="str">
        <f t="shared" si="17"/>
        <v>00</v>
      </c>
      <c r="BJ11" t="str">
        <f t="shared" si="17"/>
        <v>00</v>
      </c>
      <c r="BK11" t="str">
        <f t="shared" si="17"/>
        <v>00</v>
      </c>
    </row>
    <row r="12" spans="1:63" x14ac:dyDescent="0.25">
      <c r="A12" s="2"/>
    </row>
    <row r="13" spans="1:63" s="10" customFormat="1" x14ac:dyDescent="0.25">
      <c r="A13" s="11"/>
      <c r="B13" s="10" t="s">
        <v>298</v>
      </c>
      <c r="C13" s="10" t="s">
        <v>389</v>
      </c>
      <c r="D13" t="s">
        <v>404</v>
      </c>
      <c r="E13" s="10">
        <v>0</v>
      </c>
      <c r="F13" s="10">
        <v>1</v>
      </c>
      <c r="G13" s="10">
        <f>F13</f>
        <v>1</v>
      </c>
      <c r="H13" s="10">
        <f>G13</f>
        <v>1</v>
      </c>
      <c r="I13" s="10">
        <f t="shared" ref="H13:O20" si="18">H13</f>
        <v>1</v>
      </c>
      <c r="J13" s="10">
        <f t="shared" si="18"/>
        <v>1</v>
      </c>
      <c r="K13" s="10">
        <f t="shared" si="18"/>
        <v>1</v>
      </c>
      <c r="L13" s="10">
        <f t="shared" si="18"/>
        <v>1</v>
      </c>
      <c r="M13" s="10">
        <f t="shared" si="18"/>
        <v>1</v>
      </c>
      <c r="N13" s="10">
        <f t="shared" si="18"/>
        <v>1</v>
      </c>
      <c r="O13" s="10">
        <f t="shared" si="18"/>
        <v>1</v>
      </c>
      <c r="Q13" s="10">
        <v>0</v>
      </c>
      <c r="R13" s="10">
        <f t="shared" ref="R13:R20" si="19">Q13</f>
        <v>0</v>
      </c>
      <c r="S13" s="10">
        <f t="shared" ref="S13:S20" si="20">R13</f>
        <v>0</v>
      </c>
      <c r="T13" s="10">
        <f t="shared" ref="T13:T20" si="21">S13</f>
        <v>0</v>
      </c>
      <c r="U13" s="10">
        <f t="shared" ref="U13:U20" si="22">T13</f>
        <v>0</v>
      </c>
      <c r="V13" s="10">
        <f t="shared" ref="V13:V20" si="23">U13</f>
        <v>0</v>
      </c>
      <c r="W13" s="10">
        <f t="shared" ref="W13:W20" si="24">V13</f>
        <v>0</v>
      </c>
      <c r="X13" s="10">
        <f t="shared" ref="X13:X20" si="25">W13</f>
        <v>0</v>
      </c>
      <c r="Y13" s="10">
        <f t="shared" ref="Y13:AA13" si="26">X13</f>
        <v>0</v>
      </c>
      <c r="Z13" s="10">
        <f t="shared" si="26"/>
        <v>0</v>
      </c>
      <c r="AA13" s="10">
        <f t="shared" si="26"/>
        <v>0</v>
      </c>
      <c r="AC13" s="10">
        <v>0</v>
      </c>
      <c r="AD13" s="10">
        <f>AC13</f>
        <v>0</v>
      </c>
      <c r="AE13" s="10">
        <f t="shared" ref="AE13:AM13" si="27">AD13</f>
        <v>0</v>
      </c>
      <c r="AF13" s="10">
        <f t="shared" si="27"/>
        <v>0</v>
      </c>
      <c r="AG13" s="10">
        <f t="shared" si="27"/>
        <v>0</v>
      </c>
      <c r="AH13" s="10">
        <f t="shared" si="27"/>
        <v>0</v>
      </c>
      <c r="AI13" s="10">
        <f t="shared" si="27"/>
        <v>0</v>
      </c>
      <c r="AJ13" s="10">
        <f t="shared" si="27"/>
        <v>0</v>
      </c>
      <c r="AK13" s="10">
        <f t="shared" si="27"/>
        <v>0</v>
      </c>
      <c r="AL13" s="10">
        <f t="shared" si="27"/>
        <v>0</v>
      </c>
      <c r="AM13" s="10">
        <f t="shared" si="27"/>
        <v>0</v>
      </c>
      <c r="AO13" s="10">
        <v>0</v>
      </c>
      <c r="AP13" s="10">
        <f>AO13</f>
        <v>0</v>
      </c>
      <c r="AQ13" s="10">
        <f t="shared" ref="AQ13:AY13" si="28">AP13</f>
        <v>0</v>
      </c>
      <c r="AR13" s="10">
        <f t="shared" si="28"/>
        <v>0</v>
      </c>
      <c r="AS13" s="10">
        <f t="shared" si="28"/>
        <v>0</v>
      </c>
      <c r="AT13" s="10">
        <f t="shared" si="28"/>
        <v>0</v>
      </c>
      <c r="AU13" s="10">
        <f t="shared" si="28"/>
        <v>0</v>
      </c>
      <c r="AV13" s="10">
        <f t="shared" si="28"/>
        <v>0</v>
      </c>
      <c r="AW13" s="10">
        <f t="shared" si="28"/>
        <v>0</v>
      </c>
      <c r="AX13" s="10">
        <f t="shared" si="28"/>
        <v>0</v>
      </c>
      <c r="AY13" s="10">
        <f t="shared" si="28"/>
        <v>0</v>
      </c>
      <c r="BA13" s="10">
        <v>0</v>
      </c>
      <c r="BB13" s="10">
        <f>BA13</f>
        <v>0</v>
      </c>
      <c r="BC13" s="10">
        <f t="shared" ref="BC13:BK13" si="29">BB13</f>
        <v>0</v>
      </c>
      <c r="BD13" s="10">
        <f t="shared" si="29"/>
        <v>0</v>
      </c>
      <c r="BE13" s="10">
        <f t="shared" si="29"/>
        <v>0</v>
      </c>
      <c r="BF13" s="10">
        <f t="shared" si="29"/>
        <v>0</v>
      </c>
      <c r="BG13" s="10">
        <f t="shared" si="29"/>
        <v>0</v>
      </c>
      <c r="BH13" s="10">
        <f t="shared" si="29"/>
        <v>0</v>
      </c>
      <c r="BI13" s="10">
        <f t="shared" si="29"/>
        <v>0</v>
      </c>
      <c r="BJ13" s="10">
        <f t="shared" si="29"/>
        <v>0</v>
      </c>
      <c r="BK13" s="10">
        <f t="shared" si="29"/>
        <v>0</v>
      </c>
    </row>
    <row r="14" spans="1:63" s="10" customFormat="1" x14ac:dyDescent="0.25">
      <c r="A14" s="11"/>
      <c r="B14" s="10" t="s">
        <v>299</v>
      </c>
      <c r="C14" s="10" t="s">
        <v>391</v>
      </c>
      <c r="D14" t="s">
        <v>405</v>
      </c>
      <c r="E14" s="10">
        <v>0</v>
      </c>
      <c r="F14" s="10">
        <f t="shared" ref="F14:H19" si="30">E14</f>
        <v>0</v>
      </c>
      <c r="G14" s="10">
        <f t="shared" si="30"/>
        <v>0</v>
      </c>
      <c r="H14" s="10">
        <f t="shared" si="30"/>
        <v>0</v>
      </c>
      <c r="I14" s="10">
        <f t="shared" si="18"/>
        <v>0</v>
      </c>
      <c r="J14" s="10">
        <f t="shared" si="18"/>
        <v>0</v>
      </c>
      <c r="K14" s="10">
        <f t="shared" si="18"/>
        <v>0</v>
      </c>
      <c r="L14" s="10">
        <f t="shared" si="18"/>
        <v>0</v>
      </c>
      <c r="M14" s="10">
        <f t="shared" si="18"/>
        <v>0</v>
      </c>
      <c r="N14" s="10">
        <f t="shared" si="18"/>
        <v>0</v>
      </c>
      <c r="O14" s="10">
        <f t="shared" si="18"/>
        <v>0</v>
      </c>
      <c r="Q14" s="10">
        <v>1</v>
      </c>
      <c r="R14" s="10">
        <f t="shared" si="19"/>
        <v>1</v>
      </c>
      <c r="S14" s="10">
        <f t="shared" si="20"/>
        <v>1</v>
      </c>
      <c r="T14" s="10">
        <f t="shared" si="21"/>
        <v>1</v>
      </c>
      <c r="U14" s="10">
        <f t="shared" si="22"/>
        <v>1</v>
      </c>
      <c r="V14" s="10">
        <f t="shared" si="23"/>
        <v>1</v>
      </c>
      <c r="W14" s="10">
        <f t="shared" si="24"/>
        <v>1</v>
      </c>
      <c r="X14" s="10">
        <f t="shared" si="25"/>
        <v>1</v>
      </c>
      <c r="Y14" s="10">
        <f t="shared" ref="Y14:AA20" si="31">X14</f>
        <v>1</v>
      </c>
      <c r="Z14" s="10">
        <f t="shared" si="31"/>
        <v>1</v>
      </c>
      <c r="AA14" s="10">
        <f t="shared" si="31"/>
        <v>1</v>
      </c>
      <c r="AC14" s="10">
        <v>0</v>
      </c>
      <c r="AD14" s="10">
        <f t="shared" ref="AD14:AM20" si="32">AC14</f>
        <v>0</v>
      </c>
      <c r="AE14" s="10">
        <f t="shared" si="32"/>
        <v>0</v>
      </c>
      <c r="AF14" s="10">
        <f t="shared" si="32"/>
        <v>0</v>
      </c>
      <c r="AG14" s="10">
        <f t="shared" si="32"/>
        <v>0</v>
      </c>
      <c r="AH14" s="10">
        <f t="shared" si="32"/>
        <v>0</v>
      </c>
      <c r="AI14" s="10">
        <f t="shared" si="32"/>
        <v>0</v>
      </c>
      <c r="AJ14" s="10">
        <f t="shared" si="32"/>
        <v>0</v>
      </c>
      <c r="AK14" s="10">
        <f t="shared" si="32"/>
        <v>0</v>
      </c>
      <c r="AL14" s="10">
        <f t="shared" si="32"/>
        <v>0</v>
      </c>
      <c r="AM14" s="10">
        <f t="shared" si="32"/>
        <v>0</v>
      </c>
      <c r="AO14" s="10">
        <v>0</v>
      </c>
      <c r="AP14" s="10">
        <f t="shared" ref="AP14:AY20" si="33">AO14</f>
        <v>0</v>
      </c>
      <c r="AQ14" s="10">
        <f t="shared" si="33"/>
        <v>0</v>
      </c>
      <c r="AR14" s="10">
        <f t="shared" si="33"/>
        <v>0</v>
      </c>
      <c r="AS14" s="10">
        <f t="shared" si="33"/>
        <v>0</v>
      </c>
      <c r="AT14" s="10">
        <f t="shared" si="33"/>
        <v>0</v>
      </c>
      <c r="AU14" s="10">
        <f t="shared" si="33"/>
        <v>0</v>
      </c>
      <c r="AV14" s="10">
        <f t="shared" si="33"/>
        <v>0</v>
      </c>
      <c r="AW14" s="10">
        <f t="shared" si="33"/>
        <v>0</v>
      </c>
      <c r="AX14" s="10">
        <f t="shared" si="33"/>
        <v>0</v>
      </c>
      <c r="AY14" s="10">
        <f t="shared" si="33"/>
        <v>0</v>
      </c>
      <c r="BA14" s="10">
        <v>0</v>
      </c>
      <c r="BB14" s="10">
        <f t="shared" ref="BB14:BK20" si="34">BA14</f>
        <v>0</v>
      </c>
      <c r="BC14" s="10">
        <f t="shared" si="34"/>
        <v>0</v>
      </c>
      <c r="BD14" s="10">
        <f t="shared" si="34"/>
        <v>0</v>
      </c>
      <c r="BE14" s="10">
        <f t="shared" si="34"/>
        <v>0</v>
      </c>
      <c r="BF14" s="10">
        <f t="shared" si="34"/>
        <v>0</v>
      </c>
      <c r="BG14" s="10">
        <f t="shared" si="34"/>
        <v>0</v>
      </c>
      <c r="BH14" s="10">
        <f t="shared" si="34"/>
        <v>0</v>
      </c>
      <c r="BI14" s="10">
        <f t="shared" si="34"/>
        <v>0</v>
      </c>
      <c r="BJ14" s="10">
        <f t="shared" si="34"/>
        <v>0</v>
      </c>
      <c r="BK14" s="10">
        <f t="shared" si="34"/>
        <v>0</v>
      </c>
    </row>
    <row r="15" spans="1:63" s="10" customFormat="1" x14ac:dyDescent="0.25">
      <c r="A15" s="11"/>
      <c r="B15" s="10" t="s">
        <v>300</v>
      </c>
      <c r="C15" s="10" t="s">
        <v>390</v>
      </c>
      <c r="D15" t="s">
        <v>406</v>
      </c>
      <c r="E15" s="10">
        <v>0</v>
      </c>
      <c r="F15" s="10">
        <v>0</v>
      </c>
      <c r="G15" s="10">
        <f t="shared" si="30"/>
        <v>0</v>
      </c>
      <c r="H15" s="10">
        <f t="shared" si="30"/>
        <v>0</v>
      </c>
      <c r="I15" s="10">
        <f t="shared" ref="I15:I19" si="35">H15</f>
        <v>0</v>
      </c>
      <c r="J15" s="10">
        <f t="shared" si="18"/>
        <v>0</v>
      </c>
      <c r="K15" s="10">
        <f t="shared" si="18"/>
        <v>0</v>
      </c>
      <c r="L15" s="10">
        <f t="shared" si="18"/>
        <v>0</v>
      </c>
      <c r="M15" s="10">
        <f t="shared" si="18"/>
        <v>0</v>
      </c>
      <c r="N15" s="10">
        <f t="shared" si="18"/>
        <v>0</v>
      </c>
      <c r="O15" s="10">
        <f t="shared" si="18"/>
        <v>0</v>
      </c>
      <c r="Q15" s="10">
        <v>1</v>
      </c>
      <c r="R15" s="10">
        <f t="shared" si="19"/>
        <v>1</v>
      </c>
      <c r="S15" s="10">
        <f t="shared" si="20"/>
        <v>1</v>
      </c>
      <c r="T15" s="10">
        <f t="shared" si="21"/>
        <v>1</v>
      </c>
      <c r="U15" s="10">
        <f t="shared" si="22"/>
        <v>1</v>
      </c>
      <c r="V15" s="10">
        <f t="shared" si="23"/>
        <v>1</v>
      </c>
      <c r="W15" s="10">
        <f t="shared" si="24"/>
        <v>1</v>
      </c>
      <c r="X15" s="10">
        <f t="shared" si="25"/>
        <v>1</v>
      </c>
      <c r="Y15" s="10">
        <f t="shared" si="31"/>
        <v>1</v>
      </c>
      <c r="Z15" s="10">
        <f t="shared" si="31"/>
        <v>1</v>
      </c>
      <c r="AA15" s="10">
        <f t="shared" si="31"/>
        <v>1</v>
      </c>
      <c r="AC15" s="10">
        <v>0</v>
      </c>
      <c r="AD15" s="10">
        <f t="shared" si="32"/>
        <v>0</v>
      </c>
      <c r="AE15" s="10">
        <f t="shared" si="32"/>
        <v>0</v>
      </c>
      <c r="AF15" s="10">
        <f t="shared" si="32"/>
        <v>0</v>
      </c>
      <c r="AG15" s="10">
        <f t="shared" si="32"/>
        <v>0</v>
      </c>
      <c r="AH15" s="10">
        <f t="shared" si="32"/>
        <v>0</v>
      </c>
      <c r="AI15" s="10">
        <f t="shared" si="32"/>
        <v>0</v>
      </c>
      <c r="AJ15" s="10">
        <f t="shared" si="32"/>
        <v>0</v>
      </c>
      <c r="AK15" s="10">
        <f t="shared" si="32"/>
        <v>0</v>
      </c>
      <c r="AL15" s="10">
        <f t="shared" si="32"/>
        <v>0</v>
      </c>
      <c r="AM15" s="10">
        <f t="shared" si="32"/>
        <v>0</v>
      </c>
      <c r="AO15" s="10">
        <v>0</v>
      </c>
      <c r="AP15" s="10">
        <f t="shared" si="33"/>
        <v>0</v>
      </c>
      <c r="AQ15" s="10">
        <f t="shared" si="33"/>
        <v>0</v>
      </c>
      <c r="AR15" s="10">
        <f t="shared" si="33"/>
        <v>0</v>
      </c>
      <c r="AS15" s="10">
        <f t="shared" si="33"/>
        <v>0</v>
      </c>
      <c r="AT15" s="10">
        <f t="shared" si="33"/>
        <v>0</v>
      </c>
      <c r="AU15" s="10">
        <f t="shared" si="33"/>
        <v>0</v>
      </c>
      <c r="AV15" s="10">
        <f t="shared" si="33"/>
        <v>0</v>
      </c>
      <c r="AW15" s="10">
        <f t="shared" si="33"/>
        <v>0</v>
      </c>
      <c r="AX15" s="10">
        <f t="shared" si="33"/>
        <v>0</v>
      </c>
      <c r="AY15" s="10">
        <f t="shared" si="33"/>
        <v>0</v>
      </c>
      <c r="BA15" s="10">
        <v>0</v>
      </c>
      <c r="BB15" s="10">
        <f t="shared" si="34"/>
        <v>0</v>
      </c>
      <c r="BC15" s="10">
        <f t="shared" si="34"/>
        <v>0</v>
      </c>
      <c r="BD15" s="10">
        <f t="shared" si="34"/>
        <v>0</v>
      </c>
      <c r="BE15" s="10">
        <f t="shared" si="34"/>
        <v>0</v>
      </c>
      <c r="BF15" s="10">
        <f t="shared" si="34"/>
        <v>0</v>
      </c>
      <c r="BG15" s="10">
        <f t="shared" si="34"/>
        <v>0</v>
      </c>
      <c r="BH15" s="10">
        <f t="shared" si="34"/>
        <v>0</v>
      </c>
      <c r="BI15" s="10">
        <f t="shared" si="34"/>
        <v>0</v>
      </c>
      <c r="BJ15" s="10">
        <f t="shared" si="34"/>
        <v>0</v>
      </c>
      <c r="BK15" s="10">
        <f t="shared" si="34"/>
        <v>0</v>
      </c>
    </row>
    <row r="16" spans="1:63" s="10" customFormat="1" x14ac:dyDescent="0.25">
      <c r="A16" s="11"/>
      <c r="B16" s="10" t="s">
        <v>301</v>
      </c>
      <c r="C16" s="10" t="s">
        <v>392</v>
      </c>
      <c r="D16" t="s">
        <v>407</v>
      </c>
      <c r="E16" s="10">
        <v>0</v>
      </c>
      <c r="F16" s="10">
        <v>0</v>
      </c>
      <c r="G16" s="10">
        <f t="shared" si="30"/>
        <v>0</v>
      </c>
      <c r="H16" s="10">
        <f t="shared" si="30"/>
        <v>0</v>
      </c>
      <c r="I16" s="10">
        <f t="shared" si="35"/>
        <v>0</v>
      </c>
      <c r="J16" s="10">
        <f t="shared" si="18"/>
        <v>0</v>
      </c>
      <c r="K16" s="10">
        <f t="shared" si="18"/>
        <v>0</v>
      </c>
      <c r="L16" s="10">
        <f t="shared" si="18"/>
        <v>0</v>
      </c>
      <c r="M16" s="10">
        <f t="shared" si="18"/>
        <v>0</v>
      </c>
      <c r="N16" s="10">
        <f t="shared" si="18"/>
        <v>0</v>
      </c>
      <c r="O16" s="10">
        <f t="shared" si="18"/>
        <v>0</v>
      </c>
      <c r="Q16" s="10">
        <v>1</v>
      </c>
      <c r="R16" s="10">
        <f t="shared" si="19"/>
        <v>1</v>
      </c>
      <c r="S16" s="10">
        <f t="shared" si="20"/>
        <v>1</v>
      </c>
      <c r="T16" s="10">
        <f t="shared" si="21"/>
        <v>1</v>
      </c>
      <c r="U16" s="10">
        <f t="shared" si="22"/>
        <v>1</v>
      </c>
      <c r="V16" s="10">
        <f t="shared" si="23"/>
        <v>1</v>
      </c>
      <c r="W16" s="10">
        <f t="shared" si="24"/>
        <v>1</v>
      </c>
      <c r="X16" s="10">
        <f t="shared" si="25"/>
        <v>1</v>
      </c>
      <c r="Y16" s="10">
        <f t="shared" si="31"/>
        <v>1</v>
      </c>
      <c r="Z16" s="10">
        <f t="shared" si="31"/>
        <v>1</v>
      </c>
      <c r="AA16" s="10">
        <f t="shared" si="31"/>
        <v>1</v>
      </c>
      <c r="AC16" s="10">
        <v>1</v>
      </c>
      <c r="AD16" s="10">
        <f t="shared" si="32"/>
        <v>1</v>
      </c>
      <c r="AE16" s="10">
        <f t="shared" si="32"/>
        <v>1</v>
      </c>
      <c r="AF16" s="10">
        <f t="shared" si="32"/>
        <v>1</v>
      </c>
      <c r="AG16" s="10">
        <f t="shared" si="32"/>
        <v>1</v>
      </c>
      <c r="AH16" s="10">
        <f t="shared" si="32"/>
        <v>1</v>
      </c>
      <c r="AI16" s="10">
        <f t="shared" si="32"/>
        <v>1</v>
      </c>
      <c r="AJ16" s="10">
        <f t="shared" si="32"/>
        <v>1</v>
      </c>
      <c r="AK16" s="10">
        <f t="shared" si="32"/>
        <v>1</v>
      </c>
      <c r="AL16" s="10">
        <f t="shared" si="32"/>
        <v>1</v>
      </c>
      <c r="AM16" s="10">
        <f t="shared" si="32"/>
        <v>1</v>
      </c>
      <c r="AO16" s="10">
        <v>0</v>
      </c>
      <c r="AP16" s="10">
        <f t="shared" si="33"/>
        <v>0</v>
      </c>
      <c r="AQ16" s="10">
        <f t="shared" si="33"/>
        <v>0</v>
      </c>
      <c r="AR16" s="10">
        <f t="shared" si="33"/>
        <v>0</v>
      </c>
      <c r="AS16" s="10">
        <f t="shared" si="33"/>
        <v>0</v>
      </c>
      <c r="AT16" s="10">
        <f t="shared" si="33"/>
        <v>0</v>
      </c>
      <c r="AU16" s="10">
        <f t="shared" si="33"/>
        <v>0</v>
      </c>
      <c r="AV16" s="10">
        <f t="shared" si="33"/>
        <v>0</v>
      </c>
      <c r="AW16" s="10">
        <f t="shared" si="33"/>
        <v>0</v>
      </c>
      <c r="AX16" s="10">
        <f t="shared" si="33"/>
        <v>0</v>
      </c>
      <c r="AY16" s="10">
        <f t="shared" si="33"/>
        <v>0</v>
      </c>
      <c r="BA16" s="10">
        <v>0</v>
      </c>
      <c r="BB16" s="10">
        <f t="shared" si="34"/>
        <v>0</v>
      </c>
      <c r="BC16" s="10">
        <f t="shared" si="34"/>
        <v>0</v>
      </c>
      <c r="BD16" s="10">
        <f t="shared" si="34"/>
        <v>0</v>
      </c>
      <c r="BE16" s="10">
        <f t="shared" si="34"/>
        <v>0</v>
      </c>
      <c r="BF16" s="10">
        <f t="shared" si="34"/>
        <v>0</v>
      </c>
      <c r="BG16" s="10">
        <f t="shared" si="34"/>
        <v>0</v>
      </c>
      <c r="BH16" s="10">
        <f t="shared" si="34"/>
        <v>0</v>
      </c>
      <c r="BI16" s="10">
        <f t="shared" si="34"/>
        <v>0</v>
      </c>
      <c r="BJ16" s="10">
        <f t="shared" si="34"/>
        <v>0</v>
      </c>
      <c r="BK16" s="10">
        <f t="shared" si="34"/>
        <v>0</v>
      </c>
    </row>
    <row r="17" spans="1:63" s="10" customFormat="1" x14ac:dyDescent="0.25">
      <c r="A17" s="11"/>
      <c r="B17" s="10" t="s">
        <v>302</v>
      </c>
      <c r="C17" s="10" t="s">
        <v>393</v>
      </c>
      <c r="D17" t="s">
        <v>408</v>
      </c>
      <c r="E17" s="10">
        <v>0</v>
      </c>
      <c r="F17" s="10">
        <v>0</v>
      </c>
      <c r="G17" s="10">
        <v>1</v>
      </c>
      <c r="H17" s="10">
        <f t="shared" si="30"/>
        <v>1</v>
      </c>
      <c r="I17" s="10">
        <f t="shared" si="35"/>
        <v>1</v>
      </c>
      <c r="J17" s="10">
        <f t="shared" si="18"/>
        <v>1</v>
      </c>
      <c r="K17" s="10">
        <f t="shared" si="18"/>
        <v>1</v>
      </c>
      <c r="L17" s="10">
        <f t="shared" si="18"/>
        <v>1</v>
      </c>
      <c r="M17" s="10">
        <f t="shared" si="18"/>
        <v>1</v>
      </c>
      <c r="N17" s="10">
        <f t="shared" si="18"/>
        <v>1</v>
      </c>
      <c r="O17" s="10">
        <f t="shared" si="18"/>
        <v>1</v>
      </c>
      <c r="Q17" s="10">
        <v>0</v>
      </c>
      <c r="R17" s="10">
        <f t="shared" si="19"/>
        <v>0</v>
      </c>
      <c r="S17" s="10">
        <f t="shared" si="20"/>
        <v>0</v>
      </c>
      <c r="T17" s="10">
        <f t="shared" si="21"/>
        <v>0</v>
      </c>
      <c r="U17" s="10">
        <f t="shared" si="22"/>
        <v>0</v>
      </c>
      <c r="V17" s="10">
        <f t="shared" si="23"/>
        <v>0</v>
      </c>
      <c r="W17" s="10">
        <f t="shared" si="24"/>
        <v>0</v>
      </c>
      <c r="X17" s="10">
        <f t="shared" si="25"/>
        <v>0</v>
      </c>
      <c r="Y17" s="10">
        <f t="shared" si="31"/>
        <v>0</v>
      </c>
      <c r="Z17" s="10">
        <f t="shared" si="31"/>
        <v>0</v>
      </c>
      <c r="AA17" s="10">
        <f t="shared" si="31"/>
        <v>0</v>
      </c>
      <c r="AC17" s="10">
        <v>0</v>
      </c>
      <c r="AD17" s="10">
        <f t="shared" si="32"/>
        <v>0</v>
      </c>
      <c r="AE17" s="10">
        <f t="shared" si="32"/>
        <v>0</v>
      </c>
      <c r="AF17" s="10">
        <f t="shared" si="32"/>
        <v>0</v>
      </c>
      <c r="AG17" s="10">
        <f t="shared" si="32"/>
        <v>0</v>
      </c>
      <c r="AH17" s="10">
        <f t="shared" si="32"/>
        <v>0</v>
      </c>
      <c r="AI17" s="10">
        <f t="shared" si="32"/>
        <v>0</v>
      </c>
      <c r="AJ17" s="10">
        <f t="shared" si="32"/>
        <v>0</v>
      </c>
      <c r="AK17" s="10">
        <f t="shared" si="32"/>
        <v>0</v>
      </c>
      <c r="AL17" s="10">
        <f t="shared" si="32"/>
        <v>0</v>
      </c>
      <c r="AM17" s="10">
        <f t="shared" si="32"/>
        <v>0</v>
      </c>
      <c r="AO17" s="10">
        <v>0</v>
      </c>
      <c r="AP17" s="10">
        <f t="shared" si="33"/>
        <v>0</v>
      </c>
      <c r="AQ17" s="10">
        <f t="shared" si="33"/>
        <v>0</v>
      </c>
      <c r="AR17" s="10">
        <f t="shared" si="33"/>
        <v>0</v>
      </c>
      <c r="AS17" s="10">
        <f t="shared" si="33"/>
        <v>0</v>
      </c>
      <c r="AT17" s="10">
        <f t="shared" si="33"/>
        <v>0</v>
      </c>
      <c r="AU17" s="10">
        <f t="shared" si="33"/>
        <v>0</v>
      </c>
      <c r="AV17" s="10">
        <f t="shared" si="33"/>
        <v>0</v>
      </c>
      <c r="AW17" s="10">
        <f t="shared" si="33"/>
        <v>0</v>
      </c>
      <c r="AX17" s="10">
        <f t="shared" si="33"/>
        <v>0</v>
      </c>
      <c r="AY17" s="10">
        <f t="shared" si="33"/>
        <v>0</v>
      </c>
      <c r="BA17" s="10">
        <v>0</v>
      </c>
      <c r="BB17" s="10">
        <f t="shared" si="34"/>
        <v>0</v>
      </c>
      <c r="BC17" s="10">
        <f t="shared" si="34"/>
        <v>0</v>
      </c>
      <c r="BD17" s="10">
        <f t="shared" si="34"/>
        <v>0</v>
      </c>
      <c r="BE17" s="10">
        <f t="shared" si="34"/>
        <v>0</v>
      </c>
      <c r="BF17" s="10">
        <f t="shared" si="34"/>
        <v>0</v>
      </c>
      <c r="BG17" s="10">
        <f t="shared" si="34"/>
        <v>0</v>
      </c>
      <c r="BH17" s="10">
        <f t="shared" si="34"/>
        <v>0</v>
      </c>
      <c r="BI17" s="10">
        <f t="shared" si="34"/>
        <v>0</v>
      </c>
      <c r="BJ17" s="10">
        <f t="shared" si="34"/>
        <v>0</v>
      </c>
      <c r="BK17" s="10">
        <f t="shared" si="34"/>
        <v>0</v>
      </c>
    </row>
    <row r="18" spans="1:63" s="10" customFormat="1" x14ac:dyDescent="0.25">
      <c r="A18" s="11"/>
      <c r="B18" s="10" t="s">
        <v>303</v>
      </c>
      <c r="C18" s="10" t="s">
        <v>394</v>
      </c>
      <c r="D18" t="s">
        <v>408</v>
      </c>
      <c r="E18" s="10">
        <v>0</v>
      </c>
      <c r="F18" s="10">
        <v>0</v>
      </c>
      <c r="G18" s="10">
        <v>1</v>
      </c>
      <c r="H18" s="10">
        <f t="shared" si="30"/>
        <v>1</v>
      </c>
      <c r="I18" s="10">
        <f t="shared" si="35"/>
        <v>1</v>
      </c>
      <c r="J18" s="10">
        <f t="shared" si="18"/>
        <v>1</v>
      </c>
      <c r="K18" s="10">
        <f t="shared" si="18"/>
        <v>1</v>
      </c>
      <c r="L18" s="10">
        <f t="shared" si="18"/>
        <v>1</v>
      </c>
      <c r="M18" s="10">
        <f t="shared" si="18"/>
        <v>1</v>
      </c>
      <c r="N18" s="10">
        <f t="shared" si="18"/>
        <v>1</v>
      </c>
      <c r="O18" s="10">
        <f t="shared" si="18"/>
        <v>1</v>
      </c>
      <c r="Q18" s="10">
        <v>0</v>
      </c>
      <c r="R18" s="10">
        <f t="shared" si="19"/>
        <v>0</v>
      </c>
      <c r="S18" s="10">
        <f t="shared" si="20"/>
        <v>0</v>
      </c>
      <c r="T18" s="10">
        <f t="shared" si="21"/>
        <v>0</v>
      </c>
      <c r="U18" s="10">
        <f t="shared" si="22"/>
        <v>0</v>
      </c>
      <c r="V18" s="10">
        <f t="shared" si="23"/>
        <v>0</v>
      </c>
      <c r="W18" s="10">
        <f t="shared" si="24"/>
        <v>0</v>
      </c>
      <c r="X18" s="10">
        <f t="shared" si="25"/>
        <v>0</v>
      </c>
      <c r="Y18" s="10">
        <f t="shared" si="31"/>
        <v>0</v>
      </c>
      <c r="Z18" s="10">
        <f t="shared" si="31"/>
        <v>0</v>
      </c>
      <c r="AA18" s="10">
        <f t="shared" si="31"/>
        <v>0</v>
      </c>
      <c r="AC18" s="10">
        <v>0</v>
      </c>
      <c r="AD18" s="10">
        <f t="shared" si="32"/>
        <v>0</v>
      </c>
      <c r="AE18" s="10">
        <f t="shared" si="32"/>
        <v>0</v>
      </c>
      <c r="AF18" s="10">
        <f t="shared" si="32"/>
        <v>0</v>
      </c>
      <c r="AG18" s="10">
        <f t="shared" si="32"/>
        <v>0</v>
      </c>
      <c r="AH18" s="10">
        <f t="shared" si="32"/>
        <v>0</v>
      </c>
      <c r="AI18" s="10">
        <f t="shared" si="32"/>
        <v>0</v>
      </c>
      <c r="AJ18" s="10">
        <f t="shared" si="32"/>
        <v>0</v>
      </c>
      <c r="AK18" s="10">
        <f t="shared" si="32"/>
        <v>0</v>
      </c>
      <c r="AL18" s="10">
        <f t="shared" si="32"/>
        <v>0</v>
      </c>
      <c r="AM18" s="10">
        <f t="shared" si="32"/>
        <v>0</v>
      </c>
      <c r="AO18" s="10">
        <v>0</v>
      </c>
      <c r="AP18" s="10">
        <f t="shared" si="33"/>
        <v>0</v>
      </c>
      <c r="AQ18" s="10">
        <f t="shared" si="33"/>
        <v>0</v>
      </c>
      <c r="AR18" s="10">
        <f t="shared" si="33"/>
        <v>0</v>
      </c>
      <c r="AS18" s="10">
        <f t="shared" si="33"/>
        <v>0</v>
      </c>
      <c r="AT18" s="10">
        <f t="shared" si="33"/>
        <v>0</v>
      </c>
      <c r="AU18" s="10">
        <f t="shared" si="33"/>
        <v>0</v>
      </c>
      <c r="AV18" s="10">
        <f t="shared" si="33"/>
        <v>0</v>
      </c>
      <c r="AW18" s="10">
        <f t="shared" si="33"/>
        <v>0</v>
      </c>
      <c r="AX18" s="10">
        <f t="shared" si="33"/>
        <v>0</v>
      </c>
      <c r="AY18" s="10">
        <f t="shared" si="33"/>
        <v>0</v>
      </c>
      <c r="BA18" s="10">
        <v>0</v>
      </c>
      <c r="BB18" s="10">
        <f t="shared" si="34"/>
        <v>0</v>
      </c>
      <c r="BC18" s="10">
        <f t="shared" si="34"/>
        <v>0</v>
      </c>
      <c r="BD18" s="10">
        <f t="shared" si="34"/>
        <v>0</v>
      </c>
      <c r="BE18" s="10">
        <f t="shared" si="34"/>
        <v>0</v>
      </c>
      <c r="BF18" s="10">
        <f t="shared" si="34"/>
        <v>0</v>
      </c>
      <c r="BG18" s="10">
        <f t="shared" si="34"/>
        <v>0</v>
      </c>
      <c r="BH18" s="10">
        <f t="shared" si="34"/>
        <v>0</v>
      </c>
      <c r="BI18" s="10">
        <f t="shared" si="34"/>
        <v>0</v>
      </c>
      <c r="BJ18" s="10">
        <f t="shared" si="34"/>
        <v>0</v>
      </c>
      <c r="BK18" s="10">
        <f t="shared" si="34"/>
        <v>0</v>
      </c>
    </row>
    <row r="19" spans="1:63" s="10" customFormat="1" x14ac:dyDescent="0.25">
      <c r="A19" s="11"/>
      <c r="B19" s="10" t="s">
        <v>304</v>
      </c>
      <c r="C19" s="10" t="s">
        <v>395</v>
      </c>
      <c r="D19" t="s">
        <v>407</v>
      </c>
      <c r="E19" s="10">
        <v>0</v>
      </c>
      <c r="F19" s="10">
        <v>0</v>
      </c>
      <c r="G19" s="10">
        <f t="shared" si="30"/>
        <v>0</v>
      </c>
      <c r="H19" s="10">
        <f t="shared" si="30"/>
        <v>0</v>
      </c>
      <c r="I19" s="10">
        <f t="shared" si="35"/>
        <v>0</v>
      </c>
      <c r="J19" s="10">
        <f t="shared" si="18"/>
        <v>0</v>
      </c>
      <c r="K19" s="10">
        <f t="shared" si="18"/>
        <v>0</v>
      </c>
      <c r="L19" s="10">
        <f t="shared" si="18"/>
        <v>0</v>
      </c>
      <c r="M19" s="10">
        <f t="shared" si="18"/>
        <v>0</v>
      </c>
      <c r="N19" s="10">
        <f t="shared" si="18"/>
        <v>0</v>
      </c>
      <c r="O19" s="10">
        <f t="shared" si="18"/>
        <v>0</v>
      </c>
      <c r="Q19" s="10">
        <v>1</v>
      </c>
      <c r="R19" s="10">
        <f t="shared" si="19"/>
        <v>1</v>
      </c>
      <c r="S19" s="10">
        <f t="shared" si="20"/>
        <v>1</v>
      </c>
      <c r="T19" s="10">
        <f t="shared" si="21"/>
        <v>1</v>
      </c>
      <c r="U19" s="10">
        <f t="shared" si="22"/>
        <v>1</v>
      </c>
      <c r="V19" s="10">
        <f t="shared" si="23"/>
        <v>1</v>
      </c>
      <c r="W19" s="10">
        <f t="shared" si="24"/>
        <v>1</v>
      </c>
      <c r="X19" s="10">
        <f t="shared" si="25"/>
        <v>1</v>
      </c>
      <c r="Y19" s="10">
        <f t="shared" si="31"/>
        <v>1</v>
      </c>
      <c r="Z19" s="10">
        <f t="shared" si="31"/>
        <v>1</v>
      </c>
      <c r="AA19" s="10">
        <f t="shared" si="31"/>
        <v>1</v>
      </c>
      <c r="AC19" s="10">
        <v>1</v>
      </c>
      <c r="AD19" s="10">
        <f t="shared" si="32"/>
        <v>1</v>
      </c>
      <c r="AE19" s="10">
        <f t="shared" si="32"/>
        <v>1</v>
      </c>
      <c r="AF19" s="10">
        <f t="shared" si="32"/>
        <v>1</v>
      </c>
      <c r="AG19" s="10">
        <f t="shared" si="32"/>
        <v>1</v>
      </c>
      <c r="AH19" s="10">
        <f t="shared" si="32"/>
        <v>1</v>
      </c>
      <c r="AI19" s="10">
        <f t="shared" si="32"/>
        <v>1</v>
      </c>
      <c r="AJ19" s="10">
        <f t="shared" si="32"/>
        <v>1</v>
      </c>
      <c r="AK19" s="10">
        <f t="shared" si="32"/>
        <v>1</v>
      </c>
      <c r="AL19" s="10">
        <f t="shared" si="32"/>
        <v>1</v>
      </c>
      <c r="AM19" s="10">
        <f t="shared" si="32"/>
        <v>1</v>
      </c>
      <c r="AO19" s="10">
        <v>0</v>
      </c>
      <c r="AP19" s="10">
        <f t="shared" si="33"/>
        <v>0</v>
      </c>
      <c r="AQ19" s="10">
        <f t="shared" si="33"/>
        <v>0</v>
      </c>
      <c r="AR19" s="10">
        <f t="shared" si="33"/>
        <v>0</v>
      </c>
      <c r="AS19" s="10">
        <f t="shared" si="33"/>
        <v>0</v>
      </c>
      <c r="AT19" s="10">
        <f t="shared" si="33"/>
        <v>0</v>
      </c>
      <c r="AU19" s="10">
        <f t="shared" si="33"/>
        <v>0</v>
      </c>
      <c r="AV19" s="10">
        <f t="shared" si="33"/>
        <v>0</v>
      </c>
      <c r="AW19" s="10">
        <f t="shared" si="33"/>
        <v>0</v>
      </c>
      <c r="AX19" s="10">
        <f t="shared" si="33"/>
        <v>0</v>
      </c>
      <c r="AY19" s="10">
        <f t="shared" si="33"/>
        <v>0</v>
      </c>
      <c r="BA19" s="10">
        <v>0</v>
      </c>
      <c r="BB19" s="10">
        <f t="shared" si="34"/>
        <v>0</v>
      </c>
      <c r="BC19" s="10">
        <f t="shared" si="34"/>
        <v>0</v>
      </c>
      <c r="BD19" s="10">
        <f t="shared" si="34"/>
        <v>0</v>
      </c>
      <c r="BE19" s="10">
        <f t="shared" si="34"/>
        <v>0</v>
      </c>
      <c r="BF19" s="10">
        <f t="shared" si="34"/>
        <v>0</v>
      </c>
      <c r="BG19" s="10">
        <f t="shared" si="34"/>
        <v>0</v>
      </c>
      <c r="BH19" s="10">
        <f t="shared" si="34"/>
        <v>0</v>
      </c>
      <c r="BI19" s="10">
        <f t="shared" si="34"/>
        <v>0</v>
      </c>
      <c r="BJ19" s="10">
        <f t="shared" si="34"/>
        <v>0</v>
      </c>
      <c r="BK19" s="10">
        <f t="shared" si="34"/>
        <v>0</v>
      </c>
    </row>
    <row r="20" spans="1:63" s="10" customFormat="1" x14ac:dyDescent="0.25">
      <c r="A20" s="11"/>
      <c r="B20" s="10" t="s">
        <v>305</v>
      </c>
      <c r="C20" s="10" t="s">
        <v>118</v>
      </c>
      <c r="D20"/>
      <c r="E20" s="10">
        <v>0</v>
      </c>
      <c r="F20" s="10">
        <v>0</v>
      </c>
      <c r="G20" s="10">
        <v>0</v>
      </c>
      <c r="H20" s="10">
        <f t="shared" si="18"/>
        <v>0</v>
      </c>
      <c r="I20" s="10">
        <f t="shared" si="18"/>
        <v>0</v>
      </c>
      <c r="J20" s="10">
        <f t="shared" si="18"/>
        <v>0</v>
      </c>
      <c r="K20" s="10">
        <f t="shared" si="18"/>
        <v>0</v>
      </c>
      <c r="L20" s="10">
        <f t="shared" si="18"/>
        <v>0</v>
      </c>
      <c r="M20" s="10">
        <f t="shared" si="18"/>
        <v>0</v>
      </c>
      <c r="N20" s="10">
        <f t="shared" si="18"/>
        <v>0</v>
      </c>
      <c r="O20" s="10">
        <f t="shared" si="18"/>
        <v>0</v>
      </c>
      <c r="Q20" s="10">
        <v>1</v>
      </c>
      <c r="R20" s="10">
        <f t="shared" si="19"/>
        <v>1</v>
      </c>
      <c r="S20" s="10">
        <f t="shared" si="20"/>
        <v>1</v>
      </c>
      <c r="T20" s="10">
        <f t="shared" si="21"/>
        <v>1</v>
      </c>
      <c r="U20" s="10">
        <f t="shared" si="22"/>
        <v>1</v>
      </c>
      <c r="V20" s="10">
        <f t="shared" si="23"/>
        <v>1</v>
      </c>
      <c r="W20" s="10">
        <f t="shared" si="24"/>
        <v>1</v>
      </c>
      <c r="X20" s="10">
        <f t="shared" si="25"/>
        <v>1</v>
      </c>
      <c r="Y20" s="10">
        <f t="shared" si="31"/>
        <v>1</v>
      </c>
      <c r="Z20" s="10">
        <f t="shared" si="31"/>
        <v>1</v>
      </c>
      <c r="AA20" s="10">
        <f t="shared" si="31"/>
        <v>1</v>
      </c>
      <c r="AC20" s="10">
        <v>0</v>
      </c>
      <c r="AD20" s="10">
        <f t="shared" si="32"/>
        <v>0</v>
      </c>
      <c r="AE20" s="10">
        <f t="shared" si="32"/>
        <v>0</v>
      </c>
      <c r="AF20" s="10">
        <f t="shared" si="32"/>
        <v>0</v>
      </c>
      <c r="AG20" s="10">
        <f t="shared" si="32"/>
        <v>0</v>
      </c>
      <c r="AH20" s="10">
        <f t="shared" si="32"/>
        <v>0</v>
      </c>
      <c r="AI20" s="10">
        <f t="shared" si="32"/>
        <v>0</v>
      </c>
      <c r="AJ20" s="10">
        <f t="shared" si="32"/>
        <v>0</v>
      </c>
      <c r="AK20" s="10">
        <f t="shared" si="32"/>
        <v>0</v>
      </c>
      <c r="AL20" s="10">
        <f t="shared" si="32"/>
        <v>0</v>
      </c>
      <c r="AM20" s="10">
        <f t="shared" si="32"/>
        <v>0</v>
      </c>
      <c r="AO20" s="10">
        <v>0</v>
      </c>
      <c r="AP20" s="10">
        <f t="shared" si="33"/>
        <v>0</v>
      </c>
      <c r="AQ20" s="10">
        <f t="shared" si="33"/>
        <v>0</v>
      </c>
      <c r="AR20" s="10">
        <f t="shared" si="33"/>
        <v>0</v>
      </c>
      <c r="AS20" s="10">
        <f t="shared" si="33"/>
        <v>0</v>
      </c>
      <c r="AT20" s="10">
        <f t="shared" si="33"/>
        <v>0</v>
      </c>
      <c r="AU20" s="10">
        <f t="shared" si="33"/>
        <v>0</v>
      </c>
      <c r="AV20" s="10">
        <f t="shared" si="33"/>
        <v>0</v>
      </c>
      <c r="AW20" s="10">
        <f t="shared" si="33"/>
        <v>0</v>
      </c>
      <c r="AX20" s="10">
        <f t="shared" si="33"/>
        <v>0</v>
      </c>
      <c r="AY20" s="10">
        <f t="shared" si="33"/>
        <v>0</v>
      </c>
      <c r="BA20" s="10">
        <v>0</v>
      </c>
      <c r="BB20" s="10">
        <f t="shared" si="34"/>
        <v>0</v>
      </c>
      <c r="BC20" s="10">
        <f t="shared" si="34"/>
        <v>0</v>
      </c>
      <c r="BD20" s="10">
        <f t="shared" si="34"/>
        <v>0</v>
      </c>
      <c r="BE20" s="10">
        <f t="shared" si="34"/>
        <v>0</v>
      </c>
      <c r="BF20" s="10">
        <f t="shared" si="34"/>
        <v>0</v>
      </c>
      <c r="BG20" s="10">
        <f t="shared" si="34"/>
        <v>0</v>
      </c>
      <c r="BH20" s="10">
        <f t="shared" si="34"/>
        <v>0</v>
      </c>
      <c r="BI20" s="10">
        <f t="shared" si="34"/>
        <v>0</v>
      </c>
      <c r="BJ20" s="10">
        <f t="shared" si="34"/>
        <v>0</v>
      </c>
      <c r="BK20" s="10">
        <f t="shared" si="34"/>
        <v>0</v>
      </c>
    </row>
    <row r="21" spans="1:63" x14ac:dyDescent="0.25">
      <c r="A21" s="2"/>
      <c r="B21" s="2"/>
      <c r="E21" t="str">
        <f t="shared" ref="E21:AA21" si="36">CONCATENATE(E20,E19,E18,E17,E16,E15,E14,E13)</f>
        <v>00000000</v>
      </c>
      <c r="F21" t="str">
        <f t="shared" si="36"/>
        <v>00000001</v>
      </c>
      <c r="G21" t="str">
        <f t="shared" si="36"/>
        <v>00110001</v>
      </c>
      <c r="H21" t="str">
        <f t="shared" si="36"/>
        <v>00110001</v>
      </c>
      <c r="I21" t="str">
        <f t="shared" si="36"/>
        <v>00110001</v>
      </c>
      <c r="J21" t="str">
        <f t="shared" si="36"/>
        <v>00110001</v>
      </c>
      <c r="K21" t="str">
        <f t="shared" si="36"/>
        <v>00110001</v>
      </c>
      <c r="L21" t="str">
        <f t="shared" si="36"/>
        <v>00110001</v>
      </c>
      <c r="M21" t="str">
        <f t="shared" si="36"/>
        <v>00110001</v>
      </c>
      <c r="N21" t="str">
        <f t="shared" si="36"/>
        <v>00110001</v>
      </c>
      <c r="O21" t="str">
        <f t="shared" si="36"/>
        <v>00110001</v>
      </c>
      <c r="Q21" t="str">
        <f t="shared" si="36"/>
        <v>11001110</v>
      </c>
      <c r="R21" t="str">
        <f t="shared" si="36"/>
        <v>11001110</v>
      </c>
      <c r="S21" t="str">
        <f t="shared" si="36"/>
        <v>11001110</v>
      </c>
      <c r="T21" t="str">
        <f t="shared" si="36"/>
        <v>11001110</v>
      </c>
      <c r="U21" t="str">
        <f t="shared" si="36"/>
        <v>11001110</v>
      </c>
      <c r="V21" t="str">
        <f t="shared" si="36"/>
        <v>11001110</v>
      </c>
      <c r="W21" t="str">
        <f t="shared" si="36"/>
        <v>11001110</v>
      </c>
      <c r="X21" t="str">
        <f t="shared" si="36"/>
        <v>11001110</v>
      </c>
      <c r="Y21" t="str">
        <f t="shared" si="36"/>
        <v>11001110</v>
      </c>
      <c r="Z21" t="str">
        <f t="shared" si="36"/>
        <v>11001110</v>
      </c>
      <c r="AA21" t="str">
        <f t="shared" si="36"/>
        <v>11001110</v>
      </c>
      <c r="AC21" t="str">
        <f>CONCATENATE(AC20,AC19,AC18,AC17,AC16,AC15,AC14,AC13)</f>
        <v>01001000</v>
      </c>
      <c r="AD21" t="str">
        <f t="shared" ref="AD21:AM21" si="37">CONCATENATE(AD20,AD19,AD18,AD17,AD16,AD15,AD14,AD13)</f>
        <v>01001000</v>
      </c>
      <c r="AE21" t="str">
        <f t="shared" si="37"/>
        <v>01001000</v>
      </c>
      <c r="AF21" t="str">
        <f t="shared" si="37"/>
        <v>01001000</v>
      </c>
      <c r="AG21" t="str">
        <f t="shared" si="37"/>
        <v>01001000</v>
      </c>
      <c r="AH21" t="str">
        <f t="shared" si="37"/>
        <v>01001000</v>
      </c>
      <c r="AI21" t="str">
        <f t="shared" si="37"/>
        <v>01001000</v>
      </c>
      <c r="AJ21" t="str">
        <f t="shared" si="37"/>
        <v>01001000</v>
      </c>
      <c r="AK21" t="str">
        <f t="shared" si="37"/>
        <v>01001000</v>
      </c>
      <c r="AL21" t="str">
        <f t="shared" si="37"/>
        <v>01001000</v>
      </c>
      <c r="AM21" t="str">
        <f t="shared" si="37"/>
        <v>01001000</v>
      </c>
      <c r="AO21" t="str">
        <f t="shared" ref="AO21:AY21" si="38">CONCATENATE(AO20,AO19,AO18,AO17,AO16,AO15,AO14,AO13)</f>
        <v>00000000</v>
      </c>
      <c r="AP21" t="str">
        <f t="shared" si="38"/>
        <v>00000000</v>
      </c>
      <c r="AQ21" t="str">
        <f t="shared" si="38"/>
        <v>00000000</v>
      </c>
      <c r="AR21" t="str">
        <f t="shared" si="38"/>
        <v>00000000</v>
      </c>
      <c r="AS21" t="str">
        <f t="shared" si="38"/>
        <v>00000000</v>
      </c>
      <c r="AT21" t="str">
        <f t="shared" si="38"/>
        <v>00000000</v>
      </c>
      <c r="AU21" t="str">
        <f t="shared" si="38"/>
        <v>00000000</v>
      </c>
      <c r="AV21" t="str">
        <f t="shared" si="38"/>
        <v>00000000</v>
      </c>
      <c r="AW21" t="str">
        <f t="shared" si="38"/>
        <v>00000000</v>
      </c>
      <c r="AX21" t="str">
        <f t="shared" si="38"/>
        <v>00000000</v>
      </c>
      <c r="AY21" t="str">
        <f t="shared" si="38"/>
        <v>00000000</v>
      </c>
      <c r="BA21" t="str">
        <f t="shared" ref="BA21:BK21" si="39">CONCATENATE(BA20,BA19,BA18,BA17,BA16,BA15,BA14,BA13)</f>
        <v>00000000</v>
      </c>
      <c r="BB21" t="str">
        <f t="shared" si="39"/>
        <v>00000000</v>
      </c>
      <c r="BC21" t="str">
        <f t="shared" si="39"/>
        <v>00000000</v>
      </c>
      <c r="BD21" t="str">
        <f t="shared" si="39"/>
        <v>00000000</v>
      </c>
      <c r="BE21" t="str">
        <f t="shared" si="39"/>
        <v>00000000</v>
      </c>
      <c r="BF21" t="str">
        <f t="shared" si="39"/>
        <v>00000000</v>
      </c>
      <c r="BG21" t="str">
        <f t="shared" si="39"/>
        <v>00000000</v>
      </c>
      <c r="BH21" t="str">
        <f t="shared" si="39"/>
        <v>00000000</v>
      </c>
      <c r="BI21" t="str">
        <f t="shared" si="39"/>
        <v>00000000</v>
      </c>
      <c r="BJ21" t="str">
        <f t="shared" si="39"/>
        <v>00000000</v>
      </c>
      <c r="BK21" t="str">
        <f t="shared" si="39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40">CONCATENATE(BIN2HEX(E21,2))</f>
        <v>00</v>
      </c>
      <c r="F22" t="str">
        <f t="shared" si="40"/>
        <v>01</v>
      </c>
      <c r="G22" t="str">
        <f t="shared" si="40"/>
        <v>31</v>
      </c>
      <c r="H22" t="str">
        <f t="shared" si="40"/>
        <v>31</v>
      </c>
      <c r="I22" t="str">
        <f t="shared" si="40"/>
        <v>31</v>
      </c>
      <c r="J22" t="str">
        <f t="shared" si="40"/>
        <v>31</v>
      </c>
      <c r="K22" t="str">
        <f t="shared" si="40"/>
        <v>31</v>
      </c>
      <c r="L22" t="str">
        <f t="shared" si="40"/>
        <v>31</v>
      </c>
      <c r="M22" t="str">
        <f t="shared" si="40"/>
        <v>31</v>
      </c>
      <c r="N22" t="str">
        <f t="shared" si="40"/>
        <v>31</v>
      </c>
      <c r="O22" t="str">
        <f t="shared" si="40"/>
        <v>31</v>
      </c>
      <c r="Q22" t="str">
        <f t="shared" si="40"/>
        <v>CE</v>
      </c>
      <c r="R22" t="str">
        <f t="shared" si="40"/>
        <v>CE</v>
      </c>
      <c r="S22" t="str">
        <f t="shared" si="40"/>
        <v>CE</v>
      </c>
      <c r="T22" t="str">
        <f t="shared" si="40"/>
        <v>CE</v>
      </c>
      <c r="U22" t="str">
        <f t="shared" si="40"/>
        <v>CE</v>
      </c>
      <c r="V22" t="str">
        <f t="shared" si="40"/>
        <v>CE</v>
      </c>
      <c r="W22" t="str">
        <f t="shared" si="40"/>
        <v>CE</v>
      </c>
      <c r="X22" t="str">
        <f t="shared" si="40"/>
        <v>CE</v>
      </c>
      <c r="Y22" t="str">
        <f t="shared" si="40"/>
        <v>CE</v>
      </c>
      <c r="Z22" t="str">
        <f t="shared" si="40"/>
        <v>CE</v>
      </c>
      <c r="AA22" t="str">
        <f t="shared" si="40"/>
        <v>CE</v>
      </c>
      <c r="AC22" t="str">
        <f>CONCATENATE(BIN2HEX(AC21,2))</f>
        <v>48</v>
      </c>
      <c r="AD22" t="str">
        <f t="shared" ref="AD22:AM22" si="41">CONCATENATE(BIN2HEX(AD21,2))</f>
        <v>48</v>
      </c>
      <c r="AE22" t="str">
        <f t="shared" si="41"/>
        <v>48</v>
      </c>
      <c r="AF22" t="str">
        <f t="shared" si="41"/>
        <v>48</v>
      </c>
      <c r="AG22" t="str">
        <f t="shared" si="41"/>
        <v>48</v>
      </c>
      <c r="AH22" t="str">
        <f t="shared" si="41"/>
        <v>48</v>
      </c>
      <c r="AI22" t="str">
        <f t="shared" si="41"/>
        <v>48</v>
      </c>
      <c r="AJ22" t="str">
        <f t="shared" si="41"/>
        <v>48</v>
      </c>
      <c r="AK22" t="str">
        <f t="shared" si="41"/>
        <v>48</v>
      </c>
      <c r="AL22" t="str">
        <f t="shared" si="41"/>
        <v>48</v>
      </c>
      <c r="AM22" t="str">
        <f t="shared" si="41"/>
        <v>48</v>
      </c>
      <c r="AO22" t="str">
        <f t="shared" ref="AO22:AY22" si="42">CONCATENATE(BIN2HEX(AO21,2))</f>
        <v>00</v>
      </c>
      <c r="AP22" t="str">
        <f t="shared" si="42"/>
        <v>00</v>
      </c>
      <c r="AQ22" t="str">
        <f t="shared" si="42"/>
        <v>00</v>
      </c>
      <c r="AR22" t="str">
        <f t="shared" si="42"/>
        <v>00</v>
      </c>
      <c r="AS22" t="str">
        <f t="shared" si="42"/>
        <v>00</v>
      </c>
      <c r="AT22" t="str">
        <f t="shared" si="42"/>
        <v>00</v>
      </c>
      <c r="AU22" t="str">
        <f t="shared" si="42"/>
        <v>00</v>
      </c>
      <c r="AV22" t="str">
        <f t="shared" si="42"/>
        <v>00</v>
      </c>
      <c r="AW22" t="str">
        <f t="shared" si="42"/>
        <v>00</v>
      </c>
      <c r="AX22" t="str">
        <f t="shared" si="42"/>
        <v>00</v>
      </c>
      <c r="AY22" t="str">
        <f t="shared" si="42"/>
        <v>00</v>
      </c>
      <c r="BA22" t="str">
        <f t="shared" ref="BA22:BK22" si="43">CONCATENATE(BIN2HEX(BA21,2))</f>
        <v>00</v>
      </c>
      <c r="BB22" t="str">
        <f t="shared" si="43"/>
        <v>00</v>
      </c>
      <c r="BC22" t="str">
        <f t="shared" si="43"/>
        <v>00</v>
      </c>
      <c r="BD22" t="str">
        <f t="shared" si="43"/>
        <v>00</v>
      </c>
      <c r="BE22" t="str">
        <f t="shared" si="43"/>
        <v>00</v>
      </c>
      <c r="BF22" t="str">
        <f t="shared" si="43"/>
        <v>00</v>
      </c>
      <c r="BG22" t="str">
        <f t="shared" si="43"/>
        <v>00</v>
      </c>
      <c r="BH22" t="str">
        <f t="shared" si="43"/>
        <v>00</v>
      </c>
      <c r="BI22" t="str">
        <f t="shared" si="43"/>
        <v>00</v>
      </c>
      <c r="BJ22" t="str">
        <f t="shared" si="43"/>
        <v>00</v>
      </c>
      <c r="BK22" t="str">
        <f t="shared" si="43"/>
        <v>00</v>
      </c>
    </row>
    <row r="23" spans="1:63" x14ac:dyDescent="0.25">
      <c r="A23" s="2"/>
      <c r="B23" s="2"/>
      <c r="D23" s="13" t="s">
        <v>215</v>
      </c>
      <c r="E23" t="str">
        <f t="shared" ref="E23:O23" si="44">CONCATENATE("0x",E22,E11)</f>
        <v>0x0000</v>
      </c>
      <c r="F23" t="str">
        <f t="shared" si="44"/>
        <v>0x0100</v>
      </c>
      <c r="G23" t="str">
        <f t="shared" si="44"/>
        <v>0x3132</v>
      </c>
      <c r="H23" t="str">
        <f t="shared" si="44"/>
        <v>0x3133</v>
      </c>
      <c r="I23" t="str">
        <f t="shared" si="44"/>
        <v>0x3113</v>
      </c>
      <c r="J23" t="str">
        <f t="shared" si="44"/>
        <v>0x3123</v>
      </c>
      <c r="K23" t="str">
        <f t="shared" si="44"/>
        <v>0x3133</v>
      </c>
      <c r="L23" t="str">
        <f t="shared" si="44"/>
        <v>0x3133</v>
      </c>
      <c r="M23" t="str">
        <f t="shared" si="44"/>
        <v>0x3133</v>
      </c>
      <c r="N23" t="str">
        <f t="shared" si="44"/>
        <v>0x3133</v>
      </c>
      <c r="O23" t="str">
        <f t="shared" si="44"/>
        <v>0x3133</v>
      </c>
      <c r="Q23" t="str">
        <f t="shared" ref="Q23:AA23" si="45">CONCATENATE("0x",Q22,Q11)</f>
        <v>0xCE8C</v>
      </c>
      <c r="R23" t="str">
        <f t="shared" si="45"/>
        <v>0xCE8C</v>
      </c>
      <c r="S23" t="str">
        <f t="shared" si="45"/>
        <v>0xCE8C</v>
      </c>
      <c r="T23" t="str">
        <f t="shared" si="45"/>
        <v>0xCE8C</v>
      </c>
      <c r="U23" t="str">
        <f t="shared" si="45"/>
        <v>0xCE8C</v>
      </c>
      <c r="V23" t="str">
        <f t="shared" si="45"/>
        <v>0xCE8C</v>
      </c>
      <c r="W23" t="str">
        <f t="shared" si="45"/>
        <v>0xCE8C</v>
      </c>
      <c r="X23" t="str">
        <f t="shared" si="45"/>
        <v>0xCE8C</v>
      </c>
      <c r="Y23" t="str">
        <f t="shared" si="45"/>
        <v>0xCE8C</v>
      </c>
      <c r="Z23" t="str">
        <f t="shared" si="45"/>
        <v>0xCE8C</v>
      </c>
      <c r="AA23" t="str">
        <f t="shared" si="45"/>
        <v>0xCE8C</v>
      </c>
      <c r="AC23" t="str">
        <f>CONCATENATE("0x",AC22,AC11)</f>
        <v>0x4808</v>
      </c>
      <c r="AD23" t="str">
        <f t="shared" ref="AD23:BK23" si="46">CONCATENATE("0x",AD22,AD11)</f>
        <v>0x4808</v>
      </c>
      <c r="AE23" t="str">
        <f t="shared" si="46"/>
        <v>0x4808</v>
      </c>
      <c r="AF23" t="str">
        <f t="shared" si="46"/>
        <v>0x4808</v>
      </c>
      <c r="AG23" t="str">
        <f t="shared" si="46"/>
        <v>0x4808</v>
      </c>
      <c r="AH23" t="str">
        <f t="shared" si="46"/>
        <v>0x4808</v>
      </c>
      <c r="AI23" t="str">
        <f t="shared" si="46"/>
        <v>0x4808</v>
      </c>
      <c r="AJ23" t="str">
        <f t="shared" si="46"/>
        <v>0x4808</v>
      </c>
      <c r="AK23" t="str">
        <f t="shared" si="46"/>
        <v>0x4808</v>
      </c>
      <c r="AL23" t="str">
        <f t="shared" si="46"/>
        <v>0x4808</v>
      </c>
      <c r="AM23" t="str">
        <f t="shared" si="46"/>
        <v>0x4808</v>
      </c>
      <c r="AO23" t="str">
        <f t="shared" si="46"/>
        <v>0x0000</v>
      </c>
      <c r="AP23" t="str">
        <f t="shared" si="46"/>
        <v>0x0000</v>
      </c>
      <c r="AQ23" t="str">
        <f t="shared" si="46"/>
        <v>0x0000</v>
      </c>
      <c r="AR23" t="str">
        <f t="shared" si="46"/>
        <v>0x0000</v>
      </c>
      <c r="AS23" t="str">
        <f t="shared" si="46"/>
        <v>0x0000</v>
      </c>
      <c r="AT23" t="str">
        <f t="shared" si="46"/>
        <v>0x0000</v>
      </c>
      <c r="AU23" t="str">
        <f t="shared" si="46"/>
        <v>0x0000</v>
      </c>
      <c r="AV23" t="str">
        <f t="shared" si="46"/>
        <v>0x0000</v>
      </c>
      <c r="AW23" t="str">
        <f t="shared" si="46"/>
        <v>0x0000</v>
      </c>
      <c r="AX23" t="str">
        <f t="shared" si="46"/>
        <v>0x0000</v>
      </c>
      <c r="AY23" t="str">
        <f t="shared" si="46"/>
        <v>0x0000</v>
      </c>
      <c r="BA23" t="str">
        <f t="shared" si="46"/>
        <v>0x0000</v>
      </c>
      <c r="BB23" t="str">
        <f t="shared" si="46"/>
        <v>0x0000</v>
      </c>
      <c r="BC23" t="str">
        <f t="shared" si="46"/>
        <v>0x0000</v>
      </c>
      <c r="BD23" t="str">
        <f t="shared" si="46"/>
        <v>0x0000</v>
      </c>
      <c r="BE23" t="str">
        <f t="shared" si="46"/>
        <v>0x0000</v>
      </c>
      <c r="BF23" t="str">
        <f t="shared" si="46"/>
        <v>0x0000</v>
      </c>
      <c r="BG23" t="str">
        <f t="shared" si="46"/>
        <v>0x0000</v>
      </c>
      <c r="BH23" t="str">
        <f t="shared" si="46"/>
        <v>0x0000</v>
      </c>
      <c r="BI23" t="str">
        <f t="shared" si="46"/>
        <v>0x0000</v>
      </c>
      <c r="BJ23" t="str">
        <f t="shared" si="46"/>
        <v>0x0000</v>
      </c>
      <c r="BK23" t="str">
        <f t="shared" si="46"/>
        <v>0x0000</v>
      </c>
    </row>
    <row r="24" spans="1:63" x14ac:dyDescent="0.25">
      <c r="A24" s="2"/>
      <c r="B24" s="2"/>
      <c r="D24" s="13" t="s">
        <v>216</v>
      </c>
      <c r="E24" t="str">
        <f>Q23</f>
        <v>0xCE8C</v>
      </c>
      <c r="F24" t="str">
        <f>R23</f>
        <v>0xCE8C</v>
      </c>
      <c r="G24" t="str">
        <f t="shared" ref="G24:O24" si="47">S23</f>
        <v>0xCE8C</v>
      </c>
      <c r="H24" t="str">
        <f t="shared" si="47"/>
        <v>0xCE8C</v>
      </c>
      <c r="I24" t="str">
        <f t="shared" si="47"/>
        <v>0xCE8C</v>
      </c>
      <c r="J24" t="str">
        <f t="shared" si="47"/>
        <v>0xCE8C</v>
      </c>
      <c r="K24" t="str">
        <f t="shared" si="47"/>
        <v>0xCE8C</v>
      </c>
      <c r="L24" t="str">
        <f t="shared" si="47"/>
        <v>0xCE8C</v>
      </c>
      <c r="M24" t="str">
        <f t="shared" si="47"/>
        <v>0xCE8C</v>
      </c>
      <c r="N24" t="str">
        <f t="shared" si="47"/>
        <v>0xCE8C</v>
      </c>
      <c r="O24" t="str">
        <f t="shared" si="47"/>
        <v>0xCE8C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0x4808</v>
      </c>
      <c r="F25" t="str">
        <f t="shared" ref="F25:O25" si="48">AD23</f>
        <v>0x4808</v>
      </c>
      <c r="G25" t="str">
        <f t="shared" si="48"/>
        <v>0x4808</v>
      </c>
      <c r="H25" t="str">
        <f t="shared" si="48"/>
        <v>0x4808</v>
      </c>
      <c r="I25" t="str">
        <f t="shared" si="48"/>
        <v>0x4808</v>
      </c>
      <c r="J25" t="str">
        <f t="shared" si="48"/>
        <v>0x4808</v>
      </c>
      <c r="K25" t="str">
        <f t="shared" si="48"/>
        <v>0x4808</v>
      </c>
      <c r="L25" t="str">
        <f t="shared" si="48"/>
        <v>0x4808</v>
      </c>
      <c r="M25" t="str">
        <f t="shared" si="48"/>
        <v>0x4808</v>
      </c>
      <c r="N25" t="str">
        <f t="shared" si="48"/>
        <v>0x4808</v>
      </c>
      <c r="O25" t="str">
        <f t="shared" si="48"/>
        <v>0x4808</v>
      </c>
    </row>
    <row r="26" spans="1:63" x14ac:dyDescent="0.25">
      <c r="A26" s="2" t="s">
        <v>42</v>
      </c>
      <c r="B26" s="2" t="s">
        <v>36</v>
      </c>
      <c r="C26" t="s">
        <v>412</v>
      </c>
      <c r="D26" s="13" t="s">
        <v>209</v>
      </c>
      <c r="E26" t="str">
        <f>AO23</f>
        <v>0x0000</v>
      </c>
      <c r="F26" t="str">
        <f t="shared" ref="F26:O26" si="49">AP23</f>
        <v>0x0000</v>
      </c>
      <c r="G26" t="str">
        <f t="shared" si="49"/>
        <v>0x0000</v>
      </c>
      <c r="H26" t="str">
        <f t="shared" si="49"/>
        <v>0x0000</v>
      </c>
      <c r="I26" t="str">
        <f t="shared" si="49"/>
        <v>0x0000</v>
      </c>
      <c r="J26" t="str">
        <f t="shared" si="49"/>
        <v>0x0000</v>
      </c>
      <c r="K26" t="str">
        <f t="shared" si="49"/>
        <v>0x0000</v>
      </c>
      <c r="L26" t="str">
        <f t="shared" si="49"/>
        <v>0x0000</v>
      </c>
      <c r="M26" t="str">
        <f t="shared" si="49"/>
        <v>0x0000</v>
      </c>
      <c r="N26" t="str">
        <f t="shared" si="49"/>
        <v>0x0000</v>
      </c>
      <c r="O26" t="str">
        <f t="shared" si="49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50">BB23</f>
        <v>0x0000</v>
      </c>
      <c r="G27" t="str">
        <f t="shared" si="50"/>
        <v>0x0000</v>
      </c>
      <c r="H27" t="str">
        <f t="shared" si="50"/>
        <v>0x0000</v>
      </c>
      <c r="I27" t="str">
        <f t="shared" si="50"/>
        <v>0x0000</v>
      </c>
      <c r="J27" t="str">
        <f t="shared" si="50"/>
        <v>0x0000</v>
      </c>
      <c r="K27" t="str">
        <f t="shared" si="50"/>
        <v>0x0000</v>
      </c>
      <c r="L27" t="str">
        <f t="shared" si="50"/>
        <v>0x0000</v>
      </c>
      <c r="M27" t="str">
        <f t="shared" si="50"/>
        <v>0x0000</v>
      </c>
      <c r="N27" t="str">
        <f t="shared" si="50"/>
        <v>0x0000</v>
      </c>
      <c r="O27" t="str">
        <f t="shared" si="50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360</v>
      </c>
    </row>
    <row r="31" spans="1:63" x14ac:dyDescent="0.25">
      <c r="A31" s="4" t="str">
        <f ca="1">CONCATENATE("#",C$26,":",INDIRECT(H33))</f>
        <v>#RadioCard_ILS_Exp1:wartość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0x27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0xCE8C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#RadioCard_ILS_Exp1:etap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0x27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0xCE8C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0x0100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51">INDIRECT(H57)</f>
        <v>0x4808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52">INDIRECT(G58)</f>
        <v>#pins_int</v>
      </c>
      <c r="B58" s="4" t="str">
        <f t="shared" ca="1" si="51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52"/>
        <v>#pins_def_val</v>
      </c>
      <c r="B59" s="4" t="str">
        <f t="shared" ca="1" si="51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#RadioCard_ILS_Exp1:etap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0x27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0xCE8C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0x3132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53">INDIRECT(H77)</f>
        <v>0x4808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54">INDIRECT(G78)</f>
        <v>#pins_int</v>
      </c>
      <c r="B78" s="4" t="str">
        <f t="shared" ca="1" si="53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54"/>
        <v>#pins_def_val</v>
      </c>
      <c r="B79" s="4" t="str">
        <f t="shared" ca="1" si="53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#RadioCard_ILS_Exp1:etap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0x27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0xCE8C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0x3133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55">INDIRECT(H97)</f>
        <v>0x4808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56">INDIRECT(G98)</f>
        <v>#pins_int</v>
      </c>
      <c r="B98" s="4" t="str">
        <f t="shared" ca="1" si="55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56"/>
        <v>#pins_def_val</v>
      </c>
      <c r="B99" s="4" t="str">
        <f t="shared" ca="1" si="55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#RadioCard_ILS_Exp1:etap 4- LMK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0x27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0xCE8C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0x3113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57">INDIRECT(H117)</f>
        <v>0x4808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58">INDIRECT(G118)</f>
        <v>#pins_int</v>
      </c>
      <c r="B118" s="4" t="str">
        <f t="shared" ca="1" si="57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58"/>
        <v>#pins_def_val</v>
      </c>
      <c r="B119" s="4" t="str">
        <f t="shared" ca="1" si="57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#RadioCard_ILS_Exp1:etap 5 LTC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0x27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0xCE8C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0x3123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59">INDIRECT(H137)</f>
        <v>0x4808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60">INDIRECT(G138)</f>
        <v>#pins_int</v>
      </c>
      <c r="B138" s="4" t="str">
        <f t="shared" ca="1" si="59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60"/>
        <v>#pins_def_val</v>
      </c>
      <c r="B139" s="4" t="str">
        <f t="shared" ca="1" si="59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#RadioCard_ILS_Exp1:etap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0x27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0xCE8C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0x3133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61">INDIRECT(H157)</f>
        <v>0x4808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62">INDIRECT(G158)</f>
        <v>#pins_int</v>
      </c>
      <c r="B158" s="4" t="str">
        <f t="shared" ca="1" si="61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62"/>
        <v>#pins_def_val</v>
      </c>
      <c r="B159" s="4" t="str">
        <f t="shared" ca="1" si="61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#RadioCard_ILS_Exp1:etap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0x27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0xCE8C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0x3133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63">INDIRECT(H177)</f>
        <v>0x4808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64">INDIRECT(G178)</f>
        <v>#pins_int</v>
      </c>
      <c r="B178" s="4" t="str">
        <f t="shared" ca="1" si="63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64"/>
        <v>#pins_def_val</v>
      </c>
      <c r="B179" s="4" t="str">
        <f t="shared" ca="1" si="63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#RadioCard_ILS_Exp1:etap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0x27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0xCE8C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0x3133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65">INDIRECT(H197)</f>
        <v>0x4808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66">INDIRECT(G198)</f>
        <v>#pins_int</v>
      </c>
      <c r="B198" s="4" t="str">
        <f t="shared" ca="1" si="65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66"/>
        <v>#pins_def_val</v>
      </c>
      <c r="B199" s="4" t="str">
        <f t="shared" ca="1" si="65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#RadioCard_ILS_Exp1:etap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0x27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0xCE8C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0x3133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67">INDIRECT(H217)</f>
        <v>0x4808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68">INDIRECT(G218)</f>
        <v>#pins_int</v>
      </c>
      <c r="B218" s="4" t="str">
        <f t="shared" ca="1" si="67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68"/>
        <v>#pins_def_val</v>
      </c>
      <c r="B219" s="4" t="str">
        <f t="shared" ca="1" si="67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#RadioCard_ILS_Exp1:etap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0x27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0xCE8C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0x3133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69">INDIRECT(H237)</f>
        <v>0x4808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70">INDIRECT(G238)</f>
        <v>#pins_int</v>
      </c>
      <c r="B238" s="4" t="str">
        <f t="shared" ca="1" si="69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70"/>
        <v>#pins_def_val</v>
      </c>
      <c r="B239" s="4" t="str">
        <f t="shared" ca="1" si="69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4" priority="1" stopIfTrue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C56"/>
  <sheetViews>
    <sheetView topLeftCell="A29" workbookViewId="0">
      <selection activeCell="B55" sqref="B55"/>
    </sheetView>
  </sheetViews>
  <sheetFormatPr defaultRowHeight="15" x14ac:dyDescent="0.25"/>
  <cols>
    <col min="1" max="1" width="20.85546875" bestFit="1" customWidth="1"/>
    <col min="2" max="2" width="23.42578125" customWidth="1"/>
  </cols>
  <sheetData>
    <row r="26" spans="1:3" x14ac:dyDescent="0.25">
      <c r="A26" s="2" t="s">
        <v>42</v>
      </c>
      <c r="B26" s="2" t="s">
        <v>419</v>
      </c>
      <c r="C26" t="s">
        <v>225</v>
      </c>
    </row>
    <row r="31" spans="1:3" x14ac:dyDescent="0.25">
      <c r="A31" t="s">
        <v>420</v>
      </c>
    </row>
    <row r="32" spans="1:3" x14ac:dyDescent="0.25">
      <c r="A32" t="s">
        <v>208</v>
      </c>
      <c r="B32" t="s">
        <v>415</v>
      </c>
    </row>
    <row r="33" spans="1:2" x14ac:dyDescent="0.25">
      <c r="A33" t="s">
        <v>226</v>
      </c>
      <c r="B33" t="s">
        <v>228</v>
      </c>
    </row>
    <row r="34" spans="1:2" x14ac:dyDescent="0.25">
      <c r="A34" t="s">
        <v>227</v>
      </c>
      <c r="B34" t="s">
        <v>413</v>
      </c>
    </row>
    <row r="36" spans="1:2" x14ac:dyDescent="0.25">
      <c r="A36" t="s">
        <v>212</v>
      </c>
      <c r="B36">
        <v>10</v>
      </c>
    </row>
    <row r="51" spans="1:2" x14ac:dyDescent="0.25">
      <c r="A51" t="s">
        <v>421</v>
      </c>
      <c r="B51" t="s">
        <v>231</v>
      </c>
    </row>
    <row r="52" spans="1:2" x14ac:dyDescent="0.25">
      <c r="A52" t="s">
        <v>208</v>
      </c>
      <c r="B52" t="s">
        <v>414</v>
      </c>
    </row>
    <row r="53" spans="1:2" x14ac:dyDescent="0.25">
      <c r="A53" t="s">
        <v>226</v>
      </c>
      <c r="B53" t="s">
        <v>228</v>
      </c>
    </row>
    <row r="54" spans="1:2" x14ac:dyDescent="0.25">
      <c r="A54" t="s">
        <v>227</v>
      </c>
      <c r="B54" t="s">
        <v>438</v>
      </c>
    </row>
    <row r="56" spans="1:2" x14ac:dyDescent="0.25">
      <c r="A56" t="s">
        <v>212</v>
      </c>
      <c r="B56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C56"/>
  <sheetViews>
    <sheetView topLeftCell="A20" workbookViewId="0">
      <selection activeCell="B35" sqref="B35"/>
    </sheetView>
  </sheetViews>
  <sheetFormatPr defaultRowHeight="15" x14ac:dyDescent="0.25"/>
  <cols>
    <col min="1" max="1" width="20.85546875" bestFit="1" customWidth="1"/>
    <col min="2" max="2" width="23.42578125" customWidth="1"/>
  </cols>
  <sheetData>
    <row r="26" spans="1:3" x14ac:dyDescent="0.25">
      <c r="A26" s="2" t="s">
        <v>42</v>
      </c>
      <c r="B26" s="2" t="s">
        <v>419</v>
      </c>
      <c r="C26" t="s">
        <v>225</v>
      </c>
    </row>
    <row r="31" spans="1:3" x14ac:dyDescent="0.25">
      <c r="A31" t="s">
        <v>434</v>
      </c>
    </row>
    <row r="32" spans="1:3" x14ac:dyDescent="0.25">
      <c r="A32" t="s">
        <v>208</v>
      </c>
      <c r="B32" t="s">
        <v>415</v>
      </c>
    </row>
    <row r="33" spans="1:2" x14ac:dyDescent="0.25">
      <c r="A33" t="s">
        <v>226</v>
      </c>
      <c r="B33" t="s">
        <v>228</v>
      </c>
    </row>
    <row r="34" spans="1:2" x14ac:dyDescent="0.25">
      <c r="A34" t="s">
        <v>227</v>
      </c>
      <c r="B34" t="s">
        <v>437</v>
      </c>
    </row>
    <row r="36" spans="1:2" x14ac:dyDescent="0.25">
      <c r="A36" t="s">
        <v>212</v>
      </c>
      <c r="B36">
        <v>10</v>
      </c>
    </row>
    <row r="51" spans="1:2" x14ac:dyDescent="0.25">
      <c r="A51" t="s">
        <v>435</v>
      </c>
      <c r="B51" t="s">
        <v>231</v>
      </c>
    </row>
    <row r="52" spans="1:2" x14ac:dyDescent="0.25">
      <c r="A52" t="s">
        <v>208</v>
      </c>
      <c r="B52" t="s">
        <v>414</v>
      </c>
    </row>
    <row r="53" spans="1:2" x14ac:dyDescent="0.25">
      <c r="A53" t="s">
        <v>226</v>
      </c>
      <c r="B53" t="s">
        <v>228</v>
      </c>
    </row>
    <row r="54" spans="1:2" x14ac:dyDescent="0.25">
      <c r="A54" t="s">
        <v>227</v>
      </c>
      <c r="B54" t="s">
        <v>436</v>
      </c>
    </row>
    <row r="56" spans="1:2" x14ac:dyDescent="0.25">
      <c r="A56" t="s">
        <v>212</v>
      </c>
      <c r="B56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G14" sqref="G14"/>
    </sheetView>
  </sheetViews>
  <sheetFormatPr defaultRowHeight="15" x14ac:dyDescent="0.25"/>
  <cols>
    <col min="1" max="1" width="18.5703125" customWidth="1"/>
    <col min="3" max="3" width="23.42578125" bestFit="1" customWidth="1"/>
    <col min="4" max="4" width="47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0" t="s">
        <v>290</v>
      </c>
      <c r="C2"/>
      <c r="D2"/>
      <c r="E2" s="10">
        <v>0</v>
      </c>
      <c r="F2" s="10">
        <f t="shared" ref="F2:O9" si="0">E2</f>
        <v>0</v>
      </c>
      <c r="G2" s="10">
        <f t="shared" si="0"/>
        <v>0</v>
      </c>
      <c r="H2" s="10">
        <f t="shared" si="0"/>
        <v>0</v>
      </c>
      <c r="I2" s="10">
        <f t="shared" si="0"/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Q2" s="10">
        <v>1</v>
      </c>
      <c r="R2" s="10">
        <f>Q2</f>
        <v>1</v>
      </c>
      <c r="S2" s="10">
        <f t="shared" ref="S2:AA2" si="1">R2</f>
        <v>1</v>
      </c>
      <c r="T2" s="10">
        <f t="shared" si="1"/>
        <v>1</v>
      </c>
      <c r="U2" s="10">
        <f t="shared" si="1"/>
        <v>1</v>
      </c>
      <c r="V2" s="10">
        <f t="shared" si="1"/>
        <v>1</v>
      </c>
      <c r="W2" s="10">
        <f t="shared" si="1"/>
        <v>1</v>
      </c>
      <c r="X2" s="10">
        <f t="shared" si="1"/>
        <v>1</v>
      </c>
      <c r="Y2" s="10">
        <f t="shared" si="1"/>
        <v>1</v>
      </c>
      <c r="Z2" s="10">
        <f t="shared" si="1"/>
        <v>1</v>
      </c>
      <c r="AA2" s="10">
        <f t="shared" si="1"/>
        <v>1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0" t="s">
        <v>291</v>
      </c>
      <c r="C3"/>
      <c r="D3"/>
      <c r="E3" s="10">
        <v>0</v>
      </c>
      <c r="F3" s="10">
        <f t="shared" si="0"/>
        <v>0</v>
      </c>
      <c r="G3" s="10">
        <f t="shared" si="0"/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0">
        <f t="shared" si="0"/>
        <v>0</v>
      </c>
      <c r="O3" s="10">
        <f t="shared" si="0"/>
        <v>0</v>
      </c>
      <c r="Q3" s="10">
        <v>1</v>
      </c>
      <c r="R3" s="10">
        <f t="shared" ref="R3:AA9" si="5">Q3</f>
        <v>1</v>
      </c>
      <c r="S3" s="10">
        <f t="shared" si="5"/>
        <v>1</v>
      </c>
      <c r="T3" s="10">
        <f t="shared" si="5"/>
        <v>1</v>
      </c>
      <c r="U3" s="10">
        <f t="shared" si="5"/>
        <v>1</v>
      </c>
      <c r="V3" s="10">
        <f t="shared" si="5"/>
        <v>1</v>
      </c>
      <c r="W3" s="10">
        <f t="shared" si="5"/>
        <v>1</v>
      </c>
      <c r="X3" s="10">
        <f t="shared" si="5"/>
        <v>1</v>
      </c>
      <c r="Y3" s="10">
        <f t="shared" si="5"/>
        <v>1</v>
      </c>
      <c r="Z3" s="10">
        <f t="shared" si="5"/>
        <v>1</v>
      </c>
      <c r="AA3" s="10">
        <f t="shared" si="5"/>
        <v>1</v>
      </c>
      <c r="AC3" s="10">
        <v>0</v>
      </c>
      <c r="AD3" s="10">
        <f t="shared" ref="AD3:AM9" si="6">AC3</f>
        <v>0</v>
      </c>
      <c r="AE3" s="10">
        <f t="shared" si="6"/>
        <v>0</v>
      </c>
      <c r="AF3" s="10">
        <f t="shared" si="6"/>
        <v>0</v>
      </c>
      <c r="AG3" s="10">
        <f t="shared" si="6"/>
        <v>0</v>
      </c>
      <c r="AH3" s="10">
        <f t="shared" si="6"/>
        <v>0</v>
      </c>
      <c r="AI3" s="10">
        <f t="shared" si="6"/>
        <v>0</v>
      </c>
      <c r="AJ3" s="10">
        <f t="shared" si="6"/>
        <v>0</v>
      </c>
      <c r="AK3" s="10">
        <f t="shared" si="6"/>
        <v>0</v>
      </c>
      <c r="AL3" s="10">
        <f t="shared" si="6"/>
        <v>0</v>
      </c>
      <c r="AM3" s="10">
        <f t="shared" si="6"/>
        <v>0</v>
      </c>
      <c r="AO3" s="10">
        <v>0</v>
      </c>
      <c r="AP3" s="10">
        <f t="shared" ref="AP3:AY9" si="7">AO3</f>
        <v>0</v>
      </c>
      <c r="AQ3" s="10">
        <f t="shared" si="7"/>
        <v>0</v>
      </c>
      <c r="AR3" s="10">
        <f t="shared" si="7"/>
        <v>0</v>
      </c>
      <c r="AS3" s="10">
        <f t="shared" si="7"/>
        <v>0</v>
      </c>
      <c r="AT3" s="10">
        <f t="shared" si="7"/>
        <v>0</v>
      </c>
      <c r="AU3" s="10">
        <f t="shared" si="7"/>
        <v>0</v>
      </c>
      <c r="AV3" s="10">
        <f t="shared" si="7"/>
        <v>0</v>
      </c>
      <c r="AW3" s="10">
        <f t="shared" si="7"/>
        <v>0</v>
      </c>
      <c r="AX3" s="10">
        <f t="shared" si="7"/>
        <v>0</v>
      </c>
      <c r="AY3" s="10">
        <f t="shared" si="7"/>
        <v>0</v>
      </c>
      <c r="BA3" s="10">
        <v>0</v>
      </c>
      <c r="BB3" s="10">
        <f t="shared" ref="BB3:BK9" si="8">BA3</f>
        <v>0</v>
      </c>
      <c r="BC3" s="10">
        <f t="shared" si="8"/>
        <v>0</v>
      </c>
      <c r="BD3" s="10">
        <f t="shared" si="8"/>
        <v>0</v>
      </c>
      <c r="BE3" s="10">
        <f t="shared" si="8"/>
        <v>0</v>
      </c>
      <c r="BF3" s="10">
        <f t="shared" si="8"/>
        <v>0</v>
      </c>
      <c r="BG3" s="10">
        <f t="shared" si="8"/>
        <v>0</v>
      </c>
      <c r="BH3" s="10">
        <f t="shared" si="8"/>
        <v>0</v>
      </c>
      <c r="BI3" s="10">
        <f t="shared" si="8"/>
        <v>0</v>
      </c>
      <c r="BJ3" s="10">
        <f t="shared" si="8"/>
        <v>0</v>
      </c>
      <c r="BK3" s="10">
        <f t="shared" si="8"/>
        <v>0</v>
      </c>
    </row>
    <row r="4" spans="1:63" s="10" customFormat="1" x14ac:dyDescent="0.25">
      <c r="A4" s="11"/>
      <c r="B4" s="10" t="s">
        <v>292</v>
      </c>
      <c r="C4"/>
      <c r="D4"/>
      <c r="E4" s="10">
        <v>0</v>
      </c>
      <c r="F4" s="10">
        <f t="shared" si="0"/>
        <v>0</v>
      </c>
      <c r="G4" s="10">
        <f t="shared" si="0"/>
        <v>0</v>
      </c>
      <c r="H4" s="10">
        <f t="shared" si="0"/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10">
        <f t="shared" si="0"/>
        <v>0</v>
      </c>
      <c r="O4" s="10">
        <f t="shared" si="0"/>
        <v>0</v>
      </c>
      <c r="Q4" s="10">
        <v>1</v>
      </c>
      <c r="R4" s="10">
        <f t="shared" si="5"/>
        <v>1</v>
      </c>
      <c r="S4" s="10">
        <f t="shared" si="5"/>
        <v>1</v>
      </c>
      <c r="T4" s="10">
        <f t="shared" si="5"/>
        <v>1</v>
      </c>
      <c r="U4" s="10">
        <f t="shared" si="5"/>
        <v>1</v>
      </c>
      <c r="V4" s="10">
        <f t="shared" si="5"/>
        <v>1</v>
      </c>
      <c r="W4" s="10">
        <f t="shared" si="5"/>
        <v>1</v>
      </c>
      <c r="X4" s="10">
        <f t="shared" si="5"/>
        <v>1</v>
      </c>
      <c r="Y4" s="10">
        <f t="shared" si="5"/>
        <v>1</v>
      </c>
      <c r="Z4" s="10">
        <f t="shared" si="5"/>
        <v>1</v>
      </c>
      <c r="AA4" s="10">
        <f t="shared" si="5"/>
        <v>1</v>
      </c>
      <c r="AC4" s="10">
        <v>0</v>
      </c>
      <c r="AD4" s="10">
        <f t="shared" si="6"/>
        <v>0</v>
      </c>
      <c r="AE4" s="10">
        <f t="shared" si="6"/>
        <v>0</v>
      </c>
      <c r="AF4" s="10">
        <f t="shared" si="6"/>
        <v>0</v>
      </c>
      <c r="AG4" s="10">
        <f t="shared" si="6"/>
        <v>0</v>
      </c>
      <c r="AH4" s="10">
        <f t="shared" si="6"/>
        <v>0</v>
      </c>
      <c r="AI4" s="10">
        <f t="shared" si="6"/>
        <v>0</v>
      </c>
      <c r="AJ4" s="10">
        <f t="shared" si="6"/>
        <v>0</v>
      </c>
      <c r="AK4" s="10">
        <f t="shared" si="6"/>
        <v>0</v>
      </c>
      <c r="AL4" s="10">
        <f t="shared" si="6"/>
        <v>0</v>
      </c>
      <c r="AM4" s="10">
        <f t="shared" si="6"/>
        <v>0</v>
      </c>
      <c r="AO4" s="10">
        <v>0</v>
      </c>
      <c r="AP4" s="10">
        <f t="shared" si="7"/>
        <v>0</v>
      </c>
      <c r="AQ4" s="10">
        <f t="shared" si="7"/>
        <v>0</v>
      </c>
      <c r="AR4" s="10">
        <f t="shared" si="7"/>
        <v>0</v>
      </c>
      <c r="AS4" s="10">
        <f t="shared" si="7"/>
        <v>0</v>
      </c>
      <c r="AT4" s="10">
        <f t="shared" si="7"/>
        <v>0</v>
      </c>
      <c r="AU4" s="10">
        <f t="shared" si="7"/>
        <v>0</v>
      </c>
      <c r="AV4" s="10">
        <f t="shared" si="7"/>
        <v>0</v>
      </c>
      <c r="AW4" s="10">
        <f t="shared" si="7"/>
        <v>0</v>
      </c>
      <c r="AX4" s="10">
        <f t="shared" si="7"/>
        <v>0</v>
      </c>
      <c r="AY4" s="10">
        <f t="shared" si="7"/>
        <v>0</v>
      </c>
      <c r="BA4" s="10">
        <v>0</v>
      </c>
      <c r="BB4" s="10">
        <f t="shared" si="8"/>
        <v>0</v>
      </c>
      <c r="BC4" s="10">
        <f t="shared" si="8"/>
        <v>0</v>
      </c>
      <c r="BD4" s="10">
        <f t="shared" si="8"/>
        <v>0</v>
      </c>
      <c r="BE4" s="10">
        <f t="shared" si="8"/>
        <v>0</v>
      </c>
      <c r="BF4" s="10">
        <f t="shared" si="8"/>
        <v>0</v>
      </c>
      <c r="BG4" s="10">
        <f t="shared" si="8"/>
        <v>0</v>
      </c>
      <c r="BH4" s="10">
        <f t="shared" si="8"/>
        <v>0</v>
      </c>
      <c r="BI4" s="10">
        <f t="shared" si="8"/>
        <v>0</v>
      </c>
      <c r="BJ4" s="10">
        <f t="shared" si="8"/>
        <v>0</v>
      </c>
      <c r="BK4" s="10">
        <f t="shared" si="8"/>
        <v>0</v>
      </c>
    </row>
    <row r="5" spans="1:63" s="10" customFormat="1" x14ac:dyDescent="0.25">
      <c r="A5" s="11"/>
      <c r="B5" s="10" t="s">
        <v>293</v>
      </c>
      <c r="C5"/>
      <c r="D5"/>
      <c r="E5" s="10"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 t="shared" si="0"/>
        <v>0</v>
      </c>
      <c r="Q5" s="10">
        <v>1</v>
      </c>
      <c r="R5" s="10">
        <f t="shared" si="5"/>
        <v>1</v>
      </c>
      <c r="S5" s="10">
        <f t="shared" si="5"/>
        <v>1</v>
      </c>
      <c r="T5" s="10">
        <f t="shared" si="5"/>
        <v>1</v>
      </c>
      <c r="U5" s="10">
        <f t="shared" si="5"/>
        <v>1</v>
      </c>
      <c r="V5" s="10">
        <f t="shared" si="5"/>
        <v>1</v>
      </c>
      <c r="W5" s="10">
        <f t="shared" si="5"/>
        <v>1</v>
      </c>
      <c r="X5" s="10">
        <f t="shared" si="5"/>
        <v>1</v>
      </c>
      <c r="Y5" s="10">
        <f t="shared" si="5"/>
        <v>1</v>
      </c>
      <c r="Z5" s="10">
        <f t="shared" si="5"/>
        <v>1</v>
      </c>
      <c r="AA5" s="10">
        <f t="shared" si="5"/>
        <v>1</v>
      </c>
      <c r="AC5" s="10">
        <v>0</v>
      </c>
      <c r="AD5" s="10">
        <f t="shared" si="6"/>
        <v>0</v>
      </c>
      <c r="AE5" s="10">
        <f t="shared" si="6"/>
        <v>0</v>
      </c>
      <c r="AF5" s="10">
        <f t="shared" si="6"/>
        <v>0</v>
      </c>
      <c r="AG5" s="10">
        <f t="shared" si="6"/>
        <v>0</v>
      </c>
      <c r="AH5" s="10">
        <f t="shared" si="6"/>
        <v>0</v>
      </c>
      <c r="AI5" s="10">
        <f t="shared" si="6"/>
        <v>0</v>
      </c>
      <c r="AJ5" s="10">
        <f t="shared" si="6"/>
        <v>0</v>
      </c>
      <c r="AK5" s="10">
        <f t="shared" si="6"/>
        <v>0</v>
      </c>
      <c r="AL5" s="10">
        <f t="shared" si="6"/>
        <v>0</v>
      </c>
      <c r="AM5" s="10">
        <f t="shared" si="6"/>
        <v>0</v>
      </c>
      <c r="AO5" s="10">
        <v>0</v>
      </c>
      <c r="AP5" s="10">
        <f t="shared" si="7"/>
        <v>0</v>
      </c>
      <c r="AQ5" s="10">
        <f t="shared" si="7"/>
        <v>0</v>
      </c>
      <c r="AR5" s="10">
        <f t="shared" si="7"/>
        <v>0</v>
      </c>
      <c r="AS5" s="10">
        <f t="shared" si="7"/>
        <v>0</v>
      </c>
      <c r="AT5" s="10">
        <f t="shared" si="7"/>
        <v>0</v>
      </c>
      <c r="AU5" s="10">
        <f t="shared" si="7"/>
        <v>0</v>
      </c>
      <c r="AV5" s="10">
        <f t="shared" si="7"/>
        <v>0</v>
      </c>
      <c r="AW5" s="10">
        <f t="shared" si="7"/>
        <v>0</v>
      </c>
      <c r="AX5" s="10">
        <f t="shared" si="7"/>
        <v>0</v>
      </c>
      <c r="AY5" s="10">
        <f t="shared" si="7"/>
        <v>0</v>
      </c>
      <c r="BA5" s="10">
        <v>0</v>
      </c>
      <c r="BB5" s="10">
        <f t="shared" si="8"/>
        <v>0</v>
      </c>
      <c r="BC5" s="10">
        <f t="shared" si="8"/>
        <v>0</v>
      </c>
      <c r="BD5" s="10">
        <f t="shared" si="8"/>
        <v>0</v>
      </c>
      <c r="BE5" s="10">
        <f t="shared" si="8"/>
        <v>0</v>
      </c>
      <c r="BF5" s="10">
        <f t="shared" si="8"/>
        <v>0</v>
      </c>
      <c r="BG5" s="10">
        <f t="shared" si="8"/>
        <v>0</v>
      </c>
      <c r="BH5" s="10">
        <f t="shared" si="8"/>
        <v>0</v>
      </c>
      <c r="BI5" s="10">
        <f t="shared" si="8"/>
        <v>0</v>
      </c>
      <c r="BJ5" s="10">
        <f t="shared" si="8"/>
        <v>0</v>
      </c>
      <c r="BK5" s="10">
        <f t="shared" si="8"/>
        <v>0</v>
      </c>
    </row>
    <row r="6" spans="1:63" s="10" customFormat="1" x14ac:dyDescent="0.25">
      <c r="A6" s="11"/>
      <c r="B6" s="10" t="s">
        <v>294</v>
      </c>
      <c r="C6"/>
      <c r="D6"/>
      <c r="E6" s="10">
        <v>0</v>
      </c>
      <c r="F6" s="10">
        <f t="shared" si="0"/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>
        <f t="shared" si="0"/>
        <v>0</v>
      </c>
      <c r="N6" s="10">
        <f t="shared" si="0"/>
        <v>0</v>
      </c>
      <c r="O6" s="10">
        <f t="shared" si="0"/>
        <v>0</v>
      </c>
      <c r="Q6" s="10">
        <v>1</v>
      </c>
      <c r="R6" s="10">
        <f t="shared" si="5"/>
        <v>1</v>
      </c>
      <c r="S6" s="10">
        <f t="shared" si="5"/>
        <v>1</v>
      </c>
      <c r="T6" s="10">
        <f t="shared" si="5"/>
        <v>1</v>
      </c>
      <c r="U6" s="10">
        <f t="shared" si="5"/>
        <v>1</v>
      </c>
      <c r="V6" s="10">
        <f t="shared" si="5"/>
        <v>1</v>
      </c>
      <c r="W6" s="10">
        <f t="shared" si="5"/>
        <v>1</v>
      </c>
      <c r="X6" s="10">
        <f t="shared" si="5"/>
        <v>1</v>
      </c>
      <c r="Y6" s="10">
        <f t="shared" si="5"/>
        <v>1</v>
      </c>
      <c r="Z6" s="10">
        <f t="shared" si="5"/>
        <v>1</v>
      </c>
      <c r="AA6" s="10">
        <f t="shared" si="5"/>
        <v>1</v>
      </c>
      <c r="AC6" s="10">
        <v>0</v>
      </c>
      <c r="AD6" s="10">
        <f t="shared" si="6"/>
        <v>0</v>
      </c>
      <c r="AE6" s="10">
        <f t="shared" si="6"/>
        <v>0</v>
      </c>
      <c r="AF6" s="10">
        <f t="shared" si="6"/>
        <v>0</v>
      </c>
      <c r="AG6" s="10">
        <f t="shared" si="6"/>
        <v>0</v>
      </c>
      <c r="AH6" s="10">
        <f t="shared" si="6"/>
        <v>0</v>
      </c>
      <c r="AI6" s="10">
        <f t="shared" si="6"/>
        <v>0</v>
      </c>
      <c r="AJ6" s="10">
        <f t="shared" si="6"/>
        <v>0</v>
      </c>
      <c r="AK6" s="10">
        <f t="shared" si="6"/>
        <v>0</v>
      </c>
      <c r="AL6" s="10">
        <f t="shared" si="6"/>
        <v>0</v>
      </c>
      <c r="AM6" s="10">
        <f t="shared" si="6"/>
        <v>0</v>
      </c>
      <c r="AO6" s="10">
        <v>0</v>
      </c>
      <c r="AP6" s="10">
        <f t="shared" si="7"/>
        <v>0</v>
      </c>
      <c r="AQ6" s="10">
        <f t="shared" si="7"/>
        <v>0</v>
      </c>
      <c r="AR6" s="10">
        <f t="shared" si="7"/>
        <v>0</v>
      </c>
      <c r="AS6" s="10">
        <f t="shared" si="7"/>
        <v>0</v>
      </c>
      <c r="AT6" s="10">
        <f t="shared" si="7"/>
        <v>0</v>
      </c>
      <c r="AU6" s="10">
        <f t="shared" si="7"/>
        <v>0</v>
      </c>
      <c r="AV6" s="10">
        <f t="shared" si="7"/>
        <v>0</v>
      </c>
      <c r="AW6" s="10">
        <f t="shared" si="7"/>
        <v>0</v>
      </c>
      <c r="AX6" s="10">
        <f t="shared" si="7"/>
        <v>0</v>
      </c>
      <c r="AY6" s="10">
        <f t="shared" si="7"/>
        <v>0</v>
      </c>
      <c r="BA6" s="10">
        <v>0</v>
      </c>
      <c r="BB6" s="10">
        <f t="shared" si="8"/>
        <v>0</v>
      </c>
      <c r="BC6" s="10">
        <f t="shared" si="8"/>
        <v>0</v>
      </c>
      <c r="BD6" s="10">
        <f t="shared" si="8"/>
        <v>0</v>
      </c>
      <c r="BE6" s="10">
        <f t="shared" si="8"/>
        <v>0</v>
      </c>
      <c r="BF6" s="10">
        <f t="shared" si="8"/>
        <v>0</v>
      </c>
      <c r="BG6" s="10">
        <f t="shared" si="8"/>
        <v>0</v>
      </c>
      <c r="BH6" s="10">
        <f t="shared" si="8"/>
        <v>0</v>
      </c>
      <c r="BI6" s="10">
        <f t="shared" si="8"/>
        <v>0</v>
      </c>
      <c r="BJ6" s="10">
        <f t="shared" si="8"/>
        <v>0</v>
      </c>
      <c r="BK6" s="10">
        <f t="shared" si="8"/>
        <v>0</v>
      </c>
    </row>
    <row r="7" spans="1:63" s="10" customFormat="1" x14ac:dyDescent="0.25">
      <c r="A7" s="11"/>
      <c r="B7" s="10" t="s">
        <v>295</v>
      </c>
      <c r="C7"/>
      <c r="D7"/>
      <c r="E7" s="10"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10">
        <f t="shared" si="0"/>
        <v>0</v>
      </c>
      <c r="K7" s="10">
        <f t="shared" si="0"/>
        <v>0</v>
      </c>
      <c r="L7" s="10">
        <f t="shared" si="0"/>
        <v>0</v>
      </c>
      <c r="M7" s="10">
        <f t="shared" si="0"/>
        <v>0</v>
      </c>
      <c r="N7" s="10">
        <f t="shared" si="0"/>
        <v>0</v>
      </c>
      <c r="O7" s="10">
        <f t="shared" si="0"/>
        <v>0</v>
      </c>
      <c r="Q7" s="10">
        <v>1</v>
      </c>
      <c r="R7" s="10">
        <f t="shared" si="5"/>
        <v>1</v>
      </c>
      <c r="S7" s="10">
        <f t="shared" si="5"/>
        <v>1</v>
      </c>
      <c r="T7" s="10">
        <f t="shared" si="5"/>
        <v>1</v>
      </c>
      <c r="U7" s="10">
        <f t="shared" si="5"/>
        <v>1</v>
      </c>
      <c r="V7" s="10">
        <f t="shared" si="5"/>
        <v>1</v>
      </c>
      <c r="W7" s="10">
        <f t="shared" si="5"/>
        <v>1</v>
      </c>
      <c r="X7" s="10">
        <f t="shared" si="5"/>
        <v>1</v>
      </c>
      <c r="Y7" s="10">
        <f t="shared" si="5"/>
        <v>1</v>
      </c>
      <c r="Z7" s="10">
        <f t="shared" si="5"/>
        <v>1</v>
      </c>
      <c r="AA7" s="10">
        <f t="shared" si="5"/>
        <v>1</v>
      </c>
      <c r="AC7" s="10">
        <v>0</v>
      </c>
      <c r="AD7" s="10">
        <f t="shared" si="6"/>
        <v>0</v>
      </c>
      <c r="AE7" s="10">
        <f t="shared" si="6"/>
        <v>0</v>
      </c>
      <c r="AF7" s="10">
        <f t="shared" si="6"/>
        <v>0</v>
      </c>
      <c r="AG7" s="10">
        <f t="shared" si="6"/>
        <v>0</v>
      </c>
      <c r="AH7" s="10">
        <f t="shared" si="6"/>
        <v>0</v>
      </c>
      <c r="AI7" s="10">
        <f t="shared" si="6"/>
        <v>0</v>
      </c>
      <c r="AJ7" s="10">
        <f t="shared" si="6"/>
        <v>0</v>
      </c>
      <c r="AK7" s="10">
        <f t="shared" si="6"/>
        <v>0</v>
      </c>
      <c r="AL7" s="10">
        <f t="shared" si="6"/>
        <v>0</v>
      </c>
      <c r="AM7" s="10">
        <f t="shared" si="6"/>
        <v>0</v>
      </c>
      <c r="AO7" s="10">
        <v>0</v>
      </c>
      <c r="AP7" s="10">
        <f t="shared" si="7"/>
        <v>0</v>
      </c>
      <c r="AQ7" s="10">
        <f t="shared" si="7"/>
        <v>0</v>
      </c>
      <c r="AR7" s="10">
        <f t="shared" si="7"/>
        <v>0</v>
      </c>
      <c r="AS7" s="10">
        <f t="shared" si="7"/>
        <v>0</v>
      </c>
      <c r="AT7" s="10">
        <f t="shared" si="7"/>
        <v>0</v>
      </c>
      <c r="AU7" s="10">
        <f t="shared" si="7"/>
        <v>0</v>
      </c>
      <c r="AV7" s="10">
        <f t="shared" si="7"/>
        <v>0</v>
      </c>
      <c r="AW7" s="10">
        <f t="shared" si="7"/>
        <v>0</v>
      </c>
      <c r="AX7" s="10">
        <f t="shared" si="7"/>
        <v>0</v>
      </c>
      <c r="AY7" s="10">
        <f t="shared" si="7"/>
        <v>0</v>
      </c>
      <c r="BA7" s="10">
        <v>0</v>
      </c>
      <c r="BB7" s="10">
        <f t="shared" si="8"/>
        <v>0</v>
      </c>
      <c r="BC7" s="10">
        <f t="shared" si="8"/>
        <v>0</v>
      </c>
      <c r="BD7" s="10">
        <f t="shared" si="8"/>
        <v>0</v>
      </c>
      <c r="BE7" s="10">
        <f t="shared" si="8"/>
        <v>0</v>
      </c>
      <c r="BF7" s="10">
        <f t="shared" si="8"/>
        <v>0</v>
      </c>
      <c r="BG7" s="10">
        <f t="shared" si="8"/>
        <v>0</v>
      </c>
      <c r="BH7" s="10">
        <f t="shared" si="8"/>
        <v>0</v>
      </c>
      <c r="BI7" s="10">
        <f t="shared" si="8"/>
        <v>0</v>
      </c>
      <c r="BJ7" s="10">
        <f t="shared" si="8"/>
        <v>0</v>
      </c>
      <c r="BK7" s="10">
        <f t="shared" si="8"/>
        <v>0</v>
      </c>
    </row>
    <row r="8" spans="1:63" s="10" customFormat="1" x14ac:dyDescent="0.25">
      <c r="A8" s="11"/>
      <c r="B8" s="10" t="s">
        <v>296</v>
      </c>
      <c r="C8"/>
      <c r="D8"/>
      <c r="E8" s="10"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0">
        <f t="shared" si="0"/>
        <v>0</v>
      </c>
      <c r="Q8" s="10">
        <v>1</v>
      </c>
      <c r="R8" s="10">
        <f t="shared" si="5"/>
        <v>1</v>
      </c>
      <c r="S8" s="10">
        <f t="shared" si="5"/>
        <v>1</v>
      </c>
      <c r="T8" s="10">
        <f t="shared" si="5"/>
        <v>1</v>
      </c>
      <c r="U8" s="10">
        <f t="shared" si="5"/>
        <v>1</v>
      </c>
      <c r="V8" s="10">
        <f t="shared" si="5"/>
        <v>1</v>
      </c>
      <c r="W8" s="10">
        <f t="shared" si="5"/>
        <v>1</v>
      </c>
      <c r="X8" s="10">
        <f t="shared" si="5"/>
        <v>1</v>
      </c>
      <c r="Y8" s="10">
        <f t="shared" si="5"/>
        <v>1</v>
      </c>
      <c r="Z8" s="10">
        <f t="shared" si="5"/>
        <v>1</v>
      </c>
      <c r="AA8" s="10">
        <f t="shared" si="5"/>
        <v>1</v>
      </c>
      <c r="AC8" s="10">
        <v>0</v>
      </c>
      <c r="AD8" s="10">
        <f t="shared" si="6"/>
        <v>0</v>
      </c>
      <c r="AE8" s="10">
        <f t="shared" si="6"/>
        <v>0</v>
      </c>
      <c r="AF8" s="10">
        <f t="shared" si="6"/>
        <v>0</v>
      </c>
      <c r="AG8" s="10">
        <f t="shared" si="6"/>
        <v>0</v>
      </c>
      <c r="AH8" s="10">
        <f t="shared" si="6"/>
        <v>0</v>
      </c>
      <c r="AI8" s="10">
        <f t="shared" si="6"/>
        <v>0</v>
      </c>
      <c r="AJ8" s="10">
        <f t="shared" si="6"/>
        <v>0</v>
      </c>
      <c r="AK8" s="10">
        <f t="shared" si="6"/>
        <v>0</v>
      </c>
      <c r="AL8" s="10">
        <f t="shared" si="6"/>
        <v>0</v>
      </c>
      <c r="AM8" s="10">
        <f t="shared" si="6"/>
        <v>0</v>
      </c>
      <c r="AO8" s="10">
        <v>0</v>
      </c>
      <c r="AP8" s="10">
        <f t="shared" si="7"/>
        <v>0</v>
      </c>
      <c r="AQ8" s="10">
        <f t="shared" si="7"/>
        <v>0</v>
      </c>
      <c r="AR8" s="10">
        <f t="shared" si="7"/>
        <v>0</v>
      </c>
      <c r="AS8" s="10">
        <f t="shared" si="7"/>
        <v>0</v>
      </c>
      <c r="AT8" s="10">
        <f t="shared" si="7"/>
        <v>0</v>
      </c>
      <c r="AU8" s="10">
        <f t="shared" si="7"/>
        <v>0</v>
      </c>
      <c r="AV8" s="10">
        <f t="shared" si="7"/>
        <v>0</v>
      </c>
      <c r="AW8" s="10">
        <f t="shared" si="7"/>
        <v>0</v>
      </c>
      <c r="AX8" s="10">
        <f t="shared" si="7"/>
        <v>0</v>
      </c>
      <c r="AY8" s="10">
        <f t="shared" si="7"/>
        <v>0</v>
      </c>
      <c r="BA8" s="10">
        <v>0</v>
      </c>
      <c r="BB8" s="10">
        <f t="shared" si="8"/>
        <v>0</v>
      </c>
      <c r="BC8" s="10">
        <f t="shared" si="8"/>
        <v>0</v>
      </c>
      <c r="BD8" s="10">
        <f t="shared" si="8"/>
        <v>0</v>
      </c>
      <c r="BE8" s="10">
        <f t="shared" si="8"/>
        <v>0</v>
      </c>
      <c r="BF8" s="10">
        <f t="shared" si="8"/>
        <v>0</v>
      </c>
      <c r="BG8" s="10">
        <f t="shared" si="8"/>
        <v>0</v>
      </c>
      <c r="BH8" s="10">
        <f t="shared" si="8"/>
        <v>0</v>
      </c>
      <c r="BI8" s="10">
        <f t="shared" si="8"/>
        <v>0</v>
      </c>
      <c r="BJ8" s="10">
        <f t="shared" si="8"/>
        <v>0</v>
      </c>
      <c r="BK8" s="10">
        <f t="shared" si="8"/>
        <v>0</v>
      </c>
    </row>
    <row r="9" spans="1:63" s="10" customFormat="1" x14ac:dyDescent="0.25">
      <c r="A9" s="11"/>
      <c r="B9" s="10" t="s">
        <v>297</v>
      </c>
      <c r="C9"/>
      <c r="D9"/>
      <c r="E9" s="10"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0</v>
      </c>
      <c r="O9" s="10">
        <f t="shared" si="0"/>
        <v>0</v>
      </c>
      <c r="Q9" s="10">
        <v>1</v>
      </c>
      <c r="R9" s="10">
        <f t="shared" si="5"/>
        <v>1</v>
      </c>
      <c r="S9" s="10">
        <f t="shared" si="5"/>
        <v>1</v>
      </c>
      <c r="T9" s="10">
        <f t="shared" si="5"/>
        <v>1</v>
      </c>
      <c r="U9" s="10">
        <f t="shared" si="5"/>
        <v>1</v>
      </c>
      <c r="V9" s="10">
        <f t="shared" si="5"/>
        <v>1</v>
      </c>
      <c r="W9" s="10">
        <f t="shared" si="5"/>
        <v>1</v>
      </c>
      <c r="X9" s="10">
        <f t="shared" si="5"/>
        <v>1</v>
      </c>
      <c r="Y9" s="10">
        <f t="shared" si="5"/>
        <v>1</v>
      </c>
      <c r="Z9" s="10">
        <f t="shared" si="5"/>
        <v>1</v>
      </c>
      <c r="AA9" s="10">
        <f t="shared" si="5"/>
        <v>1</v>
      </c>
      <c r="AC9" s="10">
        <v>0</v>
      </c>
      <c r="AD9" s="10">
        <f t="shared" si="6"/>
        <v>0</v>
      </c>
      <c r="AE9" s="10">
        <f t="shared" si="6"/>
        <v>0</v>
      </c>
      <c r="AF9" s="10">
        <f t="shared" si="6"/>
        <v>0</v>
      </c>
      <c r="AG9" s="10">
        <f t="shared" si="6"/>
        <v>0</v>
      </c>
      <c r="AH9" s="10">
        <f t="shared" si="6"/>
        <v>0</v>
      </c>
      <c r="AI9" s="10">
        <f t="shared" si="6"/>
        <v>0</v>
      </c>
      <c r="AJ9" s="10">
        <f t="shared" si="6"/>
        <v>0</v>
      </c>
      <c r="AK9" s="10">
        <f t="shared" si="6"/>
        <v>0</v>
      </c>
      <c r="AL9" s="10">
        <f t="shared" si="6"/>
        <v>0</v>
      </c>
      <c r="AM9" s="10">
        <f t="shared" si="6"/>
        <v>0</v>
      </c>
      <c r="AO9" s="10">
        <v>0</v>
      </c>
      <c r="AP9" s="10">
        <f t="shared" si="7"/>
        <v>0</v>
      </c>
      <c r="AQ9" s="10">
        <f t="shared" si="7"/>
        <v>0</v>
      </c>
      <c r="AR9" s="10">
        <f t="shared" si="7"/>
        <v>0</v>
      </c>
      <c r="AS9" s="10">
        <f t="shared" si="7"/>
        <v>0</v>
      </c>
      <c r="AT9" s="10">
        <f t="shared" si="7"/>
        <v>0</v>
      </c>
      <c r="AU9" s="10">
        <f t="shared" si="7"/>
        <v>0</v>
      </c>
      <c r="AV9" s="10">
        <f t="shared" si="7"/>
        <v>0</v>
      </c>
      <c r="AW9" s="10">
        <f t="shared" si="7"/>
        <v>0</v>
      </c>
      <c r="AX9" s="10">
        <f t="shared" si="7"/>
        <v>0</v>
      </c>
      <c r="AY9" s="10">
        <f t="shared" si="7"/>
        <v>0</v>
      </c>
      <c r="BA9" s="10">
        <v>0</v>
      </c>
      <c r="BB9" s="10">
        <f t="shared" si="8"/>
        <v>0</v>
      </c>
      <c r="BC9" s="10">
        <f t="shared" si="8"/>
        <v>0</v>
      </c>
      <c r="BD9" s="10">
        <f t="shared" si="8"/>
        <v>0</v>
      </c>
      <c r="BE9" s="10">
        <f t="shared" si="8"/>
        <v>0</v>
      </c>
      <c r="BF9" s="10">
        <f t="shared" si="8"/>
        <v>0</v>
      </c>
      <c r="BG9" s="10">
        <f t="shared" si="8"/>
        <v>0</v>
      </c>
      <c r="BH9" s="10">
        <f t="shared" si="8"/>
        <v>0</v>
      </c>
      <c r="BI9" s="10">
        <f t="shared" si="8"/>
        <v>0</v>
      </c>
      <c r="BJ9" s="10">
        <f t="shared" si="8"/>
        <v>0</v>
      </c>
      <c r="BK9" s="10">
        <f t="shared" si="8"/>
        <v>0</v>
      </c>
    </row>
    <row r="10" spans="1:63" x14ac:dyDescent="0.25">
      <c r="A10" s="2"/>
      <c r="E10" t="str">
        <f t="shared" ref="E10:AA10" si="9">CONCATENATE(E9,E8,E7,E6,E5,E4,E3,E2)</f>
        <v>00000000</v>
      </c>
      <c r="F10" t="str">
        <f t="shared" si="9"/>
        <v>00000000</v>
      </c>
      <c r="G10" t="str">
        <f t="shared" si="9"/>
        <v>00000000</v>
      </c>
      <c r="H10" t="str">
        <f t="shared" si="9"/>
        <v>00000000</v>
      </c>
      <c r="I10" t="str">
        <f t="shared" si="9"/>
        <v>00000000</v>
      </c>
      <c r="J10" t="str">
        <f t="shared" si="9"/>
        <v>00000000</v>
      </c>
      <c r="K10" t="str">
        <f t="shared" si="9"/>
        <v>00000000</v>
      </c>
      <c r="L10" t="str">
        <f t="shared" si="9"/>
        <v>00000000</v>
      </c>
      <c r="M10" t="str">
        <f t="shared" si="9"/>
        <v>00000000</v>
      </c>
      <c r="N10" t="str">
        <f t="shared" si="9"/>
        <v>00000000</v>
      </c>
      <c r="O10" t="str">
        <f t="shared" si="9"/>
        <v>00000000</v>
      </c>
      <c r="Q10" t="str">
        <f t="shared" si="9"/>
        <v>11111111</v>
      </c>
      <c r="R10" t="str">
        <f t="shared" si="9"/>
        <v>11111111</v>
      </c>
      <c r="S10" t="str">
        <f t="shared" si="9"/>
        <v>11111111</v>
      </c>
      <c r="T10" t="str">
        <f t="shared" si="9"/>
        <v>11111111</v>
      </c>
      <c r="U10" t="str">
        <f t="shared" si="9"/>
        <v>11111111</v>
      </c>
      <c r="V10" t="str">
        <f t="shared" si="9"/>
        <v>11111111</v>
      </c>
      <c r="W10" t="str">
        <f t="shared" si="9"/>
        <v>11111111</v>
      </c>
      <c r="X10" t="str">
        <f t="shared" si="9"/>
        <v>11111111</v>
      </c>
      <c r="Y10" t="str">
        <f t="shared" si="9"/>
        <v>11111111</v>
      </c>
      <c r="Z10" t="str">
        <f t="shared" si="9"/>
        <v>11111111</v>
      </c>
      <c r="AA10" t="str">
        <f t="shared" si="9"/>
        <v>11111111</v>
      </c>
      <c r="AC10" t="str">
        <f>CONCATENATE(AC9,AC8,AC7,AC6,AC5,AC4,AC3,AC2)</f>
        <v>00000000</v>
      </c>
      <c r="AD10" t="str">
        <f t="shared" ref="AD10:AM10" si="10">CONCATENATE(AD9,AD8,AD7,AD6,AD5,AD4,AD3,AD2)</f>
        <v>00000000</v>
      </c>
      <c r="AE10" t="str">
        <f t="shared" si="10"/>
        <v>00000000</v>
      </c>
      <c r="AF10" t="str">
        <f t="shared" si="10"/>
        <v>00000000</v>
      </c>
      <c r="AG10" t="str">
        <f t="shared" si="10"/>
        <v>00000000</v>
      </c>
      <c r="AH10" t="str">
        <f t="shared" si="10"/>
        <v>00000000</v>
      </c>
      <c r="AI10" t="str">
        <f t="shared" si="10"/>
        <v>00000000</v>
      </c>
      <c r="AJ10" t="str">
        <f t="shared" si="10"/>
        <v>00000000</v>
      </c>
      <c r="AK10" t="str">
        <f t="shared" si="10"/>
        <v>00000000</v>
      </c>
      <c r="AL10" t="str">
        <f t="shared" si="10"/>
        <v>00000000</v>
      </c>
      <c r="AM10" t="str">
        <f t="shared" si="10"/>
        <v>00000000</v>
      </c>
      <c r="AO10" t="str">
        <f t="shared" ref="AO10:AY10" si="11">CONCATENATE(AO9,AO8,AO7,AO6,AO5,AO4,AO3,AO2)</f>
        <v>00000000</v>
      </c>
      <c r="AP10" t="str">
        <f t="shared" si="11"/>
        <v>00000000</v>
      </c>
      <c r="AQ10" t="str">
        <f t="shared" si="11"/>
        <v>00000000</v>
      </c>
      <c r="AR10" t="str">
        <f t="shared" si="11"/>
        <v>00000000</v>
      </c>
      <c r="AS10" t="str">
        <f t="shared" si="11"/>
        <v>00000000</v>
      </c>
      <c r="AT10" t="str">
        <f t="shared" si="11"/>
        <v>00000000</v>
      </c>
      <c r="AU10" t="str">
        <f t="shared" si="11"/>
        <v>00000000</v>
      </c>
      <c r="AV10" t="str">
        <f t="shared" si="11"/>
        <v>00000000</v>
      </c>
      <c r="AW10" t="str">
        <f t="shared" si="11"/>
        <v>00000000</v>
      </c>
      <c r="AX10" t="str">
        <f t="shared" si="11"/>
        <v>00000000</v>
      </c>
      <c r="AY10" t="str">
        <f t="shared" si="11"/>
        <v>00000000</v>
      </c>
      <c r="BA10" t="str">
        <f t="shared" ref="BA10:BK10" si="12">CONCATENATE(BA9,BA8,BA7,BA6,BA5,BA4,BA3,BA2)</f>
        <v>00000000</v>
      </c>
      <c r="BB10" t="str">
        <f t="shared" si="12"/>
        <v>00000000</v>
      </c>
      <c r="BC10" t="str">
        <f t="shared" si="12"/>
        <v>00000000</v>
      </c>
      <c r="BD10" t="str">
        <f t="shared" si="12"/>
        <v>00000000</v>
      </c>
      <c r="BE10" t="str">
        <f t="shared" si="12"/>
        <v>00000000</v>
      </c>
      <c r="BF10" t="str">
        <f t="shared" si="12"/>
        <v>00000000</v>
      </c>
      <c r="BG10" t="str">
        <f t="shared" si="12"/>
        <v>00000000</v>
      </c>
      <c r="BH10" t="str">
        <f t="shared" si="12"/>
        <v>00000000</v>
      </c>
      <c r="BI10" t="str">
        <f t="shared" si="12"/>
        <v>00000000</v>
      </c>
      <c r="BJ10" t="str">
        <f t="shared" si="12"/>
        <v>00000000</v>
      </c>
      <c r="BK10" t="str">
        <f t="shared" si="12"/>
        <v>00000000</v>
      </c>
    </row>
    <row r="11" spans="1:63" x14ac:dyDescent="0.25">
      <c r="A11" s="2"/>
      <c r="E11" t="str">
        <f t="shared" ref="E11:AA11" si="13">CONCATENATE(BIN2HEX(E10,2))</f>
        <v>00</v>
      </c>
      <c r="F11" t="str">
        <f t="shared" si="13"/>
        <v>00</v>
      </c>
      <c r="G11" t="str">
        <f t="shared" si="13"/>
        <v>00</v>
      </c>
      <c r="H11" t="str">
        <f t="shared" si="13"/>
        <v>00</v>
      </c>
      <c r="I11" t="str">
        <f t="shared" si="13"/>
        <v>00</v>
      </c>
      <c r="J11" t="str">
        <f t="shared" si="13"/>
        <v>00</v>
      </c>
      <c r="K11" t="str">
        <f t="shared" si="13"/>
        <v>00</v>
      </c>
      <c r="L11" t="str">
        <f t="shared" si="13"/>
        <v>00</v>
      </c>
      <c r="M11" t="str">
        <f t="shared" si="13"/>
        <v>00</v>
      </c>
      <c r="N11" t="str">
        <f t="shared" si="13"/>
        <v>00</v>
      </c>
      <c r="O11" t="str">
        <f t="shared" si="13"/>
        <v>00</v>
      </c>
      <c r="Q11" t="str">
        <f t="shared" si="13"/>
        <v>FF</v>
      </c>
      <c r="R11" t="str">
        <f t="shared" si="13"/>
        <v>FF</v>
      </c>
      <c r="S11" t="str">
        <f t="shared" si="13"/>
        <v>FF</v>
      </c>
      <c r="T11" t="str">
        <f t="shared" si="13"/>
        <v>FF</v>
      </c>
      <c r="U11" t="str">
        <f t="shared" si="13"/>
        <v>FF</v>
      </c>
      <c r="V11" t="str">
        <f t="shared" si="13"/>
        <v>FF</v>
      </c>
      <c r="W11" t="str">
        <f t="shared" si="13"/>
        <v>FF</v>
      </c>
      <c r="X11" t="str">
        <f t="shared" si="13"/>
        <v>FF</v>
      </c>
      <c r="Y11" t="str">
        <f t="shared" si="13"/>
        <v>FF</v>
      </c>
      <c r="Z11" t="str">
        <f t="shared" si="13"/>
        <v>FF</v>
      </c>
      <c r="AA11" t="str">
        <f t="shared" si="13"/>
        <v>FF</v>
      </c>
      <c r="AC11" t="str">
        <f>CONCATENATE(BIN2HEX(AC10,2))</f>
        <v>00</v>
      </c>
      <c r="AD11" t="str">
        <f t="shared" ref="AD11:AM11" si="14">CONCATENATE(BIN2HEX(AD10,2))</f>
        <v>00</v>
      </c>
      <c r="AE11" t="str">
        <f t="shared" si="14"/>
        <v>00</v>
      </c>
      <c r="AF11" t="str">
        <f t="shared" si="14"/>
        <v>00</v>
      </c>
      <c r="AG11" t="str">
        <f t="shared" si="14"/>
        <v>00</v>
      </c>
      <c r="AH11" t="str">
        <f t="shared" si="14"/>
        <v>00</v>
      </c>
      <c r="AI11" t="str">
        <f t="shared" si="14"/>
        <v>00</v>
      </c>
      <c r="AJ11" t="str">
        <f t="shared" si="14"/>
        <v>00</v>
      </c>
      <c r="AK11" t="str">
        <f t="shared" si="14"/>
        <v>00</v>
      </c>
      <c r="AL11" t="str">
        <f t="shared" si="14"/>
        <v>00</v>
      </c>
      <c r="AM11" t="str">
        <f t="shared" si="14"/>
        <v>00</v>
      </c>
      <c r="AO11" t="str">
        <f t="shared" ref="AO11:AY11" si="15">CONCATENATE(BIN2HEX(AO10,2))</f>
        <v>00</v>
      </c>
      <c r="AP11" t="str">
        <f t="shared" si="15"/>
        <v>00</v>
      </c>
      <c r="AQ11" t="str">
        <f t="shared" si="15"/>
        <v>00</v>
      </c>
      <c r="AR11" t="str">
        <f t="shared" si="15"/>
        <v>00</v>
      </c>
      <c r="AS11" t="str">
        <f t="shared" si="15"/>
        <v>00</v>
      </c>
      <c r="AT11" t="str">
        <f t="shared" si="15"/>
        <v>00</v>
      </c>
      <c r="AU11" t="str">
        <f t="shared" si="15"/>
        <v>00</v>
      </c>
      <c r="AV11" t="str">
        <f t="shared" si="15"/>
        <v>00</v>
      </c>
      <c r="AW11" t="str">
        <f t="shared" si="15"/>
        <v>00</v>
      </c>
      <c r="AX11" t="str">
        <f t="shared" si="15"/>
        <v>00</v>
      </c>
      <c r="AY11" t="str">
        <f t="shared" si="15"/>
        <v>00</v>
      </c>
      <c r="BA11" t="str">
        <f t="shared" ref="BA11:BK11" si="16">CONCATENATE(BIN2HEX(BA10,2))</f>
        <v>00</v>
      </c>
      <c r="BB11" t="str">
        <f t="shared" si="16"/>
        <v>00</v>
      </c>
      <c r="BC11" t="str">
        <f t="shared" si="16"/>
        <v>00</v>
      </c>
      <c r="BD11" t="str">
        <f t="shared" si="16"/>
        <v>00</v>
      </c>
      <c r="BE11" t="str">
        <f t="shared" si="16"/>
        <v>00</v>
      </c>
      <c r="BF11" t="str">
        <f t="shared" si="16"/>
        <v>00</v>
      </c>
      <c r="BG11" t="str">
        <f t="shared" si="16"/>
        <v>00</v>
      </c>
      <c r="BH11" t="str">
        <f t="shared" si="16"/>
        <v>00</v>
      </c>
      <c r="BI11" t="str">
        <f t="shared" si="16"/>
        <v>00</v>
      </c>
      <c r="BJ11" t="str">
        <f t="shared" si="16"/>
        <v>00</v>
      </c>
      <c r="BK11" t="str">
        <f t="shared" si="16"/>
        <v>00</v>
      </c>
    </row>
    <row r="12" spans="1:63" x14ac:dyDescent="0.25">
      <c r="A12" s="2"/>
    </row>
    <row r="13" spans="1:63" s="10" customFormat="1" x14ac:dyDescent="0.25">
      <c r="A13" s="11"/>
      <c r="B13" s="10" t="s">
        <v>298</v>
      </c>
      <c r="C13" t="s">
        <v>370</v>
      </c>
      <c r="D13" t="s">
        <v>445</v>
      </c>
      <c r="E13" s="10">
        <v>0</v>
      </c>
      <c r="F13" s="10">
        <v>1</v>
      </c>
      <c r="G13" s="10">
        <v>0</v>
      </c>
      <c r="H13" s="10">
        <f t="shared" ref="F13:O20" si="17">G13</f>
        <v>0</v>
      </c>
      <c r="I13" s="10">
        <f t="shared" si="17"/>
        <v>0</v>
      </c>
      <c r="J13" s="10">
        <f t="shared" si="17"/>
        <v>0</v>
      </c>
      <c r="K13" s="10">
        <f t="shared" si="17"/>
        <v>0</v>
      </c>
      <c r="L13" s="10">
        <f t="shared" si="17"/>
        <v>0</v>
      </c>
      <c r="M13" s="10">
        <f t="shared" si="17"/>
        <v>0</v>
      </c>
      <c r="N13" s="10">
        <f t="shared" si="17"/>
        <v>0</v>
      </c>
      <c r="O13" s="10">
        <f t="shared" si="17"/>
        <v>0</v>
      </c>
      <c r="Q13" s="10">
        <v>0</v>
      </c>
      <c r="R13" s="10">
        <f>Q13</f>
        <v>0</v>
      </c>
      <c r="S13" s="10">
        <f t="shared" ref="S13:AA13" si="18">R13</f>
        <v>0</v>
      </c>
      <c r="T13" s="10">
        <f t="shared" si="18"/>
        <v>0</v>
      </c>
      <c r="U13" s="10">
        <f t="shared" si="18"/>
        <v>0</v>
      </c>
      <c r="V13" s="10">
        <f t="shared" si="18"/>
        <v>0</v>
      </c>
      <c r="W13" s="10">
        <f t="shared" si="18"/>
        <v>0</v>
      </c>
      <c r="X13" s="10">
        <f t="shared" si="18"/>
        <v>0</v>
      </c>
      <c r="Y13" s="10">
        <f t="shared" si="18"/>
        <v>0</v>
      </c>
      <c r="Z13" s="10">
        <f t="shared" si="18"/>
        <v>0</v>
      </c>
      <c r="AA13" s="10">
        <f t="shared" si="18"/>
        <v>0</v>
      </c>
      <c r="AC13" s="10">
        <v>0</v>
      </c>
      <c r="AD13" s="10">
        <f>AC13</f>
        <v>0</v>
      </c>
      <c r="AE13" s="10">
        <f t="shared" ref="AE13:AM13" si="19">AD13</f>
        <v>0</v>
      </c>
      <c r="AF13" s="10">
        <f t="shared" si="19"/>
        <v>0</v>
      </c>
      <c r="AG13" s="10">
        <f t="shared" si="19"/>
        <v>0</v>
      </c>
      <c r="AH13" s="10">
        <f t="shared" si="19"/>
        <v>0</v>
      </c>
      <c r="AI13" s="10">
        <f t="shared" si="19"/>
        <v>0</v>
      </c>
      <c r="AJ13" s="10">
        <f t="shared" si="19"/>
        <v>0</v>
      </c>
      <c r="AK13" s="10">
        <f t="shared" si="19"/>
        <v>0</v>
      </c>
      <c r="AL13" s="10">
        <f t="shared" si="19"/>
        <v>0</v>
      </c>
      <c r="AM13" s="10">
        <f t="shared" si="19"/>
        <v>0</v>
      </c>
      <c r="AO13" s="10">
        <v>0</v>
      </c>
      <c r="AP13" s="10">
        <f>AO13</f>
        <v>0</v>
      </c>
      <c r="AQ13" s="10">
        <f t="shared" ref="AQ13:AY13" si="20">AP13</f>
        <v>0</v>
      </c>
      <c r="AR13" s="10">
        <f t="shared" si="20"/>
        <v>0</v>
      </c>
      <c r="AS13" s="10">
        <f t="shared" si="20"/>
        <v>0</v>
      </c>
      <c r="AT13" s="10">
        <f t="shared" si="20"/>
        <v>0</v>
      </c>
      <c r="AU13" s="10">
        <f t="shared" si="20"/>
        <v>0</v>
      </c>
      <c r="AV13" s="10">
        <f t="shared" si="20"/>
        <v>0</v>
      </c>
      <c r="AW13" s="10">
        <f t="shared" si="20"/>
        <v>0</v>
      </c>
      <c r="AX13" s="10">
        <f t="shared" si="20"/>
        <v>0</v>
      </c>
      <c r="AY13" s="10">
        <f t="shared" si="20"/>
        <v>0</v>
      </c>
      <c r="BA13" s="10">
        <v>0</v>
      </c>
      <c r="BB13" s="10">
        <f>BA13</f>
        <v>0</v>
      </c>
      <c r="BC13" s="10">
        <f t="shared" ref="BC13:BK13" si="21">BB13</f>
        <v>0</v>
      </c>
      <c r="BD13" s="10">
        <f t="shared" si="21"/>
        <v>0</v>
      </c>
      <c r="BE13" s="10">
        <f t="shared" si="21"/>
        <v>0</v>
      </c>
      <c r="BF13" s="10">
        <f t="shared" si="21"/>
        <v>0</v>
      </c>
      <c r="BG13" s="10">
        <f t="shared" si="21"/>
        <v>0</v>
      </c>
      <c r="BH13" s="10">
        <f t="shared" si="21"/>
        <v>0</v>
      </c>
      <c r="BI13" s="10">
        <f t="shared" si="21"/>
        <v>0</v>
      </c>
      <c r="BJ13" s="10">
        <f t="shared" si="21"/>
        <v>0</v>
      </c>
      <c r="BK13" s="10">
        <f t="shared" si="21"/>
        <v>0</v>
      </c>
    </row>
    <row r="14" spans="1:63" s="10" customFormat="1" x14ac:dyDescent="0.25">
      <c r="A14" s="11"/>
      <c r="B14" s="10" t="s">
        <v>299</v>
      </c>
      <c r="C14" t="s">
        <v>446</v>
      </c>
      <c r="D14" t="s">
        <v>447</v>
      </c>
      <c r="E14" s="10">
        <v>0</v>
      </c>
      <c r="F14" s="10">
        <v>1</v>
      </c>
      <c r="G14" s="10">
        <f t="shared" si="17"/>
        <v>1</v>
      </c>
      <c r="H14" s="10">
        <f t="shared" si="17"/>
        <v>1</v>
      </c>
      <c r="I14" s="10">
        <f t="shared" si="17"/>
        <v>1</v>
      </c>
      <c r="J14" s="10">
        <f t="shared" si="17"/>
        <v>1</v>
      </c>
      <c r="K14" s="10">
        <f t="shared" si="17"/>
        <v>1</v>
      </c>
      <c r="L14" s="10">
        <f t="shared" si="17"/>
        <v>1</v>
      </c>
      <c r="M14" s="10">
        <f t="shared" si="17"/>
        <v>1</v>
      </c>
      <c r="N14" s="10">
        <f t="shared" si="17"/>
        <v>1</v>
      </c>
      <c r="O14" s="10">
        <f t="shared" si="17"/>
        <v>1</v>
      </c>
      <c r="Q14" s="10">
        <v>0</v>
      </c>
      <c r="R14" s="10">
        <f t="shared" ref="R14:AA20" si="22">Q14</f>
        <v>0</v>
      </c>
      <c r="S14" s="10">
        <f t="shared" si="22"/>
        <v>0</v>
      </c>
      <c r="T14" s="10">
        <f t="shared" si="22"/>
        <v>0</v>
      </c>
      <c r="U14" s="10">
        <f t="shared" si="22"/>
        <v>0</v>
      </c>
      <c r="V14" s="10">
        <f t="shared" si="22"/>
        <v>0</v>
      </c>
      <c r="W14" s="10">
        <f t="shared" si="22"/>
        <v>0</v>
      </c>
      <c r="X14" s="10">
        <f t="shared" si="22"/>
        <v>0</v>
      </c>
      <c r="Y14" s="10">
        <f t="shared" si="22"/>
        <v>0</v>
      </c>
      <c r="Z14" s="10">
        <f t="shared" si="22"/>
        <v>0</v>
      </c>
      <c r="AA14" s="10">
        <f t="shared" si="22"/>
        <v>0</v>
      </c>
      <c r="AC14" s="10">
        <v>0</v>
      </c>
      <c r="AD14" s="10">
        <f t="shared" ref="AD14:AM20" si="23">AC14</f>
        <v>0</v>
      </c>
      <c r="AE14" s="10">
        <f t="shared" si="23"/>
        <v>0</v>
      </c>
      <c r="AF14" s="10">
        <f t="shared" si="23"/>
        <v>0</v>
      </c>
      <c r="AG14" s="10">
        <f t="shared" si="23"/>
        <v>0</v>
      </c>
      <c r="AH14" s="10">
        <f t="shared" si="23"/>
        <v>0</v>
      </c>
      <c r="AI14" s="10">
        <f t="shared" si="23"/>
        <v>0</v>
      </c>
      <c r="AJ14" s="10">
        <f t="shared" si="23"/>
        <v>0</v>
      </c>
      <c r="AK14" s="10">
        <f t="shared" si="23"/>
        <v>0</v>
      </c>
      <c r="AL14" s="10">
        <f t="shared" si="23"/>
        <v>0</v>
      </c>
      <c r="AM14" s="10">
        <f t="shared" si="23"/>
        <v>0</v>
      </c>
      <c r="AO14" s="10">
        <v>0</v>
      </c>
      <c r="AP14" s="10">
        <f t="shared" ref="AP14:AY20" si="24">AO14</f>
        <v>0</v>
      </c>
      <c r="AQ14" s="10">
        <f t="shared" si="24"/>
        <v>0</v>
      </c>
      <c r="AR14" s="10">
        <f t="shared" si="24"/>
        <v>0</v>
      </c>
      <c r="AS14" s="10">
        <f t="shared" si="24"/>
        <v>0</v>
      </c>
      <c r="AT14" s="10">
        <f t="shared" si="24"/>
        <v>0</v>
      </c>
      <c r="AU14" s="10">
        <f t="shared" si="24"/>
        <v>0</v>
      </c>
      <c r="AV14" s="10">
        <f t="shared" si="24"/>
        <v>0</v>
      </c>
      <c r="AW14" s="10">
        <f t="shared" si="24"/>
        <v>0</v>
      </c>
      <c r="AX14" s="10">
        <f t="shared" si="24"/>
        <v>0</v>
      </c>
      <c r="AY14" s="10">
        <f t="shared" si="24"/>
        <v>0</v>
      </c>
      <c r="BA14" s="10">
        <v>0</v>
      </c>
      <c r="BB14" s="10">
        <f t="shared" ref="BB14:BK20" si="25">BA14</f>
        <v>0</v>
      </c>
      <c r="BC14" s="10">
        <f t="shared" si="25"/>
        <v>0</v>
      </c>
      <c r="BD14" s="10">
        <f t="shared" si="25"/>
        <v>0</v>
      </c>
      <c r="BE14" s="10">
        <f t="shared" si="25"/>
        <v>0</v>
      </c>
      <c r="BF14" s="10">
        <f t="shared" si="25"/>
        <v>0</v>
      </c>
      <c r="BG14" s="10">
        <f t="shared" si="25"/>
        <v>0</v>
      </c>
      <c r="BH14" s="10">
        <f t="shared" si="25"/>
        <v>0</v>
      </c>
      <c r="BI14" s="10">
        <f t="shared" si="25"/>
        <v>0</v>
      </c>
      <c r="BJ14" s="10">
        <f t="shared" si="25"/>
        <v>0</v>
      </c>
      <c r="BK14" s="10">
        <f t="shared" si="25"/>
        <v>0</v>
      </c>
    </row>
    <row r="15" spans="1:63" s="10" customFormat="1" x14ac:dyDescent="0.25">
      <c r="A15" s="11"/>
      <c r="B15" s="10" t="s">
        <v>300</v>
      </c>
      <c r="C15" t="s">
        <v>448</v>
      </c>
      <c r="D15" t="s">
        <v>449</v>
      </c>
      <c r="E15" s="10">
        <v>0</v>
      </c>
      <c r="F15" s="10">
        <f t="shared" si="17"/>
        <v>0</v>
      </c>
      <c r="G15" s="10">
        <f t="shared" si="17"/>
        <v>0</v>
      </c>
      <c r="H15" s="10">
        <f t="shared" si="17"/>
        <v>0</v>
      </c>
      <c r="I15" s="10">
        <f t="shared" si="17"/>
        <v>0</v>
      </c>
      <c r="J15" s="10">
        <f t="shared" si="17"/>
        <v>0</v>
      </c>
      <c r="K15" s="10">
        <f t="shared" si="17"/>
        <v>0</v>
      </c>
      <c r="L15" s="10">
        <f t="shared" si="17"/>
        <v>0</v>
      </c>
      <c r="M15" s="10">
        <f t="shared" si="17"/>
        <v>0</v>
      </c>
      <c r="N15" s="10">
        <f t="shared" si="17"/>
        <v>0</v>
      </c>
      <c r="O15" s="10">
        <f t="shared" si="17"/>
        <v>0</v>
      </c>
      <c r="Q15" s="10">
        <v>0</v>
      </c>
      <c r="R15" s="10">
        <f t="shared" si="22"/>
        <v>0</v>
      </c>
      <c r="S15" s="10">
        <f t="shared" si="22"/>
        <v>0</v>
      </c>
      <c r="T15" s="10">
        <f t="shared" si="22"/>
        <v>0</v>
      </c>
      <c r="U15" s="10">
        <f t="shared" si="22"/>
        <v>0</v>
      </c>
      <c r="V15" s="10">
        <f t="shared" si="22"/>
        <v>0</v>
      </c>
      <c r="W15" s="10">
        <f t="shared" si="22"/>
        <v>0</v>
      </c>
      <c r="X15" s="10">
        <f t="shared" si="22"/>
        <v>0</v>
      </c>
      <c r="Y15" s="10">
        <f t="shared" si="22"/>
        <v>0</v>
      </c>
      <c r="Z15" s="10">
        <f t="shared" si="22"/>
        <v>0</v>
      </c>
      <c r="AA15" s="10">
        <f t="shared" si="22"/>
        <v>0</v>
      </c>
      <c r="AC15" s="10">
        <v>0</v>
      </c>
      <c r="AD15" s="10">
        <f t="shared" si="23"/>
        <v>0</v>
      </c>
      <c r="AE15" s="10">
        <f t="shared" si="23"/>
        <v>0</v>
      </c>
      <c r="AF15" s="10">
        <f t="shared" si="23"/>
        <v>0</v>
      </c>
      <c r="AG15" s="10">
        <f t="shared" si="23"/>
        <v>0</v>
      </c>
      <c r="AH15" s="10">
        <f t="shared" si="23"/>
        <v>0</v>
      </c>
      <c r="AI15" s="10">
        <f t="shared" si="23"/>
        <v>0</v>
      </c>
      <c r="AJ15" s="10">
        <f t="shared" si="23"/>
        <v>0</v>
      </c>
      <c r="AK15" s="10">
        <f t="shared" si="23"/>
        <v>0</v>
      </c>
      <c r="AL15" s="10">
        <f t="shared" si="23"/>
        <v>0</v>
      </c>
      <c r="AM15" s="10">
        <f t="shared" si="23"/>
        <v>0</v>
      </c>
      <c r="AO15" s="10">
        <v>0</v>
      </c>
      <c r="AP15" s="10">
        <f t="shared" si="24"/>
        <v>0</v>
      </c>
      <c r="AQ15" s="10">
        <f t="shared" si="24"/>
        <v>0</v>
      </c>
      <c r="AR15" s="10">
        <f t="shared" si="24"/>
        <v>0</v>
      </c>
      <c r="AS15" s="10">
        <f t="shared" si="24"/>
        <v>0</v>
      </c>
      <c r="AT15" s="10">
        <f t="shared" si="24"/>
        <v>0</v>
      </c>
      <c r="AU15" s="10">
        <f t="shared" si="24"/>
        <v>0</v>
      </c>
      <c r="AV15" s="10">
        <f t="shared" si="24"/>
        <v>0</v>
      </c>
      <c r="AW15" s="10">
        <f t="shared" si="24"/>
        <v>0</v>
      </c>
      <c r="AX15" s="10">
        <f t="shared" si="24"/>
        <v>0</v>
      </c>
      <c r="AY15" s="10">
        <f t="shared" si="24"/>
        <v>0</v>
      </c>
      <c r="BA15" s="10">
        <v>0</v>
      </c>
      <c r="BB15" s="10">
        <f t="shared" si="25"/>
        <v>0</v>
      </c>
      <c r="BC15" s="10">
        <f t="shared" si="25"/>
        <v>0</v>
      </c>
      <c r="BD15" s="10">
        <f t="shared" si="25"/>
        <v>0</v>
      </c>
      <c r="BE15" s="10">
        <f t="shared" si="25"/>
        <v>0</v>
      </c>
      <c r="BF15" s="10">
        <f t="shared" si="25"/>
        <v>0</v>
      </c>
      <c r="BG15" s="10">
        <f t="shared" si="25"/>
        <v>0</v>
      </c>
      <c r="BH15" s="10">
        <f t="shared" si="25"/>
        <v>0</v>
      </c>
      <c r="BI15" s="10">
        <f t="shared" si="25"/>
        <v>0</v>
      </c>
      <c r="BJ15" s="10">
        <f t="shared" si="25"/>
        <v>0</v>
      </c>
      <c r="BK15" s="10">
        <f t="shared" si="25"/>
        <v>0</v>
      </c>
    </row>
    <row r="16" spans="1:63" s="10" customFormat="1" x14ac:dyDescent="0.25">
      <c r="A16" s="11"/>
      <c r="B16" s="10" t="s">
        <v>301</v>
      </c>
      <c r="C16" t="s">
        <v>450</v>
      </c>
      <c r="D16" t="s">
        <v>451</v>
      </c>
      <c r="E16" s="10">
        <v>0</v>
      </c>
      <c r="F16" s="10">
        <f t="shared" si="17"/>
        <v>0</v>
      </c>
      <c r="G16" s="10">
        <f t="shared" si="17"/>
        <v>0</v>
      </c>
      <c r="H16" s="10">
        <f t="shared" si="17"/>
        <v>0</v>
      </c>
      <c r="I16" s="10">
        <f t="shared" si="17"/>
        <v>0</v>
      </c>
      <c r="J16" s="10">
        <f t="shared" si="17"/>
        <v>0</v>
      </c>
      <c r="K16" s="10">
        <f t="shared" si="17"/>
        <v>0</v>
      </c>
      <c r="L16" s="10">
        <f t="shared" si="17"/>
        <v>0</v>
      </c>
      <c r="M16" s="10">
        <f t="shared" si="17"/>
        <v>0</v>
      </c>
      <c r="N16" s="10">
        <f t="shared" si="17"/>
        <v>0</v>
      </c>
      <c r="O16" s="10">
        <f t="shared" si="17"/>
        <v>0</v>
      </c>
      <c r="Q16" s="10">
        <v>0</v>
      </c>
      <c r="R16" s="10">
        <f t="shared" si="22"/>
        <v>0</v>
      </c>
      <c r="S16" s="10">
        <f t="shared" si="22"/>
        <v>0</v>
      </c>
      <c r="T16" s="10">
        <f t="shared" si="22"/>
        <v>0</v>
      </c>
      <c r="U16" s="10">
        <f t="shared" si="22"/>
        <v>0</v>
      </c>
      <c r="V16" s="10">
        <f t="shared" si="22"/>
        <v>0</v>
      </c>
      <c r="W16" s="10">
        <f t="shared" si="22"/>
        <v>0</v>
      </c>
      <c r="X16" s="10">
        <f t="shared" si="22"/>
        <v>0</v>
      </c>
      <c r="Y16" s="10">
        <f t="shared" si="22"/>
        <v>0</v>
      </c>
      <c r="Z16" s="10">
        <f t="shared" si="22"/>
        <v>0</v>
      </c>
      <c r="AA16" s="10">
        <f t="shared" si="22"/>
        <v>0</v>
      </c>
      <c r="AC16" s="10">
        <v>0</v>
      </c>
      <c r="AD16" s="10">
        <f t="shared" si="23"/>
        <v>0</v>
      </c>
      <c r="AE16" s="10">
        <f t="shared" si="23"/>
        <v>0</v>
      </c>
      <c r="AF16" s="10">
        <f t="shared" si="23"/>
        <v>0</v>
      </c>
      <c r="AG16" s="10">
        <f t="shared" si="23"/>
        <v>0</v>
      </c>
      <c r="AH16" s="10">
        <f t="shared" si="23"/>
        <v>0</v>
      </c>
      <c r="AI16" s="10">
        <f t="shared" si="23"/>
        <v>0</v>
      </c>
      <c r="AJ16" s="10">
        <f t="shared" si="23"/>
        <v>0</v>
      </c>
      <c r="AK16" s="10">
        <f t="shared" si="23"/>
        <v>0</v>
      </c>
      <c r="AL16" s="10">
        <f t="shared" si="23"/>
        <v>0</v>
      </c>
      <c r="AM16" s="10">
        <f t="shared" si="23"/>
        <v>0</v>
      </c>
      <c r="AO16" s="10">
        <v>0</v>
      </c>
      <c r="AP16" s="10">
        <f t="shared" si="24"/>
        <v>0</v>
      </c>
      <c r="AQ16" s="10">
        <f t="shared" si="24"/>
        <v>0</v>
      </c>
      <c r="AR16" s="10">
        <f t="shared" si="24"/>
        <v>0</v>
      </c>
      <c r="AS16" s="10">
        <f t="shared" si="24"/>
        <v>0</v>
      </c>
      <c r="AT16" s="10">
        <f t="shared" si="24"/>
        <v>0</v>
      </c>
      <c r="AU16" s="10">
        <f t="shared" si="24"/>
        <v>0</v>
      </c>
      <c r="AV16" s="10">
        <f t="shared" si="24"/>
        <v>0</v>
      </c>
      <c r="AW16" s="10">
        <f t="shared" si="24"/>
        <v>0</v>
      </c>
      <c r="AX16" s="10">
        <f t="shared" si="24"/>
        <v>0</v>
      </c>
      <c r="AY16" s="10">
        <f t="shared" si="24"/>
        <v>0</v>
      </c>
      <c r="BA16" s="10">
        <v>0</v>
      </c>
      <c r="BB16" s="10">
        <f t="shared" si="25"/>
        <v>0</v>
      </c>
      <c r="BC16" s="10">
        <f t="shared" si="25"/>
        <v>0</v>
      </c>
      <c r="BD16" s="10">
        <f t="shared" si="25"/>
        <v>0</v>
      </c>
      <c r="BE16" s="10">
        <f t="shared" si="25"/>
        <v>0</v>
      </c>
      <c r="BF16" s="10">
        <f t="shared" si="25"/>
        <v>0</v>
      </c>
      <c r="BG16" s="10">
        <f t="shared" si="25"/>
        <v>0</v>
      </c>
      <c r="BH16" s="10">
        <f t="shared" si="25"/>
        <v>0</v>
      </c>
      <c r="BI16" s="10">
        <f t="shared" si="25"/>
        <v>0</v>
      </c>
      <c r="BJ16" s="10">
        <f t="shared" si="25"/>
        <v>0</v>
      </c>
      <c r="BK16" s="10">
        <f t="shared" si="25"/>
        <v>0</v>
      </c>
    </row>
    <row r="17" spans="1:63" s="10" customFormat="1" x14ac:dyDescent="0.25">
      <c r="A17" s="11"/>
      <c r="B17" s="10" t="s">
        <v>302</v>
      </c>
      <c r="C17" t="s">
        <v>452</v>
      </c>
      <c r="D17" t="s">
        <v>453</v>
      </c>
      <c r="E17" s="10">
        <v>0</v>
      </c>
      <c r="F17" s="10">
        <f t="shared" si="17"/>
        <v>0</v>
      </c>
      <c r="G17" s="10">
        <f t="shared" si="17"/>
        <v>0</v>
      </c>
      <c r="H17" s="10">
        <f t="shared" si="17"/>
        <v>0</v>
      </c>
      <c r="I17" s="10">
        <f t="shared" si="17"/>
        <v>0</v>
      </c>
      <c r="J17" s="10">
        <f t="shared" si="17"/>
        <v>0</v>
      </c>
      <c r="K17" s="10">
        <f t="shared" si="17"/>
        <v>0</v>
      </c>
      <c r="L17" s="10">
        <f t="shared" si="17"/>
        <v>0</v>
      </c>
      <c r="M17" s="10">
        <f t="shared" si="17"/>
        <v>0</v>
      </c>
      <c r="N17" s="10">
        <f t="shared" si="17"/>
        <v>0</v>
      </c>
      <c r="O17" s="10">
        <f t="shared" si="17"/>
        <v>0</v>
      </c>
      <c r="Q17" s="10">
        <v>0</v>
      </c>
      <c r="R17" s="10">
        <f t="shared" si="22"/>
        <v>0</v>
      </c>
      <c r="S17" s="10">
        <f t="shared" si="22"/>
        <v>0</v>
      </c>
      <c r="T17" s="10">
        <f t="shared" si="22"/>
        <v>0</v>
      </c>
      <c r="U17" s="10">
        <f t="shared" si="22"/>
        <v>0</v>
      </c>
      <c r="V17" s="10">
        <f t="shared" si="22"/>
        <v>0</v>
      </c>
      <c r="W17" s="10">
        <f t="shared" si="22"/>
        <v>0</v>
      </c>
      <c r="X17" s="10">
        <f t="shared" si="22"/>
        <v>0</v>
      </c>
      <c r="Y17" s="10">
        <f t="shared" si="22"/>
        <v>0</v>
      </c>
      <c r="Z17" s="10">
        <f t="shared" si="22"/>
        <v>0</v>
      </c>
      <c r="AA17" s="10">
        <f t="shared" si="22"/>
        <v>0</v>
      </c>
      <c r="AC17" s="10">
        <v>0</v>
      </c>
      <c r="AD17" s="10">
        <f t="shared" si="23"/>
        <v>0</v>
      </c>
      <c r="AE17" s="10">
        <f t="shared" si="23"/>
        <v>0</v>
      </c>
      <c r="AF17" s="10">
        <f t="shared" si="23"/>
        <v>0</v>
      </c>
      <c r="AG17" s="10">
        <f t="shared" si="23"/>
        <v>0</v>
      </c>
      <c r="AH17" s="10">
        <f t="shared" si="23"/>
        <v>0</v>
      </c>
      <c r="AI17" s="10">
        <f t="shared" si="23"/>
        <v>0</v>
      </c>
      <c r="AJ17" s="10">
        <f t="shared" si="23"/>
        <v>0</v>
      </c>
      <c r="AK17" s="10">
        <f t="shared" si="23"/>
        <v>0</v>
      </c>
      <c r="AL17" s="10">
        <f t="shared" si="23"/>
        <v>0</v>
      </c>
      <c r="AM17" s="10">
        <f t="shared" si="23"/>
        <v>0</v>
      </c>
      <c r="AO17" s="10">
        <v>0</v>
      </c>
      <c r="AP17" s="10">
        <f t="shared" si="24"/>
        <v>0</v>
      </c>
      <c r="AQ17" s="10">
        <f t="shared" si="24"/>
        <v>0</v>
      </c>
      <c r="AR17" s="10">
        <f t="shared" si="24"/>
        <v>0</v>
      </c>
      <c r="AS17" s="10">
        <f t="shared" si="24"/>
        <v>0</v>
      </c>
      <c r="AT17" s="10">
        <f t="shared" si="24"/>
        <v>0</v>
      </c>
      <c r="AU17" s="10">
        <f t="shared" si="24"/>
        <v>0</v>
      </c>
      <c r="AV17" s="10">
        <f t="shared" si="24"/>
        <v>0</v>
      </c>
      <c r="AW17" s="10">
        <f t="shared" si="24"/>
        <v>0</v>
      </c>
      <c r="AX17" s="10">
        <f t="shared" si="24"/>
        <v>0</v>
      </c>
      <c r="AY17" s="10">
        <f t="shared" si="24"/>
        <v>0</v>
      </c>
      <c r="BA17" s="10">
        <v>0</v>
      </c>
      <c r="BB17" s="10">
        <f t="shared" si="25"/>
        <v>0</v>
      </c>
      <c r="BC17" s="10">
        <f t="shared" si="25"/>
        <v>0</v>
      </c>
      <c r="BD17" s="10">
        <f t="shared" si="25"/>
        <v>0</v>
      </c>
      <c r="BE17" s="10">
        <f t="shared" si="25"/>
        <v>0</v>
      </c>
      <c r="BF17" s="10">
        <f t="shared" si="25"/>
        <v>0</v>
      </c>
      <c r="BG17" s="10">
        <f t="shared" si="25"/>
        <v>0</v>
      </c>
      <c r="BH17" s="10">
        <f t="shared" si="25"/>
        <v>0</v>
      </c>
      <c r="BI17" s="10">
        <f t="shared" si="25"/>
        <v>0</v>
      </c>
      <c r="BJ17" s="10">
        <f t="shared" si="25"/>
        <v>0</v>
      </c>
      <c r="BK17" s="10">
        <f t="shared" si="25"/>
        <v>0</v>
      </c>
    </row>
    <row r="18" spans="1:63" s="10" customFormat="1" x14ac:dyDescent="0.25">
      <c r="A18" s="11"/>
      <c r="B18" s="10" t="s">
        <v>303</v>
      </c>
      <c r="C18" t="s">
        <v>454</v>
      </c>
      <c r="D18" t="s">
        <v>455</v>
      </c>
      <c r="E18" s="10">
        <v>0</v>
      </c>
      <c r="F18" s="10">
        <f t="shared" si="17"/>
        <v>0</v>
      </c>
      <c r="G18" s="10">
        <f t="shared" si="17"/>
        <v>0</v>
      </c>
      <c r="H18" s="10">
        <f t="shared" si="17"/>
        <v>0</v>
      </c>
      <c r="I18" s="10">
        <f t="shared" si="17"/>
        <v>0</v>
      </c>
      <c r="J18" s="10">
        <f t="shared" si="17"/>
        <v>0</v>
      </c>
      <c r="K18" s="10">
        <f t="shared" si="17"/>
        <v>0</v>
      </c>
      <c r="L18" s="10">
        <f t="shared" si="17"/>
        <v>0</v>
      </c>
      <c r="M18" s="10">
        <f t="shared" si="17"/>
        <v>0</v>
      </c>
      <c r="N18" s="10">
        <f t="shared" si="17"/>
        <v>0</v>
      </c>
      <c r="O18" s="10">
        <f t="shared" si="17"/>
        <v>0</v>
      </c>
      <c r="Q18" s="10">
        <v>0</v>
      </c>
      <c r="R18" s="10">
        <f t="shared" si="22"/>
        <v>0</v>
      </c>
      <c r="S18" s="10">
        <f t="shared" si="22"/>
        <v>0</v>
      </c>
      <c r="T18" s="10">
        <f t="shared" si="22"/>
        <v>0</v>
      </c>
      <c r="U18" s="10">
        <f t="shared" si="22"/>
        <v>0</v>
      </c>
      <c r="V18" s="10">
        <f t="shared" si="22"/>
        <v>0</v>
      </c>
      <c r="W18" s="10">
        <f t="shared" si="22"/>
        <v>0</v>
      </c>
      <c r="X18" s="10">
        <f t="shared" si="22"/>
        <v>0</v>
      </c>
      <c r="Y18" s="10">
        <f t="shared" si="22"/>
        <v>0</v>
      </c>
      <c r="Z18" s="10">
        <f t="shared" si="22"/>
        <v>0</v>
      </c>
      <c r="AA18" s="10">
        <f t="shared" si="22"/>
        <v>0</v>
      </c>
      <c r="AC18" s="10">
        <v>0</v>
      </c>
      <c r="AD18" s="10">
        <f t="shared" si="23"/>
        <v>0</v>
      </c>
      <c r="AE18" s="10">
        <f t="shared" si="23"/>
        <v>0</v>
      </c>
      <c r="AF18" s="10">
        <f t="shared" si="23"/>
        <v>0</v>
      </c>
      <c r="AG18" s="10">
        <f t="shared" si="23"/>
        <v>0</v>
      </c>
      <c r="AH18" s="10">
        <f t="shared" si="23"/>
        <v>0</v>
      </c>
      <c r="AI18" s="10">
        <f t="shared" si="23"/>
        <v>0</v>
      </c>
      <c r="AJ18" s="10">
        <f t="shared" si="23"/>
        <v>0</v>
      </c>
      <c r="AK18" s="10">
        <f t="shared" si="23"/>
        <v>0</v>
      </c>
      <c r="AL18" s="10">
        <f t="shared" si="23"/>
        <v>0</v>
      </c>
      <c r="AM18" s="10">
        <f t="shared" si="23"/>
        <v>0</v>
      </c>
      <c r="AO18" s="10">
        <v>0</v>
      </c>
      <c r="AP18" s="10">
        <f t="shared" si="24"/>
        <v>0</v>
      </c>
      <c r="AQ18" s="10">
        <f t="shared" si="24"/>
        <v>0</v>
      </c>
      <c r="AR18" s="10">
        <f t="shared" si="24"/>
        <v>0</v>
      </c>
      <c r="AS18" s="10">
        <f t="shared" si="24"/>
        <v>0</v>
      </c>
      <c r="AT18" s="10">
        <f t="shared" si="24"/>
        <v>0</v>
      </c>
      <c r="AU18" s="10">
        <f t="shared" si="24"/>
        <v>0</v>
      </c>
      <c r="AV18" s="10">
        <f t="shared" si="24"/>
        <v>0</v>
      </c>
      <c r="AW18" s="10">
        <f t="shared" si="24"/>
        <v>0</v>
      </c>
      <c r="AX18" s="10">
        <f t="shared" si="24"/>
        <v>0</v>
      </c>
      <c r="AY18" s="10">
        <f t="shared" si="24"/>
        <v>0</v>
      </c>
      <c r="BA18" s="10">
        <v>0</v>
      </c>
      <c r="BB18" s="10">
        <f t="shared" si="25"/>
        <v>0</v>
      </c>
      <c r="BC18" s="10">
        <f t="shared" si="25"/>
        <v>0</v>
      </c>
      <c r="BD18" s="10">
        <f t="shared" si="25"/>
        <v>0</v>
      </c>
      <c r="BE18" s="10">
        <f t="shared" si="25"/>
        <v>0</v>
      </c>
      <c r="BF18" s="10">
        <f t="shared" si="25"/>
        <v>0</v>
      </c>
      <c r="BG18" s="10">
        <f t="shared" si="25"/>
        <v>0</v>
      </c>
      <c r="BH18" s="10">
        <f t="shared" si="25"/>
        <v>0</v>
      </c>
      <c r="BI18" s="10">
        <f t="shared" si="25"/>
        <v>0</v>
      </c>
      <c r="BJ18" s="10">
        <f t="shared" si="25"/>
        <v>0</v>
      </c>
      <c r="BK18" s="10">
        <f t="shared" si="25"/>
        <v>0</v>
      </c>
    </row>
    <row r="19" spans="1:63" s="10" customFormat="1" x14ac:dyDescent="0.25">
      <c r="A19" s="11"/>
      <c r="B19" s="10" t="s">
        <v>304</v>
      </c>
      <c r="C19" t="s">
        <v>456</v>
      </c>
      <c r="D19" t="s">
        <v>457</v>
      </c>
      <c r="E19" s="10">
        <v>0</v>
      </c>
      <c r="F19" s="10">
        <f t="shared" si="17"/>
        <v>0</v>
      </c>
      <c r="G19" s="10">
        <f t="shared" si="17"/>
        <v>0</v>
      </c>
      <c r="H19" s="10">
        <f t="shared" si="17"/>
        <v>0</v>
      </c>
      <c r="I19" s="10">
        <f t="shared" si="17"/>
        <v>0</v>
      </c>
      <c r="J19" s="10">
        <f t="shared" si="17"/>
        <v>0</v>
      </c>
      <c r="K19" s="10">
        <f t="shared" si="17"/>
        <v>0</v>
      </c>
      <c r="L19" s="10">
        <f t="shared" si="17"/>
        <v>0</v>
      </c>
      <c r="M19" s="10">
        <f t="shared" si="17"/>
        <v>0</v>
      </c>
      <c r="N19" s="10">
        <f t="shared" si="17"/>
        <v>0</v>
      </c>
      <c r="O19" s="10">
        <f t="shared" si="17"/>
        <v>0</v>
      </c>
      <c r="Q19" s="10">
        <v>0</v>
      </c>
      <c r="R19" s="10">
        <f t="shared" si="22"/>
        <v>0</v>
      </c>
      <c r="S19" s="10">
        <f t="shared" si="22"/>
        <v>0</v>
      </c>
      <c r="T19" s="10">
        <f t="shared" si="22"/>
        <v>0</v>
      </c>
      <c r="U19" s="10">
        <f t="shared" si="22"/>
        <v>0</v>
      </c>
      <c r="V19" s="10">
        <f t="shared" si="22"/>
        <v>0</v>
      </c>
      <c r="W19" s="10">
        <f t="shared" si="22"/>
        <v>0</v>
      </c>
      <c r="X19" s="10">
        <f t="shared" si="22"/>
        <v>0</v>
      </c>
      <c r="Y19" s="10">
        <f t="shared" si="22"/>
        <v>0</v>
      </c>
      <c r="Z19" s="10">
        <f t="shared" si="22"/>
        <v>0</v>
      </c>
      <c r="AA19" s="10">
        <f t="shared" si="22"/>
        <v>0</v>
      </c>
      <c r="AC19" s="10">
        <v>0</v>
      </c>
      <c r="AD19" s="10">
        <f t="shared" si="23"/>
        <v>0</v>
      </c>
      <c r="AE19" s="10">
        <f t="shared" si="23"/>
        <v>0</v>
      </c>
      <c r="AF19" s="10">
        <f t="shared" si="23"/>
        <v>0</v>
      </c>
      <c r="AG19" s="10">
        <f t="shared" si="23"/>
        <v>0</v>
      </c>
      <c r="AH19" s="10">
        <f t="shared" si="23"/>
        <v>0</v>
      </c>
      <c r="AI19" s="10">
        <f t="shared" si="23"/>
        <v>0</v>
      </c>
      <c r="AJ19" s="10">
        <f t="shared" si="23"/>
        <v>0</v>
      </c>
      <c r="AK19" s="10">
        <f t="shared" si="23"/>
        <v>0</v>
      </c>
      <c r="AL19" s="10">
        <f t="shared" si="23"/>
        <v>0</v>
      </c>
      <c r="AM19" s="10">
        <f t="shared" si="23"/>
        <v>0</v>
      </c>
      <c r="AO19" s="10">
        <v>0</v>
      </c>
      <c r="AP19" s="10">
        <f t="shared" si="24"/>
        <v>0</v>
      </c>
      <c r="AQ19" s="10">
        <f t="shared" si="24"/>
        <v>0</v>
      </c>
      <c r="AR19" s="10">
        <f t="shared" si="24"/>
        <v>0</v>
      </c>
      <c r="AS19" s="10">
        <f t="shared" si="24"/>
        <v>0</v>
      </c>
      <c r="AT19" s="10">
        <f t="shared" si="24"/>
        <v>0</v>
      </c>
      <c r="AU19" s="10">
        <f t="shared" si="24"/>
        <v>0</v>
      </c>
      <c r="AV19" s="10">
        <f t="shared" si="24"/>
        <v>0</v>
      </c>
      <c r="AW19" s="10">
        <f t="shared" si="24"/>
        <v>0</v>
      </c>
      <c r="AX19" s="10">
        <f t="shared" si="24"/>
        <v>0</v>
      </c>
      <c r="AY19" s="10">
        <f t="shared" si="24"/>
        <v>0</v>
      </c>
      <c r="BA19" s="10">
        <v>0</v>
      </c>
      <c r="BB19" s="10">
        <f t="shared" si="25"/>
        <v>0</v>
      </c>
      <c r="BC19" s="10">
        <f t="shared" si="25"/>
        <v>0</v>
      </c>
      <c r="BD19" s="10">
        <f t="shared" si="25"/>
        <v>0</v>
      </c>
      <c r="BE19" s="10">
        <f t="shared" si="25"/>
        <v>0</v>
      </c>
      <c r="BF19" s="10">
        <f t="shared" si="25"/>
        <v>0</v>
      </c>
      <c r="BG19" s="10">
        <f t="shared" si="25"/>
        <v>0</v>
      </c>
      <c r="BH19" s="10">
        <f t="shared" si="25"/>
        <v>0</v>
      </c>
      <c r="BI19" s="10">
        <f t="shared" si="25"/>
        <v>0</v>
      </c>
      <c r="BJ19" s="10">
        <f t="shared" si="25"/>
        <v>0</v>
      </c>
      <c r="BK19" s="10">
        <f t="shared" si="25"/>
        <v>0</v>
      </c>
    </row>
    <row r="20" spans="1:63" s="10" customFormat="1" x14ac:dyDescent="0.25">
      <c r="A20" s="11"/>
      <c r="B20" s="10" t="s">
        <v>305</v>
      </c>
      <c r="C20" t="s">
        <v>458</v>
      </c>
      <c r="D20" t="s">
        <v>459</v>
      </c>
      <c r="E20" s="10">
        <v>0</v>
      </c>
      <c r="F20" s="10">
        <f t="shared" si="17"/>
        <v>0</v>
      </c>
      <c r="G20" s="10">
        <f t="shared" si="17"/>
        <v>0</v>
      </c>
      <c r="H20" s="10">
        <f t="shared" si="17"/>
        <v>0</v>
      </c>
      <c r="I20" s="10">
        <f t="shared" si="17"/>
        <v>0</v>
      </c>
      <c r="J20" s="10">
        <f t="shared" si="17"/>
        <v>0</v>
      </c>
      <c r="K20" s="10">
        <f t="shared" si="17"/>
        <v>0</v>
      </c>
      <c r="L20" s="10">
        <f t="shared" si="17"/>
        <v>0</v>
      </c>
      <c r="M20" s="10">
        <f t="shared" si="17"/>
        <v>0</v>
      </c>
      <c r="N20" s="10">
        <f t="shared" si="17"/>
        <v>0</v>
      </c>
      <c r="O20" s="10">
        <f t="shared" si="17"/>
        <v>0</v>
      </c>
      <c r="Q20" s="10">
        <v>0</v>
      </c>
      <c r="R20" s="10">
        <f t="shared" si="22"/>
        <v>0</v>
      </c>
      <c r="S20" s="10">
        <f t="shared" si="22"/>
        <v>0</v>
      </c>
      <c r="T20" s="10">
        <f t="shared" si="22"/>
        <v>0</v>
      </c>
      <c r="U20" s="10">
        <f t="shared" si="22"/>
        <v>0</v>
      </c>
      <c r="V20" s="10">
        <f t="shared" si="22"/>
        <v>0</v>
      </c>
      <c r="W20" s="10">
        <f t="shared" si="22"/>
        <v>0</v>
      </c>
      <c r="X20" s="10">
        <f t="shared" si="22"/>
        <v>0</v>
      </c>
      <c r="Y20" s="10">
        <f t="shared" si="22"/>
        <v>0</v>
      </c>
      <c r="Z20" s="10">
        <f t="shared" si="22"/>
        <v>0</v>
      </c>
      <c r="AA20" s="10">
        <f t="shared" si="22"/>
        <v>0</v>
      </c>
      <c r="AC20" s="10">
        <v>0</v>
      </c>
      <c r="AD20" s="10">
        <f t="shared" si="23"/>
        <v>0</v>
      </c>
      <c r="AE20" s="10">
        <f t="shared" si="23"/>
        <v>0</v>
      </c>
      <c r="AF20" s="10">
        <f t="shared" si="23"/>
        <v>0</v>
      </c>
      <c r="AG20" s="10">
        <f t="shared" si="23"/>
        <v>0</v>
      </c>
      <c r="AH20" s="10">
        <f t="shared" si="23"/>
        <v>0</v>
      </c>
      <c r="AI20" s="10">
        <f t="shared" si="23"/>
        <v>0</v>
      </c>
      <c r="AJ20" s="10">
        <f t="shared" si="23"/>
        <v>0</v>
      </c>
      <c r="AK20" s="10">
        <f t="shared" si="23"/>
        <v>0</v>
      </c>
      <c r="AL20" s="10">
        <f t="shared" si="23"/>
        <v>0</v>
      </c>
      <c r="AM20" s="10">
        <f t="shared" si="23"/>
        <v>0</v>
      </c>
      <c r="AO20" s="10">
        <v>0</v>
      </c>
      <c r="AP20" s="10">
        <f t="shared" si="24"/>
        <v>0</v>
      </c>
      <c r="AQ20" s="10">
        <f t="shared" si="24"/>
        <v>0</v>
      </c>
      <c r="AR20" s="10">
        <f t="shared" si="24"/>
        <v>0</v>
      </c>
      <c r="AS20" s="10">
        <f t="shared" si="24"/>
        <v>0</v>
      </c>
      <c r="AT20" s="10">
        <f t="shared" si="24"/>
        <v>0</v>
      </c>
      <c r="AU20" s="10">
        <f t="shared" si="24"/>
        <v>0</v>
      </c>
      <c r="AV20" s="10">
        <f t="shared" si="24"/>
        <v>0</v>
      </c>
      <c r="AW20" s="10">
        <f t="shared" si="24"/>
        <v>0</v>
      </c>
      <c r="AX20" s="10">
        <f t="shared" si="24"/>
        <v>0</v>
      </c>
      <c r="AY20" s="10">
        <f t="shared" si="24"/>
        <v>0</v>
      </c>
      <c r="BA20" s="10">
        <v>0</v>
      </c>
      <c r="BB20" s="10">
        <f t="shared" si="25"/>
        <v>0</v>
      </c>
      <c r="BC20" s="10">
        <f t="shared" si="25"/>
        <v>0</v>
      </c>
      <c r="BD20" s="10">
        <f t="shared" si="25"/>
        <v>0</v>
      </c>
      <c r="BE20" s="10">
        <f t="shared" si="25"/>
        <v>0</v>
      </c>
      <c r="BF20" s="10">
        <f t="shared" si="25"/>
        <v>0</v>
      </c>
      <c r="BG20" s="10">
        <f t="shared" si="25"/>
        <v>0</v>
      </c>
      <c r="BH20" s="10">
        <f t="shared" si="25"/>
        <v>0</v>
      </c>
      <c r="BI20" s="10">
        <f t="shared" si="25"/>
        <v>0</v>
      </c>
      <c r="BJ20" s="10">
        <f t="shared" si="25"/>
        <v>0</v>
      </c>
      <c r="BK20" s="10">
        <f t="shared" si="25"/>
        <v>0</v>
      </c>
    </row>
    <row r="21" spans="1:63" x14ac:dyDescent="0.25">
      <c r="A21" s="2"/>
      <c r="B21" s="2"/>
      <c r="E21" t="str">
        <f t="shared" ref="E21:AA21" si="26">CONCATENATE(E20,E19,E18,E17,E16,E15,E14,E13)</f>
        <v>00000000</v>
      </c>
      <c r="F21" t="str">
        <f t="shared" si="26"/>
        <v>00000011</v>
      </c>
      <c r="G21" t="str">
        <f t="shared" si="26"/>
        <v>00000010</v>
      </c>
      <c r="H21" t="str">
        <f t="shared" si="26"/>
        <v>00000010</v>
      </c>
      <c r="I21" t="str">
        <f t="shared" si="26"/>
        <v>00000010</v>
      </c>
      <c r="J21" t="str">
        <f t="shared" si="26"/>
        <v>00000010</v>
      </c>
      <c r="K21" t="str">
        <f t="shared" si="26"/>
        <v>00000010</v>
      </c>
      <c r="L21" t="str">
        <f t="shared" si="26"/>
        <v>00000010</v>
      </c>
      <c r="M21" t="str">
        <f t="shared" si="26"/>
        <v>00000010</v>
      </c>
      <c r="N21" t="str">
        <f t="shared" si="26"/>
        <v>00000010</v>
      </c>
      <c r="O21" t="str">
        <f t="shared" si="26"/>
        <v>00000010</v>
      </c>
      <c r="Q21" t="str">
        <f t="shared" si="26"/>
        <v>00000000</v>
      </c>
      <c r="R21" t="str">
        <f t="shared" si="26"/>
        <v>00000000</v>
      </c>
      <c r="S21" t="str">
        <f t="shared" si="26"/>
        <v>00000000</v>
      </c>
      <c r="T21" t="str">
        <f t="shared" si="26"/>
        <v>00000000</v>
      </c>
      <c r="U21" t="str">
        <f t="shared" si="26"/>
        <v>00000000</v>
      </c>
      <c r="V21" t="str">
        <f t="shared" si="26"/>
        <v>00000000</v>
      </c>
      <c r="W21" t="str">
        <f t="shared" si="26"/>
        <v>00000000</v>
      </c>
      <c r="X21" t="str">
        <f t="shared" si="26"/>
        <v>00000000</v>
      </c>
      <c r="Y21" t="str">
        <f t="shared" si="26"/>
        <v>00000000</v>
      </c>
      <c r="Z21" t="str">
        <f t="shared" si="26"/>
        <v>00000000</v>
      </c>
      <c r="AA21" t="str">
        <f t="shared" si="26"/>
        <v>00000000</v>
      </c>
      <c r="AC21" t="str">
        <f>CONCATENATE(AC20,AC19,AC18,AC17,AC16,AC15,AC14,AC13)</f>
        <v>00000000</v>
      </c>
      <c r="AD21" t="str">
        <f t="shared" ref="AD21:AM21" si="27">CONCATENATE(AD20,AD19,AD18,AD17,AD16,AD15,AD14,AD13)</f>
        <v>00000000</v>
      </c>
      <c r="AE21" t="str">
        <f t="shared" si="27"/>
        <v>00000000</v>
      </c>
      <c r="AF21" t="str">
        <f t="shared" si="27"/>
        <v>00000000</v>
      </c>
      <c r="AG21" t="str">
        <f t="shared" si="27"/>
        <v>00000000</v>
      </c>
      <c r="AH21" t="str">
        <f t="shared" si="27"/>
        <v>00000000</v>
      </c>
      <c r="AI21" t="str">
        <f t="shared" si="27"/>
        <v>00000000</v>
      </c>
      <c r="AJ21" t="str">
        <f t="shared" si="27"/>
        <v>00000000</v>
      </c>
      <c r="AK21" t="str">
        <f t="shared" si="27"/>
        <v>00000000</v>
      </c>
      <c r="AL21" t="str">
        <f t="shared" si="27"/>
        <v>00000000</v>
      </c>
      <c r="AM21" t="str">
        <f t="shared" si="27"/>
        <v>00000000</v>
      </c>
      <c r="AO21" t="str">
        <f t="shared" ref="AO21:AY21" si="28">CONCATENATE(AO20,AO19,AO18,AO17,AO16,AO15,AO14,AO13)</f>
        <v>00000000</v>
      </c>
      <c r="AP21" t="str">
        <f t="shared" si="28"/>
        <v>00000000</v>
      </c>
      <c r="AQ21" t="str">
        <f t="shared" si="28"/>
        <v>00000000</v>
      </c>
      <c r="AR21" t="str">
        <f t="shared" si="28"/>
        <v>00000000</v>
      </c>
      <c r="AS21" t="str">
        <f t="shared" si="28"/>
        <v>00000000</v>
      </c>
      <c r="AT21" t="str">
        <f t="shared" si="28"/>
        <v>00000000</v>
      </c>
      <c r="AU21" t="str">
        <f t="shared" si="28"/>
        <v>00000000</v>
      </c>
      <c r="AV21" t="str">
        <f t="shared" si="28"/>
        <v>00000000</v>
      </c>
      <c r="AW21" t="str">
        <f t="shared" si="28"/>
        <v>00000000</v>
      </c>
      <c r="AX21" t="str">
        <f t="shared" si="28"/>
        <v>00000000</v>
      </c>
      <c r="AY21" t="str">
        <f t="shared" si="28"/>
        <v>00000000</v>
      </c>
      <c r="BA21" t="str">
        <f t="shared" ref="BA21:BK21" si="29">CONCATENATE(BA20,BA19,BA18,BA17,BA16,BA15,BA14,BA13)</f>
        <v>00000000</v>
      </c>
      <c r="BB21" t="str">
        <f t="shared" si="29"/>
        <v>00000000</v>
      </c>
      <c r="BC21" t="str">
        <f t="shared" si="29"/>
        <v>00000000</v>
      </c>
      <c r="BD21" t="str">
        <f t="shared" si="29"/>
        <v>00000000</v>
      </c>
      <c r="BE21" t="str">
        <f t="shared" si="29"/>
        <v>00000000</v>
      </c>
      <c r="BF21" t="str">
        <f t="shared" si="29"/>
        <v>00000000</v>
      </c>
      <c r="BG21" t="str">
        <f t="shared" si="29"/>
        <v>00000000</v>
      </c>
      <c r="BH21" t="str">
        <f t="shared" si="29"/>
        <v>00000000</v>
      </c>
      <c r="BI21" t="str">
        <f t="shared" si="29"/>
        <v>00000000</v>
      </c>
      <c r="BJ21" t="str">
        <f t="shared" si="29"/>
        <v>00000000</v>
      </c>
      <c r="BK21" t="str">
        <f t="shared" si="29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30">CONCATENATE(BIN2HEX(E21,2))</f>
        <v>00</v>
      </c>
      <c r="F22" t="str">
        <f t="shared" si="30"/>
        <v>03</v>
      </c>
      <c r="G22" t="str">
        <f t="shared" si="30"/>
        <v>02</v>
      </c>
      <c r="H22" t="str">
        <f t="shared" si="30"/>
        <v>02</v>
      </c>
      <c r="I22" t="str">
        <f t="shared" si="30"/>
        <v>02</v>
      </c>
      <c r="J22" t="str">
        <f t="shared" si="30"/>
        <v>02</v>
      </c>
      <c r="K22" t="str">
        <f t="shared" si="30"/>
        <v>02</v>
      </c>
      <c r="L22" t="str">
        <f t="shared" si="30"/>
        <v>02</v>
      </c>
      <c r="M22" t="str">
        <f t="shared" si="30"/>
        <v>02</v>
      </c>
      <c r="N22" t="str">
        <f t="shared" si="30"/>
        <v>02</v>
      </c>
      <c r="O22" t="str">
        <f t="shared" si="30"/>
        <v>02</v>
      </c>
      <c r="Q22" t="str">
        <f t="shared" si="30"/>
        <v>00</v>
      </c>
      <c r="R22" t="str">
        <f t="shared" si="30"/>
        <v>00</v>
      </c>
      <c r="S22" t="str">
        <f t="shared" si="30"/>
        <v>00</v>
      </c>
      <c r="T22" t="str">
        <f t="shared" si="30"/>
        <v>00</v>
      </c>
      <c r="U22" t="str">
        <f t="shared" si="30"/>
        <v>00</v>
      </c>
      <c r="V22" t="str">
        <f t="shared" si="30"/>
        <v>00</v>
      </c>
      <c r="W22" t="str">
        <f t="shared" si="30"/>
        <v>00</v>
      </c>
      <c r="X22" t="str">
        <f t="shared" si="30"/>
        <v>00</v>
      </c>
      <c r="Y22" t="str">
        <f t="shared" si="30"/>
        <v>00</v>
      </c>
      <c r="Z22" t="str">
        <f t="shared" si="30"/>
        <v>00</v>
      </c>
      <c r="AA22" t="str">
        <f t="shared" si="30"/>
        <v>00</v>
      </c>
      <c r="AC22" t="str">
        <f>CONCATENATE(BIN2HEX(AC21,2))</f>
        <v>00</v>
      </c>
      <c r="AD22" t="str">
        <f t="shared" ref="AD22:AM22" si="31">CONCATENATE(BIN2HEX(AD21,2))</f>
        <v>00</v>
      </c>
      <c r="AE22" t="str">
        <f t="shared" si="31"/>
        <v>00</v>
      </c>
      <c r="AF22" t="str">
        <f t="shared" si="31"/>
        <v>00</v>
      </c>
      <c r="AG22" t="str">
        <f t="shared" si="31"/>
        <v>00</v>
      </c>
      <c r="AH22" t="str">
        <f t="shared" si="31"/>
        <v>00</v>
      </c>
      <c r="AI22" t="str">
        <f t="shared" si="31"/>
        <v>00</v>
      </c>
      <c r="AJ22" t="str">
        <f t="shared" si="31"/>
        <v>00</v>
      </c>
      <c r="AK22" t="str">
        <f t="shared" si="31"/>
        <v>00</v>
      </c>
      <c r="AL22" t="str">
        <f t="shared" si="31"/>
        <v>00</v>
      </c>
      <c r="AM22" t="str">
        <f t="shared" si="31"/>
        <v>00</v>
      </c>
      <c r="AO22" t="str">
        <f t="shared" ref="AO22:AY22" si="32">CONCATENATE(BIN2HEX(AO21,2))</f>
        <v>00</v>
      </c>
      <c r="AP22" t="str">
        <f t="shared" si="32"/>
        <v>00</v>
      </c>
      <c r="AQ22" t="str">
        <f t="shared" si="32"/>
        <v>00</v>
      </c>
      <c r="AR22" t="str">
        <f t="shared" si="32"/>
        <v>00</v>
      </c>
      <c r="AS22" t="str">
        <f t="shared" si="32"/>
        <v>00</v>
      </c>
      <c r="AT22" t="str">
        <f t="shared" si="32"/>
        <v>00</v>
      </c>
      <c r="AU22" t="str">
        <f t="shared" si="32"/>
        <v>00</v>
      </c>
      <c r="AV22" t="str">
        <f t="shared" si="32"/>
        <v>00</v>
      </c>
      <c r="AW22" t="str">
        <f t="shared" si="32"/>
        <v>00</v>
      </c>
      <c r="AX22" t="str">
        <f t="shared" si="32"/>
        <v>00</v>
      </c>
      <c r="AY22" t="str">
        <f t="shared" si="32"/>
        <v>00</v>
      </c>
      <c r="BA22" t="str">
        <f t="shared" ref="BA22:BK22" si="33">CONCATENATE(BIN2HEX(BA21,2))</f>
        <v>00</v>
      </c>
      <c r="BB22" t="str">
        <f t="shared" si="33"/>
        <v>00</v>
      </c>
      <c r="BC22" t="str">
        <f t="shared" si="33"/>
        <v>00</v>
      </c>
      <c r="BD22" t="str">
        <f t="shared" si="33"/>
        <v>00</v>
      </c>
      <c r="BE22" t="str">
        <f t="shared" si="33"/>
        <v>00</v>
      </c>
      <c r="BF22" t="str">
        <f t="shared" si="33"/>
        <v>00</v>
      </c>
      <c r="BG22" t="str">
        <f t="shared" si="33"/>
        <v>00</v>
      </c>
      <c r="BH22" t="str">
        <f t="shared" si="33"/>
        <v>00</v>
      </c>
      <c r="BI22" t="str">
        <f t="shared" si="33"/>
        <v>00</v>
      </c>
      <c r="BJ22" t="str">
        <f t="shared" si="33"/>
        <v>00</v>
      </c>
      <c r="BK22" t="str">
        <f t="shared" si="33"/>
        <v>00</v>
      </c>
    </row>
    <row r="23" spans="1:63" x14ac:dyDescent="0.25">
      <c r="A23" s="2"/>
      <c r="B23" s="2"/>
      <c r="D23" s="13" t="s">
        <v>215</v>
      </c>
      <c r="E23" t="str">
        <f t="shared" ref="E23:O23" si="34">CONCATENATE("0x",E22,E11)</f>
        <v>0x0000</v>
      </c>
      <c r="F23" t="str">
        <f t="shared" si="34"/>
        <v>0x0300</v>
      </c>
      <c r="G23" t="str">
        <f t="shared" si="34"/>
        <v>0x0200</v>
      </c>
      <c r="H23" t="str">
        <f t="shared" si="34"/>
        <v>0x0200</v>
      </c>
      <c r="I23" t="str">
        <f t="shared" si="34"/>
        <v>0x0200</v>
      </c>
      <c r="J23" t="str">
        <f t="shared" si="34"/>
        <v>0x0200</v>
      </c>
      <c r="K23" t="str">
        <f t="shared" si="34"/>
        <v>0x0200</v>
      </c>
      <c r="L23" t="str">
        <f t="shared" si="34"/>
        <v>0x0200</v>
      </c>
      <c r="M23" t="str">
        <f t="shared" si="34"/>
        <v>0x0200</v>
      </c>
      <c r="N23" t="str">
        <f t="shared" si="34"/>
        <v>0x0200</v>
      </c>
      <c r="O23" t="str">
        <f t="shared" si="34"/>
        <v>0x0200</v>
      </c>
      <c r="Q23" t="str">
        <f t="shared" ref="Q23:AA23" si="35">CONCATENATE("0x",Q22,Q11)</f>
        <v>0x00FF</v>
      </c>
      <c r="R23" t="str">
        <f t="shared" si="35"/>
        <v>0x00FF</v>
      </c>
      <c r="S23" t="str">
        <f t="shared" si="35"/>
        <v>0x00FF</v>
      </c>
      <c r="T23" t="str">
        <f t="shared" si="35"/>
        <v>0x00FF</v>
      </c>
      <c r="U23" t="str">
        <f t="shared" si="35"/>
        <v>0x00FF</v>
      </c>
      <c r="V23" t="str">
        <f t="shared" si="35"/>
        <v>0x00FF</v>
      </c>
      <c r="W23" t="str">
        <f t="shared" si="35"/>
        <v>0x00FF</v>
      </c>
      <c r="X23" t="str">
        <f t="shared" si="35"/>
        <v>0x00FF</v>
      </c>
      <c r="Y23" t="str">
        <f t="shared" si="35"/>
        <v>0x00FF</v>
      </c>
      <c r="Z23" t="str">
        <f t="shared" si="35"/>
        <v>0x00FF</v>
      </c>
      <c r="AA23" t="str">
        <f t="shared" si="35"/>
        <v>0x00FF</v>
      </c>
      <c r="AC23" t="str">
        <f>CONCATENATE("0x",AC22,AC11)</f>
        <v>0x0000</v>
      </c>
      <c r="AD23" t="str">
        <f t="shared" ref="AD23:BK23" si="36">CONCATENATE("0x",AD22,AD11)</f>
        <v>0x0000</v>
      </c>
      <c r="AE23" t="str">
        <f t="shared" si="36"/>
        <v>0x0000</v>
      </c>
      <c r="AF23" t="str">
        <f t="shared" si="36"/>
        <v>0x0000</v>
      </c>
      <c r="AG23" t="str">
        <f t="shared" si="36"/>
        <v>0x0000</v>
      </c>
      <c r="AH23" t="str">
        <f t="shared" si="36"/>
        <v>0x0000</v>
      </c>
      <c r="AI23" t="str">
        <f t="shared" si="36"/>
        <v>0x0000</v>
      </c>
      <c r="AJ23" t="str">
        <f t="shared" si="36"/>
        <v>0x0000</v>
      </c>
      <c r="AK23" t="str">
        <f t="shared" si="36"/>
        <v>0x0000</v>
      </c>
      <c r="AL23" t="str">
        <f t="shared" si="36"/>
        <v>0x0000</v>
      </c>
      <c r="AM23" t="str">
        <f t="shared" si="36"/>
        <v>0x0000</v>
      </c>
      <c r="AO23" t="str">
        <f t="shared" si="36"/>
        <v>0x0000</v>
      </c>
      <c r="AP23" t="str">
        <f t="shared" si="36"/>
        <v>0x0000</v>
      </c>
      <c r="AQ23" t="str">
        <f t="shared" si="36"/>
        <v>0x0000</v>
      </c>
      <c r="AR23" t="str">
        <f t="shared" si="36"/>
        <v>0x0000</v>
      </c>
      <c r="AS23" t="str">
        <f t="shared" si="36"/>
        <v>0x0000</v>
      </c>
      <c r="AT23" t="str">
        <f t="shared" si="36"/>
        <v>0x0000</v>
      </c>
      <c r="AU23" t="str">
        <f t="shared" si="36"/>
        <v>0x0000</v>
      </c>
      <c r="AV23" t="str">
        <f t="shared" si="36"/>
        <v>0x0000</v>
      </c>
      <c r="AW23" t="str">
        <f t="shared" si="36"/>
        <v>0x0000</v>
      </c>
      <c r="AX23" t="str">
        <f t="shared" si="36"/>
        <v>0x0000</v>
      </c>
      <c r="AY23" t="str">
        <f t="shared" si="36"/>
        <v>0x0000</v>
      </c>
      <c r="BA23" t="str">
        <f t="shared" si="36"/>
        <v>0x0000</v>
      </c>
      <c r="BB23" t="str">
        <f t="shared" si="36"/>
        <v>0x0000</v>
      </c>
      <c r="BC23" t="str">
        <f t="shared" si="36"/>
        <v>0x0000</v>
      </c>
      <c r="BD23" t="str">
        <f t="shared" si="36"/>
        <v>0x0000</v>
      </c>
      <c r="BE23" t="str">
        <f t="shared" si="36"/>
        <v>0x0000</v>
      </c>
      <c r="BF23" t="str">
        <f t="shared" si="36"/>
        <v>0x0000</v>
      </c>
      <c r="BG23" t="str">
        <f t="shared" si="36"/>
        <v>0x0000</v>
      </c>
      <c r="BH23" t="str">
        <f t="shared" si="36"/>
        <v>0x0000</v>
      </c>
      <c r="BI23" t="str">
        <f t="shared" si="36"/>
        <v>0x0000</v>
      </c>
      <c r="BJ23" t="str">
        <f t="shared" si="36"/>
        <v>0x0000</v>
      </c>
      <c r="BK23" t="str">
        <f t="shared" si="36"/>
        <v>0x0000</v>
      </c>
    </row>
    <row r="24" spans="1:63" x14ac:dyDescent="0.25">
      <c r="A24" s="2"/>
      <c r="B24" s="2"/>
      <c r="D24" s="13" t="s">
        <v>216</v>
      </c>
      <c r="E24" t="str">
        <f>Q23</f>
        <v>0x00FF</v>
      </c>
      <c r="F24" t="str">
        <f>R23</f>
        <v>0x00FF</v>
      </c>
      <c r="G24" t="str">
        <f t="shared" ref="G24:O24" si="37">S23</f>
        <v>0x00FF</v>
      </c>
      <c r="H24" t="str">
        <f t="shared" si="37"/>
        <v>0x00FF</v>
      </c>
      <c r="I24" t="str">
        <f t="shared" si="37"/>
        <v>0x00FF</v>
      </c>
      <c r="J24" t="str">
        <f t="shared" si="37"/>
        <v>0x00FF</v>
      </c>
      <c r="K24" t="str">
        <f t="shared" si="37"/>
        <v>0x00FF</v>
      </c>
      <c r="L24" t="str">
        <f t="shared" si="37"/>
        <v>0x00FF</v>
      </c>
      <c r="M24" t="str">
        <f t="shared" si="37"/>
        <v>0x00FF</v>
      </c>
      <c r="N24" t="str">
        <f t="shared" si="37"/>
        <v>0x00FF</v>
      </c>
      <c r="O24" t="str">
        <f t="shared" si="37"/>
        <v>0x00FF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0x0000</v>
      </c>
      <c r="F25" t="str">
        <f t="shared" ref="F25:O25" si="38">AD23</f>
        <v>0x0000</v>
      </c>
      <c r="G25" t="str">
        <f t="shared" si="38"/>
        <v>0x0000</v>
      </c>
      <c r="H25" t="str">
        <f t="shared" si="38"/>
        <v>0x0000</v>
      </c>
      <c r="I25" t="str">
        <f t="shared" si="38"/>
        <v>0x0000</v>
      </c>
      <c r="J25" t="str">
        <f t="shared" si="38"/>
        <v>0x0000</v>
      </c>
      <c r="K25" t="str">
        <f t="shared" si="38"/>
        <v>0x0000</v>
      </c>
      <c r="L25" t="str">
        <f t="shared" si="38"/>
        <v>0x0000</v>
      </c>
      <c r="M25" t="str">
        <f t="shared" si="38"/>
        <v>0x0000</v>
      </c>
      <c r="N25" t="str">
        <f t="shared" si="38"/>
        <v>0x0000</v>
      </c>
      <c r="O25" t="str">
        <f t="shared" si="38"/>
        <v>0x0000</v>
      </c>
    </row>
    <row r="26" spans="1:63" x14ac:dyDescent="0.25">
      <c r="A26" s="2" t="s">
        <v>42</v>
      </c>
      <c r="B26" s="2" t="s">
        <v>36</v>
      </c>
      <c r="C26" t="s">
        <v>426</v>
      </c>
      <c r="D26" s="13" t="s">
        <v>209</v>
      </c>
      <c r="E26" t="str">
        <f>AO23</f>
        <v>0x0000</v>
      </c>
      <c r="F26" t="str">
        <f t="shared" ref="F26:O26" si="39">AP23</f>
        <v>0x0000</v>
      </c>
      <c r="G26" t="str">
        <f t="shared" si="39"/>
        <v>0x0000</v>
      </c>
      <c r="H26" t="str">
        <f t="shared" si="39"/>
        <v>0x0000</v>
      </c>
      <c r="I26" t="str">
        <f t="shared" si="39"/>
        <v>0x0000</v>
      </c>
      <c r="J26" t="str">
        <f t="shared" si="39"/>
        <v>0x0000</v>
      </c>
      <c r="K26" t="str">
        <f t="shared" si="39"/>
        <v>0x0000</v>
      </c>
      <c r="L26" t="str">
        <f t="shared" si="39"/>
        <v>0x0000</v>
      </c>
      <c r="M26" t="str">
        <f t="shared" si="39"/>
        <v>0x0000</v>
      </c>
      <c r="N26" t="str">
        <f t="shared" si="39"/>
        <v>0x0000</v>
      </c>
      <c r="O26" t="str">
        <f t="shared" si="39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0">BB23</f>
        <v>0x0000</v>
      </c>
      <c r="G27" t="str">
        <f t="shared" si="40"/>
        <v>0x0000</v>
      </c>
      <c r="H27" t="str">
        <f t="shared" si="40"/>
        <v>0x0000</v>
      </c>
      <c r="I27" t="str">
        <f t="shared" si="40"/>
        <v>0x0000</v>
      </c>
      <c r="J27" t="str">
        <f t="shared" si="40"/>
        <v>0x0000</v>
      </c>
      <c r="K27" t="str">
        <f t="shared" si="40"/>
        <v>0x0000</v>
      </c>
      <c r="L27" t="str">
        <f t="shared" si="40"/>
        <v>0x0000</v>
      </c>
      <c r="M27" t="str">
        <f t="shared" si="40"/>
        <v>0x0000</v>
      </c>
      <c r="N27" t="str">
        <f t="shared" si="40"/>
        <v>0x0000</v>
      </c>
      <c r="O27" t="str">
        <f t="shared" si="40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224</v>
      </c>
    </row>
    <row r="31" spans="1:63" x14ac:dyDescent="0.25">
      <c r="A31" s="4" t="str">
        <f ca="1">CONCATENATE("#",C$26,":",INDIRECT(H33))</f>
        <v>#RadioCard_TETRA_Exp1:wartość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0x26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0x00FF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#RadioCard_TETRA_Exp1:etap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0x26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0x00FF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0x0300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1">INDIRECT(H57)</f>
        <v>0x0000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2">INDIRECT(G58)</f>
        <v>#pins_int</v>
      </c>
      <c r="B58" s="4" t="str">
        <f t="shared" ca="1" si="41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2"/>
        <v>#pins_def_val</v>
      </c>
      <c r="B59" s="4" t="str">
        <f t="shared" ca="1" si="41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#RadioCard_TETRA_Exp1:etap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0x26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0x00FF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0x0200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3">INDIRECT(H77)</f>
        <v>0x0000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4">INDIRECT(G78)</f>
        <v>#pins_int</v>
      </c>
      <c r="B78" s="4" t="str">
        <f t="shared" ca="1" si="43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4"/>
        <v>#pins_def_val</v>
      </c>
      <c r="B79" s="4" t="str">
        <f t="shared" ca="1" si="43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#RadioCard_TETRA_Exp1:etap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0x26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0x00FF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0x0200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5">INDIRECT(H97)</f>
        <v>0x0000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6">INDIRECT(G98)</f>
        <v>#pins_int</v>
      </c>
      <c r="B98" s="4" t="str">
        <f t="shared" ca="1" si="45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6"/>
        <v>#pins_def_val</v>
      </c>
      <c r="B99" s="4" t="str">
        <f t="shared" ca="1" si="45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#RadioCard_TETRA_Exp1:etap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0x26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0x00FF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0x0200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7">INDIRECT(H117)</f>
        <v>0x0000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8">INDIRECT(G118)</f>
        <v>#pins_int</v>
      </c>
      <c r="B118" s="4" t="str">
        <f t="shared" ca="1" si="47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8"/>
        <v>#pins_def_val</v>
      </c>
      <c r="B119" s="4" t="str">
        <f t="shared" ca="1" si="47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#RadioCard_TETRA_Exp1:etap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0x26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0x00FF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0x0200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49">INDIRECT(H137)</f>
        <v>0x0000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0">INDIRECT(G138)</f>
        <v>#pins_int</v>
      </c>
      <c r="B138" s="4" t="str">
        <f t="shared" ca="1" si="49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0"/>
        <v>#pins_def_val</v>
      </c>
      <c r="B139" s="4" t="str">
        <f t="shared" ca="1" si="49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#RadioCard_TETRA_Exp1:etap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0x26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0x00FF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0x0200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1">INDIRECT(H157)</f>
        <v>0x0000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2">INDIRECT(G158)</f>
        <v>#pins_int</v>
      </c>
      <c r="B158" s="4" t="str">
        <f t="shared" ca="1" si="51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2"/>
        <v>#pins_def_val</v>
      </c>
      <c r="B159" s="4" t="str">
        <f t="shared" ca="1" si="51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#RadioCard_TETRA_Exp1:etap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0x26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0x00FF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0x0200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3">INDIRECT(H177)</f>
        <v>0x0000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4">INDIRECT(G178)</f>
        <v>#pins_int</v>
      </c>
      <c r="B178" s="4" t="str">
        <f t="shared" ca="1" si="53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4"/>
        <v>#pins_def_val</v>
      </c>
      <c r="B179" s="4" t="str">
        <f t="shared" ca="1" si="53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#RadioCard_TETRA_Exp1:etap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0x26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0x00FF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0x0200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5">INDIRECT(H197)</f>
        <v>0x0000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6">INDIRECT(G198)</f>
        <v>#pins_int</v>
      </c>
      <c r="B198" s="4" t="str">
        <f t="shared" ca="1" si="55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6"/>
        <v>#pins_def_val</v>
      </c>
      <c r="B199" s="4" t="str">
        <f t="shared" ca="1" si="55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#RadioCard_TETRA_Exp1:etap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0x26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0x00FF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0x0200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7">INDIRECT(H217)</f>
        <v>0x0000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8">INDIRECT(G218)</f>
        <v>#pins_int</v>
      </c>
      <c r="B218" s="4" t="str">
        <f t="shared" ca="1" si="57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8"/>
        <v>#pins_def_val</v>
      </c>
      <c r="B219" s="4" t="str">
        <f t="shared" ca="1" si="57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#RadioCard_TETRA_Exp1:etap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0x26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0x00FF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0x0200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59">INDIRECT(H237)</f>
        <v>0x0000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0">INDIRECT(G238)</f>
        <v>#pins_int</v>
      </c>
      <c r="B238" s="4" t="str">
        <f t="shared" ca="1" si="59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0"/>
        <v>#pins_def_val</v>
      </c>
      <c r="B239" s="4" t="str">
        <f t="shared" ca="1" si="59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3" priority="1" stopIfTrue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N33" sqref="N33"/>
    </sheetView>
  </sheetViews>
  <sheetFormatPr defaultRowHeight="15" x14ac:dyDescent="0.25"/>
  <cols>
    <col min="1" max="1" width="18.5703125" customWidth="1"/>
    <col min="3" max="3" width="23.42578125" bestFit="1" customWidth="1"/>
    <col min="4" max="4" width="47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409</v>
      </c>
      <c r="J1" s="1" t="s">
        <v>410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0" t="s">
        <v>290</v>
      </c>
      <c r="C2" s="10" t="s">
        <v>381</v>
      </c>
      <c r="D2" t="s">
        <v>396</v>
      </c>
      <c r="E2" s="10">
        <v>0</v>
      </c>
      <c r="F2" s="10">
        <v>0</v>
      </c>
      <c r="G2" s="10">
        <v>0</v>
      </c>
      <c r="H2" s="10">
        <v>1</v>
      </c>
      <c r="I2" s="10">
        <f t="shared" ref="H2:O9" si="0">H2</f>
        <v>1</v>
      </c>
      <c r="J2" s="10">
        <f t="shared" si="0"/>
        <v>1</v>
      </c>
      <c r="K2" s="10">
        <f t="shared" si="0"/>
        <v>1</v>
      </c>
      <c r="L2" s="10">
        <f t="shared" si="0"/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0" t="s">
        <v>291</v>
      </c>
      <c r="C3" s="10" t="s">
        <v>382</v>
      </c>
      <c r="D3" t="s">
        <v>397</v>
      </c>
      <c r="E3" s="10">
        <v>0</v>
      </c>
      <c r="F3" s="10">
        <v>0</v>
      </c>
      <c r="G3" s="10">
        <v>1</v>
      </c>
      <c r="H3" s="10">
        <f t="shared" ref="H3" si="5">G3</f>
        <v>1</v>
      </c>
      <c r="I3" s="10">
        <f t="shared" si="0"/>
        <v>1</v>
      </c>
      <c r="J3" s="10">
        <f t="shared" si="0"/>
        <v>1</v>
      </c>
      <c r="K3" s="10">
        <f t="shared" si="0"/>
        <v>1</v>
      </c>
      <c r="L3" s="10">
        <f t="shared" si="0"/>
        <v>1</v>
      </c>
      <c r="M3" s="10">
        <f t="shared" si="0"/>
        <v>1</v>
      </c>
      <c r="N3" s="10">
        <f t="shared" si="0"/>
        <v>1</v>
      </c>
      <c r="O3" s="10">
        <f t="shared" si="0"/>
        <v>1</v>
      </c>
      <c r="Q3" s="10">
        <v>0</v>
      </c>
      <c r="R3" s="10">
        <f t="shared" ref="R3:AA9" si="6">Q3</f>
        <v>0</v>
      </c>
      <c r="S3" s="10">
        <f t="shared" si="6"/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0" t="s">
        <v>292</v>
      </c>
      <c r="C4" s="10" t="s">
        <v>383</v>
      </c>
      <c r="D4" t="s">
        <v>398</v>
      </c>
      <c r="E4" s="10">
        <v>0</v>
      </c>
      <c r="F4" s="10">
        <v>0</v>
      </c>
      <c r="G4" s="10">
        <v>0</v>
      </c>
      <c r="H4" s="10">
        <f t="shared" si="0"/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10">
        <f t="shared" si="0"/>
        <v>0</v>
      </c>
      <c r="O4" s="10">
        <f t="shared" si="0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0" t="s">
        <v>293</v>
      </c>
      <c r="C5" s="10" t="s">
        <v>384</v>
      </c>
      <c r="D5" t="s">
        <v>399</v>
      </c>
      <c r="E5" s="10">
        <v>0</v>
      </c>
      <c r="F5" s="10">
        <v>0</v>
      </c>
      <c r="G5" s="10"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 t="shared" si="0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1</v>
      </c>
      <c r="AD5" s="10">
        <f t="shared" si="7"/>
        <v>1</v>
      </c>
      <c r="AE5" s="10">
        <f t="shared" si="7"/>
        <v>1</v>
      </c>
      <c r="AF5" s="10">
        <f t="shared" si="7"/>
        <v>1</v>
      </c>
      <c r="AG5" s="10">
        <f t="shared" si="7"/>
        <v>1</v>
      </c>
      <c r="AH5" s="10">
        <f t="shared" si="7"/>
        <v>1</v>
      </c>
      <c r="AI5" s="10">
        <f t="shared" si="7"/>
        <v>1</v>
      </c>
      <c r="AJ5" s="10">
        <f t="shared" si="7"/>
        <v>1</v>
      </c>
      <c r="AK5" s="10">
        <f t="shared" si="7"/>
        <v>1</v>
      </c>
      <c r="AL5" s="10">
        <f t="shared" si="7"/>
        <v>1</v>
      </c>
      <c r="AM5" s="10">
        <f t="shared" si="7"/>
        <v>1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0" t="s">
        <v>294</v>
      </c>
      <c r="C6" s="10" t="s">
        <v>385</v>
      </c>
      <c r="D6" t="s">
        <v>400</v>
      </c>
      <c r="E6" s="10">
        <v>0</v>
      </c>
      <c r="F6" s="10">
        <v>0</v>
      </c>
      <c r="G6" s="10">
        <v>1</v>
      </c>
      <c r="H6" s="10">
        <v>1</v>
      </c>
      <c r="I6" s="10">
        <f t="shared" si="0"/>
        <v>1</v>
      </c>
      <c r="J6" s="10">
        <v>0</v>
      </c>
      <c r="K6" s="10"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Q6" s="10">
        <v>0</v>
      </c>
      <c r="R6" s="10">
        <f t="shared" si="6"/>
        <v>0</v>
      </c>
      <c r="S6" s="10">
        <f t="shared" si="6"/>
        <v>0</v>
      </c>
      <c r="T6" s="10">
        <f t="shared" si="6"/>
        <v>0</v>
      </c>
      <c r="U6" s="10">
        <f t="shared" si="6"/>
        <v>0</v>
      </c>
      <c r="V6" s="10">
        <f t="shared" si="6"/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0" t="s">
        <v>295</v>
      </c>
      <c r="C7" s="10" t="s">
        <v>386</v>
      </c>
      <c r="D7" t="s">
        <v>401</v>
      </c>
      <c r="E7" s="10">
        <v>0</v>
      </c>
      <c r="F7" s="10">
        <v>0</v>
      </c>
      <c r="G7" s="10">
        <v>1</v>
      </c>
      <c r="H7" s="10">
        <v>1</v>
      </c>
      <c r="I7" s="10">
        <v>0</v>
      </c>
      <c r="J7" s="10"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Q7" s="10">
        <v>0</v>
      </c>
      <c r="R7" s="10">
        <f t="shared" si="6"/>
        <v>0</v>
      </c>
      <c r="S7" s="10">
        <f t="shared" si="6"/>
        <v>0</v>
      </c>
      <c r="T7" s="10">
        <f t="shared" si="6"/>
        <v>0</v>
      </c>
      <c r="U7" s="10">
        <f t="shared" si="6"/>
        <v>0</v>
      </c>
      <c r="V7" s="10">
        <f t="shared" si="6"/>
        <v>0</v>
      </c>
      <c r="W7" s="10">
        <f t="shared" si="6"/>
        <v>0</v>
      </c>
      <c r="X7" s="10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0" t="s">
        <v>296</v>
      </c>
      <c r="C8" s="10" t="s">
        <v>387</v>
      </c>
      <c r="D8" t="s">
        <v>402</v>
      </c>
      <c r="E8" s="10">
        <v>0</v>
      </c>
      <c r="F8" s="10">
        <v>0</v>
      </c>
      <c r="G8" s="10"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0">
        <f t="shared" si="0"/>
        <v>0</v>
      </c>
      <c r="Q8" s="10">
        <v>0</v>
      </c>
      <c r="R8" s="10">
        <f t="shared" si="6"/>
        <v>0</v>
      </c>
      <c r="S8" s="10">
        <f t="shared" si="6"/>
        <v>0</v>
      </c>
      <c r="T8" s="10">
        <f t="shared" si="6"/>
        <v>0</v>
      </c>
      <c r="U8" s="10">
        <f t="shared" si="6"/>
        <v>0</v>
      </c>
      <c r="V8" s="10">
        <f t="shared" si="6"/>
        <v>0</v>
      </c>
      <c r="W8" s="10">
        <f t="shared" si="6"/>
        <v>0</v>
      </c>
      <c r="X8" s="10">
        <f t="shared" si="6"/>
        <v>0</v>
      </c>
      <c r="Y8" s="10">
        <f t="shared" si="6"/>
        <v>0</v>
      </c>
      <c r="Z8" s="10">
        <f t="shared" si="6"/>
        <v>0</v>
      </c>
      <c r="AA8" s="10">
        <f t="shared" si="6"/>
        <v>0</v>
      </c>
      <c r="AC8" s="10">
        <v>0</v>
      </c>
      <c r="AD8" s="10">
        <f t="shared" si="7"/>
        <v>0</v>
      </c>
      <c r="AE8" s="10">
        <f t="shared" si="7"/>
        <v>0</v>
      </c>
      <c r="AF8" s="10">
        <f t="shared" si="7"/>
        <v>0</v>
      </c>
      <c r="AG8" s="10">
        <f t="shared" si="7"/>
        <v>0</v>
      </c>
      <c r="AH8" s="10">
        <f t="shared" si="7"/>
        <v>0</v>
      </c>
      <c r="AI8" s="10">
        <f t="shared" si="7"/>
        <v>0</v>
      </c>
      <c r="AJ8" s="10">
        <f t="shared" si="7"/>
        <v>0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0" t="s">
        <v>297</v>
      </c>
      <c r="C9" s="10" t="s">
        <v>388</v>
      </c>
      <c r="D9" t="s">
        <v>403</v>
      </c>
      <c r="E9" s="10">
        <v>0</v>
      </c>
      <c r="F9" s="10">
        <v>0</v>
      </c>
      <c r="G9" s="10"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0</v>
      </c>
      <c r="O9" s="10">
        <f t="shared" si="0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E10" t="str">
        <f t="shared" ref="E10:AA10" si="10">CONCATENATE(E9,E8,E7,E6,E5,E4,E3,E2)</f>
        <v>00000000</v>
      </c>
      <c r="F10" t="str">
        <f t="shared" si="10"/>
        <v>00000000</v>
      </c>
      <c r="G10" t="str">
        <f t="shared" si="10"/>
        <v>00110010</v>
      </c>
      <c r="H10" t="str">
        <f t="shared" si="10"/>
        <v>00110011</v>
      </c>
      <c r="I10" t="str">
        <f t="shared" si="10"/>
        <v>00010011</v>
      </c>
      <c r="J10" t="str">
        <f t="shared" si="10"/>
        <v>00100011</v>
      </c>
      <c r="K10" t="str">
        <f t="shared" si="10"/>
        <v>00110011</v>
      </c>
      <c r="L10" t="str">
        <f t="shared" si="10"/>
        <v>00110011</v>
      </c>
      <c r="M10" t="str">
        <f t="shared" si="10"/>
        <v>00110011</v>
      </c>
      <c r="N10" t="str">
        <f t="shared" si="10"/>
        <v>00110011</v>
      </c>
      <c r="O10" t="str">
        <f t="shared" si="10"/>
        <v>00110011</v>
      </c>
      <c r="Q10" t="str">
        <f t="shared" si="10"/>
        <v>10001100</v>
      </c>
      <c r="R10" t="str">
        <f t="shared" si="10"/>
        <v>10001100</v>
      </c>
      <c r="S10" t="str">
        <f t="shared" si="10"/>
        <v>10001100</v>
      </c>
      <c r="T10" t="str">
        <f t="shared" si="10"/>
        <v>10001100</v>
      </c>
      <c r="U10" t="str">
        <f t="shared" si="10"/>
        <v>10001100</v>
      </c>
      <c r="V10" t="str">
        <f t="shared" si="10"/>
        <v>10001100</v>
      </c>
      <c r="W10" t="str">
        <f t="shared" si="10"/>
        <v>10001100</v>
      </c>
      <c r="X10" t="str">
        <f t="shared" si="10"/>
        <v>10001100</v>
      </c>
      <c r="Y10" t="str">
        <f t="shared" si="10"/>
        <v>10001100</v>
      </c>
      <c r="Z10" t="str">
        <f t="shared" si="10"/>
        <v>10001100</v>
      </c>
      <c r="AA10" t="str">
        <f t="shared" si="10"/>
        <v>10001100</v>
      </c>
      <c r="AC10" t="str">
        <f>CONCATENATE(AC9,AC8,AC7,AC6,AC5,AC4,AC3,AC2)</f>
        <v>00001000</v>
      </c>
      <c r="AD10" t="str">
        <f t="shared" ref="AD10:AM10" si="11">CONCATENATE(AD9,AD8,AD7,AD6,AD5,AD4,AD3,AD2)</f>
        <v>00001000</v>
      </c>
      <c r="AE10" t="str">
        <f t="shared" si="11"/>
        <v>00001000</v>
      </c>
      <c r="AF10" t="str">
        <f t="shared" si="11"/>
        <v>00001000</v>
      </c>
      <c r="AG10" t="str">
        <f t="shared" si="11"/>
        <v>00001000</v>
      </c>
      <c r="AH10" t="str">
        <f t="shared" si="11"/>
        <v>00001000</v>
      </c>
      <c r="AI10" t="str">
        <f t="shared" si="11"/>
        <v>00001000</v>
      </c>
      <c r="AJ10" t="str">
        <f t="shared" si="11"/>
        <v>00001000</v>
      </c>
      <c r="AK10" t="str">
        <f t="shared" si="11"/>
        <v>00001000</v>
      </c>
      <c r="AL10" t="str">
        <f t="shared" si="11"/>
        <v>00001000</v>
      </c>
      <c r="AM10" t="str">
        <f t="shared" si="11"/>
        <v>00001000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E11" t="str">
        <f t="shared" ref="E11:AA11" si="14">CONCATENATE(BIN2HEX(E10,2))</f>
        <v>00</v>
      </c>
      <c r="F11" t="str">
        <f t="shared" si="14"/>
        <v>00</v>
      </c>
      <c r="G11" t="str">
        <f t="shared" si="14"/>
        <v>32</v>
      </c>
      <c r="H11" t="str">
        <f t="shared" si="14"/>
        <v>33</v>
      </c>
      <c r="I11" t="str">
        <f t="shared" si="14"/>
        <v>13</v>
      </c>
      <c r="J11" t="str">
        <f t="shared" si="14"/>
        <v>23</v>
      </c>
      <c r="K11" t="str">
        <f t="shared" si="14"/>
        <v>33</v>
      </c>
      <c r="L11" t="str">
        <f t="shared" si="14"/>
        <v>33</v>
      </c>
      <c r="M11" t="str">
        <f t="shared" si="14"/>
        <v>33</v>
      </c>
      <c r="N11" t="str">
        <f t="shared" si="14"/>
        <v>33</v>
      </c>
      <c r="O11" t="str">
        <f t="shared" si="14"/>
        <v>33</v>
      </c>
      <c r="Q11" t="str">
        <f t="shared" si="14"/>
        <v>8C</v>
      </c>
      <c r="R11" t="str">
        <f t="shared" si="14"/>
        <v>8C</v>
      </c>
      <c r="S11" t="str">
        <f t="shared" si="14"/>
        <v>8C</v>
      </c>
      <c r="T11" t="str">
        <f t="shared" si="14"/>
        <v>8C</v>
      </c>
      <c r="U11" t="str">
        <f t="shared" si="14"/>
        <v>8C</v>
      </c>
      <c r="V11" t="str">
        <f t="shared" si="14"/>
        <v>8C</v>
      </c>
      <c r="W11" t="str">
        <f t="shared" si="14"/>
        <v>8C</v>
      </c>
      <c r="X11" t="str">
        <f t="shared" si="14"/>
        <v>8C</v>
      </c>
      <c r="Y11" t="str">
        <f t="shared" si="14"/>
        <v>8C</v>
      </c>
      <c r="Z11" t="str">
        <f t="shared" si="14"/>
        <v>8C</v>
      </c>
      <c r="AA11" t="str">
        <f t="shared" si="14"/>
        <v>8C</v>
      </c>
      <c r="AC11" t="str">
        <f>CONCATENATE(BIN2HEX(AC10,2))</f>
        <v>08</v>
      </c>
      <c r="AD11" t="str">
        <f t="shared" ref="AD11:AM11" si="15">CONCATENATE(BIN2HEX(AD10,2))</f>
        <v>08</v>
      </c>
      <c r="AE11" t="str">
        <f t="shared" si="15"/>
        <v>08</v>
      </c>
      <c r="AF11" t="str">
        <f t="shared" si="15"/>
        <v>08</v>
      </c>
      <c r="AG11" t="str">
        <f t="shared" si="15"/>
        <v>08</v>
      </c>
      <c r="AH11" t="str">
        <f t="shared" si="15"/>
        <v>08</v>
      </c>
      <c r="AI11" t="str">
        <f t="shared" si="15"/>
        <v>08</v>
      </c>
      <c r="AJ11" t="str">
        <f t="shared" si="15"/>
        <v>08</v>
      </c>
      <c r="AK11" t="str">
        <f t="shared" si="15"/>
        <v>08</v>
      </c>
      <c r="AL11" t="str">
        <f t="shared" si="15"/>
        <v>08</v>
      </c>
      <c r="AM11" t="str">
        <f t="shared" si="15"/>
        <v>08</v>
      </c>
      <c r="AO11" t="str">
        <f t="shared" ref="AO11:AY11" si="16">CONCATENATE(BIN2HEX(AO10,2))</f>
        <v>00</v>
      </c>
      <c r="AP11" t="str">
        <f t="shared" si="16"/>
        <v>00</v>
      </c>
      <c r="AQ11" t="str">
        <f t="shared" si="16"/>
        <v>00</v>
      </c>
      <c r="AR11" t="str">
        <f t="shared" si="16"/>
        <v>00</v>
      </c>
      <c r="AS11" t="str">
        <f t="shared" si="16"/>
        <v>00</v>
      </c>
      <c r="AT11" t="str">
        <f t="shared" si="16"/>
        <v>00</v>
      </c>
      <c r="AU11" t="str">
        <f t="shared" si="16"/>
        <v>00</v>
      </c>
      <c r="AV11" t="str">
        <f t="shared" si="16"/>
        <v>00</v>
      </c>
      <c r="AW11" t="str">
        <f t="shared" si="16"/>
        <v>00</v>
      </c>
      <c r="AX11" t="str">
        <f t="shared" si="16"/>
        <v>00</v>
      </c>
      <c r="AY11" t="str">
        <f t="shared" si="16"/>
        <v>00</v>
      </c>
      <c r="BA11" t="str">
        <f t="shared" ref="BA11:BK11" si="17">CONCATENATE(BIN2HEX(BA10,2))</f>
        <v>00</v>
      </c>
      <c r="BB11" t="str">
        <f t="shared" si="17"/>
        <v>00</v>
      </c>
      <c r="BC11" t="str">
        <f t="shared" si="17"/>
        <v>00</v>
      </c>
      <c r="BD11" t="str">
        <f t="shared" si="17"/>
        <v>00</v>
      </c>
      <c r="BE11" t="str">
        <f t="shared" si="17"/>
        <v>00</v>
      </c>
      <c r="BF11" t="str">
        <f t="shared" si="17"/>
        <v>00</v>
      </c>
      <c r="BG11" t="str">
        <f t="shared" si="17"/>
        <v>00</v>
      </c>
      <c r="BH11" t="str">
        <f t="shared" si="17"/>
        <v>00</v>
      </c>
      <c r="BI11" t="str">
        <f t="shared" si="17"/>
        <v>00</v>
      </c>
      <c r="BJ11" t="str">
        <f t="shared" si="17"/>
        <v>00</v>
      </c>
      <c r="BK11" t="str">
        <f t="shared" si="17"/>
        <v>00</v>
      </c>
    </row>
    <row r="12" spans="1:63" x14ac:dyDescent="0.25">
      <c r="A12" s="2"/>
    </row>
    <row r="13" spans="1:63" s="10" customFormat="1" x14ac:dyDescent="0.25">
      <c r="A13" s="11"/>
      <c r="B13" s="10" t="s">
        <v>298</v>
      </c>
      <c r="C13" s="10" t="s">
        <v>389</v>
      </c>
      <c r="D13" t="s">
        <v>404</v>
      </c>
      <c r="E13" s="10">
        <v>0</v>
      </c>
      <c r="F13" s="10">
        <v>1</v>
      </c>
      <c r="G13" s="10">
        <f>F13</f>
        <v>1</v>
      </c>
      <c r="H13" s="10">
        <f>G13</f>
        <v>1</v>
      </c>
      <c r="I13" s="10">
        <f t="shared" ref="H13:O20" si="18">H13</f>
        <v>1</v>
      </c>
      <c r="J13" s="10">
        <f t="shared" si="18"/>
        <v>1</v>
      </c>
      <c r="K13" s="10">
        <f t="shared" si="18"/>
        <v>1</v>
      </c>
      <c r="L13" s="10">
        <f t="shared" si="18"/>
        <v>1</v>
      </c>
      <c r="M13" s="10">
        <f t="shared" si="18"/>
        <v>1</v>
      </c>
      <c r="N13" s="10">
        <f t="shared" si="18"/>
        <v>1</v>
      </c>
      <c r="O13" s="10">
        <f t="shared" si="18"/>
        <v>1</v>
      </c>
      <c r="Q13" s="10">
        <v>0</v>
      </c>
      <c r="R13" s="10">
        <f t="shared" ref="R13:AA20" si="19">Q13</f>
        <v>0</v>
      </c>
      <c r="S13" s="10">
        <f t="shared" si="19"/>
        <v>0</v>
      </c>
      <c r="T13" s="10">
        <f t="shared" si="19"/>
        <v>0</v>
      </c>
      <c r="U13" s="10">
        <f t="shared" si="19"/>
        <v>0</v>
      </c>
      <c r="V13" s="10">
        <f t="shared" si="19"/>
        <v>0</v>
      </c>
      <c r="W13" s="10">
        <f t="shared" si="19"/>
        <v>0</v>
      </c>
      <c r="X13" s="10">
        <f t="shared" si="19"/>
        <v>0</v>
      </c>
      <c r="Y13" s="10">
        <f t="shared" si="19"/>
        <v>0</v>
      </c>
      <c r="Z13" s="10">
        <f t="shared" si="19"/>
        <v>0</v>
      </c>
      <c r="AA13" s="10">
        <f t="shared" si="19"/>
        <v>0</v>
      </c>
      <c r="AC13" s="10">
        <v>0</v>
      </c>
      <c r="AD13" s="10">
        <f>AC13</f>
        <v>0</v>
      </c>
      <c r="AE13" s="10">
        <f t="shared" ref="AE13:AM13" si="20">AD13</f>
        <v>0</v>
      </c>
      <c r="AF13" s="10">
        <f t="shared" si="20"/>
        <v>0</v>
      </c>
      <c r="AG13" s="10">
        <f t="shared" si="20"/>
        <v>0</v>
      </c>
      <c r="AH13" s="10">
        <f t="shared" si="20"/>
        <v>0</v>
      </c>
      <c r="AI13" s="10">
        <f t="shared" si="20"/>
        <v>0</v>
      </c>
      <c r="AJ13" s="10">
        <f t="shared" si="20"/>
        <v>0</v>
      </c>
      <c r="AK13" s="10">
        <f t="shared" si="20"/>
        <v>0</v>
      </c>
      <c r="AL13" s="10">
        <f t="shared" si="20"/>
        <v>0</v>
      </c>
      <c r="AM13" s="10">
        <f t="shared" si="20"/>
        <v>0</v>
      </c>
      <c r="AO13" s="10">
        <v>0</v>
      </c>
      <c r="AP13" s="10">
        <f>AO13</f>
        <v>0</v>
      </c>
      <c r="AQ13" s="10">
        <f t="shared" ref="AQ13:AY13" si="21">AP13</f>
        <v>0</v>
      </c>
      <c r="AR13" s="10">
        <f t="shared" si="21"/>
        <v>0</v>
      </c>
      <c r="AS13" s="10">
        <f t="shared" si="21"/>
        <v>0</v>
      </c>
      <c r="AT13" s="10">
        <f t="shared" si="21"/>
        <v>0</v>
      </c>
      <c r="AU13" s="10">
        <f t="shared" si="21"/>
        <v>0</v>
      </c>
      <c r="AV13" s="10">
        <f t="shared" si="21"/>
        <v>0</v>
      </c>
      <c r="AW13" s="10">
        <f t="shared" si="21"/>
        <v>0</v>
      </c>
      <c r="AX13" s="10">
        <f t="shared" si="21"/>
        <v>0</v>
      </c>
      <c r="AY13" s="10">
        <f t="shared" si="21"/>
        <v>0</v>
      </c>
      <c r="BA13" s="10">
        <v>0</v>
      </c>
      <c r="BB13" s="10">
        <f>BA13</f>
        <v>0</v>
      </c>
      <c r="BC13" s="10">
        <f t="shared" ref="BC13:BK13" si="22">BB13</f>
        <v>0</v>
      </c>
      <c r="BD13" s="10">
        <f t="shared" si="22"/>
        <v>0</v>
      </c>
      <c r="BE13" s="10">
        <f t="shared" si="22"/>
        <v>0</v>
      </c>
      <c r="BF13" s="10">
        <f t="shared" si="22"/>
        <v>0</v>
      </c>
      <c r="BG13" s="10">
        <f t="shared" si="22"/>
        <v>0</v>
      </c>
      <c r="BH13" s="10">
        <f t="shared" si="22"/>
        <v>0</v>
      </c>
      <c r="BI13" s="10">
        <f t="shared" si="22"/>
        <v>0</v>
      </c>
      <c r="BJ13" s="10">
        <f t="shared" si="22"/>
        <v>0</v>
      </c>
      <c r="BK13" s="10">
        <f t="shared" si="22"/>
        <v>0</v>
      </c>
    </row>
    <row r="14" spans="1:63" s="10" customFormat="1" x14ac:dyDescent="0.25">
      <c r="A14" s="11"/>
      <c r="B14" s="10" t="s">
        <v>299</v>
      </c>
      <c r="D14"/>
      <c r="E14" s="10">
        <v>0</v>
      </c>
      <c r="F14" s="10">
        <f t="shared" ref="F14:H19" si="23">E14</f>
        <v>0</v>
      </c>
      <c r="G14" s="10">
        <f t="shared" si="23"/>
        <v>0</v>
      </c>
      <c r="H14" s="10">
        <f t="shared" si="23"/>
        <v>0</v>
      </c>
      <c r="I14" s="10">
        <f t="shared" si="18"/>
        <v>0</v>
      </c>
      <c r="J14" s="10">
        <f t="shared" si="18"/>
        <v>0</v>
      </c>
      <c r="K14" s="10">
        <f t="shared" si="18"/>
        <v>0</v>
      </c>
      <c r="L14" s="10">
        <f t="shared" si="18"/>
        <v>0</v>
      </c>
      <c r="M14" s="10">
        <f t="shared" si="18"/>
        <v>0</v>
      </c>
      <c r="N14" s="10">
        <f t="shared" si="18"/>
        <v>0</v>
      </c>
      <c r="O14" s="10">
        <f t="shared" si="18"/>
        <v>0</v>
      </c>
      <c r="Q14" s="10">
        <v>1</v>
      </c>
      <c r="R14" s="10">
        <f t="shared" si="19"/>
        <v>1</v>
      </c>
      <c r="S14" s="10">
        <f t="shared" si="19"/>
        <v>1</v>
      </c>
      <c r="T14" s="10">
        <f t="shared" si="19"/>
        <v>1</v>
      </c>
      <c r="U14" s="10">
        <f t="shared" si="19"/>
        <v>1</v>
      </c>
      <c r="V14" s="10">
        <f t="shared" si="19"/>
        <v>1</v>
      </c>
      <c r="W14" s="10">
        <f t="shared" si="19"/>
        <v>1</v>
      </c>
      <c r="X14" s="10">
        <f t="shared" si="19"/>
        <v>1</v>
      </c>
      <c r="Y14" s="10">
        <f t="shared" si="19"/>
        <v>1</v>
      </c>
      <c r="Z14" s="10">
        <f t="shared" si="19"/>
        <v>1</v>
      </c>
      <c r="AA14" s="10">
        <f t="shared" si="19"/>
        <v>1</v>
      </c>
      <c r="AC14" s="10">
        <v>0</v>
      </c>
      <c r="AD14" s="10">
        <f t="shared" ref="AD14:AM20" si="24">AC14</f>
        <v>0</v>
      </c>
      <c r="AE14" s="10">
        <f t="shared" si="24"/>
        <v>0</v>
      </c>
      <c r="AF14" s="10">
        <f t="shared" si="24"/>
        <v>0</v>
      </c>
      <c r="AG14" s="10">
        <f t="shared" si="24"/>
        <v>0</v>
      </c>
      <c r="AH14" s="10">
        <f t="shared" si="24"/>
        <v>0</v>
      </c>
      <c r="AI14" s="10">
        <f t="shared" si="24"/>
        <v>0</v>
      </c>
      <c r="AJ14" s="10">
        <f t="shared" si="24"/>
        <v>0</v>
      </c>
      <c r="AK14" s="10">
        <f t="shared" si="24"/>
        <v>0</v>
      </c>
      <c r="AL14" s="10">
        <f t="shared" si="24"/>
        <v>0</v>
      </c>
      <c r="AM14" s="10">
        <f t="shared" si="24"/>
        <v>0</v>
      </c>
      <c r="AO14" s="10">
        <v>0</v>
      </c>
      <c r="AP14" s="10">
        <f t="shared" ref="AP14:AY20" si="25">AO14</f>
        <v>0</v>
      </c>
      <c r="AQ14" s="10">
        <f t="shared" si="25"/>
        <v>0</v>
      </c>
      <c r="AR14" s="10">
        <f t="shared" si="25"/>
        <v>0</v>
      </c>
      <c r="AS14" s="10">
        <f t="shared" si="25"/>
        <v>0</v>
      </c>
      <c r="AT14" s="10">
        <f t="shared" si="25"/>
        <v>0</v>
      </c>
      <c r="AU14" s="10">
        <f t="shared" si="25"/>
        <v>0</v>
      </c>
      <c r="AV14" s="10">
        <f t="shared" si="25"/>
        <v>0</v>
      </c>
      <c r="AW14" s="10">
        <f t="shared" si="25"/>
        <v>0</v>
      </c>
      <c r="AX14" s="10">
        <f t="shared" si="25"/>
        <v>0</v>
      </c>
      <c r="AY14" s="10">
        <f t="shared" si="25"/>
        <v>0</v>
      </c>
      <c r="BA14" s="10">
        <v>0</v>
      </c>
      <c r="BB14" s="10">
        <f t="shared" ref="BB14:BK20" si="26">BA14</f>
        <v>0</v>
      </c>
      <c r="BC14" s="10">
        <f t="shared" si="26"/>
        <v>0</v>
      </c>
      <c r="BD14" s="10">
        <f t="shared" si="26"/>
        <v>0</v>
      </c>
      <c r="BE14" s="10">
        <f t="shared" si="26"/>
        <v>0</v>
      </c>
      <c r="BF14" s="10">
        <f t="shared" si="26"/>
        <v>0</v>
      </c>
      <c r="BG14" s="10">
        <f t="shared" si="26"/>
        <v>0</v>
      </c>
      <c r="BH14" s="10">
        <f t="shared" si="26"/>
        <v>0</v>
      </c>
      <c r="BI14" s="10">
        <f t="shared" si="26"/>
        <v>0</v>
      </c>
      <c r="BJ14" s="10">
        <f t="shared" si="26"/>
        <v>0</v>
      </c>
      <c r="BK14" s="10">
        <f t="shared" si="26"/>
        <v>0</v>
      </c>
    </row>
    <row r="15" spans="1:63" s="10" customFormat="1" x14ac:dyDescent="0.25">
      <c r="A15" s="11"/>
      <c r="B15" s="10" t="s">
        <v>300</v>
      </c>
      <c r="C15" s="10" t="s">
        <v>390</v>
      </c>
      <c r="D15" t="s">
        <v>406</v>
      </c>
      <c r="E15" s="10">
        <v>0</v>
      </c>
      <c r="F15" s="10">
        <v>0</v>
      </c>
      <c r="G15" s="10">
        <f t="shared" si="23"/>
        <v>0</v>
      </c>
      <c r="H15" s="10">
        <f t="shared" si="23"/>
        <v>0</v>
      </c>
      <c r="I15" s="10">
        <f t="shared" si="18"/>
        <v>0</v>
      </c>
      <c r="J15" s="10">
        <f t="shared" si="18"/>
        <v>0</v>
      </c>
      <c r="K15" s="10">
        <f t="shared" si="18"/>
        <v>0</v>
      </c>
      <c r="L15" s="10">
        <f t="shared" si="18"/>
        <v>0</v>
      </c>
      <c r="M15" s="10">
        <f t="shared" si="18"/>
        <v>0</v>
      </c>
      <c r="N15" s="10">
        <f t="shared" si="18"/>
        <v>0</v>
      </c>
      <c r="O15" s="10">
        <f t="shared" si="18"/>
        <v>0</v>
      </c>
      <c r="Q15" s="10">
        <v>1</v>
      </c>
      <c r="R15" s="10">
        <f t="shared" si="19"/>
        <v>1</v>
      </c>
      <c r="S15" s="10">
        <f t="shared" si="19"/>
        <v>1</v>
      </c>
      <c r="T15" s="10">
        <f t="shared" si="19"/>
        <v>1</v>
      </c>
      <c r="U15" s="10">
        <f t="shared" si="19"/>
        <v>1</v>
      </c>
      <c r="V15" s="10">
        <f t="shared" si="19"/>
        <v>1</v>
      </c>
      <c r="W15" s="10">
        <f t="shared" si="19"/>
        <v>1</v>
      </c>
      <c r="X15" s="10">
        <f t="shared" si="19"/>
        <v>1</v>
      </c>
      <c r="Y15" s="10">
        <f t="shared" si="19"/>
        <v>1</v>
      </c>
      <c r="Z15" s="10">
        <f t="shared" si="19"/>
        <v>1</v>
      </c>
      <c r="AA15" s="10">
        <f t="shared" si="19"/>
        <v>1</v>
      </c>
      <c r="AC15" s="10">
        <v>0</v>
      </c>
      <c r="AD15" s="10">
        <f t="shared" si="24"/>
        <v>0</v>
      </c>
      <c r="AE15" s="10">
        <f t="shared" si="24"/>
        <v>0</v>
      </c>
      <c r="AF15" s="10">
        <f t="shared" si="24"/>
        <v>0</v>
      </c>
      <c r="AG15" s="10">
        <f t="shared" si="24"/>
        <v>0</v>
      </c>
      <c r="AH15" s="10">
        <f t="shared" si="24"/>
        <v>0</v>
      </c>
      <c r="AI15" s="10">
        <f t="shared" si="24"/>
        <v>0</v>
      </c>
      <c r="AJ15" s="10">
        <f t="shared" si="24"/>
        <v>0</v>
      </c>
      <c r="AK15" s="10">
        <f t="shared" si="24"/>
        <v>0</v>
      </c>
      <c r="AL15" s="10">
        <f t="shared" si="24"/>
        <v>0</v>
      </c>
      <c r="AM15" s="10">
        <f t="shared" si="24"/>
        <v>0</v>
      </c>
      <c r="AO15" s="10">
        <v>0</v>
      </c>
      <c r="AP15" s="10">
        <f t="shared" si="25"/>
        <v>0</v>
      </c>
      <c r="AQ15" s="10">
        <f t="shared" si="25"/>
        <v>0</v>
      </c>
      <c r="AR15" s="10">
        <f t="shared" si="25"/>
        <v>0</v>
      </c>
      <c r="AS15" s="10">
        <f t="shared" si="25"/>
        <v>0</v>
      </c>
      <c r="AT15" s="10">
        <f t="shared" si="25"/>
        <v>0</v>
      </c>
      <c r="AU15" s="10">
        <f t="shared" si="25"/>
        <v>0</v>
      </c>
      <c r="AV15" s="10">
        <f t="shared" si="25"/>
        <v>0</v>
      </c>
      <c r="AW15" s="10">
        <f t="shared" si="25"/>
        <v>0</v>
      </c>
      <c r="AX15" s="10">
        <f t="shared" si="25"/>
        <v>0</v>
      </c>
      <c r="AY15" s="10">
        <f t="shared" si="25"/>
        <v>0</v>
      </c>
      <c r="BA15" s="10">
        <v>0</v>
      </c>
      <c r="BB15" s="10">
        <f t="shared" si="26"/>
        <v>0</v>
      </c>
      <c r="BC15" s="10">
        <f t="shared" si="26"/>
        <v>0</v>
      </c>
      <c r="BD15" s="10">
        <f t="shared" si="26"/>
        <v>0</v>
      </c>
      <c r="BE15" s="10">
        <f t="shared" si="26"/>
        <v>0</v>
      </c>
      <c r="BF15" s="10">
        <f t="shared" si="26"/>
        <v>0</v>
      </c>
      <c r="BG15" s="10">
        <f t="shared" si="26"/>
        <v>0</v>
      </c>
      <c r="BH15" s="10">
        <f t="shared" si="26"/>
        <v>0</v>
      </c>
      <c r="BI15" s="10">
        <f t="shared" si="26"/>
        <v>0</v>
      </c>
      <c r="BJ15" s="10">
        <f t="shared" si="26"/>
        <v>0</v>
      </c>
      <c r="BK15" s="10">
        <f t="shared" si="26"/>
        <v>0</v>
      </c>
    </row>
    <row r="16" spans="1:63" s="10" customFormat="1" x14ac:dyDescent="0.25">
      <c r="A16" s="11"/>
      <c r="B16" s="10" t="s">
        <v>301</v>
      </c>
      <c r="C16" s="10" t="s">
        <v>392</v>
      </c>
      <c r="D16" t="s">
        <v>407</v>
      </c>
      <c r="E16" s="10">
        <v>0</v>
      </c>
      <c r="F16" s="10">
        <v>0</v>
      </c>
      <c r="G16" s="10">
        <f t="shared" si="23"/>
        <v>0</v>
      </c>
      <c r="H16" s="10">
        <f t="shared" si="23"/>
        <v>0</v>
      </c>
      <c r="I16" s="10">
        <f t="shared" si="18"/>
        <v>0</v>
      </c>
      <c r="J16" s="10">
        <f t="shared" si="18"/>
        <v>0</v>
      </c>
      <c r="K16" s="10">
        <f t="shared" si="18"/>
        <v>0</v>
      </c>
      <c r="L16" s="10">
        <f t="shared" si="18"/>
        <v>0</v>
      </c>
      <c r="M16" s="10">
        <f t="shared" si="18"/>
        <v>0</v>
      </c>
      <c r="N16" s="10">
        <f t="shared" si="18"/>
        <v>0</v>
      </c>
      <c r="O16" s="10">
        <f t="shared" si="18"/>
        <v>0</v>
      </c>
      <c r="Q16" s="10">
        <v>1</v>
      </c>
      <c r="R16" s="10">
        <f t="shared" si="19"/>
        <v>1</v>
      </c>
      <c r="S16" s="10">
        <f t="shared" si="19"/>
        <v>1</v>
      </c>
      <c r="T16" s="10">
        <f t="shared" si="19"/>
        <v>1</v>
      </c>
      <c r="U16" s="10">
        <f t="shared" si="19"/>
        <v>1</v>
      </c>
      <c r="V16" s="10">
        <f t="shared" si="19"/>
        <v>1</v>
      </c>
      <c r="W16" s="10">
        <f t="shared" si="19"/>
        <v>1</v>
      </c>
      <c r="X16" s="10">
        <f t="shared" si="19"/>
        <v>1</v>
      </c>
      <c r="Y16" s="10">
        <f t="shared" si="19"/>
        <v>1</v>
      </c>
      <c r="Z16" s="10">
        <f t="shared" si="19"/>
        <v>1</v>
      </c>
      <c r="AA16" s="10">
        <f t="shared" si="19"/>
        <v>1</v>
      </c>
      <c r="AC16" s="10">
        <v>1</v>
      </c>
      <c r="AD16" s="10">
        <f t="shared" si="24"/>
        <v>1</v>
      </c>
      <c r="AE16" s="10">
        <f t="shared" si="24"/>
        <v>1</v>
      </c>
      <c r="AF16" s="10">
        <f t="shared" si="24"/>
        <v>1</v>
      </c>
      <c r="AG16" s="10">
        <f t="shared" si="24"/>
        <v>1</v>
      </c>
      <c r="AH16" s="10">
        <f t="shared" si="24"/>
        <v>1</v>
      </c>
      <c r="AI16" s="10">
        <f t="shared" si="24"/>
        <v>1</v>
      </c>
      <c r="AJ16" s="10">
        <f t="shared" si="24"/>
        <v>1</v>
      </c>
      <c r="AK16" s="10">
        <f t="shared" si="24"/>
        <v>1</v>
      </c>
      <c r="AL16" s="10">
        <f t="shared" si="24"/>
        <v>1</v>
      </c>
      <c r="AM16" s="10">
        <f t="shared" si="24"/>
        <v>1</v>
      </c>
      <c r="AO16" s="10">
        <v>0</v>
      </c>
      <c r="AP16" s="10">
        <f t="shared" si="25"/>
        <v>0</v>
      </c>
      <c r="AQ16" s="10">
        <f t="shared" si="25"/>
        <v>0</v>
      </c>
      <c r="AR16" s="10">
        <f t="shared" si="25"/>
        <v>0</v>
      </c>
      <c r="AS16" s="10">
        <f t="shared" si="25"/>
        <v>0</v>
      </c>
      <c r="AT16" s="10">
        <f t="shared" si="25"/>
        <v>0</v>
      </c>
      <c r="AU16" s="10">
        <f t="shared" si="25"/>
        <v>0</v>
      </c>
      <c r="AV16" s="10">
        <f t="shared" si="25"/>
        <v>0</v>
      </c>
      <c r="AW16" s="10">
        <f t="shared" si="25"/>
        <v>0</v>
      </c>
      <c r="AX16" s="10">
        <f t="shared" si="25"/>
        <v>0</v>
      </c>
      <c r="AY16" s="10">
        <f t="shared" si="25"/>
        <v>0</v>
      </c>
      <c r="BA16" s="10">
        <v>0</v>
      </c>
      <c r="BB16" s="10">
        <f t="shared" si="26"/>
        <v>0</v>
      </c>
      <c r="BC16" s="10">
        <f t="shared" si="26"/>
        <v>0</v>
      </c>
      <c r="BD16" s="10">
        <f t="shared" si="26"/>
        <v>0</v>
      </c>
      <c r="BE16" s="10">
        <f t="shared" si="26"/>
        <v>0</v>
      </c>
      <c r="BF16" s="10">
        <f t="shared" si="26"/>
        <v>0</v>
      </c>
      <c r="BG16" s="10">
        <f t="shared" si="26"/>
        <v>0</v>
      </c>
      <c r="BH16" s="10">
        <f t="shared" si="26"/>
        <v>0</v>
      </c>
      <c r="BI16" s="10">
        <f t="shared" si="26"/>
        <v>0</v>
      </c>
      <c r="BJ16" s="10">
        <f t="shared" si="26"/>
        <v>0</v>
      </c>
      <c r="BK16" s="10">
        <f t="shared" si="26"/>
        <v>0</v>
      </c>
    </row>
    <row r="17" spans="1:63" s="10" customFormat="1" x14ac:dyDescent="0.25">
      <c r="A17" s="11"/>
      <c r="B17" s="10" t="s">
        <v>302</v>
      </c>
      <c r="C17" s="10" t="s">
        <v>393</v>
      </c>
      <c r="D17" t="s">
        <v>408</v>
      </c>
      <c r="E17" s="10">
        <v>0</v>
      </c>
      <c r="F17" s="10">
        <v>0</v>
      </c>
      <c r="G17" s="10">
        <v>1</v>
      </c>
      <c r="H17" s="10">
        <f t="shared" si="23"/>
        <v>1</v>
      </c>
      <c r="I17" s="10">
        <f t="shared" si="18"/>
        <v>1</v>
      </c>
      <c r="J17" s="10">
        <f t="shared" si="18"/>
        <v>1</v>
      </c>
      <c r="K17" s="10">
        <f t="shared" si="18"/>
        <v>1</v>
      </c>
      <c r="L17" s="10">
        <f t="shared" si="18"/>
        <v>1</v>
      </c>
      <c r="M17" s="10">
        <f t="shared" si="18"/>
        <v>1</v>
      </c>
      <c r="N17" s="10">
        <f t="shared" si="18"/>
        <v>1</v>
      </c>
      <c r="O17" s="10">
        <f t="shared" si="18"/>
        <v>1</v>
      </c>
      <c r="Q17" s="10">
        <v>0</v>
      </c>
      <c r="R17" s="10">
        <f t="shared" si="19"/>
        <v>0</v>
      </c>
      <c r="S17" s="10">
        <f t="shared" si="19"/>
        <v>0</v>
      </c>
      <c r="T17" s="10">
        <f t="shared" si="19"/>
        <v>0</v>
      </c>
      <c r="U17" s="10">
        <f t="shared" si="19"/>
        <v>0</v>
      </c>
      <c r="V17" s="10">
        <f t="shared" si="19"/>
        <v>0</v>
      </c>
      <c r="W17" s="10">
        <f t="shared" si="19"/>
        <v>0</v>
      </c>
      <c r="X17" s="10">
        <f t="shared" si="19"/>
        <v>0</v>
      </c>
      <c r="Y17" s="10">
        <f t="shared" si="19"/>
        <v>0</v>
      </c>
      <c r="Z17" s="10">
        <f t="shared" si="19"/>
        <v>0</v>
      </c>
      <c r="AA17" s="10">
        <f t="shared" si="19"/>
        <v>0</v>
      </c>
      <c r="AC17" s="10">
        <v>0</v>
      </c>
      <c r="AD17" s="10">
        <f t="shared" si="24"/>
        <v>0</v>
      </c>
      <c r="AE17" s="10">
        <f t="shared" si="24"/>
        <v>0</v>
      </c>
      <c r="AF17" s="10">
        <f t="shared" si="24"/>
        <v>0</v>
      </c>
      <c r="AG17" s="10">
        <f t="shared" si="24"/>
        <v>0</v>
      </c>
      <c r="AH17" s="10">
        <f t="shared" si="24"/>
        <v>0</v>
      </c>
      <c r="AI17" s="10">
        <f t="shared" si="24"/>
        <v>0</v>
      </c>
      <c r="AJ17" s="10">
        <f t="shared" si="24"/>
        <v>0</v>
      </c>
      <c r="AK17" s="10">
        <f t="shared" si="24"/>
        <v>0</v>
      </c>
      <c r="AL17" s="10">
        <f t="shared" si="24"/>
        <v>0</v>
      </c>
      <c r="AM17" s="10">
        <f t="shared" si="24"/>
        <v>0</v>
      </c>
      <c r="AO17" s="10">
        <v>0</v>
      </c>
      <c r="AP17" s="10">
        <f t="shared" si="25"/>
        <v>0</v>
      </c>
      <c r="AQ17" s="10">
        <f t="shared" si="25"/>
        <v>0</v>
      </c>
      <c r="AR17" s="10">
        <f t="shared" si="25"/>
        <v>0</v>
      </c>
      <c r="AS17" s="10">
        <f t="shared" si="25"/>
        <v>0</v>
      </c>
      <c r="AT17" s="10">
        <f t="shared" si="25"/>
        <v>0</v>
      </c>
      <c r="AU17" s="10">
        <f t="shared" si="25"/>
        <v>0</v>
      </c>
      <c r="AV17" s="10">
        <f t="shared" si="25"/>
        <v>0</v>
      </c>
      <c r="AW17" s="10">
        <f t="shared" si="25"/>
        <v>0</v>
      </c>
      <c r="AX17" s="10">
        <f t="shared" si="25"/>
        <v>0</v>
      </c>
      <c r="AY17" s="10">
        <f t="shared" si="25"/>
        <v>0</v>
      </c>
      <c r="BA17" s="10">
        <v>0</v>
      </c>
      <c r="BB17" s="10">
        <f t="shared" si="26"/>
        <v>0</v>
      </c>
      <c r="BC17" s="10">
        <f t="shared" si="26"/>
        <v>0</v>
      </c>
      <c r="BD17" s="10">
        <f t="shared" si="26"/>
        <v>0</v>
      </c>
      <c r="BE17" s="10">
        <f t="shared" si="26"/>
        <v>0</v>
      </c>
      <c r="BF17" s="10">
        <f t="shared" si="26"/>
        <v>0</v>
      </c>
      <c r="BG17" s="10">
        <f t="shared" si="26"/>
        <v>0</v>
      </c>
      <c r="BH17" s="10">
        <f t="shared" si="26"/>
        <v>0</v>
      </c>
      <c r="BI17" s="10">
        <f t="shared" si="26"/>
        <v>0</v>
      </c>
      <c r="BJ17" s="10">
        <f t="shared" si="26"/>
        <v>0</v>
      </c>
      <c r="BK17" s="10">
        <f t="shared" si="26"/>
        <v>0</v>
      </c>
    </row>
    <row r="18" spans="1:63" s="10" customFormat="1" x14ac:dyDescent="0.25">
      <c r="A18" s="11"/>
      <c r="B18" s="10" t="s">
        <v>303</v>
      </c>
      <c r="C18" s="10" t="s">
        <v>394</v>
      </c>
      <c r="D18" t="s">
        <v>408</v>
      </c>
      <c r="E18" s="10">
        <v>0</v>
      </c>
      <c r="F18" s="10">
        <v>0</v>
      </c>
      <c r="G18" s="10">
        <v>1</v>
      </c>
      <c r="H18" s="10">
        <f t="shared" si="23"/>
        <v>1</v>
      </c>
      <c r="I18" s="10">
        <f t="shared" si="18"/>
        <v>1</v>
      </c>
      <c r="J18" s="10">
        <f t="shared" si="18"/>
        <v>1</v>
      </c>
      <c r="K18" s="10">
        <f t="shared" si="18"/>
        <v>1</v>
      </c>
      <c r="L18" s="10">
        <f t="shared" si="18"/>
        <v>1</v>
      </c>
      <c r="M18" s="10">
        <f t="shared" si="18"/>
        <v>1</v>
      </c>
      <c r="N18" s="10">
        <f t="shared" si="18"/>
        <v>1</v>
      </c>
      <c r="O18" s="10">
        <f t="shared" si="18"/>
        <v>1</v>
      </c>
      <c r="Q18" s="10">
        <v>0</v>
      </c>
      <c r="R18" s="10">
        <f t="shared" si="19"/>
        <v>0</v>
      </c>
      <c r="S18" s="10">
        <f t="shared" si="19"/>
        <v>0</v>
      </c>
      <c r="T18" s="10">
        <f t="shared" si="19"/>
        <v>0</v>
      </c>
      <c r="U18" s="10">
        <f t="shared" si="19"/>
        <v>0</v>
      </c>
      <c r="V18" s="10">
        <f t="shared" si="19"/>
        <v>0</v>
      </c>
      <c r="W18" s="10">
        <f t="shared" si="19"/>
        <v>0</v>
      </c>
      <c r="X18" s="10">
        <f t="shared" si="19"/>
        <v>0</v>
      </c>
      <c r="Y18" s="10">
        <f t="shared" si="19"/>
        <v>0</v>
      </c>
      <c r="Z18" s="10">
        <f t="shared" si="19"/>
        <v>0</v>
      </c>
      <c r="AA18" s="10">
        <f t="shared" si="19"/>
        <v>0</v>
      </c>
      <c r="AC18" s="10">
        <v>0</v>
      </c>
      <c r="AD18" s="10">
        <f t="shared" si="24"/>
        <v>0</v>
      </c>
      <c r="AE18" s="10">
        <f t="shared" si="24"/>
        <v>0</v>
      </c>
      <c r="AF18" s="10">
        <f t="shared" si="24"/>
        <v>0</v>
      </c>
      <c r="AG18" s="10">
        <f t="shared" si="24"/>
        <v>0</v>
      </c>
      <c r="AH18" s="10">
        <f t="shared" si="24"/>
        <v>0</v>
      </c>
      <c r="AI18" s="10">
        <f t="shared" si="24"/>
        <v>0</v>
      </c>
      <c r="AJ18" s="10">
        <f t="shared" si="24"/>
        <v>0</v>
      </c>
      <c r="AK18" s="10">
        <f t="shared" si="24"/>
        <v>0</v>
      </c>
      <c r="AL18" s="10">
        <f t="shared" si="24"/>
        <v>0</v>
      </c>
      <c r="AM18" s="10">
        <f t="shared" si="24"/>
        <v>0</v>
      </c>
      <c r="AO18" s="10">
        <v>0</v>
      </c>
      <c r="AP18" s="10">
        <f t="shared" si="25"/>
        <v>0</v>
      </c>
      <c r="AQ18" s="10">
        <f t="shared" si="25"/>
        <v>0</v>
      </c>
      <c r="AR18" s="10">
        <f t="shared" si="25"/>
        <v>0</v>
      </c>
      <c r="AS18" s="10">
        <f t="shared" si="25"/>
        <v>0</v>
      </c>
      <c r="AT18" s="10">
        <f t="shared" si="25"/>
        <v>0</v>
      </c>
      <c r="AU18" s="10">
        <f t="shared" si="25"/>
        <v>0</v>
      </c>
      <c r="AV18" s="10">
        <f t="shared" si="25"/>
        <v>0</v>
      </c>
      <c r="AW18" s="10">
        <f t="shared" si="25"/>
        <v>0</v>
      </c>
      <c r="AX18" s="10">
        <f t="shared" si="25"/>
        <v>0</v>
      </c>
      <c r="AY18" s="10">
        <f t="shared" si="25"/>
        <v>0</v>
      </c>
      <c r="BA18" s="10">
        <v>0</v>
      </c>
      <c r="BB18" s="10">
        <f t="shared" si="26"/>
        <v>0</v>
      </c>
      <c r="BC18" s="10">
        <f t="shared" si="26"/>
        <v>0</v>
      </c>
      <c r="BD18" s="10">
        <f t="shared" si="26"/>
        <v>0</v>
      </c>
      <c r="BE18" s="10">
        <f t="shared" si="26"/>
        <v>0</v>
      </c>
      <c r="BF18" s="10">
        <f t="shared" si="26"/>
        <v>0</v>
      </c>
      <c r="BG18" s="10">
        <f t="shared" si="26"/>
        <v>0</v>
      </c>
      <c r="BH18" s="10">
        <f t="shared" si="26"/>
        <v>0</v>
      </c>
      <c r="BI18" s="10">
        <f t="shared" si="26"/>
        <v>0</v>
      </c>
      <c r="BJ18" s="10">
        <f t="shared" si="26"/>
        <v>0</v>
      </c>
      <c r="BK18" s="10">
        <f t="shared" si="26"/>
        <v>0</v>
      </c>
    </row>
    <row r="19" spans="1:63" s="10" customFormat="1" x14ac:dyDescent="0.25">
      <c r="A19" s="11"/>
      <c r="B19" s="10" t="s">
        <v>304</v>
      </c>
      <c r="C19" s="10" t="s">
        <v>395</v>
      </c>
      <c r="D19" t="s">
        <v>407</v>
      </c>
      <c r="E19" s="10">
        <v>0</v>
      </c>
      <c r="F19" s="10">
        <v>0</v>
      </c>
      <c r="G19" s="10">
        <f t="shared" si="23"/>
        <v>0</v>
      </c>
      <c r="H19" s="10">
        <f t="shared" si="23"/>
        <v>0</v>
      </c>
      <c r="I19" s="10">
        <f t="shared" si="18"/>
        <v>0</v>
      </c>
      <c r="J19" s="10">
        <f t="shared" si="18"/>
        <v>0</v>
      </c>
      <c r="K19" s="10">
        <f t="shared" si="18"/>
        <v>0</v>
      </c>
      <c r="L19" s="10">
        <f t="shared" si="18"/>
        <v>0</v>
      </c>
      <c r="M19" s="10">
        <f t="shared" si="18"/>
        <v>0</v>
      </c>
      <c r="N19" s="10">
        <f t="shared" si="18"/>
        <v>0</v>
      </c>
      <c r="O19" s="10">
        <f t="shared" si="18"/>
        <v>0</v>
      </c>
      <c r="Q19" s="10">
        <v>1</v>
      </c>
      <c r="R19" s="10">
        <f t="shared" si="19"/>
        <v>1</v>
      </c>
      <c r="S19" s="10">
        <f t="shared" si="19"/>
        <v>1</v>
      </c>
      <c r="T19" s="10">
        <f t="shared" si="19"/>
        <v>1</v>
      </c>
      <c r="U19" s="10">
        <f t="shared" si="19"/>
        <v>1</v>
      </c>
      <c r="V19" s="10">
        <f t="shared" si="19"/>
        <v>1</v>
      </c>
      <c r="W19" s="10">
        <f t="shared" si="19"/>
        <v>1</v>
      </c>
      <c r="X19" s="10">
        <f t="shared" si="19"/>
        <v>1</v>
      </c>
      <c r="Y19" s="10">
        <f t="shared" si="19"/>
        <v>1</v>
      </c>
      <c r="Z19" s="10">
        <f t="shared" si="19"/>
        <v>1</v>
      </c>
      <c r="AA19" s="10">
        <f t="shared" si="19"/>
        <v>1</v>
      </c>
      <c r="AC19" s="10">
        <v>1</v>
      </c>
      <c r="AD19" s="10">
        <f t="shared" si="24"/>
        <v>1</v>
      </c>
      <c r="AE19" s="10">
        <f t="shared" si="24"/>
        <v>1</v>
      </c>
      <c r="AF19" s="10">
        <f t="shared" si="24"/>
        <v>1</v>
      </c>
      <c r="AG19" s="10">
        <f t="shared" si="24"/>
        <v>1</v>
      </c>
      <c r="AH19" s="10">
        <f t="shared" si="24"/>
        <v>1</v>
      </c>
      <c r="AI19" s="10">
        <f t="shared" si="24"/>
        <v>1</v>
      </c>
      <c r="AJ19" s="10">
        <f t="shared" si="24"/>
        <v>1</v>
      </c>
      <c r="AK19" s="10">
        <f t="shared" si="24"/>
        <v>1</v>
      </c>
      <c r="AL19" s="10">
        <f t="shared" si="24"/>
        <v>1</v>
      </c>
      <c r="AM19" s="10">
        <f t="shared" si="24"/>
        <v>1</v>
      </c>
      <c r="AO19" s="10">
        <v>0</v>
      </c>
      <c r="AP19" s="10">
        <f t="shared" si="25"/>
        <v>0</v>
      </c>
      <c r="AQ19" s="10">
        <f t="shared" si="25"/>
        <v>0</v>
      </c>
      <c r="AR19" s="10">
        <f t="shared" si="25"/>
        <v>0</v>
      </c>
      <c r="AS19" s="10">
        <f t="shared" si="25"/>
        <v>0</v>
      </c>
      <c r="AT19" s="10">
        <f t="shared" si="25"/>
        <v>0</v>
      </c>
      <c r="AU19" s="10">
        <f t="shared" si="25"/>
        <v>0</v>
      </c>
      <c r="AV19" s="10">
        <f t="shared" si="25"/>
        <v>0</v>
      </c>
      <c r="AW19" s="10">
        <f t="shared" si="25"/>
        <v>0</v>
      </c>
      <c r="AX19" s="10">
        <f t="shared" si="25"/>
        <v>0</v>
      </c>
      <c r="AY19" s="10">
        <f t="shared" si="25"/>
        <v>0</v>
      </c>
      <c r="BA19" s="10">
        <v>0</v>
      </c>
      <c r="BB19" s="10">
        <f t="shared" si="26"/>
        <v>0</v>
      </c>
      <c r="BC19" s="10">
        <f t="shared" si="26"/>
        <v>0</v>
      </c>
      <c r="BD19" s="10">
        <f t="shared" si="26"/>
        <v>0</v>
      </c>
      <c r="BE19" s="10">
        <f t="shared" si="26"/>
        <v>0</v>
      </c>
      <c r="BF19" s="10">
        <f t="shared" si="26"/>
        <v>0</v>
      </c>
      <c r="BG19" s="10">
        <f t="shared" si="26"/>
        <v>0</v>
      </c>
      <c r="BH19" s="10">
        <f t="shared" si="26"/>
        <v>0</v>
      </c>
      <c r="BI19" s="10">
        <f t="shared" si="26"/>
        <v>0</v>
      </c>
      <c r="BJ19" s="10">
        <f t="shared" si="26"/>
        <v>0</v>
      </c>
      <c r="BK19" s="10">
        <f t="shared" si="26"/>
        <v>0</v>
      </c>
    </row>
    <row r="20" spans="1:63" s="10" customFormat="1" x14ac:dyDescent="0.25">
      <c r="A20" s="11"/>
      <c r="B20" s="10" t="s">
        <v>305</v>
      </c>
      <c r="C20" s="10" t="s">
        <v>118</v>
      </c>
      <c r="D20"/>
      <c r="E20" s="10">
        <v>0</v>
      </c>
      <c r="F20" s="10">
        <v>0</v>
      </c>
      <c r="G20" s="10">
        <v>0</v>
      </c>
      <c r="H20" s="10">
        <f t="shared" si="18"/>
        <v>0</v>
      </c>
      <c r="I20" s="10">
        <f t="shared" si="18"/>
        <v>0</v>
      </c>
      <c r="J20" s="10">
        <f t="shared" si="18"/>
        <v>0</v>
      </c>
      <c r="K20" s="10">
        <f t="shared" si="18"/>
        <v>0</v>
      </c>
      <c r="L20" s="10">
        <f t="shared" si="18"/>
        <v>0</v>
      </c>
      <c r="M20" s="10">
        <f t="shared" si="18"/>
        <v>0</v>
      </c>
      <c r="N20" s="10">
        <f t="shared" si="18"/>
        <v>0</v>
      </c>
      <c r="O20" s="10">
        <f t="shared" si="18"/>
        <v>0</v>
      </c>
      <c r="Q20" s="10">
        <v>1</v>
      </c>
      <c r="R20" s="10">
        <f t="shared" si="19"/>
        <v>1</v>
      </c>
      <c r="S20" s="10">
        <f t="shared" si="19"/>
        <v>1</v>
      </c>
      <c r="T20" s="10">
        <f t="shared" si="19"/>
        <v>1</v>
      </c>
      <c r="U20" s="10">
        <f t="shared" si="19"/>
        <v>1</v>
      </c>
      <c r="V20" s="10">
        <f t="shared" si="19"/>
        <v>1</v>
      </c>
      <c r="W20" s="10">
        <f t="shared" si="19"/>
        <v>1</v>
      </c>
      <c r="X20" s="10">
        <f t="shared" si="19"/>
        <v>1</v>
      </c>
      <c r="Y20" s="10">
        <f t="shared" si="19"/>
        <v>1</v>
      </c>
      <c r="Z20" s="10">
        <f t="shared" si="19"/>
        <v>1</v>
      </c>
      <c r="AA20" s="10">
        <f t="shared" si="19"/>
        <v>1</v>
      </c>
      <c r="AC20" s="10">
        <v>0</v>
      </c>
      <c r="AD20" s="10">
        <f t="shared" si="24"/>
        <v>0</v>
      </c>
      <c r="AE20" s="10">
        <f t="shared" si="24"/>
        <v>0</v>
      </c>
      <c r="AF20" s="10">
        <f t="shared" si="24"/>
        <v>0</v>
      </c>
      <c r="AG20" s="10">
        <f t="shared" si="24"/>
        <v>0</v>
      </c>
      <c r="AH20" s="10">
        <f t="shared" si="24"/>
        <v>0</v>
      </c>
      <c r="AI20" s="10">
        <f t="shared" si="24"/>
        <v>0</v>
      </c>
      <c r="AJ20" s="10">
        <f t="shared" si="24"/>
        <v>0</v>
      </c>
      <c r="AK20" s="10">
        <f t="shared" si="24"/>
        <v>0</v>
      </c>
      <c r="AL20" s="10">
        <f t="shared" si="24"/>
        <v>0</v>
      </c>
      <c r="AM20" s="10">
        <f t="shared" si="24"/>
        <v>0</v>
      </c>
      <c r="AO20" s="10">
        <v>0</v>
      </c>
      <c r="AP20" s="10">
        <f t="shared" si="25"/>
        <v>0</v>
      </c>
      <c r="AQ20" s="10">
        <f t="shared" si="25"/>
        <v>0</v>
      </c>
      <c r="AR20" s="10">
        <f t="shared" si="25"/>
        <v>0</v>
      </c>
      <c r="AS20" s="10">
        <f t="shared" si="25"/>
        <v>0</v>
      </c>
      <c r="AT20" s="10">
        <f t="shared" si="25"/>
        <v>0</v>
      </c>
      <c r="AU20" s="10">
        <f t="shared" si="25"/>
        <v>0</v>
      </c>
      <c r="AV20" s="10">
        <f t="shared" si="25"/>
        <v>0</v>
      </c>
      <c r="AW20" s="10">
        <f t="shared" si="25"/>
        <v>0</v>
      </c>
      <c r="AX20" s="10">
        <f t="shared" si="25"/>
        <v>0</v>
      </c>
      <c r="AY20" s="10">
        <f t="shared" si="25"/>
        <v>0</v>
      </c>
      <c r="BA20" s="10">
        <v>0</v>
      </c>
      <c r="BB20" s="10">
        <f t="shared" si="26"/>
        <v>0</v>
      </c>
      <c r="BC20" s="10">
        <f t="shared" si="26"/>
        <v>0</v>
      </c>
      <c r="BD20" s="10">
        <f t="shared" si="26"/>
        <v>0</v>
      </c>
      <c r="BE20" s="10">
        <f t="shared" si="26"/>
        <v>0</v>
      </c>
      <c r="BF20" s="10">
        <f t="shared" si="26"/>
        <v>0</v>
      </c>
      <c r="BG20" s="10">
        <f t="shared" si="26"/>
        <v>0</v>
      </c>
      <c r="BH20" s="10">
        <f t="shared" si="26"/>
        <v>0</v>
      </c>
      <c r="BI20" s="10">
        <f t="shared" si="26"/>
        <v>0</v>
      </c>
      <c r="BJ20" s="10">
        <f t="shared" si="26"/>
        <v>0</v>
      </c>
      <c r="BK20" s="10">
        <f t="shared" si="26"/>
        <v>0</v>
      </c>
    </row>
    <row r="21" spans="1:63" x14ac:dyDescent="0.25">
      <c r="A21" s="2"/>
      <c r="B21" s="2"/>
      <c r="E21" t="str">
        <f t="shared" ref="E21:AA21" si="27">CONCATENATE(E20,E19,E18,E17,E16,E15,E14,E13)</f>
        <v>00000000</v>
      </c>
      <c r="F21" t="str">
        <f t="shared" si="27"/>
        <v>00000001</v>
      </c>
      <c r="G21" t="str">
        <f t="shared" si="27"/>
        <v>00110001</v>
      </c>
      <c r="H21" t="str">
        <f t="shared" si="27"/>
        <v>00110001</v>
      </c>
      <c r="I21" t="str">
        <f t="shared" si="27"/>
        <v>00110001</v>
      </c>
      <c r="J21" t="str">
        <f t="shared" si="27"/>
        <v>00110001</v>
      </c>
      <c r="K21" t="str">
        <f t="shared" si="27"/>
        <v>00110001</v>
      </c>
      <c r="L21" t="str">
        <f t="shared" si="27"/>
        <v>00110001</v>
      </c>
      <c r="M21" t="str">
        <f t="shared" si="27"/>
        <v>00110001</v>
      </c>
      <c r="N21" t="str">
        <f t="shared" si="27"/>
        <v>00110001</v>
      </c>
      <c r="O21" t="str">
        <f t="shared" si="27"/>
        <v>00110001</v>
      </c>
      <c r="Q21" t="str">
        <f t="shared" si="27"/>
        <v>11001110</v>
      </c>
      <c r="R21" t="str">
        <f t="shared" si="27"/>
        <v>11001110</v>
      </c>
      <c r="S21" t="str">
        <f t="shared" si="27"/>
        <v>11001110</v>
      </c>
      <c r="T21" t="str">
        <f t="shared" si="27"/>
        <v>11001110</v>
      </c>
      <c r="U21" t="str">
        <f t="shared" si="27"/>
        <v>11001110</v>
      </c>
      <c r="V21" t="str">
        <f t="shared" si="27"/>
        <v>11001110</v>
      </c>
      <c r="W21" t="str">
        <f t="shared" si="27"/>
        <v>11001110</v>
      </c>
      <c r="X21" t="str">
        <f t="shared" si="27"/>
        <v>11001110</v>
      </c>
      <c r="Y21" t="str">
        <f t="shared" si="27"/>
        <v>11001110</v>
      </c>
      <c r="Z21" t="str">
        <f t="shared" si="27"/>
        <v>11001110</v>
      </c>
      <c r="AA21" t="str">
        <f t="shared" si="27"/>
        <v>11001110</v>
      </c>
      <c r="AC21" t="str">
        <f>CONCATENATE(AC20,AC19,AC18,AC17,AC16,AC15,AC14,AC13)</f>
        <v>01001000</v>
      </c>
      <c r="AD21" t="str">
        <f t="shared" ref="AD21:AM21" si="28">CONCATENATE(AD20,AD19,AD18,AD17,AD16,AD15,AD14,AD13)</f>
        <v>01001000</v>
      </c>
      <c r="AE21" t="str">
        <f t="shared" si="28"/>
        <v>01001000</v>
      </c>
      <c r="AF21" t="str">
        <f t="shared" si="28"/>
        <v>01001000</v>
      </c>
      <c r="AG21" t="str">
        <f t="shared" si="28"/>
        <v>01001000</v>
      </c>
      <c r="AH21" t="str">
        <f t="shared" si="28"/>
        <v>01001000</v>
      </c>
      <c r="AI21" t="str">
        <f t="shared" si="28"/>
        <v>01001000</v>
      </c>
      <c r="AJ21" t="str">
        <f t="shared" si="28"/>
        <v>01001000</v>
      </c>
      <c r="AK21" t="str">
        <f t="shared" si="28"/>
        <v>01001000</v>
      </c>
      <c r="AL21" t="str">
        <f t="shared" si="28"/>
        <v>01001000</v>
      </c>
      <c r="AM21" t="str">
        <f t="shared" si="28"/>
        <v>01001000</v>
      </c>
      <c r="AO21" t="str">
        <f t="shared" ref="AO21:AY21" si="29">CONCATENATE(AO20,AO19,AO18,AO17,AO16,AO15,AO14,AO13)</f>
        <v>00000000</v>
      </c>
      <c r="AP21" t="str">
        <f t="shared" si="29"/>
        <v>00000000</v>
      </c>
      <c r="AQ21" t="str">
        <f t="shared" si="29"/>
        <v>00000000</v>
      </c>
      <c r="AR21" t="str">
        <f t="shared" si="29"/>
        <v>00000000</v>
      </c>
      <c r="AS21" t="str">
        <f t="shared" si="29"/>
        <v>00000000</v>
      </c>
      <c r="AT21" t="str">
        <f t="shared" si="29"/>
        <v>00000000</v>
      </c>
      <c r="AU21" t="str">
        <f t="shared" si="29"/>
        <v>00000000</v>
      </c>
      <c r="AV21" t="str">
        <f t="shared" si="29"/>
        <v>00000000</v>
      </c>
      <c r="AW21" t="str">
        <f t="shared" si="29"/>
        <v>00000000</v>
      </c>
      <c r="AX21" t="str">
        <f t="shared" si="29"/>
        <v>00000000</v>
      </c>
      <c r="AY21" t="str">
        <f t="shared" si="29"/>
        <v>00000000</v>
      </c>
      <c r="BA21" t="str">
        <f t="shared" ref="BA21:BK21" si="30">CONCATENATE(BA20,BA19,BA18,BA17,BA16,BA15,BA14,BA13)</f>
        <v>00000000</v>
      </c>
      <c r="BB21" t="str">
        <f t="shared" si="30"/>
        <v>00000000</v>
      </c>
      <c r="BC21" t="str">
        <f t="shared" si="30"/>
        <v>00000000</v>
      </c>
      <c r="BD21" t="str">
        <f t="shared" si="30"/>
        <v>00000000</v>
      </c>
      <c r="BE21" t="str">
        <f t="shared" si="30"/>
        <v>00000000</v>
      </c>
      <c r="BF21" t="str">
        <f t="shared" si="30"/>
        <v>00000000</v>
      </c>
      <c r="BG21" t="str">
        <f t="shared" si="30"/>
        <v>00000000</v>
      </c>
      <c r="BH21" t="str">
        <f t="shared" si="30"/>
        <v>00000000</v>
      </c>
      <c r="BI21" t="str">
        <f t="shared" si="30"/>
        <v>00000000</v>
      </c>
      <c r="BJ21" t="str">
        <f t="shared" si="30"/>
        <v>00000000</v>
      </c>
      <c r="BK21" t="str">
        <f t="shared" si="30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31">CONCATENATE(BIN2HEX(E21,2))</f>
        <v>00</v>
      </c>
      <c r="F22" t="str">
        <f t="shared" si="31"/>
        <v>01</v>
      </c>
      <c r="G22" t="str">
        <f t="shared" si="31"/>
        <v>31</v>
      </c>
      <c r="H22" t="str">
        <f t="shared" si="31"/>
        <v>31</v>
      </c>
      <c r="I22" t="str">
        <f t="shared" si="31"/>
        <v>31</v>
      </c>
      <c r="J22" t="str">
        <f t="shared" si="31"/>
        <v>31</v>
      </c>
      <c r="K22" t="str">
        <f t="shared" si="31"/>
        <v>31</v>
      </c>
      <c r="L22" t="str">
        <f t="shared" si="31"/>
        <v>31</v>
      </c>
      <c r="M22" t="str">
        <f t="shared" si="31"/>
        <v>31</v>
      </c>
      <c r="N22" t="str">
        <f t="shared" si="31"/>
        <v>31</v>
      </c>
      <c r="O22" t="str">
        <f t="shared" si="31"/>
        <v>31</v>
      </c>
      <c r="Q22" t="str">
        <f t="shared" si="31"/>
        <v>CE</v>
      </c>
      <c r="R22" t="str">
        <f t="shared" si="31"/>
        <v>CE</v>
      </c>
      <c r="S22" t="str">
        <f t="shared" si="31"/>
        <v>CE</v>
      </c>
      <c r="T22" t="str">
        <f t="shared" si="31"/>
        <v>CE</v>
      </c>
      <c r="U22" t="str">
        <f t="shared" si="31"/>
        <v>CE</v>
      </c>
      <c r="V22" t="str">
        <f t="shared" si="31"/>
        <v>CE</v>
      </c>
      <c r="W22" t="str">
        <f t="shared" si="31"/>
        <v>CE</v>
      </c>
      <c r="X22" t="str">
        <f t="shared" si="31"/>
        <v>CE</v>
      </c>
      <c r="Y22" t="str">
        <f t="shared" si="31"/>
        <v>CE</v>
      </c>
      <c r="Z22" t="str">
        <f t="shared" si="31"/>
        <v>CE</v>
      </c>
      <c r="AA22" t="str">
        <f t="shared" si="31"/>
        <v>CE</v>
      </c>
      <c r="AC22" t="str">
        <f>CONCATENATE(BIN2HEX(AC21,2))</f>
        <v>48</v>
      </c>
      <c r="AD22" t="str">
        <f t="shared" ref="AD22:AM22" si="32">CONCATENATE(BIN2HEX(AD21,2))</f>
        <v>48</v>
      </c>
      <c r="AE22" t="str">
        <f t="shared" si="32"/>
        <v>48</v>
      </c>
      <c r="AF22" t="str">
        <f t="shared" si="32"/>
        <v>48</v>
      </c>
      <c r="AG22" t="str">
        <f t="shared" si="32"/>
        <v>48</v>
      </c>
      <c r="AH22" t="str">
        <f t="shared" si="32"/>
        <v>48</v>
      </c>
      <c r="AI22" t="str">
        <f t="shared" si="32"/>
        <v>48</v>
      </c>
      <c r="AJ22" t="str">
        <f t="shared" si="32"/>
        <v>48</v>
      </c>
      <c r="AK22" t="str">
        <f t="shared" si="32"/>
        <v>48</v>
      </c>
      <c r="AL22" t="str">
        <f t="shared" si="32"/>
        <v>48</v>
      </c>
      <c r="AM22" t="str">
        <f t="shared" si="32"/>
        <v>48</v>
      </c>
      <c r="AO22" t="str">
        <f t="shared" ref="AO22:AY22" si="33">CONCATENATE(BIN2HEX(AO21,2))</f>
        <v>00</v>
      </c>
      <c r="AP22" t="str">
        <f t="shared" si="33"/>
        <v>00</v>
      </c>
      <c r="AQ22" t="str">
        <f t="shared" si="33"/>
        <v>00</v>
      </c>
      <c r="AR22" t="str">
        <f t="shared" si="33"/>
        <v>00</v>
      </c>
      <c r="AS22" t="str">
        <f t="shared" si="33"/>
        <v>00</v>
      </c>
      <c r="AT22" t="str">
        <f t="shared" si="33"/>
        <v>00</v>
      </c>
      <c r="AU22" t="str">
        <f t="shared" si="33"/>
        <v>00</v>
      </c>
      <c r="AV22" t="str">
        <f t="shared" si="33"/>
        <v>00</v>
      </c>
      <c r="AW22" t="str">
        <f t="shared" si="33"/>
        <v>00</v>
      </c>
      <c r="AX22" t="str">
        <f t="shared" si="33"/>
        <v>00</v>
      </c>
      <c r="AY22" t="str">
        <f t="shared" si="33"/>
        <v>00</v>
      </c>
      <c r="BA22" t="str">
        <f t="shared" ref="BA22:BK22" si="34">CONCATENATE(BIN2HEX(BA21,2))</f>
        <v>00</v>
      </c>
      <c r="BB22" t="str">
        <f t="shared" si="34"/>
        <v>00</v>
      </c>
      <c r="BC22" t="str">
        <f t="shared" si="34"/>
        <v>00</v>
      </c>
      <c r="BD22" t="str">
        <f t="shared" si="34"/>
        <v>00</v>
      </c>
      <c r="BE22" t="str">
        <f t="shared" si="34"/>
        <v>00</v>
      </c>
      <c r="BF22" t="str">
        <f t="shared" si="34"/>
        <v>00</v>
      </c>
      <c r="BG22" t="str">
        <f t="shared" si="34"/>
        <v>00</v>
      </c>
      <c r="BH22" t="str">
        <f t="shared" si="34"/>
        <v>00</v>
      </c>
      <c r="BI22" t="str">
        <f t="shared" si="34"/>
        <v>00</v>
      </c>
      <c r="BJ22" t="str">
        <f t="shared" si="34"/>
        <v>00</v>
      </c>
      <c r="BK22" t="str">
        <f t="shared" si="34"/>
        <v>00</v>
      </c>
    </row>
    <row r="23" spans="1:63" x14ac:dyDescent="0.25">
      <c r="A23" s="2"/>
      <c r="B23" s="2"/>
      <c r="D23" s="13" t="s">
        <v>215</v>
      </c>
      <c r="E23" t="str">
        <f t="shared" ref="E23:O23" si="35">CONCATENATE("0x",E22,E11)</f>
        <v>0x0000</v>
      </c>
      <c r="F23" t="str">
        <f t="shared" si="35"/>
        <v>0x0100</v>
      </c>
      <c r="G23" t="str">
        <f t="shared" si="35"/>
        <v>0x3132</v>
      </c>
      <c r="H23" t="str">
        <f t="shared" si="35"/>
        <v>0x3133</v>
      </c>
      <c r="I23" t="str">
        <f t="shared" si="35"/>
        <v>0x3113</v>
      </c>
      <c r="J23" t="str">
        <f t="shared" si="35"/>
        <v>0x3123</v>
      </c>
      <c r="K23" t="str">
        <f t="shared" si="35"/>
        <v>0x3133</v>
      </c>
      <c r="L23" t="str">
        <f t="shared" si="35"/>
        <v>0x3133</v>
      </c>
      <c r="M23" t="str">
        <f t="shared" si="35"/>
        <v>0x3133</v>
      </c>
      <c r="N23" t="str">
        <f t="shared" si="35"/>
        <v>0x3133</v>
      </c>
      <c r="O23" t="str">
        <f t="shared" si="35"/>
        <v>0x3133</v>
      </c>
      <c r="Q23" t="str">
        <f t="shared" ref="Q23:AA23" si="36">CONCATENATE("0x",Q22,Q11)</f>
        <v>0xCE8C</v>
      </c>
      <c r="R23" t="str">
        <f t="shared" si="36"/>
        <v>0xCE8C</v>
      </c>
      <c r="S23" t="str">
        <f t="shared" si="36"/>
        <v>0xCE8C</v>
      </c>
      <c r="T23" t="str">
        <f t="shared" si="36"/>
        <v>0xCE8C</v>
      </c>
      <c r="U23" t="str">
        <f t="shared" si="36"/>
        <v>0xCE8C</v>
      </c>
      <c r="V23" t="str">
        <f t="shared" si="36"/>
        <v>0xCE8C</v>
      </c>
      <c r="W23" t="str">
        <f t="shared" si="36"/>
        <v>0xCE8C</v>
      </c>
      <c r="X23" t="str">
        <f t="shared" si="36"/>
        <v>0xCE8C</v>
      </c>
      <c r="Y23" t="str">
        <f t="shared" si="36"/>
        <v>0xCE8C</v>
      </c>
      <c r="Z23" t="str">
        <f t="shared" si="36"/>
        <v>0xCE8C</v>
      </c>
      <c r="AA23" t="str">
        <f t="shared" si="36"/>
        <v>0xCE8C</v>
      </c>
      <c r="AC23" t="str">
        <f>CONCATENATE("0x",AC22,AC11)</f>
        <v>0x4808</v>
      </c>
      <c r="AD23" t="str">
        <f t="shared" ref="AD23:BK23" si="37">CONCATENATE("0x",AD22,AD11)</f>
        <v>0x4808</v>
      </c>
      <c r="AE23" t="str">
        <f t="shared" si="37"/>
        <v>0x4808</v>
      </c>
      <c r="AF23" t="str">
        <f t="shared" si="37"/>
        <v>0x4808</v>
      </c>
      <c r="AG23" t="str">
        <f t="shared" si="37"/>
        <v>0x4808</v>
      </c>
      <c r="AH23" t="str">
        <f t="shared" si="37"/>
        <v>0x4808</v>
      </c>
      <c r="AI23" t="str">
        <f t="shared" si="37"/>
        <v>0x4808</v>
      </c>
      <c r="AJ23" t="str">
        <f t="shared" si="37"/>
        <v>0x4808</v>
      </c>
      <c r="AK23" t="str">
        <f t="shared" si="37"/>
        <v>0x4808</v>
      </c>
      <c r="AL23" t="str">
        <f t="shared" si="37"/>
        <v>0x4808</v>
      </c>
      <c r="AM23" t="str">
        <f t="shared" si="37"/>
        <v>0x4808</v>
      </c>
      <c r="AO23" t="str">
        <f t="shared" si="37"/>
        <v>0x0000</v>
      </c>
      <c r="AP23" t="str">
        <f t="shared" si="37"/>
        <v>0x0000</v>
      </c>
      <c r="AQ23" t="str">
        <f t="shared" si="37"/>
        <v>0x0000</v>
      </c>
      <c r="AR23" t="str">
        <f t="shared" si="37"/>
        <v>0x0000</v>
      </c>
      <c r="AS23" t="str">
        <f t="shared" si="37"/>
        <v>0x0000</v>
      </c>
      <c r="AT23" t="str">
        <f t="shared" si="37"/>
        <v>0x0000</v>
      </c>
      <c r="AU23" t="str">
        <f t="shared" si="37"/>
        <v>0x0000</v>
      </c>
      <c r="AV23" t="str">
        <f t="shared" si="37"/>
        <v>0x0000</v>
      </c>
      <c r="AW23" t="str">
        <f t="shared" si="37"/>
        <v>0x0000</v>
      </c>
      <c r="AX23" t="str">
        <f t="shared" si="37"/>
        <v>0x0000</v>
      </c>
      <c r="AY23" t="str">
        <f t="shared" si="37"/>
        <v>0x0000</v>
      </c>
      <c r="BA23" t="str">
        <f t="shared" si="37"/>
        <v>0x0000</v>
      </c>
      <c r="BB23" t="str">
        <f t="shared" si="37"/>
        <v>0x0000</v>
      </c>
      <c r="BC23" t="str">
        <f t="shared" si="37"/>
        <v>0x0000</v>
      </c>
      <c r="BD23" t="str">
        <f t="shared" si="37"/>
        <v>0x0000</v>
      </c>
      <c r="BE23" t="str">
        <f t="shared" si="37"/>
        <v>0x0000</v>
      </c>
      <c r="BF23" t="str">
        <f t="shared" si="37"/>
        <v>0x0000</v>
      </c>
      <c r="BG23" t="str">
        <f t="shared" si="37"/>
        <v>0x0000</v>
      </c>
      <c r="BH23" t="str">
        <f t="shared" si="37"/>
        <v>0x0000</v>
      </c>
      <c r="BI23" t="str">
        <f t="shared" si="37"/>
        <v>0x0000</v>
      </c>
      <c r="BJ23" t="str">
        <f t="shared" si="37"/>
        <v>0x0000</v>
      </c>
      <c r="BK23" t="str">
        <f t="shared" si="37"/>
        <v>0x0000</v>
      </c>
    </row>
    <row r="24" spans="1:63" x14ac:dyDescent="0.25">
      <c r="A24" s="2"/>
      <c r="B24" s="2"/>
      <c r="D24" s="13" t="s">
        <v>216</v>
      </c>
      <c r="E24" t="str">
        <f>Q23</f>
        <v>0xCE8C</v>
      </c>
      <c r="F24" t="str">
        <f>R23</f>
        <v>0xCE8C</v>
      </c>
      <c r="G24" t="str">
        <f t="shared" ref="G24:O24" si="38">S23</f>
        <v>0xCE8C</v>
      </c>
      <c r="H24" t="str">
        <f t="shared" si="38"/>
        <v>0xCE8C</v>
      </c>
      <c r="I24" t="str">
        <f t="shared" si="38"/>
        <v>0xCE8C</v>
      </c>
      <c r="J24" t="str">
        <f t="shared" si="38"/>
        <v>0xCE8C</v>
      </c>
      <c r="K24" t="str">
        <f t="shared" si="38"/>
        <v>0xCE8C</v>
      </c>
      <c r="L24" t="str">
        <f t="shared" si="38"/>
        <v>0xCE8C</v>
      </c>
      <c r="M24" t="str">
        <f t="shared" si="38"/>
        <v>0xCE8C</v>
      </c>
      <c r="N24" t="str">
        <f t="shared" si="38"/>
        <v>0xCE8C</v>
      </c>
      <c r="O24" t="str">
        <f t="shared" si="38"/>
        <v>0xCE8C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0x4808</v>
      </c>
      <c r="F25" t="str">
        <f t="shared" ref="F25:O25" si="39">AD23</f>
        <v>0x4808</v>
      </c>
      <c r="G25" t="str">
        <f t="shared" si="39"/>
        <v>0x4808</v>
      </c>
      <c r="H25" t="str">
        <f t="shared" si="39"/>
        <v>0x4808</v>
      </c>
      <c r="I25" t="str">
        <f t="shared" si="39"/>
        <v>0x4808</v>
      </c>
      <c r="J25" t="str">
        <f t="shared" si="39"/>
        <v>0x4808</v>
      </c>
      <c r="K25" t="str">
        <f t="shared" si="39"/>
        <v>0x4808</v>
      </c>
      <c r="L25" t="str">
        <f t="shared" si="39"/>
        <v>0x4808</v>
      </c>
      <c r="M25" t="str">
        <f t="shared" si="39"/>
        <v>0x4808</v>
      </c>
      <c r="N25" t="str">
        <f t="shared" si="39"/>
        <v>0x4808</v>
      </c>
      <c r="O25" t="str">
        <f t="shared" si="39"/>
        <v>0x4808</v>
      </c>
    </row>
    <row r="26" spans="1:63" x14ac:dyDescent="0.25">
      <c r="A26" s="2" t="s">
        <v>42</v>
      </c>
      <c r="B26" s="2" t="s">
        <v>36</v>
      </c>
      <c r="C26" t="s">
        <v>426</v>
      </c>
      <c r="D26" s="13" t="s">
        <v>209</v>
      </c>
      <c r="E26" t="str">
        <f>AO23</f>
        <v>0x0000</v>
      </c>
      <c r="F26" t="str">
        <f t="shared" ref="F26:O26" si="40">AP23</f>
        <v>0x0000</v>
      </c>
      <c r="G26" t="str">
        <f t="shared" si="40"/>
        <v>0x0000</v>
      </c>
      <c r="H26" t="str">
        <f t="shared" si="40"/>
        <v>0x0000</v>
      </c>
      <c r="I26" t="str">
        <f t="shared" si="40"/>
        <v>0x0000</v>
      </c>
      <c r="J26" t="str">
        <f t="shared" si="40"/>
        <v>0x0000</v>
      </c>
      <c r="K26" t="str">
        <f t="shared" si="40"/>
        <v>0x0000</v>
      </c>
      <c r="L26" t="str">
        <f t="shared" si="40"/>
        <v>0x0000</v>
      </c>
      <c r="M26" t="str">
        <f t="shared" si="40"/>
        <v>0x0000</v>
      </c>
      <c r="N26" t="str">
        <f t="shared" si="40"/>
        <v>0x0000</v>
      </c>
      <c r="O26" t="str">
        <f t="shared" si="40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1">BB23</f>
        <v>0x0000</v>
      </c>
      <c r="G27" t="str">
        <f t="shared" si="41"/>
        <v>0x0000</v>
      </c>
      <c r="H27" t="str">
        <f t="shared" si="41"/>
        <v>0x0000</v>
      </c>
      <c r="I27" t="str">
        <f t="shared" si="41"/>
        <v>0x0000</v>
      </c>
      <c r="J27" t="str">
        <f t="shared" si="41"/>
        <v>0x0000</v>
      </c>
      <c r="K27" t="str">
        <f t="shared" si="41"/>
        <v>0x0000</v>
      </c>
      <c r="L27" t="str">
        <f t="shared" si="41"/>
        <v>0x0000</v>
      </c>
      <c r="M27" t="str">
        <f t="shared" si="41"/>
        <v>0x0000</v>
      </c>
      <c r="N27" t="str">
        <f t="shared" si="41"/>
        <v>0x0000</v>
      </c>
      <c r="O27" t="str">
        <f t="shared" si="41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360</v>
      </c>
    </row>
    <row r="31" spans="1:63" x14ac:dyDescent="0.25">
      <c r="A31" s="4" t="str">
        <f ca="1">CONCATENATE("#",C$26,":",INDIRECT(H33))</f>
        <v>#RadioCard_TETRA_Exp1:wartość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0x27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0xCE8C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#RadioCard_TETRA_Exp1:etap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0x27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0xCE8C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0x0100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2">INDIRECT(H57)</f>
        <v>0x4808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3">INDIRECT(G58)</f>
        <v>#pins_int</v>
      </c>
      <c r="B58" s="4" t="str">
        <f t="shared" ca="1" si="42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3"/>
        <v>#pins_def_val</v>
      </c>
      <c r="B59" s="4" t="str">
        <f t="shared" ca="1" si="42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#RadioCard_TETRA_Exp1:etap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0x27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0xCE8C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0x3132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4">INDIRECT(H77)</f>
        <v>0x4808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5">INDIRECT(G78)</f>
        <v>#pins_int</v>
      </c>
      <c r="B78" s="4" t="str">
        <f t="shared" ca="1" si="44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5"/>
        <v>#pins_def_val</v>
      </c>
      <c r="B79" s="4" t="str">
        <f t="shared" ca="1" si="44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#RadioCard_TETRA_Exp1:etap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0x27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0xCE8C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0x3133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6">INDIRECT(H97)</f>
        <v>0x4808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7">INDIRECT(G98)</f>
        <v>#pins_int</v>
      </c>
      <c r="B98" s="4" t="str">
        <f t="shared" ca="1" si="46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7"/>
        <v>#pins_def_val</v>
      </c>
      <c r="B99" s="4" t="str">
        <f t="shared" ca="1" si="46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#RadioCard_TETRA_Exp1:etap 4- LMK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0x27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0xCE8C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0x3113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8">INDIRECT(H117)</f>
        <v>0x4808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9">INDIRECT(G118)</f>
        <v>#pins_int</v>
      </c>
      <c r="B118" s="4" t="str">
        <f t="shared" ca="1" si="48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9"/>
        <v>#pins_def_val</v>
      </c>
      <c r="B119" s="4" t="str">
        <f t="shared" ca="1" si="48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#RadioCard_TETRA_Exp1:etap 5 LTC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0x27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0xCE8C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0x3123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50">INDIRECT(H137)</f>
        <v>0x4808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1">INDIRECT(G138)</f>
        <v>#pins_int</v>
      </c>
      <c r="B138" s="4" t="str">
        <f t="shared" ca="1" si="50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1"/>
        <v>#pins_def_val</v>
      </c>
      <c r="B139" s="4" t="str">
        <f t="shared" ca="1" si="50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#RadioCard_TETRA_Exp1:etap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0x27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0xCE8C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0x3133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2">INDIRECT(H157)</f>
        <v>0x4808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3">INDIRECT(G158)</f>
        <v>#pins_int</v>
      </c>
      <c r="B158" s="4" t="str">
        <f t="shared" ca="1" si="52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3"/>
        <v>#pins_def_val</v>
      </c>
      <c r="B159" s="4" t="str">
        <f t="shared" ca="1" si="52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#RadioCard_TETRA_Exp1:etap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0x27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0xCE8C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0x3133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4">INDIRECT(H177)</f>
        <v>0x4808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5">INDIRECT(G178)</f>
        <v>#pins_int</v>
      </c>
      <c r="B178" s="4" t="str">
        <f t="shared" ca="1" si="54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5"/>
        <v>#pins_def_val</v>
      </c>
      <c r="B179" s="4" t="str">
        <f t="shared" ca="1" si="54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#RadioCard_TETRA_Exp1:etap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0x27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0xCE8C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0x3133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6">INDIRECT(H197)</f>
        <v>0x4808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7">INDIRECT(G198)</f>
        <v>#pins_int</v>
      </c>
      <c r="B198" s="4" t="str">
        <f t="shared" ca="1" si="56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7"/>
        <v>#pins_def_val</v>
      </c>
      <c r="B199" s="4" t="str">
        <f t="shared" ca="1" si="56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#RadioCard_TETRA_Exp1:etap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0x27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0xCE8C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0x3133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8">INDIRECT(H217)</f>
        <v>0x4808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9">INDIRECT(G218)</f>
        <v>#pins_int</v>
      </c>
      <c r="B218" s="4" t="str">
        <f t="shared" ca="1" si="58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9"/>
        <v>#pins_def_val</v>
      </c>
      <c r="B219" s="4" t="str">
        <f t="shared" ca="1" si="58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#RadioCard_TETRA_Exp1:etap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0x27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0xCE8C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0x3133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60">INDIRECT(H237)</f>
        <v>0x4808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1">INDIRECT(G238)</f>
        <v>#pins_int</v>
      </c>
      <c r="B238" s="4" t="str">
        <f t="shared" ca="1" si="60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1"/>
        <v>#pins_def_val</v>
      </c>
      <c r="B239" s="4" t="str">
        <f t="shared" ca="1" si="60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2" priority="1" stopIfTrue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6:C56"/>
  <sheetViews>
    <sheetView topLeftCell="A20" workbookViewId="0">
      <selection activeCell="A52" sqref="A52"/>
    </sheetView>
  </sheetViews>
  <sheetFormatPr defaultRowHeight="15" x14ac:dyDescent="0.25"/>
  <cols>
    <col min="1" max="1" width="20.85546875" bestFit="1" customWidth="1"/>
    <col min="2" max="2" width="23.42578125" customWidth="1"/>
  </cols>
  <sheetData>
    <row r="26" spans="1:3" x14ac:dyDescent="0.25">
      <c r="A26" s="2" t="s">
        <v>42</v>
      </c>
      <c r="B26" s="2" t="s">
        <v>419</v>
      </c>
      <c r="C26" t="s">
        <v>225</v>
      </c>
    </row>
    <row r="31" spans="1:3" x14ac:dyDescent="0.25">
      <c r="A31" t="s">
        <v>442</v>
      </c>
    </row>
    <row r="32" spans="1:3" x14ac:dyDescent="0.25">
      <c r="A32" t="s">
        <v>208</v>
      </c>
      <c r="B32" t="s">
        <v>441</v>
      </c>
    </row>
    <row r="33" spans="1:2" x14ac:dyDescent="0.25">
      <c r="A33" t="s">
        <v>226</v>
      </c>
      <c r="B33" t="s">
        <v>228</v>
      </c>
    </row>
    <row r="34" spans="1:2" x14ac:dyDescent="0.25">
      <c r="A34" t="s">
        <v>227</v>
      </c>
      <c r="B34" t="s">
        <v>439</v>
      </c>
    </row>
    <row r="36" spans="1:2" x14ac:dyDescent="0.25">
      <c r="A36" t="s">
        <v>212</v>
      </c>
      <c r="B36">
        <v>10</v>
      </c>
    </row>
    <row r="51" spans="1:2" x14ac:dyDescent="0.25">
      <c r="A51" t="s">
        <v>443</v>
      </c>
      <c r="B51" t="s">
        <v>231</v>
      </c>
    </row>
    <row r="52" spans="1:2" x14ac:dyDescent="0.25">
      <c r="A52" t="s">
        <v>208</v>
      </c>
      <c r="B52" t="s">
        <v>414</v>
      </c>
    </row>
    <row r="53" spans="1:2" x14ac:dyDescent="0.25">
      <c r="A53" t="s">
        <v>226</v>
      </c>
      <c r="B53" t="s">
        <v>228</v>
      </c>
    </row>
    <row r="54" spans="1:2" x14ac:dyDescent="0.25">
      <c r="A54" t="s">
        <v>227</v>
      </c>
      <c r="B54" t="s">
        <v>440</v>
      </c>
    </row>
    <row r="56" spans="1:2" x14ac:dyDescent="0.25">
      <c r="A56" t="s">
        <v>212</v>
      </c>
      <c r="B56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C27" sqref="C27"/>
    </sheetView>
  </sheetViews>
  <sheetFormatPr defaultRowHeight="15" x14ac:dyDescent="0.25"/>
  <cols>
    <col min="1" max="1" width="18.5703125" customWidth="1"/>
    <col min="3" max="3" width="23.42578125" bestFit="1" customWidth="1"/>
    <col min="4" max="4" width="47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0" t="s">
        <v>290</v>
      </c>
      <c r="C2" s="10" t="s">
        <v>361</v>
      </c>
      <c r="D2" s="10" t="s">
        <v>371</v>
      </c>
      <c r="E2" s="10">
        <v>0</v>
      </c>
      <c r="F2" s="10">
        <f t="shared" ref="F2:O9" si="0">E2</f>
        <v>0</v>
      </c>
      <c r="G2" s="10">
        <f t="shared" si="0"/>
        <v>0</v>
      </c>
      <c r="H2" s="10">
        <f t="shared" si="0"/>
        <v>0</v>
      </c>
      <c r="I2" s="10">
        <f t="shared" si="0"/>
        <v>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0" t="s">
        <v>291</v>
      </c>
      <c r="C3" s="10" t="s">
        <v>362</v>
      </c>
      <c r="D3" s="10" t="s">
        <v>372</v>
      </c>
      <c r="E3" s="10">
        <v>0</v>
      </c>
      <c r="F3" s="10">
        <f t="shared" si="0"/>
        <v>0</v>
      </c>
      <c r="G3" s="10">
        <f t="shared" si="0"/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0">
        <f t="shared" si="0"/>
        <v>0</v>
      </c>
      <c r="O3" s="10">
        <f t="shared" si="0"/>
        <v>0</v>
      </c>
      <c r="Q3" s="10">
        <v>0</v>
      </c>
      <c r="R3" s="10">
        <f t="shared" ref="R3:AA9" si="5">Q3</f>
        <v>0</v>
      </c>
      <c r="S3" s="10">
        <f t="shared" si="5"/>
        <v>0</v>
      </c>
      <c r="T3" s="10">
        <f t="shared" si="5"/>
        <v>0</v>
      </c>
      <c r="U3" s="10">
        <f t="shared" si="5"/>
        <v>0</v>
      </c>
      <c r="V3" s="10">
        <f t="shared" si="5"/>
        <v>0</v>
      </c>
      <c r="W3" s="10">
        <f t="shared" si="5"/>
        <v>0</v>
      </c>
      <c r="X3" s="10">
        <f t="shared" si="5"/>
        <v>0</v>
      </c>
      <c r="Y3" s="10">
        <f t="shared" si="5"/>
        <v>0</v>
      </c>
      <c r="Z3" s="10">
        <f t="shared" si="5"/>
        <v>0</v>
      </c>
      <c r="AA3" s="10">
        <f t="shared" si="5"/>
        <v>0</v>
      </c>
      <c r="AC3" s="10">
        <v>0</v>
      </c>
      <c r="AD3" s="10">
        <f t="shared" ref="AD3:AM9" si="6">AC3</f>
        <v>0</v>
      </c>
      <c r="AE3" s="10">
        <f t="shared" si="6"/>
        <v>0</v>
      </c>
      <c r="AF3" s="10">
        <f t="shared" si="6"/>
        <v>0</v>
      </c>
      <c r="AG3" s="10">
        <f t="shared" si="6"/>
        <v>0</v>
      </c>
      <c r="AH3" s="10">
        <f t="shared" si="6"/>
        <v>0</v>
      </c>
      <c r="AI3" s="10">
        <f t="shared" si="6"/>
        <v>0</v>
      </c>
      <c r="AJ3" s="10">
        <f t="shared" si="6"/>
        <v>0</v>
      </c>
      <c r="AK3" s="10">
        <f t="shared" si="6"/>
        <v>0</v>
      </c>
      <c r="AL3" s="10">
        <f t="shared" si="6"/>
        <v>0</v>
      </c>
      <c r="AM3" s="10">
        <f t="shared" si="6"/>
        <v>0</v>
      </c>
      <c r="AO3" s="10">
        <v>0</v>
      </c>
      <c r="AP3" s="10">
        <f t="shared" ref="AP3:AY9" si="7">AO3</f>
        <v>0</v>
      </c>
      <c r="AQ3" s="10">
        <f t="shared" si="7"/>
        <v>0</v>
      </c>
      <c r="AR3" s="10">
        <f t="shared" si="7"/>
        <v>0</v>
      </c>
      <c r="AS3" s="10">
        <f t="shared" si="7"/>
        <v>0</v>
      </c>
      <c r="AT3" s="10">
        <f t="shared" si="7"/>
        <v>0</v>
      </c>
      <c r="AU3" s="10">
        <f t="shared" si="7"/>
        <v>0</v>
      </c>
      <c r="AV3" s="10">
        <f t="shared" si="7"/>
        <v>0</v>
      </c>
      <c r="AW3" s="10">
        <f t="shared" si="7"/>
        <v>0</v>
      </c>
      <c r="AX3" s="10">
        <f t="shared" si="7"/>
        <v>0</v>
      </c>
      <c r="AY3" s="10">
        <f t="shared" si="7"/>
        <v>0</v>
      </c>
      <c r="BA3" s="10">
        <v>0</v>
      </c>
      <c r="BB3" s="10">
        <f t="shared" ref="BB3:BK9" si="8">BA3</f>
        <v>0</v>
      </c>
      <c r="BC3" s="10">
        <f t="shared" si="8"/>
        <v>0</v>
      </c>
      <c r="BD3" s="10">
        <f t="shared" si="8"/>
        <v>0</v>
      </c>
      <c r="BE3" s="10">
        <f t="shared" si="8"/>
        <v>0</v>
      </c>
      <c r="BF3" s="10">
        <f t="shared" si="8"/>
        <v>0</v>
      </c>
      <c r="BG3" s="10">
        <f t="shared" si="8"/>
        <v>0</v>
      </c>
      <c r="BH3" s="10">
        <f t="shared" si="8"/>
        <v>0</v>
      </c>
      <c r="BI3" s="10">
        <f t="shared" si="8"/>
        <v>0</v>
      </c>
      <c r="BJ3" s="10">
        <f t="shared" si="8"/>
        <v>0</v>
      </c>
      <c r="BK3" s="10">
        <f t="shared" si="8"/>
        <v>0</v>
      </c>
    </row>
    <row r="4" spans="1:63" s="10" customFormat="1" x14ac:dyDescent="0.25">
      <c r="A4" s="11"/>
      <c r="B4" s="10" t="s">
        <v>292</v>
      </c>
      <c r="C4" s="10" t="s">
        <v>363</v>
      </c>
      <c r="D4" s="10" t="s">
        <v>373</v>
      </c>
      <c r="E4" s="10">
        <v>0</v>
      </c>
      <c r="F4" s="10">
        <f t="shared" si="0"/>
        <v>0</v>
      </c>
      <c r="G4" s="10">
        <f t="shared" si="0"/>
        <v>0</v>
      </c>
      <c r="H4" s="10">
        <f t="shared" si="0"/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10">
        <f t="shared" si="0"/>
        <v>0</v>
      </c>
      <c r="O4" s="10">
        <f t="shared" si="0"/>
        <v>0</v>
      </c>
      <c r="Q4" s="10">
        <v>0</v>
      </c>
      <c r="R4" s="10">
        <f t="shared" si="5"/>
        <v>0</v>
      </c>
      <c r="S4" s="10">
        <f t="shared" si="5"/>
        <v>0</v>
      </c>
      <c r="T4" s="10">
        <f t="shared" si="5"/>
        <v>0</v>
      </c>
      <c r="U4" s="10">
        <f t="shared" si="5"/>
        <v>0</v>
      </c>
      <c r="V4" s="10">
        <f t="shared" si="5"/>
        <v>0</v>
      </c>
      <c r="W4" s="10">
        <f t="shared" si="5"/>
        <v>0</v>
      </c>
      <c r="X4" s="10">
        <f t="shared" si="5"/>
        <v>0</v>
      </c>
      <c r="Y4" s="10">
        <f t="shared" si="5"/>
        <v>0</v>
      </c>
      <c r="Z4" s="10">
        <f t="shared" si="5"/>
        <v>0</v>
      </c>
      <c r="AA4" s="10">
        <f t="shared" si="5"/>
        <v>0</v>
      </c>
      <c r="AC4" s="10">
        <v>0</v>
      </c>
      <c r="AD4" s="10">
        <f t="shared" si="6"/>
        <v>0</v>
      </c>
      <c r="AE4" s="10">
        <f t="shared" si="6"/>
        <v>0</v>
      </c>
      <c r="AF4" s="10">
        <f t="shared" si="6"/>
        <v>0</v>
      </c>
      <c r="AG4" s="10">
        <f t="shared" si="6"/>
        <v>0</v>
      </c>
      <c r="AH4" s="10">
        <f t="shared" si="6"/>
        <v>0</v>
      </c>
      <c r="AI4" s="10">
        <f t="shared" si="6"/>
        <v>0</v>
      </c>
      <c r="AJ4" s="10">
        <f t="shared" si="6"/>
        <v>0</v>
      </c>
      <c r="AK4" s="10">
        <f t="shared" si="6"/>
        <v>0</v>
      </c>
      <c r="AL4" s="10">
        <f t="shared" si="6"/>
        <v>0</v>
      </c>
      <c r="AM4" s="10">
        <f t="shared" si="6"/>
        <v>0</v>
      </c>
      <c r="AO4" s="10">
        <v>0</v>
      </c>
      <c r="AP4" s="10">
        <f t="shared" si="7"/>
        <v>0</v>
      </c>
      <c r="AQ4" s="10">
        <f t="shared" si="7"/>
        <v>0</v>
      </c>
      <c r="AR4" s="10">
        <f t="shared" si="7"/>
        <v>0</v>
      </c>
      <c r="AS4" s="10">
        <f t="shared" si="7"/>
        <v>0</v>
      </c>
      <c r="AT4" s="10">
        <f t="shared" si="7"/>
        <v>0</v>
      </c>
      <c r="AU4" s="10">
        <f t="shared" si="7"/>
        <v>0</v>
      </c>
      <c r="AV4" s="10">
        <f t="shared" si="7"/>
        <v>0</v>
      </c>
      <c r="AW4" s="10">
        <f t="shared" si="7"/>
        <v>0</v>
      </c>
      <c r="AX4" s="10">
        <f t="shared" si="7"/>
        <v>0</v>
      </c>
      <c r="AY4" s="10">
        <f t="shared" si="7"/>
        <v>0</v>
      </c>
      <c r="BA4" s="10">
        <v>0</v>
      </c>
      <c r="BB4" s="10">
        <f t="shared" si="8"/>
        <v>0</v>
      </c>
      <c r="BC4" s="10">
        <f t="shared" si="8"/>
        <v>0</v>
      </c>
      <c r="BD4" s="10">
        <f t="shared" si="8"/>
        <v>0</v>
      </c>
      <c r="BE4" s="10">
        <f t="shared" si="8"/>
        <v>0</v>
      </c>
      <c r="BF4" s="10">
        <f t="shared" si="8"/>
        <v>0</v>
      </c>
      <c r="BG4" s="10">
        <f t="shared" si="8"/>
        <v>0</v>
      </c>
      <c r="BH4" s="10">
        <f t="shared" si="8"/>
        <v>0</v>
      </c>
      <c r="BI4" s="10">
        <f t="shared" si="8"/>
        <v>0</v>
      </c>
      <c r="BJ4" s="10">
        <f t="shared" si="8"/>
        <v>0</v>
      </c>
      <c r="BK4" s="10">
        <f t="shared" si="8"/>
        <v>0</v>
      </c>
    </row>
    <row r="5" spans="1:63" s="10" customFormat="1" x14ac:dyDescent="0.25">
      <c r="A5" s="11"/>
      <c r="B5" s="10" t="s">
        <v>293</v>
      </c>
      <c r="C5" s="10" t="s">
        <v>364</v>
      </c>
      <c r="D5" s="10" t="s">
        <v>374</v>
      </c>
      <c r="E5" s="10"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 t="shared" si="0"/>
        <v>0</v>
      </c>
      <c r="Q5" s="10">
        <v>0</v>
      </c>
      <c r="R5" s="10">
        <f t="shared" si="5"/>
        <v>0</v>
      </c>
      <c r="S5" s="10">
        <f t="shared" si="5"/>
        <v>0</v>
      </c>
      <c r="T5" s="10">
        <f t="shared" si="5"/>
        <v>0</v>
      </c>
      <c r="U5" s="10">
        <f t="shared" si="5"/>
        <v>0</v>
      </c>
      <c r="V5" s="10">
        <f t="shared" si="5"/>
        <v>0</v>
      </c>
      <c r="W5" s="10">
        <f t="shared" si="5"/>
        <v>0</v>
      </c>
      <c r="X5" s="10">
        <f t="shared" si="5"/>
        <v>0</v>
      </c>
      <c r="Y5" s="10">
        <f t="shared" si="5"/>
        <v>0</v>
      </c>
      <c r="Z5" s="10">
        <f t="shared" si="5"/>
        <v>0</v>
      </c>
      <c r="AA5" s="10">
        <f t="shared" si="5"/>
        <v>0</v>
      </c>
      <c r="AC5" s="10">
        <v>0</v>
      </c>
      <c r="AD5" s="10">
        <f t="shared" si="6"/>
        <v>0</v>
      </c>
      <c r="AE5" s="10">
        <f t="shared" si="6"/>
        <v>0</v>
      </c>
      <c r="AF5" s="10">
        <f t="shared" si="6"/>
        <v>0</v>
      </c>
      <c r="AG5" s="10">
        <f t="shared" si="6"/>
        <v>0</v>
      </c>
      <c r="AH5" s="10">
        <f t="shared" si="6"/>
        <v>0</v>
      </c>
      <c r="AI5" s="10">
        <f t="shared" si="6"/>
        <v>0</v>
      </c>
      <c r="AJ5" s="10">
        <f t="shared" si="6"/>
        <v>0</v>
      </c>
      <c r="AK5" s="10">
        <f t="shared" si="6"/>
        <v>0</v>
      </c>
      <c r="AL5" s="10">
        <f t="shared" si="6"/>
        <v>0</v>
      </c>
      <c r="AM5" s="10">
        <f t="shared" si="6"/>
        <v>0</v>
      </c>
      <c r="AO5" s="10">
        <v>0</v>
      </c>
      <c r="AP5" s="10">
        <f t="shared" si="7"/>
        <v>0</v>
      </c>
      <c r="AQ5" s="10">
        <f t="shared" si="7"/>
        <v>0</v>
      </c>
      <c r="AR5" s="10">
        <f t="shared" si="7"/>
        <v>0</v>
      </c>
      <c r="AS5" s="10">
        <f t="shared" si="7"/>
        <v>0</v>
      </c>
      <c r="AT5" s="10">
        <f t="shared" si="7"/>
        <v>0</v>
      </c>
      <c r="AU5" s="10">
        <f t="shared" si="7"/>
        <v>0</v>
      </c>
      <c r="AV5" s="10">
        <f t="shared" si="7"/>
        <v>0</v>
      </c>
      <c r="AW5" s="10">
        <f t="shared" si="7"/>
        <v>0</v>
      </c>
      <c r="AX5" s="10">
        <f t="shared" si="7"/>
        <v>0</v>
      </c>
      <c r="AY5" s="10">
        <f t="shared" si="7"/>
        <v>0</v>
      </c>
      <c r="BA5" s="10">
        <v>0</v>
      </c>
      <c r="BB5" s="10">
        <f t="shared" si="8"/>
        <v>0</v>
      </c>
      <c r="BC5" s="10">
        <f t="shared" si="8"/>
        <v>0</v>
      </c>
      <c r="BD5" s="10">
        <f t="shared" si="8"/>
        <v>0</v>
      </c>
      <c r="BE5" s="10">
        <f t="shared" si="8"/>
        <v>0</v>
      </c>
      <c r="BF5" s="10">
        <f t="shared" si="8"/>
        <v>0</v>
      </c>
      <c r="BG5" s="10">
        <f t="shared" si="8"/>
        <v>0</v>
      </c>
      <c r="BH5" s="10">
        <f t="shared" si="8"/>
        <v>0</v>
      </c>
      <c r="BI5" s="10">
        <f t="shared" si="8"/>
        <v>0</v>
      </c>
      <c r="BJ5" s="10">
        <f t="shared" si="8"/>
        <v>0</v>
      </c>
      <c r="BK5" s="10">
        <f t="shared" si="8"/>
        <v>0</v>
      </c>
    </row>
    <row r="6" spans="1:63" s="10" customFormat="1" x14ac:dyDescent="0.25">
      <c r="A6" s="11"/>
      <c r="B6" s="10" t="s">
        <v>294</v>
      </c>
      <c r="C6" s="10" t="s">
        <v>365</v>
      </c>
      <c r="D6" s="10" t="s">
        <v>375</v>
      </c>
      <c r="E6" s="10">
        <v>0</v>
      </c>
      <c r="F6" s="10">
        <f t="shared" si="0"/>
        <v>0</v>
      </c>
      <c r="G6" s="10">
        <f t="shared" si="0"/>
        <v>0</v>
      </c>
      <c r="H6" s="10">
        <f t="shared" si="0"/>
        <v>0</v>
      </c>
      <c r="I6" s="10">
        <f t="shared" si="0"/>
        <v>0</v>
      </c>
      <c r="J6" s="10">
        <f t="shared" si="0"/>
        <v>0</v>
      </c>
      <c r="K6" s="10">
        <f t="shared" si="0"/>
        <v>0</v>
      </c>
      <c r="L6" s="10">
        <f t="shared" si="0"/>
        <v>0</v>
      </c>
      <c r="M6" s="10">
        <f t="shared" si="0"/>
        <v>0</v>
      </c>
      <c r="N6" s="10">
        <f t="shared" si="0"/>
        <v>0</v>
      </c>
      <c r="O6" s="10">
        <f t="shared" si="0"/>
        <v>0</v>
      </c>
      <c r="Q6" s="10">
        <v>0</v>
      </c>
      <c r="R6" s="10">
        <f t="shared" si="5"/>
        <v>0</v>
      </c>
      <c r="S6" s="10">
        <f t="shared" si="5"/>
        <v>0</v>
      </c>
      <c r="T6" s="10">
        <f t="shared" si="5"/>
        <v>0</v>
      </c>
      <c r="U6" s="10">
        <f t="shared" si="5"/>
        <v>0</v>
      </c>
      <c r="V6" s="10">
        <f t="shared" si="5"/>
        <v>0</v>
      </c>
      <c r="W6" s="10">
        <f t="shared" si="5"/>
        <v>0</v>
      </c>
      <c r="X6" s="10">
        <f t="shared" si="5"/>
        <v>0</v>
      </c>
      <c r="Y6" s="10">
        <f t="shared" si="5"/>
        <v>0</v>
      </c>
      <c r="Z6" s="10">
        <f t="shared" si="5"/>
        <v>0</v>
      </c>
      <c r="AA6" s="10">
        <f t="shared" si="5"/>
        <v>0</v>
      </c>
      <c r="AC6" s="10">
        <v>0</v>
      </c>
      <c r="AD6" s="10">
        <f t="shared" si="6"/>
        <v>0</v>
      </c>
      <c r="AE6" s="10">
        <f t="shared" si="6"/>
        <v>0</v>
      </c>
      <c r="AF6" s="10">
        <f t="shared" si="6"/>
        <v>0</v>
      </c>
      <c r="AG6" s="10">
        <f t="shared" si="6"/>
        <v>0</v>
      </c>
      <c r="AH6" s="10">
        <f t="shared" si="6"/>
        <v>0</v>
      </c>
      <c r="AI6" s="10">
        <f t="shared" si="6"/>
        <v>0</v>
      </c>
      <c r="AJ6" s="10">
        <f t="shared" si="6"/>
        <v>0</v>
      </c>
      <c r="AK6" s="10">
        <f t="shared" si="6"/>
        <v>0</v>
      </c>
      <c r="AL6" s="10">
        <f t="shared" si="6"/>
        <v>0</v>
      </c>
      <c r="AM6" s="10">
        <f t="shared" si="6"/>
        <v>0</v>
      </c>
      <c r="AO6" s="10">
        <v>0</v>
      </c>
      <c r="AP6" s="10">
        <f t="shared" si="7"/>
        <v>0</v>
      </c>
      <c r="AQ6" s="10">
        <f t="shared" si="7"/>
        <v>0</v>
      </c>
      <c r="AR6" s="10">
        <f t="shared" si="7"/>
        <v>0</v>
      </c>
      <c r="AS6" s="10">
        <f t="shared" si="7"/>
        <v>0</v>
      </c>
      <c r="AT6" s="10">
        <f t="shared" si="7"/>
        <v>0</v>
      </c>
      <c r="AU6" s="10">
        <f t="shared" si="7"/>
        <v>0</v>
      </c>
      <c r="AV6" s="10">
        <f t="shared" si="7"/>
        <v>0</v>
      </c>
      <c r="AW6" s="10">
        <f t="shared" si="7"/>
        <v>0</v>
      </c>
      <c r="AX6" s="10">
        <f t="shared" si="7"/>
        <v>0</v>
      </c>
      <c r="AY6" s="10">
        <f t="shared" si="7"/>
        <v>0</v>
      </c>
      <c r="BA6" s="10">
        <v>0</v>
      </c>
      <c r="BB6" s="10">
        <f t="shared" si="8"/>
        <v>0</v>
      </c>
      <c r="BC6" s="10">
        <f t="shared" si="8"/>
        <v>0</v>
      </c>
      <c r="BD6" s="10">
        <f t="shared" si="8"/>
        <v>0</v>
      </c>
      <c r="BE6" s="10">
        <f t="shared" si="8"/>
        <v>0</v>
      </c>
      <c r="BF6" s="10">
        <f t="shared" si="8"/>
        <v>0</v>
      </c>
      <c r="BG6" s="10">
        <f t="shared" si="8"/>
        <v>0</v>
      </c>
      <c r="BH6" s="10">
        <f t="shared" si="8"/>
        <v>0</v>
      </c>
      <c r="BI6" s="10">
        <f t="shared" si="8"/>
        <v>0</v>
      </c>
      <c r="BJ6" s="10">
        <f t="shared" si="8"/>
        <v>0</v>
      </c>
      <c r="BK6" s="10">
        <f t="shared" si="8"/>
        <v>0</v>
      </c>
    </row>
    <row r="7" spans="1:63" s="10" customFormat="1" x14ac:dyDescent="0.25">
      <c r="A7" s="11"/>
      <c r="B7" s="10" t="s">
        <v>295</v>
      </c>
      <c r="C7" s="10" t="s">
        <v>366</v>
      </c>
      <c r="D7" s="10" t="s">
        <v>376</v>
      </c>
      <c r="E7" s="10"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10">
        <f t="shared" si="0"/>
        <v>0</v>
      </c>
      <c r="K7" s="10">
        <f t="shared" si="0"/>
        <v>0</v>
      </c>
      <c r="L7" s="10">
        <f t="shared" si="0"/>
        <v>0</v>
      </c>
      <c r="M7" s="10">
        <f t="shared" si="0"/>
        <v>0</v>
      </c>
      <c r="N7" s="10">
        <f t="shared" si="0"/>
        <v>0</v>
      </c>
      <c r="O7" s="10">
        <f t="shared" si="0"/>
        <v>0</v>
      </c>
      <c r="Q7" s="10">
        <v>0</v>
      </c>
      <c r="R7" s="10">
        <f t="shared" si="5"/>
        <v>0</v>
      </c>
      <c r="S7" s="10">
        <f t="shared" si="5"/>
        <v>0</v>
      </c>
      <c r="T7" s="10">
        <f t="shared" si="5"/>
        <v>0</v>
      </c>
      <c r="U7" s="10">
        <f t="shared" si="5"/>
        <v>0</v>
      </c>
      <c r="V7" s="10">
        <f t="shared" si="5"/>
        <v>0</v>
      </c>
      <c r="W7" s="10">
        <f t="shared" si="5"/>
        <v>0</v>
      </c>
      <c r="X7" s="10">
        <f t="shared" si="5"/>
        <v>0</v>
      </c>
      <c r="Y7" s="10">
        <f t="shared" si="5"/>
        <v>0</v>
      </c>
      <c r="Z7" s="10">
        <f t="shared" si="5"/>
        <v>0</v>
      </c>
      <c r="AA7" s="10">
        <f t="shared" si="5"/>
        <v>0</v>
      </c>
      <c r="AC7" s="10">
        <v>0</v>
      </c>
      <c r="AD7" s="10">
        <f t="shared" si="6"/>
        <v>0</v>
      </c>
      <c r="AE7" s="10">
        <f t="shared" si="6"/>
        <v>0</v>
      </c>
      <c r="AF7" s="10">
        <f t="shared" si="6"/>
        <v>0</v>
      </c>
      <c r="AG7" s="10">
        <f t="shared" si="6"/>
        <v>0</v>
      </c>
      <c r="AH7" s="10">
        <f t="shared" si="6"/>
        <v>0</v>
      </c>
      <c r="AI7" s="10">
        <f t="shared" si="6"/>
        <v>0</v>
      </c>
      <c r="AJ7" s="10">
        <f t="shared" si="6"/>
        <v>0</v>
      </c>
      <c r="AK7" s="10">
        <f t="shared" si="6"/>
        <v>0</v>
      </c>
      <c r="AL7" s="10">
        <f t="shared" si="6"/>
        <v>0</v>
      </c>
      <c r="AM7" s="10">
        <f t="shared" si="6"/>
        <v>0</v>
      </c>
      <c r="AO7" s="10">
        <v>0</v>
      </c>
      <c r="AP7" s="10">
        <f t="shared" si="7"/>
        <v>0</v>
      </c>
      <c r="AQ7" s="10">
        <f t="shared" si="7"/>
        <v>0</v>
      </c>
      <c r="AR7" s="10">
        <f t="shared" si="7"/>
        <v>0</v>
      </c>
      <c r="AS7" s="10">
        <f t="shared" si="7"/>
        <v>0</v>
      </c>
      <c r="AT7" s="10">
        <f t="shared" si="7"/>
        <v>0</v>
      </c>
      <c r="AU7" s="10">
        <f t="shared" si="7"/>
        <v>0</v>
      </c>
      <c r="AV7" s="10">
        <f t="shared" si="7"/>
        <v>0</v>
      </c>
      <c r="AW7" s="10">
        <f t="shared" si="7"/>
        <v>0</v>
      </c>
      <c r="AX7" s="10">
        <f t="shared" si="7"/>
        <v>0</v>
      </c>
      <c r="AY7" s="10">
        <f t="shared" si="7"/>
        <v>0</v>
      </c>
      <c r="BA7" s="10">
        <v>0</v>
      </c>
      <c r="BB7" s="10">
        <f t="shared" si="8"/>
        <v>0</v>
      </c>
      <c r="BC7" s="10">
        <f t="shared" si="8"/>
        <v>0</v>
      </c>
      <c r="BD7" s="10">
        <f t="shared" si="8"/>
        <v>0</v>
      </c>
      <c r="BE7" s="10">
        <f t="shared" si="8"/>
        <v>0</v>
      </c>
      <c r="BF7" s="10">
        <f t="shared" si="8"/>
        <v>0</v>
      </c>
      <c r="BG7" s="10">
        <f t="shared" si="8"/>
        <v>0</v>
      </c>
      <c r="BH7" s="10">
        <f t="shared" si="8"/>
        <v>0</v>
      </c>
      <c r="BI7" s="10">
        <f t="shared" si="8"/>
        <v>0</v>
      </c>
      <c r="BJ7" s="10">
        <f t="shared" si="8"/>
        <v>0</v>
      </c>
      <c r="BK7" s="10">
        <f t="shared" si="8"/>
        <v>0</v>
      </c>
    </row>
    <row r="8" spans="1:63" s="10" customFormat="1" x14ac:dyDescent="0.25">
      <c r="A8" s="11"/>
      <c r="B8" s="10" t="s">
        <v>296</v>
      </c>
      <c r="C8" s="10" t="s">
        <v>367</v>
      </c>
      <c r="D8" s="10" t="s">
        <v>377</v>
      </c>
      <c r="E8" s="10"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0">
        <f t="shared" si="0"/>
        <v>0</v>
      </c>
      <c r="Q8" s="10">
        <v>0</v>
      </c>
      <c r="R8" s="10">
        <f t="shared" si="5"/>
        <v>0</v>
      </c>
      <c r="S8" s="10">
        <f t="shared" si="5"/>
        <v>0</v>
      </c>
      <c r="T8" s="10">
        <f t="shared" si="5"/>
        <v>0</v>
      </c>
      <c r="U8" s="10">
        <f t="shared" si="5"/>
        <v>0</v>
      </c>
      <c r="V8" s="10">
        <f t="shared" si="5"/>
        <v>0</v>
      </c>
      <c r="W8" s="10">
        <f t="shared" si="5"/>
        <v>0</v>
      </c>
      <c r="X8" s="10">
        <f t="shared" si="5"/>
        <v>0</v>
      </c>
      <c r="Y8" s="10">
        <f t="shared" si="5"/>
        <v>0</v>
      </c>
      <c r="Z8" s="10">
        <f t="shared" si="5"/>
        <v>0</v>
      </c>
      <c r="AA8" s="10">
        <f t="shared" si="5"/>
        <v>0</v>
      </c>
      <c r="AC8" s="10">
        <v>0</v>
      </c>
      <c r="AD8" s="10">
        <f t="shared" si="6"/>
        <v>0</v>
      </c>
      <c r="AE8" s="10">
        <f t="shared" si="6"/>
        <v>0</v>
      </c>
      <c r="AF8" s="10">
        <f t="shared" si="6"/>
        <v>0</v>
      </c>
      <c r="AG8" s="10">
        <f t="shared" si="6"/>
        <v>0</v>
      </c>
      <c r="AH8" s="10">
        <f t="shared" si="6"/>
        <v>0</v>
      </c>
      <c r="AI8" s="10">
        <f t="shared" si="6"/>
        <v>0</v>
      </c>
      <c r="AJ8" s="10">
        <f t="shared" si="6"/>
        <v>0</v>
      </c>
      <c r="AK8" s="10">
        <f t="shared" si="6"/>
        <v>0</v>
      </c>
      <c r="AL8" s="10">
        <f t="shared" si="6"/>
        <v>0</v>
      </c>
      <c r="AM8" s="10">
        <f t="shared" si="6"/>
        <v>0</v>
      </c>
      <c r="AO8" s="10">
        <v>0</v>
      </c>
      <c r="AP8" s="10">
        <f t="shared" si="7"/>
        <v>0</v>
      </c>
      <c r="AQ8" s="10">
        <f t="shared" si="7"/>
        <v>0</v>
      </c>
      <c r="AR8" s="10">
        <f t="shared" si="7"/>
        <v>0</v>
      </c>
      <c r="AS8" s="10">
        <f t="shared" si="7"/>
        <v>0</v>
      </c>
      <c r="AT8" s="10">
        <f t="shared" si="7"/>
        <v>0</v>
      </c>
      <c r="AU8" s="10">
        <f t="shared" si="7"/>
        <v>0</v>
      </c>
      <c r="AV8" s="10">
        <f t="shared" si="7"/>
        <v>0</v>
      </c>
      <c r="AW8" s="10">
        <f t="shared" si="7"/>
        <v>0</v>
      </c>
      <c r="AX8" s="10">
        <f t="shared" si="7"/>
        <v>0</v>
      </c>
      <c r="AY8" s="10">
        <f t="shared" si="7"/>
        <v>0</v>
      </c>
      <c r="BA8" s="10">
        <v>0</v>
      </c>
      <c r="BB8" s="10">
        <f t="shared" si="8"/>
        <v>0</v>
      </c>
      <c r="BC8" s="10">
        <f t="shared" si="8"/>
        <v>0</v>
      </c>
      <c r="BD8" s="10">
        <f t="shared" si="8"/>
        <v>0</v>
      </c>
      <c r="BE8" s="10">
        <f t="shared" si="8"/>
        <v>0</v>
      </c>
      <c r="BF8" s="10">
        <f t="shared" si="8"/>
        <v>0</v>
      </c>
      <c r="BG8" s="10">
        <f t="shared" si="8"/>
        <v>0</v>
      </c>
      <c r="BH8" s="10">
        <f t="shared" si="8"/>
        <v>0</v>
      </c>
      <c r="BI8" s="10">
        <f t="shared" si="8"/>
        <v>0</v>
      </c>
      <c r="BJ8" s="10">
        <f t="shared" si="8"/>
        <v>0</v>
      </c>
      <c r="BK8" s="10">
        <f t="shared" si="8"/>
        <v>0</v>
      </c>
    </row>
    <row r="9" spans="1:63" s="10" customFormat="1" x14ac:dyDescent="0.25">
      <c r="A9" s="11"/>
      <c r="B9" s="10" t="s">
        <v>297</v>
      </c>
      <c r="C9" s="10" t="s">
        <v>368</v>
      </c>
      <c r="D9" s="10" t="s">
        <v>378</v>
      </c>
      <c r="E9" s="10"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0</v>
      </c>
      <c r="O9" s="10">
        <f t="shared" si="0"/>
        <v>0</v>
      </c>
      <c r="Q9" s="10">
        <v>0</v>
      </c>
      <c r="R9" s="10">
        <f t="shared" si="5"/>
        <v>0</v>
      </c>
      <c r="S9" s="10">
        <f t="shared" si="5"/>
        <v>0</v>
      </c>
      <c r="T9" s="10">
        <f t="shared" si="5"/>
        <v>0</v>
      </c>
      <c r="U9" s="10">
        <f t="shared" si="5"/>
        <v>0</v>
      </c>
      <c r="V9" s="10">
        <f t="shared" si="5"/>
        <v>0</v>
      </c>
      <c r="W9" s="10">
        <f t="shared" si="5"/>
        <v>0</v>
      </c>
      <c r="X9" s="10">
        <f t="shared" si="5"/>
        <v>0</v>
      </c>
      <c r="Y9" s="10">
        <f t="shared" si="5"/>
        <v>0</v>
      </c>
      <c r="Z9" s="10">
        <f t="shared" si="5"/>
        <v>0</v>
      </c>
      <c r="AA9" s="10">
        <f t="shared" si="5"/>
        <v>0</v>
      </c>
      <c r="AC9" s="10">
        <v>0</v>
      </c>
      <c r="AD9" s="10">
        <f t="shared" si="6"/>
        <v>0</v>
      </c>
      <c r="AE9" s="10">
        <f t="shared" si="6"/>
        <v>0</v>
      </c>
      <c r="AF9" s="10">
        <f t="shared" si="6"/>
        <v>0</v>
      </c>
      <c r="AG9" s="10">
        <f t="shared" si="6"/>
        <v>0</v>
      </c>
      <c r="AH9" s="10">
        <f t="shared" si="6"/>
        <v>0</v>
      </c>
      <c r="AI9" s="10">
        <f t="shared" si="6"/>
        <v>0</v>
      </c>
      <c r="AJ9" s="10">
        <f t="shared" si="6"/>
        <v>0</v>
      </c>
      <c r="AK9" s="10">
        <f t="shared" si="6"/>
        <v>0</v>
      </c>
      <c r="AL9" s="10">
        <f t="shared" si="6"/>
        <v>0</v>
      </c>
      <c r="AM9" s="10">
        <f t="shared" si="6"/>
        <v>0</v>
      </c>
      <c r="AO9" s="10">
        <v>0</v>
      </c>
      <c r="AP9" s="10">
        <f t="shared" si="7"/>
        <v>0</v>
      </c>
      <c r="AQ9" s="10">
        <f t="shared" si="7"/>
        <v>0</v>
      </c>
      <c r="AR9" s="10">
        <f t="shared" si="7"/>
        <v>0</v>
      </c>
      <c r="AS9" s="10">
        <f t="shared" si="7"/>
        <v>0</v>
      </c>
      <c r="AT9" s="10">
        <f t="shared" si="7"/>
        <v>0</v>
      </c>
      <c r="AU9" s="10">
        <f t="shared" si="7"/>
        <v>0</v>
      </c>
      <c r="AV9" s="10">
        <f t="shared" si="7"/>
        <v>0</v>
      </c>
      <c r="AW9" s="10">
        <f t="shared" si="7"/>
        <v>0</v>
      </c>
      <c r="AX9" s="10">
        <f t="shared" si="7"/>
        <v>0</v>
      </c>
      <c r="AY9" s="10">
        <f t="shared" si="7"/>
        <v>0</v>
      </c>
      <c r="BA9" s="10">
        <v>0</v>
      </c>
      <c r="BB9" s="10">
        <f t="shared" si="8"/>
        <v>0</v>
      </c>
      <c r="BC9" s="10">
        <f t="shared" si="8"/>
        <v>0</v>
      </c>
      <c r="BD9" s="10">
        <f t="shared" si="8"/>
        <v>0</v>
      </c>
      <c r="BE9" s="10">
        <f t="shared" si="8"/>
        <v>0</v>
      </c>
      <c r="BF9" s="10">
        <f t="shared" si="8"/>
        <v>0</v>
      </c>
      <c r="BG9" s="10">
        <f t="shared" si="8"/>
        <v>0</v>
      </c>
      <c r="BH9" s="10">
        <f t="shared" si="8"/>
        <v>0</v>
      </c>
      <c r="BI9" s="10">
        <f t="shared" si="8"/>
        <v>0</v>
      </c>
      <c r="BJ9" s="10">
        <f t="shared" si="8"/>
        <v>0</v>
      </c>
      <c r="BK9" s="10">
        <f t="shared" si="8"/>
        <v>0</v>
      </c>
    </row>
    <row r="10" spans="1:63" x14ac:dyDescent="0.25">
      <c r="A10" s="2"/>
      <c r="E10" t="str">
        <f t="shared" ref="E10:AA10" si="9">CONCATENATE(E9,E8,E7,E6,E5,E4,E3,E2)</f>
        <v>00000000</v>
      </c>
      <c r="F10" t="str">
        <f t="shared" si="9"/>
        <v>00000000</v>
      </c>
      <c r="G10" t="str">
        <f t="shared" si="9"/>
        <v>00000000</v>
      </c>
      <c r="H10" t="str">
        <f t="shared" si="9"/>
        <v>00000000</v>
      </c>
      <c r="I10" t="str">
        <f t="shared" si="9"/>
        <v>00000000</v>
      </c>
      <c r="J10" t="str">
        <f t="shared" si="9"/>
        <v>00000000</v>
      </c>
      <c r="K10" t="str">
        <f t="shared" si="9"/>
        <v>00000000</v>
      </c>
      <c r="L10" t="str">
        <f t="shared" si="9"/>
        <v>00000000</v>
      </c>
      <c r="M10" t="str">
        <f t="shared" si="9"/>
        <v>00000000</v>
      </c>
      <c r="N10" t="str">
        <f t="shared" si="9"/>
        <v>00000000</v>
      </c>
      <c r="O10" t="str">
        <f t="shared" si="9"/>
        <v>00000000</v>
      </c>
      <c r="Q10" t="str">
        <f t="shared" si="9"/>
        <v>00000000</v>
      </c>
      <c r="R10" t="str">
        <f t="shared" si="9"/>
        <v>00000000</v>
      </c>
      <c r="S10" t="str">
        <f t="shared" si="9"/>
        <v>00000000</v>
      </c>
      <c r="T10" t="str">
        <f t="shared" si="9"/>
        <v>00000000</v>
      </c>
      <c r="U10" t="str">
        <f t="shared" si="9"/>
        <v>00000000</v>
      </c>
      <c r="V10" t="str">
        <f t="shared" si="9"/>
        <v>00000000</v>
      </c>
      <c r="W10" t="str">
        <f t="shared" si="9"/>
        <v>00000000</v>
      </c>
      <c r="X10" t="str">
        <f t="shared" si="9"/>
        <v>00000000</v>
      </c>
      <c r="Y10" t="str">
        <f t="shared" si="9"/>
        <v>00000000</v>
      </c>
      <c r="Z10" t="str">
        <f t="shared" si="9"/>
        <v>00000000</v>
      </c>
      <c r="AA10" t="str">
        <f t="shared" si="9"/>
        <v>00000000</v>
      </c>
      <c r="AC10" t="str">
        <f>CONCATENATE(AC9,AC8,AC7,AC6,AC5,AC4,AC3,AC2)</f>
        <v>00000000</v>
      </c>
      <c r="AD10" t="str">
        <f t="shared" ref="AD10:AM10" si="10">CONCATENATE(AD9,AD8,AD7,AD6,AD5,AD4,AD3,AD2)</f>
        <v>00000000</v>
      </c>
      <c r="AE10" t="str">
        <f t="shared" si="10"/>
        <v>00000000</v>
      </c>
      <c r="AF10" t="str">
        <f t="shared" si="10"/>
        <v>00000000</v>
      </c>
      <c r="AG10" t="str">
        <f t="shared" si="10"/>
        <v>00000000</v>
      </c>
      <c r="AH10" t="str">
        <f t="shared" si="10"/>
        <v>00000000</v>
      </c>
      <c r="AI10" t="str">
        <f t="shared" si="10"/>
        <v>00000000</v>
      </c>
      <c r="AJ10" t="str">
        <f t="shared" si="10"/>
        <v>00000000</v>
      </c>
      <c r="AK10" t="str">
        <f t="shared" si="10"/>
        <v>00000000</v>
      </c>
      <c r="AL10" t="str">
        <f t="shared" si="10"/>
        <v>00000000</v>
      </c>
      <c r="AM10" t="str">
        <f t="shared" si="10"/>
        <v>00000000</v>
      </c>
      <c r="AO10" t="str">
        <f t="shared" ref="AO10:AY10" si="11">CONCATENATE(AO9,AO8,AO7,AO6,AO5,AO4,AO3,AO2)</f>
        <v>00000000</v>
      </c>
      <c r="AP10" t="str">
        <f t="shared" si="11"/>
        <v>00000000</v>
      </c>
      <c r="AQ10" t="str">
        <f t="shared" si="11"/>
        <v>00000000</v>
      </c>
      <c r="AR10" t="str">
        <f t="shared" si="11"/>
        <v>00000000</v>
      </c>
      <c r="AS10" t="str">
        <f t="shared" si="11"/>
        <v>00000000</v>
      </c>
      <c r="AT10" t="str">
        <f t="shared" si="11"/>
        <v>00000000</v>
      </c>
      <c r="AU10" t="str">
        <f t="shared" si="11"/>
        <v>00000000</v>
      </c>
      <c r="AV10" t="str">
        <f t="shared" si="11"/>
        <v>00000000</v>
      </c>
      <c r="AW10" t="str">
        <f t="shared" si="11"/>
        <v>00000000</v>
      </c>
      <c r="AX10" t="str">
        <f t="shared" si="11"/>
        <v>00000000</v>
      </c>
      <c r="AY10" t="str">
        <f t="shared" si="11"/>
        <v>00000000</v>
      </c>
      <c r="BA10" t="str">
        <f t="shared" ref="BA10:BK10" si="12">CONCATENATE(BA9,BA8,BA7,BA6,BA5,BA4,BA3,BA2)</f>
        <v>00000000</v>
      </c>
      <c r="BB10" t="str">
        <f t="shared" si="12"/>
        <v>00000000</v>
      </c>
      <c r="BC10" t="str">
        <f t="shared" si="12"/>
        <v>00000000</v>
      </c>
      <c r="BD10" t="str">
        <f t="shared" si="12"/>
        <v>00000000</v>
      </c>
      <c r="BE10" t="str">
        <f t="shared" si="12"/>
        <v>00000000</v>
      </c>
      <c r="BF10" t="str">
        <f t="shared" si="12"/>
        <v>00000000</v>
      </c>
      <c r="BG10" t="str">
        <f t="shared" si="12"/>
        <v>00000000</v>
      </c>
      <c r="BH10" t="str">
        <f t="shared" si="12"/>
        <v>00000000</v>
      </c>
      <c r="BI10" t="str">
        <f t="shared" si="12"/>
        <v>00000000</v>
      </c>
      <c r="BJ10" t="str">
        <f t="shared" si="12"/>
        <v>00000000</v>
      </c>
      <c r="BK10" t="str">
        <f t="shared" si="12"/>
        <v>00000000</v>
      </c>
    </row>
    <row r="11" spans="1:63" x14ac:dyDescent="0.25">
      <c r="A11" s="2"/>
      <c r="E11" t="str">
        <f t="shared" ref="E11:AA11" si="13">CONCATENATE(BIN2HEX(E10,2))</f>
        <v>00</v>
      </c>
      <c r="F11" t="str">
        <f t="shared" si="13"/>
        <v>00</v>
      </c>
      <c r="G11" t="str">
        <f t="shared" si="13"/>
        <v>00</v>
      </c>
      <c r="H11" t="str">
        <f t="shared" si="13"/>
        <v>00</v>
      </c>
      <c r="I11" t="str">
        <f t="shared" si="13"/>
        <v>00</v>
      </c>
      <c r="J11" t="str">
        <f t="shared" si="13"/>
        <v>00</v>
      </c>
      <c r="K11" t="str">
        <f t="shared" si="13"/>
        <v>00</v>
      </c>
      <c r="L11" t="str">
        <f t="shared" si="13"/>
        <v>00</v>
      </c>
      <c r="M11" t="str">
        <f t="shared" si="13"/>
        <v>00</v>
      </c>
      <c r="N11" t="str">
        <f t="shared" si="13"/>
        <v>00</v>
      </c>
      <c r="O11" t="str">
        <f t="shared" si="13"/>
        <v>00</v>
      </c>
      <c r="Q11" t="str">
        <f t="shared" si="13"/>
        <v>00</v>
      </c>
      <c r="R11" t="str">
        <f t="shared" si="13"/>
        <v>00</v>
      </c>
      <c r="S11" t="str">
        <f t="shared" si="13"/>
        <v>00</v>
      </c>
      <c r="T11" t="str">
        <f t="shared" si="13"/>
        <v>00</v>
      </c>
      <c r="U11" t="str">
        <f t="shared" si="13"/>
        <v>00</v>
      </c>
      <c r="V11" t="str">
        <f t="shared" si="13"/>
        <v>00</v>
      </c>
      <c r="W11" t="str">
        <f t="shared" si="13"/>
        <v>00</v>
      </c>
      <c r="X11" t="str">
        <f t="shared" si="13"/>
        <v>00</v>
      </c>
      <c r="Y11" t="str">
        <f t="shared" si="13"/>
        <v>00</v>
      </c>
      <c r="Z11" t="str">
        <f t="shared" si="13"/>
        <v>00</v>
      </c>
      <c r="AA11" t="str">
        <f t="shared" si="13"/>
        <v>00</v>
      </c>
      <c r="AC11" t="str">
        <f>CONCATENATE(BIN2HEX(AC10,2))</f>
        <v>00</v>
      </c>
      <c r="AD11" t="str">
        <f t="shared" ref="AD11:AM11" si="14">CONCATENATE(BIN2HEX(AD10,2))</f>
        <v>00</v>
      </c>
      <c r="AE11" t="str">
        <f t="shared" si="14"/>
        <v>00</v>
      </c>
      <c r="AF11" t="str">
        <f t="shared" si="14"/>
        <v>00</v>
      </c>
      <c r="AG11" t="str">
        <f t="shared" si="14"/>
        <v>00</v>
      </c>
      <c r="AH11" t="str">
        <f t="shared" si="14"/>
        <v>00</v>
      </c>
      <c r="AI11" t="str">
        <f t="shared" si="14"/>
        <v>00</v>
      </c>
      <c r="AJ11" t="str">
        <f t="shared" si="14"/>
        <v>00</v>
      </c>
      <c r="AK11" t="str">
        <f t="shared" si="14"/>
        <v>00</v>
      </c>
      <c r="AL11" t="str">
        <f t="shared" si="14"/>
        <v>00</v>
      </c>
      <c r="AM11" t="str">
        <f t="shared" si="14"/>
        <v>00</v>
      </c>
      <c r="AO11" t="str">
        <f t="shared" ref="AO11:AY11" si="15">CONCATENATE(BIN2HEX(AO10,2))</f>
        <v>00</v>
      </c>
      <c r="AP11" t="str">
        <f t="shared" si="15"/>
        <v>00</v>
      </c>
      <c r="AQ11" t="str">
        <f t="shared" si="15"/>
        <v>00</v>
      </c>
      <c r="AR11" t="str">
        <f t="shared" si="15"/>
        <v>00</v>
      </c>
      <c r="AS11" t="str">
        <f t="shared" si="15"/>
        <v>00</v>
      </c>
      <c r="AT11" t="str">
        <f t="shared" si="15"/>
        <v>00</v>
      </c>
      <c r="AU11" t="str">
        <f t="shared" si="15"/>
        <v>00</v>
      </c>
      <c r="AV11" t="str">
        <f t="shared" si="15"/>
        <v>00</v>
      </c>
      <c r="AW11" t="str">
        <f t="shared" si="15"/>
        <v>00</v>
      </c>
      <c r="AX11" t="str">
        <f t="shared" si="15"/>
        <v>00</v>
      </c>
      <c r="AY11" t="str">
        <f t="shared" si="15"/>
        <v>00</v>
      </c>
      <c r="BA11" t="str">
        <f t="shared" ref="BA11:BK11" si="16">CONCATENATE(BIN2HEX(BA10,2))</f>
        <v>00</v>
      </c>
      <c r="BB11" t="str">
        <f t="shared" si="16"/>
        <v>00</v>
      </c>
      <c r="BC11" t="str">
        <f t="shared" si="16"/>
        <v>00</v>
      </c>
      <c r="BD11" t="str">
        <f t="shared" si="16"/>
        <v>00</v>
      </c>
      <c r="BE11" t="str">
        <f t="shared" si="16"/>
        <v>00</v>
      </c>
      <c r="BF11" t="str">
        <f t="shared" si="16"/>
        <v>00</v>
      </c>
      <c r="BG11" t="str">
        <f t="shared" si="16"/>
        <v>00</v>
      </c>
      <c r="BH11" t="str">
        <f t="shared" si="16"/>
        <v>00</v>
      </c>
      <c r="BI11" t="str">
        <f t="shared" si="16"/>
        <v>00</v>
      </c>
      <c r="BJ11" t="str">
        <f t="shared" si="16"/>
        <v>00</v>
      </c>
      <c r="BK11" t="str">
        <f t="shared" si="16"/>
        <v>00</v>
      </c>
    </row>
    <row r="12" spans="1:63" x14ac:dyDescent="0.25">
      <c r="A12" s="2"/>
    </row>
    <row r="13" spans="1:63" s="10" customFormat="1" x14ac:dyDescent="0.25">
      <c r="A13" s="11"/>
      <c r="B13" s="10" t="s">
        <v>298</v>
      </c>
      <c r="C13" s="10" t="s">
        <v>370</v>
      </c>
      <c r="D13" s="10" t="s">
        <v>379</v>
      </c>
      <c r="E13" s="10">
        <v>0</v>
      </c>
      <c r="F13" s="10">
        <f t="shared" ref="F13:O20" si="17">E13</f>
        <v>0</v>
      </c>
      <c r="G13" s="10">
        <f t="shared" si="17"/>
        <v>0</v>
      </c>
      <c r="H13" s="10">
        <f t="shared" si="17"/>
        <v>0</v>
      </c>
      <c r="I13" s="10">
        <f t="shared" si="17"/>
        <v>0</v>
      </c>
      <c r="J13" s="10">
        <f t="shared" si="17"/>
        <v>0</v>
      </c>
      <c r="K13" s="10">
        <f t="shared" si="17"/>
        <v>0</v>
      </c>
      <c r="L13" s="10">
        <f t="shared" si="17"/>
        <v>0</v>
      </c>
      <c r="M13" s="10">
        <f t="shared" si="17"/>
        <v>0</v>
      </c>
      <c r="N13" s="10">
        <f t="shared" si="17"/>
        <v>0</v>
      </c>
      <c r="O13" s="10">
        <f t="shared" si="17"/>
        <v>0</v>
      </c>
      <c r="Q13" s="10">
        <v>0</v>
      </c>
      <c r="R13" s="10">
        <f>Q13</f>
        <v>0</v>
      </c>
      <c r="S13" s="10">
        <f t="shared" ref="S13:AA13" si="18">R13</f>
        <v>0</v>
      </c>
      <c r="T13" s="10">
        <f t="shared" si="18"/>
        <v>0</v>
      </c>
      <c r="U13" s="10">
        <f t="shared" si="18"/>
        <v>0</v>
      </c>
      <c r="V13" s="10">
        <f t="shared" si="18"/>
        <v>0</v>
      </c>
      <c r="W13" s="10">
        <f t="shared" si="18"/>
        <v>0</v>
      </c>
      <c r="X13" s="10">
        <f t="shared" si="18"/>
        <v>0</v>
      </c>
      <c r="Y13" s="10">
        <f t="shared" si="18"/>
        <v>0</v>
      </c>
      <c r="Z13" s="10">
        <f t="shared" si="18"/>
        <v>0</v>
      </c>
      <c r="AA13" s="10">
        <f t="shared" si="18"/>
        <v>0</v>
      </c>
      <c r="AC13" s="10">
        <v>0</v>
      </c>
      <c r="AD13" s="10">
        <f>AC13</f>
        <v>0</v>
      </c>
      <c r="AE13" s="10">
        <f t="shared" ref="AE13:AM13" si="19">AD13</f>
        <v>0</v>
      </c>
      <c r="AF13" s="10">
        <f t="shared" si="19"/>
        <v>0</v>
      </c>
      <c r="AG13" s="10">
        <f t="shared" si="19"/>
        <v>0</v>
      </c>
      <c r="AH13" s="10">
        <f t="shared" si="19"/>
        <v>0</v>
      </c>
      <c r="AI13" s="10">
        <f t="shared" si="19"/>
        <v>0</v>
      </c>
      <c r="AJ13" s="10">
        <f t="shared" si="19"/>
        <v>0</v>
      </c>
      <c r="AK13" s="10">
        <f t="shared" si="19"/>
        <v>0</v>
      </c>
      <c r="AL13" s="10">
        <f t="shared" si="19"/>
        <v>0</v>
      </c>
      <c r="AM13" s="10">
        <f t="shared" si="19"/>
        <v>0</v>
      </c>
      <c r="AO13" s="10">
        <v>0</v>
      </c>
      <c r="AP13" s="10">
        <f>AO13</f>
        <v>0</v>
      </c>
      <c r="AQ13" s="10">
        <f t="shared" ref="AQ13:AY13" si="20">AP13</f>
        <v>0</v>
      </c>
      <c r="AR13" s="10">
        <f t="shared" si="20"/>
        <v>0</v>
      </c>
      <c r="AS13" s="10">
        <f t="shared" si="20"/>
        <v>0</v>
      </c>
      <c r="AT13" s="10">
        <f t="shared" si="20"/>
        <v>0</v>
      </c>
      <c r="AU13" s="10">
        <f t="shared" si="20"/>
        <v>0</v>
      </c>
      <c r="AV13" s="10">
        <f t="shared" si="20"/>
        <v>0</v>
      </c>
      <c r="AW13" s="10">
        <f t="shared" si="20"/>
        <v>0</v>
      </c>
      <c r="AX13" s="10">
        <f t="shared" si="20"/>
        <v>0</v>
      </c>
      <c r="AY13" s="10">
        <f t="shared" si="20"/>
        <v>0</v>
      </c>
      <c r="BA13" s="10">
        <v>0</v>
      </c>
      <c r="BB13" s="10">
        <f>BA13</f>
        <v>0</v>
      </c>
      <c r="BC13" s="10">
        <f t="shared" ref="BC13:BK13" si="21">BB13</f>
        <v>0</v>
      </c>
      <c r="BD13" s="10">
        <f t="shared" si="21"/>
        <v>0</v>
      </c>
      <c r="BE13" s="10">
        <f t="shared" si="21"/>
        <v>0</v>
      </c>
      <c r="BF13" s="10">
        <f t="shared" si="21"/>
        <v>0</v>
      </c>
      <c r="BG13" s="10">
        <f t="shared" si="21"/>
        <v>0</v>
      </c>
      <c r="BH13" s="10">
        <f t="shared" si="21"/>
        <v>0</v>
      </c>
      <c r="BI13" s="10">
        <f t="shared" si="21"/>
        <v>0</v>
      </c>
      <c r="BJ13" s="10">
        <f t="shared" si="21"/>
        <v>0</v>
      </c>
      <c r="BK13" s="10">
        <f t="shared" si="21"/>
        <v>0</v>
      </c>
    </row>
    <row r="14" spans="1:63" s="10" customFormat="1" x14ac:dyDescent="0.25">
      <c r="A14" s="11"/>
      <c r="B14" s="10" t="s">
        <v>299</v>
      </c>
      <c r="C14" s="10" t="s">
        <v>369</v>
      </c>
      <c r="D14" s="10" t="s">
        <v>380</v>
      </c>
      <c r="E14" s="10">
        <v>0</v>
      </c>
      <c r="F14" s="10">
        <f t="shared" si="17"/>
        <v>0</v>
      </c>
      <c r="G14" s="10">
        <f t="shared" si="17"/>
        <v>0</v>
      </c>
      <c r="H14" s="10">
        <f t="shared" si="17"/>
        <v>0</v>
      </c>
      <c r="I14" s="10">
        <f t="shared" si="17"/>
        <v>0</v>
      </c>
      <c r="J14" s="10">
        <f t="shared" si="17"/>
        <v>0</v>
      </c>
      <c r="K14" s="10">
        <f t="shared" si="17"/>
        <v>0</v>
      </c>
      <c r="L14" s="10">
        <f t="shared" si="17"/>
        <v>0</v>
      </c>
      <c r="M14" s="10">
        <f t="shared" si="17"/>
        <v>0</v>
      </c>
      <c r="N14" s="10">
        <f t="shared" si="17"/>
        <v>0</v>
      </c>
      <c r="O14" s="10">
        <f t="shared" si="17"/>
        <v>0</v>
      </c>
      <c r="Q14" s="10">
        <v>0</v>
      </c>
      <c r="R14" s="10">
        <f t="shared" ref="R14:AA20" si="22">Q14</f>
        <v>0</v>
      </c>
      <c r="S14" s="10">
        <f t="shared" si="22"/>
        <v>0</v>
      </c>
      <c r="T14" s="10">
        <f t="shared" si="22"/>
        <v>0</v>
      </c>
      <c r="U14" s="10">
        <f t="shared" si="22"/>
        <v>0</v>
      </c>
      <c r="V14" s="10">
        <f t="shared" si="22"/>
        <v>0</v>
      </c>
      <c r="W14" s="10">
        <f t="shared" si="22"/>
        <v>0</v>
      </c>
      <c r="X14" s="10">
        <f t="shared" si="22"/>
        <v>0</v>
      </c>
      <c r="Y14" s="10">
        <f t="shared" si="22"/>
        <v>0</v>
      </c>
      <c r="Z14" s="10">
        <f t="shared" si="22"/>
        <v>0</v>
      </c>
      <c r="AA14" s="10">
        <f t="shared" si="22"/>
        <v>0</v>
      </c>
      <c r="AC14" s="10">
        <v>0</v>
      </c>
      <c r="AD14" s="10">
        <f t="shared" ref="AD14:AM20" si="23">AC14</f>
        <v>0</v>
      </c>
      <c r="AE14" s="10">
        <f t="shared" si="23"/>
        <v>0</v>
      </c>
      <c r="AF14" s="10">
        <f t="shared" si="23"/>
        <v>0</v>
      </c>
      <c r="AG14" s="10">
        <f t="shared" si="23"/>
        <v>0</v>
      </c>
      <c r="AH14" s="10">
        <f t="shared" si="23"/>
        <v>0</v>
      </c>
      <c r="AI14" s="10">
        <f t="shared" si="23"/>
        <v>0</v>
      </c>
      <c r="AJ14" s="10">
        <f t="shared" si="23"/>
        <v>0</v>
      </c>
      <c r="AK14" s="10">
        <f t="shared" si="23"/>
        <v>0</v>
      </c>
      <c r="AL14" s="10">
        <f t="shared" si="23"/>
        <v>0</v>
      </c>
      <c r="AM14" s="10">
        <f t="shared" si="23"/>
        <v>0</v>
      </c>
      <c r="AO14" s="10">
        <v>0</v>
      </c>
      <c r="AP14" s="10">
        <f t="shared" ref="AP14:AY20" si="24">AO14</f>
        <v>0</v>
      </c>
      <c r="AQ14" s="10">
        <f t="shared" si="24"/>
        <v>0</v>
      </c>
      <c r="AR14" s="10">
        <f t="shared" si="24"/>
        <v>0</v>
      </c>
      <c r="AS14" s="10">
        <f t="shared" si="24"/>
        <v>0</v>
      </c>
      <c r="AT14" s="10">
        <f t="shared" si="24"/>
        <v>0</v>
      </c>
      <c r="AU14" s="10">
        <f t="shared" si="24"/>
        <v>0</v>
      </c>
      <c r="AV14" s="10">
        <f t="shared" si="24"/>
        <v>0</v>
      </c>
      <c r="AW14" s="10">
        <f t="shared" si="24"/>
        <v>0</v>
      </c>
      <c r="AX14" s="10">
        <f t="shared" si="24"/>
        <v>0</v>
      </c>
      <c r="AY14" s="10">
        <f t="shared" si="24"/>
        <v>0</v>
      </c>
      <c r="BA14" s="10">
        <v>0</v>
      </c>
      <c r="BB14" s="10">
        <f t="shared" ref="BB14:BK20" si="25">BA14</f>
        <v>0</v>
      </c>
      <c r="BC14" s="10">
        <f t="shared" si="25"/>
        <v>0</v>
      </c>
      <c r="BD14" s="10">
        <f t="shared" si="25"/>
        <v>0</v>
      </c>
      <c r="BE14" s="10">
        <f t="shared" si="25"/>
        <v>0</v>
      </c>
      <c r="BF14" s="10">
        <f t="shared" si="25"/>
        <v>0</v>
      </c>
      <c r="BG14" s="10">
        <f t="shared" si="25"/>
        <v>0</v>
      </c>
      <c r="BH14" s="10">
        <f t="shared" si="25"/>
        <v>0</v>
      </c>
      <c r="BI14" s="10">
        <f t="shared" si="25"/>
        <v>0</v>
      </c>
      <c r="BJ14" s="10">
        <f t="shared" si="25"/>
        <v>0</v>
      </c>
      <c r="BK14" s="10">
        <f t="shared" si="25"/>
        <v>0</v>
      </c>
    </row>
    <row r="15" spans="1:63" s="10" customFormat="1" x14ac:dyDescent="0.25">
      <c r="A15" s="11"/>
      <c r="B15" s="10" t="s">
        <v>300</v>
      </c>
      <c r="C15" s="10" t="s">
        <v>363</v>
      </c>
      <c r="D15" s="10" t="s">
        <v>373</v>
      </c>
      <c r="E15" s="10">
        <v>0</v>
      </c>
      <c r="F15" s="10">
        <f t="shared" si="17"/>
        <v>0</v>
      </c>
      <c r="G15" s="10">
        <f t="shared" si="17"/>
        <v>0</v>
      </c>
      <c r="H15" s="10">
        <f t="shared" si="17"/>
        <v>0</v>
      </c>
      <c r="I15" s="10">
        <f t="shared" si="17"/>
        <v>0</v>
      </c>
      <c r="J15" s="10">
        <f t="shared" si="17"/>
        <v>0</v>
      </c>
      <c r="K15" s="10">
        <f t="shared" si="17"/>
        <v>0</v>
      </c>
      <c r="L15" s="10">
        <f t="shared" si="17"/>
        <v>0</v>
      </c>
      <c r="M15" s="10">
        <f t="shared" si="17"/>
        <v>0</v>
      </c>
      <c r="N15" s="10">
        <f t="shared" si="17"/>
        <v>0</v>
      </c>
      <c r="O15" s="10">
        <f t="shared" si="17"/>
        <v>0</v>
      </c>
      <c r="Q15" s="10">
        <v>0</v>
      </c>
      <c r="R15" s="10">
        <f t="shared" si="22"/>
        <v>0</v>
      </c>
      <c r="S15" s="10">
        <f t="shared" si="22"/>
        <v>0</v>
      </c>
      <c r="T15" s="10">
        <f t="shared" si="22"/>
        <v>0</v>
      </c>
      <c r="U15" s="10">
        <f t="shared" si="22"/>
        <v>0</v>
      </c>
      <c r="V15" s="10">
        <f t="shared" si="22"/>
        <v>0</v>
      </c>
      <c r="W15" s="10">
        <f t="shared" si="22"/>
        <v>0</v>
      </c>
      <c r="X15" s="10">
        <f t="shared" si="22"/>
        <v>0</v>
      </c>
      <c r="Y15" s="10">
        <f t="shared" si="22"/>
        <v>0</v>
      </c>
      <c r="Z15" s="10">
        <f t="shared" si="22"/>
        <v>0</v>
      </c>
      <c r="AA15" s="10">
        <f t="shared" si="22"/>
        <v>0</v>
      </c>
      <c r="AC15" s="10">
        <v>0</v>
      </c>
      <c r="AD15" s="10">
        <f t="shared" si="23"/>
        <v>0</v>
      </c>
      <c r="AE15" s="10">
        <f t="shared" si="23"/>
        <v>0</v>
      </c>
      <c r="AF15" s="10">
        <f t="shared" si="23"/>
        <v>0</v>
      </c>
      <c r="AG15" s="10">
        <f t="shared" si="23"/>
        <v>0</v>
      </c>
      <c r="AH15" s="10">
        <f t="shared" si="23"/>
        <v>0</v>
      </c>
      <c r="AI15" s="10">
        <f t="shared" si="23"/>
        <v>0</v>
      </c>
      <c r="AJ15" s="10">
        <f t="shared" si="23"/>
        <v>0</v>
      </c>
      <c r="AK15" s="10">
        <f t="shared" si="23"/>
        <v>0</v>
      </c>
      <c r="AL15" s="10">
        <f t="shared" si="23"/>
        <v>0</v>
      </c>
      <c r="AM15" s="10">
        <f t="shared" si="23"/>
        <v>0</v>
      </c>
      <c r="AO15" s="10">
        <v>0</v>
      </c>
      <c r="AP15" s="10">
        <f t="shared" si="24"/>
        <v>0</v>
      </c>
      <c r="AQ15" s="10">
        <f t="shared" si="24"/>
        <v>0</v>
      </c>
      <c r="AR15" s="10">
        <f t="shared" si="24"/>
        <v>0</v>
      </c>
      <c r="AS15" s="10">
        <f t="shared" si="24"/>
        <v>0</v>
      </c>
      <c r="AT15" s="10">
        <f t="shared" si="24"/>
        <v>0</v>
      </c>
      <c r="AU15" s="10">
        <f t="shared" si="24"/>
        <v>0</v>
      </c>
      <c r="AV15" s="10">
        <f t="shared" si="24"/>
        <v>0</v>
      </c>
      <c r="AW15" s="10">
        <f t="shared" si="24"/>
        <v>0</v>
      </c>
      <c r="AX15" s="10">
        <f t="shared" si="24"/>
        <v>0</v>
      </c>
      <c r="AY15" s="10">
        <f t="shared" si="24"/>
        <v>0</v>
      </c>
      <c r="BA15" s="10">
        <v>0</v>
      </c>
      <c r="BB15" s="10">
        <f t="shared" si="25"/>
        <v>0</v>
      </c>
      <c r="BC15" s="10">
        <f t="shared" si="25"/>
        <v>0</v>
      </c>
      <c r="BD15" s="10">
        <f t="shared" si="25"/>
        <v>0</v>
      </c>
      <c r="BE15" s="10">
        <f t="shared" si="25"/>
        <v>0</v>
      </c>
      <c r="BF15" s="10">
        <f t="shared" si="25"/>
        <v>0</v>
      </c>
      <c r="BG15" s="10">
        <f t="shared" si="25"/>
        <v>0</v>
      </c>
      <c r="BH15" s="10">
        <f t="shared" si="25"/>
        <v>0</v>
      </c>
      <c r="BI15" s="10">
        <f t="shared" si="25"/>
        <v>0</v>
      </c>
      <c r="BJ15" s="10">
        <f t="shared" si="25"/>
        <v>0</v>
      </c>
      <c r="BK15" s="10">
        <f t="shared" si="25"/>
        <v>0</v>
      </c>
    </row>
    <row r="16" spans="1:63" s="10" customFormat="1" x14ac:dyDescent="0.25">
      <c r="A16" s="11"/>
      <c r="B16" s="10" t="s">
        <v>301</v>
      </c>
      <c r="C16" s="10" t="s">
        <v>364</v>
      </c>
      <c r="D16" s="10" t="s">
        <v>374</v>
      </c>
      <c r="E16" s="10">
        <v>0</v>
      </c>
      <c r="F16" s="10">
        <f t="shared" si="17"/>
        <v>0</v>
      </c>
      <c r="G16" s="10">
        <f t="shared" si="17"/>
        <v>0</v>
      </c>
      <c r="H16" s="10">
        <f t="shared" si="17"/>
        <v>0</v>
      </c>
      <c r="I16" s="10">
        <f t="shared" si="17"/>
        <v>0</v>
      </c>
      <c r="J16" s="10">
        <f t="shared" si="17"/>
        <v>0</v>
      </c>
      <c r="K16" s="10">
        <f t="shared" si="17"/>
        <v>0</v>
      </c>
      <c r="L16" s="10">
        <f t="shared" si="17"/>
        <v>0</v>
      </c>
      <c r="M16" s="10">
        <f t="shared" si="17"/>
        <v>0</v>
      </c>
      <c r="N16" s="10">
        <f t="shared" si="17"/>
        <v>0</v>
      </c>
      <c r="O16" s="10">
        <f t="shared" si="17"/>
        <v>0</v>
      </c>
      <c r="Q16" s="10">
        <v>0</v>
      </c>
      <c r="R16" s="10">
        <f t="shared" si="22"/>
        <v>0</v>
      </c>
      <c r="S16" s="10">
        <f t="shared" si="22"/>
        <v>0</v>
      </c>
      <c r="T16" s="10">
        <f t="shared" si="22"/>
        <v>0</v>
      </c>
      <c r="U16" s="10">
        <f t="shared" si="22"/>
        <v>0</v>
      </c>
      <c r="V16" s="10">
        <f t="shared" si="22"/>
        <v>0</v>
      </c>
      <c r="W16" s="10">
        <f t="shared" si="22"/>
        <v>0</v>
      </c>
      <c r="X16" s="10">
        <f t="shared" si="22"/>
        <v>0</v>
      </c>
      <c r="Y16" s="10">
        <f t="shared" si="22"/>
        <v>0</v>
      </c>
      <c r="Z16" s="10">
        <f t="shared" si="22"/>
        <v>0</v>
      </c>
      <c r="AA16" s="10">
        <f t="shared" si="22"/>
        <v>0</v>
      </c>
      <c r="AC16" s="10">
        <v>0</v>
      </c>
      <c r="AD16" s="10">
        <f t="shared" si="23"/>
        <v>0</v>
      </c>
      <c r="AE16" s="10">
        <f t="shared" si="23"/>
        <v>0</v>
      </c>
      <c r="AF16" s="10">
        <f t="shared" si="23"/>
        <v>0</v>
      </c>
      <c r="AG16" s="10">
        <f t="shared" si="23"/>
        <v>0</v>
      </c>
      <c r="AH16" s="10">
        <f t="shared" si="23"/>
        <v>0</v>
      </c>
      <c r="AI16" s="10">
        <f t="shared" si="23"/>
        <v>0</v>
      </c>
      <c r="AJ16" s="10">
        <f t="shared" si="23"/>
        <v>0</v>
      </c>
      <c r="AK16" s="10">
        <f t="shared" si="23"/>
        <v>0</v>
      </c>
      <c r="AL16" s="10">
        <f t="shared" si="23"/>
        <v>0</v>
      </c>
      <c r="AM16" s="10">
        <f t="shared" si="23"/>
        <v>0</v>
      </c>
      <c r="AO16" s="10">
        <v>0</v>
      </c>
      <c r="AP16" s="10">
        <f t="shared" si="24"/>
        <v>0</v>
      </c>
      <c r="AQ16" s="10">
        <f t="shared" si="24"/>
        <v>0</v>
      </c>
      <c r="AR16" s="10">
        <f t="shared" si="24"/>
        <v>0</v>
      </c>
      <c r="AS16" s="10">
        <f t="shared" si="24"/>
        <v>0</v>
      </c>
      <c r="AT16" s="10">
        <f t="shared" si="24"/>
        <v>0</v>
      </c>
      <c r="AU16" s="10">
        <f t="shared" si="24"/>
        <v>0</v>
      </c>
      <c r="AV16" s="10">
        <f t="shared" si="24"/>
        <v>0</v>
      </c>
      <c r="AW16" s="10">
        <f t="shared" si="24"/>
        <v>0</v>
      </c>
      <c r="AX16" s="10">
        <f t="shared" si="24"/>
        <v>0</v>
      </c>
      <c r="AY16" s="10">
        <f t="shared" si="24"/>
        <v>0</v>
      </c>
      <c r="BA16" s="10">
        <v>0</v>
      </c>
      <c r="BB16" s="10">
        <f t="shared" si="25"/>
        <v>0</v>
      </c>
      <c r="BC16" s="10">
        <f t="shared" si="25"/>
        <v>0</v>
      </c>
      <c r="BD16" s="10">
        <f t="shared" si="25"/>
        <v>0</v>
      </c>
      <c r="BE16" s="10">
        <f t="shared" si="25"/>
        <v>0</v>
      </c>
      <c r="BF16" s="10">
        <f t="shared" si="25"/>
        <v>0</v>
      </c>
      <c r="BG16" s="10">
        <f t="shared" si="25"/>
        <v>0</v>
      </c>
      <c r="BH16" s="10">
        <f t="shared" si="25"/>
        <v>0</v>
      </c>
      <c r="BI16" s="10">
        <f t="shared" si="25"/>
        <v>0</v>
      </c>
      <c r="BJ16" s="10">
        <f t="shared" si="25"/>
        <v>0</v>
      </c>
      <c r="BK16" s="10">
        <f t="shared" si="25"/>
        <v>0</v>
      </c>
    </row>
    <row r="17" spans="1:63" s="10" customFormat="1" x14ac:dyDescent="0.25">
      <c r="A17" s="11"/>
      <c r="B17" s="10" t="s">
        <v>302</v>
      </c>
      <c r="C17" s="10" t="s">
        <v>365</v>
      </c>
      <c r="D17" s="10" t="s">
        <v>375</v>
      </c>
      <c r="E17" s="10">
        <v>0</v>
      </c>
      <c r="F17" s="10">
        <f t="shared" si="17"/>
        <v>0</v>
      </c>
      <c r="G17" s="10">
        <f t="shared" si="17"/>
        <v>0</v>
      </c>
      <c r="H17" s="10">
        <f t="shared" si="17"/>
        <v>0</v>
      </c>
      <c r="I17" s="10">
        <f t="shared" si="17"/>
        <v>0</v>
      </c>
      <c r="J17" s="10">
        <f t="shared" si="17"/>
        <v>0</v>
      </c>
      <c r="K17" s="10">
        <f t="shared" si="17"/>
        <v>0</v>
      </c>
      <c r="L17" s="10">
        <f t="shared" si="17"/>
        <v>0</v>
      </c>
      <c r="M17" s="10">
        <f t="shared" si="17"/>
        <v>0</v>
      </c>
      <c r="N17" s="10">
        <f t="shared" si="17"/>
        <v>0</v>
      </c>
      <c r="O17" s="10">
        <f t="shared" si="17"/>
        <v>0</v>
      </c>
      <c r="Q17" s="10">
        <v>0</v>
      </c>
      <c r="R17" s="10">
        <f t="shared" si="22"/>
        <v>0</v>
      </c>
      <c r="S17" s="10">
        <f t="shared" si="22"/>
        <v>0</v>
      </c>
      <c r="T17" s="10">
        <f t="shared" si="22"/>
        <v>0</v>
      </c>
      <c r="U17" s="10">
        <f t="shared" si="22"/>
        <v>0</v>
      </c>
      <c r="V17" s="10">
        <f t="shared" si="22"/>
        <v>0</v>
      </c>
      <c r="W17" s="10">
        <f t="shared" si="22"/>
        <v>0</v>
      </c>
      <c r="X17" s="10">
        <f t="shared" si="22"/>
        <v>0</v>
      </c>
      <c r="Y17" s="10">
        <f t="shared" si="22"/>
        <v>0</v>
      </c>
      <c r="Z17" s="10">
        <f t="shared" si="22"/>
        <v>0</v>
      </c>
      <c r="AA17" s="10">
        <f t="shared" si="22"/>
        <v>0</v>
      </c>
      <c r="AC17" s="10">
        <v>0</v>
      </c>
      <c r="AD17" s="10">
        <f t="shared" si="23"/>
        <v>0</v>
      </c>
      <c r="AE17" s="10">
        <f t="shared" si="23"/>
        <v>0</v>
      </c>
      <c r="AF17" s="10">
        <f t="shared" si="23"/>
        <v>0</v>
      </c>
      <c r="AG17" s="10">
        <f t="shared" si="23"/>
        <v>0</v>
      </c>
      <c r="AH17" s="10">
        <f t="shared" si="23"/>
        <v>0</v>
      </c>
      <c r="AI17" s="10">
        <f t="shared" si="23"/>
        <v>0</v>
      </c>
      <c r="AJ17" s="10">
        <f t="shared" si="23"/>
        <v>0</v>
      </c>
      <c r="AK17" s="10">
        <f t="shared" si="23"/>
        <v>0</v>
      </c>
      <c r="AL17" s="10">
        <f t="shared" si="23"/>
        <v>0</v>
      </c>
      <c r="AM17" s="10">
        <f t="shared" si="23"/>
        <v>0</v>
      </c>
      <c r="AO17" s="10">
        <v>0</v>
      </c>
      <c r="AP17" s="10">
        <f t="shared" si="24"/>
        <v>0</v>
      </c>
      <c r="AQ17" s="10">
        <f t="shared" si="24"/>
        <v>0</v>
      </c>
      <c r="AR17" s="10">
        <f t="shared" si="24"/>
        <v>0</v>
      </c>
      <c r="AS17" s="10">
        <f t="shared" si="24"/>
        <v>0</v>
      </c>
      <c r="AT17" s="10">
        <f t="shared" si="24"/>
        <v>0</v>
      </c>
      <c r="AU17" s="10">
        <f t="shared" si="24"/>
        <v>0</v>
      </c>
      <c r="AV17" s="10">
        <f t="shared" si="24"/>
        <v>0</v>
      </c>
      <c r="AW17" s="10">
        <f t="shared" si="24"/>
        <v>0</v>
      </c>
      <c r="AX17" s="10">
        <f t="shared" si="24"/>
        <v>0</v>
      </c>
      <c r="AY17" s="10">
        <f t="shared" si="24"/>
        <v>0</v>
      </c>
      <c r="BA17" s="10">
        <v>0</v>
      </c>
      <c r="BB17" s="10">
        <f t="shared" si="25"/>
        <v>0</v>
      </c>
      <c r="BC17" s="10">
        <f t="shared" si="25"/>
        <v>0</v>
      </c>
      <c r="BD17" s="10">
        <f t="shared" si="25"/>
        <v>0</v>
      </c>
      <c r="BE17" s="10">
        <f t="shared" si="25"/>
        <v>0</v>
      </c>
      <c r="BF17" s="10">
        <f t="shared" si="25"/>
        <v>0</v>
      </c>
      <c r="BG17" s="10">
        <f t="shared" si="25"/>
        <v>0</v>
      </c>
      <c r="BH17" s="10">
        <f t="shared" si="25"/>
        <v>0</v>
      </c>
      <c r="BI17" s="10">
        <f t="shared" si="25"/>
        <v>0</v>
      </c>
      <c r="BJ17" s="10">
        <f t="shared" si="25"/>
        <v>0</v>
      </c>
      <c r="BK17" s="10">
        <f t="shared" si="25"/>
        <v>0</v>
      </c>
    </row>
    <row r="18" spans="1:63" s="10" customFormat="1" x14ac:dyDescent="0.25">
      <c r="A18" s="11"/>
      <c r="B18" s="10" t="s">
        <v>303</v>
      </c>
      <c r="C18" s="10" t="s">
        <v>366</v>
      </c>
      <c r="D18" s="10" t="s">
        <v>376</v>
      </c>
      <c r="E18" s="10">
        <v>0</v>
      </c>
      <c r="F18" s="10">
        <f t="shared" si="17"/>
        <v>0</v>
      </c>
      <c r="G18" s="10">
        <f t="shared" si="17"/>
        <v>0</v>
      </c>
      <c r="H18" s="10">
        <f t="shared" si="17"/>
        <v>0</v>
      </c>
      <c r="I18" s="10">
        <f t="shared" si="17"/>
        <v>0</v>
      </c>
      <c r="J18" s="10">
        <f t="shared" si="17"/>
        <v>0</v>
      </c>
      <c r="K18" s="10">
        <f t="shared" si="17"/>
        <v>0</v>
      </c>
      <c r="L18" s="10">
        <f t="shared" si="17"/>
        <v>0</v>
      </c>
      <c r="M18" s="10">
        <f t="shared" si="17"/>
        <v>0</v>
      </c>
      <c r="N18" s="10">
        <f t="shared" si="17"/>
        <v>0</v>
      </c>
      <c r="O18" s="10">
        <f t="shared" si="17"/>
        <v>0</v>
      </c>
      <c r="Q18" s="10">
        <v>0</v>
      </c>
      <c r="R18" s="10">
        <f t="shared" si="22"/>
        <v>0</v>
      </c>
      <c r="S18" s="10">
        <f t="shared" si="22"/>
        <v>0</v>
      </c>
      <c r="T18" s="10">
        <f t="shared" si="22"/>
        <v>0</v>
      </c>
      <c r="U18" s="10">
        <f t="shared" si="22"/>
        <v>0</v>
      </c>
      <c r="V18" s="10">
        <f t="shared" si="22"/>
        <v>0</v>
      </c>
      <c r="W18" s="10">
        <f t="shared" si="22"/>
        <v>0</v>
      </c>
      <c r="X18" s="10">
        <f t="shared" si="22"/>
        <v>0</v>
      </c>
      <c r="Y18" s="10">
        <f t="shared" si="22"/>
        <v>0</v>
      </c>
      <c r="Z18" s="10">
        <f t="shared" si="22"/>
        <v>0</v>
      </c>
      <c r="AA18" s="10">
        <f t="shared" si="22"/>
        <v>0</v>
      </c>
      <c r="AC18" s="10">
        <v>0</v>
      </c>
      <c r="AD18" s="10">
        <f t="shared" si="23"/>
        <v>0</v>
      </c>
      <c r="AE18" s="10">
        <f t="shared" si="23"/>
        <v>0</v>
      </c>
      <c r="AF18" s="10">
        <f t="shared" si="23"/>
        <v>0</v>
      </c>
      <c r="AG18" s="10">
        <f t="shared" si="23"/>
        <v>0</v>
      </c>
      <c r="AH18" s="10">
        <f t="shared" si="23"/>
        <v>0</v>
      </c>
      <c r="AI18" s="10">
        <f t="shared" si="23"/>
        <v>0</v>
      </c>
      <c r="AJ18" s="10">
        <f t="shared" si="23"/>
        <v>0</v>
      </c>
      <c r="AK18" s="10">
        <f t="shared" si="23"/>
        <v>0</v>
      </c>
      <c r="AL18" s="10">
        <f t="shared" si="23"/>
        <v>0</v>
      </c>
      <c r="AM18" s="10">
        <f t="shared" si="23"/>
        <v>0</v>
      </c>
      <c r="AO18" s="10">
        <v>0</v>
      </c>
      <c r="AP18" s="10">
        <f t="shared" si="24"/>
        <v>0</v>
      </c>
      <c r="AQ18" s="10">
        <f t="shared" si="24"/>
        <v>0</v>
      </c>
      <c r="AR18" s="10">
        <f t="shared" si="24"/>
        <v>0</v>
      </c>
      <c r="AS18" s="10">
        <f t="shared" si="24"/>
        <v>0</v>
      </c>
      <c r="AT18" s="10">
        <f t="shared" si="24"/>
        <v>0</v>
      </c>
      <c r="AU18" s="10">
        <f t="shared" si="24"/>
        <v>0</v>
      </c>
      <c r="AV18" s="10">
        <f t="shared" si="24"/>
        <v>0</v>
      </c>
      <c r="AW18" s="10">
        <f t="shared" si="24"/>
        <v>0</v>
      </c>
      <c r="AX18" s="10">
        <f t="shared" si="24"/>
        <v>0</v>
      </c>
      <c r="AY18" s="10">
        <f t="shared" si="24"/>
        <v>0</v>
      </c>
      <c r="BA18" s="10">
        <v>0</v>
      </c>
      <c r="BB18" s="10">
        <f t="shared" si="25"/>
        <v>0</v>
      </c>
      <c r="BC18" s="10">
        <f t="shared" si="25"/>
        <v>0</v>
      </c>
      <c r="BD18" s="10">
        <f t="shared" si="25"/>
        <v>0</v>
      </c>
      <c r="BE18" s="10">
        <f t="shared" si="25"/>
        <v>0</v>
      </c>
      <c r="BF18" s="10">
        <f t="shared" si="25"/>
        <v>0</v>
      </c>
      <c r="BG18" s="10">
        <f t="shared" si="25"/>
        <v>0</v>
      </c>
      <c r="BH18" s="10">
        <f t="shared" si="25"/>
        <v>0</v>
      </c>
      <c r="BI18" s="10">
        <f t="shared" si="25"/>
        <v>0</v>
      </c>
      <c r="BJ18" s="10">
        <f t="shared" si="25"/>
        <v>0</v>
      </c>
      <c r="BK18" s="10">
        <f t="shared" si="25"/>
        <v>0</v>
      </c>
    </row>
    <row r="19" spans="1:63" s="10" customFormat="1" x14ac:dyDescent="0.25">
      <c r="A19" s="11"/>
      <c r="B19" s="10" t="s">
        <v>304</v>
      </c>
      <c r="C19" s="10" t="s">
        <v>367</v>
      </c>
      <c r="D19" s="10" t="s">
        <v>377</v>
      </c>
      <c r="E19" s="10">
        <v>0</v>
      </c>
      <c r="F19" s="10">
        <f t="shared" si="17"/>
        <v>0</v>
      </c>
      <c r="G19" s="10">
        <f t="shared" si="17"/>
        <v>0</v>
      </c>
      <c r="H19" s="10">
        <f t="shared" si="17"/>
        <v>0</v>
      </c>
      <c r="I19" s="10">
        <f t="shared" si="17"/>
        <v>0</v>
      </c>
      <c r="J19" s="10">
        <f t="shared" si="17"/>
        <v>0</v>
      </c>
      <c r="K19" s="10">
        <f t="shared" si="17"/>
        <v>0</v>
      </c>
      <c r="L19" s="10">
        <f t="shared" si="17"/>
        <v>0</v>
      </c>
      <c r="M19" s="10">
        <f t="shared" si="17"/>
        <v>0</v>
      </c>
      <c r="N19" s="10">
        <f t="shared" si="17"/>
        <v>0</v>
      </c>
      <c r="O19" s="10">
        <f t="shared" si="17"/>
        <v>0</v>
      </c>
      <c r="Q19" s="10">
        <v>0</v>
      </c>
      <c r="R19" s="10">
        <f t="shared" si="22"/>
        <v>0</v>
      </c>
      <c r="S19" s="10">
        <f t="shared" si="22"/>
        <v>0</v>
      </c>
      <c r="T19" s="10">
        <f t="shared" si="22"/>
        <v>0</v>
      </c>
      <c r="U19" s="10">
        <f t="shared" si="22"/>
        <v>0</v>
      </c>
      <c r="V19" s="10">
        <f t="shared" si="22"/>
        <v>0</v>
      </c>
      <c r="W19" s="10">
        <f t="shared" si="22"/>
        <v>0</v>
      </c>
      <c r="X19" s="10">
        <f t="shared" si="22"/>
        <v>0</v>
      </c>
      <c r="Y19" s="10">
        <f t="shared" si="22"/>
        <v>0</v>
      </c>
      <c r="Z19" s="10">
        <f t="shared" si="22"/>
        <v>0</v>
      </c>
      <c r="AA19" s="10">
        <f t="shared" si="22"/>
        <v>0</v>
      </c>
      <c r="AC19" s="10">
        <v>0</v>
      </c>
      <c r="AD19" s="10">
        <f t="shared" si="23"/>
        <v>0</v>
      </c>
      <c r="AE19" s="10">
        <f t="shared" si="23"/>
        <v>0</v>
      </c>
      <c r="AF19" s="10">
        <f t="shared" si="23"/>
        <v>0</v>
      </c>
      <c r="AG19" s="10">
        <f t="shared" si="23"/>
        <v>0</v>
      </c>
      <c r="AH19" s="10">
        <f t="shared" si="23"/>
        <v>0</v>
      </c>
      <c r="AI19" s="10">
        <f t="shared" si="23"/>
        <v>0</v>
      </c>
      <c r="AJ19" s="10">
        <f t="shared" si="23"/>
        <v>0</v>
      </c>
      <c r="AK19" s="10">
        <f t="shared" si="23"/>
        <v>0</v>
      </c>
      <c r="AL19" s="10">
        <f t="shared" si="23"/>
        <v>0</v>
      </c>
      <c r="AM19" s="10">
        <f t="shared" si="23"/>
        <v>0</v>
      </c>
      <c r="AO19" s="10">
        <v>0</v>
      </c>
      <c r="AP19" s="10">
        <f t="shared" si="24"/>
        <v>0</v>
      </c>
      <c r="AQ19" s="10">
        <f t="shared" si="24"/>
        <v>0</v>
      </c>
      <c r="AR19" s="10">
        <f t="shared" si="24"/>
        <v>0</v>
      </c>
      <c r="AS19" s="10">
        <f t="shared" si="24"/>
        <v>0</v>
      </c>
      <c r="AT19" s="10">
        <f t="shared" si="24"/>
        <v>0</v>
      </c>
      <c r="AU19" s="10">
        <f t="shared" si="24"/>
        <v>0</v>
      </c>
      <c r="AV19" s="10">
        <f t="shared" si="24"/>
        <v>0</v>
      </c>
      <c r="AW19" s="10">
        <f t="shared" si="24"/>
        <v>0</v>
      </c>
      <c r="AX19" s="10">
        <f t="shared" si="24"/>
        <v>0</v>
      </c>
      <c r="AY19" s="10">
        <f t="shared" si="24"/>
        <v>0</v>
      </c>
      <c r="BA19" s="10">
        <v>0</v>
      </c>
      <c r="BB19" s="10">
        <f t="shared" si="25"/>
        <v>0</v>
      </c>
      <c r="BC19" s="10">
        <f t="shared" si="25"/>
        <v>0</v>
      </c>
      <c r="BD19" s="10">
        <f t="shared" si="25"/>
        <v>0</v>
      </c>
      <c r="BE19" s="10">
        <f t="shared" si="25"/>
        <v>0</v>
      </c>
      <c r="BF19" s="10">
        <f t="shared" si="25"/>
        <v>0</v>
      </c>
      <c r="BG19" s="10">
        <f t="shared" si="25"/>
        <v>0</v>
      </c>
      <c r="BH19" s="10">
        <f t="shared" si="25"/>
        <v>0</v>
      </c>
      <c r="BI19" s="10">
        <f t="shared" si="25"/>
        <v>0</v>
      </c>
      <c r="BJ19" s="10">
        <f t="shared" si="25"/>
        <v>0</v>
      </c>
      <c r="BK19" s="10">
        <f t="shared" si="25"/>
        <v>0</v>
      </c>
    </row>
    <row r="20" spans="1:63" s="10" customFormat="1" x14ac:dyDescent="0.25">
      <c r="A20" s="11"/>
      <c r="B20" s="10" t="s">
        <v>305</v>
      </c>
      <c r="C20" s="10" t="s">
        <v>368</v>
      </c>
      <c r="D20" s="10" t="s">
        <v>378</v>
      </c>
      <c r="E20" s="10">
        <v>0</v>
      </c>
      <c r="F20" s="10">
        <f t="shared" si="17"/>
        <v>0</v>
      </c>
      <c r="G20" s="10">
        <f t="shared" si="17"/>
        <v>0</v>
      </c>
      <c r="H20" s="10">
        <f t="shared" si="17"/>
        <v>0</v>
      </c>
      <c r="I20" s="10">
        <f t="shared" si="17"/>
        <v>0</v>
      </c>
      <c r="J20" s="10">
        <f t="shared" si="17"/>
        <v>0</v>
      </c>
      <c r="K20" s="10">
        <f t="shared" si="17"/>
        <v>0</v>
      </c>
      <c r="L20" s="10">
        <f t="shared" si="17"/>
        <v>0</v>
      </c>
      <c r="M20" s="10">
        <f t="shared" si="17"/>
        <v>0</v>
      </c>
      <c r="N20" s="10">
        <f t="shared" si="17"/>
        <v>0</v>
      </c>
      <c r="O20" s="10">
        <f t="shared" si="17"/>
        <v>0</v>
      </c>
      <c r="Q20" s="10">
        <v>0</v>
      </c>
      <c r="R20" s="10">
        <f t="shared" si="22"/>
        <v>0</v>
      </c>
      <c r="S20" s="10">
        <f t="shared" si="22"/>
        <v>0</v>
      </c>
      <c r="T20" s="10">
        <f t="shared" si="22"/>
        <v>0</v>
      </c>
      <c r="U20" s="10">
        <f t="shared" si="22"/>
        <v>0</v>
      </c>
      <c r="V20" s="10">
        <f t="shared" si="22"/>
        <v>0</v>
      </c>
      <c r="W20" s="10">
        <f t="shared" si="22"/>
        <v>0</v>
      </c>
      <c r="X20" s="10">
        <f t="shared" si="22"/>
        <v>0</v>
      </c>
      <c r="Y20" s="10">
        <f t="shared" si="22"/>
        <v>0</v>
      </c>
      <c r="Z20" s="10">
        <f t="shared" si="22"/>
        <v>0</v>
      </c>
      <c r="AA20" s="10">
        <f t="shared" si="22"/>
        <v>0</v>
      </c>
      <c r="AC20" s="10">
        <v>0</v>
      </c>
      <c r="AD20" s="10">
        <f t="shared" si="23"/>
        <v>0</v>
      </c>
      <c r="AE20" s="10">
        <f t="shared" si="23"/>
        <v>0</v>
      </c>
      <c r="AF20" s="10">
        <f t="shared" si="23"/>
        <v>0</v>
      </c>
      <c r="AG20" s="10">
        <f t="shared" si="23"/>
        <v>0</v>
      </c>
      <c r="AH20" s="10">
        <f t="shared" si="23"/>
        <v>0</v>
      </c>
      <c r="AI20" s="10">
        <f t="shared" si="23"/>
        <v>0</v>
      </c>
      <c r="AJ20" s="10">
        <f t="shared" si="23"/>
        <v>0</v>
      </c>
      <c r="AK20" s="10">
        <f t="shared" si="23"/>
        <v>0</v>
      </c>
      <c r="AL20" s="10">
        <f t="shared" si="23"/>
        <v>0</v>
      </c>
      <c r="AM20" s="10">
        <f t="shared" si="23"/>
        <v>0</v>
      </c>
      <c r="AO20" s="10">
        <v>0</v>
      </c>
      <c r="AP20" s="10">
        <f t="shared" si="24"/>
        <v>0</v>
      </c>
      <c r="AQ20" s="10">
        <f t="shared" si="24"/>
        <v>0</v>
      </c>
      <c r="AR20" s="10">
        <f t="shared" si="24"/>
        <v>0</v>
      </c>
      <c r="AS20" s="10">
        <f t="shared" si="24"/>
        <v>0</v>
      </c>
      <c r="AT20" s="10">
        <f t="shared" si="24"/>
        <v>0</v>
      </c>
      <c r="AU20" s="10">
        <f t="shared" si="24"/>
        <v>0</v>
      </c>
      <c r="AV20" s="10">
        <f t="shared" si="24"/>
        <v>0</v>
      </c>
      <c r="AW20" s="10">
        <f t="shared" si="24"/>
        <v>0</v>
      </c>
      <c r="AX20" s="10">
        <f t="shared" si="24"/>
        <v>0</v>
      </c>
      <c r="AY20" s="10">
        <f t="shared" si="24"/>
        <v>0</v>
      </c>
      <c r="BA20" s="10">
        <v>0</v>
      </c>
      <c r="BB20" s="10">
        <f t="shared" si="25"/>
        <v>0</v>
      </c>
      <c r="BC20" s="10">
        <f t="shared" si="25"/>
        <v>0</v>
      </c>
      <c r="BD20" s="10">
        <f t="shared" si="25"/>
        <v>0</v>
      </c>
      <c r="BE20" s="10">
        <f t="shared" si="25"/>
        <v>0</v>
      </c>
      <c r="BF20" s="10">
        <f t="shared" si="25"/>
        <v>0</v>
      </c>
      <c r="BG20" s="10">
        <f t="shared" si="25"/>
        <v>0</v>
      </c>
      <c r="BH20" s="10">
        <f t="shared" si="25"/>
        <v>0</v>
      </c>
      <c r="BI20" s="10">
        <f t="shared" si="25"/>
        <v>0</v>
      </c>
      <c r="BJ20" s="10">
        <f t="shared" si="25"/>
        <v>0</v>
      </c>
      <c r="BK20" s="10">
        <f t="shared" si="25"/>
        <v>0</v>
      </c>
    </row>
    <row r="21" spans="1:63" x14ac:dyDescent="0.25">
      <c r="A21" s="2"/>
      <c r="B21" s="2"/>
      <c r="E21" t="str">
        <f t="shared" ref="E21:AA21" si="26">CONCATENATE(E20,E19,E18,E17,E16,E15,E14,E13)</f>
        <v>00000000</v>
      </c>
      <c r="F21" t="str">
        <f t="shared" si="26"/>
        <v>00000000</v>
      </c>
      <c r="G21" t="str">
        <f t="shared" si="26"/>
        <v>00000000</v>
      </c>
      <c r="H21" t="str">
        <f t="shared" si="26"/>
        <v>00000000</v>
      </c>
      <c r="I21" t="str">
        <f t="shared" si="26"/>
        <v>00000000</v>
      </c>
      <c r="J21" t="str">
        <f t="shared" si="26"/>
        <v>00000000</v>
      </c>
      <c r="K21" t="str">
        <f t="shared" si="26"/>
        <v>00000000</v>
      </c>
      <c r="L21" t="str">
        <f t="shared" si="26"/>
        <v>00000000</v>
      </c>
      <c r="M21" t="str">
        <f t="shared" si="26"/>
        <v>00000000</v>
      </c>
      <c r="N21" t="str">
        <f t="shared" si="26"/>
        <v>00000000</v>
      </c>
      <c r="O21" t="str">
        <f t="shared" si="26"/>
        <v>00000000</v>
      </c>
      <c r="Q21" t="str">
        <f t="shared" si="26"/>
        <v>00000000</v>
      </c>
      <c r="R21" t="str">
        <f t="shared" si="26"/>
        <v>00000000</v>
      </c>
      <c r="S21" t="str">
        <f t="shared" si="26"/>
        <v>00000000</v>
      </c>
      <c r="T21" t="str">
        <f t="shared" si="26"/>
        <v>00000000</v>
      </c>
      <c r="U21" t="str">
        <f t="shared" si="26"/>
        <v>00000000</v>
      </c>
      <c r="V21" t="str">
        <f t="shared" si="26"/>
        <v>00000000</v>
      </c>
      <c r="W21" t="str">
        <f t="shared" si="26"/>
        <v>00000000</v>
      </c>
      <c r="X21" t="str">
        <f t="shared" si="26"/>
        <v>00000000</v>
      </c>
      <c r="Y21" t="str">
        <f t="shared" si="26"/>
        <v>00000000</v>
      </c>
      <c r="Z21" t="str">
        <f t="shared" si="26"/>
        <v>00000000</v>
      </c>
      <c r="AA21" t="str">
        <f t="shared" si="26"/>
        <v>00000000</v>
      </c>
      <c r="AC21" t="str">
        <f>CONCATENATE(AC20,AC19,AC18,AC17,AC16,AC15,AC14,AC13)</f>
        <v>00000000</v>
      </c>
      <c r="AD21" t="str">
        <f t="shared" ref="AD21:AM21" si="27">CONCATENATE(AD20,AD19,AD18,AD17,AD16,AD15,AD14,AD13)</f>
        <v>00000000</v>
      </c>
      <c r="AE21" t="str">
        <f t="shared" si="27"/>
        <v>00000000</v>
      </c>
      <c r="AF21" t="str">
        <f t="shared" si="27"/>
        <v>00000000</v>
      </c>
      <c r="AG21" t="str">
        <f t="shared" si="27"/>
        <v>00000000</v>
      </c>
      <c r="AH21" t="str">
        <f t="shared" si="27"/>
        <v>00000000</v>
      </c>
      <c r="AI21" t="str">
        <f t="shared" si="27"/>
        <v>00000000</v>
      </c>
      <c r="AJ21" t="str">
        <f t="shared" si="27"/>
        <v>00000000</v>
      </c>
      <c r="AK21" t="str">
        <f t="shared" si="27"/>
        <v>00000000</v>
      </c>
      <c r="AL21" t="str">
        <f t="shared" si="27"/>
        <v>00000000</v>
      </c>
      <c r="AM21" t="str">
        <f t="shared" si="27"/>
        <v>00000000</v>
      </c>
      <c r="AO21" t="str">
        <f t="shared" ref="AO21:AY21" si="28">CONCATENATE(AO20,AO19,AO18,AO17,AO16,AO15,AO14,AO13)</f>
        <v>00000000</v>
      </c>
      <c r="AP21" t="str">
        <f t="shared" si="28"/>
        <v>00000000</v>
      </c>
      <c r="AQ21" t="str">
        <f t="shared" si="28"/>
        <v>00000000</v>
      </c>
      <c r="AR21" t="str">
        <f t="shared" si="28"/>
        <v>00000000</v>
      </c>
      <c r="AS21" t="str">
        <f t="shared" si="28"/>
        <v>00000000</v>
      </c>
      <c r="AT21" t="str">
        <f t="shared" si="28"/>
        <v>00000000</v>
      </c>
      <c r="AU21" t="str">
        <f t="shared" si="28"/>
        <v>00000000</v>
      </c>
      <c r="AV21" t="str">
        <f t="shared" si="28"/>
        <v>00000000</v>
      </c>
      <c r="AW21" t="str">
        <f t="shared" si="28"/>
        <v>00000000</v>
      </c>
      <c r="AX21" t="str">
        <f t="shared" si="28"/>
        <v>00000000</v>
      </c>
      <c r="AY21" t="str">
        <f t="shared" si="28"/>
        <v>00000000</v>
      </c>
      <c r="BA21" t="str">
        <f t="shared" ref="BA21:BK21" si="29">CONCATENATE(BA20,BA19,BA18,BA17,BA16,BA15,BA14,BA13)</f>
        <v>00000000</v>
      </c>
      <c r="BB21" t="str">
        <f t="shared" si="29"/>
        <v>00000000</v>
      </c>
      <c r="BC21" t="str">
        <f t="shared" si="29"/>
        <v>00000000</v>
      </c>
      <c r="BD21" t="str">
        <f t="shared" si="29"/>
        <v>00000000</v>
      </c>
      <c r="BE21" t="str">
        <f t="shared" si="29"/>
        <v>00000000</v>
      </c>
      <c r="BF21" t="str">
        <f t="shared" si="29"/>
        <v>00000000</v>
      </c>
      <c r="BG21" t="str">
        <f t="shared" si="29"/>
        <v>00000000</v>
      </c>
      <c r="BH21" t="str">
        <f t="shared" si="29"/>
        <v>00000000</v>
      </c>
      <c r="BI21" t="str">
        <f t="shared" si="29"/>
        <v>00000000</v>
      </c>
      <c r="BJ21" t="str">
        <f t="shared" si="29"/>
        <v>00000000</v>
      </c>
      <c r="BK21" t="str">
        <f t="shared" si="29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30">CONCATENATE(BIN2HEX(E21,2))</f>
        <v>00</v>
      </c>
      <c r="F22" t="str">
        <f t="shared" si="30"/>
        <v>00</v>
      </c>
      <c r="G22" t="str">
        <f t="shared" si="30"/>
        <v>00</v>
      </c>
      <c r="H22" t="str">
        <f t="shared" si="30"/>
        <v>00</v>
      </c>
      <c r="I22" t="str">
        <f t="shared" si="30"/>
        <v>00</v>
      </c>
      <c r="J22" t="str">
        <f t="shared" si="30"/>
        <v>00</v>
      </c>
      <c r="K22" t="str">
        <f t="shared" si="30"/>
        <v>00</v>
      </c>
      <c r="L22" t="str">
        <f t="shared" si="30"/>
        <v>00</v>
      </c>
      <c r="M22" t="str">
        <f t="shared" si="30"/>
        <v>00</v>
      </c>
      <c r="N22" t="str">
        <f t="shared" si="30"/>
        <v>00</v>
      </c>
      <c r="O22" t="str">
        <f t="shared" si="30"/>
        <v>00</v>
      </c>
      <c r="Q22" t="str">
        <f t="shared" si="30"/>
        <v>00</v>
      </c>
      <c r="R22" t="str">
        <f t="shared" si="30"/>
        <v>00</v>
      </c>
      <c r="S22" t="str">
        <f t="shared" si="30"/>
        <v>00</v>
      </c>
      <c r="T22" t="str">
        <f t="shared" si="30"/>
        <v>00</v>
      </c>
      <c r="U22" t="str">
        <f t="shared" si="30"/>
        <v>00</v>
      </c>
      <c r="V22" t="str">
        <f t="shared" si="30"/>
        <v>00</v>
      </c>
      <c r="W22" t="str">
        <f t="shared" si="30"/>
        <v>00</v>
      </c>
      <c r="X22" t="str">
        <f t="shared" si="30"/>
        <v>00</v>
      </c>
      <c r="Y22" t="str">
        <f t="shared" si="30"/>
        <v>00</v>
      </c>
      <c r="Z22" t="str">
        <f t="shared" si="30"/>
        <v>00</v>
      </c>
      <c r="AA22" t="str">
        <f t="shared" si="30"/>
        <v>00</v>
      </c>
      <c r="AC22" t="str">
        <f>CONCATENATE(BIN2HEX(AC21,2))</f>
        <v>00</v>
      </c>
      <c r="AD22" t="str">
        <f t="shared" ref="AD22:AM22" si="31">CONCATENATE(BIN2HEX(AD21,2))</f>
        <v>00</v>
      </c>
      <c r="AE22" t="str">
        <f t="shared" si="31"/>
        <v>00</v>
      </c>
      <c r="AF22" t="str">
        <f t="shared" si="31"/>
        <v>00</v>
      </c>
      <c r="AG22" t="str">
        <f t="shared" si="31"/>
        <v>00</v>
      </c>
      <c r="AH22" t="str">
        <f t="shared" si="31"/>
        <v>00</v>
      </c>
      <c r="AI22" t="str">
        <f t="shared" si="31"/>
        <v>00</v>
      </c>
      <c r="AJ22" t="str">
        <f t="shared" si="31"/>
        <v>00</v>
      </c>
      <c r="AK22" t="str">
        <f t="shared" si="31"/>
        <v>00</v>
      </c>
      <c r="AL22" t="str">
        <f t="shared" si="31"/>
        <v>00</v>
      </c>
      <c r="AM22" t="str">
        <f t="shared" si="31"/>
        <v>00</v>
      </c>
      <c r="AO22" t="str">
        <f t="shared" ref="AO22:AY22" si="32">CONCATENATE(BIN2HEX(AO21,2))</f>
        <v>00</v>
      </c>
      <c r="AP22" t="str">
        <f t="shared" si="32"/>
        <v>00</v>
      </c>
      <c r="AQ22" t="str">
        <f t="shared" si="32"/>
        <v>00</v>
      </c>
      <c r="AR22" t="str">
        <f t="shared" si="32"/>
        <v>00</v>
      </c>
      <c r="AS22" t="str">
        <f t="shared" si="32"/>
        <v>00</v>
      </c>
      <c r="AT22" t="str">
        <f t="shared" si="32"/>
        <v>00</v>
      </c>
      <c r="AU22" t="str">
        <f t="shared" si="32"/>
        <v>00</v>
      </c>
      <c r="AV22" t="str">
        <f t="shared" si="32"/>
        <v>00</v>
      </c>
      <c r="AW22" t="str">
        <f t="shared" si="32"/>
        <v>00</v>
      </c>
      <c r="AX22" t="str">
        <f t="shared" si="32"/>
        <v>00</v>
      </c>
      <c r="AY22" t="str">
        <f t="shared" si="32"/>
        <v>00</v>
      </c>
      <c r="BA22" t="str">
        <f t="shared" ref="BA22:BK22" si="33">CONCATENATE(BIN2HEX(BA21,2))</f>
        <v>00</v>
      </c>
      <c r="BB22" t="str">
        <f t="shared" si="33"/>
        <v>00</v>
      </c>
      <c r="BC22" t="str">
        <f t="shared" si="33"/>
        <v>00</v>
      </c>
      <c r="BD22" t="str">
        <f t="shared" si="33"/>
        <v>00</v>
      </c>
      <c r="BE22" t="str">
        <f t="shared" si="33"/>
        <v>00</v>
      </c>
      <c r="BF22" t="str">
        <f t="shared" si="33"/>
        <v>00</v>
      </c>
      <c r="BG22" t="str">
        <f t="shared" si="33"/>
        <v>00</v>
      </c>
      <c r="BH22" t="str">
        <f t="shared" si="33"/>
        <v>00</v>
      </c>
      <c r="BI22" t="str">
        <f t="shared" si="33"/>
        <v>00</v>
      </c>
      <c r="BJ22" t="str">
        <f t="shared" si="33"/>
        <v>00</v>
      </c>
      <c r="BK22" t="str">
        <f t="shared" si="33"/>
        <v>00</v>
      </c>
    </row>
    <row r="23" spans="1:63" x14ac:dyDescent="0.25">
      <c r="A23" s="2"/>
      <c r="B23" s="2"/>
      <c r="D23" s="13" t="s">
        <v>215</v>
      </c>
      <c r="E23" t="str">
        <f t="shared" ref="E23:O23" si="34">CONCATENATE("0x",E22,E11)</f>
        <v>0x0000</v>
      </c>
      <c r="F23" t="str">
        <f t="shared" si="34"/>
        <v>0x0000</v>
      </c>
      <c r="G23" t="str">
        <f t="shared" si="34"/>
        <v>0x0000</v>
      </c>
      <c r="H23" t="str">
        <f t="shared" si="34"/>
        <v>0x0000</v>
      </c>
      <c r="I23" t="str">
        <f t="shared" si="34"/>
        <v>0x0000</v>
      </c>
      <c r="J23" t="str">
        <f t="shared" si="34"/>
        <v>0x0000</v>
      </c>
      <c r="K23" t="str">
        <f t="shared" si="34"/>
        <v>0x0000</v>
      </c>
      <c r="L23" t="str">
        <f t="shared" si="34"/>
        <v>0x0000</v>
      </c>
      <c r="M23" t="str">
        <f t="shared" si="34"/>
        <v>0x0000</v>
      </c>
      <c r="N23" t="str">
        <f t="shared" si="34"/>
        <v>0x0000</v>
      </c>
      <c r="O23" t="str">
        <f t="shared" si="34"/>
        <v>0x0000</v>
      </c>
      <c r="Q23" t="str">
        <f t="shared" ref="Q23:AA23" si="35">CONCATENATE("0x",Q22,Q11)</f>
        <v>0x0000</v>
      </c>
      <c r="R23" t="str">
        <f t="shared" si="35"/>
        <v>0x0000</v>
      </c>
      <c r="S23" t="str">
        <f t="shared" si="35"/>
        <v>0x0000</v>
      </c>
      <c r="T23" t="str">
        <f t="shared" si="35"/>
        <v>0x0000</v>
      </c>
      <c r="U23" t="str">
        <f t="shared" si="35"/>
        <v>0x0000</v>
      </c>
      <c r="V23" t="str">
        <f t="shared" si="35"/>
        <v>0x0000</v>
      </c>
      <c r="W23" t="str">
        <f t="shared" si="35"/>
        <v>0x0000</v>
      </c>
      <c r="X23" t="str">
        <f t="shared" si="35"/>
        <v>0x0000</v>
      </c>
      <c r="Y23" t="str">
        <f t="shared" si="35"/>
        <v>0x0000</v>
      </c>
      <c r="Z23" t="str">
        <f t="shared" si="35"/>
        <v>0x0000</v>
      </c>
      <c r="AA23" t="str">
        <f t="shared" si="35"/>
        <v>0x0000</v>
      </c>
      <c r="AC23" t="str">
        <f>CONCATENATE("0x",AC22,AC11)</f>
        <v>0x0000</v>
      </c>
      <c r="AD23" t="str">
        <f t="shared" ref="AD23:BK23" si="36">CONCATENATE("0x",AD22,AD11)</f>
        <v>0x0000</v>
      </c>
      <c r="AE23" t="str">
        <f t="shared" si="36"/>
        <v>0x0000</v>
      </c>
      <c r="AF23" t="str">
        <f t="shared" si="36"/>
        <v>0x0000</v>
      </c>
      <c r="AG23" t="str">
        <f t="shared" si="36"/>
        <v>0x0000</v>
      </c>
      <c r="AH23" t="str">
        <f t="shared" si="36"/>
        <v>0x0000</v>
      </c>
      <c r="AI23" t="str">
        <f t="shared" si="36"/>
        <v>0x0000</v>
      </c>
      <c r="AJ23" t="str">
        <f t="shared" si="36"/>
        <v>0x0000</v>
      </c>
      <c r="AK23" t="str">
        <f t="shared" si="36"/>
        <v>0x0000</v>
      </c>
      <c r="AL23" t="str">
        <f t="shared" si="36"/>
        <v>0x0000</v>
      </c>
      <c r="AM23" t="str">
        <f t="shared" si="36"/>
        <v>0x0000</v>
      </c>
      <c r="AO23" t="str">
        <f t="shared" si="36"/>
        <v>0x0000</v>
      </c>
      <c r="AP23" t="str">
        <f t="shared" si="36"/>
        <v>0x0000</v>
      </c>
      <c r="AQ23" t="str">
        <f t="shared" si="36"/>
        <v>0x0000</v>
      </c>
      <c r="AR23" t="str">
        <f t="shared" si="36"/>
        <v>0x0000</v>
      </c>
      <c r="AS23" t="str">
        <f t="shared" si="36"/>
        <v>0x0000</v>
      </c>
      <c r="AT23" t="str">
        <f t="shared" si="36"/>
        <v>0x0000</v>
      </c>
      <c r="AU23" t="str">
        <f t="shared" si="36"/>
        <v>0x0000</v>
      </c>
      <c r="AV23" t="str">
        <f t="shared" si="36"/>
        <v>0x0000</v>
      </c>
      <c r="AW23" t="str">
        <f t="shared" si="36"/>
        <v>0x0000</v>
      </c>
      <c r="AX23" t="str">
        <f t="shared" si="36"/>
        <v>0x0000</v>
      </c>
      <c r="AY23" t="str">
        <f t="shared" si="36"/>
        <v>0x0000</v>
      </c>
      <c r="BA23" t="str">
        <f t="shared" si="36"/>
        <v>0x0000</v>
      </c>
      <c r="BB23" t="str">
        <f t="shared" si="36"/>
        <v>0x0000</v>
      </c>
      <c r="BC23" t="str">
        <f t="shared" si="36"/>
        <v>0x0000</v>
      </c>
      <c r="BD23" t="str">
        <f t="shared" si="36"/>
        <v>0x0000</v>
      </c>
      <c r="BE23" t="str">
        <f t="shared" si="36"/>
        <v>0x0000</v>
      </c>
      <c r="BF23" t="str">
        <f t="shared" si="36"/>
        <v>0x0000</v>
      </c>
      <c r="BG23" t="str">
        <f t="shared" si="36"/>
        <v>0x0000</v>
      </c>
      <c r="BH23" t="str">
        <f t="shared" si="36"/>
        <v>0x0000</v>
      </c>
      <c r="BI23" t="str">
        <f t="shared" si="36"/>
        <v>0x0000</v>
      </c>
      <c r="BJ23" t="str">
        <f t="shared" si="36"/>
        <v>0x0000</v>
      </c>
      <c r="BK23" t="str">
        <f t="shared" si="36"/>
        <v>0x0000</v>
      </c>
    </row>
    <row r="24" spans="1:63" x14ac:dyDescent="0.25">
      <c r="A24" s="2"/>
      <c r="B24" s="2"/>
      <c r="D24" s="13" t="s">
        <v>216</v>
      </c>
      <c r="E24" t="str">
        <f>Q23</f>
        <v>0x0000</v>
      </c>
      <c r="F24" t="str">
        <f>R23</f>
        <v>0x0000</v>
      </c>
      <c r="G24" t="str">
        <f t="shared" ref="G24:O24" si="37">S23</f>
        <v>0x0000</v>
      </c>
      <c r="H24" t="str">
        <f t="shared" si="37"/>
        <v>0x0000</v>
      </c>
      <c r="I24" t="str">
        <f t="shared" si="37"/>
        <v>0x0000</v>
      </c>
      <c r="J24" t="str">
        <f t="shared" si="37"/>
        <v>0x0000</v>
      </c>
      <c r="K24" t="str">
        <f t="shared" si="37"/>
        <v>0x0000</v>
      </c>
      <c r="L24" t="str">
        <f t="shared" si="37"/>
        <v>0x0000</v>
      </c>
      <c r="M24" t="str">
        <f t="shared" si="37"/>
        <v>0x0000</v>
      </c>
      <c r="N24" t="str">
        <f t="shared" si="37"/>
        <v>0x0000</v>
      </c>
      <c r="O24" t="str">
        <f t="shared" si="37"/>
        <v>0x0000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0x0000</v>
      </c>
      <c r="F25" t="str">
        <f t="shared" ref="F25:O25" si="38">AD23</f>
        <v>0x0000</v>
      </c>
      <c r="G25" t="str">
        <f t="shared" si="38"/>
        <v>0x0000</v>
      </c>
      <c r="H25" t="str">
        <f t="shared" si="38"/>
        <v>0x0000</v>
      </c>
      <c r="I25" t="str">
        <f t="shared" si="38"/>
        <v>0x0000</v>
      </c>
      <c r="J25" t="str">
        <f t="shared" si="38"/>
        <v>0x0000</v>
      </c>
      <c r="K25" t="str">
        <f t="shared" si="38"/>
        <v>0x0000</v>
      </c>
      <c r="L25" t="str">
        <f t="shared" si="38"/>
        <v>0x0000</v>
      </c>
      <c r="M25" t="str">
        <f t="shared" si="38"/>
        <v>0x0000</v>
      </c>
      <c r="N25" t="str">
        <f t="shared" si="38"/>
        <v>0x0000</v>
      </c>
      <c r="O25" t="str">
        <f t="shared" si="38"/>
        <v>0x0000</v>
      </c>
    </row>
    <row r="26" spans="1:63" x14ac:dyDescent="0.25">
      <c r="A26" s="2" t="s">
        <v>42</v>
      </c>
      <c r="B26" s="2" t="s">
        <v>36</v>
      </c>
      <c r="C26" t="s">
        <v>433</v>
      </c>
      <c r="D26" s="13" t="s">
        <v>209</v>
      </c>
      <c r="E26" t="str">
        <f>AO23</f>
        <v>0x0000</v>
      </c>
      <c r="F26" t="str">
        <f t="shared" ref="F26:O26" si="39">AP23</f>
        <v>0x0000</v>
      </c>
      <c r="G26" t="str">
        <f t="shared" si="39"/>
        <v>0x0000</v>
      </c>
      <c r="H26" t="str">
        <f t="shared" si="39"/>
        <v>0x0000</v>
      </c>
      <c r="I26" t="str">
        <f t="shared" si="39"/>
        <v>0x0000</v>
      </c>
      <c r="J26" t="str">
        <f t="shared" si="39"/>
        <v>0x0000</v>
      </c>
      <c r="K26" t="str">
        <f t="shared" si="39"/>
        <v>0x0000</v>
      </c>
      <c r="L26" t="str">
        <f t="shared" si="39"/>
        <v>0x0000</v>
      </c>
      <c r="M26" t="str">
        <f t="shared" si="39"/>
        <v>0x0000</v>
      </c>
      <c r="N26" t="str">
        <f t="shared" si="39"/>
        <v>0x0000</v>
      </c>
      <c r="O26" t="str">
        <f t="shared" si="39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0">BB23</f>
        <v>0x0000</v>
      </c>
      <c r="G27" t="str">
        <f t="shared" si="40"/>
        <v>0x0000</v>
      </c>
      <c r="H27" t="str">
        <f t="shared" si="40"/>
        <v>0x0000</v>
      </c>
      <c r="I27" t="str">
        <f t="shared" si="40"/>
        <v>0x0000</v>
      </c>
      <c r="J27" t="str">
        <f t="shared" si="40"/>
        <v>0x0000</v>
      </c>
      <c r="K27" t="str">
        <f t="shared" si="40"/>
        <v>0x0000</v>
      </c>
      <c r="L27" t="str">
        <f t="shared" si="40"/>
        <v>0x0000</v>
      </c>
      <c r="M27" t="str">
        <f t="shared" si="40"/>
        <v>0x0000</v>
      </c>
      <c r="N27" t="str">
        <f t="shared" si="40"/>
        <v>0x0000</v>
      </c>
      <c r="O27" t="str">
        <f t="shared" si="40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224</v>
      </c>
    </row>
    <row r="31" spans="1:63" x14ac:dyDescent="0.25">
      <c r="A31" s="4"/>
      <c r="B31" s="2"/>
    </row>
    <row r="32" spans="1:63" x14ac:dyDescent="0.25">
      <c r="A32" s="4"/>
      <c r="B32" s="4"/>
    </row>
    <row r="33" spans="1:2" x14ac:dyDescent="0.25">
      <c r="A33" s="4"/>
      <c r="B33" s="4"/>
    </row>
    <row r="34" spans="1:2" x14ac:dyDescent="0.25">
      <c r="A34" s="4"/>
      <c r="B34" s="14"/>
    </row>
    <row r="35" spans="1:2" x14ac:dyDescent="0.25">
      <c r="A35" s="4"/>
      <c r="B35" s="4"/>
    </row>
    <row r="36" spans="1:2" x14ac:dyDescent="0.25">
      <c r="A36" s="4"/>
      <c r="B36" s="4"/>
    </row>
    <row r="37" spans="1:2" x14ac:dyDescent="0.25">
      <c r="A37" s="5"/>
      <c r="B37" s="5"/>
    </row>
    <row r="38" spans="1:2" x14ac:dyDescent="0.25">
      <c r="A38" s="4" t="s">
        <v>212</v>
      </c>
      <c r="B38" s="4">
        <v>500</v>
      </c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A43" s="4"/>
      <c r="B43" s="4"/>
    </row>
    <row r="44" spans="1:2" x14ac:dyDescent="0.25">
      <c r="A44" s="4"/>
      <c r="B44" s="4"/>
    </row>
    <row r="45" spans="1:2" x14ac:dyDescent="0.25">
      <c r="A45" s="4"/>
      <c r="B45" s="4"/>
    </row>
    <row r="46" spans="1:2" x14ac:dyDescent="0.25">
      <c r="A46" s="4"/>
      <c r="B46" s="4"/>
    </row>
    <row r="47" spans="1:2" x14ac:dyDescent="0.25">
      <c r="A47" s="4"/>
      <c r="B47" s="4"/>
    </row>
    <row r="48" spans="1:2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#RadioCard_GNSS_L1_Exp1:etap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>
        <f>A$33</f>
        <v>0</v>
      </c>
      <c r="B53" s="4">
        <f>B$33</f>
        <v>0</v>
      </c>
      <c r="H53" t="str">
        <f>ADDRESS(1,F52)</f>
        <v>$F$1</v>
      </c>
    </row>
    <row r="54" spans="1:8" x14ac:dyDescent="0.25">
      <c r="A54" s="4">
        <f>A$34</f>
        <v>0</v>
      </c>
      <c r="B54" s="4">
        <f>B$34</f>
        <v>0</v>
      </c>
    </row>
    <row r="55" spans="1:8" x14ac:dyDescent="0.25">
      <c r="A55" s="4" t="str">
        <f ca="1">INDIRECT(G55)</f>
        <v>pins_mode</v>
      </c>
      <c r="B55" s="4" t="str">
        <f ca="1">INDIRECT(H55)</f>
        <v>0x0000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0x0000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1">INDIRECT(H57)</f>
        <v>0x0000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2">INDIRECT(G58)</f>
        <v>#pins_int</v>
      </c>
      <c r="B58" s="4" t="str">
        <f t="shared" ca="1" si="41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2"/>
        <v>#pins_def_val</v>
      </c>
      <c r="B59" s="4" t="str">
        <f t="shared" ca="1" si="41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#RadioCard_GNSS_L1_Exp1:etap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>
        <f>A$33</f>
        <v>0</v>
      </c>
      <c r="B73" s="4">
        <f>B$33</f>
        <v>0</v>
      </c>
      <c r="H73" t="str">
        <f>ADDRESS(1,F72)</f>
        <v>$G$1</v>
      </c>
    </row>
    <row r="74" spans="1:8" x14ac:dyDescent="0.25">
      <c r="A74" s="4">
        <f>A$34</f>
        <v>0</v>
      </c>
      <c r="B74" s="4">
        <f>B$34</f>
        <v>0</v>
      </c>
    </row>
    <row r="75" spans="1:8" x14ac:dyDescent="0.25">
      <c r="A75" s="4" t="str">
        <f ca="1">INDIRECT(G75)</f>
        <v>pins_mode</v>
      </c>
      <c r="B75" s="4" t="str">
        <f ca="1">INDIRECT(H75)</f>
        <v>0x0000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0x0000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3">INDIRECT(H77)</f>
        <v>0x0000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4">INDIRECT(G78)</f>
        <v>#pins_int</v>
      </c>
      <c r="B78" s="4" t="str">
        <f t="shared" ca="1" si="43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4"/>
        <v>#pins_def_val</v>
      </c>
      <c r="B79" s="4" t="str">
        <f t="shared" ca="1" si="43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#RadioCard_GNSS_L1_Exp1:etap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>
        <f>A$33</f>
        <v>0</v>
      </c>
      <c r="B93" s="4">
        <f>B$33</f>
        <v>0</v>
      </c>
      <c r="H93" t="str">
        <f>ADDRESS(1,F92)</f>
        <v>$H$1</v>
      </c>
    </row>
    <row r="94" spans="1:8" x14ac:dyDescent="0.25">
      <c r="A94" s="4">
        <f>A$34</f>
        <v>0</v>
      </c>
      <c r="B94" s="4">
        <f>B$34</f>
        <v>0</v>
      </c>
    </row>
    <row r="95" spans="1:8" x14ac:dyDescent="0.25">
      <c r="A95" s="4" t="str">
        <f ca="1">INDIRECT(G95)</f>
        <v>pins_mode</v>
      </c>
      <c r="B95" s="4" t="str">
        <f ca="1">INDIRECT(H95)</f>
        <v>0x0000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0x0000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5">INDIRECT(H97)</f>
        <v>0x0000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6">INDIRECT(G98)</f>
        <v>#pins_int</v>
      </c>
      <c r="B98" s="4" t="str">
        <f t="shared" ca="1" si="45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6"/>
        <v>#pins_def_val</v>
      </c>
      <c r="B99" s="4" t="str">
        <f t="shared" ca="1" si="45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#RadioCard_GNSS_L1_Exp1:etap 4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>
        <f>A$33</f>
        <v>0</v>
      </c>
      <c r="B113" s="4">
        <f>B$33</f>
        <v>0</v>
      </c>
      <c r="H113" t="str">
        <f>ADDRESS(1,F112)</f>
        <v>$I$1</v>
      </c>
    </row>
    <row r="114" spans="1:8" x14ac:dyDescent="0.25">
      <c r="A114" s="4">
        <f>A$34</f>
        <v>0</v>
      </c>
      <c r="B114" s="4">
        <f>B$34</f>
        <v>0</v>
      </c>
    </row>
    <row r="115" spans="1:8" x14ac:dyDescent="0.25">
      <c r="A115" s="4" t="str">
        <f ca="1">INDIRECT(G115)</f>
        <v>pins_mode</v>
      </c>
      <c r="B115" s="4" t="str">
        <f ca="1">INDIRECT(H115)</f>
        <v>0x0000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0x0000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7">INDIRECT(H117)</f>
        <v>0x0000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8">INDIRECT(G118)</f>
        <v>#pins_int</v>
      </c>
      <c r="B118" s="4" t="str">
        <f t="shared" ca="1" si="47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8"/>
        <v>#pins_def_val</v>
      </c>
      <c r="B119" s="4" t="str">
        <f t="shared" ca="1" si="47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#RadioCard_GNSS_L1_Exp1:etap 5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>
        <f>A$33</f>
        <v>0</v>
      </c>
      <c r="B133" s="4">
        <f>B$33</f>
        <v>0</v>
      </c>
      <c r="H133" t="str">
        <f>ADDRESS(1,F132)</f>
        <v>$J$1</v>
      </c>
    </row>
    <row r="134" spans="1:8" x14ac:dyDescent="0.25">
      <c r="A134" s="4">
        <f>A$34</f>
        <v>0</v>
      </c>
      <c r="B134" s="4">
        <f>B$34</f>
        <v>0</v>
      </c>
    </row>
    <row r="135" spans="1:8" x14ac:dyDescent="0.25">
      <c r="A135" s="4" t="str">
        <f ca="1">INDIRECT(G135)</f>
        <v>pins_mode</v>
      </c>
      <c r="B135" s="4" t="str">
        <f ca="1">INDIRECT(H135)</f>
        <v>0x0000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0x0000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49">INDIRECT(H137)</f>
        <v>0x0000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0">INDIRECT(G138)</f>
        <v>#pins_int</v>
      </c>
      <c r="B138" s="4" t="str">
        <f t="shared" ca="1" si="49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0"/>
        <v>#pins_def_val</v>
      </c>
      <c r="B139" s="4" t="str">
        <f t="shared" ca="1" si="49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#RadioCard_GNSS_L1_Exp1:etap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>
        <f>A$33</f>
        <v>0</v>
      </c>
      <c r="B153" s="4">
        <f>B$33</f>
        <v>0</v>
      </c>
      <c r="H153" t="str">
        <f>ADDRESS(1,F152)</f>
        <v>$K$1</v>
      </c>
    </row>
    <row r="154" spans="1:8" x14ac:dyDescent="0.25">
      <c r="A154" s="4">
        <f>A$34</f>
        <v>0</v>
      </c>
      <c r="B154" s="4">
        <f>B$34</f>
        <v>0</v>
      </c>
    </row>
    <row r="155" spans="1:8" x14ac:dyDescent="0.25">
      <c r="A155" s="4" t="str">
        <f ca="1">INDIRECT(G155)</f>
        <v>pins_mode</v>
      </c>
      <c r="B155" s="4" t="str">
        <f ca="1">INDIRECT(H155)</f>
        <v>0x0000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0x0000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1">INDIRECT(H157)</f>
        <v>0x0000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2">INDIRECT(G158)</f>
        <v>#pins_int</v>
      </c>
      <c r="B158" s="4" t="str">
        <f t="shared" ca="1" si="51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2"/>
        <v>#pins_def_val</v>
      </c>
      <c r="B159" s="4" t="str">
        <f t="shared" ca="1" si="51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#RadioCard_GNSS_L1_Exp1:etap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>
        <f>A$33</f>
        <v>0</v>
      </c>
      <c r="B173" s="4">
        <f>B$33</f>
        <v>0</v>
      </c>
      <c r="H173" t="str">
        <f>ADDRESS(1,F172)</f>
        <v>$L$1</v>
      </c>
    </row>
    <row r="174" spans="1:8" x14ac:dyDescent="0.25">
      <c r="A174" s="4">
        <f>A$34</f>
        <v>0</v>
      </c>
      <c r="B174" s="4">
        <f>B$34</f>
        <v>0</v>
      </c>
    </row>
    <row r="175" spans="1:8" x14ac:dyDescent="0.25">
      <c r="A175" s="4" t="str">
        <f ca="1">INDIRECT(G175)</f>
        <v>pins_mode</v>
      </c>
      <c r="B175" s="4" t="str">
        <f ca="1">INDIRECT(H175)</f>
        <v>0x0000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0x0000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3">INDIRECT(H177)</f>
        <v>0x0000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4">INDIRECT(G178)</f>
        <v>#pins_int</v>
      </c>
      <c r="B178" s="4" t="str">
        <f t="shared" ca="1" si="53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4"/>
        <v>#pins_def_val</v>
      </c>
      <c r="B179" s="4" t="str">
        <f t="shared" ca="1" si="53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#RadioCard_GNSS_L1_Exp1:etap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>
        <f>A$33</f>
        <v>0</v>
      </c>
      <c r="B193" s="4">
        <f>B$33</f>
        <v>0</v>
      </c>
      <c r="H193" t="str">
        <f>ADDRESS(1,F192)</f>
        <v>$M$1</v>
      </c>
    </row>
    <row r="194" spans="1:8" x14ac:dyDescent="0.25">
      <c r="A194" s="4">
        <f>A$34</f>
        <v>0</v>
      </c>
      <c r="B194" s="4">
        <f>B$34</f>
        <v>0</v>
      </c>
    </row>
    <row r="195" spans="1:8" x14ac:dyDescent="0.25">
      <c r="A195" s="4" t="str">
        <f ca="1">INDIRECT(G195)</f>
        <v>pins_mode</v>
      </c>
      <c r="B195" s="4" t="str">
        <f ca="1">INDIRECT(H195)</f>
        <v>0x0000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0x0000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5">INDIRECT(H197)</f>
        <v>0x0000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6">INDIRECT(G198)</f>
        <v>#pins_int</v>
      </c>
      <c r="B198" s="4" t="str">
        <f t="shared" ca="1" si="55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6"/>
        <v>#pins_def_val</v>
      </c>
      <c r="B199" s="4" t="str">
        <f t="shared" ca="1" si="55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#RadioCard_GNSS_L1_Exp1:etap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>
        <f>A$33</f>
        <v>0</v>
      </c>
      <c r="B213" s="4">
        <f>B$33</f>
        <v>0</v>
      </c>
      <c r="H213" t="str">
        <f>ADDRESS(1,F212)</f>
        <v>$N$1</v>
      </c>
    </row>
    <row r="214" spans="1:8" x14ac:dyDescent="0.25">
      <c r="A214" s="4">
        <f>A$34</f>
        <v>0</v>
      </c>
      <c r="B214" s="4">
        <f>B$34</f>
        <v>0</v>
      </c>
    </row>
    <row r="215" spans="1:8" x14ac:dyDescent="0.25">
      <c r="A215" s="4" t="str">
        <f ca="1">INDIRECT(G215)</f>
        <v>pins_mode</v>
      </c>
      <c r="B215" s="4" t="str">
        <f ca="1">INDIRECT(H215)</f>
        <v>0x0000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0x0000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7">INDIRECT(H217)</f>
        <v>0x0000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8">INDIRECT(G218)</f>
        <v>#pins_int</v>
      </c>
      <c r="B218" s="4" t="str">
        <f t="shared" ca="1" si="57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8"/>
        <v>#pins_def_val</v>
      </c>
      <c r="B219" s="4" t="str">
        <f t="shared" ca="1" si="57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#RadioCard_GNSS_L1_Exp1:etap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>
        <f>A$33</f>
        <v>0</v>
      </c>
      <c r="B233" s="4">
        <f>B$33</f>
        <v>0</v>
      </c>
      <c r="H233" t="str">
        <f>ADDRESS(1,F232)</f>
        <v>$O$1</v>
      </c>
    </row>
    <row r="234" spans="1:8" x14ac:dyDescent="0.25">
      <c r="A234" s="4">
        <f>A$34</f>
        <v>0</v>
      </c>
      <c r="B234" s="4">
        <f>B$34</f>
        <v>0</v>
      </c>
    </row>
    <row r="235" spans="1:8" x14ac:dyDescent="0.25">
      <c r="A235" s="4" t="str">
        <f ca="1">INDIRECT(G235)</f>
        <v>pins_mode</v>
      </c>
      <c r="B235" s="4" t="str">
        <f ca="1">INDIRECT(H235)</f>
        <v>0x0000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0x0000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59">INDIRECT(H237)</f>
        <v>0x0000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0">INDIRECT(G238)</f>
        <v>#pins_int</v>
      </c>
      <c r="B238" s="4" t="str">
        <f t="shared" ca="1" si="59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0"/>
        <v>#pins_def_val</v>
      </c>
      <c r="B239" s="4" t="str">
        <f t="shared" ca="1" si="59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1" priority="1" stopIfTrue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45"/>
  <sheetViews>
    <sheetView workbookViewId="0">
      <selection activeCell="C34" sqref="C34"/>
    </sheetView>
  </sheetViews>
  <sheetFormatPr defaultRowHeight="15" x14ac:dyDescent="0.25"/>
  <cols>
    <col min="1" max="1" width="18.5703125" customWidth="1"/>
    <col min="3" max="3" width="23.42578125" bestFit="1" customWidth="1"/>
    <col min="4" max="4" width="47.42578125" bestFit="1" customWidth="1"/>
    <col min="17" max="17" width="13.140625" customWidth="1"/>
    <col min="18" max="27" width="10.85546875" customWidth="1"/>
    <col min="29" max="29" width="13" customWidth="1"/>
    <col min="30" max="40" width="12.42578125" customWidth="1"/>
    <col min="41" max="52" width="12" customWidth="1"/>
    <col min="53" max="53" width="18.42578125" customWidth="1"/>
    <col min="54" max="54" width="21" customWidth="1"/>
    <col min="55" max="55" width="15.7109375" customWidth="1"/>
  </cols>
  <sheetData>
    <row r="1" spans="1:63" ht="30" x14ac:dyDescent="0.25">
      <c r="A1" s="2"/>
      <c r="B1" s="1"/>
      <c r="C1" s="1" t="s">
        <v>44</v>
      </c>
      <c r="D1" s="1" t="s">
        <v>22</v>
      </c>
      <c r="E1" s="1" t="s">
        <v>2</v>
      </c>
      <c r="F1" s="1" t="s">
        <v>21</v>
      </c>
      <c r="G1" s="1" t="s">
        <v>19</v>
      </c>
      <c r="H1" s="1" t="s">
        <v>41</v>
      </c>
      <c r="I1" s="1" t="s">
        <v>409</v>
      </c>
      <c r="J1" s="1" t="s">
        <v>410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/>
      <c r="Q1" s="1" t="s">
        <v>38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C1" s="1" t="s">
        <v>39</v>
      </c>
      <c r="AD1" s="1" t="s">
        <v>280</v>
      </c>
      <c r="AE1" s="1" t="s">
        <v>281</v>
      </c>
      <c r="AF1" s="1" t="s">
        <v>282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/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317</v>
      </c>
      <c r="AZ1" s="1"/>
      <c r="BA1" s="1" t="s">
        <v>40</v>
      </c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s="10" customFormat="1" x14ac:dyDescent="0.25">
      <c r="A2" s="11"/>
      <c r="B2" s="10" t="s">
        <v>290</v>
      </c>
      <c r="C2" s="10" t="s">
        <v>381</v>
      </c>
      <c r="D2" t="s">
        <v>396</v>
      </c>
      <c r="E2" s="10">
        <v>0</v>
      </c>
      <c r="F2" s="10">
        <v>0</v>
      </c>
      <c r="G2" s="10">
        <v>0</v>
      </c>
      <c r="H2" s="10">
        <v>1</v>
      </c>
      <c r="I2" s="10">
        <f t="shared" ref="H2:O9" si="0">H2</f>
        <v>1</v>
      </c>
      <c r="J2" s="10">
        <f t="shared" si="0"/>
        <v>1</v>
      </c>
      <c r="K2" s="10">
        <f t="shared" si="0"/>
        <v>1</v>
      </c>
      <c r="L2" s="10">
        <f t="shared" si="0"/>
        <v>1</v>
      </c>
      <c r="M2" s="10">
        <f t="shared" si="0"/>
        <v>1</v>
      </c>
      <c r="N2" s="10">
        <f t="shared" si="0"/>
        <v>1</v>
      </c>
      <c r="O2" s="10">
        <f t="shared" si="0"/>
        <v>1</v>
      </c>
      <c r="Q2" s="10">
        <v>0</v>
      </c>
      <c r="R2" s="10">
        <f>Q2</f>
        <v>0</v>
      </c>
      <c r="S2" s="10">
        <f t="shared" ref="S2:AA2" si="1">R2</f>
        <v>0</v>
      </c>
      <c r="T2" s="10">
        <f t="shared" si="1"/>
        <v>0</v>
      </c>
      <c r="U2" s="10">
        <f t="shared" si="1"/>
        <v>0</v>
      </c>
      <c r="V2" s="10">
        <f t="shared" si="1"/>
        <v>0</v>
      </c>
      <c r="W2" s="10">
        <f t="shared" si="1"/>
        <v>0</v>
      </c>
      <c r="X2" s="10">
        <f t="shared" si="1"/>
        <v>0</v>
      </c>
      <c r="Y2" s="10">
        <f t="shared" si="1"/>
        <v>0</v>
      </c>
      <c r="Z2" s="10">
        <f t="shared" si="1"/>
        <v>0</v>
      </c>
      <c r="AA2" s="10">
        <f t="shared" si="1"/>
        <v>0</v>
      </c>
      <c r="AC2" s="10">
        <v>0</v>
      </c>
      <c r="AD2" s="10">
        <f>AC2</f>
        <v>0</v>
      </c>
      <c r="AE2" s="10">
        <f t="shared" ref="AE2:AM2" si="2">AD2</f>
        <v>0</v>
      </c>
      <c r="AF2" s="10">
        <f t="shared" si="2"/>
        <v>0</v>
      </c>
      <c r="AG2" s="10">
        <f t="shared" si="2"/>
        <v>0</v>
      </c>
      <c r="AH2" s="10">
        <f t="shared" si="2"/>
        <v>0</v>
      </c>
      <c r="AI2" s="10">
        <f t="shared" si="2"/>
        <v>0</v>
      </c>
      <c r="AJ2" s="10">
        <f t="shared" si="2"/>
        <v>0</v>
      </c>
      <c r="AK2" s="10">
        <f t="shared" si="2"/>
        <v>0</v>
      </c>
      <c r="AL2" s="10">
        <f t="shared" si="2"/>
        <v>0</v>
      </c>
      <c r="AM2" s="10">
        <f t="shared" si="2"/>
        <v>0</v>
      </c>
      <c r="AO2" s="10">
        <v>0</v>
      </c>
      <c r="AP2" s="10">
        <f>AO2</f>
        <v>0</v>
      </c>
      <c r="AQ2" s="10">
        <f t="shared" ref="AQ2:AY2" si="3">AP2</f>
        <v>0</v>
      </c>
      <c r="AR2" s="10">
        <f t="shared" si="3"/>
        <v>0</v>
      </c>
      <c r="AS2" s="10">
        <f t="shared" si="3"/>
        <v>0</v>
      </c>
      <c r="AT2" s="10">
        <f t="shared" si="3"/>
        <v>0</v>
      </c>
      <c r="AU2" s="10">
        <f t="shared" si="3"/>
        <v>0</v>
      </c>
      <c r="AV2" s="10">
        <f t="shared" si="3"/>
        <v>0</v>
      </c>
      <c r="AW2" s="10">
        <f t="shared" si="3"/>
        <v>0</v>
      </c>
      <c r="AX2" s="10">
        <f t="shared" si="3"/>
        <v>0</v>
      </c>
      <c r="AY2" s="10">
        <f t="shared" si="3"/>
        <v>0</v>
      </c>
      <c r="BA2" s="10">
        <v>0</v>
      </c>
      <c r="BB2" s="10">
        <f>BA2</f>
        <v>0</v>
      </c>
      <c r="BC2" s="10">
        <f t="shared" ref="BC2:BK2" si="4">BB2</f>
        <v>0</v>
      </c>
      <c r="BD2" s="10">
        <f t="shared" si="4"/>
        <v>0</v>
      </c>
      <c r="BE2" s="10">
        <f t="shared" si="4"/>
        <v>0</v>
      </c>
      <c r="BF2" s="10">
        <f t="shared" si="4"/>
        <v>0</v>
      </c>
      <c r="BG2" s="10">
        <f t="shared" si="4"/>
        <v>0</v>
      </c>
      <c r="BH2" s="10">
        <f t="shared" si="4"/>
        <v>0</v>
      </c>
      <c r="BI2" s="10">
        <f t="shared" si="4"/>
        <v>0</v>
      </c>
      <c r="BJ2" s="10">
        <f t="shared" si="4"/>
        <v>0</v>
      </c>
      <c r="BK2" s="10">
        <f t="shared" si="4"/>
        <v>0</v>
      </c>
    </row>
    <row r="3" spans="1:63" s="10" customFormat="1" x14ac:dyDescent="0.25">
      <c r="A3" s="11"/>
      <c r="B3" s="10" t="s">
        <v>291</v>
      </c>
      <c r="C3" s="10" t="s">
        <v>382</v>
      </c>
      <c r="D3" t="s">
        <v>397</v>
      </c>
      <c r="E3" s="10">
        <v>0</v>
      </c>
      <c r="F3" s="10">
        <v>0</v>
      </c>
      <c r="G3" s="10">
        <v>1</v>
      </c>
      <c r="H3" s="10">
        <f t="shared" ref="H3" si="5">G3</f>
        <v>1</v>
      </c>
      <c r="I3" s="10">
        <f t="shared" si="0"/>
        <v>1</v>
      </c>
      <c r="J3" s="10">
        <f t="shared" si="0"/>
        <v>1</v>
      </c>
      <c r="K3" s="10">
        <f t="shared" si="0"/>
        <v>1</v>
      </c>
      <c r="L3" s="10">
        <f t="shared" si="0"/>
        <v>1</v>
      </c>
      <c r="M3" s="10">
        <f t="shared" si="0"/>
        <v>1</v>
      </c>
      <c r="N3" s="10">
        <f t="shared" si="0"/>
        <v>1</v>
      </c>
      <c r="O3" s="10">
        <f t="shared" si="0"/>
        <v>1</v>
      </c>
      <c r="Q3" s="10">
        <v>0</v>
      </c>
      <c r="R3" s="10">
        <f t="shared" ref="R3:AA9" si="6">Q3</f>
        <v>0</v>
      </c>
      <c r="S3" s="10">
        <f t="shared" si="6"/>
        <v>0</v>
      </c>
      <c r="T3" s="10">
        <f t="shared" si="6"/>
        <v>0</v>
      </c>
      <c r="U3" s="10">
        <f t="shared" si="6"/>
        <v>0</v>
      </c>
      <c r="V3" s="10">
        <f t="shared" si="6"/>
        <v>0</v>
      </c>
      <c r="W3" s="10">
        <f t="shared" si="6"/>
        <v>0</v>
      </c>
      <c r="X3" s="10">
        <f t="shared" si="6"/>
        <v>0</v>
      </c>
      <c r="Y3" s="10">
        <f t="shared" si="6"/>
        <v>0</v>
      </c>
      <c r="Z3" s="10">
        <f t="shared" si="6"/>
        <v>0</v>
      </c>
      <c r="AA3" s="10">
        <f t="shared" si="6"/>
        <v>0</v>
      </c>
      <c r="AC3" s="10">
        <v>0</v>
      </c>
      <c r="AD3" s="10">
        <f t="shared" ref="AD3:AM9" si="7">AC3</f>
        <v>0</v>
      </c>
      <c r="AE3" s="10">
        <f t="shared" si="7"/>
        <v>0</v>
      </c>
      <c r="AF3" s="10">
        <f t="shared" si="7"/>
        <v>0</v>
      </c>
      <c r="AG3" s="10">
        <f t="shared" si="7"/>
        <v>0</v>
      </c>
      <c r="AH3" s="10">
        <f t="shared" si="7"/>
        <v>0</v>
      </c>
      <c r="AI3" s="10">
        <f t="shared" si="7"/>
        <v>0</v>
      </c>
      <c r="AJ3" s="10">
        <f t="shared" si="7"/>
        <v>0</v>
      </c>
      <c r="AK3" s="10">
        <f t="shared" si="7"/>
        <v>0</v>
      </c>
      <c r="AL3" s="10">
        <f t="shared" si="7"/>
        <v>0</v>
      </c>
      <c r="AM3" s="10">
        <f t="shared" si="7"/>
        <v>0</v>
      </c>
      <c r="AO3" s="10">
        <v>0</v>
      </c>
      <c r="AP3" s="10">
        <f t="shared" ref="AP3:AY9" si="8">AO3</f>
        <v>0</v>
      </c>
      <c r="AQ3" s="10">
        <f t="shared" si="8"/>
        <v>0</v>
      </c>
      <c r="AR3" s="10">
        <f t="shared" si="8"/>
        <v>0</v>
      </c>
      <c r="AS3" s="10">
        <f t="shared" si="8"/>
        <v>0</v>
      </c>
      <c r="AT3" s="10">
        <f t="shared" si="8"/>
        <v>0</v>
      </c>
      <c r="AU3" s="10">
        <f t="shared" si="8"/>
        <v>0</v>
      </c>
      <c r="AV3" s="10">
        <f t="shared" si="8"/>
        <v>0</v>
      </c>
      <c r="AW3" s="10">
        <f t="shared" si="8"/>
        <v>0</v>
      </c>
      <c r="AX3" s="10">
        <f t="shared" si="8"/>
        <v>0</v>
      </c>
      <c r="AY3" s="10">
        <f t="shared" si="8"/>
        <v>0</v>
      </c>
      <c r="BA3" s="10">
        <v>0</v>
      </c>
      <c r="BB3" s="10">
        <f t="shared" ref="BB3:BK9" si="9">BA3</f>
        <v>0</v>
      </c>
      <c r="BC3" s="10">
        <f t="shared" si="9"/>
        <v>0</v>
      </c>
      <c r="BD3" s="10">
        <f t="shared" si="9"/>
        <v>0</v>
      </c>
      <c r="BE3" s="10">
        <f t="shared" si="9"/>
        <v>0</v>
      </c>
      <c r="BF3" s="10">
        <f t="shared" si="9"/>
        <v>0</v>
      </c>
      <c r="BG3" s="10">
        <f t="shared" si="9"/>
        <v>0</v>
      </c>
      <c r="BH3" s="10">
        <f t="shared" si="9"/>
        <v>0</v>
      </c>
      <c r="BI3" s="10">
        <f t="shared" si="9"/>
        <v>0</v>
      </c>
      <c r="BJ3" s="10">
        <f t="shared" si="9"/>
        <v>0</v>
      </c>
      <c r="BK3" s="10">
        <f t="shared" si="9"/>
        <v>0</v>
      </c>
    </row>
    <row r="4" spans="1:63" s="10" customFormat="1" x14ac:dyDescent="0.25">
      <c r="A4" s="11"/>
      <c r="B4" s="10" t="s">
        <v>292</v>
      </c>
      <c r="C4" s="10" t="s">
        <v>383</v>
      </c>
      <c r="D4" t="s">
        <v>398</v>
      </c>
      <c r="E4" s="10">
        <v>0</v>
      </c>
      <c r="F4" s="10">
        <v>0</v>
      </c>
      <c r="G4" s="10">
        <v>0</v>
      </c>
      <c r="H4" s="10">
        <f t="shared" si="0"/>
        <v>0</v>
      </c>
      <c r="I4" s="10">
        <f t="shared" si="0"/>
        <v>0</v>
      </c>
      <c r="J4" s="10">
        <f t="shared" si="0"/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10">
        <f t="shared" si="0"/>
        <v>0</v>
      </c>
      <c r="O4" s="10">
        <f t="shared" si="0"/>
        <v>0</v>
      </c>
      <c r="Q4" s="10">
        <v>1</v>
      </c>
      <c r="R4" s="10">
        <f t="shared" si="6"/>
        <v>1</v>
      </c>
      <c r="S4" s="10">
        <f t="shared" si="6"/>
        <v>1</v>
      </c>
      <c r="T4" s="10">
        <f t="shared" si="6"/>
        <v>1</v>
      </c>
      <c r="U4" s="10">
        <f t="shared" si="6"/>
        <v>1</v>
      </c>
      <c r="V4" s="10">
        <f t="shared" si="6"/>
        <v>1</v>
      </c>
      <c r="W4" s="10">
        <f t="shared" si="6"/>
        <v>1</v>
      </c>
      <c r="X4" s="10">
        <f t="shared" si="6"/>
        <v>1</v>
      </c>
      <c r="Y4" s="10">
        <f t="shared" si="6"/>
        <v>1</v>
      </c>
      <c r="Z4" s="10">
        <f t="shared" si="6"/>
        <v>1</v>
      </c>
      <c r="AA4" s="10">
        <f t="shared" si="6"/>
        <v>1</v>
      </c>
      <c r="AC4" s="10">
        <v>0</v>
      </c>
      <c r="AD4" s="10">
        <f t="shared" si="7"/>
        <v>0</v>
      </c>
      <c r="AE4" s="10">
        <f t="shared" si="7"/>
        <v>0</v>
      </c>
      <c r="AF4" s="10">
        <f t="shared" si="7"/>
        <v>0</v>
      </c>
      <c r="AG4" s="10">
        <f t="shared" si="7"/>
        <v>0</v>
      </c>
      <c r="AH4" s="10">
        <f t="shared" si="7"/>
        <v>0</v>
      </c>
      <c r="AI4" s="10">
        <f t="shared" si="7"/>
        <v>0</v>
      </c>
      <c r="AJ4" s="10">
        <f t="shared" si="7"/>
        <v>0</v>
      </c>
      <c r="AK4" s="10">
        <f t="shared" si="7"/>
        <v>0</v>
      </c>
      <c r="AL4" s="10">
        <f t="shared" si="7"/>
        <v>0</v>
      </c>
      <c r="AM4" s="10">
        <f t="shared" si="7"/>
        <v>0</v>
      </c>
      <c r="AO4" s="10">
        <v>0</v>
      </c>
      <c r="AP4" s="10">
        <f t="shared" si="8"/>
        <v>0</v>
      </c>
      <c r="AQ4" s="10">
        <f t="shared" si="8"/>
        <v>0</v>
      </c>
      <c r="AR4" s="10">
        <f t="shared" si="8"/>
        <v>0</v>
      </c>
      <c r="AS4" s="10">
        <f t="shared" si="8"/>
        <v>0</v>
      </c>
      <c r="AT4" s="10">
        <f t="shared" si="8"/>
        <v>0</v>
      </c>
      <c r="AU4" s="10">
        <f t="shared" si="8"/>
        <v>0</v>
      </c>
      <c r="AV4" s="10">
        <f t="shared" si="8"/>
        <v>0</v>
      </c>
      <c r="AW4" s="10">
        <f t="shared" si="8"/>
        <v>0</v>
      </c>
      <c r="AX4" s="10">
        <f t="shared" si="8"/>
        <v>0</v>
      </c>
      <c r="AY4" s="10">
        <f t="shared" si="8"/>
        <v>0</v>
      </c>
      <c r="BA4" s="10">
        <v>0</v>
      </c>
      <c r="BB4" s="10">
        <f t="shared" si="9"/>
        <v>0</v>
      </c>
      <c r="BC4" s="10">
        <f t="shared" si="9"/>
        <v>0</v>
      </c>
      <c r="BD4" s="10">
        <f t="shared" si="9"/>
        <v>0</v>
      </c>
      <c r="BE4" s="10">
        <f t="shared" si="9"/>
        <v>0</v>
      </c>
      <c r="BF4" s="10">
        <f t="shared" si="9"/>
        <v>0</v>
      </c>
      <c r="BG4" s="10">
        <f t="shared" si="9"/>
        <v>0</v>
      </c>
      <c r="BH4" s="10">
        <f t="shared" si="9"/>
        <v>0</v>
      </c>
      <c r="BI4" s="10">
        <f t="shared" si="9"/>
        <v>0</v>
      </c>
      <c r="BJ4" s="10">
        <f t="shared" si="9"/>
        <v>0</v>
      </c>
      <c r="BK4" s="10">
        <f t="shared" si="9"/>
        <v>0</v>
      </c>
    </row>
    <row r="5" spans="1:63" s="10" customFormat="1" x14ac:dyDescent="0.25">
      <c r="A5" s="11"/>
      <c r="B5" s="10" t="s">
        <v>293</v>
      </c>
      <c r="C5" s="10" t="s">
        <v>384</v>
      </c>
      <c r="D5" t="s">
        <v>399</v>
      </c>
      <c r="E5" s="10">
        <v>0</v>
      </c>
      <c r="F5" s="10">
        <v>0</v>
      </c>
      <c r="G5" s="10">
        <v>0</v>
      </c>
      <c r="H5" s="10">
        <f t="shared" si="0"/>
        <v>0</v>
      </c>
      <c r="I5" s="10">
        <f t="shared" si="0"/>
        <v>0</v>
      </c>
      <c r="J5" s="10">
        <f t="shared" si="0"/>
        <v>0</v>
      </c>
      <c r="K5" s="10">
        <f t="shared" si="0"/>
        <v>0</v>
      </c>
      <c r="L5" s="10">
        <f t="shared" si="0"/>
        <v>0</v>
      </c>
      <c r="M5" s="10">
        <f t="shared" si="0"/>
        <v>0</v>
      </c>
      <c r="N5" s="10">
        <f t="shared" si="0"/>
        <v>0</v>
      </c>
      <c r="O5" s="10">
        <f t="shared" si="0"/>
        <v>0</v>
      </c>
      <c r="Q5" s="10">
        <v>1</v>
      </c>
      <c r="R5" s="10">
        <f t="shared" si="6"/>
        <v>1</v>
      </c>
      <c r="S5" s="10">
        <f t="shared" si="6"/>
        <v>1</v>
      </c>
      <c r="T5" s="10">
        <f t="shared" si="6"/>
        <v>1</v>
      </c>
      <c r="U5" s="10">
        <f t="shared" si="6"/>
        <v>1</v>
      </c>
      <c r="V5" s="10">
        <f t="shared" si="6"/>
        <v>1</v>
      </c>
      <c r="W5" s="10">
        <f t="shared" si="6"/>
        <v>1</v>
      </c>
      <c r="X5" s="10">
        <f t="shared" si="6"/>
        <v>1</v>
      </c>
      <c r="Y5" s="10">
        <f t="shared" si="6"/>
        <v>1</v>
      </c>
      <c r="Z5" s="10">
        <f t="shared" si="6"/>
        <v>1</v>
      </c>
      <c r="AA5" s="10">
        <f t="shared" si="6"/>
        <v>1</v>
      </c>
      <c r="AC5" s="10">
        <v>1</v>
      </c>
      <c r="AD5" s="10">
        <f t="shared" si="7"/>
        <v>1</v>
      </c>
      <c r="AE5" s="10">
        <f t="shared" si="7"/>
        <v>1</v>
      </c>
      <c r="AF5" s="10">
        <f t="shared" si="7"/>
        <v>1</v>
      </c>
      <c r="AG5" s="10">
        <f t="shared" si="7"/>
        <v>1</v>
      </c>
      <c r="AH5" s="10">
        <f t="shared" si="7"/>
        <v>1</v>
      </c>
      <c r="AI5" s="10">
        <f t="shared" si="7"/>
        <v>1</v>
      </c>
      <c r="AJ5" s="10">
        <f t="shared" si="7"/>
        <v>1</v>
      </c>
      <c r="AK5" s="10">
        <f t="shared" si="7"/>
        <v>1</v>
      </c>
      <c r="AL5" s="10">
        <f t="shared" si="7"/>
        <v>1</v>
      </c>
      <c r="AM5" s="10">
        <f t="shared" si="7"/>
        <v>1</v>
      </c>
      <c r="AO5" s="10">
        <v>0</v>
      </c>
      <c r="AP5" s="10">
        <f t="shared" si="8"/>
        <v>0</v>
      </c>
      <c r="AQ5" s="10">
        <f t="shared" si="8"/>
        <v>0</v>
      </c>
      <c r="AR5" s="10">
        <f t="shared" si="8"/>
        <v>0</v>
      </c>
      <c r="AS5" s="10">
        <f t="shared" si="8"/>
        <v>0</v>
      </c>
      <c r="AT5" s="10">
        <f t="shared" si="8"/>
        <v>0</v>
      </c>
      <c r="AU5" s="10">
        <f t="shared" si="8"/>
        <v>0</v>
      </c>
      <c r="AV5" s="10">
        <f t="shared" si="8"/>
        <v>0</v>
      </c>
      <c r="AW5" s="10">
        <f t="shared" si="8"/>
        <v>0</v>
      </c>
      <c r="AX5" s="10">
        <f t="shared" si="8"/>
        <v>0</v>
      </c>
      <c r="AY5" s="10">
        <f t="shared" si="8"/>
        <v>0</v>
      </c>
      <c r="BA5" s="10">
        <v>0</v>
      </c>
      <c r="BB5" s="10">
        <f t="shared" si="9"/>
        <v>0</v>
      </c>
      <c r="BC5" s="10">
        <f t="shared" si="9"/>
        <v>0</v>
      </c>
      <c r="BD5" s="10">
        <f t="shared" si="9"/>
        <v>0</v>
      </c>
      <c r="BE5" s="10">
        <f t="shared" si="9"/>
        <v>0</v>
      </c>
      <c r="BF5" s="10">
        <f t="shared" si="9"/>
        <v>0</v>
      </c>
      <c r="BG5" s="10">
        <f t="shared" si="9"/>
        <v>0</v>
      </c>
      <c r="BH5" s="10">
        <f t="shared" si="9"/>
        <v>0</v>
      </c>
      <c r="BI5" s="10">
        <f t="shared" si="9"/>
        <v>0</v>
      </c>
      <c r="BJ5" s="10">
        <f t="shared" si="9"/>
        <v>0</v>
      </c>
      <c r="BK5" s="10">
        <f t="shared" si="9"/>
        <v>0</v>
      </c>
    </row>
    <row r="6" spans="1:63" s="10" customFormat="1" x14ac:dyDescent="0.25">
      <c r="A6" s="11"/>
      <c r="B6" s="10" t="s">
        <v>294</v>
      </c>
      <c r="C6" s="10" t="s">
        <v>385</v>
      </c>
      <c r="D6" t="s">
        <v>400</v>
      </c>
      <c r="E6" s="10">
        <v>0</v>
      </c>
      <c r="F6" s="10">
        <v>0</v>
      </c>
      <c r="G6" s="10">
        <v>1</v>
      </c>
      <c r="H6" s="10">
        <v>1</v>
      </c>
      <c r="I6" s="10">
        <f t="shared" si="0"/>
        <v>1</v>
      </c>
      <c r="J6" s="10">
        <v>0</v>
      </c>
      <c r="K6" s="10"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Q6" s="10">
        <v>0</v>
      </c>
      <c r="R6" s="10">
        <f t="shared" si="6"/>
        <v>0</v>
      </c>
      <c r="S6" s="10">
        <f t="shared" si="6"/>
        <v>0</v>
      </c>
      <c r="T6" s="10">
        <f t="shared" si="6"/>
        <v>0</v>
      </c>
      <c r="U6" s="10">
        <f t="shared" si="6"/>
        <v>0</v>
      </c>
      <c r="V6" s="10">
        <f t="shared" si="6"/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C6" s="10"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7"/>
        <v>0</v>
      </c>
      <c r="AI6" s="10">
        <f t="shared" si="7"/>
        <v>0</v>
      </c>
      <c r="AJ6" s="10">
        <f t="shared" si="7"/>
        <v>0</v>
      </c>
      <c r="AK6" s="10">
        <f t="shared" si="7"/>
        <v>0</v>
      </c>
      <c r="AL6" s="10">
        <f t="shared" si="7"/>
        <v>0</v>
      </c>
      <c r="AM6" s="10">
        <f t="shared" si="7"/>
        <v>0</v>
      </c>
      <c r="AO6" s="10">
        <v>0</v>
      </c>
      <c r="AP6" s="10">
        <f t="shared" si="8"/>
        <v>0</v>
      </c>
      <c r="AQ6" s="10">
        <f t="shared" si="8"/>
        <v>0</v>
      </c>
      <c r="AR6" s="10">
        <f t="shared" si="8"/>
        <v>0</v>
      </c>
      <c r="AS6" s="10">
        <f t="shared" si="8"/>
        <v>0</v>
      </c>
      <c r="AT6" s="10">
        <f t="shared" si="8"/>
        <v>0</v>
      </c>
      <c r="AU6" s="10">
        <f t="shared" si="8"/>
        <v>0</v>
      </c>
      <c r="AV6" s="10">
        <f t="shared" si="8"/>
        <v>0</v>
      </c>
      <c r="AW6" s="10">
        <f t="shared" si="8"/>
        <v>0</v>
      </c>
      <c r="AX6" s="10">
        <f t="shared" si="8"/>
        <v>0</v>
      </c>
      <c r="AY6" s="10">
        <f t="shared" si="8"/>
        <v>0</v>
      </c>
      <c r="BA6" s="10">
        <v>0</v>
      </c>
      <c r="BB6" s="10">
        <f t="shared" si="9"/>
        <v>0</v>
      </c>
      <c r="BC6" s="10">
        <f t="shared" si="9"/>
        <v>0</v>
      </c>
      <c r="BD6" s="10">
        <f t="shared" si="9"/>
        <v>0</v>
      </c>
      <c r="BE6" s="10">
        <f t="shared" si="9"/>
        <v>0</v>
      </c>
      <c r="BF6" s="10">
        <f t="shared" si="9"/>
        <v>0</v>
      </c>
      <c r="BG6" s="10">
        <f t="shared" si="9"/>
        <v>0</v>
      </c>
      <c r="BH6" s="10">
        <f t="shared" si="9"/>
        <v>0</v>
      </c>
      <c r="BI6" s="10">
        <f t="shared" si="9"/>
        <v>0</v>
      </c>
      <c r="BJ6" s="10">
        <f t="shared" si="9"/>
        <v>0</v>
      </c>
      <c r="BK6" s="10">
        <f t="shared" si="9"/>
        <v>0</v>
      </c>
    </row>
    <row r="7" spans="1:63" s="10" customFormat="1" x14ac:dyDescent="0.25">
      <c r="A7" s="11"/>
      <c r="B7" s="10" t="s">
        <v>295</v>
      </c>
      <c r="C7" s="10" t="s">
        <v>386</v>
      </c>
      <c r="D7" t="s">
        <v>401</v>
      </c>
      <c r="E7" s="10">
        <v>0</v>
      </c>
      <c r="F7" s="10">
        <v>0</v>
      </c>
      <c r="G7" s="10">
        <v>1</v>
      </c>
      <c r="H7" s="10">
        <v>1</v>
      </c>
      <c r="I7" s="10">
        <v>0</v>
      </c>
      <c r="J7" s="10">
        <v>1</v>
      </c>
      <c r="K7" s="10">
        <f t="shared" si="0"/>
        <v>1</v>
      </c>
      <c r="L7" s="10">
        <f t="shared" si="0"/>
        <v>1</v>
      </c>
      <c r="M7" s="10">
        <f t="shared" si="0"/>
        <v>1</v>
      </c>
      <c r="N7" s="10">
        <f t="shared" si="0"/>
        <v>1</v>
      </c>
      <c r="O7" s="10">
        <f t="shared" si="0"/>
        <v>1</v>
      </c>
      <c r="Q7" s="10">
        <v>0</v>
      </c>
      <c r="R7" s="10">
        <f t="shared" si="6"/>
        <v>0</v>
      </c>
      <c r="S7" s="10">
        <f t="shared" si="6"/>
        <v>0</v>
      </c>
      <c r="T7" s="10">
        <f t="shared" si="6"/>
        <v>0</v>
      </c>
      <c r="U7" s="10">
        <f t="shared" si="6"/>
        <v>0</v>
      </c>
      <c r="V7" s="10">
        <f t="shared" si="6"/>
        <v>0</v>
      </c>
      <c r="W7" s="10">
        <f t="shared" si="6"/>
        <v>0</v>
      </c>
      <c r="X7" s="10">
        <f t="shared" si="6"/>
        <v>0</v>
      </c>
      <c r="Y7" s="10">
        <f t="shared" si="6"/>
        <v>0</v>
      </c>
      <c r="Z7" s="10">
        <f t="shared" si="6"/>
        <v>0</v>
      </c>
      <c r="AA7" s="10">
        <f t="shared" si="6"/>
        <v>0</v>
      </c>
      <c r="AC7" s="10">
        <v>0</v>
      </c>
      <c r="AD7" s="10">
        <f t="shared" si="7"/>
        <v>0</v>
      </c>
      <c r="AE7" s="10">
        <f t="shared" si="7"/>
        <v>0</v>
      </c>
      <c r="AF7" s="10">
        <f t="shared" si="7"/>
        <v>0</v>
      </c>
      <c r="AG7" s="10">
        <f t="shared" si="7"/>
        <v>0</v>
      </c>
      <c r="AH7" s="10">
        <f t="shared" si="7"/>
        <v>0</v>
      </c>
      <c r="AI7" s="10">
        <f t="shared" si="7"/>
        <v>0</v>
      </c>
      <c r="AJ7" s="10">
        <f t="shared" si="7"/>
        <v>0</v>
      </c>
      <c r="AK7" s="10">
        <f t="shared" si="7"/>
        <v>0</v>
      </c>
      <c r="AL7" s="10">
        <f t="shared" si="7"/>
        <v>0</v>
      </c>
      <c r="AM7" s="10">
        <f t="shared" si="7"/>
        <v>0</v>
      </c>
      <c r="AO7" s="10">
        <v>0</v>
      </c>
      <c r="AP7" s="10">
        <f t="shared" si="8"/>
        <v>0</v>
      </c>
      <c r="AQ7" s="10">
        <f t="shared" si="8"/>
        <v>0</v>
      </c>
      <c r="AR7" s="10">
        <f t="shared" si="8"/>
        <v>0</v>
      </c>
      <c r="AS7" s="10">
        <f t="shared" si="8"/>
        <v>0</v>
      </c>
      <c r="AT7" s="10">
        <f t="shared" si="8"/>
        <v>0</v>
      </c>
      <c r="AU7" s="10">
        <f t="shared" si="8"/>
        <v>0</v>
      </c>
      <c r="AV7" s="10">
        <f t="shared" si="8"/>
        <v>0</v>
      </c>
      <c r="AW7" s="10">
        <f t="shared" si="8"/>
        <v>0</v>
      </c>
      <c r="AX7" s="10">
        <f t="shared" si="8"/>
        <v>0</v>
      </c>
      <c r="AY7" s="10">
        <f t="shared" si="8"/>
        <v>0</v>
      </c>
      <c r="BA7" s="10">
        <v>0</v>
      </c>
      <c r="BB7" s="10">
        <f t="shared" si="9"/>
        <v>0</v>
      </c>
      <c r="BC7" s="10">
        <f t="shared" si="9"/>
        <v>0</v>
      </c>
      <c r="BD7" s="10">
        <f t="shared" si="9"/>
        <v>0</v>
      </c>
      <c r="BE7" s="10">
        <f t="shared" si="9"/>
        <v>0</v>
      </c>
      <c r="BF7" s="10">
        <f t="shared" si="9"/>
        <v>0</v>
      </c>
      <c r="BG7" s="10">
        <f t="shared" si="9"/>
        <v>0</v>
      </c>
      <c r="BH7" s="10">
        <f t="shared" si="9"/>
        <v>0</v>
      </c>
      <c r="BI7" s="10">
        <f t="shared" si="9"/>
        <v>0</v>
      </c>
      <c r="BJ7" s="10">
        <f t="shared" si="9"/>
        <v>0</v>
      </c>
      <c r="BK7" s="10">
        <f t="shared" si="9"/>
        <v>0</v>
      </c>
    </row>
    <row r="8" spans="1:63" s="10" customFormat="1" x14ac:dyDescent="0.25">
      <c r="A8" s="11"/>
      <c r="B8" s="10" t="s">
        <v>296</v>
      </c>
      <c r="C8" s="10" t="s">
        <v>387</v>
      </c>
      <c r="D8" t="s">
        <v>402</v>
      </c>
      <c r="E8" s="10">
        <v>0</v>
      </c>
      <c r="F8" s="10">
        <v>0</v>
      </c>
      <c r="G8" s="10"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0</v>
      </c>
      <c r="O8" s="10">
        <f t="shared" si="0"/>
        <v>0</v>
      </c>
      <c r="Q8" s="10">
        <v>0</v>
      </c>
      <c r="R8" s="10">
        <f t="shared" si="6"/>
        <v>0</v>
      </c>
      <c r="S8" s="10">
        <f t="shared" si="6"/>
        <v>0</v>
      </c>
      <c r="T8" s="10">
        <f t="shared" si="6"/>
        <v>0</v>
      </c>
      <c r="U8" s="10">
        <f t="shared" si="6"/>
        <v>0</v>
      </c>
      <c r="V8" s="10">
        <f t="shared" si="6"/>
        <v>0</v>
      </c>
      <c r="W8" s="10">
        <f t="shared" si="6"/>
        <v>0</v>
      </c>
      <c r="X8" s="10">
        <f t="shared" si="6"/>
        <v>0</v>
      </c>
      <c r="Y8" s="10">
        <f t="shared" si="6"/>
        <v>0</v>
      </c>
      <c r="Z8" s="10">
        <f t="shared" si="6"/>
        <v>0</v>
      </c>
      <c r="AA8" s="10">
        <f t="shared" si="6"/>
        <v>0</v>
      </c>
      <c r="AC8" s="10">
        <v>0</v>
      </c>
      <c r="AD8" s="10">
        <f t="shared" si="7"/>
        <v>0</v>
      </c>
      <c r="AE8" s="10">
        <f t="shared" si="7"/>
        <v>0</v>
      </c>
      <c r="AF8" s="10">
        <f t="shared" si="7"/>
        <v>0</v>
      </c>
      <c r="AG8" s="10">
        <f t="shared" si="7"/>
        <v>0</v>
      </c>
      <c r="AH8" s="10">
        <f t="shared" si="7"/>
        <v>0</v>
      </c>
      <c r="AI8" s="10">
        <f t="shared" si="7"/>
        <v>0</v>
      </c>
      <c r="AJ8" s="10">
        <f t="shared" si="7"/>
        <v>0</v>
      </c>
      <c r="AK8" s="10">
        <f t="shared" si="7"/>
        <v>0</v>
      </c>
      <c r="AL8" s="10">
        <f t="shared" si="7"/>
        <v>0</v>
      </c>
      <c r="AM8" s="10">
        <f t="shared" si="7"/>
        <v>0</v>
      </c>
      <c r="AO8" s="10">
        <v>0</v>
      </c>
      <c r="AP8" s="10">
        <f t="shared" si="8"/>
        <v>0</v>
      </c>
      <c r="AQ8" s="10">
        <f t="shared" si="8"/>
        <v>0</v>
      </c>
      <c r="AR8" s="10">
        <f t="shared" si="8"/>
        <v>0</v>
      </c>
      <c r="AS8" s="10">
        <f t="shared" si="8"/>
        <v>0</v>
      </c>
      <c r="AT8" s="10">
        <f t="shared" si="8"/>
        <v>0</v>
      </c>
      <c r="AU8" s="10">
        <f t="shared" si="8"/>
        <v>0</v>
      </c>
      <c r="AV8" s="10">
        <f t="shared" si="8"/>
        <v>0</v>
      </c>
      <c r="AW8" s="10">
        <f t="shared" si="8"/>
        <v>0</v>
      </c>
      <c r="AX8" s="10">
        <f t="shared" si="8"/>
        <v>0</v>
      </c>
      <c r="AY8" s="10">
        <f t="shared" si="8"/>
        <v>0</v>
      </c>
      <c r="BA8" s="10">
        <v>0</v>
      </c>
      <c r="BB8" s="10">
        <f t="shared" si="9"/>
        <v>0</v>
      </c>
      <c r="BC8" s="10">
        <f t="shared" si="9"/>
        <v>0</v>
      </c>
      <c r="BD8" s="10">
        <f t="shared" si="9"/>
        <v>0</v>
      </c>
      <c r="BE8" s="10">
        <f t="shared" si="9"/>
        <v>0</v>
      </c>
      <c r="BF8" s="10">
        <f t="shared" si="9"/>
        <v>0</v>
      </c>
      <c r="BG8" s="10">
        <f t="shared" si="9"/>
        <v>0</v>
      </c>
      <c r="BH8" s="10">
        <f t="shared" si="9"/>
        <v>0</v>
      </c>
      <c r="BI8" s="10">
        <f t="shared" si="9"/>
        <v>0</v>
      </c>
      <c r="BJ8" s="10">
        <f t="shared" si="9"/>
        <v>0</v>
      </c>
      <c r="BK8" s="10">
        <f t="shared" si="9"/>
        <v>0</v>
      </c>
    </row>
    <row r="9" spans="1:63" s="10" customFormat="1" x14ac:dyDescent="0.25">
      <c r="A9" s="11"/>
      <c r="B9" s="10" t="s">
        <v>297</v>
      </c>
      <c r="C9" s="10" t="s">
        <v>388</v>
      </c>
      <c r="D9" t="s">
        <v>403</v>
      </c>
      <c r="E9" s="10">
        <v>0</v>
      </c>
      <c r="F9" s="10">
        <v>0</v>
      </c>
      <c r="G9" s="10"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0</v>
      </c>
      <c r="O9" s="10">
        <f t="shared" si="0"/>
        <v>0</v>
      </c>
      <c r="Q9" s="10">
        <v>1</v>
      </c>
      <c r="R9" s="10">
        <f t="shared" si="6"/>
        <v>1</v>
      </c>
      <c r="S9" s="10">
        <f t="shared" si="6"/>
        <v>1</v>
      </c>
      <c r="T9" s="10">
        <f t="shared" si="6"/>
        <v>1</v>
      </c>
      <c r="U9" s="10">
        <f t="shared" si="6"/>
        <v>1</v>
      </c>
      <c r="V9" s="10">
        <f t="shared" si="6"/>
        <v>1</v>
      </c>
      <c r="W9" s="10">
        <f t="shared" si="6"/>
        <v>1</v>
      </c>
      <c r="X9" s="10">
        <f t="shared" si="6"/>
        <v>1</v>
      </c>
      <c r="Y9" s="10">
        <f t="shared" si="6"/>
        <v>1</v>
      </c>
      <c r="Z9" s="10">
        <f t="shared" si="6"/>
        <v>1</v>
      </c>
      <c r="AA9" s="10">
        <f t="shared" si="6"/>
        <v>1</v>
      </c>
      <c r="AC9" s="10"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7"/>
        <v>0</v>
      </c>
      <c r="AI9" s="10">
        <f t="shared" si="7"/>
        <v>0</v>
      </c>
      <c r="AJ9" s="10">
        <f t="shared" si="7"/>
        <v>0</v>
      </c>
      <c r="AK9" s="10">
        <f t="shared" si="7"/>
        <v>0</v>
      </c>
      <c r="AL9" s="10">
        <f t="shared" si="7"/>
        <v>0</v>
      </c>
      <c r="AM9" s="10">
        <f t="shared" si="7"/>
        <v>0</v>
      </c>
      <c r="AO9" s="10">
        <v>0</v>
      </c>
      <c r="AP9" s="10">
        <f t="shared" si="8"/>
        <v>0</v>
      </c>
      <c r="AQ9" s="10">
        <f t="shared" si="8"/>
        <v>0</v>
      </c>
      <c r="AR9" s="10">
        <f t="shared" si="8"/>
        <v>0</v>
      </c>
      <c r="AS9" s="10">
        <f t="shared" si="8"/>
        <v>0</v>
      </c>
      <c r="AT9" s="10">
        <f t="shared" si="8"/>
        <v>0</v>
      </c>
      <c r="AU9" s="10">
        <f t="shared" si="8"/>
        <v>0</v>
      </c>
      <c r="AV9" s="10">
        <f t="shared" si="8"/>
        <v>0</v>
      </c>
      <c r="AW9" s="10">
        <f t="shared" si="8"/>
        <v>0</v>
      </c>
      <c r="AX9" s="10">
        <f t="shared" si="8"/>
        <v>0</v>
      </c>
      <c r="AY9" s="10">
        <f t="shared" si="8"/>
        <v>0</v>
      </c>
      <c r="BA9" s="10">
        <v>0</v>
      </c>
      <c r="BB9" s="10">
        <f t="shared" si="9"/>
        <v>0</v>
      </c>
      <c r="BC9" s="10">
        <f t="shared" si="9"/>
        <v>0</v>
      </c>
      <c r="BD9" s="10">
        <f t="shared" si="9"/>
        <v>0</v>
      </c>
      <c r="BE9" s="10">
        <f t="shared" si="9"/>
        <v>0</v>
      </c>
      <c r="BF9" s="10">
        <f t="shared" si="9"/>
        <v>0</v>
      </c>
      <c r="BG9" s="10">
        <f t="shared" si="9"/>
        <v>0</v>
      </c>
      <c r="BH9" s="10">
        <f t="shared" si="9"/>
        <v>0</v>
      </c>
      <c r="BI9" s="10">
        <f t="shared" si="9"/>
        <v>0</v>
      </c>
      <c r="BJ9" s="10">
        <f t="shared" si="9"/>
        <v>0</v>
      </c>
      <c r="BK9" s="10">
        <f t="shared" si="9"/>
        <v>0</v>
      </c>
    </row>
    <row r="10" spans="1:63" x14ac:dyDescent="0.25">
      <c r="A10" s="2"/>
      <c r="E10" t="str">
        <f t="shared" ref="E10:AA10" si="10">CONCATENATE(E9,E8,E7,E6,E5,E4,E3,E2)</f>
        <v>00000000</v>
      </c>
      <c r="F10" t="str">
        <f t="shared" si="10"/>
        <v>00000000</v>
      </c>
      <c r="G10" t="str">
        <f t="shared" si="10"/>
        <v>00110010</v>
      </c>
      <c r="H10" t="str">
        <f t="shared" si="10"/>
        <v>00110011</v>
      </c>
      <c r="I10" t="str">
        <f t="shared" si="10"/>
        <v>00010011</v>
      </c>
      <c r="J10" t="str">
        <f t="shared" si="10"/>
        <v>00100011</v>
      </c>
      <c r="K10" t="str">
        <f t="shared" si="10"/>
        <v>00110011</v>
      </c>
      <c r="L10" t="str">
        <f t="shared" si="10"/>
        <v>00110011</v>
      </c>
      <c r="M10" t="str">
        <f t="shared" si="10"/>
        <v>00110011</v>
      </c>
      <c r="N10" t="str">
        <f t="shared" si="10"/>
        <v>00110011</v>
      </c>
      <c r="O10" t="str">
        <f t="shared" si="10"/>
        <v>00110011</v>
      </c>
      <c r="Q10" t="str">
        <f t="shared" si="10"/>
        <v>10001100</v>
      </c>
      <c r="R10" t="str">
        <f t="shared" si="10"/>
        <v>10001100</v>
      </c>
      <c r="S10" t="str">
        <f t="shared" si="10"/>
        <v>10001100</v>
      </c>
      <c r="T10" t="str">
        <f t="shared" si="10"/>
        <v>10001100</v>
      </c>
      <c r="U10" t="str">
        <f t="shared" si="10"/>
        <v>10001100</v>
      </c>
      <c r="V10" t="str">
        <f t="shared" si="10"/>
        <v>10001100</v>
      </c>
      <c r="W10" t="str">
        <f t="shared" si="10"/>
        <v>10001100</v>
      </c>
      <c r="X10" t="str">
        <f t="shared" si="10"/>
        <v>10001100</v>
      </c>
      <c r="Y10" t="str">
        <f t="shared" si="10"/>
        <v>10001100</v>
      </c>
      <c r="Z10" t="str">
        <f t="shared" si="10"/>
        <v>10001100</v>
      </c>
      <c r="AA10" t="str">
        <f t="shared" si="10"/>
        <v>10001100</v>
      </c>
      <c r="AC10" t="str">
        <f>CONCATENATE(AC9,AC8,AC7,AC6,AC5,AC4,AC3,AC2)</f>
        <v>00001000</v>
      </c>
      <c r="AD10" t="str">
        <f t="shared" ref="AD10:AM10" si="11">CONCATENATE(AD9,AD8,AD7,AD6,AD5,AD4,AD3,AD2)</f>
        <v>00001000</v>
      </c>
      <c r="AE10" t="str">
        <f t="shared" si="11"/>
        <v>00001000</v>
      </c>
      <c r="AF10" t="str">
        <f t="shared" si="11"/>
        <v>00001000</v>
      </c>
      <c r="AG10" t="str">
        <f t="shared" si="11"/>
        <v>00001000</v>
      </c>
      <c r="AH10" t="str">
        <f t="shared" si="11"/>
        <v>00001000</v>
      </c>
      <c r="AI10" t="str">
        <f t="shared" si="11"/>
        <v>00001000</v>
      </c>
      <c r="AJ10" t="str">
        <f t="shared" si="11"/>
        <v>00001000</v>
      </c>
      <c r="AK10" t="str">
        <f t="shared" si="11"/>
        <v>00001000</v>
      </c>
      <c r="AL10" t="str">
        <f t="shared" si="11"/>
        <v>00001000</v>
      </c>
      <c r="AM10" t="str">
        <f t="shared" si="11"/>
        <v>00001000</v>
      </c>
      <c r="AO10" t="str">
        <f t="shared" ref="AO10:AY10" si="12">CONCATENATE(AO9,AO8,AO7,AO6,AO5,AO4,AO3,AO2)</f>
        <v>00000000</v>
      </c>
      <c r="AP10" t="str">
        <f t="shared" si="12"/>
        <v>00000000</v>
      </c>
      <c r="AQ10" t="str">
        <f t="shared" si="12"/>
        <v>00000000</v>
      </c>
      <c r="AR10" t="str">
        <f t="shared" si="12"/>
        <v>00000000</v>
      </c>
      <c r="AS10" t="str">
        <f t="shared" si="12"/>
        <v>00000000</v>
      </c>
      <c r="AT10" t="str">
        <f t="shared" si="12"/>
        <v>00000000</v>
      </c>
      <c r="AU10" t="str">
        <f t="shared" si="12"/>
        <v>00000000</v>
      </c>
      <c r="AV10" t="str">
        <f t="shared" si="12"/>
        <v>00000000</v>
      </c>
      <c r="AW10" t="str">
        <f t="shared" si="12"/>
        <v>00000000</v>
      </c>
      <c r="AX10" t="str">
        <f t="shared" si="12"/>
        <v>00000000</v>
      </c>
      <c r="AY10" t="str">
        <f t="shared" si="12"/>
        <v>00000000</v>
      </c>
      <c r="BA10" t="str">
        <f t="shared" ref="BA10:BK10" si="13">CONCATENATE(BA9,BA8,BA7,BA6,BA5,BA4,BA3,BA2)</f>
        <v>00000000</v>
      </c>
      <c r="BB10" t="str">
        <f t="shared" si="13"/>
        <v>00000000</v>
      </c>
      <c r="BC10" t="str">
        <f t="shared" si="13"/>
        <v>00000000</v>
      </c>
      <c r="BD10" t="str">
        <f t="shared" si="13"/>
        <v>00000000</v>
      </c>
      <c r="BE10" t="str">
        <f t="shared" si="13"/>
        <v>00000000</v>
      </c>
      <c r="BF10" t="str">
        <f t="shared" si="13"/>
        <v>00000000</v>
      </c>
      <c r="BG10" t="str">
        <f t="shared" si="13"/>
        <v>00000000</v>
      </c>
      <c r="BH10" t="str">
        <f t="shared" si="13"/>
        <v>00000000</v>
      </c>
      <c r="BI10" t="str">
        <f t="shared" si="13"/>
        <v>00000000</v>
      </c>
      <c r="BJ10" t="str">
        <f t="shared" si="13"/>
        <v>00000000</v>
      </c>
      <c r="BK10" t="str">
        <f t="shared" si="13"/>
        <v>00000000</v>
      </c>
    </row>
    <row r="11" spans="1:63" x14ac:dyDescent="0.25">
      <c r="A11" s="2"/>
      <c r="E11" t="str">
        <f t="shared" ref="E11:AA11" si="14">CONCATENATE(BIN2HEX(E10,2))</f>
        <v>00</v>
      </c>
      <c r="F11" t="str">
        <f t="shared" si="14"/>
        <v>00</v>
      </c>
      <c r="G11" t="str">
        <f t="shared" si="14"/>
        <v>32</v>
      </c>
      <c r="H11" t="str">
        <f t="shared" si="14"/>
        <v>33</v>
      </c>
      <c r="I11" t="str">
        <f t="shared" si="14"/>
        <v>13</v>
      </c>
      <c r="J11" t="str">
        <f t="shared" si="14"/>
        <v>23</v>
      </c>
      <c r="K11" t="str">
        <f t="shared" si="14"/>
        <v>33</v>
      </c>
      <c r="L11" t="str">
        <f t="shared" si="14"/>
        <v>33</v>
      </c>
      <c r="M11" t="str">
        <f t="shared" si="14"/>
        <v>33</v>
      </c>
      <c r="N11" t="str">
        <f t="shared" si="14"/>
        <v>33</v>
      </c>
      <c r="O11" t="str">
        <f t="shared" si="14"/>
        <v>33</v>
      </c>
      <c r="Q11" t="str">
        <f t="shared" si="14"/>
        <v>8C</v>
      </c>
      <c r="R11" t="str">
        <f t="shared" si="14"/>
        <v>8C</v>
      </c>
      <c r="S11" t="str">
        <f t="shared" si="14"/>
        <v>8C</v>
      </c>
      <c r="T11" t="str">
        <f t="shared" si="14"/>
        <v>8C</v>
      </c>
      <c r="U11" t="str">
        <f t="shared" si="14"/>
        <v>8C</v>
      </c>
      <c r="V11" t="str">
        <f t="shared" si="14"/>
        <v>8C</v>
      </c>
      <c r="W11" t="str">
        <f t="shared" si="14"/>
        <v>8C</v>
      </c>
      <c r="X11" t="str">
        <f t="shared" si="14"/>
        <v>8C</v>
      </c>
      <c r="Y11" t="str">
        <f t="shared" si="14"/>
        <v>8C</v>
      </c>
      <c r="Z11" t="str">
        <f t="shared" si="14"/>
        <v>8C</v>
      </c>
      <c r="AA11" t="str">
        <f t="shared" si="14"/>
        <v>8C</v>
      </c>
      <c r="AC11" t="str">
        <f>CONCATENATE(BIN2HEX(AC10,2))</f>
        <v>08</v>
      </c>
      <c r="AD11" t="str">
        <f t="shared" ref="AD11:AM11" si="15">CONCATENATE(BIN2HEX(AD10,2))</f>
        <v>08</v>
      </c>
      <c r="AE11" t="str">
        <f t="shared" si="15"/>
        <v>08</v>
      </c>
      <c r="AF11" t="str">
        <f t="shared" si="15"/>
        <v>08</v>
      </c>
      <c r="AG11" t="str">
        <f t="shared" si="15"/>
        <v>08</v>
      </c>
      <c r="AH11" t="str">
        <f t="shared" si="15"/>
        <v>08</v>
      </c>
      <c r="AI11" t="str">
        <f t="shared" si="15"/>
        <v>08</v>
      </c>
      <c r="AJ11" t="str">
        <f t="shared" si="15"/>
        <v>08</v>
      </c>
      <c r="AK11" t="str">
        <f t="shared" si="15"/>
        <v>08</v>
      </c>
      <c r="AL11" t="str">
        <f t="shared" si="15"/>
        <v>08</v>
      </c>
      <c r="AM11" t="str">
        <f t="shared" si="15"/>
        <v>08</v>
      </c>
      <c r="AO11" t="str">
        <f t="shared" ref="AO11:AY11" si="16">CONCATENATE(BIN2HEX(AO10,2))</f>
        <v>00</v>
      </c>
      <c r="AP11" t="str">
        <f t="shared" si="16"/>
        <v>00</v>
      </c>
      <c r="AQ11" t="str">
        <f t="shared" si="16"/>
        <v>00</v>
      </c>
      <c r="AR11" t="str">
        <f t="shared" si="16"/>
        <v>00</v>
      </c>
      <c r="AS11" t="str">
        <f t="shared" si="16"/>
        <v>00</v>
      </c>
      <c r="AT11" t="str">
        <f t="shared" si="16"/>
        <v>00</v>
      </c>
      <c r="AU11" t="str">
        <f t="shared" si="16"/>
        <v>00</v>
      </c>
      <c r="AV11" t="str">
        <f t="shared" si="16"/>
        <v>00</v>
      </c>
      <c r="AW11" t="str">
        <f t="shared" si="16"/>
        <v>00</v>
      </c>
      <c r="AX11" t="str">
        <f t="shared" si="16"/>
        <v>00</v>
      </c>
      <c r="AY11" t="str">
        <f t="shared" si="16"/>
        <v>00</v>
      </c>
      <c r="BA11" t="str">
        <f t="shared" ref="BA11:BK11" si="17">CONCATENATE(BIN2HEX(BA10,2))</f>
        <v>00</v>
      </c>
      <c r="BB11" t="str">
        <f t="shared" si="17"/>
        <v>00</v>
      </c>
      <c r="BC11" t="str">
        <f t="shared" si="17"/>
        <v>00</v>
      </c>
      <c r="BD11" t="str">
        <f t="shared" si="17"/>
        <v>00</v>
      </c>
      <c r="BE11" t="str">
        <f t="shared" si="17"/>
        <v>00</v>
      </c>
      <c r="BF11" t="str">
        <f t="shared" si="17"/>
        <v>00</v>
      </c>
      <c r="BG11" t="str">
        <f t="shared" si="17"/>
        <v>00</v>
      </c>
      <c r="BH11" t="str">
        <f t="shared" si="17"/>
        <v>00</v>
      </c>
      <c r="BI11" t="str">
        <f t="shared" si="17"/>
        <v>00</v>
      </c>
      <c r="BJ11" t="str">
        <f t="shared" si="17"/>
        <v>00</v>
      </c>
      <c r="BK11" t="str">
        <f t="shared" si="17"/>
        <v>00</v>
      </c>
    </row>
    <row r="12" spans="1:63" x14ac:dyDescent="0.25">
      <c r="A12" s="2"/>
    </row>
    <row r="13" spans="1:63" s="10" customFormat="1" x14ac:dyDescent="0.25">
      <c r="A13" s="11"/>
      <c r="B13" s="10" t="s">
        <v>298</v>
      </c>
      <c r="C13" s="10" t="s">
        <v>389</v>
      </c>
      <c r="D13" t="s">
        <v>404</v>
      </c>
      <c r="E13" s="10">
        <v>0</v>
      </c>
      <c r="F13" s="10">
        <v>1</v>
      </c>
      <c r="G13" s="10">
        <f>F13</f>
        <v>1</v>
      </c>
      <c r="H13" s="10">
        <f>G13</f>
        <v>1</v>
      </c>
      <c r="I13" s="10">
        <f t="shared" ref="H13:O20" si="18">H13</f>
        <v>1</v>
      </c>
      <c r="J13" s="10">
        <f t="shared" si="18"/>
        <v>1</v>
      </c>
      <c r="K13" s="10">
        <f t="shared" si="18"/>
        <v>1</v>
      </c>
      <c r="L13" s="10">
        <f t="shared" si="18"/>
        <v>1</v>
      </c>
      <c r="M13" s="10">
        <f t="shared" si="18"/>
        <v>1</v>
      </c>
      <c r="N13" s="10">
        <f t="shared" si="18"/>
        <v>1</v>
      </c>
      <c r="O13" s="10">
        <f t="shared" si="18"/>
        <v>1</v>
      </c>
      <c r="Q13" s="10">
        <v>0</v>
      </c>
      <c r="R13" s="10">
        <f t="shared" ref="R13:AA20" si="19">Q13</f>
        <v>0</v>
      </c>
      <c r="S13" s="10">
        <f t="shared" si="19"/>
        <v>0</v>
      </c>
      <c r="T13" s="10">
        <f t="shared" si="19"/>
        <v>0</v>
      </c>
      <c r="U13" s="10">
        <f t="shared" si="19"/>
        <v>0</v>
      </c>
      <c r="V13" s="10">
        <f t="shared" si="19"/>
        <v>0</v>
      </c>
      <c r="W13" s="10">
        <f t="shared" si="19"/>
        <v>0</v>
      </c>
      <c r="X13" s="10">
        <f t="shared" si="19"/>
        <v>0</v>
      </c>
      <c r="Y13" s="10">
        <f t="shared" si="19"/>
        <v>0</v>
      </c>
      <c r="Z13" s="10">
        <f t="shared" si="19"/>
        <v>0</v>
      </c>
      <c r="AA13" s="10">
        <f t="shared" si="19"/>
        <v>0</v>
      </c>
      <c r="AC13" s="10">
        <v>0</v>
      </c>
      <c r="AD13" s="10">
        <f>AC13</f>
        <v>0</v>
      </c>
      <c r="AE13" s="10">
        <f t="shared" ref="AE13:AM13" si="20">AD13</f>
        <v>0</v>
      </c>
      <c r="AF13" s="10">
        <f t="shared" si="20"/>
        <v>0</v>
      </c>
      <c r="AG13" s="10">
        <f t="shared" si="20"/>
        <v>0</v>
      </c>
      <c r="AH13" s="10">
        <f t="shared" si="20"/>
        <v>0</v>
      </c>
      <c r="AI13" s="10">
        <f t="shared" si="20"/>
        <v>0</v>
      </c>
      <c r="AJ13" s="10">
        <f t="shared" si="20"/>
        <v>0</v>
      </c>
      <c r="AK13" s="10">
        <f t="shared" si="20"/>
        <v>0</v>
      </c>
      <c r="AL13" s="10">
        <f t="shared" si="20"/>
        <v>0</v>
      </c>
      <c r="AM13" s="10">
        <f t="shared" si="20"/>
        <v>0</v>
      </c>
      <c r="AO13" s="10">
        <v>0</v>
      </c>
      <c r="AP13" s="10">
        <f>AO13</f>
        <v>0</v>
      </c>
      <c r="AQ13" s="10">
        <f t="shared" ref="AQ13:AY13" si="21">AP13</f>
        <v>0</v>
      </c>
      <c r="AR13" s="10">
        <f t="shared" si="21"/>
        <v>0</v>
      </c>
      <c r="AS13" s="10">
        <f t="shared" si="21"/>
        <v>0</v>
      </c>
      <c r="AT13" s="10">
        <f t="shared" si="21"/>
        <v>0</v>
      </c>
      <c r="AU13" s="10">
        <f t="shared" si="21"/>
        <v>0</v>
      </c>
      <c r="AV13" s="10">
        <f t="shared" si="21"/>
        <v>0</v>
      </c>
      <c r="AW13" s="10">
        <f t="shared" si="21"/>
        <v>0</v>
      </c>
      <c r="AX13" s="10">
        <f t="shared" si="21"/>
        <v>0</v>
      </c>
      <c r="AY13" s="10">
        <f t="shared" si="21"/>
        <v>0</v>
      </c>
      <c r="BA13" s="10">
        <v>0</v>
      </c>
      <c r="BB13" s="10">
        <f>BA13</f>
        <v>0</v>
      </c>
      <c r="BC13" s="10">
        <f t="shared" ref="BC13:BK13" si="22">BB13</f>
        <v>0</v>
      </c>
      <c r="BD13" s="10">
        <f t="shared" si="22"/>
        <v>0</v>
      </c>
      <c r="BE13" s="10">
        <f t="shared" si="22"/>
        <v>0</v>
      </c>
      <c r="BF13" s="10">
        <f t="shared" si="22"/>
        <v>0</v>
      </c>
      <c r="BG13" s="10">
        <f t="shared" si="22"/>
        <v>0</v>
      </c>
      <c r="BH13" s="10">
        <f t="shared" si="22"/>
        <v>0</v>
      </c>
      <c r="BI13" s="10">
        <f t="shared" si="22"/>
        <v>0</v>
      </c>
      <c r="BJ13" s="10">
        <f t="shared" si="22"/>
        <v>0</v>
      </c>
      <c r="BK13" s="10">
        <f t="shared" si="22"/>
        <v>0</v>
      </c>
    </row>
    <row r="14" spans="1:63" s="10" customFormat="1" x14ac:dyDescent="0.25">
      <c r="A14" s="11"/>
      <c r="B14" s="10" t="s">
        <v>299</v>
      </c>
      <c r="C14" s="10" t="s">
        <v>391</v>
      </c>
      <c r="D14" t="s">
        <v>405</v>
      </c>
      <c r="E14" s="10">
        <v>0</v>
      </c>
      <c r="F14" s="10">
        <f t="shared" ref="F14:H19" si="23">E14</f>
        <v>0</v>
      </c>
      <c r="G14" s="10">
        <f t="shared" si="23"/>
        <v>0</v>
      </c>
      <c r="H14" s="10">
        <f t="shared" si="23"/>
        <v>0</v>
      </c>
      <c r="I14" s="10">
        <f t="shared" si="18"/>
        <v>0</v>
      </c>
      <c r="J14" s="10">
        <f t="shared" si="18"/>
        <v>0</v>
      </c>
      <c r="K14" s="10">
        <f t="shared" si="18"/>
        <v>0</v>
      </c>
      <c r="L14" s="10">
        <f t="shared" si="18"/>
        <v>0</v>
      </c>
      <c r="M14" s="10">
        <f t="shared" si="18"/>
        <v>0</v>
      </c>
      <c r="N14" s="10">
        <f t="shared" si="18"/>
        <v>0</v>
      </c>
      <c r="O14" s="10">
        <f t="shared" si="18"/>
        <v>0</v>
      </c>
      <c r="Q14" s="10">
        <v>1</v>
      </c>
      <c r="R14" s="10">
        <f t="shared" si="19"/>
        <v>1</v>
      </c>
      <c r="S14" s="10">
        <f t="shared" si="19"/>
        <v>1</v>
      </c>
      <c r="T14" s="10">
        <f t="shared" si="19"/>
        <v>1</v>
      </c>
      <c r="U14" s="10">
        <f t="shared" si="19"/>
        <v>1</v>
      </c>
      <c r="V14" s="10">
        <f t="shared" si="19"/>
        <v>1</v>
      </c>
      <c r="W14" s="10">
        <f t="shared" si="19"/>
        <v>1</v>
      </c>
      <c r="X14" s="10">
        <f t="shared" si="19"/>
        <v>1</v>
      </c>
      <c r="Y14" s="10">
        <f t="shared" si="19"/>
        <v>1</v>
      </c>
      <c r="Z14" s="10">
        <f t="shared" si="19"/>
        <v>1</v>
      </c>
      <c r="AA14" s="10">
        <f t="shared" si="19"/>
        <v>1</v>
      </c>
      <c r="AC14" s="10">
        <v>0</v>
      </c>
      <c r="AD14" s="10">
        <f t="shared" ref="AD14:AM20" si="24">AC14</f>
        <v>0</v>
      </c>
      <c r="AE14" s="10">
        <f t="shared" si="24"/>
        <v>0</v>
      </c>
      <c r="AF14" s="10">
        <f t="shared" si="24"/>
        <v>0</v>
      </c>
      <c r="AG14" s="10">
        <f t="shared" si="24"/>
        <v>0</v>
      </c>
      <c r="AH14" s="10">
        <f t="shared" si="24"/>
        <v>0</v>
      </c>
      <c r="AI14" s="10">
        <f t="shared" si="24"/>
        <v>0</v>
      </c>
      <c r="AJ14" s="10">
        <f t="shared" si="24"/>
        <v>0</v>
      </c>
      <c r="AK14" s="10">
        <f t="shared" si="24"/>
        <v>0</v>
      </c>
      <c r="AL14" s="10">
        <f t="shared" si="24"/>
        <v>0</v>
      </c>
      <c r="AM14" s="10">
        <f t="shared" si="24"/>
        <v>0</v>
      </c>
      <c r="AO14" s="10">
        <v>0</v>
      </c>
      <c r="AP14" s="10">
        <f t="shared" ref="AP14:AY20" si="25">AO14</f>
        <v>0</v>
      </c>
      <c r="AQ14" s="10">
        <f t="shared" si="25"/>
        <v>0</v>
      </c>
      <c r="AR14" s="10">
        <f t="shared" si="25"/>
        <v>0</v>
      </c>
      <c r="AS14" s="10">
        <f t="shared" si="25"/>
        <v>0</v>
      </c>
      <c r="AT14" s="10">
        <f t="shared" si="25"/>
        <v>0</v>
      </c>
      <c r="AU14" s="10">
        <f t="shared" si="25"/>
        <v>0</v>
      </c>
      <c r="AV14" s="10">
        <f t="shared" si="25"/>
        <v>0</v>
      </c>
      <c r="AW14" s="10">
        <f t="shared" si="25"/>
        <v>0</v>
      </c>
      <c r="AX14" s="10">
        <f t="shared" si="25"/>
        <v>0</v>
      </c>
      <c r="AY14" s="10">
        <f t="shared" si="25"/>
        <v>0</v>
      </c>
      <c r="BA14" s="10">
        <v>0</v>
      </c>
      <c r="BB14" s="10">
        <f t="shared" ref="BB14:BK20" si="26">BA14</f>
        <v>0</v>
      </c>
      <c r="BC14" s="10">
        <f t="shared" si="26"/>
        <v>0</v>
      </c>
      <c r="BD14" s="10">
        <f t="shared" si="26"/>
        <v>0</v>
      </c>
      <c r="BE14" s="10">
        <f t="shared" si="26"/>
        <v>0</v>
      </c>
      <c r="BF14" s="10">
        <f t="shared" si="26"/>
        <v>0</v>
      </c>
      <c r="BG14" s="10">
        <f t="shared" si="26"/>
        <v>0</v>
      </c>
      <c r="BH14" s="10">
        <f t="shared" si="26"/>
        <v>0</v>
      </c>
      <c r="BI14" s="10">
        <f t="shared" si="26"/>
        <v>0</v>
      </c>
      <c r="BJ14" s="10">
        <f t="shared" si="26"/>
        <v>0</v>
      </c>
      <c r="BK14" s="10">
        <f t="shared" si="26"/>
        <v>0</v>
      </c>
    </row>
    <row r="15" spans="1:63" s="10" customFormat="1" x14ac:dyDescent="0.25">
      <c r="A15" s="11"/>
      <c r="B15" s="10" t="s">
        <v>300</v>
      </c>
      <c r="C15" s="10" t="s">
        <v>390</v>
      </c>
      <c r="D15" t="s">
        <v>406</v>
      </c>
      <c r="E15" s="10">
        <v>0</v>
      </c>
      <c r="F15" s="10">
        <v>0</v>
      </c>
      <c r="G15" s="10">
        <f t="shared" si="23"/>
        <v>0</v>
      </c>
      <c r="H15" s="10">
        <f t="shared" si="23"/>
        <v>0</v>
      </c>
      <c r="I15" s="10">
        <f t="shared" si="18"/>
        <v>0</v>
      </c>
      <c r="J15" s="10">
        <f t="shared" si="18"/>
        <v>0</v>
      </c>
      <c r="K15" s="10">
        <f t="shared" si="18"/>
        <v>0</v>
      </c>
      <c r="L15" s="10">
        <f t="shared" si="18"/>
        <v>0</v>
      </c>
      <c r="M15" s="10">
        <f t="shared" si="18"/>
        <v>0</v>
      </c>
      <c r="N15" s="10">
        <f t="shared" si="18"/>
        <v>0</v>
      </c>
      <c r="O15" s="10">
        <f t="shared" si="18"/>
        <v>0</v>
      </c>
      <c r="Q15" s="10">
        <v>1</v>
      </c>
      <c r="R15" s="10">
        <f t="shared" si="19"/>
        <v>1</v>
      </c>
      <c r="S15" s="10">
        <f t="shared" si="19"/>
        <v>1</v>
      </c>
      <c r="T15" s="10">
        <f t="shared" si="19"/>
        <v>1</v>
      </c>
      <c r="U15" s="10">
        <f t="shared" si="19"/>
        <v>1</v>
      </c>
      <c r="V15" s="10">
        <f t="shared" si="19"/>
        <v>1</v>
      </c>
      <c r="W15" s="10">
        <f t="shared" si="19"/>
        <v>1</v>
      </c>
      <c r="X15" s="10">
        <f t="shared" si="19"/>
        <v>1</v>
      </c>
      <c r="Y15" s="10">
        <f t="shared" si="19"/>
        <v>1</v>
      </c>
      <c r="Z15" s="10">
        <f t="shared" si="19"/>
        <v>1</v>
      </c>
      <c r="AA15" s="10">
        <f t="shared" si="19"/>
        <v>1</v>
      </c>
      <c r="AC15" s="10">
        <v>0</v>
      </c>
      <c r="AD15" s="10">
        <f t="shared" si="24"/>
        <v>0</v>
      </c>
      <c r="AE15" s="10">
        <f t="shared" si="24"/>
        <v>0</v>
      </c>
      <c r="AF15" s="10">
        <f t="shared" si="24"/>
        <v>0</v>
      </c>
      <c r="AG15" s="10">
        <f t="shared" si="24"/>
        <v>0</v>
      </c>
      <c r="AH15" s="10">
        <f t="shared" si="24"/>
        <v>0</v>
      </c>
      <c r="AI15" s="10">
        <f t="shared" si="24"/>
        <v>0</v>
      </c>
      <c r="AJ15" s="10">
        <f t="shared" si="24"/>
        <v>0</v>
      </c>
      <c r="AK15" s="10">
        <f t="shared" si="24"/>
        <v>0</v>
      </c>
      <c r="AL15" s="10">
        <f t="shared" si="24"/>
        <v>0</v>
      </c>
      <c r="AM15" s="10">
        <f t="shared" si="24"/>
        <v>0</v>
      </c>
      <c r="AO15" s="10">
        <v>0</v>
      </c>
      <c r="AP15" s="10">
        <f t="shared" si="25"/>
        <v>0</v>
      </c>
      <c r="AQ15" s="10">
        <f t="shared" si="25"/>
        <v>0</v>
      </c>
      <c r="AR15" s="10">
        <f t="shared" si="25"/>
        <v>0</v>
      </c>
      <c r="AS15" s="10">
        <f t="shared" si="25"/>
        <v>0</v>
      </c>
      <c r="AT15" s="10">
        <f t="shared" si="25"/>
        <v>0</v>
      </c>
      <c r="AU15" s="10">
        <f t="shared" si="25"/>
        <v>0</v>
      </c>
      <c r="AV15" s="10">
        <f t="shared" si="25"/>
        <v>0</v>
      </c>
      <c r="AW15" s="10">
        <f t="shared" si="25"/>
        <v>0</v>
      </c>
      <c r="AX15" s="10">
        <f t="shared" si="25"/>
        <v>0</v>
      </c>
      <c r="AY15" s="10">
        <f t="shared" si="25"/>
        <v>0</v>
      </c>
      <c r="BA15" s="10">
        <v>0</v>
      </c>
      <c r="BB15" s="10">
        <f t="shared" si="26"/>
        <v>0</v>
      </c>
      <c r="BC15" s="10">
        <f t="shared" si="26"/>
        <v>0</v>
      </c>
      <c r="BD15" s="10">
        <f t="shared" si="26"/>
        <v>0</v>
      </c>
      <c r="BE15" s="10">
        <f t="shared" si="26"/>
        <v>0</v>
      </c>
      <c r="BF15" s="10">
        <f t="shared" si="26"/>
        <v>0</v>
      </c>
      <c r="BG15" s="10">
        <f t="shared" si="26"/>
        <v>0</v>
      </c>
      <c r="BH15" s="10">
        <f t="shared" si="26"/>
        <v>0</v>
      </c>
      <c r="BI15" s="10">
        <f t="shared" si="26"/>
        <v>0</v>
      </c>
      <c r="BJ15" s="10">
        <f t="shared" si="26"/>
        <v>0</v>
      </c>
      <c r="BK15" s="10">
        <f t="shared" si="26"/>
        <v>0</v>
      </c>
    </row>
    <row r="16" spans="1:63" s="10" customFormat="1" x14ac:dyDescent="0.25">
      <c r="A16" s="11"/>
      <c r="B16" s="10" t="s">
        <v>301</v>
      </c>
      <c r="C16" s="10" t="s">
        <v>392</v>
      </c>
      <c r="D16" t="s">
        <v>407</v>
      </c>
      <c r="E16" s="10">
        <v>0</v>
      </c>
      <c r="F16" s="10">
        <v>0</v>
      </c>
      <c r="G16" s="10">
        <f t="shared" si="23"/>
        <v>0</v>
      </c>
      <c r="H16" s="10">
        <f t="shared" si="23"/>
        <v>0</v>
      </c>
      <c r="I16" s="10">
        <f t="shared" si="18"/>
        <v>0</v>
      </c>
      <c r="J16" s="10">
        <f t="shared" si="18"/>
        <v>0</v>
      </c>
      <c r="K16" s="10">
        <f t="shared" si="18"/>
        <v>0</v>
      </c>
      <c r="L16" s="10">
        <f t="shared" si="18"/>
        <v>0</v>
      </c>
      <c r="M16" s="10">
        <f t="shared" si="18"/>
        <v>0</v>
      </c>
      <c r="N16" s="10">
        <f t="shared" si="18"/>
        <v>0</v>
      </c>
      <c r="O16" s="10">
        <f t="shared" si="18"/>
        <v>0</v>
      </c>
      <c r="Q16" s="10">
        <v>1</v>
      </c>
      <c r="R16" s="10">
        <f t="shared" si="19"/>
        <v>1</v>
      </c>
      <c r="S16" s="10">
        <f t="shared" si="19"/>
        <v>1</v>
      </c>
      <c r="T16" s="10">
        <f t="shared" si="19"/>
        <v>1</v>
      </c>
      <c r="U16" s="10">
        <f t="shared" si="19"/>
        <v>1</v>
      </c>
      <c r="V16" s="10">
        <f t="shared" si="19"/>
        <v>1</v>
      </c>
      <c r="W16" s="10">
        <f t="shared" si="19"/>
        <v>1</v>
      </c>
      <c r="X16" s="10">
        <f t="shared" si="19"/>
        <v>1</v>
      </c>
      <c r="Y16" s="10">
        <f t="shared" si="19"/>
        <v>1</v>
      </c>
      <c r="Z16" s="10">
        <f t="shared" si="19"/>
        <v>1</v>
      </c>
      <c r="AA16" s="10">
        <f t="shared" si="19"/>
        <v>1</v>
      </c>
      <c r="AC16" s="10">
        <v>1</v>
      </c>
      <c r="AD16" s="10">
        <f t="shared" si="24"/>
        <v>1</v>
      </c>
      <c r="AE16" s="10">
        <f t="shared" si="24"/>
        <v>1</v>
      </c>
      <c r="AF16" s="10">
        <f t="shared" si="24"/>
        <v>1</v>
      </c>
      <c r="AG16" s="10">
        <f t="shared" si="24"/>
        <v>1</v>
      </c>
      <c r="AH16" s="10">
        <f t="shared" si="24"/>
        <v>1</v>
      </c>
      <c r="AI16" s="10">
        <f t="shared" si="24"/>
        <v>1</v>
      </c>
      <c r="AJ16" s="10">
        <f t="shared" si="24"/>
        <v>1</v>
      </c>
      <c r="AK16" s="10">
        <f t="shared" si="24"/>
        <v>1</v>
      </c>
      <c r="AL16" s="10">
        <f t="shared" si="24"/>
        <v>1</v>
      </c>
      <c r="AM16" s="10">
        <f t="shared" si="24"/>
        <v>1</v>
      </c>
      <c r="AO16" s="10">
        <v>0</v>
      </c>
      <c r="AP16" s="10">
        <f t="shared" si="25"/>
        <v>0</v>
      </c>
      <c r="AQ16" s="10">
        <f t="shared" si="25"/>
        <v>0</v>
      </c>
      <c r="AR16" s="10">
        <f t="shared" si="25"/>
        <v>0</v>
      </c>
      <c r="AS16" s="10">
        <f t="shared" si="25"/>
        <v>0</v>
      </c>
      <c r="AT16" s="10">
        <f t="shared" si="25"/>
        <v>0</v>
      </c>
      <c r="AU16" s="10">
        <f t="shared" si="25"/>
        <v>0</v>
      </c>
      <c r="AV16" s="10">
        <f t="shared" si="25"/>
        <v>0</v>
      </c>
      <c r="AW16" s="10">
        <f t="shared" si="25"/>
        <v>0</v>
      </c>
      <c r="AX16" s="10">
        <f t="shared" si="25"/>
        <v>0</v>
      </c>
      <c r="AY16" s="10">
        <f t="shared" si="25"/>
        <v>0</v>
      </c>
      <c r="BA16" s="10">
        <v>0</v>
      </c>
      <c r="BB16" s="10">
        <f t="shared" si="26"/>
        <v>0</v>
      </c>
      <c r="BC16" s="10">
        <f t="shared" si="26"/>
        <v>0</v>
      </c>
      <c r="BD16" s="10">
        <f t="shared" si="26"/>
        <v>0</v>
      </c>
      <c r="BE16" s="10">
        <f t="shared" si="26"/>
        <v>0</v>
      </c>
      <c r="BF16" s="10">
        <f t="shared" si="26"/>
        <v>0</v>
      </c>
      <c r="BG16" s="10">
        <f t="shared" si="26"/>
        <v>0</v>
      </c>
      <c r="BH16" s="10">
        <f t="shared" si="26"/>
        <v>0</v>
      </c>
      <c r="BI16" s="10">
        <f t="shared" si="26"/>
        <v>0</v>
      </c>
      <c r="BJ16" s="10">
        <f t="shared" si="26"/>
        <v>0</v>
      </c>
      <c r="BK16" s="10">
        <f t="shared" si="26"/>
        <v>0</v>
      </c>
    </row>
    <row r="17" spans="1:63" s="10" customFormat="1" x14ac:dyDescent="0.25">
      <c r="A17" s="11"/>
      <c r="B17" s="10" t="s">
        <v>302</v>
      </c>
      <c r="C17" s="10" t="s">
        <v>393</v>
      </c>
      <c r="D17" t="s">
        <v>408</v>
      </c>
      <c r="E17" s="10">
        <v>0</v>
      </c>
      <c r="F17" s="10">
        <v>0</v>
      </c>
      <c r="G17" s="10">
        <v>1</v>
      </c>
      <c r="H17" s="10">
        <f t="shared" si="23"/>
        <v>1</v>
      </c>
      <c r="I17" s="10">
        <f t="shared" si="18"/>
        <v>1</v>
      </c>
      <c r="J17" s="10">
        <f t="shared" si="18"/>
        <v>1</v>
      </c>
      <c r="K17" s="10">
        <f t="shared" si="18"/>
        <v>1</v>
      </c>
      <c r="L17" s="10">
        <f t="shared" si="18"/>
        <v>1</v>
      </c>
      <c r="M17" s="10">
        <f t="shared" si="18"/>
        <v>1</v>
      </c>
      <c r="N17" s="10">
        <f t="shared" si="18"/>
        <v>1</v>
      </c>
      <c r="O17" s="10">
        <f t="shared" si="18"/>
        <v>1</v>
      </c>
      <c r="Q17" s="10">
        <v>0</v>
      </c>
      <c r="R17" s="10">
        <f t="shared" si="19"/>
        <v>0</v>
      </c>
      <c r="S17" s="10">
        <f t="shared" si="19"/>
        <v>0</v>
      </c>
      <c r="T17" s="10">
        <f t="shared" si="19"/>
        <v>0</v>
      </c>
      <c r="U17" s="10">
        <f t="shared" si="19"/>
        <v>0</v>
      </c>
      <c r="V17" s="10">
        <f t="shared" si="19"/>
        <v>0</v>
      </c>
      <c r="W17" s="10">
        <f t="shared" si="19"/>
        <v>0</v>
      </c>
      <c r="X17" s="10">
        <f t="shared" si="19"/>
        <v>0</v>
      </c>
      <c r="Y17" s="10">
        <f t="shared" si="19"/>
        <v>0</v>
      </c>
      <c r="Z17" s="10">
        <f t="shared" si="19"/>
        <v>0</v>
      </c>
      <c r="AA17" s="10">
        <f t="shared" si="19"/>
        <v>0</v>
      </c>
      <c r="AC17" s="10">
        <v>0</v>
      </c>
      <c r="AD17" s="10">
        <f t="shared" si="24"/>
        <v>0</v>
      </c>
      <c r="AE17" s="10">
        <f t="shared" si="24"/>
        <v>0</v>
      </c>
      <c r="AF17" s="10">
        <f t="shared" si="24"/>
        <v>0</v>
      </c>
      <c r="AG17" s="10">
        <f t="shared" si="24"/>
        <v>0</v>
      </c>
      <c r="AH17" s="10">
        <f t="shared" si="24"/>
        <v>0</v>
      </c>
      <c r="AI17" s="10">
        <f t="shared" si="24"/>
        <v>0</v>
      </c>
      <c r="AJ17" s="10">
        <f t="shared" si="24"/>
        <v>0</v>
      </c>
      <c r="AK17" s="10">
        <f t="shared" si="24"/>
        <v>0</v>
      </c>
      <c r="AL17" s="10">
        <f t="shared" si="24"/>
        <v>0</v>
      </c>
      <c r="AM17" s="10">
        <f t="shared" si="24"/>
        <v>0</v>
      </c>
      <c r="AO17" s="10">
        <v>0</v>
      </c>
      <c r="AP17" s="10">
        <f t="shared" si="25"/>
        <v>0</v>
      </c>
      <c r="AQ17" s="10">
        <f t="shared" si="25"/>
        <v>0</v>
      </c>
      <c r="AR17" s="10">
        <f t="shared" si="25"/>
        <v>0</v>
      </c>
      <c r="AS17" s="10">
        <f t="shared" si="25"/>
        <v>0</v>
      </c>
      <c r="AT17" s="10">
        <f t="shared" si="25"/>
        <v>0</v>
      </c>
      <c r="AU17" s="10">
        <f t="shared" si="25"/>
        <v>0</v>
      </c>
      <c r="AV17" s="10">
        <f t="shared" si="25"/>
        <v>0</v>
      </c>
      <c r="AW17" s="10">
        <f t="shared" si="25"/>
        <v>0</v>
      </c>
      <c r="AX17" s="10">
        <f t="shared" si="25"/>
        <v>0</v>
      </c>
      <c r="AY17" s="10">
        <f t="shared" si="25"/>
        <v>0</v>
      </c>
      <c r="BA17" s="10">
        <v>0</v>
      </c>
      <c r="BB17" s="10">
        <f t="shared" si="26"/>
        <v>0</v>
      </c>
      <c r="BC17" s="10">
        <f t="shared" si="26"/>
        <v>0</v>
      </c>
      <c r="BD17" s="10">
        <f t="shared" si="26"/>
        <v>0</v>
      </c>
      <c r="BE17" s="10">
        <f t="shared" si="26"/>
        <v>0</v>
      </c>
      <c r="BF17" s="10">
        <f t="shared" si="26"/>
        <v>0</v>
      </c>
      <c r="BG17" s="10">
        <f t="shared" si="26"/>
        <v>0</v>
      </c>
      <c r="BH17" s="10">
        <f t="shared" si="26"/>
        <v>0</v>
      </c>
      <c r="BI17" s="10">
        <f t="shared" si="26"/>
        <v>0</v>
      </c>
      <c r="BJ17" s="10">
        <f t="shared" si="26"/>
        <v>0</v>
      </c>
      <c r="BK17" s="10">
        <f t="shared" si="26"/>
        <v>0</v>
      </c>
    </row>
    <row r="18" spans="1:63" s="10" customFormat="1" x14ac:dyDescent="0.25">
      <c r="A18" s="11"/>
      <c r="B18" s="10" t="s">
        <v>303</v>
      </c>
      <c r="C18" s="10" t="s">
        <v>394</v>
      </c>
      <c r="D18" t="s">
        <v>408</v>
      </c>
      <c r="E18" s="10">
        <v>0</v>
      </c>
      <c r="F18" s="10">
        <v>0</v>
      </c>
      <c r="G18" s="10">
        <v>1</v>
      </c>
      <c r="H18" s="10">
        <f t="shared" si="23"/>
        <v>1</v>
      </c>
      <c r="I18" s="10">
        <f t="shared" si="18"/>
        <v>1</v>
      </c>
      <c r="J18" s="10">
        <f t="shared" si="18"/>
        <v>1</v>
      </c>
      <c r="K18" s="10">
        <f t="shared" si="18"/>
        <v>1</v>
      </c>
      <c r="L18" s="10">
        <f t="shared" si="18"/>
        <v>1</v>
      </c>
      <c r="M18" s="10">
        <f t="shared" si="18"/>
        <v>1</v>
      </c>
      <c r="N18" s="10">
        <f t="shared" si="18"/>
        <v>1</v>
      </c>
      <c r="O18" s="10">
        <f t="shared" si="18"/>
        <v>1</v>
      </c>
      <c r="Q18" s="10">
        <v>0</v>
      </c>
      <c r="R18" s="10">
        <f t="shared" si="19"/>
        <v>0</v>
      </c>
      <c r="S18" s="10">
        <f t="shared" si="19"/>
        <v>0</v>
      </c>
      <c r="T18" s="10">
        <f t="shared" si="19"/>
        <v>0</v>
      </c>
      <c r="U18" s="10">
        <f t="shared" si="19"/>
        <v>0</v>
      </c>
      <c r="V18" s="10">
        <f t="shared" si="19"/>
        <v>0</v>
      </c>
      <c r="W18" s="10">
        <f t="shared" si="19"/>
        <v>0</v>
      </c>
      <c r="X18" s="10">
        <f t="shared" si="19"/>
        <v>0</v>
      </c>
      <c r="Y18" s="10">
        <f t="shared" si="19"/>
        <v>0</v>
      </c>
      <c r="Z18" s="10">
        <f t="shared" si="19"/>
        <v>0</v>
      </c>
      <c r="AA18" s="10">
        <f t="shared" si="19"/>
        <v>0</v>
      </c>
      <c r="AC18" s="10">
        <v>0</v>
      </c>
      <c r="AD18" s="10">
        <f t="shared" si="24"/>
        <v>0</v>
      </c>
      <c r="AE18" s="10">
        <f t="shared" si="24"/>
        <v>0</v>
      </c>
      <c r="AF18" s="10">
        <f t="shared" si="24"/>
        <v>0</v>
      </c>
      <c r="AG18" s="10">
        <f t="shared" si="24"/>
        <v>0</v>
      </c>
      <c r="AH18" s="10">
        <f t="shared" si="24"/>
        <v>0</v>
      </c>
      <c r="AI18" s="10">
        <f t="shared" si="24"/>
        <v>0</v>
      </c>
      <c r="AJ18" s="10">
        <f t="shared" si="24"/>
        <v>0</v>
      </c>
      <c r="AK18" s="10">
        <f t="shared" si="24"/>
        <v>0</v>
      </c>
      <c r="AL18" s="10">
        <f t="shared" si="24"/>
        <v>0</v>
      </c>
      <c r="AM18" s="10">
        <f t="shared" si="24"/>
        <v>0</v>
      </c>
      <c r="AO18" s="10">
        <v>0</v>
      </c>
      <c r="AP18" s="10">
        <f t="shared" si="25"/>
        <v>0</v>
      </c>
      <c r="AQ18" s="10">
        <f t="shared" si="25"/>
        <v>0</v>
      </c>
      <c r="AR18" s="10">
        <f t="shared" si="25"/>
        <v>0</v>
      </c>
      <c r="AS18" s="10">
        <f t="shared" si="25"/>
        <v>0</v>
      </c>
      <c r="AT18" s="10">
        <f t="shared" si="25"/>
        <v>0</v>
      </c>
      <c r="AU18" s="10">
        <f t="shared" si="25"/>
        <v>0</v>
      </c>
      <c r="AV18" s="10">
        <f t="shared" si="25"/>
        <v>0</v>
      </c>
      <c r="AW18" s="10">
        <f t="shared" si="25"/>
        <v>0</v>
      </c>
      <c r="AX18" s="10">
        <f t="shared" si="25"/>
        <v>0</v>
      </c>
      <c r="AY18" s="10">
        <f t="shared" si="25"/>
        <v>0</v>
      </c>
      <c r="BA18" s="10">
        <v>0</v>
      </c>
      <c r="BB18" s="10">
        <f t="shared" si="26"/>
        <v>0</v>
      </c>
      <c r="BC18" s="10">
        <f t="shared" si="26"/>
        <v>0</v>
      </c>
      <c r="BD18" s="10">
        <f t="shared" si="26"/>
        <v>0</v>
      </c>
      <c r="BE18" s="10">
        <f t="shared" si="26"/>
        <v>0</v>
      </c>
      <c r="BF18" s="10">
        <f t="shared" si="26"/>
        <v>0</v>
      </c>
      <c r="BG18" s="10">
        <f t="shared" si="26"/>
        <v>0</v>
      </c>
      <c r="BH18" s="10">
        <f t="shared" si="26"/>
        <v>0</v>
      </c>
      <c r="BI18" s="10">
        <f t="shared" si="26"/>
        <v>0</v>
      </c>
      <c r="BJ18" s="10">
        <f t="shared" si="26"/>
        <v>0</v>
      </c>
      <c r="BK18" s="10">
        <f t="shared" si="26"/>
        <v>0</v>
      </c>
    </row>
    <row r="19" spans="1:63" s="10" customFormat="1" x14ac:dyDescent="0.25">
      <c r="A19" s="11"/>
      <c r="B19" s="10" t="s">
        <v>304</v>
      </c>
      <c r="C19" s="10" t="s">
        <v>395</v>
      </c>
      <c r="D19" t="s">
        <v>407</v>
      </c>
      <c r="E19" s="10">
        <v>0</v>
      </c>
      <c r="F19" s="10">
        <v>0</v>
      </c>
      <c r="G19" s="10">
        <f t="shared" si="23"/>
        <v>0</v>
      </c>
      <c r="H19" s="10">
        <f t="shared" si="23"/>
        <v>0</v>
      </c>
      <c r="I19" s="10">
        <f t="shared" si="18"/>
        <v>0</v>
      </c>
      <c r="J19" s="10">
        <f t="shared" si="18"/>
        <v>0</v>
      </c>
      <c r="K19" s="10">
        <f t="shared" si="18"/>
        <v>0</v>
      </c>
      <c r="L19" s="10">
        <f t="shared" si="18"/>
        <v>0</v>
      </c>
      <c r="M19" s="10">
        <f t="shared" si="18"/>
        <v>0</v>
      </c>
      <c r="N19" s="10">
        <f t="shared" si="18"/>
        <v>0</v>
      </c>
      <c r="O19" s="10">
        <f t="shared" si="18"/>
        <v>0</v>
      </c>
      <c r="Q19" s="10">
        <v>1</v>
      </c>
      <c r="R19" s="10">
        <f t="shared" si="19"/>
        <v>1</v>
      </c>
      <c r="S19" s="10">
        <f t="shared" si="19"/>
        <v>1</v>
      </c>
      <c r="T19" s="10">
        <f t="shared" si="19"/>
        <v>1</v>
      </c>
      <c r="U19" s="10">
        <f t="shared" si="19"/>
        <v>1</v>
      </c>
      <c r="V19" s="10">
        <f t="shared" si="19"/>
        <v>1</v>
      </c>
      <c r="W19" s="10">
        <f t="shared" si="19"/>
        <v>1</v>
      </c>
      <c r="X19" s="10">
        <f t="shared" si="19"/>
        <v>1</v>
      </c>
      <c r="Y19" s="10">
        <f t="shared" si="19"/>
        <v>1</v>
      </c>
      <c r="Z19" s="10">
        <f t="shared" si="19"/>
        <v>1</v>
      </c>
      <c r="AA19" s="10">
        <f t="shared" si="19"/>
        <v>1</v>
      </c>
      <c r="AC19" s="10">
        <v>1</v>
      </c>
      <c r="AD19" s="10">
        <f t="shared" si="24"/>
        <v>1</v>
      </c>
      <c r="AE19" s="10">
        <f t="shared" si="24"/>
        <v>1</v>
      </c>
      <c r="AF19" s="10">
        <f t="shared" si="24"/>
        <v>1</v>
      </c>
      <c r="AG19" s="10">
        <f t="shared" si="24"/>
        <v>1</v>
      </c>
      <c r="AH19" s="10">
        <f t="shared" si="24"/>
        <v>1</v>
      </c>
      <c r="AI19" s="10">
        <f t="shared" si="24"/>
        <v>1</v>
      </c>
      <c r="AJ19" s="10">
        <f t="shared" si="24"/>
        <v>1</v>
      </c>
      <c r="AK19" s="10">
        <f t="shared" si="24"/>
        <v>1</v>
      </c>
      <c r="AL19" s="10">
        <f t="shared" si="24"/>
        <v>1</v>
      </c>
      <c r="AM19" s="10">
        <f t="shared" si="24"/>
        <v>1</v>
      </c>
      <c r="AO19" s="10">
        <v>0</v>
      </c>
      <c r="AP19" s="10">
        <f t="shared" si="25"/>
        <v>0</v>
      </c>
      <c r="AQ19" s="10">
        <f t="shared" si="25"/>
        <v>0</v>
      </c>
      <c r="AR19" s="10">
        <f t="shared" si="25"/>
        <v>0</v>
      </c>
      <c r="AS19" s="10">
        <f t="shared" si="25"/>
        <v>0</v>
      </c>
      <c r="AT19" s="10">
        <f t="shared" si="25"/>
        <v>0</v>
      </c>
      <c r="AU19" s="10">
        <f t="shared" si="25"/>
        <v>0</v>
      </c>
      <c r="AV19" s="10">
        <f t="shared" si="25"/>
        <v>0</v>
      </c>
      <c r="AW19" s="10">
        <f t="shared" si="25"/>
        <v>0</v>
      </c>
      <c r="AX19" s="10">
        <f t="shared" si="25"/>
        <v>0</v>
      </c>
      <c r="AY19" s="10">
        <f t="shared" si="25"/>
        <v>0</v>
      </c>
      <c r="BA19" s="10">
        <v>0</v>
      </c>
      <c r="BB19" s="10">
        <f t="shared" si="26"/>
        <v>0</v>
      </c>
      <c r="BC19" s="10">
        <f t="shared" si="26"/>
        <v>0</v>
      </c>
      <c r="BD19" s="10">
        <f t="shared" si="26"/>
        <v>0</v>
      </c>
      <c r="BE19" s="10">
        <f t="shared" si="26"/>
        <v>0</v>
      </c>
      <c r="BF19" s="10">
        <f t="shared" si="26"/>
        <v>0</v>
      </c>
      <c r="BG19" s="10">
        <f t="shared" si="26"/>
        <v>0</v>
      </c>
      <c r="BH19" s="10">
        <f t="shared" si="26"/>
        <v>0</v>
      </c>
      <c r="BI19" s="10">
        <f t="shared" si="26"/>
        <v>0</v>
      </c>
      <c r="BJ19" s="10">
        <f t="shared" si="26"/>
        <v>0</v>
      </c>
      <c r="BK19" s="10">
        <f t="shared" si="26"/>
        <v>0</v>
      </c>
    </row>
    <row r="20" spans="1:63" s="10" customFormat="1" x14ac:dyDescent="0.25">
      <c r="A20" s="11"/>
      <c r="B20" s="10" t="s">
        <v>305</v>
      </c>
      <c r="C20" s="10" t="s">
        <v>118</v>
      </c>
      <c r="D20"/>
      <c r="E20" s="10">
        <v>0</v>
      </c>
      <c r="F20" s="10">
        <v>0</v>
      </c>
      <c r="G20" s="10">
        <v>0</v>
      </c>
      <c r="H20" s="10">
        <f t="shared" si="18"/>
        <v>0</v>
      </c>
      <c r="I20" s="10">
        <f t="shared" si="18"/>
        <v>0</v>
      </c>
      <c r="J20" s="10">
        <f t="shared" si="18"/>
        <v>0</v>
      </c>
      <c r="K20" s="10">
        <f t="shared" si="18"/>
        <v>0</v>
      </c>
      <c r="L20" s="10">
        <f t="shared" si="18"/>
        <v>0</v>
      </c>
      <c r="M20" s="10">
        <f t="shared" si="18"/>
        <v>0</v>
      </c>
      <c r="N20" s="10">
        <f t="shared" si="18"/>
        <v>0</v>
      </c>
      <c r="O20" s="10">
        <f t="shared" si="18"/>
        <v>0</v>
      </c>
      <c r="Q20" s="10">
        <v>1</v>
      </c>
      <c r="R20" s="10">
        <f t="shared" si="19"/>
        <v>1</v>
      </c>
      <c r="S20" s="10">
        <f t="shared" si="19"/>
        <v>1</v>
      </c>
      <c r="T20" s="10">
        <f t="shared" si="19"/>
        <v>1</v>
      </c>
      <c r="U20" s="10">
        <f t="shared" si="19"/>
        <v>1</v>
      </c>
      <c r="V20" s="10">
        <f t="shared" si="19"/>
        <v>1</v>
      </c>
      <c r="W20" s="10">
        <f t="shared" si="19"/>
        <v>1</v>
      </c>
      <c r="X20" s="10">
        <f t="shared" si="19"/>
        <v>1</v>
      </c>
      <c r="Y20" s="10">
        <f t="shared" si="19"/>
        <v>1</v>
      </c>
      <c r="Z20" s="10">
        <f t="shared" si="19"/>
        <v>1</v>
      </c>
      <c r="AA20" s="10">
        <f t="shared" si="19"/>
        <v>1</v>
      </c>
      <c r="AC20" s="10">
        <v>0</v>
      </c>
      <c r="AD20" s="10">
        <f t="shared" si="24"/>
        <v>0</v>
      </c>
      <c r="AE20" s="10">
        <f t="shared" si="24"/>
        <v>0</v>
      </c>
      <c r="AF20" s="10">
        <f t="shared" si="24"/>
        <v>0</v>
      </c>
      <c r="AG20" s="10">
        <f t="shared" si="24"/>
        <v>0</v>
      </c>
      <c r="AH20" s="10">
        <f t="shared" si="24"/>
        <v>0</v>
      </c>
      <c r="AI20" s="10">
        <f t="shared" si="24"/>
        <v>0</v>
      </c>
      <c r="AJ20" s="10">
        <f t="shared" si="24"/>
        <v>0</v>
      </c>
      <c r="AK20" s="10">
        <f t="shared" si="24"/>
        <v>0</v>
      </c>
      <c r="AL20" s="10">
        <f t="shared" si="24"/>
        <v>0</v>
      </c>
      <c r="AM20" s="10">
        <f t="shared" si="24"/>
        <v>0</v>
      </c>
      <c r="AO20" s="10">
        <v>0</v>
      </c>
      <c r="AP20" s="10">
        <f t="shared" si="25"/>
        <v>0</v>
      </c>
      <c r="AQ20" s="10">
        <f t="shared" si="25"/>
        <v>0</v>
      </c>
      <c r="AR20" s="10">
        <f t="shared" si="25"/>
        <v>0</v>
      </c>
      <c r="AS20" s="10">
        <f t="shared" si="25"/>
        <v>0</v>
      </c>
      <c r="AT20" s="10">
        <f t="shared" si="25"/>
        <v>0</v>
      </c>
      <c r="AU20" s="10">
        <f t="shared" si="25"/>
        <v>0</v>
      </c>
      <c r="AV20" s="10">
        <f t="shared" si="25"/>
        <v>0</v>
      </c>
      <c r="AW20" s="10">
        <f t="shared" si="25"/>
        <v>0</v>
      </c>
      <c r="AX20" s="10">
        <f t="shared" si="25"/>
        <v>0</v>
      </c>
      <c r="AY20" s="10">
        <f t="shared" si="25"/>
        <v>0</v>
      </c>
      <c r="BA20" s="10">
        <v>0</v>
      </c>
      <c r="BB20" s="10">
        <f t="shared" si="26"/>
        <v>0</v>
      </c>
      <c r="BC20" s="10">
        <f t="shared" si="26"/>
        <v>0</v>
      </c>
      <c r="BD20" s="10">
        <f t="shared" si="26"/>
        <v>0</v>
      </c>
      <c r="BE20" s="10">
        <f t="shared" si="26"/>
        <v>0</v>
      </c>
      <c r="BF20" s="10">
        <f t="shared" si="26"/>
        <v>0</v>
      </c>
      <c r="BG20" s="10">
        <f t="shared" si="26"/>
        <v>0</v>
      </c>
      <c r="BH20" s="10">
        <f t="shared" si="26"/>
        <v>0</v>
      </c>
      <c r="BI20" s="10">
        <f t="shared" si="26"/>
        <v>0</v>
      </c>
      <c r="BJ20" s="10">
        <f t="shared" si="26"/>
        <v>0</v>
      </c>
      <c r="BK20" s="10">
        <f t="shared" si="26"/>
        <v>0</v>
      </c>
    </row>
    <row r="21" spans="1:63" x14ac:dyDescent="0.25">
      <c r="A21" s="2"/>
      <c r="B21" s="2"/>
      <c r="E21" t="str">
        <f t="shared" ref="E21:AA21" si="27">CONCATENATE(E20,E19,E18,E17,E16,E15,E14,E13)</f>
        <v>00000000</v>
      </c>
      <c r="F21" t="str">
        <f t="shared" si="27"/>
        <v>00000001</v>
      </c>
      <c r="G21" t="str">
        <f t="shared" si="27"/>
        <v>00110001</v>
      </c>
      <c r="H21" t="str">
        <f t="shared" si="27"/>
        <v>00110001</v>
      </c>
      <c r="I21" t="str">
        <f t="shared" si="27"/>
        <v>00110001</v>
      </c>
      <c r="J21" t="str">
        <f t="shared" si="27"/>
        <v>00110001</v>
      </c>
      <c r="K21" t="str">
        <f t="shared" si="27"/>
        <v>00110001</v>
      </c>
      <c r="L21" t="str">
        <f t="shared" si="27"/>
        <v>00110001</v>
      </c>
      <c r="M21" t="str">
        <f t="shared" si="27"/>
        <v>00110001</v>
      </c>
      <c r="N21" t="str">
        <f t="shared" si="27"/>
        <v>00110001</v>
      </c>
      <c r="O21" t="str">
        <f t="shared" si="27"/>
        <v>00110001</v>
      </c>
      <c r="Q21" t="str">
        <f t="shared" si="27"/>
        <v>11001110</v>
      </c>
      <c r="R21" t="str">
        <f t="shared" si="27"/>
        <v>11001110</v>
      </c>
      <c r="S21" t="str">
        <f t="shared" si="27"/>
        <v>11001110</v>
      </c>
      <c r="T21" t="str">
        <f t="shared" si="27"/>
        <v>11001110</v>
      </c>
      <c r="U21" t="str">
        <f t="shared" si="27"/>
        <v>11001110</v>
      </c>
      <c r="V21" t="str">
        <f t="shared" si="27"/>
        <v>11001110</v>
      </c>
      <c r="W21" t="str">
        <f t="shared" si="27"/>
        <v>11001110</v>
      </c>
      <c r="X21" t="str">
        <f t="shared" si="27"/>
        <v>11001110</v>
      </c>
      <c r="Y21" t="str">
        <f t="shared" si="27"/>
        <v>11001110</v>
      </c>
      <c r="Z21" t="str">
        <f t="shared" si="27"/>
        <v>11001110</v>
      </c>
      <c r="AA21" t="str">
        <f t="shared" si="27"/>
        <v>11001110</v>
      </c>
      <c r="AC21" t="str">
        <f>CONCATENATE(AC20,AC19,AC18,AC17,AC16,AC15,AC14,AC13)</f>
        <v>01001000</v>
      </c>
      <c r="AD21" t="str">
        <f t="shared" ref="AD21:AM21" si="28">CONCATENATE(AD20,AD19,AD18,AD17,AD16,AD15,AD14,AD13)</f>
        <v>01001000</v>
      </c>
      <c r="AE21" t="str">
        <f t="shared" si="28"/>
        <v>01001000</v>
      </c>
      <c r="AF21" t="str">
        <f t="shared" si="28"/>
        <v>01001000</v>
      </c>
      <c r="AG21" t="str">
        <f t="shared" si="28"/>
        <v>01001000</v>
      </c>
      <c r="AH21" t="str">
        <f t="shared" si="28"/>
        <v>01001000</v>
      </c>
      <c r="AI21" t="str">
        <f t="shared" si="28"/>
        <v>01001000</v>
      </c>
      <c r="AJ21" t="str">
        <f t="shared" si="28"/>
        <v>01001000</v>
      </c>
      <c r="AK21" t="str">
        <f t="shared" si="28"/>
        <v>01001000</v>
      </c>
      <c r="AL21" t="str">
        <f t="shared" si="28"/>
        <v>01001000</v>
      </c>
      <c r="AM21" t="str">
        <f t="shared" si="28"/>
        <v>01001000</v>
      </c>
      <c r="AO21" t="str">
        <f t="shared" ref="AO21:AY21" si="29">CONCATENATE(AO20,AO19,AO18,AO17,AO16,AO15,AO14,AO13)</f>
        <v>00000000</v>
      </c>
      <c r="AP21" t="str">
        <f t="shared" si="29"/>
        <v>00000000</v>
      </c>
      <c r="AQ21" t="str">
        <f t="shared" si="29"/>
        <v>00000000</v>
      </c>
      <c r="AR21" t="str">
        <f t="shared" si="29"/>
        <v>00000000</v>
      </c>
      <c r="AS21" t="str">
        <f t="shared" si="29"/>
        <v>00000000</v>
      </c>
      <c r="AT21" t="str">
        <f t="shared" si="29"/>
        <v>00000000</v>
      </c>
      <c r="AU21" t="str">
        <f t="shared" si="29"/>
        <v>00000000</v>
      </c>
      <c r="AV21" t="str">
        <f t="shared" si="29"/>
        <v>00000000</v>
      </c>
      <c r="AW21" t="str">
        <f t="shared" si="29"/>
        <v>00000000</v>
      </c>
      <c r="AX21" t="str">
        <f t="shared" si="29"/>
        <v>00000000</v>
      </c>
      <c r="AY21" t="str">
        <f t="shared" si="29"/>
        <v>00000000</v>
      </c>
      <c r="BA21" t="str">
        <f t="shared" ref="BA21:BK21" si="30">CONCATENATE(BA20,BA19,BA18,BA17,BA16,BA15,BA14,BA13)</f>
        <v>00000000</v>
      </c>
      <c r="BB21" t="str">
        <f t="shared" si="30"/>
        <v>00000000</v>
      </c>
      <c r="BC21" t="str">
        <f t="shared" si="30"/>
        <v>00000000</v>
      </c>
      <c r="BD21" t="str">
        <f t="shared" si="30"/>
        <v>00000000</v>
      </c>
      <c r="BE21" t="str">
        <f t="shared" si="30"/>
        <v>00000000</v>
      </c>
      <c r="BF21" t="str">
        <f t="shared" si="30"/>
        <v>00000000</v>
      </c>
      <c r="BG21" t="str">
        <f t="shared" si="30"/>
        <v>00000000</v>
      </c>
      <c r="BH21" t="str">
        <f t="shared" si="30"/>
        <v>00000000</v>
      </c>
      <c r="BI21" t="str">
        <f t="shared" si="30"/>
        <v>00000000</v>
      </c>
      <c r="BJ21" t="str">
        <f t="shared" si="30"/>
        <v>00000000</v>
      </c>
      <c r="BK21" t="str">
        <f t="shared" si="30"/>
        <v>00000000</v>
      </c>
    </row>
    <row r="22" spans="1:63" x14ac:dyDescent="0.25">
      <c r="A22" s="2"/>
      <c r="B22" s="2" t="s">
        <v>16</v>
      </c>
      <c r="D22" t="s">
        <v>4</v>
      </c>
      <c r="E22" t="str">
        <f t="shared" ref="E22:AA22" si="31">CONCATENATE(BIN2HEX(E21,2))</f>
        <v>00</v>
      </c>
      <c r="F22" t="str">
        <f t="shared" si="31"/>
        <v>01</v>
      </c>
      <c r="G22" t="str">
        <f t="shared" si="31"/>
        <v>31</v>
      </c>
      <c r="H22" t="str">
        <f t="shared" si="31"/>
        <v>31</v>
      </c>
      <c r="I22" t="str">
        <f t="shared" si="31"/>
        <v>31</v>
      </c>
      <c r="J22" t="str">
        <f t="shared" si="31"/>
        <v>31</v>
      </c>
      <c r="K22" t="str">
        <f t="shared" si="31"/>
        <v>31</v>
      </c>
      <c r="L22" t="str">
        <f t="shared" si="31"/>
        <v>31</v>
      </c>
      <c r="M22" t="str">
        <f t="shared" si="31"/>
        <v>31</v>
      </c>
      <c r="N22" t="str">
        <f t="shared" si="31"/>
        <v>31</v>
      </c>
      <c r="O22" t="str">
        <f t="shared" si="31"/>
        <v>31</v>
      </c>
      <c r="Q22" t="str">
        <f t="shared" si="31"/>
        <v>CE</v>
      </c>
      <c r="R22" t="str">
        <f t="shared" si="31"/>
        <v>CE</v>
      </c>
      <c r="S22" t="str">
        <f t="shared" si="31"/>
        <v>CE</v>
      </c>
      <c r="T22" t="str">
        <f t="shared" si="31"/>
        <v>CE</v>
      </c>
      <c r="U22" t="str">
        <f t="shared" si="31"/>
        <v>CE</v>
      </c>
      <c r="V22" t="str">
        <f t="shared" si="31"/>
        <v>CE</v>
      </c>
      <c r="W22" t="str">
        <f t="shared" si="31"/>
        <v>CE</v>
      </c>
      <c r="X22" t="str">
        <f t="shared" si="31"/>
        <v>CE</v>
      </c>
      <c r="Y22" t="str">
        <f t="shared" si="31"/>
        <v>CE</v>
      </c>
      <c r="Z22" t="str">
        <f t="shared" si="31"/>
        <v>CE</v>
      </c>
      <c r="AA22" t="str">
        <f t="shared" si="31"/>
        <v>CE</v>
      </c>
      <c r="AC22" t="str">
        <f>CONCATENATE(BIN2HEX(AC21,2))</f>
        <v>48</v>
      </c>
      <c r="AD22" t="str">
        <f t="shared" ref="AD22:AM22" si="32">CONCATENATE(BIN2HEX(AD21,2))</f>
        <v>48</v>
      </c>
      <c r="AE22" t="str">
        <f t="shared" si="32"/>
        <v>48</v>
      </c>
      <c r="AF22" t="str">
        <f t="shared" si="32"/>
        <v>48</v>
      </c>
      <c r="AG22" t="str">
        <f t="shared" si="32"/>
        <v>48</v>
      </c>
      <c r="AH22" t="str">
        <f t="shared" si="32"/>
        <v>48</v>
      </c>
      <c r="AI22" t="str">
        <f t="shared" si="32"/>
        <v>48</v>
      </c>
      <c r="AJ22" t="str">
        <f t="shared" si="32"/>
        <v>48</v>
      </c>
      <c r="AK22" t="str">
        <f t="shared" si="32"/>
        <v>48</v>
      </c>
      <c r="AL22" t="str">
        <f t="shared" si="32"/>
        <v>48</v>
      </c>
      <c r="AM22" t="str">
        <f t="shared" si="32"/>
        <v>48</v>
      </c>
      <c r="AO22" t="str">
        <f t="shared" ref="AO22:AY22" si="33">CONCATENATE(BIN2HEX(AO21,2))</f>
        <v>00</v>
      </c>
      <c r="AP22" t="str">
        <f t="shared" si="33"/>
        <v>00</v>
      </c>
      <c r="AQ22" t="str">
        <f t="shared" si="33"/>
        <v>00</v>
      </c>
      <c r="AR22" t="str">
        <f t="shared" si="33"/>
        <v>00</v>
      </c>
      <c r="AS22" t="str">
        <f t="shared" si="33"/>
        <v>00</v>
      </c>
      <c r="AT22" t="str">
        <f t="shared" si="33"/>
        <v>00</v>
      </c>
      <c r="AU22" t="str">
        <f t="shared" si="33"/>
        <v>00</v>
      </c>
      <c r="AV22" t="str">
        <f t="shared" si="33"/>
        <v>00</v>
      </c>
      <c r="AW22" t="str">
        <f t="shared" si="33"/>
        <v>00</v>
      </c>
      <c r="AX22" t="str">
        <f t="shared" si="33"/>
        <v>00</v>
      </c>
      <c r="AY22" t="str">
        <f t="shared" si="33"/>
        <v>00</v>
      </c>
      <c r="BA22" t="str">
        <f t="shared" ref="BA22:BK22" si="34">CONCATENATE(BIN2HEX(BA21,2))</f>
        <v>00</v>
      </c>
      <c r="BB22" t="str">
        <f t="shared" si="34"/>
        <v>00</v>
      </c>
      <c r="BC22" t="str">
        <f t="shared" si="34"/>
        <v>00</v>
      </c>
      <c r="BD22" t="str">
        <f t="shared" si="34"/>
        <v>00</v>
      </c>
      <c r="BE22" t="str">
        <f t="shared" si="34"/>
        <v>00</v>
      </c>
      <c r="BF22" t="str">
        <f t="shared" si="34"/>
        <v>00</v>
      </c>
      <c r="BG22" t="str">
        <f t="shared" si="34"/>
        <v>00</v>
      </c>
      <c r="BH22" t="str">
        <f t="shared" si="34"/>
        <v>00</v>
      </c>
      <c r="BI22" t="str">
        <f t="shared" si="34"/>
        <v>00</v>
      </c>
      <c r="BJ22" t="str">
        <f t="shared" si="34"/>
        <v>00</v>
      </c>
      <c r="BK22" t="str">
        <f t="shared" si="34"/>
        <v>00</v>
      </c>
    </row>
    <row r="23" spans="1:63" x14ac:dyDescent="0.25">
      <c r="A23" s="2"/>
      <c r="B23" s="2"/>
      <c r="D23" s="13" t="s">
        <v>215</v>
      </c>
      <c r="E23" t="str">
        <f t="shared" ref="E23:O23" si="35">CONCATENATE("0x",E22,E11)</f>
        <v>0x0000</v>
      </c>
      <c r="F23" t="str">
        <f t="shared" si="35"/>
        <v>0x0100</v>
      </c>
      <c r="G23" t="str">
        <f t="shared" si="35"/>
        <v>0x3132</v>
      </c>
      <c r="H23" t="str">
        <f t="shared" si="35"/>
        <v>0x3133</v>
      </c>
      <c r="I23" t="str">
        <f t="shared" si="35"/>
        <v>0x3113</v>
      </c>
      <c r="J23" t="str">
        <f t="shared" si="35"/>
        <v>0x3123</v>
      </c>
      <c r="K23" t="str">
        <f t="shared" si="35"/>
        <v>0x3133</v>
      </c>
      <c r="L23" t="str">
        <f t="shared" si="35"/>
        <v>0x3133</v>
      </c>
      <c r="M23" t="str">
        <f t="shared" si="35"/>
        <v>0x3133</v>
      </c>
      <c r="N23" t="str">
        <f t="shared" si="35"/>
        <v>0x3133</v>
      </c>
      <c r="O23" t="str">
        <f t="shared" si="35"/>
        <v>0x3133</v>
      </c>
      <c r="Q23" t="str">
        <f t="shared" ref="Q23:AA23" si="36">CONCATENATE("0x",Q22,Q11)</f>
        <v>0xCE8C</v>
      </c>
      <c r="R23" t="str">
        <f t="shared" si="36"/>
        <v>0xCE8C</v>
      </c>
      <c r="S23" t="str">
        <f t="shared" si="36"/>
        <v>0xCE8C</v>
      </c>
      <c r="T23" t="str">
        <f t="shared" si="36"/>
        <v>0xCE8C</v>
      </c>
      <c r="U23" t="str">
        <f t="shared" si="36"/>
        <v>0xCE8C</v>
      </c>
      <c r="V23" t="str">
        <f t="shared" si="36"/>
        <v>0xCE8C</v>
      </c>
      <c r="W23" t="str">
        <f t="shared" si="36"/>
        <v>0xCE8C</v>
      </c>
      <c r="X23" t="str">
        <f t="shared" si="36"/>
        <v>0xCE8C</v>
      </c>
      <c r="Y23" t="str">
        <f t="shared" si="36"/>
        <v>0xCE8C</v>
      </c>
      <c r="Z23" t="str">
        <f t="shared" si="36"/>
        <v>0xCE8C</v>
      </c>
      <c r="AA23" t="str">
        <f t="shared" si="36"/>
        <v>0xCE8C</v>
      </c>
      <c r="AC23" t="str">
        <f>CONCATENATE("0x",AC22,AC11)</f>
        <v>0x4808</v>
      </c>
      <c r="AD23" t="str">
        <f t="shared" ref="AD23:BK23" si="37">CONCATENATE("0x",AD22,AD11)</f>
        <v>0x4808</v>
      </c>
      <c r="AE23" t="str">
        <f t="shared" si="37"/>
        <v>0x4808</v>
      </c>
      <c r="AF23" t="str">
        <f t="shared" si="37"/>
        <v>0x4808</v>
      </c>
      <c r="AG23" t="str">
        <f t="shared" si="37"/>
        <v>0x4808</v>
      </c>
      <c r="AH23" t="str">
        <f t="shared" si="37"/>
        <v>0x4808</v>
      </c>
      <c r="AI23" t="str">
        <f t="shared" si="37"/>
        <v>0x4808</v>
      </c>
      <c r="AJ23" t="str">
        <f t="shared" si="37"/>
        <v>0x4808</v>
      </c>
      <c r="AK23" t="str">
        <f t="shared" si="37"/>
        <v>0x4808</v>
      </c>
      <c r="AL23" t="str">
        <f t="shared" si="37"/>
        <v>0x4808</v>
      </c>
      <c r="AM23" t="str">
        <f t="shared" si="37"/>
        <v>0x4808</v>
      </c>
      <c r="AO23" t="str">
        <f t="shared" si="37"/>
        <v>0x0000</v>
      </c>
      <c r="AP23" t="str">
        <f t="shared" si="37"/>
        <v>0x0000</v>
      </c>
      <c r="AQ23" t="str">
        <f t="shared" si="37"/>
        <v>0x0000</v>
      </c>
      <c r="AR23" t="str">
        <f t="shared" si="37"/>
        <v>0x0000</v>
      </c>
      <c r="AS23" t="str">
        <f t="shared" si="37"/>
        <v>0x0000</v>
      </c>
      <c r="AT23" t="str">
        <f t="shared" si="37"/>
        <v>0x0000</v>
      </c>
      <c r="AU23" t="str">
        <f t="shared" si="37"/>
        <v>0x0000</v>
      </c>
      <c r="AV23" t="str">
        <f t="shared" si="37"/>
        <v>0x0000</v>
      </c>
      <c r="AW23" t="str">
        <f t="shared" si="37"/>
        <v>0x0000</v>
      </c>
      <c r="AX23" t="str">
        <f t="shared" si="37"/>
        <v>0x0000</v>
      </c>
      <c r="AY23" t="str">
        <f t="shared" si="37"/>
        <v>0x0000</v>
      </c>
      <c r="BA23" t="str">
        <f t="shared" si="37"/>
        <v>0x0000</v>
      </c>
      <c r="BB23" t="str">
        <f t="shared" si="37"/>
        <v>0x0000</v>
      </c>
      <c r="BC23" t="str">
        <f t="shared" si="37"/>
        <v>0x0000</v>
      </c>
      <c r="BD23" t="str">
        <f t="shared" si="37"/>
        <v>0x0000</v>
      </c>
      <c r="BE23" t="str">
        <f t="shared" si="37"/>
        <v>0x0000</v>
      </c>
      <c r="BF23" t="str">
        <f t="shared" si="37"/>
        <v>0x0000</v>
      </c>
      <c r="BG23" t="str">
        <f t="shared" si="37"/>
        <v>0x0000</v>
      </c>
      <c r="BH23" t="str">
        <f t="shared" si="37"/>
        <v>0x0000</v>
      </c>
      <c r="BI23" t="str">
        <f t="shared" si="37"/>
        <v>0x0000</v>
      </c>
      <c r="BJ23" t="str">
        <f t="shared" si="37"/>
        <v>0x0000</v>
      </c>
      <c r="BK23" t="str">
        <f t="shared" si="37"/>
        <v>0x0000</v>
      </c>
    </row>
    <row r="24" spans="1:63" x14ac:dyDescent="0.25">
      <c r="A24" s="2"/>
      <c r="B24" s="2"/>
      <c r="D24" s="13" t="s">
        <v>216</v>
      </c>
      <c r="E24" t="str">
        <f>Q23</f>
        <v>0xCE8C</v>
      </c>
      <c r="F24" t="str">
        <f>R23</f>
        <v>0xCE8C</v>
      </c>
      <c r="G24" t="str">
        <f t="shared" ref="G24:O24" si="38">S23</f>
        <v>0xCE8C</v>
      </c>
      <c r="H24" t="str">
        <f t="shared" si="38"/>
        <v>0xCE8C</v>
      </c>
      <c r="I24" t="str">
        <f t="shared" si="38"/>
        <v>0xCE8C</v>
      </c>
      <c r="J24" t="str">
        <f t="shared" si="38"/>
        <v>0xCE8C</v>
      </c>
      <c r="K24" t="str">
        <f t="shared" si="38"/>
        <v>0xCE8C</v>
      </c>
      <c r="L24" t="str">
        <f t="shared" si="38"/>
        <v>0xCE8C</v>
      </c>
      <c r="M24" t="str">
        <f t="shared" si="38"/>
        <v>0xCE8C</v>
      </c>
      <c r="N24" t="str">
        <f t="shared" si="38"/>
        <v>0xCE8C</v>
      </c>
      <c r="O24" t="str">
        <f t="shared" si="38"/>
        <v>0xCE8C</v>
      </c>
      <c r="Q24" t="s">
        <v>216</v>
      </c>
      <c r="AC24" t="s">
        <v>17</v>
      </c>
      <c r="AO24" t="s">
        <v>209</v>
      </c>
      <c r="BA24" t="s">
        <v>210</v>
      </c>
    </row>
    <row r="25" spans="1:63" x14ac:dyDescent="0.25">
      <c r="A25" s="2" t="s">
        <v>208</v>
      </c>
      <c r="B25" s="2"/>
      <c r="D25" s="13" t="s">
        <v>17</v>
      </c>
      <c r="E25" t="str">
        <f>AC23</f>
        <v>0x4808</v>
      </c>
      <c r="F25" t="str">
        <f t="shared" ref="F25:O25" si="39">AD23</f>
        <v>0x4808</v>
      </c>
      <c r="G25" t="str">
        <f t="shared" si="39"/>
        <v>0x4808</v>
      </c>
      <c r="H25" t="str">
        <f t="shared" si="39"/>
        <v>0x4808</v>
      </c>
      <c r="I25" t="str">
        <f t="shared" si="39"/>
        <v>0x4808</v>
      </c>
      <c r="J25" t="str">
        <f t="shared" si="39"/>
        <v>0x4808</v>
      </c>
      <c r="K25" t="str">
        <f t="shared" si="39"/>
        <v>0x4808</v>
      </c>
      <c r="L25" t="str">
        <f t="shared" si="39"/>
        <v>0x4808</v>
      </c>
      <c r="M25" t="str">
        <f t="shared" si="39"/>
        <v>0x4808</v>
      </c>
      <c r="N25" t="str">
        <f t="shared" si="39"/>
        <v>0x4808</v>
      </c>
      <c r="O25" t="str">
        <f t="shared" si="39"/>
        <v>0x4808</v>
      </c>
    </row>
    <row r="26" spans="1:63" x14ac:dyDescent="0.25">
      <c r="A26" s="2" t="s">
        <v>42</v>
      </c>
      <c r="B26" s="2" t="s">
        <v>36</v>
      </c>
      <c r="C26" t="s">
        <v>433</v>
      </c>
      <c r="D26" s="13" t="s">
        <v>209</v>
      </c>
      <c r="E26" t="str">
        <f>AO23</f>
        <v>0x0000</v>
      </c>
      <c r="F26" t="str">
        <f t="shared" ref="F26:O26" si="40">AP23</f>
        <v>0x0000</v>
      </c>
      <c r="G26" t="str">
        <f t="shared" si="40"/>
        <v>0x0000</v>
      </c>
      <c r="H26" t="str">
        <f t="shared" si="40"/>
        <v>0x0000</v>
      </c>
      <c r="I26" t="str">
        <f t="shared" si="40"/>
        <v>0x0000</v>
      </c>
      <c r="J26" t="str">
        <f t="shared" si="40"/>
        <v>0x0000</v>
      </c>
      <c r="K26" t="str">
        <f t="shared" si="40"/>
        <v>0x0000</v>
      </c>
      <c r="L26" t="str">
        <f t="shared" si="40"/>
        <v>0x0000</v>
      </c>
      <c r="M26" t="str">
        <f t="shared" si="40"/>
        <v>0x0000</v>
      </c>
      <c r="N26" t="str">
        <f t="shared" si="40"/>
        <v>0x0000</v>
      </c>
      <c r="O26" t="str">
        <f t="shared" si="40"/>
        <v>0x0000</v>
      </c>
    </row>
    <row r="27" spans="1:63" ht="45" x14ac:dyDescent="0.25">
      <c r="A27" s="1" t="s">
        <v>20</v>
      </c>
      <c r="B27" s="2">
        <v>500</v>
      </c>
      <c r="D27" s="13" t="s">
        <v>210</v>
      </c>
      <c r="E27" t="str">
        <f>BA23</f>
        <v>0x0000</v>
      </c>
      <c r="F27" t="str">
        <f t="shared" ref="F27:O27" si="41">BB23</f>
        <v>0x0000</v>
      </c>
      <c r="G27" t="str">
        <f t="shared" si="41"/>
        <v>0x0000</v>
      </c>
      <c r="H27" t="str">
        <f t="shared" si="41"/>
        <v>0x0000</v>
      </c>
      <c r="I27" t="str">
        <f t="shared" si="41"/>
        <v>0x0000</v>
      </c>
      <c r="J27" t="str">
        <f t="shared" si="41"/>
        <v>0x0000</v>
      </c>
      <c r="K27" t="str">
        <f t="shared" si="41"/>
        <v>0x0000</v>
      </c>
      <c r="L27" t="str">
        <f t="shared" si="41"/>
        <v>0x0000</v>
      </c>
      <c r="M27" t="str">
        <f t="shared" si="41"/>
        <v>0x0000</v>
      </c>
      <c r="N27" t="str">
        <f t="shared" si="41"/>
        <v>0x0000</v>
      </c>
      <c r="O27" t="str">
        <f t="shared" si="41"/>
        <v>0x0000</v>
      </c>
    </row>
    <row r="28" spans="1:63" ht="30" x14ac:dyDescent="0.25">
      <c r="A28" s="1" t="s">
        <v>37</v>
      </c>
      <c r="B28" s="2">
        <v>10</v>
      </c>
    </row>
    <row r="29" spans="1:63" ht="59.25" customHeight="1" x14ac:dyDescent="0.25">
      <c r="A29" s="1" t="s">
        <v>43</v>
      </c>
      <c r="B29" s="2">
        <v>0</v>
      </c>
    </row>
    <row r="30" spans="1:63" x14ac:dyDescent="0.25">
      <c r="A30" s="1" t="s">
        <v>211</v>
      </c>
      <c r="B30" s="11" t="s">
        <v>360</v>
      </c>
    </row>
    <row r="31" spans="1:63" x14ac:dyDescent="0.25">
      <c r="A31" s="4" t="str">
        <f ca="1">CONCATENATE("#",C$26,":",INDIRECT(H33))</f>
        <v>#RadioCard_GNSS_L1_Exp1:wartość safe</v>
      </c>
      <c r="B31" s="2"/>
    </row>
    <row r="32" spans="1:63" x14ac:dyDescent="0.25">
      <c r="A32" s="4" t="str">
        <f>A$25</f>
        <v>device</v>
      </c>
      <c r="B32" s="4" t="str">
        <f>B$26</f>
        <v>MCP23017</v>
      </c>
      <c r="F32">
        <v>5</v>
      </c>
      <c r="G32">
        <v>11</v>
      </c>
      <c r="H32" t="str">
        <f>ADDRESS(G32,F32)</f>
        <v>$E$11</v>
      </c>
    </row>
    <row r="33" spans="1:8" x14ac:dyDescent="0.25">
      <c r="A33" s="4" t="s">
        <v>18</v>
      </c>
      <c r="B33" s="4" t="str">
        <f>B$30</f>
        <v>0x27</v>
      </c>
      <c r="H33" t="str">
        <f>ADDRESS(1,F32)</f>
        <v>$E$1</v>
      </c>
    </row>
    <row r="34" spans="1:8" x14ac:dyDescent="0.25">
      <c r="A34" s="4" t="s">
        <v>206</v>
      </c>
      <c r="B34" s="14" t="s">
        <v>217</v>
      </c>
    </row>
    <row r="35" spans="1:8" x14ac:dyDescent="0.25">
      <c r="A35" s="4" t="str">
        <f ca="1">INDIRECT(G35)</f>
        <v>pins_mode</v>
      </c>
      <c r="B35" s="4" t="str">
        <f ca="1">INDIRECT(H35)</f>
        <v>0xCE8C</v>
      </c>
      <c r="G35" t="str">
        <f>ADDRESS(24,17)</f>
        <v>$Q$24</v>
      </c>
      <c r="H35" t="str">
        <f>ADDRESS(23,17)</f>
        <v>$Q$23</v>
      </c>
    </row>
    <row r="36" spans="1:8" x14ac:dyDescent="0.25">
      <c r="A36" s="4" t="str">
        <f ca="1">INDIRECT(G36)</f>
        <v>pins_state</v>
      </c>
      <c r="B36" s="4" t="str">
        <f ca="1">INDIRECT(H36)</f>
        <v>0x0000</v>
      </c>
      <c r="G36" t="str">
        <f>ADDRESS(23,$F32-1)</f>
        <v>$D$23</v>
      </c>
      <c r="H36" t="str">
        <f>ADDRESS(23,$F32)</f>
        <v>$E$23</v>
      </c>
    </row>
    <row r="37" spans="1:8" x14ac:dyDescent="0.25">
      <c r="A37" s="5"/>
      <c r="B37" s="5"/>
    </row>
    <row r="38" spans="1:8" x14ac:dyDescent="0.25">
      <c r="A38" s="4" t="s">
        <v>212</v>
      </c>
      <c r="B38" s="4">
        <v>500</v>
      </c>
    </row>
    <row r="39" spans="1:8" x14ac:dyDescent="0.25">
      <c r="A39" s="4"/>
      <c r="B39" s="4"/>
    </row>
    <row r="40" spans="1:8" x14ac:dyDescent="0.25">
      <c r="A40" s="4"/>
      <c r="B40" s="4"/>
    </row>
    <row r="41" spans="1:8" x14ac:dyDescent="0.25">
      <c r="A41" s="4"/>
      <c r="B41" s="4"/>
    </row>
    <row r="42" spans="1:8" x14ac:dyDescent="0.25">
      <c r="A42" s="4"/>
      <c r="B42" s="4"/>
    </row>
    <row r="43" spans="1:8" x14ac:dyDescent="0.25">
      <c r="A43" s="4"/>
      <c r="B43" s="4"/>
    </row>
    <row r="44" spans="1:8" x14ac:dyDescent="0.25">
      <c r="A44" s="4"/>
      <c r="B44" s="4"/>
    </row>
    <row r="45" spans="1:8" x14ac:dyDescent="0.25">
      <c r="A45" s="4"/>
      <c r="B45" s="4"/>
    </row>
    <row r="46" spans="1:8" x14ac:dyDescent="0.25">
      <c r="A46" s="4"/>
      <c r="B46" s="4"/>
    </row>
    <row r="47" spans="1:8" x14ac:dyDescent="0.25">
      <c r="A47" s="4"/>
      <c r="B47" s="4"/>
    </row>
    <row r="48" spans="1:8" x14ac:dyDescent="0.25">
      <c r="A48" s="4"/>
      <c r="B48" s="4"/>
    </row>
    <row r="49" spans="1:8" x14ac:dyDescent="0.25">
      <c r="A49" s="4"/>
      <c r="B49" s="4"/>
    </row>
    <row r="50" spans="1:8" x14ac:dyDescent="0.25">
      <c r="A50" s="4"/>
      <c r="B50" s="4"/>
    </row>
    <row r="51" spans="1:8" x14ac:dyDescent="0.25">
      <c r="A51" s="4" t="str">
        <f ca="1">CONCATENATE("#",C$26,":",INDIRECT(H53))</f>
        <v>#RadioCard_GNSS_L1_Exp1:etap 1</v>
      </c>
      <c r="B51" s="5"/>
    </row>
    <row r="52" spans="1:8" x14ac:dyDescent="0.25">
      <c r="A52" s="4" t="str">
        <f>A$25</f>
        <v>device</v>
      </c>
      <c r="B52" s="4" t="str">
        <f>B$26</f>
        <v>MCP23017</v>
      </c>
      <c r="F52">
        <v>6</v>
      </c>
      <c r="G52">
        <v>11</v>
      </c>
      <c r="H52" t="str">
        <f>ADDRESS(G52,F52)</f>
        <v>$F$11</v>
      </c>
    </row>
    <row r="53" spans="1:8" x14ac:dyDescent="0.25">
      <c r="A53" s="4" t="str">
        <f>A$33</f>
        <v>i2c_addr</v>
      </c>
      <c r="B53" s="4" t="str">
        <f>B$33</f>
        <v>0x27</v>
      </c>
      <c r="H53" t="str">
        <f>ADDRESS(1,F52)</f>
        <v>$F$1</v>
      </c>
    </row>
    <row r="54" spans="1:8" x14ac:dyDescent="0.25">
      <c r="A54" s="4" t="str">
        <f>A$34</f>
        <v>i2c_num</v>
      </c>
      <c r="B54" s="4" t="str">
        <f>B$34</f>
        <v>/dev/i2c-1</v>
      </c>
    </row>
    <row r="55" spans="1:8" x14ac:dyDescent="0.25">
      <c r="A55" s="4" t="str">
        <f ca="1">INDIRECT(G55)</f>
        <v>pins_mode</v>
      </c>
      <c r="B55" s="4" t="str">
        <f ca="1">INDIRECT(H55)</f>
        <v>0xCE8C</v>
      </c>
      <c r="G55" s="12" t="s">
        <v>266</v>
      </c>
      <c r="H55" t="str">
        <f>ADDRESS(24,$F52)</f>
        <v>$F$24</v>
      </c>
    </row>
    <row r="56" spans="1:8" x14ac:dyDescent="0.25">
      <c r="A56" s="4" t="str">
        <f ca="1">INDIRECT(G56)</f>
        <v>pins_state</v>
      </c>
      <c r="B56" s="4" t="str">
        <f ca="1">INDIRECT(H56)</f>
        <v>0x0100</v>
      </c>
      <c r="G56" s="12" t="s">
        <v>267</v>
      </c>
      <c r="H56" t="str">
        <f>ADDRESS(23,$F52)</f>
        <v>$F$23</v>
      </c>
    </row>
    <row r="57" spans="1:8" x14ac:dyDescent="0.25">
      <c r="A57" s="4" t="str">
        <f ca="1">INDIRECT(G57)</f>
        <v>pins_pull_up</v>
      </c>
      <c r="B57" s="4" t="str">
        <f t="shared" ref="B57:B59" ca="1" si="42">INDIRECT(H57)</f>
        <v>0x4808</v>
      </c>
      <c r="G57" s="12" t="s">
        <v>306</v>
      </c>
      <c r="H57" t="str">
        <f>ADDRESS(25,$F52)</f>
        <v>$F$25</v>
      </c>
    </row>
    <row r="58" spans="1:8" x14ac:dyDescent="0.25">
      <c r="A58" s="4" t="str">
        <f t="shared" ref="A58:A59" ca="1" si="43">INDIRECT(G58)</f>
        <v>#pins_int</v>
      </c>
      <c r="B58" s="4" t="str">
        <f t="shared" ca="1" si="42"/>
        <v>0x0000</v>
      </c>
      <c r="G58" s="12" t="s">
        <v>318</v>
      </c>
      <c r="H58" t="str">
        <f>ADDRESS(26,$F52)</f>
        <v>$F$26</v>
      </c>
    </row>
    <row r="59" spans="1:8" x14ac:dyDescent="0.25">
      <c r="A59" s="4" t="str">
        <f t="shared" ca="1" si="43"/>
        <v>#pins_def_val</v>
      </c>
      <c r="B59" s="4" t="str">
        <f t="shared" ca="1" si="42"/>
        <v>0x0000</v>
      </c>
      <c r="G59" s="12" t="s">
        <v>319</v>
      </c>
      <c r="H59" t="str">
        <f>ADDRESS(27,$F52)</f>
        <v>$F$27</v>
      </c>
    </row>
    <row r="60" spans="1:8" x14ac:dyDescent="0.25">
      <c r="A60" s="5"/>
      <c r="B60" s="5"/>
    </row>
    <row r="61" spans="1:8" x14ac:dyDescent="0.25">
      <c r="A61" s="4" t="str">
        <f>A38</f>
        <v>time</v>
      </c>
      <c r="B61" s="4">
        <f>B$28</f>
        <v>10</v>
      </c>
    </row>
    <row r="62" spans="1:8" x14ac:dyDescent="0.25">
      <c r="A62" s="4"/>
      <c r="B62" s="4"/>
    </row>
    <row r="63" spans="1:8" x14ac:dyDescent="0.25">
      <c r="A63" s="4"/>
      <c r="B63" s="4"/>
    </row>
    <row r="64" spans="1:8" x14ac:dyDescent="0.25">
      <c r="A64" s="4"/>
      <c r="B64" s="4"/>
    </row>
    <row r="65" spans="1:8" x14ac:dyDescent="0.25">
      <c r="A65" s="4"/>
      <c r="B65" s="4"/>
    </row>
    <row r="66" spans="1:8" x14ac:dyDescent="0.25">
      <c r="A66" s="4"/>
      <c r="B66" s="4"/>
    </row>
    <row r="67" spans="1:8" x14ac:dyDescent="0.25">
      <c r="A67" s="4"/>
      <c r="B67" s="4"/>
    </row>
    <row r="68" spans="1:8" x14ac:dyDescent="0.25">
      <c r="A68" s="4"/>
      <c r="B68" s="4"/>
    </row>
    <row r="69" spans="1:8" x14ac:dyDescent="0.25">
      <c r="A69" s="4"/>
      <c r="B69" s="4"/>
    </row>
    <row r="70" spans="1:8" x14ac:dyDescent="0.25">
      <c r="A70" s="4"/>
      <c r="B70" s="4"/>
    </row>
    <row r="71" spans="1:8" x14ac:dyDescent="0.25">
      <c r="A71" s="4" t="str">
        <f ca="1">CONCATENATE("#",C$26,":",INDIRECT(H73))</f>
        <v>#RadioCard_GNSS_L1_Exp1:etap 2</v>
      </c>
      <c r="B71" s="5"/>
    </row>
    <row r="72" spans="1:8" x14ac:dyDescent="0.25">
      <c r="A72" s="4" t="str">
        <f>A$25</f>
        <v>device</v>
      </c>
      <c r="B72" s="4" t="str">
        <f>B$26</f>
        <v>MCP23017</v>
      </c>
      <c r="F72">
        <v>7</v>
      </c>
      <c r="G72">
        <v>11</v>
      </c>
      <c r="H72" t="str">
        <f>ADDRESS(G72,F72)</f>
        <v>$G$11</v>
      </c>
    </row>
    <row r="73" spans="1:8" x14ac:dyDescent="0.25">
      <c r="A73" s="4" t="str">
        <f>A$33</f>
        <v>i2c_addr</v>
      </c>
      <c r="B73" s="4" t="str">
        <f>B$33</f>
        <v>0x27</v>
      </c>
      <c r="H73" t="str">
        <f>ADDRESS(1,F72)</f>
        <v>$G$1</v>
      </c>
    </row>
    <row r="74" spans="1:8" x14ac:dyDescent="0.25">
      <c r="A74" s="4" t="str">
        <f>A$34</f>
        <v>i2c_num</v>
      </c>
      <c r="B74" s="4" t="str">
        <f>B$34</f>
        <v>/dev/i2c-1</v>
      </c>
    </row>
    <row r="75" spans="1:8" x14ac:dyDescent="0.25">
      <c r="A75" s="4" t="str">
        <f ca="1">INDIRECT(G75)</f>
        <v>pins_mode</v>
      </c>
      <c r="B75" s="4" t="str">
        <f ca="1">INDIRECT(H75)</f>
        <v>0xCE8C</v>
      </c>
      <c r="G75" s="12" t="s">
        <v>266</v>
      </c>
      <c r="H75" t="str">
        <f>ADDRESS(24,$F72)</f>
        <v>$G$24</v>
      </c>
    </row>
    <row r="76" spans="1:8" x14ac:dyDescent="0.25">
      <c r="A76" s="4" t="str">
        <f ca="1">INDIRECT(G76)</f>
        <v>pins_state</v>
      </c>
      <c r="B76" s="4" t="str">
        <f ca="1">INDIRECT(H76)</f>
        <v>0x3132</v>
      </c>
      <c r="G76" s="12" t="s">
        <v>267</v>
      </c>
      <c r="H76" t="str">
        <f>ADDRESS(23,$F72)</f>
        <v>$G$23</v>
      </c>
    </row>
    <row r="77" spans="1:8" x14ac:dyDescent="0.25">
      <c r="A77" s="4" t="str">
        <f ca="1">INDIRECT(G77)</f>
        <v>pins_pull_up</v>
      </c>
      <c r="B77" s="4" t="str">
        <f t="shared" ref="B77:B79" ca="1" si="44">INDIRECT(H77)</f>
        <v>0x4808</v>
      </c>
      <c r="G77" s="12" t="s">
        <v>306</v>
      </c>
      <c r="H77" t="str">
        <f>ADDRESS(25,$F72)</f>
        <v>$G$25</v>
      </c>
    </row>
    <row r="78" spans="1:8" x14ac:dyDescent="0.25">
      <c r="A78" s="4" t="str">
        <f t="shared" ref="A78:A79" ca="1" si="45">INDIRECT(G78)</f>
        <v>#pins_int</v>
      </c>
      <c r="B78" s="4" t="str">
        <f t="shared" ca="1" si="44"/>
        <v>0x0000</v>
      </c>
      <c r="G78" s="12" t="s">
        <v>318</v>
      </c>
      <c r="H78" t="str">
        <f>ADDRESS(26,$F72)</f>
        <v>$G$26</v>
      </c>
    </row>
    <row r="79" spans="1:8" x14ac:dyDescent="0.25">
      <c r="A79" s="4" t="str">
        <f t="shared" ca="1" si="45"/>
        <v>#pins_def_val</v>
      </c>
      <c r="B79" s="4" t="str">
        <f t="shared" ca="1" si="44"/>
        <v>0x0000</v>
      </c>
      <c r="G79" s="12" t="s">
        <v>319</v>
      </c>
      <c r="H79" t="str">
        <f>ADDRESS(27,$F72)</f>
        <v>$G$27</v>
      </c>
    </row>
    <row r="80" spans="1:8" x14ac:dyDescent="0.25">
      <c r="A80" s="5"/>
      <c r="B80" s="5"/>
    </row>
    <row r="81" spans="1:8" x14ac:dyDescent="0.25">
      <c r="A81" s="4" t="str">
        <f ca="1">A58</f>
        <v>#pins_int</v>
      </c>
      <c r="B81" s="4">
        <f>B$28</f>
        <v>10</v>
      </c>
    </row>
    <row r="82" spans="1:8" x14ac:dyDescent="0.25">
      <c r="A82" s="4"/>
      <c r="B82" s="4"/>
    </row>
    <row r="83" spans="1:8" x14ac:dyDescent="0.25">
      <c r="A83" s="4"/>
      <c r="B83" s="4"/>
    </row>
    <row r="84" spans="1:8" x14ac:dyDescent="0.25">
      <c r="A84" s="4"/>
      <c r="B84" s="4"/>
    </row>
    <row r="85" spans="1:8" x14ac:dyDescent="0.25">
      <c r="A85" s="4"/>
      <c r="B85" s="4"/>
    </row>
    <row r="86" spans="1:8" x14ac:dyDescent="0.25">
      <c r="A86" s="4"/>
      <c r="B86" s="4"/>
    </row>
    <row r="87" spans="1:8" x14ac:dyDescent="0.25">
      <c r="A87" s="4"/>
      <c r="B87" s="4"/>
    </row>
    <row r="88" spans="1:8" x14ac:dyDescent="0.25">
      <c r="A88" s="4"/>
      <c r="B88" s="4"/>
    </row>
    <row r="89" spans="1:8" x14ac:dyDescent="0.25">
      <c r="A89" s="4"/>
      <c r="B89" s="4"/>
    </row>
    <row r="90" spans="1:8" x14ac:dyDescent="0.25">
      <c r="A90" s="4"/>
      <c r="B90" s="4"/>
    </row>
    <row r="91" spans="1:8" x14ac:dyDescent="0.25">
      <c r="A91" s="4" t="str">
        <f ca="1">CONCATENATE("#",C$26,":",INDIRECT(H93))</f>
        <v>#RadioCard_GNSS_L1_Exp1:etap 3</v>
      </c>
      <c r="B91" s="5"/>
    </row>
    <row r="92" spans="1:8" x14ac:dyDescent="0.25">
      <c r="A92" s="4" t="str">
        <f>A$25</f>
        <v>device</v>
      </c>
      <c r="B92" s="4" t="str">
        <f>B$26</f>
        <v>MCP23017</v>
      </c>
      <c r="F92">
        <v>8</v>
      </c>
      <c r="G92">
        <v>11</v>
      </c>
      <c r="H92" t="str">
        <f>ADDRESS(G92,F92)</f>
        <v>$H$11</v>
      </c>
    </row>
    <row r="93" spans="1:8" x14ac:dyDescent="0.25">
      <c r="A93" s="4" t="str">
        <f>A$33</f>
        <v>i2c_addr</v>
      </c>
      <c r="B93" s="4" t="str">
        <f>B$33</f>
        <v>0x27</v>
      </c>
      <c r="H93" t="str">
        <f>ADDRESS(1,F92)</f>
        <v>$H$1</v>
      </c>
    </row>
    <row r="94" spans="1:8" x14ac:dyDescent="0.25">
      <c r="A94" s="4" t="str">
        <f>A$34</f>
        <v>i2c_num</v>
      </c>
      <c r="B94" s="4" t="str">
        <f>B$34</f>
        <v>/dev/i2c-1</v>
      </c>
    </row>
    <row r="95" spans="1:8" x14ac:dyDescent="0.25">
      <c r="A95" s="4" t="str">
        <f ca="1">INDIRECT(G95)</f>
        <v>pins_mode</v>
      </c>
      <c r="B95" s="4" t="str">
        <f ca="1">INDIRECT(H95)</f>
        <v>0xCE8C</v>
      </c>
      <c r="G95" s="12" t="s">
        <v>266</v>
      </c>
      <c r="H95" t="str">
        <f>ADDRESS(24,$F92)</f>
        <v>$H$24</v>
      </c>
    </row>
    <row r="96" spans="1:8" x14ac:dyDescent="0.25">
      <c r="A96" s="4" t="str">
        <f ca="1">INDIRECT(G96)</f>
        <v>pins_state</v>
      </c>
      <c r="B96" s="4" t="str">
        <f ca="1">INDIRECT(H96)</f>
        <v>0x3133</v>
      </c>
      <c r="G96" s="12" t="s">
        <v>267</v>
      </c>
      <c r="H96" t="str">
        <f>ADDRESS(23,$F92)</f>
        <v>$H$23</v>
      </c>
    </row>
    <row r="97" spans="1:8" x14ac:dyDescent="0.25">
      <c r="A97" s="4" t="str">
        <f ca="1">INDIRECT(G97)</f>
        <v>pins_pull_up</v>
      </c>
      <c r="B97" s="4" t="str">
        <f t="shared" ref="B97:B99" ca="1" si="46">INDIRECT(H97)</f>
        <v>0x4808</v>
      </c>
      <c r="G97" s="12" t="s">
        <v>306</v>
      </c>
      <c r="H97" t="str">
        <f>ADDRESS(25,$F92)</f>
        <v>$H$25</v>
      </c>
    </row>
    <row r="98" spans="1:8" x14ac:dyDescent="0.25">
      <c r="A98" s="4" t="str">
        <f t="shared" ref="A98:A99" ca="1" si="47">INDIRECT(G98)</f>
        <v>#pins_int</v>
      </c>
      <c r="B98" s="4" t="str">
        <f t="shared" ca="1" si="46"/>
        <v>0x0000</v>
      </c>
      <c r="G98" s="12" t="s">
        <v>318</v>
      </c>
      <c r="H98" t="str">
        <f>ADDRESS(26,$F92)</f>
        <v>$H$26</v>
      </c>
    </row>
    <row r="99" spans="1:8" x14ac:dyDescent="0.25">
      <c r="A99" s="4" t="str">
        <f t="shared" ca="1" si="47"/>
        <v>#pins_def_val</v>
      </c>
      <c r="B99" s="4" t="str">
        <f t="shared" ca="1" si="46"/>
        <v>0x0000</v>
      </c>
      <c r="G99" s="12" t="s">
        <v>319</v>
      </c>
      <c r="H99" t="str">
        <f>ADDRESS(27,$F92)</f>
        <v>$H$27</v>
      </c>
    </row>
    <row r="100" spans="1:8" x14ac:dyDescent="0.25">
      <c r="A100" s="5"/>
      <c r="B100" s="5"/>
    </row>
    <row r="101" spans="1:8" x14ac:dyDescent="0.25">
      <c r="A101" s="4" t="str">
        <f ca="1">A78</f>
        <v>#pins_int</v>
      </c>
      <c r="B101" s="4">
        <f>B$28</f>
        <v>10</v>
      </c>
    </row>
    <row r="102" spans="1:8" x14ac:dyDescent="0.25">
      <c r="A102" s="4"/>
      <c r="B102" s="4"/>
    </row>
    <row r="103" spans="1:8" x14ac:dyDescent="0.25">
      <c r="A103" s="4"/>
      <c r="B103" s="4"/>
    </row>
    <row r="104" spans="1:8" x14ac:dyDescent="0.25">
      <c r="A104" s="4"/>
      <c r="B104" s="4"/>
    </row>
    <row r="105" spans="1:8" x14ac:dyDescent="0.25">
      <c r="A105" s="4"/>
      <c r="B105" s="4"/>
    </row>
    <row r="106" spans="1:8" x14ac:dyDescent="0.25">
      <c r="A106" s="4"/>
      <c r="B106" s="4"/>
    </row>
    <row r="107" spans="1:8" x14ac:dyDescent="0.25">
      <c r="A107" s="4"/>
      <c r="B107" s="4"/>
    </row>
    <row r="108" spans="1:8" x14ac:dyDescent="0.25">
      <c r="A108" s="4"/>
      <c r="B108" s="4"/>
    </row>
    <row r="109" spans="1:8" x14ac:dyDescent="0.25">
      <c r="A109" s="4"/>
      <c r="B109" s="4"/>
    </row>
    <row r="110" spans="1:8" x14ac:dyDescent="0.25">
      <c r="A110" s="4"/>
      <c r="B110" s="4"/>
    </row>
    <row r="111" spans="1:8" x14ac:dyDescent="0.25">
      <c r="A111" s="4" t="str">
        <f ca="1">CONCATENATE("#",C$26,":",INDIRECT(H113))</f>
        <v>#RadioCard_GNSS_L1_Exp1:etap 4- LMK</v>
      </c>
      <c r="B111" s="5"/>
    </row>
    <row r="112" spans="1:8" x14ac:dyDescent="0.25">
      <c r="A112" s="4" t="str">
        <f>A$25</f>
        <v>device</v>
      </c>
      <c r="B112" s="4" t="str">
        <f>B$26</f>
        <v>MCP23017</v>
      </c>
      <c r="F112">
        <v>9</v>
      </c>
      <c r="G112">
        <v>11</v>
      </c>
      <c r="H112" t="str">
        <f>ADDRESS(G112,F112)</f>
        <v>$I$11</v>
      </c>
    </row>
    <row r="113" spans="1:8" x14ac:dyDescent="0.25">
      <c r="A113" s="4" t="str">
        <f>A$33</f>
        <v>i2c_addr</v>
      </c>
      <c r="B113" s="4" t="str">
        <f>B$33</f>
        <v>0x27</v>
      </c>
      <c r="H113" t="str">
        <f>ADDRESS(1,F112)</f>
        <v>$I$1</v>
      </c>
    </row>
    <row r="114" spans="1:8" x14ac:dyDescent="0.25">
      <c r="A114" s="4" t="str">
        <f>A$34</f>
        <v>i2c_num</v>
      </c>
      <c r="B114" s="4" t="str">
        <f>B$34</f>
        <v>/dev/i2c-1</v>
      </c>
    </row>
    <row r="115" spans="1:8" x14ac:dyDescent="0.25">
      <c r="A115" s="4" t="str">
        <f ca="1">INDIRECT(G115)</f>
        <v>pins_mode</v>
      </c>
      <c r="B115" s="4" t="str">
        <f ca="1">INDIRECT(H115)</f>
        <v>0xCE8C</v>
      </c>
      <c r="G115" s="12" t="s">
        <v>266</v>
      </c>
      <c r="H115" t="str">
        <f>ADDRESS(24,$F112)</f>
        <v>$I$24</v>
      </c>
    </row>
    <row r="116" spans="1:8" x14ac:dyDescent="0.25">
      <c r="A116" s="4" t="str">
        <f ca="1">INDIRECT(G116)</f>
        <v>pins_state</v>
      </c>
      <c r="B116" s="4" t="str">
        <f ca="1">INDIRECT(H116)</f>
        <v>0x3113</v>
      </c>
      <c r="G116" s="12" t="s">
        <v>267</v>
      </c>
      <c r="H116" t="str">
        <f>ADDRESS(23,$F112)</f>
        <v>$I$23</v>
      </c>
    </row>
    <row r="117" spans="1:8" x14ac:dyDescent="0.25">
      <c r="A117" s="4" t="str">
        <f ca="1">INDIRECT(G117)</f>
        <v>pins_pull_up</v>
      </c>
      <c r="B117" s="4" t="str">
        <f t="shared" ref="B117:B119" ca="1" si="48">INDIRECT(H117)</f>
        <v>0x4808</v>
      </c>
      <c r="G117" s="12" t="s">
        <v>306</v>
      </c>
      <c r="H117" t="str">
        <f>ADDRESS(25,$F112)</f>
        <v>$I$25</v>
      </c>
    </row>
    <row r="118" spans="1:8" x14ac:dyDescent="0.25">
      <c r="A118" s="4" t="str">
        <f t="shared" ref="A118:A119" ca="1" si="49">INDIRECT(G118)</f>
        <v>#pins_int</v>
      </c>
      <c r="B118" s="4" t="str">
        <f t="shared" ca="1" si="48"/>
        <v>0x0000</v>
      </c>
      <c r="G118" s="12" t="s">
        <v>318</v>
      </c>
      <c r="H118" t="str">
        <f>ADDRESS(26,$F112)</f>
        <v>$I$26</v>
      </c>
    </row>
    <row r="119" spans="1:8" x14ac:dyDescent="0.25">
      <c r="A119" s="4" t="str">
        <f t="shared" ca="1" si="49"/>
        <v>#pins_def_val</v>
      </c>
      <c r="B119" s="4" t="str">
        <f t="shared" ca="1" si="48"/>
        <v>0x0000</v>
      </c>
      <c r="G119" s="12" t="s">
        <v>319</v>
      </c>
      <c r="H119" t="str">
        <f>ADDRESS(27,$F112)</f>
        <v>$I$27</v>
      </c>
    </row>
    <row r="120" spans="1:8" x14ac:dyDescent="0.25">
      <c r="A120" s="5"/>
      <c r="B120" s="5"/>
    </row>
    <row r="121" spans="1:8" x14ac:dyDescent="0.25">
      <c r="A121" s="4" t="str">
        <f ca="1">A98</f>
        <v>#pins_int</v>
      </c>
      <c r="B121" s="4">
        <f>B$28</f>
        <v>10</v>
      </c>
    </row>
    <row r="122" spans="1:8" x14ac:dyDescent="0.25">
      <c r="A122" s="4"/>
      <c r="B122" s="4"/>
    </row>
    <row r="123" spans="1:8" x14ac:dyDescent="0.25">
      <c r="A123" s="4"/>
      <c r="B123" s="4"/>
    </row>
    <row r="124" spans="1:8" x14ac:dyDescent="0.25">
      <c r="A124" s="4"/>
      <c r="B124" s="4"/>
    </row>
    <row r="125" spans="1:8" x14ac:dyDescent="0.25">
      <c r="A125" s="4"/>
      <c r="B125" s="4"/>
    </row>
    <row r="126" spans="1:8" x14ac:dyDescent="0.25">
      <c r="A126" s="4"/>
      <c r="B126" s="4"/>
    </row>
    <row r="127" spans="1:8" x14ac:dyDescent="0.25">
      <c r="A127" s="4"/>
      <c r="B127" s="4"/>
    </row>
    <row r="128" spans="1:8" x14ac:dyDescent="0.25">
      <c r="A128" s="4"/>
      <c r="B128" s="4"/>
    </row>
    <row r="129" spans="1:8" x14ac:dyDescent="0.25">
      <c r="A129" s="4"/>
      <c r="B129" s="4"/>
    </row>
    <row r="130" spans="1:8" x14ac:dyDescent="0.25">
      <c r="A130" s="4"/>
      <c r="B130" s="4"/>
    </row>
    <row r="131" spans="1:8" x14ac:dyDescent="0.25">
      <c r="A131" s="4" t="str">
        <f ca="1">CONCATENATE("#",C$26,":",INDIRECT(H133))</f>
        <v>#RadioCard_GNSS_L1_Exp1:etap 5 LTC</v>
      </c>
      <c r="B131" s="5"/>
    </row>
    <row r="132" spans="1:8" x14ac:dyDescent="0.25">
      <c r="A132" s="4" t="str">
        <f>A$25</f>
        <v>device</v>
      </c>
      <c r="B132" s="4" t="str">
        <f>B$26</f>
        <v>MCP23017</v>
      </c>
      <c r="F132">
        <v>10</v>
      </c>
      <c r="G132">
        <v>11</v>
      </c>
      <c r="H132" t="str">
        <f>ADDRESS(G132,F132)</f>
        <v>$J$11</v>
      </c>
    </row>
    <row r="133" spans="1:8" x14ac:dyDescent="0.25">
      <c r="A133" s="4" t="str">
        <f>A$33</f>
        <v>i2c_addr</v>
      </c>
      <c r="B133" s="4" t="str">
        <f>B$33</f>
        <v>0x27</v>
      </c>
      <c r="H133" t="str">
        <f>ADDRESS(1,F132)</f>
        <v>$J$1</v>
      </c>
    </row>
    <row r="134" spans="1:8" x14ac:dyDescent="0.25">
      <c r="A134" s="4" t="str">
        <f>A$34</f>
        <v>i2c_num</v>
      </c>
      <c r="B134" s="4" t="str">
        <f>B$34</f>
        <v>/dev/i2c-1</v>
      </c>
    </row>
    <row r="135" spans="1:8" x14ac:dyDescent="0.25">
      <c r="A135" s="4" t="str">
        <f ca="1">INDIRECT(G135)</f>
        <v>pins_mode</v>
      </c>
      <c r="B135" s="4" t="str">
        <f ca="1">INDIRECT(H135)</f>
        <v>0xCE8C</v>
      </c>
      <c r="G135" s="12" t="s">
        <v>266</v>
      </c>
      <c r="H135" t="str">
        <f>ADDRESS(24,$F132)</f>
        <v>$J$24</v>
      </c>
    </row>
    <row r="136" spans="1:8" x14ac:dyDescent="0.25">
      <c r="A136" s="4" t="str">
        <f ca="1">INDIRECT(G136)</f>
        <v>pins_state</v>
      </c>
      <c r="B136" s="4" t="str">
        <f ca="1">INDIRECT(H136)</f>
        <v>0x3123</v>
      </c>
      <c r="G136" s="12" t="s">
        <v>267</v>
      </c>
      <c r="H136" t="str">
        <f>ADDRESS(23,$F132)</f>
        <v>$J$23</v>
      </c>
    </row>
    <row r="137" spans="1:8" x14ac:dyDescent="0.25">
      <c r="A137" s="4" t="str">
        <f ca="1">INDIRECT(G137)</f>
        <v>pins_pull_up</v>
      </c>
      <c r="B137" s="4" t="str">
        <f t="shared" ref="B137:B139" ca="1" si="50">INDIRECT(H137)</f>
        <v>0x4808</v>
      </c>
      <c r="G137" s="12" t="s">
        <v>306</v>
      </c>
      <c r="H137" t="str">
        <f>ADDRESS(25,$F132)</f>
        <v>$J$25</v>
      </c>
    </row>
    <row r="138" spans="1:8" x14ac:dyDescent="0.25">
      <c r="A138" s="4" t="str">
        <f t="shared" ref="A138:A139" ca="1" si="51">INDIRECT(G138)</f>
        <v>#pins_int</v>
      </c>
      <c r="B138" s="4" t="str">
        <f t="shared" ca="1" si="50"/>
        <v>0x0000</v>
      </c>
      <c r="G138" s="12" t="s">
        <v>318</v>
      </c>
      <c r="H138" t="str">
        <f>ADDRESS(26,$F132)</f>
        <v>$J$26</v>
      </c>
    </row>
    <row r="139" spans="1:8" x14ac:dyDescent="0.25">
      <c r="A139" s="4" t="str">
        <f t="shared" ca="1" si="51"/>
        <v>#pins_def_val</v>
      </c>
      <c r="B139" s="4" t="str">
        <f t="shared" ca="1" si="50"/>
        <v>0x0000</v>
      </c>
      <c r="G139" s="12" t="s">
        <v>319</v>
      </c>
      <c r="H139" t="str">
        <f>ADDRESS(27,$F132)</f>
        <v>$J$27</v>
      </c>
    </row>
    <row r="140" spans="1:8" x14ac:dyDescent="0.25">
      <c r="A140" s="5"/>
      <c r="B140" s="5"/>
    </row>
    <row r="141" spans="1:8" x14ac:dyDescent="0.25">
      <c r="A141" s="4" t="str">
        <f ca="1">A118</f>
        <v>#pins_int</v>
      </c>
      <c r="B141" s="4">
        <f>B$28</f>
        <v>10</v>
      </c>
    </row>
    <row r="142" spans="1:8" x14ac:dyDescent="0.25">
      <c r="A142" s="4"/>
      <c r="B142" s="4"/>
    </row>
    <row r="143" spans="1:8" x14ac:dyDescent="0.25">
      <c r="A143" s="4"/>
      <c r="B143" s="4"/>
    </row>
    <row r="144" spans="1:8" x14ac:dyDescent="0.25">
      <c r="A144" s="4"/>
      <c r="B144" s="4"/>
    </row>
    <row r="145" spans="1:8" x14ac:dyDescent="0.25">
      <c r="A145" s="4"/>
      <c r="B145" s="4"/>
    </row>
    <row r="146" spans="1:8" x14ac:dyDescent="0.25">
      <c r="A146" s="4"/>
      <c r="B146" s="4"/>
    </row>
    <row r="147" spans="1:8" x14ac:dyDescent="0.25">
      <c r="A147" s="4"/>
      <c r="B147" s="4"/>
    </row>
    <row r="148" spans="1:8" x14ac:dyDescent="0.25">
      <c r="A148" s="4"/>
      <c r="B148" s="4"/>
    </row>
    <row r="149" spans="1:8" x14ac:dyDescent="0.25">
      <c r="A149" s="4"/>
      <c r="B149" s="4"/>
    </row>
    <row r="150" spans="1:8" x14ac:dyDescent="0.25">
      <c r="A150" s="4"/>
      <c r="B150" s="4"/>
    </row>
    <row r="151" spans="1:8" x14ac:dyDescent="0.25">
      <c r="A151" s="4" t="str">
        <f ca="1">CONCATENATE("#",C$26,":",INDIRECT(H153))</f>
        <v>#RadioCard_GNSS_L1_Exp1:etap 6</v>
      </c>
      <c r="B151" s="5"/>
    </row>
    <row r="152" spans="1:8" x14ac:dyDescent="0.25">
      <c r="A152" s="4" t="str">
        <f>A$25</f>
        <v>device</v>
      </c>
      <c r="B152" s="4" t="str">
        <f>B$26</f>
        <v>MCP23017</v>
      </c>
      <c r="F152">
        <v>11</v>
      </c>
      <c r="G152">
        <v>11</v>
      </c>
      <c r="H152" t="str">
        <f>ADDRESS(G152,F152)</f>
        <v>$K$11</v>
      </c>
    </row>
    <row r="153" spans="1:8" x14ac:dyDescent="0.25">
      <c r="A153" s="4" t="str">
        <f>A$33</f>
        <v>i2c_addr</v>
      </c>
      <c r="B153" s="4" t="str">
        <f>B$33</f>
        <v>0x27</v>
      </c>
      <c r="H153" t="str">
        <f>ADDRESS(1,F152)</f>
        <v>$K$1</v>
      </c>
    </row>
    <row r="154" spans="1:8" x14ac:dyDescent="0.25">
      <c r="A154" s="4" t="str">
        <f>A$34</f>
        <v>i2c_num</v>
      </c>
      <c r="B154" s="4" t="str">
        <f>B$34</f>
        <v>/dev/i2c-1</v>
      </c>
    </row>
    <row r="155" spans="1:8" x14ac:dyDescent="0.25">
      <c r="A155" s="4" t="str">
        <f ca="1">INDIRECT(G155)</f>
        <v>pins_mode</v>
      </c>
      <c r="B155" s="4" t="str">
        <f ca="1">INDIRECT(H155)</f>
        <v>0xCE8C</v>
      </c>
      <c r="G155" s="12" t="s">
        <v>266</v>
      </c>
      <c r="H155" t="str">
        <f>ADDRESS(24,$F152)</f>
        <v>$K$24</v>
      </c>
    </row>
    <row r="156" spans="1:8" x14ac:dyDescent="0.25">
      <c r="A156" s="4" t="str">
        <f ca="1">INDIRECT(G156)</f>
        <v>pins_state</v>
      </c>
      <c r="B156" s="4" t="str">
        <f ca="1">INDIRECT(H156)</f>
        <v>0x3133</v>
      </c>
      <c r="G156" s="12" t="s">
        <v>267</v>
      </c>
      <c r="H156" t="str">
        <f>ADDRESS(23,$F152)</f>
        <v>$K$23</v>
      </c>
    </row>
    <row r="157" spans="1:8" x14ac:dyDescent="0.25">
      <c r="A157" s="4" t="str">
        <f ca="1">INDIRECT(G157)</f>
        <v>pins_pull_up</v>
      </c>
      <c r="B157" s="4" t="str">
        <f t="shared" ref="B157:B159" ca="1" si="52">INDIRECT(H157)</f>
        <v>0x4808</v>
      </c>
      <c r="G157" s="12" t="s">
        <v>306</v>
      </c>
      <c r="H157" t="str">
        <f>ADDRESS(25,$F152)</f>
        <v>$K$25</v>
      </c>
    </row>
    <row r="158" spans="1:8" x14ac:dyDescent="0.25">
      <c r="A158" s="4" t="str">
        <f t="shared" ref="A158:A159" ca="1" si="53">INDIRECT(G158)</f>
        <v>#pins_int</v>
      </c>
      <c r="B158" s="4" t="str">
        <f t="shared" ca="1" si="52"/>
        <v>0x0000</v>
      </c>
      <c r="G158" s="12" t="s">
        <v>318</v>
      </c>
      <c r="H158" t="str">
        <f>ADDRESS(26,$F152)</f>
        <v>$K$26</v>
      </c>
    </row>
    <row r="159" spans="1:8" x14ac:dyDescent="0.25">
      <c r="A159" s="4" t="str">
        <f t="shared" ca="1" si="53"/>
        <v>#pins_def_val</v>
      </c>
      <c r="B159" s="4" t="str">
        <f t="shared" ca="1" si="52"/>
        <v>0x0000</v>
      </c>
      <c r="G159" s="12" t="s">
        <v>319</v>
      </c>
      <c r="H159" t="str">
        <f>ADDRESS(27,$F152)</f>
        <v>$K$27</v>
      </c>
    </row>
    <row r="160" spans="1:8" x14ac:dyDescent="0.25">
      <c r="A160" s="5"/>
      <c r="B160" s="5"/>
    </row>
    <row r="161" spans="1:8" x14ac:dyDescent="0.25">
      <c r="A161" s="4" t="str">
        <f ca="1">A138</f>
        <v>#pins_int</v>
      </c>
      <c r="B161" s="4">
        <f>B$28</f>
        <v>10</v>
      </c>
    </row>
    <row r="162" spans="1:8" x14ac:dyDescent="0.25">
      <c r="A162" s="4"/>
      <c r="B162" s="4"/>
    </row>
    <row r="163" spans="1:8" x14ac:dyDescent="0.25">
      <c r="A163" s="4"/>
      <c r="B163" s="4"/>
    </row>
    <row r="164" spans="1:8" x14ac:dyDescent="0.25">
      <c r="A164" s="4"/>
      <c r="B164" s="4"/>
    </row>
    <row r="165" spans="1:8" x14ac:dyDescent="0.25">
      <c r="A165" s="4"/>
      <c r="B165" s="4"/>
    </row>
    <row r="166" spans="1:8" x14ac:dyDescent="0.25">
      <c r="A166" s="4"/>
      <c r="B166" s="4"/>
    </row>
    <row r="167" spans="1:8" x14ac:dyDescent="0.25">
      <c r="A167" s="4"/>
      <c r="B167" s="4"/>
    </row>
    <row r="168" spans="1:8" x14ac:dyDescent="0.25">
      <c r="A168" s="4"/>
      <c r="B168" s="4"/>
    </row>
    <row r="169" spans="1:8" x14ac:dyDescent="0.25">
      <c r="A169" s="4"/>
      <c r="B169" s="4"/>
    </row>
    <row r="170" spans="1:8" x14ac:dyDescent="0.25">
      <c r="A170" s="4"/>
      <c r="B170" s="4"/>
    </row>
    <row r="171" spans="1:8" x14ac:dyDescent="0.25">
      <c r="A171" s="4" t="str">
        <f ca="1">CONCATENATE("#",C$26,":",INDIRECT(H173))</f>
        <v>#RadioCard_GNSS_L1_Exp1:etap 7</v>
      </c>
      <c r="B171" s="5"/>
    </row>
    <row r="172" spans="1:8" x14ac:dyDescent="0.25">
      <c r="A172" s="4" t="str">
        <f>A$25</f>
        <v>device</v>
      </c>
      <c r="B172" s="4" t="str">
        <f>B$26</f>
        <v>MCP23017</v>
      </c>
      <c r="F172">
        <v>12</v>
      </c>
      <c r="G172">
        <v>11</v>
      </c>
      <c r="H172" t="str">
        <f>ADDRESS(G172,F172)</f>
        <v>$L$11</v>
      </c>
    </row>
    <row r="173" spans="1:8" x14ac:dyDescent="0.25">
      <c r="A173" s="4" t="str">
        <f>A$33</f>
        <v>i2c_addr</v>
      </c>
      <c r="B173" s="4" t="str">
        <f>B$33</f>
        <v>0x27</v>
      </c>
      <c r="H173" t="str">
        <f>ADDRESS(1,F172)</f>
        <v>$L$1</v>
      </c>
    </row>
    <row r="174" spans="1:8" x14ac:dyDescent="0.25">
      <c r="A174" s="4" t="str">
        <f>A$34</f>
        <v>i2c_num</v>
      </c>
      <c r="B174" s="4" t="str">
        <f>B$34</f>
        <v>/dev/i2c-1</v>
      </c>
    </row>
    <row r="175" spans="1:8" x14ac:dyDescent="0.25">
      <c r="A175" s="4" t="str">
        <f ca="1">INDIRECT(G175)</f>
        <v>pins_mode</v>
      </c>
      <c r="B175" s="4" t="str">
        <f ca="1">INDIRECT(H175)</f>
        <v>0xCE8C</v>
      </c>
      <c r="G175" s="12" t="s">
        <v>266</v>
      </c>
      <c r="H175" t="str">
        <f>ADDRESS(24,$F172)</f>
        <v>$L$24</v>
      </c>
    </row>
    <row r="176" spans="1:8" x14ac:dyDescent="0.25">
      <c r="A176" s="4" t="str">
        <f ca="1">INDIRECT(G176)</f>
        <v>pins_state</v>
      </c>
      <c r="B176" s="4" t="str">
        <f ca="1">INDIRECT(H176)</f>
        <v>0x3133</v>
      </c>
      <c r="G176" s="12" t="s">
        <v>267</v>
      </c>
      <c r="H176" t="str">
        <f>ADDRESS(23,$F172)</f>
        <v>$L$23</v>
      </c>
    </row>
    <row r="177" spans="1:8" x14ac:dyDescent="0.25">
      <c r="A177" s="4" t="str">
        <f ca="1">INDIRECT(G177)</f>
        <v>pins_pull_up</v>
      </c>
      <c r="B177" s="4" t="str">
        <f t="shared" ref="B177:B179" ca="1" si="54">INDIRECT(H177)</f>
        <v>0x4808</v>
      </c>
      <c r="G177" s="12" t="s">
        <v>306</v>
      </c>
      <c r="H177" t="str">
        <f>ADDRESS(25,$F172)</f>
        <v>$L$25</v>
      </c>
    </row>
    <row r="178" spans="1:8" x14ac:dyDescent="0.25">
      <c r="A178" s="4" t="str">
        <f t="shared" ref="A178:A179" ca="1" si="55">INDIRECT(G178)</f>
        <v>#pins_int</v>
      </c>
      <c r="B178" s="4" t="str">
        <f t="shared" ca="1" si="54"/>
        <v>0x0000</v>
      </c>
      <c r="G178" s="12" t="s">
        <v>318</v>
      </c>
      <c r="H178" t="str">
        <f>ADDRESS(26,$F172)</f>
        <v>$L$26</v>
      </c>
    </row>
    <row r="179" spans="1:8" x14ac:dyDescent="0.25">
      <c r="A179" s="4" t="str">
        <f t="shared" ca="1" si="55"/>
        <v>#pins_def_val</v>
      </c>
      <c r="B179" s="4" t="str">
        <f t="shared" ca="1" si="54"/>
        <v>0x0000</v>
      </c>
      <c r="G179" s="12" t="s">
        <v>319</v>
      </c>
      <c r="H179" t="str">
        <f>ADDRESS(27,$F172)</f>
        <v>$L$27</v>
      </c>
    </row>
    <row r="180" spans="1:8" x14ac:dyDescent="0.25">
      <c r="A180" s="5"/>
      <c r="B180" s="5"/>
    </row>
    <row r="181" spans="1:8" x14ac:dyDescent="0.25">
      <c r="A181" s="4" t="str">
        <f ca="1">A158</f>
        <v>#pins_int</v>
      </c>
      <c r="B181" s="4">
        <f>B$28</f>
        <v>10</v>
      </c>
    </row>
    <row r="182" spans="1:8" x14ac:dyDescent="0.25">
      <c r="A182" s="4"/>
      <c r="B182" s="4"/>
    </row>
    <row r="183" spans="1:8" x14ac:dyDescent="0.25">
      <c r="A183" s="4"/>
      <c r="B183" s="4"/>
    </row>
    <row r="184" spans="1:8" x14ac:dyDescent="0.25">
      <c r="A184" s="4"/>
      <c r="B184" s="4"/>
    </row>
    <row r="185" spans="1:8" x14ac:dyDescent="0.25">
      <c r="A185" s="4"/>
      <c r="B185" s="4"/>
    </row>
    <row r="186" spans="1:8" x14ac:dyDescent="0.25">
      <c r="A186" s="4"/>
      <c r="B186" s="4"/>
    </row>
    <row r="187" spans="1:8" x14ac:dyDescent="0.25">
      <c r="A187" s="4"/>
      <c r="B187" s="4"/>
    </row>
    <row r="188" spans="1:8" x14ac:dyDescent="0.25">
      <c r="A188" s="4"/>
      <c r="B188" s="4"/>
    </row>
    <row r="189" spans="1:8" x14ac:dyDescent="0.25">
      <c r="A189" s="4"/>
      <c r="B189" s="4"/>
    </row>
    <row r="190" spans="1:8" x14ac:dyDescent="0.25">
      <c r="A190" s="4"/>
      <c r="B190" s="4"/>
    </row>
    <row r="191" spans="1:8" x14ac:dyDescent="0.25">
      <c r="A191" s="4" t="str">
        <f ca="1">CONCATENATE("#",C$26,":",INDIRECT(H193))</f>
        <v>#RadioCard_GNSS_L1_Exp1:etap 8</v>
      </c>
      <c r="B191" s="5"/>
    </row>
    <row r="192" spans="1:8" x14ac:dyDescent="0.25">
      <c r="A192" s="4" t="str">
        <f>A$25</f>
        <v>device</v>
      </c>
      <c r="B192" s="4" t="str">
        <f>B$26</f>
        <v>MCP23017</v>
      </c>
      <c r="F192">
        <v>13</v>
      </c>
      <c r="G192">
        <v>11</v>
      </c>
      <c r="H192" t="str">
        <f>ADDRESS(G192,F192)</f>
        <v>$M$11</v>
      </c>
    </row>
    <row r="193" spans="1:8" x14ac:dyDescent="0.25">
      <c r="A193" s="4" t="str">
        <f>A$33</f>
        <v>i2c_addr</v>
      </c>
      <c r="B193" s="4" t="str">
        <f>B$33</f>
        <v>0x27</v>
      </c>
      <c r="H193" t="str">
        <f>ADDRESS(1,F192)</f>
        <v>$M$1</v>
      </c>
    </row>
    <row r="194" spans="1:8" x14ac:dyDescent="0.25">
      <c r="A194" s="4" t="str">
        <f>A$34</f>
        <v>i2c_num</v>
      </c>
      <c r="B194" s="4" t="str">
        <f>B$34</f>
        <v>/dev/i2c-1</v>
      </c>
    </row>
    <row r="195" spans="1:8" x14ac:dyDescent="0.25">
      <c r="A195" s="4" t="str">
        <f ca="1">INDIRECT(G195)</f>
        <v>pins_mode</v>
      </c>
      <c r="B195" s="4" t="str">
        <f ca="1">INDIRECT(H195)</f>
        <v>0xCE8C</v>
      </c>
      <c r="G195" s="12" t="s">
        <v>266</v>
      </c>
      <c r="H195" t="str">
        <f>ADDRESS(24,$F192)</f>
        <v>$M$24</v>
      </c>
    </row>
    <row r="196" spans="1:8" x14ac:dyDescent="0.25">
      <c r="A196" s="4" t="str">
        <f ca="1">INDIRECT(G196)</f>
        <v>pins_state</v>
      </c>
      <c r="B196" s="4" t="str">
        <f ca="1">INDIRECT(H196)</f>
        <v>0x3133</v>
      </c>
      <c r="G196" s="12" t="s">
        <v>267</v>
      </c>
      <c r="H196" t="str">
        <f>ADDRESS(23,$F192)</f>
        <v>$M$23</v>
      </c>
    </row>
    <row r="197" spans="1:8" x14ac:dyDescent="0.25">
      <c r="A197" s="4" t="str">
        <f ca="1">INDIRECT(G197)</f>
        <v>pins_pull_up</v>
      </c>
      <c r="B197" s="4" t="str">
        <f t="shared" ref="B197:B199" ca="1" si="56">INDIRECT(H197)</f>
        <v>0x4808</v>
      </c>
      <c r="G197" s="12" t="s">
        <v>306</v>
      </c>
      <c r="H197" t="str">
        <f>ADDRESS(25,$F192)</f>
        <v>$M$25</v>
      </c>
    </row>
    <row r="198" spans="1:8" x14ac:dyDescent="0.25">
      <c r="A198" s="4" t="str">
        <f t="shared" ref="A198:A199" ca="1" si="57">INDIRECT(G198)</f>
        <v>#pins_int</v>
      </c>
      <c r="B198" s="4" t="str">
        <f t="shared" ca="1" si="56"/>
        <v>0x0000</v>
      </c>
      <c r="G198" s="12" t="s">
        <v>318</v>
      </c>
      <c r="H198" t="str">
        <f>ADDRESS(26,$F192)</f>
        <v>$M$26</v>
      </c>
    </row>
    <row r="199" spans="1:8" x14ac:dyDescent="0.25">
      <c r="A199" s="4" t="str">
        <f t="shared" ca="1" si="57"/>
        <v>#pins_def_val</v>
      </c>
      <c r="B199" s="4" t="str">
        <f t="shared" ca="1" si="56"/>
        <v>0x0000</v>
      </c>
      <c r="G199" s="12" t="s">
        <v>319</v>
      </c>
      <c r="H199" t="str">
        <f>ADDRESS(27,$F192)</f>
        <v>$M$27</v>
      </c>
    </row>
    <row r="200" spans="1:8" x14ac:dyDescent="0.25">
      <c r="A200" s="5"/>
      <c r="B200" s="5"/>
    </row>
    <row r="201" spans="1:8" x14ac:dyDescent="0.25">
      <c r="A201" s="4" t="str">
        <f ca="1">A178</f>
        <v>#pins_int</v>
      </c>
      <c r="B201" s="4">
        <f>B$28</f>
        <v>10</v>
      </c>
    </row>
    <row r="202" spans="1:8" x14ac:dyDescent="0.25">
      <c r="A202" s="4"/>
      <c r="B202" s="4"/>
    </row>
    <row r="203" spans="1:8" x14ac:dyDescent="0.25">
      <c r="A203" s="4"/>
      <c r="B203" s="4"/>
    </row>
    <row r="204" spans="1:8" x14ac:dyDescent="0.25">
      <c r="A204" s="4"/>
      <c r="B204" s="4"/>
    </row>
    <row r="205" spans="1:8" x14ac:dyDescent="0.25">
      <c r="A205" s="4"/>
      <c r="B205" s="4"/>
    </row>
    <row r="206" spans="1:8" x14ac:dyDescent="0.25">
      <c r="A206" s="4"/>
      <c r="B206" s="4"/>
    </row>
    <row r="207" spans="1:8" x14ac:dyDescent="0.25">
      <c r="A207" s="4"/>
      <c r="B207" s="4"/>
    </row>
    <row r="208" spans="1:8" x14ac:dyDescent="0.25">
      <c r="A208" s="4"/>
      <c r="B208" s="4"/>
    </row>
    <row r="209" spans="1:8" x14ac:dyDescent="0.25">
      <c r="A209" s="4"/>
      <c r="B209" s="4"/>
    </row>
    <row r="210" spans="1:8" x14ac:dyDescent="0.25">
      <c r="A210" s="4"/>
      <c r="B210" s="4"/>
    </row>
    <row r="211" spans="1:8" x14ac:dyDescent="0.25">
      <c r="A211" s="4" t="str">
        <f ca="1">CONCATENATE("#",C$26,":",INDIRECT(H213))</f>
        <v>#RadioCard_GNSS_L1_Exp1:etap 9</v>
      </c>
      <c r="B211" s="5"/>
    </row>
    <row r="212" spans="1:8" x14ac:dyDescent="0.25">
      <c r="A212" s="4" t="str">
        <f>A$25</f>
        <v>device</v>
      </c>
      <c r="B212" s="4" t="str">
        <f>B$26</f>
        <v>MCP23017</v>
      </c>
      <c r="F212">
        <v>14</v>
      </c>
      <c r="G212">
        <v>11</v>
      </c>
      <c r="H212" t="str">
        <f>ADDRESS(G212,F212)</f>
        <v>$N$11</v>
      </c>
    </row>
    <row r="213" spans="1:8" x14ac:dyDescent="0.25">
      <c r="A213" s="4" t="str">
        <f>A$33</f>
        <v>i2c_addr</v>
      </c>
      <c r="B213" s="4" t="str">
        <f>B$33</f>
        <v>0x27</v>
      </c>
      <c r="H213" t="str">
        <f>ADDRESS(1,F212)</f>
        <v>$N$1</v>
      </c>
    </row>
    <row r="214" spans="1:8" x14ac:dyDescent="0.25">
      <c r="A214" s="4" t="str">
        <f>A$34</f>
        <v>i2c_num</v>
      </c>
      <c r="B214" s="4" t="str">
        <f>B$34</f>
        <v>/dev/i2c-1</v>
      </c>
    </row>
    <row r="215" spans="1:8" x14ac:dyDescent="0.25">
      <c r="A215" s="4" t="str">
        <f ca="1">INDIRECT(G215)</f>
        <v>pins_mode</v>
      </c>
      <c r="B215" s="4" t="str">
        <f ca="1">INDIRECT(H215)</f>
        <v>0xCE8C</v>
      </c>
      <c r="G215" s="12" t="s">
        <v>266</v>
      </c>
      <c r="H215" t="str">
        <f>ADDRESS(24,$F212)</f>
        <v>$N$24</v>
      </c>
    </row>
    <row r="216" spans="1:8" x14ac:dyDescent="0.25">
      <c r="A216" s="4" t="str">
        <f ca="1">INDIRECT(G216)</f>
        <v>pins_state</v>
      </c>
      <c r="B216" s="4" t="str">
        <f ca="1">INDIRECT(H216)</f>
        <v>0x3133</v>
      </c>
      <c r="G216" s="12" t="s">
        <v>267</v>
      </c>
      <c r="H216" t="str">
        <f>ADDRESS(23,$F212)</f>
        <v>$N$23</v>
      </c>
    </row>
    <row r="217" spans="1:8" x14ac:dyDescent="0.25">
      <c r="A217" s="4" t="str">
        <f ca="1">INDIRECT(G217)</f>
        <v>pins_pull_up</v>
      </c>
      <c r="B217" s="4" t="str">
        <f t="shared" ref="B217:B219" ca="1" si="58">INDIRECT(H217)</f>
        <v>0x4808</v>
      </c>
      <c r="G217" s="12" t="s">
        <v>306</v>
      </c>
      <c r="H217" t="str">
        <f>ADDRESS(25,$F212)</f>
        <v>$N$25</v>
      </c>
    </row>
    <row r="218" spans="1:8" x14ac:dyDescent="0.25">
      <c r="A218" s="4" t="str">
        <f t="shared" ref="A218:A219" ca="1" si="59">INDIRECT(G218)</f>
        <v>#pins_int</v>
      </c>
      <c r="B218" s="4" t="str">
        <f t="shared" ca="1" si="58"/>
        <v>0x0000</v>
      </c>
      <c r="G218" s="12" t="s">
        <v>318</v>
      </c>
      <c r="H218" t="str">
        <f>ADDRESS(26,$F212)</f>
        <v>$N$26</v>
      </c>
    </row>
    <row r="219" spans="1:8" x14ac:dyDescent="0.25">
      <c r="A219" s="4" t="str">
        <f t="shared" ca="1" si="59"/>
        <v>#pins_def_val</v>
      </c>
      <c r="B219" s="4" t="str">
        <f t="shared" ca="1" si="58"/>
        <v>0x0000</v>
      </c>
      <c r="G219" s="12" t="s">
        <v>319</v>
      </c>
      <c r="H219" t="str">
        <f>ADDRESS(27,$F212)</f>
        <v>$N$27</v>
      </c>
    </row>
    <row r="220" spans="1:8" x14ac:dyDescent="0.25">
      <c r="A220" s="5"/>
      <c r="B220" s="5"/>
    </row>
    <row r="221" spans="1:8" x14ac:dyDescent="0.25">
      <c r="A221" s="4" t="str">
        <f ca="1">A198</f>
        <v>#pins_int</v>
      </c>
      <c r="B221" s="4">
        <f>B$28</f>
        <v>10</v>
      </c>
    </row>
    <row r="222" spans="1:8" x14ac:dyDescent="0.25">
      <c r="A222" s="4"/>
      <c r="B222" s="4"/>
    </row>
    <row r="223" spans="1:8" x14ac:dyDescent="0.25">
      <c r="A223" s="4"/>
      <c r="B223" s="4"/>
    </row>
    <row r="224" spans="1:8" x14ac:dyDescent="0.25">
      <c r="A224" s="4"/>
      <c r="B224" s="4"/>
    </row>
    <row r="225" spans="1:8" x14ac:dyDescent="0.25">
      <c r="A225" s="4"/>
      <c r="B225" s="4"/>
    </row>
    <row r="226" spans="1:8" x14ac:dyDescent="0.25">
      <c r="A226" s="4"/>
      <c r="B226" s="4"/>
    </row>
    <row r="227" spans="1:8" x14ac:dyDescent="0.25">
      <c r="A227" s="4"/>
      <c r="B227" s="4"/>
    </row>
    <row r="228" spans="1:8" x14ac:dyDescent="0.25">
      <c r="A228" s="4"/>
      <c r="B228" s="4"/>
    </row>
    <row r="229" spans="1:8" x14ac:dyDescent="0.25">
      <c r="A229" s="4"/>
      <c r="B229" s="4"/>
    </row>
    <row r="230" spans="1:8" x14ac:dyDescent="0.25">
      <c r="A230" s="4"/>
      <c r="B230" s="4"/>
    </row>
    <row r="231" spans="1:8" x14ac:dyDescent="0.25">
      <c r="A231" s="4" t="str">
        <f ca="1">CONCATENATE("#",C$26,":",INDIRECT(H233))</f>
        <v>#RadioCard_GNSS_L1_Exp1:etap 10</v>
      </c>
      <c r="B231" s="5"/>
    </row>
    <row r="232" spans="1:8" x14ac:dyDescent="0.25">
      <c r="A232" s="4" t="str">
        <f>A$25</f>
        <v>device</v>
      </c>
      <c r="B232" s="4" t="str">
        <f>B$26</f>
        <v>MCP23017</v>
      </c>
      <c r="F232">
        <v>15</v>
      </c>
      <c r="G232">
        <v>11</v>
      </c>
      <c r="H232" t="str">
        <f>ADDRESS(G232,F232)</f>
        <v>$O$11</v>
      </c>
    </row>
    <row r="233" spans="1:8" x14ac:dyDescent="0.25">
      <c r="A233" s="4" t="str">
        <f>A$33</f>
        <v>i2c_addr</v>
      </c>
      <c r="B233" s="4" t="str">
        <f>B$33</f>
        <v>0x27</v>
      </c>
      <c r="H233" t="str">
        <f>ADDRESS(1,F232)</f>
        <v>$O$1</v>
      </c>
    </row>
    <row r="234" spans="1:8" x14ac:dyDescent="0.25">
      <c r="A234" s="4" t="str">
        <f>A$34</f>
        <v>i2c_num</v>
      </c>
      <c r="B234" s="4" t="str">
        <f>B$34</f>
        <v>/dev/i2c-1</v>
      </c>
    </row>
    <row r="235" spans="1:8" x14ac:dyDescent="0.25">
      <c r="A235" s="4" t="str">
        <f ca="1">INDIRECT(G235)</f>
        <v>pins_mode</v>
      </c>
      <c r="B235" s="4" t="str">
        <f ca="1">INDIRECT(H235)</f>
        <v>0xCE8C</v>
      </c>
      <c r="G235" s="12" t="s">
        <v>266</v>
      </c>
      <c r="H235" t="str">
        <f>ADDRESS(24,$F232)</f>
        <v>$O$24</v>
      </c>
    </row>
    <row r="236" spans="1:8" x14ac:dyDescent="0.25">
      <c r="A236" s="4" t="str">
        <f ca="1">INDIRECT(G236)</f>
        <v>pins_state</v>
      </c>
      <c r="B236" s="4" t="str">
        <f ca="1">INDIRECT(H236)</f>
        <v>0x3133</v>
      </c>
      <c r="G236" s="12" t="s">
        <v>267</v>
      </c>
      <c r="H236" t="str">
        <f>ADDRESS(23,$F232)</f>
        <v>$O$23</v>
      </c>
    </row>
    <row r="237" spans="1:8" x14ac:dyDescent="0.25">
      <c r="A237" s="4" t="str">
        <f ca="1">INDIRECT(G237)</f>
        <v>pins_pull_up</v>
      </c>
      <c r="B237" s="4" t="str">
        <f t="shared" ref="B237:B239" ca="1" si="60">INDIRECT(H237)</f>
        <v>0x4808</v>
      </c>
      <c r="G237" s="12" t="s">
        <v>306</v>
      </c>
      <c r="H237" t="str">
        <f>ADDRESS(25,$F232)</f>
        <v>$O$25</v>
      </c>
    </row>
    <row r="238" spans="1:8" x14ac:dyDescent="0.25">
      <c r="A238" s="4" t="str">
        <f t="shared" ref="A238:A239" ca="1" si="61">INDIRECT(G238)</f>
        <v>#pins_int</v>
      </c>
      <c r="B238" s="4" t="str">
        <f t="shared" ca="1" si="60"/>
        <v>0x0000</v>
      </c>
      <c r="G238" s="12" t="s">
        <v>318</v>
      </c>
      <c r="H238" t="str">
        <f>ADDRESS(26,$F232)</f>
        <v>$O$26</v>
      </c>
    </row>
    <row r="239" spans="1:8" x14ac:dyDescent="0.25">
      <c r="A239" s="4" t="str">
        <f t="shared" ca="1" si="61"/>
        <v>#pins_def_val</v>
      </c>
      <c r="B239" s="4" t="str">
        <f t="shared" ca="1" si="60"/>
        <v>0x0000</v>
      </c>
      <c r="G239" s="12" t="s">
        <v>319</v>
      </c>
      <c r="H239" t="str">
        <f>ADDRESS(27,$F232)</f>
        <v>$O$27</v>
      </c>
    </row>
    <row r="240" spans="1:8" x14ac:dyDescent="0.25">
      <c r="A240" s="5"/>
      <c r="B240" s="5"/>
    </row>
    <row r="241" spans="1:2" x14ac:dyDescent="0.25">
      <c r="A241" s="4" t="str">
        <f ca="1">A218</f>
        <v>#pins_int</v>
      </c>
      <c r="B241" s="4">
        <f>B$28</f>
        <v>10</v>
      </c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</sheetData>
  <conditionalFormatting sqref="B1:B20">
    <cfRule type="uniqu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29</vt:i4>
      </vt:variant>
    </vt:vector>
  </HeadingPairs>
  <TitlesOfParts>
    <vt:vector size="29" baseType="lpstr">
      <vt:lpstr>konfig</vt:lpstr>
      <vt:lpstr>I2C</vt:lpstr>
      <vt:lpstr>kod.cfg</vt:lpstr>
      <vt:lpstr>I2C_Bridge_GPIO</vt:lpstr>
      <vt:lpstr>I2C_Bridge_SFP</vt:lpstr>
      <vt:lpstr>I2C_Bridge_PCIE</vt:lpstr>
      <vt:lpstr>I2C_Expander_Main_Rst</vt:lpstr>
      <vt:lpstr>I2C_Expander_PWR_CLK</vt:lpstr>
      <vt:lpstr>I2C_Expander_PWR_Distr</vt:lpstr>
      <vt:lpstr>I2C_Expander_SFP</vt:lpstr>
      <vt:lpstr>I2C_Expander_00</vt:lpstr>
      <vt:lpstr>I2C_Expander_01</vt:lpstr>
      <vt:lpstr>I2C_Expander_02</vt:lpstr>
      <vt:lpstr>I2C_Expander_10</vt:lpstr>
      <vt:lpstr>I2C_expander_11</vt:lpstr>
      <vt:lpstr>I2C_Expander_12</vt:lpstr>
      <vt:lpstr>DAC1220</vt:lpstr>
      <vt:lpstr>LTC6952_0</vt:lpstr>
      <vt:lpstr>LTC6952_1</vt:lpstr>
      <vt:lpstr>LMK05028</vt:lpstr>
      <vt:lpstr>RadioCard_ILS_Exp1</vt:lpstr>
      <vt:lpstr>RadioCard_ILS_Exp2</vt:lpstr>
      <vt:lpstr>RadioCard_ILS_Devices</vt:lpstr>
      <vt:lpstr>RadioCard_TETRA_Devices</vt:lpstr>
      <vt:lpstr>RadioCard_TETRA_Exp1</vt:lpstr>
      <vt:lpstr>RadioCard_TETRA_Exp2</vt:lpstr>
      <vt:lpstr>RadioCard_GNSS_L1_Devices</vt:lpstr>
      <vt:lpstr>RadioCard_GNSS_L1_Exp1</vt:lpstr>
      <vt:lpstr>RadioCard_GNSS_L1_Exp2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Waldek</dc:creator>
  <cp:lastModifiedBy>Waldek</cp:lastModifiedBy>
  <dcterms:created xsi:type="dcterms:W3CDTF">2021-01-19T09:39:31Z</dcterms:created>
  <dcterms:modified xsi:type="dcterms:W3CDTF">2021-12-27T16:13:50Z</dcterms:modified>
</cp:coreProperties>
</file>