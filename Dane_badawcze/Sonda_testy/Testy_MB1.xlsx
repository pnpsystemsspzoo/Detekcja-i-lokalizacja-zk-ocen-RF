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RECISION 7X10\Desktop\MB\Płyta głowna - test\"/>
    </mc:Choice>
  </mc:AlternateContent>
  <xr:revisionPtr revIDLastSave="0" documentId="13_ncr:1_{8088AC14-DA30-4648-A078-C02D83178986}" xr6:coauthVersionLast="46" xr6:coauthVersionMax="46" xr10:uidLastSave="{00000000-0000-0000-0000-000000000000}"/>
  <bookViews>
    <workbookView xWindow="-108" yWindow="-108" windowWidth="23256" windowHeight="12576" activeTab="5" xr2:uid="{00000000-000D-0000-FFFF-FFFF00000000}"/>
  </bookViews>
  <sheets>
    <sheet name="MB1" sheetId="1" r:id="rId1"/>
    <sheet name="pomiar rez MB1" sheetId="3" r:id="rId2"/>
    <sheet name="Pomiar Napięć i prądów MB1" sheetId="5" r:id="rId3"/>
    <sheet name="Pomiar FB przetwornicU" sheetId="4" r:id="rId4"/>
    <sheet name="MB2" sheetId="2" r:id="rId5"/>
    <sheet name="pomiar rez MB1 (2)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6" l="1"/>
  <c r="L11" i="3"/>
  <c r="R17" i="4" l="1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8" i="4"/>
  <c r="R19" i="4"/>
  <c r="R20" i="4"/>
  <c r="R21" i="4"/>
  <c r="R22" i="4"/>
  <c r="R23" i="4"/>
  <c r="R24" i="4"/>
  <c r="R25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8" i="4"/>
  <c r="Q19" i="4"/>
  <c r="Q20" i="4"/>
  <c r="Q21" i="4"/>
  <c r="Q22" i="4"/>
  <c r="Q23" i="4"/>
  <c r="Q24" i="4"/>
  <c r="Q25" i="4"/>
  <c r="Q2" i="4"/>
  <c r="G4" i="5" l="1"/>
  <c r="G5" i="5"/>
  <c r="G6" i="5"/>
  <c r="G3" i="5"/>
  <c r="R25" i="5"/>
  <c r="T25" i="5" s="1"/>
  <c r="R24" i="5"/>
  <c r="T24" i="5" s="1"/>
  <c r="Q23" i="5"/>
  <c r="R23" i="5" s="1"/>
  <c r="Q22" i="5"/>
  <c r="R22" i="5" s="1"/>
  <c r="T22" i="5" s="1"/>
  <c r="Q20" i="5"/>
  <c r="R20" i="5" s="1"/>
  <c r="Q19" i="5"/>
  <c r="R19" i="5" s="1"/>
  <c r="Q18" i="5"/>
  <c r="R18" i="5" s="1"/>
  <c r="T18" i="5" s="1"/>
  <c r="Q17" i="5"/>
  <c r="R17" i="5" s="1"/>
  <c r="T17" i="5" s="1"/>
  <c r="Q16" i="5"/>
  <c r="R16" i="5" s="1"/>
  <c r="Q15" i="5"/>
  <c r="R15" i="5" s="1"/>
  <c r="R14" i="5"/>
  <c r="T14" i="5" s="1"/>
  <c r="Q13" i="5"/>
  <c r="R13" i="5" s="1"/>
  <c r="R12" i="5"/>
  <c r="R1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" i="5"/>
  <c r="T15" i="5" l="1"/>
  <c r="L25" i="4"/>
  <c r="N25" i="4" s="1"/>
  <c r="L24" i="4"/>
  <c r="N24" i="4" s="1"/>
  <c r="L23" i="4"/>
  <c r="N23" i="4" s="1"/>
  <c r="L22" i="4"/>
  <c r="N22" i="4" s="1"/>
  <c r="L21" i="4"/>
  <c r="N21" i="4" s="1"/>
  <c r="L20" i="4"/>
  <c r="N20" i="4" s="1"/>
  <c r="L19" i="4"/>
  <c r="N19" i="4" s="1"/>
  <c r="L18" i="4"/>
  <c r="N18" i="4" s="1"/>
  <c r="L16" i="4"/>
  <c r="N16" i="4" s="1"/>
  <c r="L15" i="4"/>
  <c r="N15" i="4" s="1"/>
  <c r="L14" i="4"/>
  <c r="N14" i="4" s="1"/>
  <c r="L13" i="4"/>
  <c r="N13" i="4" s="1"/>
  <c r="L12" i="4"/>
  <c r="N12" i="4" s="1"/>
  <c r="L11" i="4"/>
  <c r="N11" i="4" s="1"/>
  <c r="L10" i="4"/>
  <c r="N10" i="4" s="1"/>
  <c r="L9" i="4"/>
  <c r="N9" i="4" s="1"/>
  <c r="L8" i="4"/>
  <c r="N8" i="4" s="1"/>
  <c r="L7" i="4"/>
  <c r="N7" i="4" s="1"/>
  <c r="L6" i="4"/>
  <c r="N6" i="4" s="1"/>
  <c r="L5" i="4"/>
  <c r="N5" i="4" s="1"/>
  <c r="L4" i="4"/>
  <c r="N4" i="4" s="1"/>
  <c r="L3" i="4"/>
  <c r="N3" i="4" s="1"/>
  <c r="F25" i="4"/>
  <c r="G25" i="4" s="1"/>
  <c r="F24" i="4"/>
  <c r="G24" i="4" s="1"/>
  <c r="G17" i="4"/>
  <c r="O17" i="4" s="1"/>
  <c r="F16" i="4"/>
  <c r="G16" i="4" s="1"/>
  <c r="F15" i="4"/>
  <c r="G15" i="4" s="1"/>
  <c r="F23" i="4"/>
  <c r="G23" i="4" s="1"/>
  <c r="F22" i="4"/>
  <c r="G22" i="4" s="1"/>
  <c r="E41" i="4"/>
  <c r="F21" i="4"/>
  <c r="G21" i="4" s="1"/>
  <c r="F19" i="4"/>
  <c r="G19" i="4" s="1"/>
  <c r="F20" i="4"/>
  <c r="G20" i="4"/>
  <c r="F18" i="4"/>
  <c r="G18" i="4" s="1"/>
  <c r="F14" i="4"/>
  <c r="G14" i="4" s="1"/>
  <c r="F12" i="4"/>
  <c r="G12" i="4" s="1"/>
  <c r="F13" i="4"/>
  <c r="G13" i="4" s="1"/>
  <c r="F11" i="4"/>
  <c r="G11" i="4" s="1"/>
  <c r="O11" i="4" l="1"/>
  <c r="O21" i="4"/>
  <c r="O13" i="4"/>
  <c r="O22" i="4"/>
  <c r="O23" i="4"/>
  <c r="O16" i="4"/>
  <c r="O18" i="4"/>
  <c r="O14" i="4"/>
  <c r="O15" i="4"/>
  <c r="O24" i="4"/>
  <c r="O25" i="4"/>
  <c r="O20" i="4"/>
  <c r="O12" i="4"/>
  <c r="O19" i="4"/>
  <c r="F3" i="4"/>
  <c r="G3" i="4" s="1"/>
  <c r="O3" i="4" s="1"/>
  <c r="F8" i="4"/>
  <c r="G8" i="4" s="1"/>
  <c r="O8" i="4" s="1"/>
  <c r="F9" i="4"/>
  <c r="G9" i="4" s="1"/>
  <c r="O9" i="4" s="1"/>
  <c r="F10" i="4"/>
  <c r="G10" i="4" s="1"/>
  <c r="O10" i="4" s="1"/>
  <c r="F7" i="4"/>
  <c r="G7" i="4" s="1"/>
  <c r="O7" i="4" s="1"/>
  <c r="D39" i="4"/>
  <c r="C39" i="4"/>
  <c r="F5" i="4"/>
  <c r="G5" i="4" s="1"/>
  <c r="O5" i="4" s="1"/>
  <c r="F6" i="4"/>
  <c r="G6" i="4" s="1"/>
  <c r="O6" i="4" s="1"/>
  <c r="F4" i="4"/>
  <c r="G4" i="4" s="1"/>
  <c r="O4" i="4" s="1"/>
  <c r="L2" i="4"/>
  <c r="N2" i="4" s="1"/>
  <c r="F2" i="4"/>
  <c r="G2" i="4" s="1"/>
  <c r="O2" i="4" l="1"/>
  <c r="M14" i="2"/>
  <c r="I14" i="2"/>
  <c r="H14" i="2"/>
  <c r="J14" i="2" s="1"/>
  <c r="M13" i="2"/>
  <c r="I13" i="2"/>
  <c r="H13" i="2"/>
  <c r="J13" i="2" s="1"/>
  <c r="M12" i="2"/>
  <c r="I12" i="2"/>
  <c r="H12" i="2"/>
  <c r="J12" i="2" s="1"/>
  <c r="M11" i="2"/>
  <c r="I11" i="2"/>
  <c r="H11" i="2"/>
  <c r="M10" i="2"/>
  <c r="I10" i="2"/>
  <c r="H10" i="2"/>
  <c r="M9" i="2"/>
  <c r="I9" i="2"/>
  <c r="H9" i="2"/>
  <c r="J9" i="2" s="1"/>
  <c r="M8" i="2"/>
  <c r="I8" i="2"/>
  <c r="H8" i="2"/>
  <c r="M7" i="2"/>
  <c r="I7" i="2"/>
  <c r="H7" i="2"/>
  <c r="M6" i="2"/>
  <c r="I6" i="2"/>
  <c r="H6" i="2"/>
  <c r="M5" i="2"/>
  <c r="I5" i="2"/>
  <c r="H5" i="2"/>
  <c r="J5" i="2" s="1"/>
  <c r="M4" i="2"/>
  <c r="I4" i="2"/>
  <c r="H4" i="2"/>
  <c r="J4" i="2" s="1"/>
  <c r="M3" i="2"/>
  <c r="N3" i="2" s="1"/>
  <c r="I3" i="2"/>
  <c r="H3" i="2"/>
  <c r="M2" i="2"/>
  <c r="H2" i="2"/>
  <c r="G2" i="2"/>
  <c r="I2" i="2" s="1"/>
  <c r="J7" i="2" l="1"/>
  <c r="J8" i="2"/>
  <c r="J11" i="2"/>
  <c r="N4" i="2"/>
  <c r="N5" i="2" s="1"/>
  <c r="N6" i="2" s="1"/>
  <c r="N7" i="2" s="1"/>
  <c r="N8" i="2" s="1"/>
  <c r="N9" i="2" s="1"/>
  <c r="N10" i="2" s="1"/>
  <c r="N11" i="2" s="1"/>
  <c r="N12" i="2" s="1"/>
  <c r="N13" i="2" s="1"/>
  <c r="N14" i="2" s="1"/>
  <c r="I16" i="2"/>
  <c r="J3" i="2"/>
  <c r="J10" i="2"/>
  <c r="J6" i="2"/>
  <c r="H16" i="2"/>
  <c r="M16" i="2"/>
  <c r="J2" i="2"/>
  <c r="M3" i="1"/>
  <c r="N3" i="1" s="1"/>
  <c r="M4" i="1"/>
  <c r="M5" i="1"/>
  <c r="M6" i="1"/>
  <c r="M7" i="1"/>
  <c r="M8" i="1"/>
  <c r="M9" i="1"/>
  <c r="M10" i="1"/>
  <c r="M11" i="1"/>
  <c r="M12" i="1"/>
  <c r="M13" i="1"/>
  <c r="M14" i="1"/>
  <c r="M2" i="1"/>
  <c r="G2" i="1"/>
  <c r="I2" i="1" s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E2" i="1"/>
  <c r="F2" i="1" s="1"/>
  <c r="I3" i="1"/>
  <c r="I4" i="1"/>
  <c r="I5" i="1"/>
  <c r="I6" i="1"/>
  <c r="I7" i="1"/>
  <c r="I8" i="1"/>
  <c r="I9" i="1"/>
  <c r="I10" i="1"/>
  <c r="I11" i="1"/>
  <c r="I12" i="1"/>
  <c r="I13" i="1"/>
  <c r="I14" i="1"/>
  <c r="J8" i="1" l="1"/>
  <c r="N4" i="1"/>
  <c r="I16" i="1"/>
  <c r="J9" i="1"/>
  <c r="J16" i="2"/>
  <c r="J5" i="1"/>
  <c r="N5" i="1"/>
  <c r="N6" i="1" s="1"/>
  <c r="N7" i="1" s="1"/>
  <c r="N8" i="1" s="1"/>
  <c r="N9" i="1" s="1"/>
  <c r="N10" i="1" s="1"/>
  <c r="N11" i="1" s="1"/>
  <c r="N12" i="1" s="1"/>
  <c r="N13" i="1" s="1"/>
  <c r="N14" i="1" s="1"/>
  <c r="M16" i="1"/>
  <c r="J2" i="1"/>
  <c r="J14" i="1"/>
  <c r="J13" i="1"/>
  <c r="J12" i="1"/>
  <c r="J11" i="1"/>
  <c r="J10" i="1"/>
  <c r="J6" i="1"/>
  <c r="J4" i="1"/>
  <c r="J3" i="1"/>
  <c r="K3" i="1" s="1"/>
  <c r="J7" i="1"/>
  <c r="H16" i="1"/>
  <c r="J16" i="1" l="1"/>
  <c r="K4" i="1"/>
  <c r="E3" i="1"/>
  <c r="K5" i="1" l="1"/>
  <c r="E4" i="1"/>
  <c r="E5" i="1" l="1"/>
  <c r="K6" i="1"/>
  <c r="K7" i="1" l="1"/>
  <c r="E6" i="1"/>
  <c r="E7" i="1" l="1"/>
  <c r="K8" i="1"/>
  <c r="K9" i="1" l="1"/>
  <c r="E8" i="1"/>
  <c r="K10" i="1" l="1"/>
  <c r="E9" i="1"/>
  <c r="K11" i="1" l="1"/>
  <c r="E10" i="1"/>
  <c r="K12" i="1" l="1"/>
  <c r="E11" i="1"/>
  <c r="K13" i="1" l="1"/>
  <c r="E12" i="1"/>
  <c r="E13" i="1" l="1"/>
  <c r="K14" i="1"/>
  <c r="E14" i="1" s="1"/>
  <c r="K2" i="2" s="1"/>
  <c r="E2" i="2" l="1"/>
  <c r="K3" i="2"/>
  <c r="E3" i="2" l="1"/>
  <c r="K4" i="2"/>
  <c r="E4" i="2" l="1"/>
  <c r="K5" i="2"/>
  <c r="E5" i="2" l="1"/>
  <c r="K6" i="2"/>
  <c r="E6" i="2" l="1"/>
  <c r="K7" i="2"/>
  <c r="K8" i="2" l="1"/>
  <c r="E7" i="2"/>
  <c r="K9" i="2" l="1"/>
  <c r="E8" i="2"/>
  <c r="K10" i="2" l="1"/>
  <c r="E9" i="2"/>
  <c r="K11" i="2" l="1"/>
  <c r="E10" i="2"/>
  <c r="K12" i="2" l="1"/>
  <c r="E11" i="2"/>
  <c r="E12" i="2" l="1"/>
  <c r="K13" i="2"/>
  <c r="E13" i="2" l="1"/>
  <c r="K14" i="2"/>
  <c r="E14" i="2" s="1"/>
</calcChain>
</file>

<file path=xl/sharedStrings.xml><?xml version="1.0" encoding="utf-8"?>
<sst xmlns="http://schemas.openxmlformats.org/spreadsheetml/2006/main" count="754" uniqueCount="358">
  <si>
    <t>**Lp.**</t>
  </si>
  <si>
    <t>24e</t>
  </si>
  <si>
    <t>**Opis zagadnienia**</t>
  </si>
  <si>
    <t>**Data zakończenia testów**</t>
  </si>
  <si>
    <t xml:space="preserve"> {+ OK +} </t>
  </si>
  <si>
    <t xml:space="preserve"> Pomiar rezystancji torów zasilających </t>
  </si>
  <si>
    <t xml:space="preserve"> b.d. </t>
  </si>
  <si>
    <t xml:space="preserve"> Testy konfiguracji przetwornic zasilających </t>
  </si>
  <si>
    <t xml:space="preserve"> b.d.</t>
  </si>
  <si>
    <t xml:space="preserve">  </t>
  </si>
  <si>
    <t xml:space="preserve"> Pomiary napięć i prądów zasilających, niezależnych </t>
  </si>
  <si>
    <t xml:space="preserve"> Pomiary konfiguracji torów zasilających </t>
  </si>
  <si>
    <t xml:space="preserve"> Testy komunikacji z procesorem US+ </t>
  </si>
  <si>
    <t xml:space="preserve"> Testy komunikacji I2C </t>
  </si>
  <si>
    <t xml:space="preserve"> Pomiary napięć i prądów zasilających, zależnych  </t>
  </si>
  <si>
    <t xml:space="preserve"> Pomiary napięć i prądów zasilających niezależnych pod obciążeniem częściowym </t>
  </si>
  <si>
    <t xml:space="preserve"> Testy komunikacji SPI </t>
  </si>
  <si>
    <t xml:space="preserve"> Pomiary dystrybucji zegarów </t>
  </si>
  <si>
    <t xml:space="preserve"> Obsługa pozostałych urządzeń peryferyjnych na komunikacjach SPI oraz I2C </t>
  </si>
  <si>
    <t xml:space="preserve"> Testy komunikacji szybkich </t>
  </si>
  <si>
    <t>**Wynik**</t>
  </si>
  <si>
    <t>**ilość godzin**</t>
  </si>
  <si>
    <t xml:space="preserve"> 8e</t>
  </si>
  <si>
    <t xml:space="preserve">32e </t>
  </si>
  <si>
    <t>Optyczny test ułożenia układów</t>
  </si>
  <si>
    <t>dodatkowe godziny</t>
  </si>
  <si>
    <t>dni</t>
  </si>
  <si>
    <t>dni dodatkowe</t>
  </si>
  <si>
    <t>suma</t>
  </si>
  <si>
    <t>data zakończenia</t>
  </si>
  <si>
    <t>32e + 40p</t>
  </si>
  <si>
    <t>08e</t>
  </si>
  <si>
    <t xml:space="preserve">08e </t>
  </si>
  <si>
    <t>16e + 24p</t>
  </si>
  <si>
    <t>24e + 16p</t>
  </si>
  <si>
    <t>16e +  8p</t>
  </si>
  <si>
    <t>32e + 32p</t>
  </si>
  <si>
    <t>dni programistów</t>
  </si>
  <si>
    <t>**Szacowana data zakończenia testów**</t>
  </si>
  <si>
    <t>40e + {- 120p -}</t>
  </si>
  <si>
    <t>24e + {- 80p -}</t>
  </si>
  <si>
    <t xml:space="preserve">16e + 8p </t>
  </si>
  <si>
    <t>16e</t>
  </si>
  <si>
    <t xml:space="preserve">08e + 8p </t>
  </si>
  <si>
    <t>08e + 16p</t>
  </si>
  <si>
    <t>08e + 8p</t>
  </si>
  <si>
    <t xml:space="preserve">04e + 8p </t>
  </si>
  <si>
    <t xml:space="preserve">24e +8p </t>
  </si>
  <si>
    <t>ocena</t>
  </si>
  <si>
    <t>Punkt pomiarowy 2</t>
  </si>
  <si>
    <t>P8 - Power1 _In</t>
  </si>
  <si>
    <t>P7 - GND</t>
  </si>
  <si>
    <t>P10 - Power2_In</t>
  </si>
  <si>
    <t>P9 - GND</t>
  </si>
  <si>
    <t>P11.1 - Battery_PWR</t>
  </si>
  <si>
    <t>P11.2 - GND</t>
  </si>
  <si>
    <t>D4.2 - PGND</t>
  </si>
  <si>
    <t>D4.1 - V_POE+</t>
  </si>
  <si>
    <t>C6.1 - Vout_1_Selector</t>
  </si>
  <si>
    <t>C698.2 - CSN</t>
  </si>
  <si>
    <t>C698.1 - PGND</t>
  </si>
  <si>
    <t>C6.1 - GND</t>
  </si>
  <si>
    <t>C12.1  - Vout_2_Selector</t>
  </si>
  <si>
    <t>C12.2 - GND</t>
  </si>
  <si>
    <t>C769.1 - PWR_Out_20V</t>
  </si>
  <si>
    <t>C769.2 - GND</t>
  </si>
  <si>
    <t>C366.2 - 085V@40A_INA</t>
  </si>
  <si>
    <t>C366.1 - GND</t>
  </si>
  <si>
    <t>C415.2 - Vout1_1</t>
  </si>
  <si>
    <t>C415.1 - GND</t>
  </si>
  <si>
    <t>C427.2 Vout2_1</t>
  </si>
  <si>
    <t>C427.1 - GND</t>
  </si>
  <si>
    <t>C458.1 - GND</t>
  </si>
  <si>
    <t>C458.2 Vout1_2</t>
  </si>
  <si>
    <t>napięcie</t>
  </si>
  <si>
    <t>C470.2 - Vout2_2</t>
  </si>
  <si>
    <t>C470.1 GND</t>
  </si>
  <si>
    <t>uwagi</t>
  </si>
  <si>
    <t>REG1</t>
  </si>
  <si>
    <t>C762.1 - US+_Vcc_PS_inFp</t>
  </si>
  <si>
    <t>C762.2 GND</t>
  </si>
  <si>
    <t>C749.1 - GND</t>
  </si>
  <si>
    <t>REG2</t>
  </si>
  <si>
    <t>C709.2 - 0V9@1A_REG3</t>
  </si>
  <si>
    <t>C709.1 - GND</t>
  </si>
  <si>
    <t>REG3</t>
  </si>
  <si>
    <t>C760.1 - RAM_Vcc1V2</t>
  </si>
  <si>
    <t>C760.2 - GND</t>
  </si>
  <si>
    <t>REG4</t>
  </si>
  <si>
    <t>C675.2 - 0V85@2A</t>
  </si>
  <si>
    <t>C675.1 - GND</t>
  </si>
  <si>
    <t>REG5</t>
  </si>
  <si>
    <t>C742.1 - ETH_VDDIO</t>
  </si>
  <si>
    <t>C742.2 - GND</t>
  </si>
  <si>
    <t>REG7</t>
  </si>
  <si>
    <t>C756.2 - US+MGTVaccAux</t>
  </si>
  <si>
    <t>C756.1 - GND</t>
  </si>
  <si>
    <t>REG8</t>
  </si>
  <si>
    <t>C754.2 - US+_Vcc_PS_DDR_504</t>
  </si>
  <si>
    <t>C754.1 - GND</t>
  </si>
  <si>
    <t>REG9</t>
  </si>
  <si>
    <t>C722.2 - RAM_DDR4_VTT</t>
  </si>
  <si>
    <t>C722.1 - GND</t>
  </si>
  <si>
    <t>C551.2 - 2V5@1.5A</t>
  </si>
  <si>
    <t>C551.1 - GND</t>
  </si>
  <si>
    <t>C490.2 - 1V8@1,5A</t>
  </si>
  <si>
    <t>C490.1 - GND</t>
  </si>
  <si>
    <t>C513.2 - 1V0@1.5A</t>
  </si>
  <si>
    <t>C513.1 - GND</t>
  </si>
  <si>
    <t>L13.2 - ADP1741_3.6V</t>
  </si>
  <si>
    <t>C355.1 - GND</t>
  </si>
  <si>
    <t>C565_5to3V3_1.2 - 3.3V_Stable_1</t>
  </si>
  <si>
    <t>C565_5to3V3_1.1 - AGND</t>
  </si>
  <si>
    <t>C569.1 - AGND</t>
  </si>
  <si>
    <t>C569.1 - 3.3V_LN_1</t>
  </si>
  <si>
    <t>C580.2 - 5V_LN</t>
  </si>
  <si>
    <t>C580.1 AGND</t>
  </si>
  <si>
    <t>C205.2 - AGND</t>
  </si>
  <si>
    <t>C205.1 - 3.3V_Stable_2</t>
  </si>
  <si>
    <t>C713.2 - NetC713_2</t>
  </si>
  <si>
    <t>C713.1 - AGND</t>
  </si>
  <si>
    <t>C791.1 - GND</t>
  </si>
  <si>
    <t>C791.2 - FTDI_VccIO</t>
  </si>
  <si>
    <t>FB32.2 _ FTDI_Sock_GND</t>
  </si>
  <si>
    <t>R448_U_Pomiar_pradu_napiecia_PCIe2.1 - 12V_PCIE2</t>
  </si>
  <si>
    <t>R448_U_Pomiar_pradu_napiecia_PCIe0.1 - 12V_PCIE0</t>
  </si>
  <si>
    <t>R448_U_Pomiar_pradu_napiecia_PCIe1.1 - 12V_PCIE1</t>
  </si>
  <si>
    <t>R448_U_Pomiar_pradu_napiecia_PCIe3.1 - 12V_PCIE3</t>
  </si>
  <si>
    <t>R448_U_Pomiar_pradu_napiecia_PCIe4.1 - 12V_PCIE4</t>
  </si>
  <si>
    <t>C332.1 3V3_NVMe</t>
  </si>
  <si>
    <t>C332.2 - GND</t>
  </si>
  <si>
    <t>dopuszczalne maksimum [Ohm]</t>
  </si>
  <si>
    <t>dopuszczalne minimum [Ohm]</t>
  </si>
  <si>
    <t>pomiar [Ohm]</t>
  </si>
  <si>
    <t>-</t>
  </si>
  <si>
    <t>{+ OK +}</t>
  </si>
  <si>
    <t>97,7k</t>
  </si>
  <si>
    <t>Oczekiwane napięcie na wyjściu</t>
  </si>
  <si>
    <t>wyliczone Vout</t>
  </si>
  <si>
    <t>Rezystancja Vout - GND</t>
  </si>
  <si>
    <t>U34</t>
  </si>
  <si>
    <t>wyliczony rezystor  FB-Vout [ohm]</t>
  </si>
  <si>
    <t>wyliczony rezystor FB - GND [ohm]</t>
  </si>
  <si>
    <t>Designator Rezystora FB - Vout</t>
  </si>
  <si>
    <t>Designator Rezystora FB -GND</t>
  </si>
  <si>
    <t>R271</t>
  </si>
  <si>
    <t>R273</t>
  </si>
  <si>
    <t>R287</t>
  </si>
  <si>
    <t>R290</t>
  </si>
  <si>
    <t>R297</t>
  </si>
  <si>
    <t>R300</t>
  </si>
  <si>
    <t>R626</t>
  </si>
  <si>
    <t>R627</t>
  </si>
  <si>
    <t>R315</t>
  </si>
  <si>
    <t>R318</t>
  </si>
  <si>
    <t>Rozbieżność [%]</t>
  </si>
  <si>
    <t>R113</t>
  </si>
  <si>
    <t>R114</t>
  </si>
  <si>
    <t>R212</t>
  </si>
  <si>
    <t>R214</t>
  </si>
  <si>
    <t>R216</t>
  </si>
  <si>
    <t>R218</t>
  </si>
  <si>
    <t>R220</t>
  </si>
  <si>
    <t>R274</t>
  </si>
  <si>
    <t>R430_5to3V3_1</t>
  </si>
  <si>
    <t>R432_5to3V3_1</t>
  </si>
  <si>
    <t>U59_5to3V3_1</t>
  </si>
  <si>
    <t>U59_5to3V3_2</t>
  </si>
  <si>
    <t>U59_5to3V3_for_FTDI</t>
  </si>
  <si>
    <t>R430_5to3V3_2</t>
  </si>
  <si>
    <t>R432_5to3V3_2</t>
  </si>
  <si>
    <t>R430_5to3V3_For_FTDI</t>
  </si>
  <si>
    <t>R432_5to3V3_FTDI</t>
  </si>
  <si>
    <t>U60</t>
  </si>
  <si>
    <t>R433</t>
  </si>
  <si>
    <t>R434</t>
  </si>
  <si>
    <t>U37.1</t>
  </si>
  <si>
    <t>U37.2</t>
  </si>
  <si>
    <t>U38.1</t>
  </si>
  <si>
    <t>U38.2</t>
  </si>
  <si>
    <t>U19.1</t>
  </si>
  <si>
    <t>U19.2</t>
  </si>
  <si>
    <t>U19.3</t>
  </si>
  <si>
    <t>U19.4</t>
  </si>
  <si>
    <t>U61.1</t>
  </si>
  <si>
    <t>U61.2</t>
  </si>
  <si>
    <t>R436</t>
  </si>
  <si>
    <t>R437</t>
  </si>
  <si>
    <t>R438</t>
  </si>
  <si>
    <t>R439</t>
  </si>
  <si>
    <t>U62</t>
  </si>
  <si>
    <t>R445</t>
  </si>
  <si>
    <t>U49</t>
  </si>
  <si>
    <t>U50</t>
  </si>
  <si>
    <t>U51</t>
  </si>
  <si>
    <t>R391</t>
  </si>
  <si>
    <t>R393</t>
  </si>
  <si>
    <t>R394</t>
  </si>
  <si>
    <t>R396</t>
  </si>
  <si>
    <t>R397</t>
  </si>
  <si>
    <t>R399</t>
  </si>
  <si>
    <t>U65</t>
  </si>
  <si>
    <t>R150</t>
  </si>
  <si>
    <t>R160</t>
  </si>
  <si>
    <t>U70.1</t>
  </si>
  <si>
    <t>U70.2</t>
  </si>
  <si>
    <t>Designator przetwornicy</t>
  </si>
  <si>
    <t>Model</t>
  </si>
  <si>
    <t>TPS7A8801RTJT</t>
  </si>
  <si>
    <t>U69</t>
  </si>
  <si>
    <t>ADP1741ACPZ-R7</t>
  </si>
  <si>
    <t>R644</t>
  </si>
  <si>
    <t>R645</t>
  </si>
  <si>
    <t>R671</t>
  </si>
  <si>
    <t>R672</t>
  </si>
  <si>
    <t>R673</t>
  </si>
  <si>
    <t>R674</t>
  </si>
  <si>
    <t>MAX17557ATP+</t>
  </si>
  <si>
    <t>LT3042EDD#PBF</t>
  </si>
  <si>
    <t>MCP1727T-ADJE/MF</t>
  </si>
  <si>
    <t>ADP1850ACPZ-R7</t>
  </si>
  <si>
    <t>LT3504EUFD#PBF</t>
  </si>
  <si>
    <t>U73</t>
  </si>
  <si>
    <t>ST1L08SPUR</t>
  </si>
  <si>
    <t>R689</t>
  </si>
  <si>
    <t>R690</t>
  </si>
  <si>
    <t>Pomiar reverse [Ohm]</t>
  </si>
  <si>
    <t xml:space="preserve">Punkt pomiarowy 1 </t>
  </si>
  <si>
    <t>95,8k</t>
  </si>
  <si>
    <t>97,8k</t>
  </si>
  <si>
    <t>96,6k</t>
  </si>
  <si>
    <t>50,57k</t>
  </si>
  <si>
    <t>50,15k</t>
  </si>
  <si>
    <t>55k</t>
  </si>
  <si>
    <t>&gt;45k</t>
  </si>
  <si>
    <t>&gt;40k</t>
  </si>
  <si>
    <t>1M</t>
  </si>
  <si>
    <t>60k</t>
  </si>
  <si>
    <t>4M</t>
  </si>
  <si>
    <t>1,2R</t>
  </si>
  <si>
    <t>1,1R</t>
  </si>
  <si>
    <t>420R</t>
  </si>
  <si>
    <t>45,3R</t>
  </si>
  <si>
    <t>45,2R</t>
  </si>
  <si>
    <t>32k</t>
  </si>
  <si>
    <t>&gt;3M</t>
  </si>
  <si>
    <t>4,5k</t>
  </si>
  <si>
    <t>1,3R</t>
  </si>
  <si>
    <t>670R</t>
  </si>
  <si>
    <t>438R</t>
  </si>
  <si>
    <t>39,3R</t>
  </si>
  <si>
    <t>53R</t>
  </si>
  <si>
    <t>45R</t>
  </si>
  <si>
    <t>8,7k</t>
  </si>
  <si>
    <t>10k</t>
  </si>
  <si>
    <t>370R</t>
  </si>
  <si>
    <t>313R</t>
  </si>
  <si>
    <t>1,73k</t>
  </si>
  <si>
    <t>1,197k</t>
  </si>
  <si>
    <t>3,82k</t>
  </si>
  <si>
    <t>1,47k</t>
  </si>
  <si>
    <t>13,2k</t>
  </si>
  <si>
    <t>15,9k</t>
  </si>
  <si>
    <t>9,11k</t>
  </si>
  <si>
    <t>3,36k</t>
  </si>
  <si>
    <t>21,5k</t>
  </si>
  <si>
    <t>22,6k</t>
  </si>
  <si>
    <t>528R</t>
  </si>
  <si>
    <t>877R</t>
  </si>
  <si>
    <t>38,3k</t>
  </si>
  <si>
    <t>6,62k</t>
  </si>
  <si>
    <t>5M</t>
  </si>
  <si>
    <t>6k</t>
  </si>
  <si>
    <t>3,4k</t>
  </si>
  <si>
    <t>22,5k</t>
  </si>
  <si>
    <t>32,3k</t>
  </si>
  <si>
    <t>4k</t>
  </si>
  <si>
    <t>0,1R</t>
  </si>
  <si>
    <t>0,3R</t>
  </si>
  <si>
    <t>0,2R</t>
  </si>
  <si>
    <t>1,4M</t>
  </si>
  <si>
    <t>1,42M</t>
  </si>
  <si>
    <t>12M</t>
  </si>
  <si>
    <t>610k</t>
  </si>
  <si>
    <t>{- Zwarcie -}  [Opis zagadnienia](http://192.168.10.3:82/pnpsystems/elektronicy/motherboard/issues/6)</t>
  </si>
  <si>
    <t>{- Zwarcie -} [Opis zagadnienia](http://192.168.10.3:82/pnpsystems/elektronicy/motherboard/issues/6)</t>
  </si>
  <si>
    <t>10M</t>
  </si>
  <si>
    <t>{- BŁĄD -}</t>
  </si>
  <si>
    <t>Dopuszczalne maksimum [V]</t>
  </si>
  <si>
    <t>Zmierzone napięcie [V]</t>
  </si>
  <si>
    <t>Dopuszczalne minimum [V]</t>
  </si>
  <si>
    <t>dopuszczalny błąd</t>
  </si>
  <si>
    <t>Designator rezystora pomiarowego</t>
  </si>
  <si>
    <t>Spadek  napięciana rezystorze pomiarowym [V]</t>
  </si>
  <si>
    <t>Opór rezystora pomiarowego</t>
  </si>
  <si>
    <t>Wyliczony prąd [A]</t>
  </si>
  <si>
    <t>Dopuszczalne maksimum [A]</t>
  </si>
  <si>
    <t>wynik pomiarów</t>
  </si>
  <si>
    <t>dodatkowe obliczenia dla przetwornic LDO</t>
  </si>
  <si>
    <t>ciepło [W]</t>
  </si>
  <si>
    <t>Vin [V]</t>
  </si>
  <si>
    <t>Vout [V]</t>
  </si>
  <si>
    <t>prąd [A]</t>
  </si>
  <si>
    <t>Maksymalna moc na obudowie</t>
  </si>
  <si>
    <t>temperatura obudowy</t>
  </si>
  <si>
    <t>R617</t>
  </si>
  <si>
    <t>numer miernika</t>
  </si>
  <si>
    <t>[ Optyczny test ułożenia układów](Struktura-testowania-sprzętu/Test-optyczny-MB1_T1)</t>
  </si>
  <si>
    <t xml:space="preserve">[Pomiar rezystancji torów zasilających](Struktura-testowania-sprzętu/Pomiar-rezystancji-torów-zasilających-MB1) </t>
  </si>
  <si>
    <t>[Testy konfiguracji przetwornic zasilających](Struktura-testowania-sprzętu/Pomiary-rezystor%C3%B3w-przetwornic-MB1)</t>
  </si>
  <si>
    <t xml:space="preserve"> [Pomiary napięć i prądów zasilających, niezależnych](Struktura-testowania-sprzętu/Pomiary-napięć-i-prądów-MB1)</t>
  </si>
  <si>
    <t>[Pomiary konfiguracji torów zasilających](Struktura-testowania-sprzętu/Pomiary-konfiguracji-zasilania-MB1)</t>
  </si>
  <si>
    <t>fizyczny rezystor FB - Vout [Ohm]</t>
  </si>
  <si>
    <t>Fizyczny rezystor FB - GND [ohm]</t>
  </si>
  <si>
    <t>Ponowne pomiary</t>
  </si>
  <si>
    <t>227,1R</t>
  </si>
  <si>
    <t>227,2R</t>
  </si>
  <si>
    <t>FB31.2 - FTDI_VBUS</t>
  </si>
  <si>
    <t>&gt;12,5M</t>
  </si>
  <si>
    <t>&gt;2M</t>
  </si>
  <si>
    <t>i=u/r</t>
  </si>
  <si>
    <t>C749.2 - 1V8@0.5A_ADC_filtered</t>
  </si>
  <si>
    <t>1,5M</t>
  </si>
  <si>
    <t>100k</t>
  </si>
  <si>
    <t>50k</t>
  </si>
  <si>
    <t>40k</t>
  </si>
  <si>
    <t>2M</t>
  </si>
  <si>
    <t>200k</t>
  </si>
  <si>
    <t>45k</t>
  </si>
  <si>
    <t>5k</t>
  </si>
  <si>
    <t>20k</t>
  </si>
  <si>
    <t>3,2Ohm</t>
  </si>
  <si>
    <t>56Ohm</t>
  </si>
  <si>
    <t>47Ohm</t>
  </si>
  <si>
    <t>3M</t>
  </si>
  <si>
    <t>30k</t>
  </si>
  <si>
    <t>600Ohm</t>
  </si>
  <si>
    <t>745Ohm</t>
  </si>
  <si>
    <t>92Ohm</t>
  </si>
  <si>
    <t>238Ohm</t>
  </si>
  <si>
    <t>9,7K</t>
  </si>
  <si>
    <t>8,9K</t>
  </si>
  <si>
    <t>340Ohm</t>
  </si>
  <si>
    <t>297Ohm</t>
  </si>
  <si>
    <t>1,8k</t>
  </si>
  <si>
    <t>1,2k</t>
  </si>
  <si>
    <t>1,5k</t>
  </si>
  <si>
    <t>14k</t>
  </si>
  <si>
    <t>22k</t>
  </si>
  <si>
    <t>17k</t>
  </si>
  <si>
    <t>23k</t>
  </si>
  <si>
    <t>581Ohm</t>
  </si>
  <si>
    <t>1K</t>
  </si>
  <si>
    <t>7,2k</t>
  </si>
  <si>
    <t>75k</t>
  </si>
  <si>
    <t>2,8k</t>
  </si>
  <si>
    <t>46k</t>
  </si>
  <si>
    <t>227Ohm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</si>
</sst>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3" fontId="0" fillId="0" borderId="1" xfId="0" quotePrefix="1" applyNumberForma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0" fillId="0" borderId="3" xfId="0" applyNumberFormat="1" applyBorder="1" applyAlignment="1">
      <alignment horizontal="center" wrapText="1"/>
    </xf>
    <xf numFmtId="3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8" xfId="0" applyBorder="1"/>
    <xf numFmtId="164" fontId="0" fillId="0" borderId="8" xfId="0" applyNumberFormat="1" applyBorder="1"/>
    <xf numFmtId="0" fontId="0" fillId="0" borderId="0" xfId="0" applyAlignment="1">
      <alignment vertic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 applyAlignment="1">
      <alignment vertical="center"/>
    </xf>
    <xf numFmtId="0" fontId="0" fillId="2" borderId="8" xfId="0" applyFill="1" applyBorder="1"/>
    <xf numFmtId="0" fontId="0" fillId="0" borderId="0" xfId="0" applyAlignment="1">
      <alignment horizontal="center" wrapText="1"/>
    </xf>
    <xf numFmtId="0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3" borderId="1" xfId="0" applyNumberForma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E20" sqref="E20"/>
    </sheetView>
  </sheetViews>
  <sheetFormatPr defaultRowHeight="14.4" x14ac:dyDescent="0.3"/>
  <cols>
    <col min="2" max="2" width="75.33203125" customWidth="1"/>
    <col min="4" max="4" width="21.5546875" customWidth="1"/>
    <col min="5" max="5" width="27.109375" customWidth="1"/>
    <col min="6" max="6" width="28.33203125" customWidth="1"/>
    <col min="7" max="7" width="18.5546875" bestFit="1" customWidth="1"/>
    <col min="8" max="8" width="9.88671875" bestFit="1" customWidth="1"/>
    <col min="11" max="11" width="15.88671875" style="1" customWidth="1"/>
    <col min="13" max="13" width="9.88671875" bestFit="1" customWidth="1"/>
    <col min="14" max="14" width="18.33203125" customWidth="1"/>
  </cols>
  <sheetData>
    <row r="1" spans="1:14" x14ac:dyDescent="0.3">
      <c r="A1" t="s">
        <v>0</v>
      </c>
      <c r="B1" t="s">
        <v>2</v>
      </c>
      <c r="C1" t="s">
        <v>20</v>
      </c>
      <c r="D1" t="s">
        <v>21</v>
      </c>
      <c r="E1" t="s">
        <v>38</v>
      </c>
      <c r="F1" t="s">
        <v>3</v>
      </c>
      <c r="G1" t="s">
        <v>25</v>
      </c>
      <c r="H1" t="s">
        <v>26</v>
      </c>
      <c r="I1" t="s">
        <v>27</v>
      </c>
      <c r="J1" t="s">
        <v>28</v>
      </c>
      <c r="K1" s="1" t="s">
        <v>29</v>
      </c>
      <c r="M1" t="s">
        <v>37</v>
      </c>
    </row>
    <row r="2" spans="1:14" x14ac:dyDescent="0.3">
      <c r="A2">
        <v>1</v>
      </c>
      <c r="B2" t="s">
        <v>307</v>
      </c>
      <c r="C2" t="s">
        <v>4</v>
      </c>
      <c r="D2" t="s">
        <v>31</v>
      </c>
      <c r="E2" s="1">
        <f>K2</f>
        <v>44194</v>
      </c>
      <c r="F2" s="1">
        <f>E2</f>
        <v>44194</v>
      </c>
      <c r="G2">
        <f>VALUE(LEFT(D2,2))</f>
        <v>8</v>
      </c>
      <c r="H2">
        <f t="shared" ref="H2:H14" si="0">VALUE(LEFT(D2,2))/8</f>
        <v>1</v>
      </c>
      <c r="I2">
        <f>G2/8</f>
        <v>1</v>
      </c>
      <c r="J2">
        <f>SUM(H2:I2)</f>
        <v>2</v>
      </c>
      <c r="K2" s="1">
        <v>44194</v>
      </c>
      <c r="M2">
        <f t="shared" ref="M2:M14" si="1">IF(RIGHT(D2,1)="p",VALUE(LEFT(RIGHT(D2,4),3))/8,IF(RIGHT(D2,4)="p -}",VALUE(LEFT(RIGHT(D2,7),3))/8,0))</f>
        <v>0</v>
      </c>
      <c r="N2" s="1">
        <v>44198</v>
      </c>
    </row>
    <row r="3" spans="1:14" x14ac:dyDescent="0.3">
      <c r="A3">
        <v>2</v>
      </c>
      <c r="B3" t="s">
        <v>308</v>
      </c>
      <c r="C3" t="s">
        <v>287</v>
      </c>
      <c r="D3" t="s">
        <v>1</v>
      </c>
      <c r="E3" s="1">
        <f t="shared" ref="E3:E14" si="2">K3</f>
        <v>44203</v>
      </c>
      <c r="F3" s="1">
        <v>44203</v>
      </c>
      <c r="G3">
        <v>32</v>
      </c>
      <c r="H3">
        <f t="shared" si="0"/>
        <v>3</v>
      </c>
      <c r="I3">
        <f t="shared" ref="I3:I14" si="3">G3/8</f>
        <v>4</v>
      </c>
      <c r="J3">
        <f t="shared" ref="J3:J14" si="4">SUM(H3:I3)</f>
        <v>7</v>
      </c>
      <c r="K3" s="1">
        <f>WORKDAY(K2,J3)</f>
        <v>44203</v>
      </c>
      <c r="M3">
        <f t="shared" si="1"/>
        <v>0</v>
      </c>
      <c r="N3" s="1">
        <f>WORKDAY(N2,M3)</f>
        <v>44198</v>
      </c>
    </row>
    <row r="4" spans="1:14" x14ac:dyDescent="0.3">
      <c r="A4">
        <v>3</v>
      </c>
      <c r="B4" t="s">
        <v>309</v>
      </c>
      <c r="C4" t="s">
        <v>8</v>
      </c>
      <c r="D4" t="s">
        <v>23</v>
      </c>
      <c r="E4" s="1">
        <f t="shared" si="2"/>
        <v>44209</v>
      </c>
      <c r="H4">
        <f t="shared" si="0"/>
        <v>4</v>
      </c>
      <c r="I4">
        <f t="shared" si="3"/>
        <v>0</v>
      </c>
      <c r="J4">
        <f t="shared" si="4"/>
        <v>4</v>
      </c>
      <c r="K4" s="1">
        <f t="shared" ref="K4:K14" si="5">WORKDAY(K3,J4)</f>
        <v>44209</v>
      </c>
      <c r="M4">
        <f t="shared" si="1"/>
        <v>0</v>
      </c>
      <c r="N4" s="1">
        <f t="shared" ref="N4:N14" si="6">WORKDAY(N3,M4)</f>
        <v>44198</v>
      </c>
    </row>
    <row r="5" spans="1:14" x14ac:dyDescent="0.3">
      <c r="A5">
        <v>4</v>
      </c>
      <c r="B5" t="s">
        <v>310</v>
      </c>
      <c r="C5" t="s">
        <v>6</v>
      </c>
      <c r="D5" t="s">
        <v>30</v>
      </c>
      <c r="E5" s="1">
        <f t="shared" si="2"/>
        <v>44215</v>
      </c>
      <c r="H5">
        <f t="shared" si="0"/>
        <v>4</v>
      </c>
      <c r="I5">
        <f t="shared" si="3"/>
        <v>0</v>
      </c>
      <c r="J5">
        <f t="shared" si="4"/>
        <v>4</v>
      </c>
      <c r="K5" s="1">
        <f t="shared" si="5"/>
        <v>44215</v>
      </c>
      <c r="M5">
        <f t="shared" si="1"/>
        <v>5</v>
      </c>
      <c r="N5" s="1">
        <f t="shared" si="6"/>
        <v>44204</v>
      </c>
    </row>
    <row r="6" spans="1:14" x14ac:dyDescent="0.3">
      <c r="A6">
        <v>5</v>
      </c>
      <c r="B6" t="s">
        <v>311</v>
      </c>
      <c r="C6" t="s">
        <v>6</v>
      </c>
      <c r="D6" t="s">
        <v>32</v>
      </c>
      <c r="E6" s="1">
        <f t="shared" si="2"/>
        <v>44216</v>
      </c>
      <c r="F6" t="s">
        <v>9</v>
      </c>
      <c r="H6">
        <f t="shared" si="0"/>
        <v>1</v>
      </c>
      <c r="I6">
        <f t="shared" si="3"/>
        <v>0</v>
      </c>
      <c r="J6">
        <f t="shared" si="4"/>
        <v>1</v>
      </c>
      <c r="K6" s="1">
        <f t="shared" si="5"/>
        <v>44216</v>
      </c>
      <c r="M6">
        <f t="shared" si="1"/>
        <v>0</v>
      </c>
      <c r="N6" s="1">
        <f t="shared" si="6"/>
        <v>44204</v>
      </c>
    </row>
    <row r="7" spans="1:14" x14ac:dyDescent="0.3">
      <c r="A7">
        <v>6</v>
      </c>
      <c r="B7" t="s">
        <v>12</v>
      </c>
      <c r="C7" t="s">
        <v>6</v>
      </c>
      <c r="D7" t="s">
        <v>39</v>
      </c>
      <c r="E7" s="1">
        <f t="shared" si="2"/>
        <v>44223</v>
      </c>
      <c r="H7">
        <f t="shared" si="0"/>
        <v>5</v>
      </c>
      <c r="I7">
        <f t="shared" si="3"/>
        <v>0</v>
      </c>
      <c r="J7">
        <f t="shared" si="4"/>
        <v>5</v>
      </c>
      <c r="K7" s="1">
        <f t="shared" si="5"/>
        <v>44223</v>
      </c>
      <c r="M7">
        <f t="shared" si="1"/>
        <v>15</v>
      </c>
      <c r="N7" s="1">
        <f t="shared" si="6"/>
        <v>44225</v>
      </c>
    </row>
    <row r="8" spans="1:14" x14ac:dyDescent="0.3">
      <c r="A8">
        <v>7</v>
      </c>
      <c r="B8" t="s">
        <v>13</v>
      </c>
      <c r="C8" t="s">
        <v>6</v>
      </c>
      <c r="D8" t="s">
        <v>30</v>
      </c>
      <c r="E8" s="1">
        <f t="shared" si="2"/>
        <v>44229</v>
      </c>
      <c r="H8">
        <f t="shared" si="0"/>
        <v>4</v>
      </c>
      <c r="I8">
        <f t="shared" si="3"/>
        <v>0</v>
      </c>
      <c r="J8">
        <f t="shared" si="4"/>
        <v>4</v>
      </c>
      <c r="K8" s="1">
        <f t="shared" si="5"/>
        <v>44229</v>
      </c>
      <c r="M8">
        <f t="shared" si="1"/>
        <v>5</v>
      </c>
      <c r="N8" s="1">
        <f t="shared" si="6"/>
        <v>44232</v>
      </c>
    </row>
    <row r="9" spans="1:14" x14ac:dyDescent="0.3">
      <c r="A9">
        <v>8</v>
      </c>
      <c r="B9" t="s">
        <v>14</v>
      </c>
      <c r="C9" t="s">
        <v>6</v>
      </c>
      <c r="D9" t="s">
        <v>33</v>
      </c>
      <c r="E9" s="1">
        <f t="shared" si="2"/>
        <v>44231</v>
      </c>
      <c r="H9">
        <f t="shared" si="0"/>
        <v>2</v>
      </c>
      <c r="I9">
        <f t="shared" si="3"/>
        <v>0</v>
      </c>
      <c r="J9">
        <f t="shared" si="4"/>
        <v>2</v>
      </c>
      <c r="K9" s="1">
        <f t="shared" si="5"/>
        <v>44231</v>
      </c>
      <c r="M9">
        <f t="shared" si="1"/>
        <v>3</v>
      </c>
      <c r="N9" s="1">
        <f t="shared" si="6"/>
        <v>44237</v>
      </c>
    </row>
    <row r="10" spans="1:14" x14ac:dyDescent="0.3">
      <c r="A10">
        <v>9</v>
      </c>
      <c r="B10" t="s">
        <v>15</v>
      </c>
      <c r="C10" t="s">
        <v>6</v>
      </c>
      <c r="D10" t="s">
        <v>35</v>
      </c>
      <c r="E10" s="1">
        <f t="shared" si="2"/>
        <v>44235</v>
      </c>
      <c r="H10">
        <f t="shared" si="0"/>
        <v>2</v>
      </c>
      <c r="I10">
        <f t="shared" si="3"/>
        <v>0</v>
      </c>
      <c r="J10">
        <f t="shared" si="4"/>
        <v>2</v>
      </c>
      <c r="K10" s="1">
        <f t="shared" si="5"/>
        <v>44235</v>
      </c>
      <c r="M10">
        <f t="shared" si="1"/>
        <v>1</v>
      </c>
      <c r="N10" s="1">
        <f t="shared" si="6"/>
        <v>44238</v>
      </c>
    </row>
    <row r="11" spans="1:14" x14ac:dyDescent="0.3">
      <c r="A11">
        <v>10</v>
      </c>
      <c r="B11" t="s">
        <v>16</v>
      </c>
      <c r="C11" t="s">
        <v>6</v>
      </c>
      <c r="D11" t="s">
        <v>36</v>
      </c>
      <c r="E11" s="1">
        <f t="shared" si="2"/>
        <v>44239</v>
      </c>
      <c r="H11">
        <f t="shared" si="0"/>
        <v>4</v>
      </c>
      <c r="I11">
        <f t="shared" si="3"/>
        <v>0</v>
      </c>
      <c r="J11">
        <f t="shared" si="4"/>
        <v>4</v>
      </c>
      <c r="K11" s="1">
        <f t="shared" si="5"/>
        <v>44239</v>
      </c>
      <c r="M11">
        <f t="shared" si="1"/>
        <v>4</v>
      </c>
      <c r="N11" s="1">
        <f t="shared" si="6"/>
        <v>44244</v>
      </c>
    </row>
    <row r="12" spans="1:14" x14ac:dyDescent="0.3">
      <c r="A12">
        <v>11</v>
      </c>
      <c r="B12" t="s">
        <v>17</v>
      </c>
      <c r="C12" t="s">
        <v>6</v>
      </c>
      <c r="D12" t="s">
        <v>34</v>
      </c>
      <c r="E12" s="1">
        <f t="shared" si="2"/>
        <v>44244</v>
      </c>
      <c r="H12">
        <f t="shared" si="0"/>
        <v>3</v>
      </c>
      <c r="I12">
        <f t="shared" si="3"/>
        <v>0</v>
      </c>
      <c r="J12">
        <f t="shared" si="4"/>
        <v>3</v>
      </c>
      <c r="K12" s="1">
        <f t="shared" si="5"/>
        <v>44244</v>
      </c>
      <c r="M12">
        <f t="shared" si="1"/>
        <v>2</v>
      </c>
      <c r="N12" s="1">
        <f t="shared" si="6"/>
        <v>44246</v>
      </c>
    </row>
    <row r="13" spans="1:14" x14ac:dyDescent="0.3">
      <c r="A13">
        <v>12</v>
      </c>
      <c r="B13" t="s">
        <v>18</v>
      </c>
      <c r="C13" t="s">
        <v>6</v>
      </c>
      <c r="D13" t="s">
        <v>30</v>
      </c>
      <c r="E13" s="1">
        <f t="shared" si="2"/>
        <v>44250</v>
      </c>
      <c r="H13">
        <f t="shared" si="0"/>
        <v>4</v>
      </c>
      <c r="I13">
        <f t="shared" si="3"/>
        <v>0</v>
      </c>
      <c r="J13">
        <f t="shared" si="4"/>
        <v>4</v>
      </c>
      <c r="K13" s="1">
        <f t="shared" si="5"/>
        <v>44250</v>
      </c>
      <c r="M13">
        <f t="shared" si="1"/>
        <v>5</v>
      </c>
      <c r="N13" s="1">
        <f t="shared" si="6"/>
        <v>44253</v>
      </c>
    </row>
    <row r="14" spans="1:14" x14ac:dyDescent="0.3">
      <c r="A14">
        <v>13</v>
      </c>
      <c r="B14" t="s">
        <v>19</v>
      </c>
      <c r="C14" t="s">
        <v>6</v>
      </c>
      <c r="D14" t="s">
        <v>40</v>
      </c>
      <c r="E14" s="1">
        <f t="shared" si="2"/>
        <v>44253</v>
      </c>
      <c r="H14">
        <f t="shared" si="0"/>
        <v>3</v>
      </c>
      <c r="I14">
        <f t="shared" si="3"/>
        <v>0</v>
      </c>
      <c r="J14">
        <f t="shared" si="4"/>
        <v>3</v>
      </c>
      <c r="K14" s="1">
        <f t="shared" si="5"/>
        <v>44253</v>
      </c>
      <c r="M14">
        <f t="shared" si="1"/>
        <v>10</v>
      </c>
      <c r="N14" s="1">
        <f t="shared" si="6"/>
        <v>44267</v>
      </c>
    </row>
    <row r="16" spans="1:14" x14ac:dyDescent="0.3">
      <c r="G16" t="s">
        <v>28</v>
      </c>
      <c r="H16">
        <f>SUM(H2:H14)</f>
        <v>40</v>
      </c>
      <c r="I16">
        <f t="shared" ref="I16:M16" si="7">SUM(I2:I14)</f>
        <v>5</v>
      </c>
      <c r="J16">
        <f t="shared" si="7"/>
        <v>45</v>
      </c>
      <c r="M16">
        <f t="shared" si="7"/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6" workbookViewId="0">
      <selection activeCell="E16" sqref="E16"/>
    </sheetView>
  </sheetViews>
  <sheetFormatPr defaultRowHeight="14.4" x14ac:dyDescent="0.3"/>
  <cols>
    <col min="1" max="1" width="38.44140625" style="2" customWidth="1"/>
    <col min="2" max="3" width="13.5546875" customWidth="1"/>
    <col min="6" max="6" width="17.6640625" style="4" bestFit="1" customWidth="1"/>
    <col min="7" max="7" width="17.6640625" style="3" customWidth="1"/>
    <col min="8" max="8" width="35.44140625" customWidth="1"/>
  </cols>
  <sheetData>
    <row r="1" spans="1:12" s="2" customFormat="1" ht="43.2" x14ac:dyDescent="0.3">
      <c r="A1" s="9" t="s">
        <v>227</v>
      </c>
      <c r="B1" s="10" t="s">
        <v>49</v>
      </c>
      <c r="C1" s="10" t="s">
        <v>77</v>
      </c>
      <c r="D1" s="10" t="s">
        <v>133</v>
      </c>
      <c r="E1" s="10" t="s">
        <v>226</v>
      </c>
      <c r="F1" s="11" t="s">
        <v>132</v>
      </c>
      <c r="G1" s="12" t="s">
        <v>131</v>
      </c>
      <c r="H1" s="13" t="s">
        <v>48</v>
      </c>
      <c r="I1" s="2" t="s">
        <v>74</v>
      </c>
      <c r="J1" s="2" t="s">
        <v>48</v>
      </c>
    </row>
    <row r="2" spans="1:12" x14ac:dyDescent="0.3">
      <c r="A2" s="14" t="s">
        <v>50</v>
      </c>
      <c r="B2" s="5" t="s">
        <v>51</v>
      </c>
      <c r="C2" s="5"/>
      <c r="D2" s="6" t="s">
        <v>136</v>
      </c>
      <c r="E2" s="6" t="s">
        <v>228</v>
      </c>
      <c r="F2" s="6">
        <v>100</v>
      </c>
      <c r="G2" s="7" t="s">
        <v>134</v>
      </c>
      <c r="H2" s="15" t="s">
        <v>135</v>
      </c>
    </row>
    <row r="3" spans="1:12" x14ac:dyDescent="0.3">
      <c r="A3" s="14" t="s">
        <v>52</v>
      </c>
      <c r="B3" s="5" t="s">
        <v>53</v>
      </c>
      <c r="C3" s="5"/>
      <c r="D3" s="6" t="s">
        <v>229</v>
      </c>
      <c r="E3" s="6" t="s">
        <v>230</v>
      </c>
      <c r="F3" s="6">
        <v>100</v>
      </c>
      <c r="G3" s="7" t="s">
        <v>134</v>
      </c>
      <c r="H3" s="15" t="s">
        <v>135</v>
      </c>
    </row>
    <row r="4" spans="1:12" x14ac:dyDescent="0.3">
      <c r="A4" s="14" t="s">
        <v>54</v>
      </c>
      <c r="B4" s="5" t="s">
        <v>55</v>
      </c>
      <c r="C4" s="5"/>
      <c r="D4" s="6" t="s">
        <v>231</v>
      </c>
      <c r="E4" s="6" t="s">
        <v>232</v>
      </c>
      <c r="F4" s="6">
        <v>100</v>
      </c>
      <c r="G4" s="7" t="s">
        <v>134</v>
      </c>
      <c r="H4" s="15" t="s">
        <v>135</v>
      </c>
    </row>
    <row r="5" spans="1:12" x14ac:dyDescent="0.3">
      <c r="A5" s="14" t="s">
        <v>57</v>
      </c>
      <c r="B5" s="5" t="s">
        <v>56</v>
      </c>
      <c r="C5" s="5"/>
      <c r="D5" s="6" t="s">
        <v>233</v>
      </c>
      <c r="E5" s="6" t="s">
        <v>233</v>
      </c>
      <c r="F5" s="6">
        <v>100</v>
      </c>
      <c r="G5" s="8" t="s">
        <v>134</v>
      </c>
      <c r="H5" s="15" t="s">
        <v>135</v>
      </c>
    </row>
    <row r="6" spans="1:12" x14ac:dyDescent="0.3">
      <c r="A6" s="14" t="s">
        <v>58</v>
      </c>
      <c r="B6" s="5" t="s">
        <v>61</v>
      </c>
      <c r="C6" s="5"/>
      <c r="D6" s="6" t="s">
        <v>234</v>
      </c>
      <c r="E6" s="6" t="s">
        <v>234</v>
      </c>
      <c r="F6" s="6">
        <v>100</v>
      </c>
      <c r="G6" s="7" t="s">
        <v>134</v>
      </c>
      <c r="H6" s="15" t="s">
        <v>135</v>
      </c>
    </row>
    <row r="7" spans="1:12" x14ac:dyDescent="0.3">
      <c r="A7" s="14" t="s">
        <v>59</v>
      </c>
      <c r="B7" s="5" t="s">
        <v>60</v>
      </c>
      <c r="C7" s="5"/>
      <c r="D7" s="6" t="s">
        <v>235</v>
      </c>
      <c r="E7" s="6" t="s">
        <v>235</v>
      </c>
      <c r="F7" s="6">
        <v>100</v>
      </c>
      <c r="G7" s="7" t="s">
        <v>134</v>
      </c>
      <c r="H7" s="15" t="s">
        <v>135</v>
      </c>
    </row>
    <row r="8" spans="1:12" x14ac:dyDescent="0.3">
      <c r="A8" s="14" t="s">
        <v>62</v>
      </c>
      <c r="B8" s="5" t="s">
        <v>63</v>
      </c>
      <c r="C8" s="5"/>
      <c r="D8" s="6" t="s">
        <v>236</v>
      </c>
      <c r="E8" s="6" t="s">
        <v>236</v>
      </c>
      <c r="F8" s="6">
        <v>100</v>
      </c>
      <c r="G8" s="7" t="s">
        <v>134</v>
      </c>
      <c r="H8" s="15" t="s">
        <v>135</v>
      </c>
    </row>
    <row r="9" spans="1:12" x14ac:dyDescent="0.3">
      <c r="A9" s="14" t="s">
        <v>64</v>
      </c>
      <c r="B9" s="5" t="s">
        <v>65</v>
      </c>
      <c r="C9" s="5"/>
      <c r="D9" s="6" t="s">
        <v>237</v>
      </c>
      <c r="E9" s="6" t="s">
        <v>238</v>
      </c>
      <c r="F9" s="6">
        <v>100</v>
      </c>
      <c r="G9" s="7" t="s">
        <v>134</v>
      </c>
      <c r="H9" s="15" t="s">
        <v>135</v>
      </c>
      <c r="I9">
        <v>20</v>
      </c>
    </row>
    <row r="10" spans="1:12" x14ac:dyDescent="0.3">
      <c r="A10" s="14" t="s">
        <v>66</v>
      </c>
      <c r="B10" s="5" t="s">
        <v>67</v>
      </c>
      <c r="C10" s="5"/>
      <c r="D10" s="6" t="s">
        <v>239</v>
      </c>
      <c r="E10" s="6" t="s">
        <v>240</v>
      </c>
      <c r="F10" s="6">
        <v>0.1</v>
      </c>
      <c r="G10" s="7">
        <v>100000</v>
      </c>
      <c r="H10" s="15" t="s">
        <v>135</v>
      </c>
      <c r="I10">
        <v>0.85</v>
      </c>
    </row>
    <row r="11" spans="1:12" x14ac:dyDescent="0.3">
      <c r="A11" s="14" t="s">
        <v>68</v>
      </c>
      <c r="B11" s="5" t="s">
        <v>69</v>
      </c>
      <c r="C11" s="5"/>
      <c r="D11" s="6" t="s">
        <v>241</v>
      </c>
      <c r="E11" s="6">
        <v>381</v>
      </c>
      <c r="F11" s="6">
        <v>10</v>
      </c>
      <c r="G11" s="7">
        <v>100000</v>
      </c>
      <c r="H11" s="15" t="s">
        <v>135</v>
      </c>
      <c r="I11">
        <v>3.3</v>
      </c>
      <c r="K11" t="s">
        <v>320</v>
      </c>
      <c r="L11">
        <f>I11/E11</f>
        <v>8.6614173228346455E-3</v>
      </c>
    </row>
    <row r="12" spans="1:12" x14ac:dyDescent="0.3">
      <c r="A12" s="14" t="s">
        <v>70</v>
      </c>
      <c r="B12" s="5" t="s">
        <v>71</v>
      </c>
      <c r="C12" s="5"/>
      <c r="D12" s="6" t="s">
        <v>242</v>
      </c>
      <c r="E12" s="6" t="s">
        <v>243</v>
      </c>
      <c r="F12" s="6">
        <v>10</v>
      </c>
      <c r="G12" s="7">
        <v>100000</v>
      </c>
      <c r="H12" s="15" t="s">
        <v>135</v>
      </c>
      <c r="I12">
        <v>1.2</v>
      </c>
    </row>
    <row r="13" spans="1:12" x14ac:dyDescent="0.3">
      <c r="A13" s="14" t="s">
        <v>73</v>
      </c>
      <c r="B13" s="5" t="s">
        <v>72</v>
      </c>
      <c r="C13" s="5"/>
      <c r="D13" s="6" t="s">
        <v>244</v>
      </c>
      <c r="E13" s="6" t="s">
        <v>236</v>
      </c>
      <c r="F13" s="6">
        <v>100</v>
      </c>
      <c r="G13" s="7" t="s">
        <v>286</v>
      </c>
      <c r="H13" s="15" t="s">
        <v>135</v>
      </c>
      <c r="I13">
        <v>12</v>
      </c>
    </row>
    <row r="14" spans="1:12" x14ac:dyDescent="0.3">
      <c r="A14" s="14" t="s">
        <v>75</v>
      </c>
      <c r="B14" s="5" t="s">
        <v>76</v>
      </c>
      <c r="C14" s="5"/>
      <c r="D14" s="6" t="s">
        <v>245</v>
      </c>
      <c r="E14" s="6" t="s">
        <v>246</v>
      </c>
      <c r="F14" s="6">
        <v>100</v>
      </c>
      <c r="G14" s="7" t="s">
        <v>286</v>
      </c>
      <c r="H14" s="15" t="s">
        <v>135</v>
      </c>
      <c r="I14">
        <v>5</v>
      </c>
    </row>
    <row r="15" spans="1:12" x14ac:dyDescent="0.3">
      <c r="A15" s="14" t="s">
        <v>79</v>
      </c>
      <c r="B15" s="5" t="s">
        <v>80</v>
      </c>
      <c r="C15" s="5" t="s">
        <v>78</v>
      </c>
      <c r="D15" s="6" t="s">
        <v>247</v>
      </c>
      <c r="E15" s="6" t="s">
        <v>239</v>
      </c>
      <c r="F15" s="6">
        <v>0.1</v>
      </c>
      <c r="G15" s="7">
        <v>100000</v>
      </c>
      <c r="H15" s="15" t="s">
        <v>135</v>
      </c>
      <c r="I15">
        <v>0.85</v>
      </c>
    </row>
    <row r="16" spans="1:12" x14ac:dyDescent="0.3">
      <c r="A16" s="14" t="s">
        <v>321</v>
      </c>
      <c r="B16" s="5" t="s">
        <v>81</v>
      </c>
      <c r="C16" s="5" t="s">
        <v>82</v>
      </c>
      <c r="D16" s="6" t="s">
        <v>248</v>
      </c>
      <c r="E16" s="6" t="s">
        <v>249</v>
      </c>
      <c r="F16" s="6">
        <v>1</v>
      </c>
      <c r="G16" s="7">
        <v>100000</v>
      </c>
      <c r="H16" s="15" t="s">
        <v>135</v>
      </c>
      <c r="I16">
        <v>1.8</v>
      </c>
    </row>
    <row r="17" spans="1:9" x14ac:dyDescent="0.3">
      <c r="A17" s="14" t="s">
        <v>83</v>
      </c>
      <c r="B17" s="5" t="s">
        <v>84</v>
      </c>
      <c r="C17" s="5" t="s">
        <v>85</v>
      </c>
      <c r="D17" s="6" t="s">
        <v>250</v>
      </c>
      <c r="E17" s="6" t="s">
        <v>251</v>
      </c>
      <c r="F17" s="6">
        <v>1</v>
      </c>
      <c r="G17" s="7">
        <v>100000</v>
      </c>
      <c r="H17" s="15" t="s">
        <v>135</v>
      </c>
      <c r="I17">
        <v>0.9</v>
      </c>
    </row>
    <row r="18" spans="1:9" x14ac:dyDescent="0.3">
      <c r="A18" s="14" t="s">
        <v>86</v>
      </c>
      <c r="B18" s="5" t="s">
        <v>87</v>
      </c>
      <c r="C18" s="5" t="s">
        <v>88</v>
      </c>
      <c r="D18" s="6" t="s">
        <v>252</v>
      </c>
      <c r="E18" s="6" t="s">
        <v>252</v>
      </c>
      <c r="F18" s="6">
        <v>1</v>
      </c>
      <c r="G18" s="7">
        <v>100000</v>
      </c>
      <c r="H18" s="15" t="s">
        <v>135</v>
      </c>
      <c r="I18">
        <v>1.2</v>
      </c>
    </row>
    <row r="19" spans="1:9" x14ac:dyDescent="0.3">
      <c r="A19" s="14" t="s">
        <v>89</v>
      </c>
      <c r="B19" s="5" t="s">
        <v>90</v>
      </c>
      <c r="C19" s="5" t="s">
        <v>91</v>
      </c>
      <c r="D19" s="6" t="s">
        <v>253</v>
      </c>
      <c r="E19" s="6" t="s">
        <v>254</v>
      </c>
      <c r="F19" s="6">
        <v>10</v>
      </c>
      <c r="G19" s="7">
        <v>100000</v>
      </c>
      <c r="H19" s="15" t="s">
        <v>135</v>
      </c>
      <c r="I19">
        <v>0.85</v>
      </c>
    </row>
    <row r="20" spans="1:9" x14ac:dyDescent="0.3">
      <c r="A20" s="14" t="s">
        <v>92</v>
      </c>
      <c r="B20" s="5" t="s">
        <v>93</v>
      </c>
      <c r="C20" s="5" t="s">
        <v>94</v>
      </c>
      <c r="D20" s="6" t="s">
        <v>255</v>
      </c>
      <c r="E20" s="6" t="s">
        <v>256</v>
      </c>
      <c r="F20" s="6">
        <v>10</v>
      </c>
      <c r="G20" s="7">
        <v>100000</v>
      </c>
      <c r="H20" s="15" t="s">
        <v>135</v>
      </c>
    </row>
    <row r="21" spans="1:9" x14ac:dyDescent="0.3">
      <c r="A21" s="14" t="s">
        <v>95</v>
      </c>
      <c r="B21" s="5" t="s">
        <v>96</v>
      </c>
      <c r="C21" s="5" t="s">
        <v>97</v>
      </c>
      <c r="D21" s="6" t="s">
        <v>257</v>
      </c>
      <c r="E21" s="6" t="s">
        <v>258</v>
      </c>
      <c r="F21" s="6">
        <v>10</v>
      </c>
      <c r="G21" s="7">
        <v>100000</v>
      </c>
      <c r="H21" s="15" t="s">
        <v>135</v>
      </c>
    </row>
    <row r="22" spans="1:9" x14ac:dyDescent="0.3">
      <c r="A22" s="14" t="s">
        <v>98</v>
      </c>
      <c r="B22" s="5" t="s">
        <v>99</v>
      </c>
      <c r="C22" s="5" t="s">
        <v>100</v>
      </c>
      <c r="D22" s="6" t="s">
        <v>259</v>
      </c>
      <c r="E22" s="6" t="s">
        <v>260</v>
      </c>
      <c r="F22" s="6">
        <v>10</v>
      </c>
      <c r="G22" s="7">
        <v>100000</v>
      </c>
      <c r="H22" s="15" t="s">
        <v>135</v>
      </c>
    </row>
    <row r="23" spans="1:9" x14ac:dyDescent="0.3">
      <c r="A23" s="14" t="s">
        <v>101</v>
      </c>
      <c r="B23" s="5" t="s">
        <v>102</v>
      </c>
      <c r="C23" s="5"/>
      <c r="D23" s="6" t="s">
        <v>261</v>
      </c>
      <c r="E23" s="6" t="s">
        <v>262</v>
      </c>
      <c r="F23" s="6">
        <v>10</v>
      </c>
      <c r="G23" s="7" t="s">
        <v>286</v>
      </c>
      <c r="H23" s="15" t="s">
        <v>135</v>
      </c>
      <c r="I23">
        <v>0.6</v>
      </c>
    </row>
    <row r="24" spans="1:9" x14ac:dyDescent="0.3">
      <c r="A24" s="14" t="s">
        <v>103</v>
      </c>
      <c r="B24" s="5" t="s">
        <v>104</v>
      </c>
      <c r="C24" s="5"/>
      <c r="D24" s="6" t="s">
        <v>263</v>
      </c>
      <c r="E24" s="6" t="s">
        <v>264</v>
      </c>
      <c r="F24" s="6">
        <v>10</v>
      </c>
      <c r="G24" s="7" t="s">
        <v>286</v>
      </c>
      <c r="H24" s="15" t="s">
        <v>135</v>
      </c>
      <c r="I24">
        <v>2.5</v>
      </c>
    </row>
    <row r="25" spans="1:9" x14ac:dyDescent="0.3">
      <c r="A25" s="14" t="s">
        <v>105</v>
      </c>
      <c r="B25" s="5" t="s">
        <v>106</v>
      </c>
      <c r="C25" s="5"/>
      <c r="D25" s="6" t="s">
        <v>265</v>
      </c>
      <c r="E25" s="6" t="s">
        <v>266</v>
      </c>
      <c r="F25" s="6">
        <v>10</v>
      </c>
      <c r="G25" s="7" t="s">
        <v>286</v>
      </c>
      <c r="H25" s="15" t="s">
        <v>135</v>
      </c>
      <c r="I25">
        <v>1.8</v>
      </c>
    </row>
    <row r="26" spans="1:9" x14ac:dyDescent="0.3">
      <c r="A26" s="14" t="s">
        <v>107</v>
      </c>
      <c r="B26" s="5" t="s">
        <v>108</v>
      </c>
      <c r="C26" s="5"/>
      <c r="D26" s="6" t="s">
        <v>267</v>
      </c>
      <c r="E26" s="6" t="s">
        <v>268</v>
      </c>
      <c r="F26" s="6">
        <v>10</v>
      </c>
      <c r="G26" s="7">
        <v>100000</v>
      </c>
      <c r="H26" s="15" t="s">
        <v>135</v>
      </c>
      <c r="I26">
        <v>1</v>
      </c>
    </row>
    <row r="27" spans="1:9" x14ac:dyDescent="0.3">
      <c r="A27" s="14" t="s">
        <v>109</v>
      </c>
      <c r="B27" s="5" t="s">
        <v>110</v>
      </c>
      <c r="C27" s="5"/>
      <c r="D27" s="6" t="s">
        <v>269</v>
      </c>
      <c r="E27" s="6" t="s">
        <v>270</v>
      </c>
      <c r="F27" s="6">
        <v>10</v>
      </c>
      <c r="G27" s="7" t="s">
        <v>134</v>
      </c>
      <c r="H27" s="15" t="s">
        <v>135</v>
      </c>
      <c r="I27">
        <v>3.6</v>
      </c>
    </row>
    <row r="28" spans="1:9" x14ac:dyDescent="0.3">
      <c r="A28" s="14" t="s">
        <v>111</v>
      </c>
      <c r="B28" s="5" t="s">
        <v>112</v>
      </c>
      <c r="C28" s="5"/>
      <c r="D28" s="6" t="s">
        <v>246</v>
      </c>
      <c r="E28" s="6" t="s">
        <v>271</v>
      </c>
      <c r="F28" s="6">
        <v>10</v>
      </c>
      <c r="G28" s="7">
        <v>100000</v>
      </c>
      <c r="H28" s="15" t="s">
        <v>135</v>
      </c>
      <c r="I28">
        <v>3.3</v>
      </c>
    </row>
    <row r="29" spans="1:9" x14ac:dyDescent="0.3">
      <c r="A29" s="14" t="s">
        <v>114</v>
      </c>
      <c r="B29" s="5" t="s">
        <v>113</v>
      </c>
      <c r="C29" s="5"/>
      <c r="D29" s="6" t="s">
        <v>236</v>
      </c>
      <c r="E29" s="6" t="s">
        <v>272</v>
      </c>
      <c r="F29" s="6">
        <v>10</v>
      </c>
      <c r="G29" s="7">
        <v>100000</v>
      </c>
      <c r="H29" s="15" t="s">
        <v>135</v>
      </c>
      <c r="I29">
        <v>3.3</v>
      </c>
    </row>
    <row r="30" spans="1:9" x14ac:dyDescent="0.3">
      <c r="A30" s="14" t="s">
        <v>115</v>
      </c>
      <c r="B30" s="5" t="s">
        <v>116</v>
      </c>
      <c r="C30" s="5"/>
      <c r="D30" s="6" t="s">
        <v>273</v>
      </c>
      <c r="E30" s="6" t="s">
        <v>273</v>
      </c>
      <c r="F30" s="6">
        <v>10</v>
      </c>
      <c r="G30" s="7">
        <v>100000</v>
      </c>
      <c r="H30" s="15" t="s">
        <v>135</v>
      </c>
      <c r="I30">
        <v>5</v>
      </c>
    </row>
    <row r="31" spans="1:9" x14ac:dyDescent="0.3">
      <c r="A31" s="14" t="s">
        <v>118</v>
      </c>
      <c r="B31" s="5" t="s">
        <v>117</v>
      </c>
      <c r="C31" s="5"/>
      <c r="D31" s="6" t="s">
        <v>274</v>
      </c>
      <c r="E31" s="6" t="s">
        <v>275</v>
      </c>
      <c r="F31" s="6">
        <v>10</v>
      </c>
      <c r="G31" s="7">
        <v>100000</v>
      </c>
      <c r="H31" s="15" t="s">
        <v>135</v>
      </c>
      <c r="I31">
        <v>3.3</v>
      </c>
    </row>
    <row r="32" spans="1:9" x14ac:dyDescent="0.3">
      <c r="A32" s="14" t="s">
        <v>119</v>
      </c>
      <c r="B32" s="5" t="s">
        <v>120</v>
      </c>
      <c r="C32" s="5"/>
      <c r="D32" s="6" t="s">
        <v>276</v>
      </c>
      <c r="E32" s="6" t="s">
        <v>276</v>
      </c>
      <c r="F32" s="6">
        <v>10</v>
      </c>
      <c r="G32" s="7">
        <v>100000</v>
      </c>
      <c r="H32" s="15" t="s">
        <v>135</v>
      </c>
      <c r="I32">
        <v>8</v>
      </c>
    </row>
    <row r="33" spans="1:9" x14ac:dyDescent="0.3">
      <c r="A33" s="14" t="s">
        <v>122</v>
      </c>
      <c r="B33" s="5" t="s">
        <v>121</v>
      </c>
      <c r="C33" s="5"/>
      <c r="D33" s="6" t="s">
        <v>277</v>
      </c>
      <c r="E33" s="6" t="s">
        <v>277</v>
      </c>
      <c r="F33" s="6">
        <v>10</v>
      </c>
      <c r="G33" s="7">
        <v>100000</v>
      </c>
      <c r="H33" s="15" t="s">
        <v>284</v>
      </c>
      <c r="I33">
        <v>3.3</v>
      </c>
    </row>
    <row r="34" spans="1:9" x14ac:dyDescent="0.3">
      <c r="A34" s="14" t="s">
        <v>317</v>
      </c>
      <c r="B34" s="5" t="s">
        <v>123</v>
      </c>
      <c r="C34" s="5"/>
      <c r="D34" s="6" t="s">
        <v>278</v>
      </c>
      <c r="E34" s="6" t="s">
        <v>279</v>
      </c>
      <c r="F34" s="6">
        <v>10</v>
      </c>
      <c r="G34" s="7">
        <v>100000</v>
      </c>
      <c r="H34" s="15" t="s">
        <v>285</v>
      </c>
      <c r="I34">
        <v>5</v>
      </c>
    </row>
    <row r="35" spans="1:9" x14ac:dyDescent="0.3">
      <c r="A35" s="14"/>
      <c r="B35" s="5"/>
      <c r="C35" s="5"/>
      <c r="D35" s="6"/>
      <c r="E35" s="6"/>
      <c r="F35" s="6"/>
      <c r="G35" s="7"/>
      <c r="H35" s="15"/>
    </row>
    <row r="36" spans="1:9" ht="28.8" x14ac:dyDescent="0.3">
      <c r="A36" s="14" t="s">
        <v>125</v>
      </c>
      <c r="B36" s="5"/>
      <c r="C36" s="5"/>
      <c r="D36" s="6" t="s">
        <v>280</v>
      </c>
      <c r="E36" s="6" t="s">
        <v>134</v>
      </c>
      <c r="F36" s="6">
        <v>100000</v>
      </c>
      <c r="G36" s="7" t="s">
        <v>134</v>
      </c>
      <c r="H36" s="15" t="s">
        <v>135</v>
      </c>
      <c r="I36">
        <v>12</v>
      </c>
    </row>
    <row r="37" spans="1:9" ht="28.8" x14ac:dyDescent="0.3">
      <c r="A37" s="14" t="s">
        <v>126</v>
      </c>
      <c r="B37" s="5"/>
      <c r="C37" s="5"/>
      <c r="D37" s="6" t="s">
        <v>281</v>
      </c>
      <c r="E37" s="6" t="s">
        <v>134</v>
      </c>
      <c r="F37" s="6">
        <v>100000</v>
      </c>
      <c r="G37" s="7" t="s">
        <v>134</v>
      </c>
      <c r="H37" s="15" t="s">
        <v>135</v>
      </c>
      <c r="I37">
        <v>12</v>
      </c>
    </row>
    <row r="38" spans="1:9" ht="28.8" x14ac:dyDescent="0.3">
      <c r="A38" s="14" t="s">
        <v>124</v>
      </c>
      <c r="B38" s="5"/>
      <c r="C38" s="5"/>
      <c r="D38" s="6" t="s">
        <v>134</v>
      </c>
      <c r="E38" s="6" t="s">
        <v>280</v>
      </c>
      <c r="F38" s="6">
        <v>100000</v>
      </c>
      <c r="G38" s="7" t="s">
        <v>134</v>
      </c>
      <c r="H38" s="15" t="s">
        <v>135</v>
      </c>
      <c r="I38">
        <v>12</v>
      </c>
    </row>
    <row r="39" spans="1:9" ht="28.8" x14ac:dyDescent="0.3">
      <c r="A39" s="14" t="s">
        <v>127</v>
      </c>
      <c r="B39" s="5"/>
      <c r="C39" s="5"/>
      <c r="D39" s="6" t="s">
        <v>134</v>
      </c>
      <c r="E39" s="6" t="s">
        <v>280</v>
      </c>
      <c r="F39" s="6">
        <v>100000</v>
      </c>
      <c r="G39" s="7" t="s">
        <v>134</v>
      </c>
      <c r="H39" s="15" t="s">
        <v>135</v>
      </c>
      <c r="I39">
        <v>12</v>
      </c>
    </row>
    <row r="40" spans="1:9" ht="28.8" x14ac:dyDescent="0.3">
      <c r="A40" s="14" t="s">
        <v>128</v>
      </c>
      <c r="B40" s="5"/>
      <c r="C40" s="5"/>
      <c r="D40" s="6" t="s">
        <v>134</v>
      </c>
      <c r="E40" s="6" t="s">
        <v>280</v>
      </c>
      <c r="F40" s="6">
        <v>100000</v>
      </c>
      <c r="G40" s="7" t="s">
        <v>134</v>
      </c>
      <c r="H40" s="15" t="s">
        <v>135</v>
      </c>
      <c r="I40">
        <v>12</v>
      </c>
    </row>
    <row r="41" spans="1:9" ht="15" thickBot="1" x14ac:dyDescent="0.35">
      <c r="A41" s="16" t="s">
        <v>129</v>
      </c>
      <c r="B41" s="17" t="s">
        <v>130</v>
      </c>
      <c r="C41" s="17"/>
      <c r="D41" s="18" t="s">
        <v>282</v>
      </c>
      <c r="E41" s="18" t="s">
        <v>283</v>
      </c>
      <c r="F41" s="18">
        <v>100000</v>
      </c>
      <c r="G41" s="7" t="s">
        <v>286</v>
      </c>
      <c r="H41" s="15" t="s">
        <v>135</v>
      </c>
      <c r="I41">
        <v>3.3</v>
      </c>
    </row>
    <row r="42" spans="1:9" x14ac:dyDescent="0.3">
      <c r="A42" s="2" t="s">
        <v>314</v>
      </c>
    </row>
    <row r="43" spans="1:9" x14ac:dyDescent="0.3">
      <c r="A43" s="14" t="s">
        <v>122</v>
      </c>
      <c r="B43" s="5" t="s">
        <v>121</v>
      </c>
      <c r="C43" s="5"/>
      <c r="D43" s="6" t="s">
        <v>315</v>
      </c>
      <c r="E43" s="6" t="s">
        <v>316</v>
      </c>
      <c r="F43" s="6">
        <v>10</v>
      </c>
      <c r="G43" s="7">
        <v>100000</v>
      </c>
      <c r="H43" s="15" t="s">
        <v>284</v>
      </c>
      <c r="I43">
        <v>3.3</v>
      </c>
    </row>
    <row r="44" spans="1:9" x14ac:dyDescent="0.3">
      <c r="A44" s="14" t="s">
        <v>317</v>
      </c>
      <c r="B44" s="5" t="s">
        <v>123</v>
      </c>
      <c r="C44" s="5"/>
      <c r="D44" s="6" t="s">
        <v>318</v>
      </c>
      <c r="E44" s="6" t="s">
        <v>319</v>
      </c>
      <c r="F44" s="6">
        <v>10</v>
      </c>
      <c r="G44" s="7">
        <v>100000</v>
      </c>
      <c r="H44" s="15" t="s">
        <v>285</v>
      </c>
      <c r="I4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workbookViewId="0">
      <selection activeCell="F32" sqref="F32"/>
    </sheetView>
  </sheetViews>
  <sheetFormatPr defaultRowHeight="14.4" x14ac:dyDescent="0.3"/>
  <cols>
    <col min="1" max="1" width="14.6640625" customWidth="1"/>
    <col min="2" max="2" width="17.33203125" customWidth="1"/>
    <col min="3" max="3" width="18.109375" customWidth="1"/>
    <col min="4" max="4" width="13.44140625" customWidth="1"/>
    <col min="5" max="5" width="14.44140625" customWidth="1"/>
    <col min="6" max="6" width="14.5546875" customWidth="1"/>
    <col min="7" max="7" width="25.109375" customWidth="1"/>
    <col min="8" max="8" width="25.88671875" customWidth="1"/>
    <col min="9" max="9" width="16.88671875" customWidth="1"/>
    <col min="10" max="10" width="15.44140625" customWidth="1"/>
    <col min="11" max="11" width="17.5546875" customWidth="1"/>
    <col min="12" max="12" width="14" customWidth="1"/>
    <col min="15" max="15" width="7.109375" bestFit="1" customWidth="1"/>
    <col min="18" max="20" width="11.109375" customWidth="1"/>
    <col min="21" max="21" width="16.6640625" customWidth="1"/>
  </cols>
  <sheetData>
    <row r="1" spans="1:21" s="2" customFormat="1" ht="43.2" x14ac:dyDescent="0.3">
      <c r="A1" s="24" t="s">
        <v>206</v>
      </c>
      <c r="B1" s="25" t="s">
        <v>207</v>
      </c>
      <c r="C1" s="25" t="s">
        <v>137</v>
      </c>
      <c r="D1" s="2" t="s">
        <v>289</v>
      </c>
      <c r="E1" s="2" t="s">
        <v>290</v>
      </c>
      <c r="F1" s="2" t="s">
        <v>288</v>
      </c>
      <c r="G1" s="2" t="s">
        <v>292</v>
      </c>
      <c r="H1" s="2" t="s">
        <v>293</v>
      </c>
      <c r="I1" s="2" t="s">
        <v>294</v>
      </c>
      <c r="J1" s="2" t="s">
        <v>295</v>
      </c>
      <c r="K1" s="2" t="s">
        <v>296</v>
      </c>
      <c r="L1" s="2" t="s">
        <v>297</v>
      </c>
      <c r="M1" s="2" t="s">
        <v>306</v>
      </c>
      <c r="O1" s="37" t="s">
        <v>298</v>
      </c>
      <c r="P1" s="37"/>
      <c r="Q1" s="37"/>
      <c r="R1" s="37"/>
      <c r="S1" s="30" t="s">
        <v>303</v>
      </c>
      <c r="T1" s="30" t="s">
        <v>304</v>
      </c>
      <c r="U1" s="2" t="s">
        <v>291</v>
      </c>
    </row>
    <row r="2" spans="1:21" x14ac:dyDescent="0.3">
      <c r="A2" s="26" t="s">
        <v>140</v>
      </c>
      <c r="B2" s="23" t="s">
        <v>220</v>
      </c>
      <c r="C2" s="22">
        <v>0.85</v>
      </c>
      <c r="E2">
        <f>C2-(C2*$U$2)</f>
        <v>0.83299999999999996</v>
      </c>
      <c r="F2">
        <f>C2+(C2*$U$2)</f>
        <v>0.86699999999999999</v>
      </c>
      <c r="G2" t="s">
        <v>305</v>
      </c>
      <c r="I2">
        <v>0.04</v>
      </c>
      <c r="K2">
        <v>40</v>
      </c>
      <c r="O2" t="s">
        <v>300</v>
      </c>
      <c r="P2" t="s">
        <v>301</v>
      </c>
      <c r="Q2" t="s">
        <v>302</v>
      </c>
      <c r="R2" t="s">
        <v>299</v>
      </c>
      <c r="U2">
        <v>0.02</v>
      </c>
    </row>
    <row r="3" spans="1:21" x14ac:dyDescent="0.3">
      <c r="A3" s="26" t="s">
        <v>176</v>
      </c>
      <c r="B3" s="36" t="s">
        <v>220</v>
      </c>
      <c r="C3" s="22">
        <v>3.3</v>
      </c>
      <c r="E3">
        <f t="shared" ref="E3:E25" si="0">C3-(C3*$U$2)</f>
        <v>3.234</v>
      </c>
      <c r="F3">
        <f t="shared" ref="F3:F25" si="1">C3+(C3*$U$2)</f>
        <v>3.3659999999999997</v>
      </c>
      <c r="G3" t="str">
        <f>CONCATENATE("R448_U_Pomiar_pradu_napiecia_",M3)</f>
        <v>R448_U_Pomiar_pradu_napiecia_3</v>
      </c>
      <c r="I3">
        <v>0.05</v>
      </c>
      <c r="K3">
        <v>14</v>
      </c>
      <c r="M3">
        <v>3</v>
      </c>
    </row>
    <row r="4" spans="1:21" x14ac:dyDescent="0.3">
      <c r="A4" s="26" t="s">
        <v>177</v>
      </c>
      <c r="B4" s="36"/>
      <c r="C4" s="22">
        <v>1.2</v>
      </c>
      <c r="E4">
        <f t="shared" si="0"/>
        <v>1.1759999999999999</v>
      </c>
      <c r="F4">
        <f t="shared" si="1"/>
        <v>1.224</v>
      </c>
      <c r="G4" t="str">
        <f t="shared" ref="G4:G6" si="2">CONCATENATE("R448_U_Pomiar_pradu_napiecia_",M4)</f>
        <v>R448_U_Pomiar_pradu_napiecia_4</v>
      </c>
      <c r="I4">
        <v>0.05</v>
      </c>
      <c r="K4">
        <v>15</v>
      </c>
      <c r="M4">
        <v>4</v>
      </c>
    </row>
    <row r="5" spans="1:21" x14ac:dyDescent="0.3">
      <c r="A5" s="26" t="s">
        <v>178</v>
      </c>
      <c r="B5" s="36" t="s">
        <v>220</v>
      </c>
      <c r="C5" s="22">
        <v>12</v>
      </c>
      <c r="E5">
        <f t="shared" si="0"/>
        <v>11.76</v>
      </c>
      <c r="F5">
        <f t="shared" si="1"/>
        <v>12.24</v>
      </c>
      <c r="G5" t="str">
        <f t="shared" si="2"/>
        <v>R448_U_Pomiar_pradu_napiecia_5</v>
      </c>
      <c r="I5">
        <v>0.05</v>
      </c>
      <c r="K5">
        <v>8</v>
      </c>
      <c r="M5">
        <v>5</v>
      </c>
    </row>
    <row r="6" spans="1:21" x14ac:dyDescent="0.3">
      <c r="A6" s="26" t="s">
        <v>179</v>
      </c>
      <c r="B6" s="36"/>
      <c r="C6" s="22">
        <v>5</v>
      </c>
      <c r="E6">
        <f t="shared" si="0"/>
        <v>4.9000000000000004</v>
      </c>
      <c r="F6">
        <f t="shared" si="1"/>
        <v>5.0999999999999996</v>
      </c>
      <c r="G6" t="str">
        <f t="shared" si="2"/>
        <v>R448_U_Pomiar_pradu_napiecia_6</v>
      </c>
      <c r="I6">
        <v>0.05</v>
      </c>
      <c r="K6">
        <v>10</v>
      </c>
      <c r="M6">
        <v>6</v>
      </c>
    </row>
    <row r="7" spans="1:21" x14ac:dyDescent="0.3">
      <c r="A7" s="26" t="s">
        <v>180</v>
      </c>
      <c r="B7" s="36" t="s">
        <v>221</v>
      </c>
      <c r="C7" s="22">
        <v>3.6</v>
      </c>
      <c r="E7">
        <f t="shared" si="0"/>
        <v>3.528</v>
      </c>
      <c r="F7">
        <f t="shared" si="1"/>
        <v>3.6720000000000002</v>
      </c>
      <c r="G7" t="s">
        <v>134</v>
      </c>
      <c r="K7">
        <v>1</v>
      </c>
    </row>
    <row r="8" spans="1:21" x14ac:dyDescent="0.3">
      <c r="A8" s="26" t="s">
        <v>181</v>
      </c>
      <c r="B8" s="36"/>
      <c r="C8" s="22">
        <v>1.8</v>
      </c>
      <c r="E8">
        <f t="shared" si="0"/>
        <v>1.764</v>
      </c>
      <c r="F8">
        <f t="shared" si="1"/>
        <v>1.8360000000000001</v>
      </c>
      <c r="G8" t="s">
        <v>134</v>
      </c>
      <c r="K8">
        <v>1</v>
      </c>
    </row>
    <row r="9" spans="1:21" x14ac:dyDescent="0.3">
      <c r="A9" s="26" t="s">
        <v>182</v>
      </c>
      <c r="B9" s="36"/>
      <c r="C9" s="22">
        <v>3.3</v>
      </c>
      <c r="E9">
        <f t="shared" si="0"/>
        <v>3.234</v>
      </c>
      <c r="F9">
        <f t="shared" si="1"/>
        <v>3.3659999999999997</v>
      </c>
      <c r="G9" t="s">
        <v>134</v>
      </c>
      <c r="K9">
        <v>1</v>
      </c>
    </row>
    <row r="10" spans="1:21" x14ac:dyDescent="0.3">
      <c r="A10" s="26" t="s">
        <v>183</v>
      </c>
      <c r="B10" s="36"/>
      <c r="C10" s="22">
        <v>1.2</v>
      </c>
      <c r="E10">
        <f t="shared" si="0"/>
        <v>1.1759999999999999</v>
      </c>
      <c r="F10">
        <f t="shared" si="1"/>
        <v>1.224</v>
      </c>
      <c r="G10" t="s">
        <v>134</v>
      </c>
      <c r="K10">
        <v>1</v>
      </c>
    </row>
    <row r="11" spans="1:21" x14ac:dyDescent="0.3">
      <c r="A11" s="26" t="s">
        <v>166</v>
      </c>
      <c r="B11" s="23" t="s">
        <v>219</v>
      </c>
      <c r="C11" s="22">
        <v>3.3</v>
      </c>
      <c r="E11">
        <f t="shared" si="0"/>
        <v>3.234</v>
      </c>
      <c r="F11">
        <f t="shared" si="1"/>
        <v>3.3659999999999997</v>
      </c>
      <c r="G11" t="s">
        <v>134</v>
      </c>
      <c r="K11">
        <v>1.5</v>
      </c>
      <c r="O11">
        <v>5</v>
      </c>
      <c r="P11">
        <v>3.3</v>
      </c>
      <c r="Q11">
        <v>1.2</v>
      </c>
      <c r="R11">
        <f t="shared" ref="R11:R16" si="3">((O11-P11)*Q11)</f>
        <v>2.04</v>
      </c>
      <c r="S11">
        <v>1.2</v>
      </c>
    </row>
    <row r="12" spans="1:21" x14ac:dyDescent="0.3">
      <c r="A12" s="26" t="s">
        <v>167</v>
      </c>
      <c r="B12" s="23" t="s">
        <v>219</v>
      </c>
      <c r="C12" s="22">
        <v>3.3</v>
      </c>
      <c r="E12">
        <f t="shared" si="0"/>
        <v>3.234</v>
      </c>
      <c r="F12">
        <f t="shared" si="1"/>
        <v>3.3659999999999997</v>
      </c>
      <c r="G12" t="s">
        <v>134</v>
      </c>
      <c r="K12">
        <v>1.5</v>
      </c>
      <c r="O12">
        <v>5</v>
      </c>
      <c r="P12">
        <v>3.3</v>
      </c>
      <c r="Q12">
        <v>1.2</v>
      </c>
      <c r="R12">
        <f t="shared" si="3"/>
        <v>2.04</v>
      </c>
      <c r="S12">
        <v>1.2</v>
      </c>
    </row>
    <row r="13" spans="1:21" x14ac:dyDescent="0.3">
      <c r="A13" s="26" t="s">
        <v>168</v>
      </c>
      <c r="B13" s="23" t="s">
        <v>219</v>
      </c>
      <c r="C13" s="22">
        <v>3.3</v>
      </c>
      <c r="E13">
        <f t="shared" si="0"/>
        <v>3.234</v>
      </c>
      <c r="F13">
        <f t="shared" si="1"/>
        <v>3.3659999999999997</v>
      </c>
      <c r="G13" t="s">
        <v>134</v>
      </c>
      <c r="K13">
        <v>1</v>
      </c>
      <c r="O13">
        <v>5</v>
      </c>
      <c r="P13">
        <v>3.3</v>
      </c>
      <c r="Q13">
        <f>((18*10)+150+70+5+60)/1000</f>
        <v>0.46500000000000002</v>
      </c>
      <c r="R13">
        <f t="shared" si="3"/>
        <v>0.79050000000000009</v>
      </c>
      <c r="S13">
        <v>1.2</v>
      </c>
    </row>
    <row r="14" spans="1:21" x14ac:dyDescent="0.3">
      <c r="A14" s="26" t="s">
        <v>173</v>
      </c>
      <c r="B14" s="23" t="s">
        <v>210</v>
      </c>
      <c r="C14" s="22">
        <v>3.3</v>
      </c>
      <c r="E14">
        <f t="shared" si="0"/>
        <v>3.234</v>
      </c>
      <c r="F14">
        <f t="shared" si="1"/>
        <v>3.3659999999999997</v>
      </c>
      <c r="G14" t="s">
        <v>134</v>
      </c>
      <c r="K14">
        <v>2</v>
      </c>
      <c r="O14">
        <v>3.6</v>
      </c>
      <c r="P14">
        <v>3.3</v>
      </c>
      <c r="Q14">
        <v>1</v>
      </c>
      <c r="R14">
        <f t="shared" si="3"/>
        <v>0.30000000000000027</v>
      </c>
      <c r="T14">
        <f>R14*32.7</f>
        <v>9.8100000000000094</v>
      </c>
    </row>
    <row r="15" spans="1:21" x14ac:dyDescent="0.3">
      <c r="A15" s="26" t="s">
        <v>184</v>
      </c>
      <c r="B15" s="36" t="s">
        <v>208</v>
      </c>
      <c r="C15" s="22">
        <v>3.3</v>
      </c>
      <c r="E15">
        <f t="shared" si="0"/>
        <v>3.234</v>
      </c>
      <c r="F15">
        <f t="shared" si="1"/>
        <v>3.3659999999999997</v>
      </c>
      <c r="G15" t="s">
        <v>134</v>
      </c>
      <c r="K15">
        <v>0.4</v>
      </c>
      <c r="O15">
        <v>5</v>
      </c>
      <c r="P15">
        <v>3.3</v>
      </c>
      <c r="Q15">
        <f>((3*10)+14+(42*3))/1000</f>
        <v>0.17</v>
      </c>
      <c r="R15">
        <f t="shared" si="3"/>
        <v>0.28900000000000003</v>
      </c>
      <c r="T15">
        <f>(R15+R16)*(26.8)/2</f>
        <v>15.627080000000003</v>
      </c>
    </row>
    <row r="16" spans="1:21" x14ac:dyDescent="0.3">
      <c r="A16" s="26" t="s">
        <v>185</v>
      </c>
      <c r="B16" s="36"/>
      <c r="C16" s="22">
        <v>3.3</v>
      </c>
      <c r="E16">
        <f t="shared" si="0"/>
        <v>3.234</v>
      </c>
      <c r="F16">
        <f t="shared" si="1"/>
        <v>3.3659999999999997</v>
      </c>
      <c r="G16" t="s">
        <v>134</v>
      </c>
      <c r="K16">
        <v>1</v>
      </c>
      <c r="O16">
        <v>5</v>
      </c>
      <c r="P16">
        <v>3.3</v>
      </c>
      <c r="Q16">
        <f>(217+187+70+33+9)/1000</f>
        <v>0.51600000000000001</v>
      </c>
      <c r="R16">
        <f t="shared" si="3"/>
        <v>0.87720000000000009</v>
      </c>
    </row>
    <row r="17" spans="1:20" x14ac:dyDescent="0.3">
      <c r="A17" s="26" t="s">
        <v>190</v>
      </c>
      <c r="B17" s="23" t="s">
        <v>218</v>
      </c>
      <c r="C17" s="22">
        <v>5</v>
      </c>
      <c r="E17">
        <f t="shared" si="0"/>
        <v>4.9000000000000004</v>
      </c>
      <c r="F17">
        <f t="shared" si="1"/>
        <v>5.0999999999999996</v>
      </c>
      <c r="G17" t="s">
        <v>134</v>
      </c>
      <c r="K17">
        <v>0.5</v>
      </c>
      <c r="O17">
        <v>12</v>
      </c>
      <c r="P17">
        <v>5</v>
      </c>
      <c r="Q17">
        <f>(45+15+2)/1000</f>
        <v>6.2E-2</v>
      </c>
      <c r="R17">
        <f>Q17*(O17-P17)</f>
        <v>0.434</v>
      </c>
      <c r="T17">
        <f>R17*35</f>
        <v>15.19</v>
      </c>
    </row>
    <row r="18" spans="1:20" x14ac:dyDescent="0.3">
      <c r="A18" s="26" t="s">
        <v>192</v>
      </c>
      <c r="B18" s="23" t="s">
        <v>219</v>
      </c>
      <c r="C18" s="22">
        <v>2.5</v>
      </c>
      <c r="E18">
        <f t="shared" si="0"/>
        <v>2.4500000000000002</v>
      </c>
      <c r="F18">
        <f t="shared" si="1"/>
        <v>2.5499999999999998</v>
      </c>
      <c r="G18" t="s">
        <v>134</v>
      </c>
      <c r="K18">
        <v>0.5</v>
      </c>
      <c r="O18">
        <v>3.3</v>
      </c>
      <c r="P18">
        <v>2.5</v>
      </c>
      <c r="Q18">
        <f>(5*4+4*4+8*4+5*4+23*4+86)/1000</f>
        <v>0.26600000000000001</v>
      </c>
      <c r="R18">
        <f>Q18*(O18-P18)</f>
        <v>0.21279999999999996</v>
      </c>
      <c r="S18">
        <v>1.2</v>
      </c>
      <c r="T18">
        <f>R18*41</f>
        <v>8.7247999999999983</v>
      </c>
    </row>
    <row r="19" spans="1:20" x14ac:dyDescent="0.3">
      <c r="A19" s="26" t="s">
        <v>193</v>
      </c>
      <c r="B19" s="23" t="s">
        <v>219</v>
      </c>
      <c r="C19" s="22">
        <v>1.8</v>
      </c>
      <c r="E19">
        <f t="shared" si="0"/>
        <v>1.764</v>
      </c>
      <c r="F19">
        <f t="shared" si="1"/>
        <v>1.8360000000000001</v>
      </c>
      <c r="G19" t="s">
        <v>134</v>
      </c>
      <c r="K19">
        <v>0.1</v>
      </c>
      <c r="O19">
        <v>3.3</v>
      </c>
      <c r="P19">
        <v>1.8</v>
      </c>
      <c r="Q19">
        <f>(1.5+50+24)/1000</f>
        <v>7.5499999999999998E-2</v>
      </c>
      <c r="R19">
        <f t="shared" ref="R19:R20" si="4">Q19*(O19-P19)</f>
        <v>0.11324999999999998</v>
      </c>
      <c r="S19">
        <v>1.2</v>
      </c>
    </row>
    <row r="20" spans="1:20" x14ac:dyDescent="0.3">
      <c r="A20" s="26" t="s">
        <v>194</v>
      </c>
      <c r="B20" s="23" t="s">
        <v>219</v>
      </c>
      <c r="C20" s="22">
        <v>1</v>
      </c>
      <c r="E20">
        <f t="shared" si="0"/>
        <v>0.98</v>
      </c>
      <c r="F20">
        <f t="shared" si="1"/>
        <v>1.02</v>
      </c>
      <c r="G20" t="s">
        <v>134</v>
      </c>
      <c r="K20">
        <v>0.3</v>
      </c>
      <c r="O20">
        <v>3.3</v>
      </c>
      <c r="P20">
        <v>1</v>
      </c>
      <c r="Q20">
        <f>(108+108)/1000</f>
        <v>0.216</v>
      </c>
      <c r="R20">
        <f t="shared" si="4"/>
        <v>0.49679999999999996</v>
      </c>
      <c r="S20">
        <v>1.2</v>
      </c>
    </row>
    <row r="21" spans="1:20" x14ac:dyDescent="0.3">
      <c r="A21" s="26" t="s">
        <v>201</v>
      </c>
      <c r="B21" s="23" t="s">
        <v>217</v>
      </c>
      <c r="C21" s="22">
        <v>20</v>
      </c>
      <c r="E21">
        <f t="shared" si="0"/>
        <v>19.600000000000001</v>
      </c>
      <c r="F21">
        <f t="shared" si="1"/>
        <v>20.399999999999999</v>
      </c>
      <c r="G21" t="s">
        <v>134</v>
      </c>
      <c r="K21">
        <v>3</v>
      </c>
    </row>
    <row r="22" spans="1:20" x14ac:dyDescent="0.3">
      <c r="A22" s="26" t="s">
        <v>204</v>
      </c>
      <c r="B22" s="36" t="s">
        <v>208</v>
      </c>
      <c r="C22" s="22">
        <v>1.8</v>
      </c>
      <c r="E22">
        <f t="shared" si="0"/>
        <v>1.764</v>
      </c>
      <c r="F22">
        <f t="shared" si="1"/>
        <v>1.8360000000000001</v>
      </c>
      <c r="G22" t="s">
        <v>134</v>
      </c>
      <c r="K22">
        <v>0.5</v>
      </c>
      <c r="O22">
        <v>3.3</v>
      </c>
      <c r="P22">
        <v>1.8</v>
      </c>
      <c r="Q22">
        <f>(244+195+12+11)/1000</f>
        <v>0.46200000000000002</v>
      </c>
      <c r="R22">
        <f>((O22-P22)*Q22)</f>
        <v>0.69299999999999995</v>
      </c>
      <c r="T22">
        <f>(R22+R23)*(26.8)</f>
        <v>51.568559999999998</v>
      </c>
    </row>
    <row r="23" spans="1:20" x14ac:dyDescent="0.3">
      <c r="A23" s="26" t="s">
        <v>205</v>
      </c>
      <c r="B23" s="36"/>
      <c r="C23" s="22">
        <v>0.9</v>
      </c>
      <c r="E23">
        <f t="shared" si="0"/>
        <v>0.88200000000000001</v>
      </c>
      <c r="F23">
        <f t="shared" si="1"/>
        <v>0.91800000000000004</v>
      </c>
      <c r="G23" t="s">
        <v>134</v>
      </c>
      <c r="K23">
        <v>0.5</v>
      </c>
      <c r="O23">
        <v>3.3</v>
      </c>
      <c r="P23">
        <v>0.9</v>
      </c>
      <c r="Q23">
        <f>(513)/1000</f>
        <v>0.51300000000000001</v>
      </c>
      <c r="R23">
        <f>((O23-P23)*Q23)</f>
        <v>1.2312000000000001</v>
      </c>
    </row>
    <row r="24" spans="1:20" x14ac:dyDescent="0.3">
      <c r="A24" s="26" t="s">
        <v>209</v>
      </c>
      <c r="B24" s="23" t="s">
        <v>210</v>
      </c>
      <c r="C24" s="22">
        <v>0.85</v>
      </c>
      <c r="E24">
        <f t="shared" si="0"/>
        <v>0.83299999999999996</v>
      </c>
      <c r="F24">
        <f t="shared" si="1"/>
        <v>0.86699999999999999</v>
      </c>
      <c r="G24" t="s">
        <v>134</v>
      </c>
      <c r="K24">
        <v>0.3</v>
      </c>
      <c r="O24">
        <v>3.3</v>
      </c>
      <c r="P24">
        <v>0.85</v>
      </c>
      <c r="Q24">
        <v>0.218</v>
      </c>
      <c r="R24">
        <f>((O24-P24)*Q24)</f>
        <v>0.53409999999999991</v>
      </c>
      <c r="T24">
        <f>R24*32.7</f>
        <v>17.465069999999997</v>
      </c>
    </row>
    <row r="25" spans="1:20" ht="15" thickBot="1" x14ac:dyDescent="0.35">
      <c r="A25" s="27" t="s">
        <v>222</v>
      </c>
      <c r="B25" s="28" t="s">
        <v>223</v>
      </c>
      <c r="C25" s="29">
        <v>0.6</v>
      </c>
      <c r="E25">
        <f t="shared" si="0"/>
        <v>0.58799999999999997</v>
      </c>
      <c r="F25">
        <f t="shared" si="1"/>
        <v>0.61199999999999999</v>
      </c>
      <c r="G25" t="s">
        <v>134</v>
      </c>
      <c r="K25">
        <v>0.1</v>
      </c>
      <c r="O25">
        <v>5</v>
      </c>
      <c r="P25">
        <v>0.6</v>
      </c>
      <c r="Q25">
        <v>0.1</v>
      </c>
      <c r="R25">
        <f>((O25-P25)*Q25)</f>
        <v>0.44000000000000006</v>
      </c>
      <c r="T25">
        <f>R25*12</f>
        <v>5.2800000000000011</v>
      </c>
    </row>
  </sheetData>
  <mergeCells count="6">
    <mergeCell ref="B22:B23"/>
    <mergeCell ref="O1:R1"/>
    <mergeCell ref="B3:B4"/>
    <mergeCell ref="B5:B6"/>
    <mergeCell ref="B7:B10"/>
    <mergeCell ref="B15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83"/>
  <sheetViews>
    <sheetView zoomScale="85" zoomScaleNormal="85" workbookViewId="0">
      <selection activeCell="G32" sqref="G32"/>
    </sheetView>
  </sheetViews>
  <sheetFormatPr defaultRowHeight="14.4" x14ac:dyDescent="0.3"/>
  <cols>
    <col min="1" max="1" width="14.88671875" customWidth="1"/>
    <col min="2" max="2" width="14.88671875" style="19" customWidth="1"/>
    <col min="3" max="3" width="18" customWidth="1"/>
    <col min="4" max="4" width="17.6640625" customWidth="1"/>
    <col min="5" max="5" width="19.5546875" customWidth="1"/>
    <col min="6" max="7" width="13.109375" customWidth="1"/>
    <col min="8" max="9" width="21" customWidth="1"/>
    <col min="10" max="10" width="16.5546875" customWidth="1"/>
    <col min="11" max="11" width="18.44140625" customWidth="1"/>
    <col min="12" max="12" width="13.5546875" customWidth="1"/>
    <col min="13" max="13" width="13.5546875" style="20" customWidth="1"/>
    <col min="14" max="14" width="11.6640625" customWidth="1"/>
    <col min="15" max="15" width="9.88671875" bestFit="1" customWidth="1"/>
    <col min="17" max="17" width="19.33203125" customWidth="1"/>
  </cols>
  <sheetData>
    <row r="1" spans="1:18" s="2" customFormat="1" ht="28.8" x14ac:dyDescent="0.3">
      <c r="A1" s="32" t="s">
        <v>206</v>
      </c>
      <c r="B1" s="33" t="s">
        <v>207</v>
      </c>
      <c r="C1" s="32" t="s">
        <v>137</v>
      </c>
      <c r="D1" s="32" t="s">
        <v>141</v>
      </c>
      <c r="E1" s="32" t="s">
        <v>142</v>
      </c>
      <c r="F1" s="32" t="s">
        <v>138</v>
      </c>
      <c r="G1" s="32" t="s">
        <v>155</v>
      </c>
      <c r="H1" s="32" t="s">
        <v>143</v>
      </c>
      <c r="I1" s="32" t="s">
        <v>144</v>
      </c>
      <c r="J1" s="34" t="s">
        <v>312</v>
      </c>
      <c r="K1" s="34" t="s">
        <v>313</v>
      </c>
      <c r="L1" s="32" t="s">
        <v>138</v>
      </c>
      <c r="M1" s="35" t="s">
        <v>139</v>
      </c>
      <c r="N1" s="32" t="s">
        <v>139</v>
      </c>
      <c r="O1" s="34" t="s">
        <v>48</v>
      </c>
    </row>
    <row r="2" spans="1:18" x14ac:dyDescent="0.3">
      <c r="A2" s="22" t="s">
        <v>140</v>
      </c>
      <c r="B2" s="23" t="s">
        <v>220</v>
      </c>
      <c r="C2" s="22">
        <v>0.85</v>
      </c>
      <c r="D2" s="22">
        <v>5000</v>
      </c>
      <c r="E2" s="22">
        <v>12000</v>
      </c>
      <c r="F2" s="22">
        <f>((D2*0.6)/E2)+0.6</f>
        <v>0.85</v>
      </c>
      <c r="G2" s="22">
        <f>((F2/C2)*100)-100</f>
        <v>0</v>
      </c>
      <c r="H2" s="22" t="s">
        <v>145</v>
      </c>
      <c r="I2" s="22" t="s">
        <v>146</v>
      </c>
      <c r="J2" s="5">
        <v>4994</v>
      </c>
      <c r="K2" s="5">
        <v>12010</v>
      </c>
      <c r="L2" s="22">
        <f>((J2*0.6)/K2)+0.6</f>
        <v>0.84949208992506242</v>
      </c>
      <c r="M2" s="21"/>
      <c r="N2" s="22">
        <f t="shared" ref="N2:N16" si="0">((L2/C2)*100)-100</f>
        <v>-5.9754126463246848E-2</v>
      </c>
      <c r="O2" s="5" t="str">
        <f>IF(IF(G2&lt;0,G2*-1,G2)&gt;2,"{- błąd -}",IF(ISERROR(N2),"{- Błąd -}","{+ OK +}"))</f>
        <v>{+ OK +}</v>
      </c>
      <c r="Q2" t="str">
        <f>IF(J2&lt;(D2*1.02),IF(J2&gt;(D2*0.98), "ok",D2/J2),D2/J2)</f>
        <v>ok</v>
      </c>
      <c r="R2" t="str">
        <f>IF(K2&lt;(E2*1.02),IF(K2&gt;(E2*0.98), "ok",E2/K2),E2/K2)</f>
        <v>ok</v>
      </c>
    </row>
    <row r="3" spans="1:18" x14ac:dyDescent="0.3">
      <c r="A3" s="22" t="s">
        <v>176</v>
      </c>
      <c r="B3" s="36" t="s">
        <v>220</v>
      </c>
      <c r="C3" s="22">
        <v>3.3</v>
      </c>
      <c r="D3" s="31">
        <v>47000</v>
      </c>
      <c r="E3" s="22">
        <v>10000</v>
      </c>
      <c r="F3" s="22">
        <f>((D3*0.6)/E3)+0.6</f>
        <v>3.42</v>
      </c>
      <c r="G3" s="22">
        <f t="shared" ref="G3:G17" si="1">((F3/C3)*100)-100</f>
        <v>3.6363636363636402</v>
      </c>
      <c r="H3" s="22" t="s">
        <v>147</v>
      </c>
      <c r="I3" s="22" t="s">
        <v>148</v>
      </c>
      <c r="J3" s="5">
        <v>18990</v>
      </c>
      <c r="K3" s="5">
        <v>8730</v>
      </c>
      <c r="L3" s="22">
        <f>((J3*0.6)/K3)+0.6</f>
        <v>1.9051546391752576</v>
      </c>
      <c r="M3" s="21">
        <v>15370</v>
      </c>
      <c r="N3" s="22">
        <f>((L3/C3)*100)-100</f>
        <v>-42.268041237113408</v>
      </c>
      <c r="O3" s="5" t="str">
        <f>IF(IF(G3&lt;0,G3*-1,G3)&gt;2,"{- błąd -}",IF(ISERROR(N3),"{- Błąd -}","{+ OK +}"))</f>
        <v>{- błąd -}</v>
      </c>
      <c r="Q3">
        <f t="shared" ref="Q3:R25" si="2">IF(J3&lt;(D3*1.02),IF(J3&gt;(D3*0.98), "ok",D3/J3),D3/J3)</f>
        <v>2.4749868351764088</v>
      </c>
      <c r="R3">
        <f t="shared" si="2"/>
        <v>1.1454753722794959</v>
      </c>
    </row>
    <row r="4" spans="1:18" x14ac:dyDescent="0.3">
      <c r="A4" s="22" t="s">
        <v>177</v>
      </c>
      <c r="B4" s="36"/>
      <c r="C4" s="22">
        <v>1.2</v>
      </c>
      <c r="D4" s="22">
        <v>10000</v>
      </c>
      <c r="E4" s="22">
        <v>10000</v>
      </c>
      <c r="F4" s="22">
        <f>((D4*0.6)/E4)+0.6</f>
        <v>1.2</v>
      </c>
      <c r="G4" s="22">
        <f t="shared" si="1"/>
        <v>0</v>
      </c>
      <c r="H4" s="22" t="s">
        <v>149</v>
      </c>
      <c r="I4" s="22" t="s">
        <v>150</v>
      </c>
      <c r="J4" s="5">
        <v>8730</v>
      </c>
      <c r="K4" s="5">
        <v>8730</v>
      </c>
      <c r="L4" s="22">
        <f>((J4*0.6)/K4)+0.6</f>
        <v>1.2</v>
      </c>
      <c r="M4" s="21">
        <v>14990</v>
      </c>
      <c r="N4" s="22">
        <f t="shared" si="0"/>
        <v>0</v>
      </c>
      <c r="O4" s="5" t="str">
        <f t="shared" ref="O4:O25" si="3">IF(IF(G4&lt;0,G4*-1,G4)&gt;2,"{- błąd -}",IF(ISERROR(N4),"{- Błąd -}","{+ OK +}"))</f>
        <v>{+ OK +}</v>
      </c>
      <c r="Q4">
        <f t="shared" si="2"/>
        <v>1.1454753722794959</v>
      </c>
      <c r="R4">
        <f t="shared" si="2"/>
        <v>1.1454753722794959</v>
      </c>
    </row>
    <row r="5" spans="1:18" x14ac:dyDescent="0.3">
      <c r="A5" s="22" t="s">
        <v>178</v>
      </c>
      <c r="B5" s="36" t="s">
        <v>220</v>
      </c>
      <c r="C5" s="22">
        <v>12</v>
      </c>
      <c r="D5" s="22">
        <v>200000</v>
      </c>
      <c r="E5" s="31">
        <v>10500</v>
      </c>
      <c r="F5" s="22">
        <f t="shared" ref="F5:F6" si="4">((D5*0.6)/E5)+0.6</f>
        <v>12.028571428571428</v>
      </c>
      <c r="G5" s="22">
        <f t="shared" si="1"/>
        <v>0.2380952380952408</v>
      </c>
      <c r="H5" s="22" t="s">
        <v>151</v>
      </c>
      <c r="I5" s="22" t="s">
        <v>152</v>
      </c>
      <c r="J5" s="5">
        <v>155000</v>
      </c>
      <c r="K5" s="5">
        <v>10340</v>
      </c>
      <c r="L5" s="22">
        <f t="shared" ref="L5:L6" si="5">((J5*0.6)/K5)+0.6</f>
        <v>9.5941972920696319</v>
      </c>
      <c r="M5" s="21">
        <v>158000</v>
      </c>
      <c r="N5" s="22">
        <f t="shared" si="0"/>
        <v>-20.048355899419732</v>
      </c>
      <c r="O5" s="5" t="str">
        <f t="shared" si="3"/>
        <v>{+ OK +}</v>
      </c>
      <c r="Q5">
        <f t="shared" si="2"/>
        <v>1.2903225806451613</v>
      </c>
      <c r="R5" t="str">
        <f t="shared" si="2"/>
        <v>ok</v>
      </c>
    </row>
    <row r="6" spans="1:18" x14ac:dyDescent="0.3">
      <c r="A6" s="22" t="s">
        <v>179</v>
      </c>
      <c r="B6" s="36"/>
      <c r="C6" s="22">
        <v>5</v>
      </c>
      <c r="D6" s="22">
        <v>196000</v>
      </c>
      <c r="E6" s="22">
        <v>27000</v>
      </c>
      <c r="F6" s="22">
        <f t="shared" si="4"/>
        <v>4.9555555555555548</v>
      </c>
      <c r="G6" s="22">
        <f t="shared" si="1"/>
        <v>-0.88888888888889994</v>
      </c>
      <c r="H6" s="22" t="s">
        <v>153</v>
      </c>
      <c r="I6" s="22" t="s">
        <v>154</v>
      </c>
      <c r="J6" s="5">
        <v>155000</v>
      </c>
      <c r="K6" s="5">
        <v>26000</v>
      </c>
      <c r="L6" s="22">
        <f t="shared" si="5"/>
        <v>4.1769230769230772</v>
      </c>
      <c r="M6" s="21">
        <v>170000</v>
      </c>
      <c r="N6" s="22">
        <f t="shared" si="0"/>
        <v>-16.461538461538467</v>
      </c>
      <c r="O6" s="5" t="str">
        <f t="shared" si="3"/>
        <v>{+ OK +}</v>
      </c>
      <c r="Q6">
        <f t="shared" si="2"/>
        <v>1.264516129032258</v>
      </c>
      <c r="R6">
        <f t="shared" si="2"/>
        <v>1.0384615384615385</v>
      </c>
    </row>
    <row r="7" spans="1:18" x14ac:dyDescent="0.3">
      <c r="A7" s="22" t="s">
        <v>180</v>
      </c>
      <c r="B7" s="36" t="s">
        <v>221</v>
      </c>
      <c r="C7" s="22">
        <v>3.6</v>
      </c>
      <c r="D7" s="22">
        <v>34800</v>
      </c>
      <c r="E7" s="22">
        <v>10000</v>
      </c>
      <c r="F7" s="22">
        <f>(((D7/E7)+1)*0.8)</f>
        <v>3.5840000000000005</v>
      </c>
      <c r="G7" s="22">
        <f t="shared" si="1"/>
        <v>-0.44444444444444287</v>
      </c>
      <c r="H7" s="22" t="s">
        <v>156</v>
      </c>
      <c r="I7" s="22" t="s">
        <v>157</v>
      </c>
      <c r="J7" s="5">
        <v>31140</v>
      </c>
      <c r="K7" s="5">
        <v>9300</v>
      </c>
      <c r="L7" s="22">
        <f>(((J7/K7)+1)*0.8)</f>
        <v>3.4787096774193547</v>
      </c>
      <c r="M7" s="21">
        <v>39800</v>
      </c>
      <c r="N7" s="22">
        <f t="shared" si="0"/>
        <v>-3.3691756272401534</v>
      </c>
      <c r="O7" s="5" t="str">
        <f t="shared" si="3"/>
        <v>{+ OK +}</v>
      </c>
      <c r="Q7">
        <f t="shared" si="2"/>
        <v>1.117533718689788</v>
      </c>
      <c r="R7">
        <f t="shared" si="2"/>
        <v>1.075268817204301</v>
      </c>
    </row>
    <row r="8" spans="1:18" x14ac:dyDescent="0.3">
      <c r="A8" s="22" t="s">
        <v>181</v>
      </c>
      <c r="B8" s="36"/>
      <c r="C8" s="22">
        <v>1.8</v>
      </c>
      <c r="D8" s="22">
        <v>12500</v>
      </c>
      <c r="E8" s="22">
        <v>10000</v>
      </c>
      <c r="F8" s="22">
        <f t="shared" ref="F8:F10" si="6">(((D8/E8)+1)*0.8)</f>
        <v>1.8</v>
      </c>
      <c r="G8" s="22">
        <f t="shared" si="1"/>
        <v>0</v>
      </c>
      <c r="H8" s="22" t="s">
        <v>158</v>
      </c>
      <c r="I8" s="22" t="s">
        <v>159</v>
      </c>
      <c r="J8" s="5">
        <v>6060</v>
      </c>
      <c r="K8" s="5">
        <v>5870</v>
      </c>
      <c r="L8" s="22">
        <f t="shared" ref="L8:L10" si="7">(((J8/K8)+1)*0.8)</f>
        <v>1.6258943781942081</v>
      </c>
      <c r="M8" s="21">
        <v>1745</v>
      </c>
      <c r="N8" s="22">
        <f t="shared" si="0"/>
        <v>-9.6725345447662221</v>
      </c>
      <c r="O8" s="5" t="str">
        <f t="shared" si="3"/>
        <v>{+ OK +}</v>
      </c>
      <c r="Q8">
        <f t="shared" si="2"/>
        <v>2.0627062706270629</v>
      </c>
      <c r="R8">
        <f t="shared" si="2"/>
        <v>1.7035775127768313</v>
      </c>
    </row>
    <row r="9" spans="1:18" x14ac:dyDescent="0.3">
      <c r="A9" s="22" t="s">
        <v>182</v>
      </c>
      <c r="B9" s="36"/>
      <c r="C9" s="22">
        <v>3.3</v>
      </c>
      <c r="D9" s="22">
        <v>31200</v>
      </c>
      <c r="E9" s="22">
        <v>10000</v>
      </c>
      <c r="F9" s="22">
        <f t="shared" si="6"/>
        <v>3.2960000000000003</v>
      </c>
      <c r="G9" s="22">
        <f t="shared" si="1"/>
        <v>-0.12121212121211045</v>
      </c>
      <c r="H9" s="22" t="s">
        <v>160</v>
      </c>
      <c r="I9" s="22" t="s">
        <v>161</v>
      </c>
      <c r="J9" s="5">
        <v>7770</v>
      </c>
      <c r="K9" s="5">
        <v>7580</v>
      </c>
      <c r="L9" s="22">
        <f t="shared" si="7"/>
        <v>1.6200527704485488</v>
      </c>
      <c r="M9" s="21">
        <v>372</v>
      </c>
      <c r="N9" s="22">
        <f t="shared" si="0"/>
        <v>-50.907491804589426</v>
      </c>
      <c r="O9" s="5" t="str">
        <f t="shared" si="3"/>
        <v>{+ OK +}</v>
      </c>
      <c r="Q9">
        <f t="shared" si="2"/>
        <v>4.0154440154440154</v>
      </c>
      <c r="R9">
        <f t="shared" si="2"/>
        <v>1.3192612137203166</v>
      </c>
    </row>
    <row r="10" spans="1:18" x14ac:dyDescent="0.3">
      <c r="A10" s="22" t="s">
        <v>183</v>
      </c>
      <c r="B10" s="36"/>
      <c r="C10" s="22">
        <v>1.2</v>
      </c>
      <c r="D10" s="22">
        <v>4990</v>
      </c>
      <c r="E10" s="22">
        <v>10000</v>
      </c>
      <c r="F10" s="22">
        <f t="shared" si="6"/>
        <v>1.1992000000000003</v>
      </c>
      <c r="G10" s="22">
        <f t="shared" si="1"/>
        <v>-6.6666666666634455E-2</v>
      </c>
      <c r="H10" s="22" t="s">
        <v>162</v>
      </c>
      <c r="I10" s="22" t="s">
        <v>163</v>
      </c>
      <c r="J10" s="5">
        <v>4075</v>
      </c>
      <c r="K10" s="5">
        <v>5866</v>
      </c>
      <c r="L10" s="22">
        <f t="shared" si="7"/>
        <v>1.3557449710194343</v>
      </c>
      <c r="M10" s="21">
        <v>3920</v>
      </c>
      <c r="N10" s="22">
        <f t="shared" si="0"/>
        <v>12.978747584952856</v>
      </c>
      <c r="O10" s="5" t="str">
        <f t="shared" si="3"/>
        <v>{+ OK +}</v>
      </c>
      <c r="Q10">
        <f t="shared" si="2"/>
        <v>1.2245398773006135</v>
      </c>
      <c r="R10">
        <f t="shared" si="2"/>
        <v>1.7047391749062393</v>
      </c>
    </row>
    <row r="11" spans="1:18" x14ac:dyDescent="0.3">
      <c r="A11" s="22" t="s">
        <v>166</v>
      </c>
      <c r="B11" s="23" t="s">
        <v>219</v>
      </c>
      <c r="C11" s="22">
        <v>3.3</v>
      </c>
      <c r="D11" s="22">
        <v>105000</v>
      </c>
      <c r="E11" s="22">
        <v>15000</v>
      </c>
      <c r="F11" s="22">
        <f>0.41*((D11+E11)/E11)</f>
        <v>3.28</v>
      </c>
      <c r="G11" s="22">
        <f t="shared" si="1"/>
        <v>-0.60606060606060908</v>
      </c>
      <c r="H11" s="22" t="s">
        <v>164</v>
      </c>
      <c r="I11" s="22" t="s">
        <v>165</v>
      </c>
      <c r="J11" s="5">
        <v>104400</v>
      </c>
      <c r="K11" s="5">
        <v>15070</v>
      </c>
      <c r="L11" s="22">
        <f>0.41*((J11+K11)/K11)</f>
        <v>3.2503450564034502</v>
      </c>
      <c r="M11" s="21">
        <v>93300</v>
      </c>
      <c r="N11" s="22">
        <f t="shared" si="0"/>
        <v>-1.5046952605015065</v>
      </c>
      <c r="O11" s="5" t="str">
        <f t="shared" si="3"/>
        <v>{+ OK +}</v>
      </c>
      <c r="Q11" t="str">
        <f t="shared" si="2"/>
        <v>ok</v>
      </c>
      <c r="R11" t="str">
        <f t="shared" si="2"/>
        <v>ok</v>
      </c>
    </row>
    <row r="12" spans="1:18" x14ac:dyDescent="0.3">
      <c r="A12" s="22" t="s">
        <v>167</v>
      </c>
      <c r="B12" s="23" t="s">
        <v>219</v>
      </c>
      <c r="C12" s="22">
        <v>3.3</v>
      </c>
      <c r="D12" s="22">
        <v>105000</v>
      </c>
      <c r="E12" s="22">
        <v>15000</v>
      </c>
      <c r="F12" s="22">
        <f t="shared" ref="F12:F13" si="8">0.41*((D12+E12)/E12)</f>
        <v>3.28</v>
      </c>
      <c r="G12" s="22">
        <f t="shared" si="1"/>
        <v>-0.60606060606060908</v>
      </c>
      <c r="H12" s="22" t="s">
        <v>169</v>
      </c>
      <c r="I12" s="22" t="s">
        <v>170</v>
      </c>
      <c r="J12" s="5">
        <v>34000</v>
      </c>
      <c r="K12" s="5">
        <v>14450</v>
      </c>
      <c r="L12" s="22">
        <f t="shared" ref="L12:L13" si="9">0.41*((J12+K12)/K12)</f>
        <v>1.3747058823529412</v>
      </c>
      <c r="M12" s="21">
        <v>22930</v>
      </c>
      <c r="N12" s="22">
        <f t="shared" si="0"/>
        <v>-58.342245989304807</v>
      </c>
      <c r="O12" s="5" t="str">
        <f t="shared" si="3"/>
        <v>{+ OK +}</v>
      </c>
      <c r="Q12">
        <f t="shared" si="2"/>
        <v>3.0882352941176472</v>
      </c>
      <c r="R12">
        <f t="shared" si="2"/>
        <v>1.0380622837370241</v>
      </c>
    </row>
    <row r="13" spans="1:18" x14ac:dyDescent="0.3">
      <c r="A13" s="22" t="s">
        <v>168</v>
      </c>
      <c r="B13" s="23" t="s">
        <v>219</v>
      </c>
      <c r="C13" s="22">
        <v>3.3</v>
      </c>
      <c r="D13" s="22">
        <v>105000</v>
      </c>
      <c r="E13" s="22">
        <v>15000</v>
      </c>
      <c r="F13" s="22">
        <f t="shared" si="8"/>
        <v>3.28</v>
      </c>
      <c r="G13" s="22">
        <f t="shared" si="1"/>
        <v>-0.60606060606060908</v>
      </c>
      <c r="H13" s="22" t="s">
        <v>171</v>
      </c>
      <c r="I13" s="22" t="s">
        <v>172</v>
      </c>
      <c r="J13" s="5">
        <v>13320</v>
      </c>
      <c r="K13" s="5">
        <v>13150</v>
      </c>
      <c r="L13" s="22">
        <f t="shared" si="9"/>
        <v>0.82530038022813679</v>
      </c>
      <c r="M13" s="21">
        <v>227</v>
      </c>
      <c r="N13" s="22">
        <f t="shared" si="0"/>
        <v>-74.990897568844332</v>
      </c>
      <c r="O13" s="5" t="str">
        <f t="shared" si="3"/>
        <v>{+ OK +}</v>
      </c>
      <c r="Q13">
        <f t="shared" si="2"/>
        <v>7.8828828828828827</v>
      </c>
      <c r="R13">
        <f t="shared" si="2"/>
        <v>1.1406844106463878</v>
      </c>
    </row>
    <row r="14" spans="1:18" x14ac:dyDescent="0.3">
      <c r="A14" s="22" t="s">
        <v>173</v>
      </c>
      <c r="B14" s="23" t="s">
        <v>210</v>
      </c>
      <c r="C14" s="22">
        <v>3.3</v>
      </c>
      <c r="D14" s="22">
        <v>56000</v>
      </c>
      <c r="E14" s="22">
        <v>10000</v>
      </c>
      <c r="F14" s="22">
        <f>0.5*(1+(D14/E14))</f>
        <v>3.3</v>
      </c>
      <c r="G14" s="22">
        <f t="shared" si="1"/>
        <v>0</v>
      </c>
      <c r="H14" s="22" t="s">
        <v>174</v>
      </c>
      <c r="I14" s="22" t="s">
        <v>175</v>
      </c>
      <c r="J14" s="5">
        <v>55350</v>
      </c>
      <c r="K14" s="5">
        <v>9900</v>
      </c>
      <c r="L14" s="22">
        <f>0.5*(1+(J14/K14))</f>
        <v>3.2954545454545454</v>
      </c>
      <c r="M14" s="21">
        <v>65000</v>
      </c>
      <c r="N14" s="22">
        <f t="shared" si="0"/>
        <v>-0.13774104683194821</v>
      </c>
      <c r="O14" s="5" t="str">
        <f t="shared" si="3"/>
        <v>{+ OK +}</v>
      </c>
      <c r="Q14" t="str">
        <f t="shared" si="2"/>
        <v>ok</v>
      </c>
      <c r="R14" t="str">
        <f t="shared" si="2"/>
        <v>ok</v>
      </c>
    </row>
    <row r="15" spans="1:18" x14ac:dyDescent="0.3">
      <c r="A15" s="22" t="s">
        <v>184</v>
      </c>
      <c r="B15" s="36" t="s">
        <v>208</v>
      </c>
      <c r="C15" s="22">
        <v>3.3</v>
      </c>
      <c r="D15" s="22">
        <v>3570</v>
      </c>
      <c r="E15" s="22">
        <v>1150</v>
      </c>
      <c r="F15" s="22">
        <f>0.8*((D15/E15)+1)</f>
        <v>3.2834782608695647</v>
      </c>
      <c r="G15" s="22">
        <f t="shared" si="1"/>
        <v>-0.50065876152834221</v>
      </c>
      <c r="H15" s="22" t="s">
        <v>186</v>
      </c>
      <c r="I15" s="22" t="s">
        <v>187</v>
      </c>
      <c r="J15" s="5">
        <v>2300</v>
      </c>
      <c r="K15" s="5">
        <v>974</v>
      </c>
      <c r="L15" s="22">
        <f>0.8*((J15/K15)+1)</f>
        <v>2.6891170431211502</v>
      </c>
      <c r="M15" s="21">
        <v>2697</v>
      </c>
      <c r="N15" s="22">
        <f t="shared" si="0"/>
        <v>-18.511604753904535</v>
      </c>
      <c r="O15" s="5" t="str">
        <f t="shared" si="3"/>
        <v>{+ OK +}</v>
      </c>
      <c r="Q15">
        <f t="shared" si="2"/>
        <v>1.5521739130434782</v>
      </c>
      <c r="R15">
        <f t="shared" si="2"/>
        <v>1.1806981519507187</v>
      </c>
    </row>
    <row r="16" spans="1:18" x14ac:dyDescent="0.3">
      <c r="A16" s="22" t="s">
        <v>185</v>
      </c>
      <c r="B16" s="36"/>
      <c r="C16" s="22">
        <v>3.3</v>
      </c>
      <c r="D16" s="22">
        <v>3570</v>
      </c>
      <c r="E16" s="22">
        <v>1150</v>
      </c>
      <c r="F16" s="22">
        <f>0.8*((D16/E16)+1)</f>
        <v>3.2834782608695647</v>
      </c>
      <c r="G16" s="22">
        <f t="shared" si="1"/>
        <v>-0.50065876152834221</v>
      </c>
      <c r="H16" s="22" t="s">
        <v>188</v>
      </c>
      <c r="I16" s="22" t="s">
        <v>189</v>
      </c>
      <c r="J16" s="5">
        <v>1700</v>
      </c>
      <c r="K16" s="5">
        <v>941</v>
      </c>
      <c r="L16" s="22">
        <f>0.8*((J16/K16)+1)</f>
        <v>2.2452709883103084</v>
      </c>
      <c r="M16" s="21">
        <v>1564</v>
      </c>
      <c r="N16" s="22">
        <f t="shared" si="0"/>
        <v>-31.961485202717924</v>
      </c>
      <c r="O16" s="5" t="str">
        <f t="shared" si="3"/>
        <v>{+ OK +}</v>
      </c>
      <c r="Q16">
        <f t="shared" si="2"/>
        <v>2.1</v>
      </c>
      <c r="R16">
        <f t="shared" si="2"/>
        <v>1.2221041445270988</v>
      </c>
    </row>
    <row r="17" spans="1:18" x14ac:dyDescent="0.3">
      <c r="A17" s="22" t="s">
        <v>190</v>
      </c>
      <c r="B17" s="23" t="s">
        <v>218</v>
      </c>
      <c r="C17" s="22">
        <v>5</v>
      </c>
      <c r="D17" s="22"/>
      <c r="E17" s="22">
        <v>49900</v>
      </c>
      <c r="F17" s="22">
        <v>5</v>
      </c>
      <c r="G17" s="22">
        <f t="shared" si="1"/>
        <v>0</v>
      </c>
      <c r="H17" s="22"/>
      <c r="I17" s="22" t="s">
        <v>191</v>
      </c>
      <c r="J17" s="5"/>
      <c r="K17" s="5">
        <v>49850</v>
      </c>
      <c r="L17" s="22"/>
      <c r="M17" s="21"/>
      <c r="N17" s="22"/>
      <c r="O17" s="5" t="str">
        <f t="shared" si="3"/>
        <v>{+ OK +}</v>
      </c>
      <c r="R17" t="str">
        <f t="shared" si="2"/>
        <v>ok</v>
      </c>
    </row>
    <row r="18" spans="1:18" x14ac:dyDescent="0.3">
      <c r="A18" s="22" t="s">
        <v>192</v>
      </c>
      <c r="B18" s="23" t="s">
        <v>219</v>
      </c>
      <c r="C18" s="22">
        <v>2.5</v>
      </c>
      <c r="D18" s="22">
        <v>75000</v>
      </c>
      <c r="E18" s="22">
        <v>15000</v>
      </c>
      <c r="F18" s="22">
        <f>0.41*((D18+E18)/E18)</f>
        <v>2.46</v>
      </c>
      <c r="G18" s="22">
        <f t="shared" ref="G18" si="10">((F18/C18)*100)-100</f>
        <v>-1.5999999999999943</v>
      </c>
      <c r="H18" s="22" t="s">
        <v>195</v>
      </c>
      <c r="I18" s="22" t="s">
        <v>196</v>
      </c>
      <c r="J18" s="5">
        <v>18980</v>
      </c>
      <c r="K18" s="5">
        <v>12730</v>
      </c>
      <c r="L18" s="22">
        <f>0.41*((J18+K18)/K18)</f>
        <v>1.0212961508248231</v>
      </c>
      <c r="M18" s="21">
        <v>9260</v>
      </c>
      <c r="N18" s="22">
        <f t="shared" ref="N18:N25" si="11">((L18/C18)*100)-100</f>
        <v>-59.148153967007076</v>
      </c>
      <c r="O18" s="5" t="str">
        <f t="shared" si="3"/>
        <v>{+ OK +}</v>
      </c>
      <c r="Q18">
        <f t="shared" si="2"/>
        <v>3.951527924130664</v>
      </c>
      <c r="R18">
        <f t="shared" si="2"/>
        <v>1.178318931657502</v>
      </c>
    </row>
    <row r="19" spans="1:18" x14ac:dyDescent="0.3">
      <c r="A19" s="22" t="s">
        <v>193</v>
      </c>
      <c r="B19" s="23" t="s">
        <v>219</v>
      </c>
      <c r="C19" s="22">
        <v>1.8</v>
      </c>
      <c r="D19" s="22">
        <v>51100</v>
      </c>
      <c r="E19" s="22">
        <v>15000</v>
      </c>
      <c r="F19" s="22">
        <f t="shared" ref="F19:F20" si="12">0.41*((D19+E19)/E19)</f>
        <v>1.8067333333333331</v>
      </c>
      <c r="G19" s="22">
        <f t="shared" ref="G19:G24" si="13">((F19/C19)*100)-100</f>
        <v>0.37407407407405913</v>
      </c>
      <c r="H19" s="22" t="s">
        <v>197</v>
      </c>
      <c r="I19" s="22" t="s">
        <v>198</v>
      </c>
      <c r="J19" s="5">
        <v>25720</v>
      </c>
      <c r="K19" s="5">
        <v>12900</v>
      </c>
      <c r="L19" s="22">
        <f t="shared" ref="L19:L20" si="14">0.41*((J19+K19)/K19)</f>
        <v>1.2274573643410853</v>
      </c>
      <c r="M19" s="21">
        <v>21820</v>
      </c>
      <c r="N19" s="22">
        <f t="shared" si="11"/>
        <v>-31.807924203273046</v>
      </c>
      <c r="O19" s="5" t="str">
        <f t="shared" si="3"/>
        <v>{+ OK +}</v>
      </c>
      <c r="Q19">
        <f t="shared" si="2"/>
        <v>1.9867807153965786</v>
      </c>
      <c r="R19">
        <f t="shared" si="2"/>
        <v>1.1627906976744187</v>
      </c>
    </row>
    <row r="20" spans="1:18" x14ac:dyDescent="0.3">
      <c r="A20" s="22" t="s">
        <v>194</v>
      </c>
      <c r="B20" s="23" t="s">
        <v>219</v>
      </c>
      <c r="C20" s="22">
        <v>1</v>
      </c>
      <c r="D20" s="22">
        <v>21500</v>
      </c>
      <c r="E20" s="22">
        <v>15000</v>
      </c>
      <c r="F20" s="22">
        <f t="shared" si="12"/>
        <v>0.99766666666666648</v>
      </c>
      <c r="G20" s="22">
        <f t="shared" si="13"/>
        <v>-0.23333333333334849</v>
      </c>
      <c r="H20" s="22" t="s">
        <v>199</v>
      </c>
      <c r="I20" s="22" t="s">
        <v>200</v>
      </c>
      <c r="J20" s="5">
        <v>9080</v>
      </c>
      <c r="K20" s="5">
        <v>8960</v>
      </c>
      <c r="L20" s="22">
        <f t="shared" si="14"/>
        <v>0.82549107142857137</v>
      </c>
      <c r="M20" s="21">
        <v>566</v>
      </c>
      <c r="N20" s="22">
        <f t="shared" si="11"/>
        <v>-17.450892857142861</v>
      </c>
      <c r="O20" s="5" t="str">
        <f t="shared" si="3"/>
        <v>{+ OK +}</v>
      </c>
      <c r="Q20">
        <f t="shared" si="2"/>
        <v>2.3678414096916298</v>
      </c>
      <c r="R20">
        <f t="shared" si="2"/>
        <v>1.6741071428571428</v>
      </c>
    </row>
    <row r="21" spans="1:18" x14ac:dyDescent="0.3">
      <c r="A21" s="22" t="s">
        <v>201</v>
      </c>
      <c r="B21" s="23" t="s">
        <v>217</v>
      </c>
      <c r="C21" s="22">
        <v>20</v>
      </c>
      <c r="D21" s="22">
        <v>22000</v>
      </c>
      <c r="E21" s="22">
        <v>910</v>
      </c>
      <c r="F21" s="22">
        <f>0.8*((D21/E21)+1)</f>
        <v>20.14065934065934</v>
      </c>
      <c r="G21" s="22">
        <f t="shared" si="13"/>
        <v>0.7032967032967008</v>
      </c>
      <c r="H21" s="22" t="s">
        <v>202</v>
      </c>
      <c r="I21" s="22" t="s">
        <v>203</v>
      </c>
      <c r="J21" s="5">
        <v>19700</v>
      </c>
      <c r="K21" s="5">
        <v>904</v>
      </c>
      <c r="L21" s="22">
        <f>0.8*((J21/K21)+1)</f>
        <v>18.233628318584071</v>
      </c>
      <c r="M21" s="21">
        <v>20400</v>
      </c>
      <c r="N21" s="22">
        <f t="shared" si="11"/>
        <v>-8.8318584070796504</v>
      </c>
      <c r="O21" s="5" t="str">
        <f t="shared" si="3"/>
        <v>{+ OK +}</v>
      </c>
      <c r="Q21">
        <f t="shared" si="2"/>
        <v>1.116751269035533</v>
      </c>
      <c r="R21" t="str">
        <f t="shared" si="2"/>
        <v>ok</v>
      </c>
    </row>
    <row r="22" spans="1:18" x14ac:dyDescent="0.3">
      <c r="A22" s="22" t="s">
        <v>204</v>
      </c>
      <c r="B22" s="36" t="s">
        <v>208</v>
      </c>
      <c r="C22" s="22">
        <v>1.8</v>
      </c>
      <c r="D22" s="22">
        <v>1870</v>
      </c>
      <c r="E22" s="22">
        <v>1500</v>
      </c>
      <c r="F22" s="22">
        <f>0.8*((D22/E22)+1)</f>
        <v>1.7973333333333334</v>
      </c>
      <c r="G22" s="22">
        <f t="shared" si="13"/>
        <v>-0.14814814814813815</v>
      </c>
      <c r="H22" s="22" t="s">
        <v>213</v>
      </c>
      <c r="I22" s="22" t="s">
        <v>214</v>
      </c>
      <c r="J22" s="5">
        <v>1031</v>
      </c>
      <c r="K22" s="5">
        <v>959</v>
      </c>
      <c r="L22" s="22">
        <f>0.8*((J22/K22)+1)</f>
        <v>1.6600625651720542</v>
      </c>
      <c r="M22" s="21">
        <v>677</v>
      </c>
      <c r="N22" s="22">
        <f t="shared" si="11"/>
        <v>-7.7743019348858837</v>
      </c>
      <c r="O22" s="5" t="str">
        <f t="shared" si="3"/>
        <v>{+ OK +}</v>
      </c>
      <c r="Q22">
        <f t="shared" si="2"/>
        <v>1.8137730358874879</v>
      </c>
      <c r="R22">
        <f t="shared" si="2"/>
        <v>1.5641293013555788</v>
      </c>
    </row>
    <row r="23" spans="1:18" x14ac:dyDescent="0.3">
      <c r="A23" s="22" t="s">
        <v>205</v>
      </c>
      <c r="B23" s="36"/>
      <c r="C23" s="22">
        <v>0.9</v>
      </c>
      <c r="D23" s="22">
        <v>1870</v>
      </c>
      <c r="E23" s="22">
        <v>15000</v>
      </c>
      <c r="F23" s="22">
        <f>0.8*((D23/E23)+1)</f>
        <v>0.89973333333333338</v>
      </c>
      <c r="G23" s="22">
        <f t="shared" si="13"/>
        <v>-2.9629629629624787E-2</v>
      </c>
      <c r="H23" s="22" t="s">
        <v>215</v>
      </c>
      <c r="I23" s="22" t="s">
        <v>216</v>
      </c>
      <c r="J23" s="5">
        <v>1662</v>
      </c>
      <c r="K23" s="5">
        <v>1697</v>
      </c>
      <c r="L23" s="22">
        <f>0.8*((J23/K23)+1)</f>
        <v>1.583500294637596</v>
      </c>
      <c r="M23" s="21">
        <v>41</v>
      </c>
      <c r="N23" s="22">
        <f t="shared" si="11"/>
        <v>75.944477181955108</v>
      </c>
      <c r="O23" s="5" t="str">
        <f t="shared" si="3"/>
        <v>{+ OK +}</v>
      </c>
      <c r="Q23">
        <f t="shared" si="2"/>
        <v>1.125150421179302</v>
      </c>
      <c r="R23">
        <f t="shared" si="2"/>
        <v>8.8391278727165581</v>
      </c>
    </row>
    <row r="24" spans="1:18" x14ac:dyDescent="0.3">
      <c r="A24" s="22" t="s">
        <v>209</v>
      </c>
      <c r="B24" s="23" t="s">
        <v>210</v>
      </c>
      <c r="C24" s="22">
        <v>0.85</v>
      </c>
      <c r="D24" s="22">
        <v>9100</v>
      </c>
      <c r="E24" s="22">
        <v>13000</v>
      </c>
      <c r="F24" s="22">
        <f>0.5*(1+(D24/E24))</f>
        <v>0.85</v>
      </c>
      <c r="G24" s="22">
        <f t="shared" si="13"/>
        <v>0</v>
      </c>
      <c r="H24" s="22" t="s">
        <v>211</v>
      </c>
      <c r="I24" s="22" t="s">
        <v>212</v>
      </c>
      <c r="J24" s="5">
        <v>7180</v>
      </c>
      <c r="K24" s="5">
        <v>8870</v>
      </c>
      <c r="L24" s="22">
        <f>0.5*(1+(J24/K24))</f>
        <v>0.90473506200676446</v>
      </c>
      <c r="M24" s="21">
        <v>8840</v>
      </c>
      <c r="N24" s="22">
        <f t="shared" si="11"/>
        <v>6.4394190596193539</v>
      </c>
      <c r="O24" s="5" t="str">
        <f t="shared" si="3"/>
        <v>{+ OK +}</v>
      </c>
      <c r="Q24">
        <f t="shared" si="2"/>
        <v>1.2674094707520891</v>
      </c>
      <c r="R24">
        <f t="shared" si="2"/>
        <v>1.4656144306651635</v>
      </c>
    </row>
    <row r="25" spans="1:18" x14ac:dyDescent="0.3">
      <c r="A25" s="22" t="s">
        <v>222</v>
      </c>
      <c r="B25" s="23" t="s">
        <v>223</v>
      </c>
      <c r="C25" s="22">
        <v>0.6</v>
      </c>
      <c r="D25" s="22">
        <v>20000</v>
      </c>
      <c r="E25" s="22">
        <v>100000</v>
      </c>
      <c r="F25" s="22">
        <f>0.5*(1+(D25/E25))</f>
        <v>0.6</v>
      </c>
      <c r="G25" s="22">
        <f t="shared" ref="G25" si="15">((F25/C25)*100)-100</f>
        <v>0</v>
      </c>
      <c r="H25" s="22" t="s">
        <v>224</v>
      </c>
      <c r="I25" s="22" t="s">
        <v>225</v>
      </c>
      <c r="J25" s="5">
        <v>17560</v>
      </c>
      <c r="K25" s="5">
        <v>27710</v>
      </c>
      <c r="L25" s="22">
        <f>0.5*(1+(J25/K25))</f>
        <v>0.81685312161674484</v>
      </c>
      <c r="M25" s="21">
        <v>16060</v>
      </c>
      <c r="N25" s="22">
        <f t="shared" si="11"/>
        <v>36.142186936124148</v>
      </c>
      <c r="O25" s="5" t="str">
        <f t="shared" si="3"/>
        <v>{+ OK +}</v>
      </c>
      <c r="Q25">
        <f t="shared" si="2"/>
        <v>1.1389521640091116</v>
      </c>
      <c r="R25">
        <f t="shared" si="2"/>
        <v>3.6088054853843379</v>
      </c>
    </row>
    <row r="26" spans="1:18" x14ac:dyDescent="0.3">
      <c r="M26"/>
    </row>
    <row r="27" spans="1:18" x14ac:dyDescent="0.3">
      <c r="M27"/>
    </row>
    <row r="28" spans="1:18" x14ac:dyDescent="0.3">
      <c r="M28"/>
    </row>
    <row r="29" spans="1:18" x14ac:dyDescent="0.3">
      <c r="M29"/>
    </row>
    <row r="30" spans="1:18" x14ac:dyDescent="0.3">
      <c r="M30"/>
    </row>
    <row r="31" spans="1:18" x14ac:dyDescent="0.3">
      <c r="M31">
        <v>7.18</v>
      </c>
    </row>
    <row r="32" spans="1:18" x14ac:dyDescent="0.3">
      <c r="M32">
        <v>0.312</v>
      </c>
    </row>
    <row r="33" spans="3:13" x14ac:dyDescent="0.3">
      <c r="M33"/>
    </row>
    <row r="34" spans="3:13" x14ac:dyDescent="0.3">
      <c r="M34"/>
    </row>
    <row r="35" spans="3:13" x14ac:dyDescent="0.3">
      <c r="M35"/>
    </row>
    <row r="36" spans="3:13" x14ac:dyDescent="0.3">
      <c r="M36"/>
    </row>
    <row r="37" spans="3:13" x14ac:dyDescent="0.3">
      <c r="M37"/>
    </row>
    <row r="38" spans="3:13" x14ac:dyDescent="0.3">
      <c r="M38"/>
    </row>
    <row r="39" spans="3:13" x14ac:dyDescent="0.3">
      <c r="C39">
        <f>E7*((C7/0.8)-1)</f>
        <v>35000</v>
      </c>
      <c r="D39">
        <f>(((D7/E7)+1)*0.8)</f>
        <v>3.5840000000000005</v>
      </c>
      <c r="M39"/>
    </row>
    <row r="40" spans="3:13" x14ac:dyDescent="0.3">
      <c r="M40"/>
    </row>
    <row r="41" spans="3:13" x14ac:dyDescent="0.3">
      <c r="E41">
        <f>C22/((D22/E22)+1)</f>
        <v>0.80118694362017806</v>
      </c>
      <c r="M41"/>
    </row>
    <row r="42" spans="3:13" x14ac:dyDescent="0.3">
      <c r="M42"/>
    </row>
    <row r="43" spans="3:13" x14ac:dyDescent="0.3">
      <c r="M43"/>
    </row>
    <row r="44" spans="3:13" x14ac:dyDescent="0.3">
      <c r="M44"/>
    </row>
    <row r="45" spans="3:13" x14ac:dyDescent="0.3">
      <c r="M45"/>
    </row>
    <row r="46" spans="3:13" x14ac:dyDescent="0.3">
      <c r="M46"/>
    </row>
    <row r="47" spans="3:13" x14ac:dyDescent="0.3">
      <c r="M47"/>
    </row>
    <row r="48" spans="3:13" x14ac:dyDescent="0.3">
      <c r="M48"/>
    </row>
    <row r="49" spans="13:13" x14ac:dyDescent="0.3">
      <c r="M49"/>
    </row>
    <row r="50" spans="13:13" x14ac:dyDescent="0.3">
      <c r="M50"/>
    </row>
    <row r="51" spans="13:13" x14ac:dyDescent="0.3">
      <c r="M51"/>
    </row>
    <row r="52" spans="13:13" x14ac:dyDescent="0.3">
      <c r="M52"/>
    </row>
    <row r="53" spans="13:13" x14ac:dyDescent="0.3">
      <c r="M53"/>
    </row>
    <row r="54" spans="13:13" x14ac:dyDescent="0.3">
      <c r="M54"/>
    </row>
    <row r="55" spans="13:13" x14ac:dyDescent="0.3">
      <c r="M55"/>
    </row>
    <row r="56" spans="13:13" x14ac:dyDescent="0.3">
      <c r="M56"/>
    </row>
    <row r="57" spans="13:13" x14ac:dyDescent="0.3">
      <c r="M57"/>
    </row>
    <row r="58" spans="13:13" x14ac:dyDescent="0.3">
      <c r="M58"/>
    </row>
    <row r="59" spans="13:13" x14ac:dyDescent="0.3">
      <c r="M59"/>
    </row>
    <row r="60" spans="13:13" x14ac:dyDescent="0.3">
      <c r="M60"/>
    </row>
    <row r="61" spans="13:13" x14ac:dyDescent="0.3">
      <c r="M61"/>
    </row>
    <row r="62" spans="13:13" x14ac:dyDescent="0.3">
      <c r="M62"/>
    </row>
    <row r="63" spans="13:13" x14ac:dyDescent="0.3">
      <c r="M63"/>
    </row>
    <row r="64" spans="13:13" x14ac:dyDescent="0.3">
      <c r="M64"/>
    </row>
    <row r="65" spans="13:13" x14ac:dyDescent="0.3">
      <c r="M65"/>
    </row>
    <row r="66" spans="13:13" x14ac:dyDescent="0.3">
      <c r="M66"/>
    </row>
    <row r="67" spans="13:13" x14ac:dyDescent="0.3">
      <c r="M67"/>
    </row>
    <row r="68" spans="13:13" x14ac:dyDescent="0.3">
      <c r="M68"/>
    </row>
    <row r="69" spans="13:13" x14ac:dyDescent="0.3">
      <c r="M69"/>
    </row>
    <row r="70" spans="13:13" x14ac:dyDescent="0.3">
      <c r="M70"/>
    </row>
    <row r="71" spans="13:13" x14ac:dyDescent="0.3">
      <c r="M71"/>
    </row>
    <row r="72" spans="13:13" x14ac:dyDescent="0.3">
      <c r="M72"/>
    </row>
    <row r="73" spans="13:13" x14ac:dyDescent="0.3">
      <c r="M73"/>
    </row>
    <row r="74" spans="13:13" x14ac:dyDescent="0.3">
      <c r="M74"/>
    </row>
    <row r="75" spans="13:13" x14ac:dyDescent="0.3">
      <c r="M75"/>
    </row>
    <row r="76" spans="13:13" x14ac:dyDescent="0.3">
      <c r="M76"/>
    </row>
    <row r="77" spans="13:13" x14ac:dyDescent="0.3">
      <c r="M77"/>
    </row>
    <row r="78" spans="13:13" x14ac:dyDescent="0.3">
      <c r="M78"/>
    </row>
    <row r="79" spans="13:13" x14ac:dyDescent="0.3">
      <c r="M79"/>
    </row>
    <row r="80" spans="13:13" x14ac:dyDescent="0.3">
      <c r="M80"/>
    </row>
    <row r="81" spans="13:13" x14ac:dyDescent="0.3">
      <c r="M81"/>
    </row>
    <row r="82" spans="13:13" x14ac:dyDescent="0.3">
      <c r="M82"/>
    </row>
    <row r="83" spans="13:13" x14ac:dyDescent="0.3">
      <c r="M83"/>
    </row>
    <row r="84" spans="13:13" x14ac:dyDescent="0.3">
      <c r="M84"/>
    </row>
    <row r="85" spans="13:13" x14ac:dyDescent="0.3">
      <c r="M85"/>
    </row>
    <row r="86" spans="13:13" x14ac:dyDescent="0.3">
      <c r="M86"/>
    </row>
    <row r="87" spans="13:13" x14ac:dyDescent="0.3">
      <c r="M87"/>
    </row>
    <row r="88" spans="13:13" x14ac:dyDescent="0.3">
      <c r="M88"/>
    </row>
    <row r="89" spans="13:13" x14ac:dyDescent="0.3">
      <c r="M89"/>
    </row>
    <row r="90" spans="13:13" x14ac:dyDescent="0.3">
      <c r="M90"/>
    </row>
    <row r="91" spans="13:13" x14ac:dyDescent="0.3">
      <c r="M91"/>
    </row>
    <row r="92" spans="13:13" x14ac:dyDescent="0.3">
      <c r="M92"/>
    </row>
    <row r="93" spans="13:13" x14ac:dyDescent="0.3">
      <c r="M93"/>
    </row>
    <row r="94" spans="13:13" x14ac:dyDescent="0.3">
      <c r="M94"/>
    </row>
    <row r="95" spans="13:13" x14ac:dyDescent="0.3">
      <c r="M95"/>
    </row>
    <row r="96" spans="13:13" x14ac:dyDescent="0.3">
      <c r="M96"/>
    </row>
    <row r="97" spans="13:13" x14ac:dyDescent="0.3">
      <c r="M97"/>
    </row>
    <row r="98" spans="13:13" x14ac:dyDescent="0.3">
      <c r="M98"/>
    </row>
    <row r="99" spans="13:13" x14ac:dyDescent="0.3">
      <c r="M99"/>
    </row>
    <row r="100" spans="13:13" x14ac:dyDescent="0.3">
      <c r="M100"/>
    </row>
    <row r="101" spans="13:13" x14ac:dyDescent="0.3">
      <c r="M101"/>
    </row>
    <row r="102" spans="13:13" x14ac:dyDescent="0.3">
      <c r="M102"/>
    </row>
    <row r="103" spans="13:13" x14ac:dyDescent="0.3">
      <c r="M103"/>
    </row>
    <row r="104" spans="13:13" x14ac:dyDescent="0.3">
      <c r="M104"/>
    </row>
    <row r="105" spans="13:13" x14ac:dyDescent="0.3">
      <c r="M105"/>
    </row>
    <row r="106" spans="13:13" x14ac:dyDescent="0.3">
      <c r="M106"/>
    </row>
    <row r="107" spans="13:13" x14ac:dyDescent="0.3">
      <c r="M107"/>
    </row>
    <row r="108" spans="13:13" x14ac:dyDescent="0.3">
      <c r="M108"/>
    </row>
    <row r="109" spans="13:13" x14ac:dyDescent="0.3">
      <c r="M109"/>
    </row>
    <row r="110" spans="13:13" x14ac:dyDescent="0.3">
      <c r="M110"/>
    </row>
    <row r="111" spans="13:13" x14ac:dyDescent="0.3">
      <c r="M111"/>
    </row>
    <row r="112" spans="13:13" x14ac:dyDescent="0.3">
      <c r="M112"/>
    </row>
    <row r="113" spans="13:13" x14ac:dyDescent="0.3">
      <c r="M113"/>
    </row>
    <row r="114" spans="13:13" x14ac:dyDescent="0.3">
      <c r="M114"/>
    </row>
    <row r="115" spans="13:13" x14ac:dyDescent="0.3">
      <c r="M115"/>
    </row>
    <row r="116" spans="13:13" x14ac:dyDescent="0.3">
      <c r="M116"/>
    </row>
    <row r="117" spans="13:13" x14ac:dyDescent="0.3">
      <c r="M117"/>
    </row>
    <row r="118" spans="13:13" x14ac:dyDescent="0.3">
      <c r="M118"/>
    </row>
    <row r="119" spans="13:13" x14ac:dyDescent="0.3">
      <c r="M119"/>
    </row>
    <row r="120" spans="13:13" x14ac:dyDescent="0.3">
      <c r="M120"/>
    </row>
    <row r="121" spans="13:13" x14ac:dyDescent="0.3">
      <c r="M121"/>
    </row>
    <row r="122" spans="13:13" x14ac:dyDescent="0.3">
      <c r="M122"/>
    </row>
    <row r="123" spans="13:13" x14ac:dyDescent="0.3">
      <c r="M123"/>
    </row>
    <row r="124" spans="13:13" x14ac:dyDescent="0.3">
      <c r="M124"/>
    </row>
    <row r="125" spans="13:13" x14ac:dyDescent="0.3">
      <c r="M125"/>
    </row>
    <row r="126" spans="13:13" x14ac:dyDescent="0.3">
      <c r="M126"/>
    </row>
    <row r="127" spans="13:13" x14ac:dyDescent="0.3">
      <c r="M127"/>
    </row>
    <row r="128" spans="13:13" x14ac:dyDescent="0.3">
      <c r="M128"/>
    </row>
    <row r="129" spans="13:13" x14ac:dyDescent="0.3">
      <c r="M129"/>
    </row>
    <row r="130" spans="13:13" x14ac:dyDescent="0.3">
      <c r="M130"/>
    </row>
    <row r="131" spans="13:13" x14ac:dyDescent="0.3">
      <c r="M131"/>
    </row>
    <row r="132" spans="13:13" x14ac:dyDescent="0.3">
      <c r="M132"/>
    </row>
    <row r="133" spans="13:13" x14ac:dyDescent="0.3">
      <c r="M133"/>
    </row>
    <row r="134" spans="13:13" x14ac:dyDescent="0.3">
      <c r="M134"/>
    </row>
    <row r="135" spans="13:13" x14ac:dyDescent="0.3">
      <c r="M135"/>
    </row>
    <row r="136" spans="13:13" x14ac:dyDescent="0.3">
      <c r="M136"/>
    </row>
    <row r="137" spans="13:13" x14ac:dyDescent="0.3">
      <c r="M137"/>
    </row>
    <row r="138" spans="13:13" x14ac:dyDescent="0.3">
      <c r="M138"/>
    </row>
    <row r="139" spans="13:13" x14ac:dyDescent="0.3">
      <c r="M139"/>
    </row>
    <row r="140" spans="13:13" x14ac:dyDescent="0.3">
      <c r="M140"/>
    </row>
    <row r="141" spans="13:13" x14ac:dyDescent="0.3">
      <c r="M141"/>
    </row>
    <row r="142" spans="13:13" x14ac:dyDescent="0.3">
      <c r="M142"/>
    </row>
    <row r="143" spans="13:13" x14ac:dyDescent="0.3">
      <c r="M143"/>
    </row>
    <row r="144" spans="13:13" x14ac:dyDescent="0.3">
      <c r="M144"/>
    </row>
    <row r="145" spans="13:13" x14ac:dyDescent="0.3">
      <c r="M145"/>
    </row>
    <row r="146" spans="13:13" x14ac:dyDescent="0.3">
      <c r="M146"/>
    </row>
    <row r="147" spans="13:13" x14ac:dyDescent="0.3">
      <c r="M147"/>
    </row>
    <row r="148" spans="13:13" x14ac:dyDescent="0.3">
      <c r="M148"/>
    </row>
    <row r="149" spans="13:13" x14ac:dyDescent="0.3">
      <c r="M149"/>
    </row>
    <row r="150" spans="13:13" x14ac:dyDescent="0.3">
      <c r="M150"/>
    </row>
    <row r="151" spans="13:13" x14ac:dyDescent="0.3">
      <c r="M151"/>
    </row>
    <row r="152" spans="13:13" x14ac:dyDescent="0.3">
      <c r="M152"/>
    </row>
    <row r="153" spans="13:13" x14ac:dyDescent="0.3">
      <c r="M153"/>
    </row>
    <row r="154" spans="13:13" x14ac:dyDescent="0.3">
      <c r="M154"/>
    </row>
    <row r="155" spans="13:13" x14ac:dyDescent="0.3">
      <c r="M155"/>
    </row>
    <row r="156" spans="13:13" x14ac:dyDescent="0.3">
      <c r="M156"/>
    </row>
    <row r="157" spans="13:13" x14ac:dyDescent="0.3">
      <c r="M157"/>
    </row>
    <row r="158" spans="13:13" x14ac:dyDescent="0.3">
      <c r="M158"/>
    </row>
    <row r="159" spans="13:13" x14ac:dyDescent="0.3">
      <c r="M159"/>
    </row>
    <row r="160" spans="13:13" x14ac:dyDescent="0.3">
      <c r="M160"/>
    </row>
    <row r="161" spans="13:13" x14ac:dyDescent="0.3">
      <c r="M161"/>
    </row>
    <row r="162" spans="13:13" x14ac:dyDescent="0.3">
      <c r="M162"/>
    </row>
    <row r="163" spans="13:13" x14ac:dyDescent="0.3">
      <c r="M163"/>
    </row>
    <row r="164" spans="13:13" x14ac:dyDescent="0.3">
      <c r="M164"/>
    </row>
    <row r="165" spans="13:13" x14ac:dyDescent="0.3">
      <c r="M165"/>
    </row>
    <row r="166" spans="13:13" x14ac:dyDescent="0.3">
      <c r="M166"/>
    </row>
    <row r="167" spans="13:13" x14ac:dyDescent="0.3">
      <c r="M167"/>
    </row>
    <row r="168" spans="13:13" x14ac:dyDescent="0.3">
      <c r="M168"/>
    </row>
    <row r="169" spans="13:13" x14ac:dyDescent="0.3">
      <c r="M169"/>
    </row>
    <row r="170" spans="13:13" x14ac:dyDescent="0.3">
      <c r="M170"/>
    </row>
    <row r="171" spans="13:13" x14ac:dyDescent="0.3">
      <c r="M171"/>
    </row>
    <row r="172" spans="13:13" x14ac:dyDescent="0.3">
      <c r="M172"/>
    </row>
    <row r="173" spans="13:13" x14ac:dyDescent="0.3">
      <c r="M173"/>
    </row>
    <row r="174" spans="13:13" x14ac:dyDescent="0.3">
      <c r="M174"/>
    </row>
    <row r="175" spans="13:13" x14ac:dyDescent="0.3">
      <c r="M175"/>
    </row>
    <row r="176" spans="13:13" x14ac:dyDescent="0.3">
      <c r="M176"/>
    </row>
    <row r="177" spans="13:13" x14ac:dyDescent="0.3">
      <c r="M177"/>
    </row>
    <row r="178" spans="13:13" x14ac:dyDescent="0.3">
      <c r="M178"/>
    </row>
    <row r="179" spans="13:13" x14ac:dyDescent="0.3">
      <c r="M179"/>
    </row>
    <row r="180" spans="13:13" x14ac:dyDescent="0.3">
      <c r="M180"/>
    </row>
    <row r="181" spans="13:13" x14ac:dyDescent="0.3">
      <c r="M181"/>
    </row>
    <row r="182" spans="13:13" x14ac:dyDescent="0.3">
      <c r="M182"/>
    </row>
    <row r="183" spans="13:13" x14ac:dyDescent="0.3">
      <c r="M183"/>
    </row>
    <row r="184" spans="13:13" x14ac:dyDescent="0.3">
      <c r="M184"/>
    </row>
    <row r="185" spans="13:13" x14ac:dyDescent="0.3">
      <c r="M185"/>
    </row>
    <row r="186" spans="13:13" x14ac:dyDescent="0.3">
      <c r="M186"/>
    </row>
    <row r="187" spans="13:13" x14ac:dyDescent="0.3">
      <c r="M187"/>
    </row>
    <row r="188" spans="13:13" x14ac:dyDescent="0.3">
      <c r="M188"/>
    </row>
    <row r="189" spans="13:13" x14ac:dyDescent="0.3">
      <c r="M189"/>
    </row>
    <row r="190" spans="13:13" x14ac:dyDescent="0.3">
      <c r="M190"/>
    </row>
    <row r="191" spans="13:13" x14ac:dyDescent="0.3">
      <c r="M191"/>
    </row>
    <row r="192" spans="13:13" x14ac:dyDescent="0.3">
      <c r="M192"/>
    </row>
    <row r="193" spans="13:13" x14ac:dyDescent="0.3">
      <c r="M193"/>
    </row>
    <row r="194" spans="13:13" x14ac:dyDescent="0.3">
      <c r="M194"/>
    </row>
    <row r="195" spans="13:13" x14ac:dyDescent="0.3">
      <c r="M195"/>
    </row>
    <row r="196" spans="13:13" x14ac:dyDescent="0.3">
      <c r="M196"/>
    </row>
    <row r="197" spans="13:13" x14ac:dyDescent="0.3">
      <c r="M197"/>
    </row>
    <row r="198" spans="13:13" x14ac:dyDescent="0.3">
      <c r="M198"/>
    </row>
    <row r="199" spans="13:13" x14ac:dyDescent="0.3">
      <c r="M199"/>
    </row>
    <row r="200" spans="13:13" x14ac:dyDescent="0.3">
      <c r="M200"/>
    </row>
    <row r="201" spans="13:13" x14ac:dyDescent="0.3">
      <c r="M201"/>
    </row>
    <row r="202" spans="13:13" x14ac:dyDescent="0.3">
      <c r="M202"/>
    </row>
    <row r="203" spans="13:13" x14ac:dyDescent="0.3">
      <c r="M203"/>
    </row>
    <row r="204" spans="13:13" x14ac:dyDescent="0.3">
      <c r="M204"/>
    </row>
    <row r="205" spans="13:13" x14ac:dyDescent="0.3">
      <c r="M205"/>
    </row>
    <row r="206" spans="13:13" x14ac:dyDescent="0.3">
      <c r="M206"/>
    </row>
    <row r="207" spans="13:13" x14ac:dyDescent="0.3">
      <c r="M207"/>
    </row>
    <row r="208" spans="13:13" x14ac:dyDescent="0.3">
      <c r="M208"/>
    </row>
    <row r="209" spans="13:13" x14ac:dyDescent="0.3">
      <c r="M209"/>
    </row>
    <row r="210" spans="13:13" x14ac:dyDescent="0.3">
      <c r="M210"/>
    </row>
    <row r="211" spans="13:13" x14ac:dyDescent="0.3">
      <c r="M211"/>
    </row>
    <row r="212" spans="13:13" x14ac:dyDescent="0.3">
      <c r="M212"/>
    </row>
    <row r="213" spans="13:13" x14ac:dyDescent="0.3">
      <c r="M213"/>
    </row>
    <row r="214" spans="13:13" x14ac:dyDescent="0.3">
      <c r="M214"/>
    </row>
    <row r="215" spans="13:13" x14ac:dyDescent="0.3">
      <c r="M215"/>
    </row>
    <row r="216" spans="13:13" x14ac:dyDescent="0.3">
      <c r="M216"/>
    </row>
    <row r="217" spans="13:13" x14ac:dyDescent="0.3">
      <c r="M217"/>
    </row>
    <row r="218" spans="13:13" x14ac:dyDescent="0.3">
      <c r="M218"/>
    </row>
    <row r="219" spans="13:13" x14ac:dyDescent="0.3">
      <c r="M219"/>
    </row>
    <row r="220" spans="13:13" x14ac:dyDescent="0.3">
      <c r="M220"/>
    </row>
    <row r="221" spans="13:13" x14ac:dyDescent="0.3">
      <c r="M221"/>
    </row>
    <row r="222" spans="13:13" x14ac:dyDescent="0.3">
      <c r="M222"/>
    </row>
    <row r="223" spans="13:13" x14ac:dyDescent="0.3">
      <c r="M223"/>
    </row>
    <row r="224" spans="13:13" x14ac:dyDescent="0.3">
      <c r="M224"/>
    </row>
    <row r="225" spans="13:13" x14ac:dyDescent="0.3">
      <c r="M225"/>
    </row>
    <row r="226" spans="13:13" x14ac:dyDescent="0.3">
      <c r="M226"/>
    </row>
    <row r="227" spans="13:13" x14ac:dyDescent="0.3">
      <c r="M227"/>
    </row>
    <row r="228" spans="13:13" x14ac:dyDescent="0.3">
      <c r="M228"/>
    </row>
    <row r="229" spans="13:13" x14ac:dyDescent="0.3">
      <c r="M229"/>
    </row>
    <row r="230" spans="13:13" x14ac:dyDescent="0.3">
      <c r="M230"/>
    </row>
    <row r="231" spans="13:13" x14ac:dyDescent="0.3">
      <c r="M231"/>
    </row>
    <row r="232" spans="13:13" x14ac:dyDescent="0.3">
      <c r="M232"/>
    </row>
    <row r="233" spans="13:13" x14ac:dyDescent="0.3">
      <c r="M233"/>
    </row>
    <row r="234" spans="13:13" x14ac:dyDescent="0.3">
      <c r="M234"/>
    </row>
    <row r="235" spans="13:13" x14ac:dyDescent="0.3">
      <c r="M235"/>
    </row>
    <row r="236" spans="13:13" x14ac:dyDescent="0.3">
      <c r="M236"/>
    </row>
    <row r="237" spans="13:13" x14ac:dyDescent="0.3">
      <c r="M237"/>
    </row>
    <row r="238" spans="13:13" x14ac:dyDescent="0.3">
      <c r="M238"/>
    </row>
    <row r="239" spans="13:13" x14ac:dyDescent="0.3">
      <c r="M239"/>
    </row>
    <row r="240" spans="13:13" x14ac:dyDescent="0.3">
      <c r="M240"/>
    </row>
    <row r="241" spans="13:13" x14ac:dyDescent="0.3">
      <c r="M241"/>
    </row>
    <row r="242" spans="13:13" x14ac:dyDescent="0.3">
      <c r="M242"/>
    </row>
    <row r="243" spans="13:13" x14ac:dyDescent="0.3">
      <c r="M243"/>
    </row>
    <row r="244" spans="13:13" x14ac:dyDescent="0.3">
      <c r="M244"/>
    </row>
    <row r="245" spans="13:13" x14ac:dyDescent="0.3">
      <c r="M245"/>
    </row>
    <row r="246" spans="13:13" x14ac:dyDescent="0.3">
      <c r="M246"/>
    </row>
    <row r="247" spans="13:13" x14ac:dyDescent="0.3">
      <c r="M247"/>
    </row>
    <row r="248" spans="13:13" x14ac:dyDescent="0.3">
      <c r="M248"/>
    </row>
    <row r="249" spans="13:13" x14ac:dyDescent="0.3">
      <c r="M249"/>
    </row>
    <row r="250" spans="13:13" x14ac:dyDescent="0.3">
      <c r="M250"/>
    </row>
    <row r="251" spans="13:13" x14ac:dyDescent="0.3">
      <c r="M251"/>
    </row>
    <row r="252" spans="13:13" x14ac:dyDescent="0.3">
      <c r="M252"/>
    </row>
    <row r="253" spans="13:13" x14ac:dyDescent="0.3">
      <c r="M253"/>
    </row>
    <row r="254" spans="13:13" x14ac:dyDescent="0.3">
      <c r="M254"/>
    </row>
    <row r="255" spans="13:13" x14ac:dyDescent="0.3">
      <c r="M255"/>
    </row>
    <row r="256" spans="13:13" x14ac:dyDescent="0.3">
      <c r="M256"/>
    </row>
    <row r="257" spans="13:13" x14ac:dyDescent="0.3">
      <c r="M257"/>
    </row>
    <row r="258" spans="13:13" x14ac:dyDescent="0.3">
      <c r="M258"/>
    </row>
    <row r="259" spans="13:13" x14ac:dyDescent="0.3">
      <c r="M259"/>
    </row>
    <row r="260" spans="13:13" x14ac:dyDescent="0.3">
      <c r="M260"/>
    </row>
    <row r="261" spans="13:13" x14ac:dyDescent="0.3">
      <c r="M261"/>
    </row>
    <row r="262" spans="13:13" x14ac:dyDescent="0.3">
      <c r="M262"/>
    </row>
    <row r="263" spans="13:13" x14ac:dyDescent="0.3">
      <c r="M263"/>
    </row>
    <row r="264" spans="13:13" x14ac:dyDescent="0.3">
      <c r="M264"/>
    </row>
    <row r="265" spans="13:13" x14ac:dyDescent="0.3">
      <c r="M265"/>
    </row>
    <row r="266" spans="13:13" x14ac:dyDescent="0.3">
      <c r="M266"/>
    </row>
    <row r="267" spans="13:13" x14ac:dyDescent="0.3">
      <c r="M267"/>
    </row>
    <row r="268" spans="13:13" x14ac:dyDescent="0.3">
      <c r="M268"/>
    </row>
    <row r="269" spans="13:13" x14ac:dyDescent="0.3">
      <c r="M269"/>
    </row>
    <row r="270" spans="13:13" x14ac:dyDescent="0.3">
      <c r="M270"/>
    </row>
    <row r="271" spans="13:13" x14ac:dyDescent="0.3">
      <c r="M271"/>
    </row>
    <row r="272" spans="13:13" x14ac:dyDescent="0.3">
      <c r="M272"/>
    </row>
    <row r="273" spans="13:13" x14ac:dyDescent="0.3">
      <c r="M273"/>
    </row>
    <row r="274" spans="13:13" x14ac:dyDescent="0.3">
      <c r="M274"/>
    </row>
    <row r="275" spans="13:13" x14ac:dyDescent="0.3">
      <c r="M275"/>
    </row>
    <row r="276" spans="13:13" x14ac:dyDescent="0.3">
      <c r="M276"/>
    </row>
    <row r="277" spans="13:13" x14ac:dyDescent="0.3">
      <c r="M277"/>
    </row>
    <row r="278" spans="13:13" x14ac:dyDescent="0.3">
      <c r="M278"/>
    </row>
    <row r="279" spans="13:13" x14ac:dyDescent="0.3">
      <c r="M279"/>
    </row>
    <row r="280" spans="13:13" x14ac:dyDescent="0.3">
      <c r="M280"/>
    </row>
    <row r="281" spans="13:13" x14ac:dyDescent="0.3">
      <c r="M281"/>
    </row>
    <row r="282" spans="13:13" x14ac:dyDescent="0.3">
      <c r="M282"/>
    </row>
    <row r="283" spans="13:13" x14ac:dyDescent="0.3">
      <c r="M283"/>
    </row>
    <row r="284" spans="13:13" x14ac:dyDescent="0.3">
      <c r="M284"/>
    </row>
    <row r="285" spans="13:13" x14ac:dyDescent="0.3">
      <c r="M285"/>
    </row>
    <row r="286" spans="13:13" x14ac:dyDescent="0.3">
      <c r="M286"/>
    </row>
    <row r="287" spans="13:13" x14ac:dyDescent="0.3">
      <c r="M287"/>
    </row>
    <row r="288" spans="13:13" x14ac:dyDescent="0.3">
      <c r="M288"/>
    </row>
    <row r="289" spans="13:13" x14ac:dyDescent="0.3">
      <c r="M289"/>
    </row>
    <row r="290" spans="13:13" x14ac:dyDescent="0.3">
      <c r="M290"/>
    </row>
    <row r="291" spans="13:13" x14ac:dyDescent="0.3">
      <c r="M291"/>
    </row>
    <row r="292" spans="13:13" x14ac:dyDescent="0.3">
      <c r="M292"/>
    </row>
    <row r="293" spans="13:13" x14ac:dyDescent="0.3">
      <c r="M293"/>
    </row>
    <row r="294" spans="13:13" x14ac:dyDescent="0.3">
      <c r="M294"/>
    </row>
    <row r="295" spans="13:13" x14ac:dyDescent="0.3">
      <c r="M295"/>
    </row>
    <row r="296" spans="13:13" x14ac:dyDescent="0.3">
      <c r="M296"/>
    </row>
    <row r="297" spans="13:13" x14ac:dyDescent="0.3">
      <c r="M297"/>
    </row>
    <row r="298" spans="13:13" x14ac:dyDescent="0.3">
      <c r="M298"/>
    </row>
    <row r="299" spans="13:13" x14ac:dyDescent="0.3">
      <c r="M299"/>
    </row>
    <row r="300" spans="13:13" x14ac:dyDescent="0.3">
      <c r="M300"/>
    </row>
    <row r="301" spans="13:13" x14ac:dyDescent="0.3">
      <c r="M301"/>
    </row>
    <row r="302" spans="13:13" x14ac:dyDescent="0.3">
      <c r="M302"/>
    </row>
    <row r="303" spans="13:13" x14ac:dyDescent="0.3">
      <c r="M303"/>
    </row>
    <row r="304" spans="13:13" x14ac:dyDescent="0.3">
      <c r="M304"/>
    </row>
    <row r="305" spans="13:13" x14ac:dyDescent="0.3">
      <c r="M305"/>
    </row>
    <row r="306" spans="13:13" x14ac:dyDescent="0.3">
      <c r="M306"/>
    </row>
    <row r="307" spans="13:13" x14ac:dyDescent="0.3">
      <c r="M307"/>
    </row>
    <row r="308" spans="13:13" x14ac:dyDescent="0.3">
      <c r="M308"/>
    </row>
    <row r="309" spans="13:13" x14ac:dyDescent="0.3">
      <c r="M309"/>
    </row>
    <row r="310" spans="13:13" x14ac:dyDescent="0.3">
      <c r="M310"/>
    </row>
    <row r="311" spans="13:13" x14ac:dyDescent="0.3">
      <c r="M311"/>
    </row>
    <row r="312" spans="13:13" x14ac:dyDescent="0.3">
      <c r="M312"/>
    </row>
    <row r="313" spans="13:13" x14ac:dyDescent="0.3">
      <c r="M313"/>
    </row>
    <row r="314" spans="13:13" x14ac:dyDescent="0.3">
      <c r="M314"/>
    </row>
    <row r="315" spans="13:13" x14ac:dyDescent="0.3">
      <c r="M315"/>
    </row>
    <row r="316" spans="13:13" x14ac:dyDescent="0.3">
      <c r="M316"/>
    </row>
    <row r="317" spans="13:13" x14ac:dyDescent="0.3">
      <c r="M317"/>
    </row>
    <row r="318" spans="13:13" x14ac:dyDescent="0.3">
      <c r="M318"/>
    </row>
    <row r="319" spans="13:13" x14ac:dyDescent="0.3">
      <c r="M319"/>
    </row>
    <row r="320" spans="13:13" x14ac:dyDescent="0.3">
      <c r="M320"/>
    </row>
    <row r="321" spans="13:13" x14ac:dyDescent="0.3">
      <c r="M321"/>
    </row>
    <row r="322" spans="13:13" x14ac:dyDescent="0.3">
      <c r="M322"/>
    </row>
    <row r="323" spans="13:13" x14ac:dyDescent="0.3">
      <c r="M323"/>
    </row>
    <row r="324" spans="13:13" x14ac:dyDescent="0.3">
      <c r="M324"/>
    </row>
    <row r="325" spans="13:13" x14ac:dyDescent="0.3">
      <c r="M325"/>
    </row>
    <row r="326" spans="13:13" x14ac:dyDescent="0.3">
      <c r="M326"/>
    </row>
    <row r="327" spans="13:13" x14ac:dyDescent="0.3">
      <c r="M327"/>
    </row>
    <row r="328" spans="13:13" x14ac:dyDescent="0.3">
      <c r="M328"/>
    </row>
    <row r="329" spans="13:13" x14ac:dyDescent="0.3">
      <c r="M329"/>
    </row>
    <row r="330" spans="13:13" x14ac:dyDescent="0.3">
      <c r="M330"/>
    </row>
    <row r="331" spans="13:13" x14ac:dyDescent="0.3">
      <c r="M331"/>
    </row>
    <row r="332" spans="13:13" x14ac:dyDescent="0.3">
      <c r="M332"/>
    </row>
    <row r="333" spans="13:13" x14ac:dyDescent="0.3">
      <c r="M333"/>
    </row>
    <row r="334" spans="13:13" x14ac:dyDescent="0.3">
      <c r="M334"/>
    </row>
    <row r="335" spans="13:13" x14ac:dyDescent="0.3">
      <c r="M335"/>
    </row>
    <row r="336" spans="13:13" x14ac:dyDescent="0.3">
      <c r="M336"/>
    </row>
    <row r="337" spans="13:13" x14ac:dyDescent="0.3">
      <c r="M337"/>
    </row>
    <row r="338" spans="13:13" x14ac:dyDescent="0.3">
      <c r="M338"/>
    </row>
    <row r="339" spans="13:13" x14ac:dyDescent="0.3">
      <c r="M339"/>
    </row>
    <row r="340" spans="13:13" x14ac:dyDescent="0.3">
      <c r="M340"/>
    </row>
    <row r="341" spans="13:13" x14ac:dyDescent="0.3">
      <c r="M341"/>
    </row>
    <row r="342" spans="13:13" x14ac:dyDescent="0.3">
      <c r="M342"/>
    </row>
    <row r="343" spans="13:13" x14ac:dyDescent="0.3">
      <c r="M343"/>
    </row>
    <row r="344" spans="13:13" x14ac:dyDescent="0.3">
      <c r="M344"/>
    </row>
    <row r="345" spans="13:13" x14ac:dyDescent="0.3">
      <c r="M345"/>
    </row>
    <row r="346" spans="13:13" x14ac:dyDescent="0.3">
      <c r="M346"/>
    </row>
    <row r="347" spans="13:13" x14ac:dyDescent="0.3">
      <c r="M347"/>
    </row>
    <row r="348" spans="13:13" x14ac:dyDescent="0.3">
      <c r="M348"/>
    </row>
    <row r="349" spans="13:13" x14ac:dyDescent="0.3">
      <c r="M349"/>
    </row>
    <row r="350" spans="13:13" x14ac:dyDescent="0.3">
      <c r="M350"/>
    </row>
    <row r="351" spans="13:13" x14ac:dyDescent="0.3">
      <c r="M351"/>
    </row>
    <row r="352" spans="13:13" x14ac:dyDescent="0.3">
      <c r="M352"/>
    </row>
    <row r="353" spans="13:13" x14ac:dyDescent="0.3">
      <c r="M353"/>
    </row>
    <row r="354" spans="13:13" x14ac:dyDescent="0.3">
      <c r="M354"/>
    </row>
    <row r="355" spans="13:13" x14ac:dyDescent="0.3">
      <c r="M355"/>
    </row>
    <row r="356" spans="13:13" x14ac:dyDescent="0.3">
      <c r="M356"/>
    </row>
    <row r="357" spans="13:13" x14ac:dyDescent="0.3">
      <c r="M357"/>
    </row>
    <row r="358" spans="13:13" x14ac:dyDescent="0.3">
      <c r="M358"/>
    </row>
    <row r="359" spans="13:13" x14ac:dyDescent="0.3">
      <c r="M359"/>
    </row>
    <row r="360" spans="13:13" x14ac:dyDescent="0.3">
      <c r="M360"/>
    </row>
    <row r="361" spans="13:13" x14ac:dyDescent="0.3">
      <c r="M361"/>
    </row>
    <row r="362" spans="13:13" x14ac:dyDescent="0.3">
      <c r="M362"/>
    </row>
    <row r="363" spans="13:13" x14ac:dyDescent="0.3">
      <c r="M363"/>
    </row>
    <row r="364" spans="13:13" x14ac:dyDescent="0.3">
      <c r="M364"/>
    </row>
    <row r="365" spans="13:13" x14ac:dyDescent="0.3">
      <c r="M365"/>
    </row>
    <row r="366" spans="13:13" x14ac:dyDescent="0.3">
      <c r="M366"/>
    </row>
    <row r="367" spans="13:13" x14ac:dyDescent="0.3">
      <c r="M367"/>
    </row>
    <row r="368" spans="13:13" x14ac:dyDescent="0.3">
      <c r="M368"/>
    </row>
    <row r="369" spans="13:13" x14ac:dyDescent="0.3">
      <c r="M369"/>
    </row>
    <row r="370" spans="13:13" x14ac:dyDescent="0.3">
      <c r="M370"/>
    </row>
    <row r="371" spans="13:13" x14ac:dyDescent="0.3">
      <c r="M371"/>
    </row>
    <row r="372" spans="13:13" x14ac:dyDescent="0.3">
      <c r="M372"/>
    </row>
    <row r="373" spans="13:13" x14ac:dyDescent="0.3">
      <c r="M373"/>
    </row>
    <row r="374" spans="13:13" x14ac:dyDescent="0.3">
      <c r="M374"/>
    </row>
    <row r="375" spans="13:13" x14ac:dyDescent="0.3">
      <c r="M375"/>
    </row>
    <row r="376" spans="13:13" x14ac:dyDescent="0.3">
      <c r="M376"/>
    </row>
    <row r="377" spans="13:13" x14ac:dyDescent="0.3">
      <c r="M377"/>
    </row>
    <row r="378" spans="13:13" x14ac:dyDescent="0.3">
      <c r="M378"/>
    </row>
    <row r="379" spans="13:13" x14ac:dyDescent="0.3">
      <c r="M379"/>
    </row>
    <row r="380" spans="13:13" x14ac:dyDescent="0.3">
      <c r="M380"/>
    </row>
    <row r="381" spans="13:13" x14ac:dyDescent="0.3">
      <c r="M381"/>
    </row>
    <row r="382" spans="13:13" x14ac:dyDescent="0.3">
      <c r="M382"/>
    </row>
    <row r="383" spans="13:13" x14ac:dyDescent="0.3">
      <c r="M383"/>
    </row>
    <row r="384" spans="13:13" x14ac:dyDescent="0.3">
      <c r="M384"/>
    </row>
    <row r="385" spans="13:13" x14ac:dyDescent="0.3">
      <c r="M385"/>
    </row>
    <row r="386" spans="13:13" x14ac:dyDescent="0.3">
      <c r="M386"/>
    </row>
    <row r="387" spans="13:13" x14ac:dyDescent="0.3">
      <c r="M387"/>
    </row>
    <row r="388" spans="13:13" x14ac:dyDescent="0.3">
      <c r="M388"/>
    </row>
    <row r="389" spans="13:13" x14ac:dyDescent="0.3">
      <c r="M389"/>
    </row>
    <row r="390" spans="13:13" x14ac:dyDescent="0.3">
      <c r="M390"/>
    </row>
    <row r="391" spans="13:13" x14ac:dyDescent="0.3">
      <c r="M391"/>
    </row>
    <row r="392" spans="13:13" x14ac:dyDescent="0.3">
      <c r="M392"/>
    </row>
    <row r="393" spans="13:13" x14ac:dyDescent="0.3">
      <c r="M393"/>
    </row>
    <row r="394" spans="13:13" x14ac:dyDescent="0.3">
      <c r="M394"/>
    </row>
    <row r="395" spans="13:13" x14ac:dyDescent="0.3">
      <c r="M395"/>
    </row>
    <row r="396" spans="13:13" x14ac:dyDescent="0.3">
      <c r="M396"/>
    </row>
    <row r="397" spans="13:13" x14ac:dyDescent="0.3">
      <c r="M397"/>
    </row>
    <row r="398" spans="13:13" x14ac:dyDescent="0.3">
      <c r="M398"/>
    </row>
    <row r="399" spans="13:13" x14ac:dyDescent="0.3">
      <c r="M399"/>
    </row>
    <row r="400" spans="13:13" x14ac:dyDescent="0.3">
      <c r="M400"/>
    </row>
    <row r="401" spans="13:13" x14ac:dyDescent="0.3">
      <c r="M401"/>
    </row>
    <row r="402" spans="13:13" x14ac:dyDescent="0.3">
      <c r="M402"/>
    </row>
    <row r="403" spans="13:13" x14ac:dyDescent="0.3">
      <c r="M403"/>
    </row>
    <row r="404" spans="13:13" x14ac:dyDescent="0.3">
      <c r="M404"/>
    </row>
    <row r="405" spans="13:13" x14ac:dyDescent="0.3">
      <c r="M405"/>
    </row>
    <row r="406" spans="13:13" x14ac:dyDescent="0.3">
      <c r="M406"/>
    </row>
    <row r="407" spans="13:13" x14ac:dyDescent="0.3">
      <c r="M407"/>
    </row>
    <row r="408" spans="13:13" x14ac:dyDescent="0.3">
      <c r="M408"/>
    </row>
    <row r="409" spans="13:13" x14ac:dyDescent="0.3">
      <c r="M409"/>
    </row>
    <row r="410" spans="13:13" x14ac:dyDescent="0.3">
      <c r="M410"/>
    </row>
    <row r="411" spans="13:13" x14ac:dyDescent="0.3">
      <c r="M411"/>
    </row>
    <row r="412" spans="13:13" x14ac:dyDescent="0.3">
      <c r="M412"/>
    </row>
    <row r="413" spans="13:13" x14ac:dyDescent="0.3">
      <c r="M413"/>
    </row>
    <row r="414" spans="13:13" x14ac:dyDescent="0.3">
      <c r="M414"/>
    </row>
    <row r="415" spans="13:13" x14ac:dyDescent="0.3">
      <c r="M415"/>
    </row>
    <row r="416" spans="13:13" x14ac:dyDescent="0.3">
      <c r="M416"/>
    </row>
    <row r="417" spans="13:13" x14ac:dyDescent="0.3">
      <c r="M417"/>
    </row>
    <row r="418" spans="13:13" x14ac:dyDescent="0.3">
      <c r="M418"/>
    </row>
    <row r="419" spans="13:13" x14ac:dyDescent="0.3">
      <c r="M419"/>
    </row>
    <row r="420" spans="13:13" x14ac:dyDescent="0.3">
      <c r="M420"/>
    </row>
    <row r="421" spans="13:13" x14ac:dyDescent="0.3">
      <c r="M421"/>
    </row>
    <row r="422" spans="13:13" x14ac:dyDescent="0.3">
      <c r="M422"/>
    </row>
    <row r="423" spans="13:13" x14ac:dyDescent="0.3">
      <c r="M423"/>
    </row>
    <row r="424" spans="13:13" x14ac:dyDescent="0.3">
      <c r="M424"/>
    </row>
    <row r="425" spans="13:13" x14ac:dyDescent="0.3">
      <c r="M425"/>
    </row>
    <row r="426" spans="13:13" x14ac:dyDescent="0.3">
      <c r="M426"/>
    </row>
    <row r="427" spans="13:13" x14ac:dyDescent="0.3">
      <c r="M427"/>
    </row>
    <row r="428" spans="13:13" x14ac:dyDescent="0.3">
      <c r="M428"/>
    </row>
    <row r="429" spans="13:13" x14ac:dyDescent="0.3">
      <c r="M429"/>
    </row>
    <row r="430" spans="13:13" x14ac:dyDescent="0.3">
      <c r="M430"/>
    </row>
    <row r="431" spans="13:13" x14ac:dyDescent="0.3">
      <c r="M431"/>
    </row>
    <row r="432" spans="13:13" x14ac:dyDescent="0.3">
      <c r="M432"/>
    </row>
    <row r="433" spans="13:13" x14ac:dyDescent="0.3">
      <c r="M433"/>
    </row>
    <row r="434" spans="13:13" x14ac:dyDescent="0.3">
      <c r="M434"/>
    </row>
    <row r="435" spans="13:13" x14ac:dyDescent="0.3">
      <c r="M435"/>
    </row>
    <row r="436" spans="13:13" x14ac:dyDescent="0.3">
      <c r="M436"/>
    </row>
    <row r="437" spans="13:13" x14ac:dyDescent="0.3">
      <c r="M437"/>
    </row>
    <row r="438" spans="13:13" x14ac:dyDescent="0.3">
      <c r="M438"/>
    </row>
    <row r="439" spans="13:13" x14ac:dyDescent="0.3">
      <c r="M439"/>
    </row>
    <row r="440" spans="13:13" x14ac:dyDescent="0.3">
      <c r="M440"/>
    </row>
    <row r="441" spans="13:13" x14ac:dyDescent="0.3">
      <c r="M441"/>
    </row>
    <row r="442" spans="13:13" x14ac:dyDescent="0.3">
      <c r="M442"/>
    </row>
    <row r="443" spans="13:13" x14ac:dyDescent="0.3">
      <c r="M443"/>
    </row>
    <row r="444" spans="13:13" x14ac:dyDescent="0.3">
      <c r="M444"/>
    </row>
    <row r="445" spans="13:13" x14ac:dyDescent="0.3">
      <c r="M445"/>
    </row>
    <row r="446" spans="13:13" x14ac:dyDescent="0.3">
      <c r="M446"/>
    </row>
    <row r="447" spans="13:13" x14ac:dyDescent="0.3">
      <c r="M447"/>
    </row>
    <row r="448" spans="13:13" x14ac:dyDescent="0.3">
      <c r="M448"/>
    </row>
    <row r="449" spans="13:13" x14ac:dyDescent="0.3">
      <c r="M449"/>
    </row>
    <row r="450" spans="13:13" x14ac:dyDescent="0.3">
      <c r="M450"/>
    </row>
    <row r="451" spans="13:13" x14ac:dyDescent="0.3">
      <c r="M451"/>
    </row>
    <row r="452" spans="13:13" x14ac:dyDescent="0.3">
      <c r="M452"/>
    </row>
    <row r="453" spans="13:13" x14ac:dyDescent="0.3">
      <c r="M453"/>
    </row>
    <row r="454" spans="13:13" x14ac:dyDescent="0.3">
      <c r="M454"/>
    </row>
    <row r="455" spans="13:13" x14ac:dyDescent="0.3">
      <c r="M455"/>
    </row>
    <row r="456" spans="13:13" x14ac:dyDescent="0.3">
      <c r="M456"/>
    </row>
    <row r="457" spans="13:13" x14ac:dyDescent="0.3">
      <c r="M457"/>
    </row>
    <row r="458" spans="13:13" x14ac:dyDescent="0.3">
      <c r="M458"/>
    </row>
    <row r="459" spans="13:13" x14ac:dyDescent="0.3">
      <c r="M459"/>
    </row>
    <row r="460" spans="13:13" x14ac:dyDescent="0.3">
      <c r="M460"/>
    </row>
    <row r="461" spans="13:13" x14ac:dyDescent="0.3">
      <c r="M461"/>
    </row>
    <row r="462" spans="13:13" x14ac:dyDescent="0.3">
      <c r="M462"/>
    </row>
    <row r="463" spans="13:13" x14ac:dyDescent="0.3">
      <c r="M463"/>
    </row>
    <row r="464" spans="13:13" x14ac:dyDescent="0.3">
      <c r="M464"/>
    </row>
    <row r="465" spans="13:13" x14ac:dyDescent="0.3">
      <c r="M465"/>
    </row>
    <row r="466" spans="13:13" x14ac:dyDescent="0.3">
      <c r="M466"/>
    </row>
    <row r="467" spans="13:13" x14ac:dyDescent="0.3">
      <c r="M467"/>
    </row>
    <row r="468" spans="13:13" x14ac:dyDescent="0.3">
      <c r="M468"/>
    </row>
    <row r="469" spans="13:13" x14ac:dyDescent="0.3">
      <c r="M469"/>
    </row>
    <row r="470" spans="13:13" x14ac:dyDescent="0.3">
      <c r="M470"/>
    </row>
    <row r="471" spans="13:13" x14ac:dyDescent="0.3">
      <c r="M471"/>
    </row>
    <row r="472" spans="13:13" x14ac:dyDescent="0.3">
      <c r="M472"/>
    </row>
    <row r="473" spans="13:13" x14ac:dyDescent="0.3">
      <c r="M473"/>
    </row>
    <row r="474" spans="13:13" x14ac:dyDescent="0.3">
      <c r="M474"/>
    </row>
    <row r="475" spans="13:13" x14ac:dyDescent="0.3">
      <c r="M475"/>
    </row>
    <row r="476" spans="13:13" x14ac:dyDescent="0.3">
      <c r="M476"/>
    </row>
    <row r="477" spans="13:13" x14ac:dyDescent="0.3">
      <c r="M477"/>
    </row>
    <row r="478" spans="13:13" x14ac:dyDescent="0.3">
      <c r="M478"/>
    </row>
    <row r="479" spans="13:13" x14ac:dyDescent="0.3">
      <c r="M479"/>
    </row>
    <row r="480" spans="13:13" x14ac:dyDescent="0.3">
      <c r="M480"/>
    </row>
    <row r="481" spans="13:13" x14ac:dyDescent="0.3">
      <c r="M481"/>
    </row>
    <row r="482" spans="13:13" x14ac:dyDescent="0.3">
      <c r="M482"/>
    </row>
    <row r="483" spans="13:13" x14ac:dyDescent="0.3">
      <c r="M483"/>
    </row>
    <row r="484" spans="13:13" x14ac:dyDescent="0.3">
      <c r="M484"/>
    </row>
    <row r="485" spans="13:13" x14ac:dyDescent="0.3">
      <c r="M485"/>
    </row>
    <row r="486" spans="13:13" x14ac:dyDescent="0.3">
      <c r="M486"/>
    </row>
    <row r="487" spans="13:13" x14ac:dyDescent="0.3">
      <c r="M487"/>
    </row>
    <row r="488" spans="13:13" x14ac:dyDescent="0.3">
      <c r="M488"/>
    </row>
    <row r="489" spans="13:13" x14ac:dyDescent="0.3">
      <c r="M489"/>
    </row>
    <row r="490" spans="13:13" x14ac:dyDescent="0.3">
      <c r="M490"/>
    </row>
    <row r="491" spans="13:13" x14ac:dyDescent="0.3">
      <c r="M491"/>
    </row>
    <row r="492" spans="13:13" x14ac:dyDescent="0.3">
      <c r="M492"/>
    </row>
    <row r="493" spans="13:13" x14ac:dyDescent="0.3">
      <c r="M493"/>
    </row>
    <row r="494" spans="13:13" x14ac:dyDescent="0.3">
      <c r="M494"/>
    </row>
    <row r="495" spans="13:13" x14ac:dyDescent="0.3">
      <c r="M495"/>
    </row>
    <row r="496" spans="13:13" x14ac:dyDescent="0.3">
      <c r="M496"/>
    </row>
    <row r="497" spans="13:13" x14ac:dyDescent="0.3">
      <c r="M497"/>
    </row>
    <row r="498" spans="13:13" x14ac:dyDescent="0.3">
      <c r="M498"/>
    </row>
    <row r="499" spans="13:13" x14ac:dyDescent="0.3">
      <c r="M499"/>
    </row>
    <row r="500" spans="13:13" x14ac:dyDescent="0.3">
      <c r="M500"/>
    </row>
    <row r="501" spans="13:13" x14ac:dyDescent="0.3">
      <c r="M501"/>
    </row>
    <row r="502" spans="13:13" x14ac:dyDescent="0.3">
      <c r="M502"/>
    </row>
    <row r="503" spans="13:13" x14ac:dyDescent="0.3">
      <c r="M503"/>
    </row>
    <row r="504" spans="13:13" x14ac:dyDescent="0.3">
      <c r="M504"/>
    </row>
    <row r="505" spans="13:13" x14ac:dyDescent="0.3">
      <c r="M505"/>
    </row>
    <row r="506" spans="13:13" x14ac:dyDescent="0.3">
      <c r="M506"/>
    </row>
    <row r="507" spans="13:13" x14ac:dyDescent="0.3">
      <c r="M507"/>
    </row>
    <row r="508" spans="13:13" x14ac:dyDescent="0.3">
      <c r="M508"/>
    </row>
    <row r="509" spans="13:13" x14ac:dyDescent="0.3">
      <c r="M509"/>
    </row>
    <row r="510" spans="13:13" x14ac:dyDescent="0.3">
      <c r="M510"/>
    </row>
    <row r="511" spans="13:13" x14ac:dyDescent="0.3">
      <c r="M511"/>
    </row>
    <row r="512" spans="13:13" x14ac:dyDescent="0.3">
      <c r="M512"/>
    </row>
    <row r="513" spans="13:13" x14ac:dyDescent="0.3">
      <c r="M513"/>
    </row>
    <row r="514" spans="13:13" x14ac:dyDescent="0.3">
      <c r="M514"/>
    </row>
    <row r="515" spans="13:13" x14ac:dyDescent="0.3">
      <c r="M515"/>
    </row>
    <row r="516" spans="13:13" x14ac:dyDescent="0.3">
      <c r="M516"/>
    </row>
    <row r="517" spans="13:13" x14ac:dyDescent="0.3">
      <c r="M517"/>
    </row>
    <row r="518" spans="13:13" x14ac:dyDescent="0.3">
      <c r="M518"/>
    </row>
    <row r="519" spans="13:13" x14ac:dyDescent="0.3">
      <c r="M519"/>
    </row>
    <row r="520" spans="13:13" x14ac:dyDescent="0.3">
      <c r="M520"/>
    </row>
    <row r="521" spans="13:13" x14ac:dyDescent="0.3">
      <c r="M521"/>
    </row>
    <row r="522" spans="13:13" x14ac:dyDescent="0.3">
      <c r="M522"/>
    </row>
    <row r="523" spans="13:13" x14ac:dyDescent="0.3">
      <c r="M523"/>
    </row>
    <row r="524" spans="13:13" x14ac:dyDescent="0.3">
      <c r="M524"/>
    </row>
    <row r="525" spans="13:13" x14ac:dyDescent="0.3">
      <c r="M525"/>
    </row>
    <row r="526" spans="13:13" x14ac:dyDescent="0.3">
      <c r="M526"/>
    </row>
    <row r="527" spans="13:13" x14ac:dyDescent="0.3">
      <c r="M527"/>
    </row>
    <row r="528" spans="13:13" x14ac:dyDescent="0.3">
      <c r="M528"/>
    </row>
    <row r="529" spans="13:13" x14ac:dyDescent="0.3">
      <c r="M529"/>
    </row>
    <row r="530" spans="13:13" x14ac:dyDescent="0.3">
      <c r="M530"/>
    </row>
    <row r="531" spans="13:13" x14ac:dyDescent="0.3">
      <c r="M531"/>
    </row>
    <row r="532" spans="13:13" x14ac:dyDescent="0.3">
      <c r="M532"/>
    </row>
    <row r="533" spans="13:13" x14ac:dyDescent="0.3">
      <c r="M533"/>
    </row>
    <row r="534" spans="13:13" x14ac:dyDescent="0.3">
      <c r="M534"/>
    </row>
    <row r="535" spans="13:13" x14ac:dyDescent="0.3">
      <c r="M535"/>
    </row>
    <row r="536" spans="13:13" x14ac:dyDescent="0.3">
      <c r="M536"/>
    </row>
    <row r="537" spans="13:13" x14ac:dyDescent="0.3">
      <c r="M537"/>
    </row>
    <row r="538" spans="13:13" x14ac:dyDescent="0.3">
      <c r="M538"/>
    </row>
    <row r="539" spans="13:13" x14ac:dyDescent="0.3">
      <c r="M539"/>
    </row>
    <row r="540" spans="13:13" x14ac:dyDescent="0.3">
      <c r="M540"/>
    </row>
    <row r="541" spans="13:13" x14ac:dyDescent="0.3">
      <c r="M541"/>
    </row>
    <row r="542" spans="13:13" x14ac:dyDescent="0.3">
      <c r="M542"/>
    </row>
    <row r="543" spans="13:13" x14ac:dyDescent="0.3">
      <c r="M543"/>
    </row>
    <row r="544" spans="13:13" x14ac:dyDescent="0.3">
      <c r="M544"/>
    </row>
    <row r="545" spans="13:13" x14ac:dyDescent="0.3">
      <c r="M545"/>
    </row>
    <row r="546" spans="13:13" x14ac:dyDescent="0.3">
      <c r="M546"/>
    </row>
    <row r="547" spans="13:13" x14ac:dyDescent="0.3">
      <c r="M547"/>
    </row>
    <row r="548" spans="13:13" x14ac:dyDescent="0.3">
      <c r="M548"/>
    </row>
    <row r="549" spans="13:13" x14ac:dyDescent="0.3">
      <c r="M549"/>
    </row>
    <row r="550" spans="13:13" x14ac:dyDescent="0.3">
      <c r="M550"/>
    </row>
    <row r="551" spans="13:13" x14ac:dyDescent="0.3">
      <c r="M551"/>
    </row>
    <row r="552" spans="13:13" x14ac:dyDescent="0.3">
      <c r="M552"/>
    </row>
    <row r="553" spans="13:13" x14ac:dyDescent="0.3">
      <c r="M553"/>
    </row>
    <row r="554" spans="13:13" x14ac:dyDescent="0.3">
      <c r="M554"/>
    </row>
    <row r="555" spans="13:13" x14ac:dyDescent="0.3">
      <c r="M555"/>
    </row>
    <row r="556" spans="13:13" x14ac:dyDescent="0.3">
      <c r="M556"/>
    </row>
    <row r="557" spans="13:13" x14ac:dyDescent="0.3">
      <c r="M557"/>
    </row>
    <row r="558" spans="13:13" x14ac:dyDescent="0.3">
      <c r="M558"/>
    </row>
    <row r="559" spans="13:13" x14ac:dyDescent="0.3">
      <c r="M559"/>
    </row>
    <row r="560" spans="13:13" x14ac:dyDescent="0.3">
      <c r="M560"/>
    </row>
    <row r="561" spans="13:13" x14ac:dyDescent="0.3">
      <c r="M561"/>
    </row>
    <row r="562" spans="13:13" x14ac:dyDescent="0.3">
      <c r="M562"/>
    </row>
    <row r="563" spans="13:13" x14ac:dyDescent="0.3">
      <c r="M563"/>
    </row>
    <row r="564" spans="13:13" x14ac:dyDescent="0.3">
      <c r="M564"/>
    </row>
    <row r="565" spans="13:13" x14ac:dyDescent="0.3">
      <c r="M565"/>
    </row>
    <row r="566" spans="13:13" x14ac:dyDescent="0.3">
      <c r="M566"/>
    </row>
    <row r="567" spans="13:13" x14ac:dyDescent="0.3">
      <c r="M567"/>
    </row>
    <row r="568" spans="13:13" x14ac:dyDescent="0.3">
      <c r="M568"/>
    </row>
    <row r="569" spans="13:13" x14ac:dyDescent="0.3">
      <c r="M569"/>
    </row>
    <row r="570" spans="13:13" x14ac:dyDescent="0.3">
      <c r="M570"/>
    </row>
    <row r="571" spans="13:13" x14ac:dyDescent="0.3">
      <c r="M571"/>
    </row>
    <row r="572" spans="13:13" x14ac:dyDescent="0.3">
      <c r="M572"/>
    </row>
    <row r="573" spans="13:13" x14ac:dyDescent="0.3">
      <c r="M573"/>
    </row>
    <row r="574" spans="13:13" x14ac:dyDescent="0.3">
      <c r="M574"/>
    </row>
    <row r="575" spans="13:13" x14ac:dyDescent="0.3">
      <c r="M575"/>
    </row>
    <row r="576" spans="13:13" x14ac:dyDescent="0.3">
      <c r="M576"/>
    </row>
    <row r="577" spans="13:13" x14ac:dyDescent="0.3">
      <c r="M577"/>
    </row>
    <row r="578" spans="13:13" x14ac:dyDescent="0.3">
      <c r="M578"/>
    </row>
    <row r="579" spans="13:13" x14ac:dyDescent="0.3">
      <c r="M579"/>
    </row>
    <row r="580" spans="13:13" x14ac:dyDescent="0.3">
      <c r="M580"/>
    </row>
    <row r="581" spans="13:13" x14ac:dyDescent="0.3">
      <c r="M581"/>
    </row>
    <row r="582" spans="13:13" x14ac:dyDescent="0.3">
      <c r="M582"/>
    </row>
    <row r="583" spans="13:13" x14ac:dyDescent="0.3">
      <c r="M583"/>
    </row>
    <row r="584" spans="13:13" x14ac:dyDescent="0.3">
      <c r="M584"/>
    </row>
    <row r="585" spans="13:13" x14ac:dyDescent="0.3">
      <c r="M585"/>
    </row>
    <row r="586" spans="13:13" x14ac:dyDescent="0.3">
      <c r="M586"/>
    </row>
    <row r="587" spans="13:13" x14ac:dyDescent="0.3">
      <c r="M587"/>
    </row>
    <row r="588" spans="13:13" x14ac:dyDescent="0.3">
      <c r="M588"/>
    </row>
    <row r="589" spans="13:13" x14ac:dyDescent="0.3">
      <c r="M589"/>
    </row>
    <row r="590" spans="13:13" x14ac:dyDescent="0.3">
      <c r="M590"/>
    </row>
    <row r="591" spans="13:13" x14ac:dyDescent="0.3">
      <c r="M591"/>
    </row>
    <row r="592" spans="13:13" x14ac:dyDescent="0.3">
      <c r="M592"/>
    </row>
    <row r="593" spans="13:13" x14ac:dyDescent="0.3">
      <c r="M593"/>
    </row>
    <row r="594" spans="13:13" x14ac:dyDescent="0.3">
      <c r="M594"/>
    </row>
    <row r="595" spans="13:13" x14ac:dyDescent="0.3">
      <c r="M595"/>
    </row>
    <row r="596" spans="13:13" x14ac:dyDescent="0.3">
      <c r="M596"/>
    </row>
    <row r="597" spans="13:13" x14ac:dyDescent="0.3">
      <c r="M597"/>
    </row>
    <row r="598" spans="13:13" x14ac:dyDescent="0.3">
      <c r="M598"/>
    </row>
    <row r="599" spans="13:13" x14ac:dyDescent="0.3">
      <c r="M599"/>
    </row>
    <row r="600" spans="13:13" x14ac:dyDescent="0.3">
      <c r="M600"/>
    </row>
    <row r="601" spans="13:13" x14ac:dyDescent="0.3">
      <c r="M601"/>
    </row>
    <row r="602" spans="13:13" x14ac:dyDescent="0.3">
      <c r="M602"/>
    </row>
    <row r="603" spans="13:13" x14ac:dyDescent="0.3">
      <c r="M603"/>
    </row>
    <row r="604" spans="13:13" x14ac:dyDescent="0.3">
      <c r="M604"/>
    </row>
    <row r="605" spans="13:13" x14ac:dyDescent="0.3">
      <c r="M605"/>
    </row>
    <row r="606" spans="13:13" x14ac:dyDescent="0.3">
      <c r="M606"/>
    </row>
    <row r="607" spans="13:13" x14ac:dyDescent="0.3">
      <c r="M607"/>
    </row>
    <row r="608" spans="13:13" x14ac:dyDescent="0.3">
      <c r="M608"/>
    </row>
    <row r="609" spans="13:13" x14ac:dyDescent="0.3">
      <c r="M609"/>
    </row>
    <row r="610" spans="13:13" x14ac:dyDescent="0.3">
      <c r="M610"/>
    </row>
    <row r="611" spans="13:13" x14ac:dyDescent="0.3">
      <c r="M611"/>
    </row>
    <row r="612" spans="13:13" x14ac:dyDescent="0.3">
      <c r="M612"/>
    </row>
    <row r="613" spans="13:13" x14ac:dyDescent="0.3">
      <c r="M613"/>
    </row>
    <row r="614" spans="13:13" x14ac:dyDescent="0.3">
      <c r="M614"/>
    </row>
    <row r="615" spans="13:13" x14ac:dyDescent="0.3">
      <c r="M615"/>
    </row>
    <row r="616" spans="13:13" x14ac:dyDescent="0.3">
      <c r="M616"/>
    </row>
    <row r="617" spans="13:13" x14ac:dyDescent="0.3">
      <c r="M617"/>
    </row>
    <row r="618" spans="13:13" x14ac:dyDescent="0.3">
      <c r="M618"/>
    </row>
    <row r="619" spans="13:13" x14ac:dyDescent="0.3">
      <c r="M619"/>
    </row>
    <row r="620" spans="13:13" x14ac:dyDescent="0.3">
      <c r="M620"/>
    </row>
    <row r="621" spans="13:13" x14ac:dyDescent="0.3">
      <c r="M621"/>
    </row>
    <row r="622" spans="13:13" x14ac:dyDescent="0.3">
      <c r="M622"/>
    </row>
    <row r="623" spans="13:13" x14ac:dyDescent="0.3">
      <c r="M623"/>
    </row>
    <row r="624" spans="13:13" x14ac:dyDescent="0.3">
      <c r="M624"/>
    </row>
    <row r="625" spans="13:13" x14ac:dyDescent="0.3">
      <c r="M625"/>
    </row>
    <row r="626" spans="13:13" x14ac:dyDescent="0.3">
      <c r="M626"/>
    </row>
    <row r="627" spans="13:13" x14ac:dyDescent="0.3">
      <c r="M627"/>
    </row>
    <row r="628" spans="13:13" x14ac:dyDescent="0.3">
      <c r="M628"/>
    </row>
    <row r="629" spans="13:13" x14ac:dyDescent="0.3">
      <c r="M629"/>
    </row>
    <row r="630" spans="13:13" x14ac:dyDescent="0.3">
      <c r="M630"/>
    </row>
    <row r="631" spans="13:13" x14ac:dyDescent="0.3">
      <c r="M631"/>
    </row>
    <row r="632" spans="13:13" x14ac:dyDescent="0.3">
      <c r="M632"/>
    </row>
    <row r="633" spans="13:13" x14ac:dyDescent="0.3">
      <c r="M633"/>
    </row>
    <row r="634" spans="13:13" x14ac:dyDescent="0.3">
      <c r="M634"/>
    </row>
    <row r="635" spans="13:13" x14ac:dyDescent="0.3">
      <c r="M635"/>
    </row>
    <row r="636" spans="13:13" x14ac:dyDescent="0.3">
      <c r="M636"/>
    </row>
    <row r="637" spans="13:13" x14ac:dyDescent="0.3">
      <c r="M637"/>
    </row>
    <row r="638" spans="13:13" x14ac:dyDescent="0.3">
      <c r="M638"/>
    </row>
    <row r="639" spans="13:13" x14ac:dyDescent="0.3">
      <c r="M639"/>
    </row>
    <row r="640" spans="13:13" x14ac:dyDescent="0.3">
      <c r="M640"/>
    </row>
    <row r="641" spans="13:13" x14ac:dyDescent="0.3">
      <c r="M641"/>
    </row>
    <row r="642" spans="13:13" x14ac:dyDescent="0.3">
      <c r="M642"/>
    </row>
    <row r="643" spans="13:13" x14ac:dyDescent="0.3">
      <c r="M643"/>
    </row>
    <row r="644" spans="13:13" x14ac:dyDescent="0.3">
      <c r="M644"/>
    </row>
    <row r="645" spans="13:13" x14ac:dyDescent="0.3">
      <c r="M645"/>
    </row>
    <row r="646" spans="13:13" x14ac:dyDescent="0.3">
      <c r="M646"/>
    </row>
    <row r="647" spans="13:13" x14ac:dyDescent="0.3">
      <c r="M647"/>
    </row>
    <row r="648" spans="13:13" x14ac:dyDescent="0.3">
      <c r="M648"/>
    </row>
    <row r="649" spans="13:13" x14ac:dyDescent="0.3">
      <c r="M649"/>
    </row>
    <row r="650" spans="13:13" x14ac:dyDescent="0.3">
      <c r="M650"/>
    </row>
    <row r="651" spans="13:13" x14ac:dyDescent="0.3">
      <c r="M651"/>
    </row>
    <row r="652" spans="13:13" x14ac:dyDescent="0.3">
      <c r="M652"/>
    </row>
    <row r="653" spans="13:13" x14ac:dyDescent="0.3">
      <c r="M653"/>
    </row>
    <row r="654" spans="13:13" x14ac:dyDescent="0.3">
      <c r="M654"/>
    </row>
    <row r="655" spans="13:13" x14ac:dyDescent="0.3">
      <c r="M655"/>
    </row>
    <row r="656" spans="13:13" x14ac:dyDescent="0.3">
      <c r="M656"/>
    </row>
    <row r="657" spans="13:13" x14ac:dyDescent="0.3">
      <c r="M657"/>
    </row>
    <row r="658" spans="13:13" x14ac:dyDescent="0.3">
      <c r="M658"/>
    </row>
    <row r="659" spans="13:13" x14ac:dyDescent="0.3">
      <c r="M659"/>
    </row>
    <row r="660" spans="13:13" x14ac:dyDescent="0.3">
      <c r="M660"/>
    </row>
    <row r="661" spans="13:13" x14ac:dyDescent="0.3">
      <c r="M661"/>
    </row>
    <row r="662" spans="13:13" x14ac:dyDescent="0.3">
      <c r="M662"/>
    </row>
    <row r="663" spans="13:13" x14ac:dyDescent="0.3">
      <c r="M663"/>
    </row>
    <row r="664" spans="13:13" x14ac:dyDescent="0.3">
      <c r="M664"/>
    </row>
    <row r="665" spans="13:13" x14ac:dyDescent="0.3">
      <c r="M665"/>
    </row>
    <row r="666" spans="13:13" x14ac:dyDescent="0.3">
      <c r="M666"/>
    </row>
    <row r="667" spans="13:13" x14ac:dyDescent="0.3">
      <c r="M667"/>
    </row>
    <row r="668" spans="13:13" x14ac:dyDescent="0.3">
      <c r="M668"/>
    </row>
    <row r="669" spans="13:13" x14ac:dyDescent="0.3">
      <c r="M669"/>
    </row>
    <row r="670" spans="13:13" x14ac:dyDescent="0.3">
      <c r="M670"/>
    </row>
    <row r="671" spans="13:13" x14ac:dyDescent="0.3">
      <c r="M671"/>
    </row>
    <row r="672" spans="13:13" x14ac:dyDescent="0.3">
      <c r="M672"/>
    </row>
    <row r="673" spans="13:13" x14ac:dyDescent="0.3">
      <c r="M673"/>
    </row>
    <row r="674" spans="13:13" x14ac:dyDescent="0.3">
      <c r="M674"/>
    </row>
    <row r="675" spans="13:13" x14ac:dyDescent="0.3">
      <c r="M675"/>
    </row>
    <row r="676" spans="13:13" x14ac:dyDescent="0.3">
      <c r="M676"/>
    </row>
    <row r="677" spans="13:13" x14ac:dyDescent="0.3">
      <c r="M677"/>
    </row>
    <row r="678" spans="13:13" x14ac:dyDescent="0.3">
      <c r="M678"/>
    </row>
    <row r="679" spans="13:13" x14ac:dyDescent="0.3">
      <c r="M679"/>
    </row>
    <row r="680" spans="13:13" x14ac:dyDescent="0.3">
      <c r="M680"/>
    </row>
    <row r="681" spans="13:13" x14ac:dyDescent="0.3">
      <c r="M681"/>
    </row>
    <row r="682" spans="13:13" x14ac:dyDescent="0.3">
      <c r="M682"/>
    </row>
    <row r="683" spans="13:13" x14ac:dyDescent="0.3">
      <c r="M683"/>
    </row>
    <row r="684" spans="13:13" x14ac:dyDescent="0.3">
      <c r="M684"/>
    </row>
    <row r="685" spans="13:13" x14ac:dyDescent="0.3">
      <c r="M685"/>
    </row>
    <row r="686" spans="13:13" x14ac:dyDescent="0.3">
      <c r="M686"/>
    </row>
    <row r="687" spans="13:13" x14ac:dyDescent="0.3">
      <c r="M687"/>
    </row>
    <row r="688" spans="13:13" x14ac:dyDescent="0.3">
      <c r="M688"/>
    </row>
    <row r="689" spans="13:13" x14ac:dyDescent="0.3">
      <c r="M689"/>
    </row>
    <row r="690" spans="13:13" x14ac:dyDescent="0.3">
      <c r="M690"/>
    </row>
    <row r="691" spans="13:13" x14ac:dyDescent="0.3">
      <c r="M691"/>
    </row>
    <row r="692" spans="13:13" x14ac:dyDescent="0.3">
      <c r="M692"/>
    </row>
    <row r="693" spans="13:13" x14ac:dyDescent="0.3">
      <c r="M693"/>
    </row>
    <row r="694" spans="13:13" x14ac:dyDescent="0.3">
      <c r="M694"/>
    </row>
    <row r="695" spans="13:13" x14ac:dyDescent="0.3">
      <c r="M695"/>
    </row>
    <row r="696" spans="13:13" x14ac:dyDescent="0.3">
      <c r="M696"/>
    </row>
    <row r="697" spans="13:13" x14ac:dyDescent="0.3">
      <c r="M697"/>
    </row>
    <row r="698" spans="13:13" x14ac:dyDescent="0.3">
      <c r="M698"/>
    </row>
    <row r="699" spans="13:13" x14ac:dyDescent="0.3">
      <c r="M699"/>
    </row>
    <row r="700" spans="13:13" x14ac:dyDescent="0.3">
      <c r="M700"/>
    </row>
    <row r="701" spans="13:13" x14ac:dyDescent="0.3">
      <c r="M701"/>
    </row>
    <row r="702" spans="13:13" x14ac:dyDescent="0.3">
      <c r="M702"/>
    </row>
    <row r="703" spans="13:13" x14ac:dyDescent="0.3">
      <c r="M703"/>
    </row>
    <row r="704" spans="13:13" x14ac:dyDescent="0.3">
      <c r="M704"/>
    </row>
    <row r="705" spans="13:13" x14ac:dyDescent="0.3">
      <c r="M705"/>
    </row>
    <row r="706" spans="13:13" x14ac:dyDescent="0.3">
      <c r="M706"/>
    </row>
    <row r="707" spans="13:13" x14ac:dyDescent="0.3">
      <c r="M707"/>
    </row>
    <row r="708" spans="13:13" x14ac:dyDescent="0.3">
      <c r="M708"/>
    </row>
    <row r="709" spans="13:13" x14ac:dyDescent="0.3">
      <c r="M709"/>
    </row>
    <row r="710" spans="13:13" x14ac:dyDescent="0.3">
      <c r="M710"/>
    </row>
    <row r="711" spans="13:13" x14ac:dyDescent="0.3">
      <c r="M711"/>
    </row>
    <row r="712" spans="13:13" x14ac:dyDescent="0.3">
      <c r="M712"/>
    </row>
    <row r="713" spans="13:13" x14ac:dyDescent="0.3">
      <c r="M713"/>
    </row>
    <row r="714" spans="13:13" x14ac:dyDescent="0.3">
      <c r="M714"/>
    </row>
    <row r="715" spans="13:13" x14ac:dyDescent="0.3">
      <c r="M715"/>
    </row>
    <row r="716" spans="13:13" x14ac:dyDescent="0.3">
      <c r="M716"/>
    </row>
    <row r="717" spans="13:13" x14ac:dyDescent="0.3">
      <c r="M717"/>
    </row>
    <row r="718" spans="13:13" x14ac:dyDescent="0.3">
      <c r="M718"/>
    </row>
    <row r="719" spans="13:13" x14ac:dyDescent="0.3">
      <c r="M719"/>
    </row>
    <row r="720" spans="13:13" x14ac:dyDescent="0.3">
      <c r="M720"/>
    </row>
    <row r="721" spans="13:13" x14ac:dyDescent="0.3">
      <c r="M721"/>
    </row>
    <row r="722" spans="13:13" x14ac:dyDescent="0.3">
      <c r="M722"/>
    </row>
    <row r="723" spans="13:13" x14ac:dyDescent="0.3">
      <c r="M723"/>
    </row>
    <row r="724" spans="13:13" x14ac:dyDescent="0.3">
      <c r="M724"/>
    </row>
    <row r="725" spans="13:13" x14ac:dyDescent="0.3">
      <c r="M725"/>
    </row>
    <row r="726" spans="13:13" x14ac:dyDescent="0.3">
      <c r="M726"/>
    </row>
    <row r="727" spans="13:13" x14ac:dyDescent="0.3">
      <c r="M727"/>
    </row>
    <row r="728" spans="13:13" x14ac:dyDescent="0.3">
      <c r="M728"/>
    </row>
    <row r="729" spans="13:13" x14ac:dyDescent="0.3">
      <c r="M729"/>
    </row>
    <row r="730" spans="13:13" x14ac:dyDescent="0.3">
      <c r="M730"/>
    </row>
    <row r="731" spans="13:13" x14ac:dyDescent="0.3">
      <c r="M731"/>
    </row>
    <row r="732" spans="13:13" x14ac:dyDescent="0.3">
      <c r="M732"/>
    </row>
    <row r="733" spans="13:13" x14ac:dyDescent="0.3">
      <c r="M733"/>
    </row>
    <row r="734" spans="13:13" x14ac:dyDescent="0.3">
      <c r="M734"/>
    </row>
    <row r="735" spans="13:13" x14ac:dyDescent="0.3">
      <c r="M735"/>
    </row>
    <row r="736" spans="13:13" x14ac:dyDescent="0.3">
      <c r="M736"/>
    </row>
    <row r="737" spans="13:13" x14ac:dyDescent="0.3">
      <c r="M737"/>
    </row>
    <row r="738" spans="13:13" x14ac:dyDescent="0.3">
      <c r="M738"/>
    </row>
    <row r="739" spans="13:13" x14ac:dyDescent="0.3">
      <c r="M739"/>
    </row>
    <row r="740" spans="13:13" x14ac:dyDescent="0.3">
      <c r="M740"/>
    </row>
    <row r="741" spans="13:13" x14ac:dyDescent="0.3">
      <c r="M741"/>
    </row>
    <row r="742" spans="13:13" x14ac:dyDescent="0.3">
      <c r="M742"/>
    </row>
    <row r="743" spans="13:13" x14ac:dyDescent="0.3">
      <c r="M743"/>
    </row>
    <row r="744" spans="13:13" x14ac:dyDescent="0.3">
      <c r="M744"/>
    </row>
    <row r="745" spans="13:13" x14ac:dyDescent="0.3">
      <c r="M745"/>
    </row>
    <row r="746" spans="13:13" x14ac:dyDescent="0.3">
      <c r="M746"/>
    </row>
    <row r="747" spans="13:13" x14ac:dyDescent="0.3">
      <c r="M747"/>
    </row>
    <row r="748" spans="13:13" x14ac:dyDescent="0.3">
      <c r="M748"/>
    </row>
    <row r="749" spans="13:13" x14ac:dyDescent="0.3">
      <c r="M749"/>
    </row>
    <row r="750" spans="13:13" x14ac:dyDescent="0.3">
      <c r="M750"/>
    </row>
    <row r="751" spans="13:13" x14ac:dyDescent="0.3">
      <c r="M751"/>
    </row>
    <row r="752" spans="13:13" x14ac:dyDescent="0.3">
      <c r="M752"/>
    </row>
    <row r="753" spans="13:13" x14ac:dyDescent="0.3">
      <c r="M753"/>
    </row>
    <row r="754" spans="13:13" x14ac:dyDescent="0.3">
      <c r="M754"/>
    </row>
    <row r="755" spans="13:13" x14ac:dyDescent="0.3">
      <c r="M755"/>
    </row>
    <row r="756" spans="13:13" x14ac:dyDescent="0.3">
      <c r="M756"/>
    </row>
    <row r="757" spans="13:13" x14ac:dyDescent="0.3">
      <c r="M757"/>
    </row>
    <row r="758" spans="13:13" x14ac:dyDescent="0.3">
      <c r="M758"/>
    </row>
    <row r="759" spans="13:13" x14ac:dyDescent="0.3">
      <c r="M759"/>
    </row>
    <row r="760" spans="13:13" x14ac:dyDescent="0.3">
      <c r="M760"/>
    </row>
    <row r="761" spans="13:13" x14ac:dyDescent="0.3">
      <c r="M761"/>
    </row>
    <row r="762" spans="13:13" x14ac:dyDescent="0.3">
      <c r="M762"/>
    </row>
    <row r="763" spans="13:13" x14ac:dyDescent="0.3">
      <c r="M763"/>
    </row>
    <row r="764" spans="13:13" x14ac:dyDescent="0.3">
      <c r="M764"/>
    </row>
    <row r="765" spans="13:13" x14ac:dyDescent="0.3">
      <c r="M765"/>
    </row>
    <row r="766" spans="13:13" x14ac:dyDescent="0.3">
      <c r="M766"/>
    </row>
    <row r="767" spans="13:13" x14ac:dyDescent="0.3">
      <c r="M767"/>
    </row>
    <row r="768" spans="13:13" x14ac:dyDescent="0.3">
      <c r="M768"/>
    </row>
    <row r="769" spans="13:13" x14ac:dyDescent="0.3">
      <c r="M769"/>
    </row>
    <row r="770" spans="13:13" x14ac:dyDescent="0.3">
      <c r="M770"/>
    </row>
    <row r="771" spans="13:13" x14ac:dyDescent="0.3">
      <c r="M771"/>
    </row>
    <row r="772" spans="13:13" x14ac:dyDescent="0.3">
      <c r="M772"/>
    </row>
    <row r="773" spans="13:13" x14ac:dyDescent="0.3">
      <c r="M773"/>
    </row>
    <row r="774" spans="13:13" x14ac:dyDescent="0.3">
      <c r="M774"/>
    </row>
    <row r="775" spans="13:13" x14ac:dyDescent="0.3">
      <c r="M775"/>
    </row>
    <row r="776" spans="13:13" x14ac:dyDescent="0.3">
      <c r="M776"/>
    </row>
    <row r="777" spans="13:13" x14ac:dyDescent="0.3">
      <c r="M777"/>
    </row>
    <row r="778" spans="13:13" x14ac:dyDescent="0.3">
      <c r="M778"/>
    </row>
    <row r="779" spans="13:13" x14ac:dyDescent="0.3">
      <c r="M779"/>
    </row>
    <row r="780" spans="13:13" x14ac:dyDescent="0.3">
      <c r="M780"/>
    </row>
    <row r="781" spans="13:13" x14ac:dyDescent="0.3">
      <c r="M781"/>
    </row>
    <row r="782" spans="13:13" x14ac:dyDescent="0.3">
      <c r="M782"/>
    </row>
    <row r="783" spans="13:13" x14ac:dyDescent="0.3">
      <c r="M783"/>
    </row>
    <row r="784" spans="13:13" x14ac:dyDescent="0.3">
      <c r="M784"/>
    </row>
    <row r="785" spans="13:13" x14ac:dyDescent="0.3">
      <c r="M785"/>
    </row>
    <row r="786" spans="13:13" x14ac:dyDescent="0.3">
      <c r="M786"/>
    </row>
    <row r="787" spans="13:13" x14ac:dyDescent="0.3">
      <c r="M787"/>
    </row>
    <row r="788" spans="13:13" x14ac:dyDescent="0.3">
      <c r="M788"/>
    </row>
    <row r="789" spans="13:13" x14ac:dyDescent="0.3">
      <c r="M789"/>
    </row>
    <row r="790" spans="13:13" x14ac:dyDescent="0.3">
      <c r="M790"/>
    </row>
    <row r="791" spans="13:13" x14ac:dyDescent="0.3">
      <c r="M791"/>
    </row>
    <row r="792" spans="13:13" x14ac:dyDescent="0.3">
      <c r="M792"/>
    </row>
    <row r="793" spans="13:13" x14ac:dyDescent="0.3">
      <c r="M793"/>
    </row>
    <row r="794" spans="13:13" x14ac:dyDescent="0.3">
      <c r="M794"/>
    </row>
    <row r="795" spans="13:13" x14ac:dyDescent="0.3">
      <c r="M795"/>
    </row>
    <row r="796" spans="13:13" x14ac:dyDescent="0.3">
      <c r="M796"/>
    </row>
    <row r="797" spans="13:13" x14ac:dyDescent="0.3">
      <c r="M797"/>
    </row>
    <row r="798" spans="13:13" x14ac:dyDescent="0.3">
      <c r="M798"/>
    </row>
    <row r="799" spans="13:13" x14ac:dyDescent="0.3">
      <c r="M799"/>
    </row>
    <row r="800" spans="13:13" x14ac:dyDescent="0.3">
      <c r="M800"/>
    </row>
    <row r="801" spans="13:13" x14ac:dyDescent="0.3">
      <c r="M801"/>
    </row>
    <row r="802" spans="13:13" x14ac:dyDescent="0.3">
      <c r="M802"/>
    </row>
    <row r="803" spans="13:13" x14ac:dyDescent="0.3">
      <c r="M803"/>
    </row>
    <row r="804" spans="13:13" x14ac:dyDescent="0.3">
      <c r="M804"/>
    </row>
    <row r="805" spans="13:13" x14ac:dyDescent="0.3">
      <c r="M805"/>
    </row>
    <row r="806" spans="13:13" x14ac:dyDescent="0.3">
      <c r="M806"/>
    </row>
    <row r="807" spans="13:13" x14ac:dyDescent="0.3">
      <c r="M807"/>
    </row>
    <row r="808" spans="13:13" x14ac:dyDescent="0.3">
      <c r="M808"/>
    </row>
    <row r="809" spans="13:13" x14ac:dyDescent="0.3">
      <c r="M809"/>
    </row>
    <row r="810" spans="13:13" x14ac:dyDescent="0.3">
      <c r="M810"/>
    </row>
    <row r="811" spans="13:13" x14ac:dyDescent="0.3">
      <c r="M811"/>
    </row>
    <row r="812" spans="13:13" x14ac:dyDescent="0.3">
      <c r="M812"/>
    </row>
    <row r="813" spans="13:13" x14ac:dyDescent="0.3">
      <c r="M813"/>
    </row>
    <row r="814" spans="13:13" x14ac:dyDescent="0.3">
      <c r="M814"/>
    </row>
    <row r="815" spans="13:13" x14ac:dyDescent="0.3">
      <c r="M815"/>
    </row>
    <row r="816" spans="13:13" x14ac:dyDescent="0.3">
      <c r="M816"/>
    </row>
    <row r="817" spans="13:13" x14ac:dyDescent="0.3">
      <c r="M817"/>
    </row>
    <row r="818" spans="13:13" x14ac:dyDescent="0.3">
      <c r="M818"/>
    </row>
    <row r="819" spans="13:13" x14ac:dyDescent="0.3">
      <c r="M819"/>
    </row>
    <row r="820" spans="13:13" x14ac:dyDescent="0.3">
      <c r="M820"/>
    </row>
    <row r="821" spans="13:13" x14ac:dyDescent="0.3">
      <c r="M821"/>
    </row>
    <row r="822" spans="13:13" x14ac:dyDescent="0.3">
      <c r="M822"/>
    </row>
    <row r="823" spans="13:13" x14ac:dyDescent="0.3">
      <c r="M823"/>
    </row>
    <row r="824" spans="13:13" x14ac:dyDescent="0.3">
      <c r="M824"/>
    </row>
    <row r="825" spans="13:13" x14ac:dyDescent="0.3">
      <c r="M825"/>
    </row>
    <row r="826" spans="13:13" x14ac:dyDescent="0.3">
      <c r="M826"/>
    </row>
    <row r="827" spans="13:13" x14ac:dyDescent="0.3">
      <c r="M827"/>
    </row>
    <row r="828" spans="13:13" x14ac:dyDescent="0.3">
      <c r="M828"/>
    </row>
    <row r="829" spans="13:13" x14ac:dyDescent="0.3">
      <c r="M829"/>
    </row>
    <row r="830" spans="13:13" x14ac:dyDescent="0.3">
      <c r="M830"/>
    </row>
    <row r="831" spans="13:13" x14ac:dyDescent="0.3">
      <c r="M831"/>
    </row>
    <row r="832" spans="13:13" x14ac:dyDescent="0.3">
      <c r="M832"/>
    </row>
    <row r="833" spans="13:13" x14ac:dyDescent="0.3">
      <c r="M833"/>
    </row>
    <row r="834" spans="13:13" x14ac:dyDescent="0.3">
      <c r="M834"/>
    </row>
    <row r="835" spans="13:13" x14ac:dyDescent="0.3">
      <c r="M835"/>
    </row>
    <row r="836" spans="13:13" x14ac:dyDescent="0.3">
      <c r="M836"/>
    </row>
    <row r="837" spans="13:13" x14ac:dyDescent="0.3">
      <c r="M837"/>
    </row>
    <row r="838" spans="13:13" x14ac:dyDescent="0.3">
      <c r="M838"/>
    </row>
    <row r="839" spans="13:13" x14ac:dyDescent="0.3">
      <c r="M839"/>
    </row>
    <row r="840" spans="13:13" x14ac:dyDescent="0.3">
      <c r="M840"/>
    </row>
    <row r="841" spans="13:13" x14ac:dyDescent="0.3">
      <c r="M841"/>
    </row>
    <row r="842" spans="13:13" x14ac:dyDescent="0.3">
      <c r="M842"/>
    </row>
    <row r="843" spans="13:13" x14ac:dyDescent="0.3">
      <c r="M843"/>
    </row>
    <row r="844" spans="13:13" x14ac:dyDescent="0.3">
      <c r="M844"/>
    </row>
    <row r="845" spans="13:13" x14ac:dyDescent="0.3">
      <c r="M845"/>
    </row>
    <row r="846" spans="13:13" x14ac:dyDescent="0.3">
      <c r="M846"/>
    </row>
    <row r="847" spans="13:13" x14ac:dyDescent="0.3">
      <c r="M847"/>
    </row>
    <row r="848" spans="13:13" x14ac:dyDescent="0.3">
      <c r="M848"/>
    </row>
    <row r="849" spans="13:13" x14ac:dyDescent="0.3">
      <c r="M849"/>
    </row>
    <row r="850" spans="13:13" x14ac:dyDescent="0.3">
      <c r="M850"/>
    </row>
    <row r="851" spans="13:13" x14ac:dyDescent="0.3">
      <c r="M851"/>
    </row>
    <row r="852" spans="13:13" x14ac:dyDescent="0.3">
      <c r="M852"/>
    </row>
    <row r="853" spans="13:13" x14ac:dyDescent="0.3">
      <c r="M853"/>
    </row>
    <row r="854" spans="13:13" x14ac:dyDescent="0.3">
      <c r="M854"/>
    </row>
    <row r="855" spans="13:13" x14ac:dyDescent="0.3">
      <c r="M855"/>
    </row>
    <row r="856" spans="13:13" x14ac:dyDescent="0.3">
      <c r="M856"/>
    </row>
    <row r="857" spans="13:13" x14ac:dyDescent="0.3">
      <c r="M857"/>
    </row>
    <row r="858" spans="13:13" x14ac:dyDescent="0.3">
      <c r="M858"/>
    </row>
    <row r="859" spans="13:13" x14ac:dyDescent="0.3">
      <c r="M859"/>
    </row>
    <row r="860" spans="13:13" x14ac:dyDescent="0.3">
      <c r="M860"/>
    </row>
    <row r="861" spans="13:13" x14ac:dyDescent="0.3">
      <c r="M861"/>
    </row>
    <row r="862" spans="13:13" x14ac:dyDescent="0.3">
      <c r="M862"/>
    </row>
    <row r="863" spans="13:13" x14ac:dyDescent="0.3">
      <c r="M863"/>
    </row>
    <row r="864" spans="13:13" x14ac:dyDescent="0.3">
      <c r="M864"/>
    </row>
    <row r="865" spans="13:13" x14ac:dyDescent="0.3">
      <c r="M865"/>
    </row>
    <row r="866" spans="13:13" x14ac:dyDescent="0.3">
      <c r="M866"/>
    </row>
    <row r="867" spans="13:13" x14ac:dyDescent="0.3">
      <c r="M867"/>
    </row>
    <row r="868" spans="13:13" x14ac:dyDescent="0.3">
      <c r="M868"/>
    </row>
    <row r="869" spans="13:13" x14ac:dyDescent="0.3">
      <c r="M869"/>
    </row>
    <row r="870" spans="13:13" x14ac:dyDescent="0.3">
      <c r="M870"/>
    </row>
    <row r="871" spans="13:13" x14ac:dyDescent="0.3">
      <c r="M871"/>
    </row>
    <row r="872" spans="13:13" x14ac:dyDescent="0.3">
      <c r="M872"/>
    </row>
    <row r="873" spans="13:13" x14ac:dyDescent="0.3">
      <c r="M873"/>
    </row>
    <row r="874" spans="13:13" x14ac:dyDescent="0.3">
      <c r="M874"/>
    </row>
    <row r="875" spans="13:13" x14ac:dyDescent="0.3">
      <c r="M875"/>
    </row>
    <row r="876" spans="13:13" x14ac:dyDescent="0.3">
      <c r="M876"/>
    </row>
    <row r="877" spans="13:13" x14ac:dyDescent="0.3">
      <c r="M877"/>
    </row>
    <row r="878" spans="13:13" x14ac:dyDescent="0.3">
      <c r="M878"/>
    </row>
    <row r="879" spans="13:13" x14ac:dyDescent="0.3">
      <c r="M879"/>
    </row>
    <row r="880" spans="13:13" x14ac:dyDescent="0.3">
      <c r="M880"/>
    </row>
    <row r="881" spans="13:13" x14ac:dyDescent="0.3">
      <c r="M881"/>
    </row>
    <row r="882" spans="13:13" x14ac:dyDescent="0.3">
      <c r="M882"/>
    </row>
    <row r="883" spans="13:13" x14ac:dyDescent="0.3">
      <c r="M883"/>
    </row>
    <row r="884" spans="13:13" x14ac:dyDescent="0.3">
      <c r="M884"/>
    </row>
    <row r="885" spans="13:13" x14ac:dyDescent="0.3">
      <c r="M885"/>
    </row>
    <row r="886" spans="13:13" x14ac:dyDescent="0.3">
      <c r="M886"/>
    </row>
    <row r="887" spans="13:13" x14ac:dyDescent="0.3">
      <c r="M887"/>
    </row>
    <row r="888" spans="13:13" x14ac:dyDescent="0.3">
      <c r="M888"/>
    </row>
    <row r="889" spans="13:13" x14ac:dyDescent="0.3">
      <c r="M889"/>
    </row>
    <row r="890" spans="13:13" x14ac:dyDescent="0.3">
      <c r="M890"/>
    </row>
    <row r="891" spans="13:13" x14ac:dyDescent="0.3">
      <c r="M891"/>
    </row>
    <row r="892" spans="13:13" x14ac:dyDescent="0.3">
      <c r="M892"/>
    </row>
    <row r="893" spans="13:13" x14ac:dyDescent="0.3">
      <c r="M893"/>
    </row>
    <row r="894" spans="13:13" x14ac:dyDescent="0.3">
      <c r="M894"/>
    </row>
    <row r="895" spans="13:13" x14ac:dyDescent="0.3">
      <c r="M895"/>
    </row>
    <row r="896" spans="13:13" x14ac:dyDescent="0.3">
      <c r="M896"/>
    </row>
    <row r="897" spans="13:13" x14ac:dyDescent="0.3">
      <c r="M897"/>
    </row>
    <row r="898" spans="13:13" x14ac:dyDescent="0.3">
      <c r="M898"/>
    </row>
    <row r="899" spans="13:13" x14ac:dyDescent="0.3">
      <c r="M899"/>
    </row>
    <row r="900" spans="13:13" x14ac:dyDescent="0.3">
      <c r="M900"/>
    </row>
    <row r="901" spans="13:13" x14ac:dyDescent="0.3">
      <c r="M901"/>
    </row>
    <row r="902" spans="13:13" x14ac:dyDescent="0.3">
      <c r="M902"/>
    </row>
    <row r="903" spans="13:13" x14ac:dyDescent="0.3">
      <c r="M903"/>
    </row>
    <row r="904" spans="13:13" x14ac:dyDescent="0.3">
      <c r="M904"/>
    </row>
    <row r="905" spans="13:13" x14ac:dyDescent="0.3">
      <c r="M905"/>
    </row>
    <row r="906" spans="13:13" x14ac:dyDescent="0.3">
      <c r="M906"/>
    </row>
    <row r="907" spans="13:13" x14ac:dyDescent="0.3">
      <c r="M907"/>
    </row>
    <row r="908" spans="13:13" x14ac:dyDescent="0.3">
      <c r="M908"/>
    </row>
    <row r="909" spans="13:13" x14ac:dyDescent="0.3">
      <c r="M909"/>
    </row>
    <row r="910" spans="13:13" x14ac:dyDescent="0.3">
      <c r="M910"/>
    </row>
    <row r="911" spans="13:13" x14ac:dyDescent="0.3">
      <c r="M911"/>
    </row>
    <row r="912" spans="13:13" x14ac:dyDescent="0.3">
      <c r="M912"/>
    </row>
    <row r="913" spans="13:13" x14ac:dyDescent="0.3">
      <c r="M913"/>
    </row>
    <row r="914" spans="13:13" x14ac:dyDescent="0.3">
      <c r="M914"/>
    </row>
    <row r="915" spans="13:13" x14ac:dyDescent="0.3">
      <c r="M915"/>
    </row>
    <row r="916" spans="13:13" x14ac:dyDescent="0.3">
      <c r="M916"/>
    </row>
    <row r="917" spans="13:13" x14ac:dyDescent="0.3">
      <c r="M917"/>
    </row>
    <row r="918" spans="13:13" x14ac:dyDescent="0.3">
      <c r="M918"/>
    </row>
    <row r="919" spans="13:13" x14ac:dyDescent="0.3">
      <c r="M919"/>
    </row>
    <row r="920" spans="13:13" x14ac:dyDescent="0.3">
      <c r="M920"/>
    </row>
    <row r="921" spans="13:13" x14ac:dyDescent="0.3">
      <c r="M921"/>
    </row>
    <row r="922" spans="13:13" x14ac:dyDescent="0.3">
      <c r="M922"/>
    </row>
    <row r="923" spans="13:13" x14ac:dyDescent="0.3">
      <c r="M923"/>
    </row>
    <row r="924" spans="13:13" x14ac:dyDescent="0.3">
      <c r="M924"/>
    </row>
    <row r="925" spans="13:13" x14ac:dyDescent="0.3">
      <c r="M925"/>
    </row>
    <row r="926" spans="13:13" x14ac:dyDescent="0.3">
      <c r="M926"/>
    </row>
    <row r="927" spans="13:13" x14ac:dyDescent="0.3">
      <c r="M927"/>
    </row>
    <row r="928" spans="13:13" x14ac:dyDescent="0.3">
      <c r="M928"/>
    </row>
    <row r="929" spans="13:13" x14ac:dyDescent="0.3">
      <c r="M929"/>
    </row>
    <row r="930" spans="13:13" x14ac:dyDescent="0.3">
      <c r="M930"/>
    </row>
    <row r="931" spans="13:13" x14ac:dyDescent="0.3">
      <c r="M931"/>
    </row>
    <row r="932" spans="13:13" x14ac:dyDescent="0.3">
      <c r="M932"/>
    </row>
    <row r="933" spans="13:13" x14ac:dyDescent="0.3">
      <c r="M933"/>
    </row>
    <row r="934" spans="13:13" x14ac:dyDescent="0.3">
      <c r="M934"/>
    </row>
    <row r="935" spans="13:13" x14ac:dyDescent="0.3">
      <c r="M935"/>
    </row>
    <row r="936" spans="13:13" x14ac:dyDescent="0.3">
      <c r="M936"/>
    </row>
    <row r="937" spans="13:13" x14ac:dyDescent="0.3">
      <c r="M937"/>
    </row>
    <row r="938" spans="13:13" x14ac:dyDescent="0.3">
      <c r="M938"/>
    </row>
    <row r="939" spans="13:13" x14ac:dyDescent="0.3">
      <c r="M939"/>
    </row>
    <row r="940" spans="13:13" x14ac:dyDescent="0.3">
      <c r="M940"/>
    </row>
    <row r="941" spans="13:13" x14ac:dyDescent="0.3">
      <c r="M941"/>
    </row>
    <row r="942" spans="13:13" x14ac:dyDescent="0.3">
      <c r="M942"/>
    </row>
    <row r="943" spans="13:13" x14ac:dyDescent="0.3">
      <c r="M943"/>
    </row>
    <row r="944" spans="13:13" x14ac:dyDescent="0.3">
      <c r="M944"/>
    </row>
    <row r="945" spans="13:13" x14ac:dyDescent="0.3">
      <c r="M945"/>
    </row>
    <row r="946" spans="13:13" x14ac:dyDescent="0.3">
      <c r="M946"/>
    </row>
    <row r="947" spans="13:13" x14ac:dyDescent="0.3">
      <c r="M947"/>
    </row>
    <row r="948" spans="13:13" x14ac:dyDescent="0.3">
      <c r="M948"/>
    </row>
    <row r="949" spans="13:13" x14ac:dyDescent="0.3">
      <c r="M949"/>
    </row>
    <row r="950" spans="13:13" x14ac:dyDescent="0.3">
      <c r="M950"/>
    </row>
    <row r="951" spans="13:13" x14ac:dyDescent="0.3">
      <c r="M951"/>
    </row>
    <row r="952" spans="13:13" x14ac:dyDescent="0.3">
      <c r="M952"/>
    </row>
    <row r="953" spans="13:13" x14ac:dyDescent="0.3">
      <c r="M953"/>
    </row>
    <row r="954" spans="13:13" x14ac:dyDescent="0.3">
      <c r="M954"/>
    </row>
    <row r="955" spans="13:13" x14ac:dyDescent="0.3">
      <c r="M955"/>
    </row>
    <row r="956" spans="13:13" x14ac:dyDescent="0.3">
      <c r="M956"/>
    </row>
    <row r="957" spans="13:13" x14ac:dyDescent="0.3">
      <c r="M957"/>
    </row>
    <row r="958" spans="13:13" x14ac:dyDescent="0.3">
      <c r="M958"/>
    </row>
    <row r="959" spans="13:13" x14ac:dyDescent="0.3">
      <c r="M959"/>
    </row>
    <row r="960" spans="13:13" x14ac:dyDescent="0.3">
      <c r="M960"/>
    </row>
    <row r="961" spans="13:13" x14ac:dyDescent="0.3">
      <c r="M961"/>
    </row>
    <row r="962" spans="13:13" x14ac:dyDescent="0.3">
      <c r="M962"/>
    </row>
    <row r="963" spans="13:13" x14ac:dyDescent="0.3">
      <c r="M963"/>
    </row>
    <row r="964" spans="13:13" x14ac:dyDescent="0.3">
      <c r="M964"/>
    </row>
    <row r="965" spans="13:13" x14ac:dyDescent="0.3">
      <c r="M965"/>
    </row>
    <row r="966" spans="13:13" x14ac:dyDescent="0.3">
      <c r="M966"/>
    </row>
    <row r="967" spans="13:13" x14ac:dyDescent="0.3">
      <c r="M967"/>
    </row>
    <row r="968" spans="13:13" x14ac:dyDescent="0.3">
      <c r="M968"/>
    </row>
    <row r="969" spans="13:13" x14ac:dyDescent="0.3">
      <c r="M969"/>
    </row>
    <row r="970" spans="13:13" x14ac:dyDescent="0.3">
      <c r="M970"/>
    </row>
    <row r="971" spans="13:13" x14ac:dyDescent="0.3">
      <c r="M971"/>
    </row>
    <row r="972" spans="13:13" x14ac:dyDescent="0.3">
      <c r="M972"/>
    </row>
    <row r="973" spans="13:13" x14ac:dyDescent="0.3">
      <c r="M973"/>
    </row>
    <row r="974" spans="13:13" x14ac:dyDescent="0.3">
      <c r="M974"/>
    </row>
    <row r="975" spans="13:13" x14ac:dyDescent="0.3">
      <c r="M975"/>
    </row>
    <row r="976" spans="13:13" x14ac:dyDescent="0.3">
      <c r="M976"/>
    </row>
    <row r="977" spans="13:13" x14ac:dyDescent="0.3">
      <c r="M977"/>
    </row>
    <row r="978" spans="13:13" x14ac:dyDescent="0.3">
      <c r="M978"/>
    </row>
    <row r="979" spans="13:13" x14ac:dyDescent="0.3">
      <c r="M979"/>
    </row>
    <row r="980" spans="13:13" x14ac:dyDescent="0.3">
      <c r="M980"/>
    </row>
    <row r="981" spans="13:13" x14ac:dyDescent="0.3">
      <c r="M981"/>
    </row>
    <row r="982" spans="13:13" x14ac:dyDescent="0.3">
      <c r="M982"/>
    </row>
    <row r="983" spans="13:13" x14ac:dyDescent="0.3">
      <c r="M983"/>
    </row>
    <row r="984" spans="13:13" x14ac:dyDescent="0.3">
      <c r="M984"/>
    </row>
    <row r="985" spans="13:13" x14ac:dyDescent="0.3">
      <c r="M985"/>
    </row>
    <row r="986" spans="13:13" x14ac:dyDescent="0.3">
      <c r="M986"/>
    </row>
    <row r="987" spans="13:13" x14ac:dyDescent="0.3">
      <c r="M987"/>
    </row>
    <row r="988" spans="13:13" x14ac:dyDescent="0.3">
      <c r="M988"/>
    </row>
    <row r="989" spans="13:13" x14ac:dyDescent="0.3">
      <c r="M989"/>
    </row>
    <row r="990" spans="13:13" x14ac:dyDescent="0.3">
      <c r="M990"/>
    </row>
    <row r="991" spans="13:13" x14ac:dyDescent="0.3">
      <c r="M991"/>
    </row>
    <row r="992" spans="13:13" x14ac:dyDescent="0.3">
      <c r="M992"/>
    </row>
    <row r="993" spans="13:13" x14ac:dyDescent="0.3">
      <c r="M993"/>
    </row>
    <row r="994" spans="13:13" x14ac:dyDescent="0.3">
      <c r="M994"/>
    </row>
    <row r="995" spans="13:13" x14ac:dyDescent="0.3">
      <c r="M995"/>
    </row>
    <row r="996" spans="13:13" x14ac:dyDescent="0.3">
      <c r="M996"/>
    </row>
    <row r="997" spans="13:13" x14ac:dyDescent="0.3">
      <c r="M997"/>
    </row>
    <row r="998" spans="13:13" x14ac:dyDescent="0.3">
      <c r="M998"/>
    </row>
    <row r="999" spans="13:13" x14ac:dyDescent="0.3">
      <c r="M999"/>
    </row>
    <row r="1000" spans="13:13" x14ac:dyDescent="0.3">
      <c r="M1000"/>
    </row>
    <row r="1001" spans="13:13" x14ac:dyDescent="0.3">
      <c r="M1001"/>
    </row>
    <row r="1002" spans="13:13" x14ac:dyDescent="0.3">
      <c r="M1002"/>
    </row>
    <row r="1003" spans="13:13" x14ac:dyDescent="0.3">
      <c r="M1003"/>
    </row>
    <row r="1004" spans="13:13" x14ac:dyDescent="0.3">
      <c r="M1004"/>
    </row>
    <row r="1005" spans="13:13" x14ac:dyDescent="0.3">
      <c r="M1005"/>
    </row>
    <row r="1006" spans="13:13" x14ac:dyDescent="0.3">
      <c r="M1006"/>
    </row>
    <row r="1007" spans="13:13" x14ac:dyDescent="0.3">
      <c r="M1007"/>
    </row>
    <row r="1008" spans="13:13" x14ac:dyDescent="0.3">
      <c r="M1008"/>
    </row>
    <row r="1009" spans="13:13" x14ac:dyDescent="0.3">
      <c r="M1009"/>
    </row>
    <row r="1010" spans="13:13" x14ac:dyDescent="0.3">
      <c r="M1010"/>
    </row>
    <row r="1011" spans="13:13" x14ac:dyDescent="0.3">
      <c r="M1011"/>
    </row>
    <row r="1012" spans="13:13" x14ac:dyDescent="0.3">
      <c r="M1012"/>
    </row>
    <row r="1013" spans="13:13" x14ac:dyDescent="0.3">
      <c r="M1013"/>
    </row>
    <row r="1014" spans="13:13" x14ac:dyDescent="0.3">
      <c r="M1014"/>
    </row>
    <row r="1015" spans="13:13" x14ac:dyDescent="0.3">
      <c r="M1015"/>
    </row>
    <row r="1016" spans="13:13" x14ac:dyDescent="0.3">
      <c r="M1016"/>
    </row>
    <row r="1017" spans="13:13" x14ac:dyDescent="0.3">
      <c r="M1017"/>
    </row>
    <row r="1018" spans="13:13" x14ac:dyDescent="0.3">
      <c r="M1018"/>
    </row>
    <row r="1019" spans="13:13" x14ac:dyDescent="0.3">
      <c r="M1019"/>
    </row>
    <row r="1020" spans="13:13" x14ac:dyDescent="0.3">
      <c r="M1020"/>
    </row>
    <row r="1021" spans="13:13" x14ac:dyDescent="0.3">
      <c r="M1021"/>
    </row>
    <row r="1022" spans="13:13" x14ac:dyDescent="0.3">
      <c r="M1022"/>
    </row>
    <row r="1023" spans="13:13" x14ac:dyDescent="0.3">
      <c r="M1023"/>
    </row>
    <row r="1024" spans="13:13" x14ac:dyDescent="0.3">
      <c r="M1024"/>
    </row>
    <row r="1025" spans="13:13" x14ac:dyDescent="0.3">
      <c r="M1025"/>
    </row>
    <row r="1026" spans="13:13" x14ac:dyDescent="0.3">
      <c r="M1026"/>
    </row>
    <row r="1027" spans="13:13" x14ac:dyDescent="0.3">
      <c r="M1027"/>
    </row>
    <row r="1028" spans="13:13" x14ac:dyDescent="0.3">
      <c r="M1028"/>
    </row>
    <row r="1029" spans="13:13" x14ac:dyDescent="0.3">
      <c r="M1029"/>
    </row>
    <row r="1030" spans="13:13" x14ac:dyDescent="0.3">
      <c r="M1030"/>
    </row>
    <row r="1031" spans="13:13" x14ac:dyDescent="0.3">
      <c r="M1031"/>
    </row>
    <row r="1032" spans="13:13" x14ac:dyDescent="0.3">
      <c r="M1032"/>
    </row>
    <row r="1033" spans="13:13" x14ac:dyDescent="0.3">
      <c r="M1033"/>
    </row>
    <row r="1034" spans="13:13" x14ac:dyDescent="0.3">
      <c r="M1034"/>
    </row>
    <row r="1035" spans="13:13" x14ac:dyDescent="0.3">
      <c r="M1035"/>
    </row>
    <row r="1036" spans="13:13" x14ac:dyDescent="0.3">
      <c r="M1036"/>
    </row>
    <row r="1037" spans="13:13" x14ac:dyDescent="0.3">
      <c r="M1037"/>
    </row>
    <row r="1038" spans="13:13" x14ac:dyDescent="0.3">
      <c r="M1038"/>
    </row>
    <row r="1039" spans="13:13" x14ac:dyDescent="0.3">
      <c r="M1039"/>
    </row>
    <row r="1040" spans="13:13" x14ac:dyDescent="0.3">
      <c r="M1040"/>
    </row>
    <row r="1041" spans="13:13" x14ac:dyDescent="0.3">
      <c r="M1041"/>
    </row>
    <row r="1042" spans="13:13" x14ac:dyDescent="0.3">
      <c r="M1042"/>
    </row>
    <row r="1043" spans="13:13" x14ac:dyDescent="0.3">
      <c r="M1043"/>
    </row>
    <row r="1044" spans="13:13" x14ac:dyDescent="0.3">
      <c r="M1044"/>
    </row>
    <row r="1045" spans="13:13" x14ac:dyDescent="0.3">
      <c r="M1045"/>
    </row>
    <row r="1046" spans="13:13" x14ac:dyDescent="0.3">
      <c r="M1046"/>
    </row>
    <row r="1047" spans="13:13" x14ac:dyDescent="0.3">
      <c r="M1047"/>
    </row>
    <row r="1048" spans="13:13" x14ac:dyDescent="0.3">
      <c r="M1048"/>
    </row>
    <row r="1049" spans="13:13" x14ac:dyDescent="0.3">
      <c r="M1049"/>
    </row>
    <row r="1050" spans="13:13" x14ac:dyDescent="0.3">
      <c r="M1050"/>
    </row>
    <row r="1051" spans="13:13" x14ac:dyDescent="0.3">
      <c r="M1051"/>
    </row>
    <row r="1052" spans="13:13" x14ac:dyDescent="0.3">
      <c r="M1052"/>
    </row>
    <row r="1053" spans="13:13" x14ac:dyDescent="0.3">
      <c r="M1053"/>
    </row>
    <row r="1054" spans="13:13" x14ac:dyDescent="0.3">
      <c r="M1054"/>
    </row>
    <row r="1055" spans="13:13" x14ac:dyDescent="0.3">
      <c r="M1055"/>
    </row>
    <row r="1056" spans="13:13" x14ac:dyDescent="0.3">
      <c r="M1056"/>
    </row>
    <row r="1057" spans="13:13" x14ac:dyDescent="0.3">
      <c r="M1057"/>
    </row>
    <row r="1058" spans="13:13" x14ac:dyDescent="0.3">
      <c r="M1058"/>
    </row>
    <row r="1059" spans="13:13" x14ac:dyDescent="0.3">
      <c r="M1059"/>
    </row>
    <row r="1060" spans="13:13" x14ac:dyDescent="0.3">
      <c r="M1060"/>
    </row>
    <row r="1061" spans="13:13" x14ac:dyDescent="0.3">
      <c r="M1061"/>
    </row>
    <row r="1062" spans="13:13" x14ac:dyDescent="0.3">
      <c r="M1062"/>
    </row>
    <row r="1063" spans="13:13" x14ac:dyDescent="0.3">
      <c r="M1063"/>
    </row>
    <row r="1064" spans="13:13" x14ac:dyDescent="0.3">
      <c r="M1064"/>
    </row>
    <row r="1065" spans="13:13" x14ac:dyDescent="0.3">
      <c r="M1065"/>
    </row>
    <row r="1066" spans="13:13" x14ac:dyDescent="0.3">
      <c r="M1066"/>
    </row>
    <row r="1067" spans="13:13" x14ac:dyDescent="0.3">
      <c r="M1067"/>
    </row>
    <row r="1068" spans="13:13" x14ac:dyDescent="0.3">
      <c r="M1068"/>
    </row>
    <row r="1069" spans="13:13" x14ac:dyDescent="0.3">
      <c r="M1069"/>
    </row>
    <row r="1070" spans="13:13" x14ac:dyDescent="0.3">
      <c r="M1070"/>
    </row>
    <row r="1071" spans="13:13" x14ac:dyDescent="0.3">
      <c r="M1071"/>
    </row>
    <row r="1072" spans="13:13" x14ac:dyDescent="0.3">
      <c r="M1072"/>
    </row>
    <row r="1073" spans="13:13" x14ac:dyDescent="0.3">
      <c r="M1073"/>
    </row>
    <row r="1074" spans="13:13" x14ac:dyDescent="0.3">
      <c r="M1074"/>
    </row>
    <row r="1075" spans="13:13" x14ac:dyDescent="0.3">
      <c r="M1075"/>
    </row>
    <row r="1076" spans="13:13" x14ac:dyDescent="0.3">
      <c r="M1076"/>
    </row>
    <row r="1077" spans="13:13" x14ac:dyDescent="0.3">
      <c r="M1077"/>
    </row>
    <row r="1078" spans="13:13" x14ac:dyDescent="0.3">
      <c r="M1078"/>
    </row>
    <row r="1079" spans="13:13" x14ac:dyDescent="0.3">
      <c r="M1079"/>
    </row>
    <row r="1080" spans="13:13" x14ac:dyDescent="0.3">
      <c r="M1080"/>
    </row>
    <row r="1081" spans="13:13" x14ac:dyDescent="0.3">
      <c r="M1081"/>
    </row>
    <row r="1082" spans="13:13" x14ac:dyDescent="0.3">
      <c r="M1082"/>
    </row>
    <row r="1083" spans="13:13" x14ac:dyDescent="0.3">
      <c r="M1083"/>
    </row>
    <row r="1084" spans="13:13" x14ac:dyDescent="0.3">
      <c r="M1084"/>
    </row>
    <row r="1085" spans="13:13" x14ac:dyDescent="0.3">
      <c r="M1085"/>
    </row>
    <row r="1086" spans="13:13" x14ac:dyDescent="0.3">
      <c r="M1086"/>
    </row>
    <row r="1087" spans="13:13" x14ac:dyDescent="0.3">
      <c r="M1087"/>
    </row>
    <row r="1088" spans="13:13" x14ac:dyDescent="0.3">
      <c r="M1088"/>
    </row>
    <row r="1089" spans="13:13" x14ac:dyDescent="0.3">
      <c r="M1089"/>
    </row>
    <row r="1090" spans="13:13" x14ac:dyDescent="0.3">
      <c r="M1090"/>
    </row>
    <row r="1091" spans="13:13" x14ac:dyDescent="0.3">
      <c r="M1091"/>
    </row>
    <row r="1092" spans="13:13" x14ac:dyDescent="0.3">
      <c r="M1092"/>
    </row>
    <row r="1093" spans="13:13" x14ac:dyDescent="0.3">
      <c r="M1093"/>
    </row>
    <row r="1094" spans="13:13" x14ac:dyDescent="0.3">
      <c r="M1094"/>
    </row>
    <row r="1095" spans="13:13" x14ac:dyDescent="0.3">
      <c r="M1095"/>
    </row>
    <row r="1096" spans="13:13" x14ac:dyDescent="0.3">
      <c r="M1096"/>
    </row>
    <row r="1097" spans="13:13" x14ac:dyDescent="0.3">
      <c r="M1097"/>
    </row>
    <row r="1098" spans="13:13" x14ac:dyDescent="0.3">
      <c r="M1098"/>
    </row>
    <row r="1099" spans="13:13" x14ac:dyDescent="0.3">
      <c r="M1099"/>
    </row>
    <row r="1100" spans="13:13" x14ac:dyDescent="0.3">
      <c r="M1100"/>
    </row>
    <row r="1101" spans="13:13" x14ac:dyDescent="0.3">
      <c r="M1101"/>
    </row>
    <row r="1102" spans="13:13" x14ac:dyDescent="0.3">
      <c r="M1102"/>
    </row>
    <row r="1103" spans="13:13" x14ac:dyDescent="0.3">
      <c r="M1103"/>
    </row>
    <row r="1104" spans="13:13" x14ac:dyDescent="0.3">
      <c r="M1104"/>
    </row>
    <row r="1105" spans="13:13" x14ac:dyDescent="0.3">
      <c r="M1105"/>
    </row>
    <row r="1106" spans="13:13" x14ac:dyDescent="0.3">
      <c r="M1106"/>
    </row>
    <row r="1107" spans="13:13" x14ac:dyDescent="0.3">
      <c r="M1107"/>
    </row>
    <row r="1108" spans="13:13" x14ac:dyDescent="0.3">
      <c r="M1108"/>
    </row>
    <row r="1109" spans="13:13" x14ac:dyDescent="0.3">
      <c r="M1109"/>
    </row>
    <row r="1110" spans="13:13" x14ac:dyDescent="0.3">
      <c r="M1110"/>
    </row>
    <row r="1111" spans="13:13" x14ac:dyDescent="0.3">
      <c r="M1111"/>
    </row>
    <row r="1112" spans="13:13" x14ac:dyDescent="0.3">
      <c r="M1112"/>
    </row>
    <row r="1113" spans="13:13" x14ac:dyDescent="0.3">
      <c r="M1113"/>
    </row>
    <row r="1114" spans="13:13" x14ac:dyDescent="0.3">
      <c r="M1114"/>
    </row>
    <row r="1115" spans="13:13" x14ac:dyDescent="0.3">
      <c r="M1115"/>
    </row>
    <row r="1116" spans="13:13" x14ac:dyDescent="0.3">
      <c r="M1116"/>
    </row>
    <row r="1117" spans="13:13" x14ac:dyDescent="0.3">
      <c r="M1117"/>
    </row>
    <row r="1118" spans="13:13" x14ac:dyDescent="0.3">
      <c r="M1118"/>
    </row>
    <row r="1119" spans="13:13" x14ac:dyDescent="0.3">
      <c r="M1119"/>
    </row>
    <row r="1120" spans="13:13" x14ac:dyDescent="0.3">
      <c r="M1120"/>
    </row>
    <row r="1121" spans="13:13" x14ac:dyDescent="0.3">
      <c r="M1121"/>
    </row>
    <row r="1122" spans="13:13" x14ac:dyDescent="0.3">
      <c r="M1122"/>
    </row>
    <row r="1123" spans="13:13" x14ac:dyDescent="0.3">
      <c r="M1123"/>
    </row>
    <row r="1124" spans="13:13" x14ac:dyDescent="0.3">
      <c r="M1124"/>
    </row>
    <row r="1125" spans="13:13" x14ac:dyDescent="0.3">
      <c r="M1125"/>
    </row>
    <row r="1126" spans="13:13" x14ac:dyDescent="0.3">
      <c r="M1126"/>
    </row>
    <row r="1127" spans="13:13" x14ac:dyDescent="0.3">
      <c r="M1127"/>
    </row>
    <row r="1128" spans="13:13" x14ac:dyDescent="0.3">
      <c r="M1128"/>
    </row>
    <row r="1129" spans="13:13" x14ac:dyDescent="0.3">
      <c r="M1129"/>
    </row>
    <row r="1130" spans="13:13" x14ac:dyDescent="0.3">
      <c r="M1130"/>
    </row>
    <row r="1131" spans="13:13" x14ac:dyDescent="0.3">
      <c r="M1131"/>
    </row>
    <row r="1132" spans="13:13" x14ac:dyDescent="0.3">
      <c r="M1132"/>
    </row>
    <row r="1133" spans="13:13" x14ac:dyDescent="0.3">
      <c r="M1133"/>
    </row>
    <row r="1134" spans="13:13" x14ac:dyDescent="0.3">
      <c r="M1134"/>
    </row>
    <row r="1135" spans="13:13" x14ac:dyDescent="0.3">
      <c r="M1135"/>
    </row>
    <row r="1136" spans="13:13" x14ac:dyDescent="0.3">
      <c r="M1136"/>
    </row>
    <row r="1137" spans="13:13" x14ac:dyDescent="0.3">
      <c r="M1137"/>
    </row>
    <row r="1138" spans="13:13" x14ac:dyDescent="0.3">
      <c r="M1138"/>
    </row>
    <row r="1139" spans="13:13" x14ac:dyDescent="0.3">
      <c r="M1139"/>
    </row>
    <row r="1140" spans="13:13" x14ac:dyDescent="0.3">
      <c r="M1140"/>
    </row>
    <row r="1141" spans="13:13" x14ac:dyDescent="0.3">
      <c r="M1141"/>
    </row>
    <row r="1142" spans="13:13" x14ac:dyDescent="0.3">
      <c r="M1142"/>
    </row>
    <row r="1143" spans="13:13" x14ac:dyDescent="0.3">
      <c r="M1143"/>
    </row>
    <row r="1144" spans="13:13" x14ac:dyDescent="0.3">
      <c r="M1144"/>
    </row>
    <row r="1145" spans="13:13" x14ac:dyDescent="0.3">
      <c r="M1145"/>
    </row>
    <row r="1146" spans="13:13" x14ac:dyDescent="0.3">
      <c r="M1146"/>
    </row>
    <row r="1147" spans="13:13" x14ac:dyDescent="0.3">
      <c r="M1147"/>
    </row>
    <row r="1148" spans="13:13" x14ac:dyDescent="0.3">
      <c r="M1148"/>
    </row>
    <row r="1149" spans="13:13" x14ac:dyDescent="0.3">
      <c r="M1149"/>
    </row>
    <row r="1150" spans="13:13" x14ac:dyDescent="0.3">
      <c r="M1150"/>
    </row>
    <row r="1151" spans="13:13" x14ac:dyDescent="0.3">
      <c r="M1151"/>
    </row>
    <row r="1152" spans="13:13" x14ac:dyDescent="0.3">
      <c r="M1152"/>
    </row>
    <row r="1153" spans="13:13" x14ac:dyDescent="0.3">
      <c r="M1153"/>
    </row>
    <row r="1154" spans="13:13" x14ac:dyDescent="0.3">
      <c r="M1154"/>
    </row>
    <row r="1155" spans="13:13" x14ac:dyDescent="0.3">
      <c r="M1155"/>
    </row>
    <row r="1156" spans="13:13" x14ac:dyDescent="0.3">
      <c r="M1156"/>
    </row>
    <row r="1157" spans="13:13" x14ac:dyDescent="0.3">
      <c r="M1157"/>
    </row>
    <row r="1158" spans="13:13" x14ac:dyDescent="0.3">
      <c r="M1158"/>
    </row>
    <row r="1159" spans="13:13" x14ac:dyDescent="0.3">
      <c r="M1159"/>
    </row>
    <row r="1160" spans="13:13" x14ac:dyDescent="0.3">
      <c r="M1160"/>
    </row>
    <row r="1161" spans="13:13" x14ac:dyDescent="0.3">
      <c r="M1161"/>
    </row>
    <row r="1162" spans="13:13" x14ac:dyDescent="0.3">
      <c r="M1162"/>
    </row>
    <row r="1163" spans="13:13" x14ac:dyDescent="0.3">
      <c r="M1163"/>
    </row>
    <row r="1164" spans="13:13" x14ac:dyDescent="0.3">
      <c r="M1164"/>
    </row>
    <row r="1165" spans="13:13" x14ac:dyDescent="0.3">
      <c r="M1165"/>
    </row>
    <row r="1166" spans="13:13" x14ac:dyDescent="0.3">
      <c r="M1166"/>
    </row>
    <row r="1167" spans="13:13" x14ac:dyDescent="0.3">
      <c r="M1167"/>
    </row>
    <row r="1168" spans="13:13" x14ac:dyDescent="0.3">
      <c r="M1168"/>
    </row>
    <row r="1169" spans="13:13" x14ac:dyDescent="0.3">
      <c r="M1169"/>
    </row>
    <row r="1170" spans="13:13" x14ac:dyDescent="0.3">
      <c r="M1170"/>
    </row>
    <row r="1171" spans="13:13" x14ac:dyDescent="0.3">
      <c r="M1171"/>
    </row>
    <row r="1172" spans="13:13" x14ac:dyDescent="0.3">
      <c r="M1172"/>
    </row>
    <row r="1173" spans="13:13" x14ac:dyDescent="0.3">
      <c r="M1173"/>
    </row>
    <row r="1174" spans="13:13" x14ac:dyDescent="0.3">
      <c r="M1174"/>
    </row>
    <row r="1175" spans="13:13" x14ac:dyDescent="0.3">
      <c r="M1175"/>
    </row>
    <row r="1176" spans="13:13" x14ac:dyDescent="0.3">
      <c r="M1176"/>
    </row>
    <row r="1177" spans="13:13" x14ac:dyDescent="0.3">
      <c r="M1177"/>
    </row>
    <row r="1178" spans="13:13" x14ac:dyDescent="0.3">
      <c r="M1178"/>
    </row>
    <row r="1179" spans="13:13" x14ac:dyDescent="0.3">
      <c r="M1179"/>
    </row>
    <row r="1180" spans="13:13" x14ac:dyDescent="0.3">
      <c r="M1180"/>
    </row>
    <row r="1181" spans="13:13" x14ac:dyDescent="0.3">
      <c r="M1181"/>
    </row>
    <row r="1182" spans="13:13" x14ac:dyDescent="0.3">
      <c r="M1182"/>
    </row>
    <row r="1183" spans="13:13" x14ac:dyDescent="0.3">
      <c r="M1183"/>
    </row>
    <row r="1184" spans="13:13" x14ac:dyDescent="0.3">
      <c r="M1184"/>
    </row>
    <row r="1185" spans="13:13" x14ac:dyDescent="0.3">
      <c r="M1185"/>
    </row>
    <row r="1186" spans="13:13" x14ac:dyDescent="0.3">
      <c r="M1186"/>
    </row>
    <row r="1187" spans="13:13" x14ac:dyDescent="0.3">
      <c r="M1187"/>
    </row>
    <row r="1188" spans="13:13" x14ac:dyDescent="0.3">
      <c r="M1188"/>
    </row>
    <row r="1189" spans="13:13" x14ac:dyDescent="0.3">
      <c r="M1189"/>
    </row>
    <row r="1190" spans="13:13" x14ac:dyDescent="0.3">
      <c r="M1190"/>
    </row>
    <row r="1191" spans="13:13" x14ac:dyDescent="0.3">
      <c r="M1191"/>
    </row>
    <row r="1192" spans="13:13" x14ac:dyDescent="0.3">
      <c r="M1192"/>
    </row>
    <row r="1193" spans="13:13" x14ac:dyDescent="0.3">
      <c r="M1193"/>
    </row>
    <row r="1194" spans="13:13" x14ac:dyDescent="0.3">
      <c r="M1194"/>
    </row>
    <row r="1195" spans="13:13" x14ac:dyDescent="0.3">
      <c r="M1195"/>
    </row>
    <row r="1196" spans="13:13" x14ac:dyDescent="0.3">
      <c r="M1196"/>
    </row>
    <row r="1197" spans="13:13" x14ac:dyDescent="0.3">
      <c r="M1197"/>
    </row>
    <row r="1198" spans="13:13" x14ac:dyDescent="0.3">
      <c r="M1198"/>
    </row>
    <row r="1199" spans="13:13" x14ac:dyDescent="0.3">
      <c r="M1199"/>
    </row>
    <row r="1200" spans="13:13" x14ac:dyDescent="0.3">
      <c r="M1200"/>
    </row>
    <row r="1201" spans="13:13" x14ac:dyDescent="0.3">
      <c r="M1201"/>
    </row>
    <row r="1202" spans="13:13" x14ac:dyDescent="0.3">
      <c r="M1202"/>
    </row>
    <row r="1203" spans="13:13" x14ac:dyDescent="0.3">
      <c r="M1203"/>
    </row>
    <row r="1204" spans="13:13" x14ac:dyDescent="0.3">
      <c r="M1204"/>
    </row>
    <row r="1205" spans="13:13" x14ac:dyDescent="0.3">
      <c r="M1205"/>
    </row>
    <row r="1206" spans="13:13" x14ac:dyDescent="0.3">
      <c r="M1206"/>
    </row>
    <row r="1207" spans="13:13" x14ac:dyDescent="0.3">
      <c r="M1207"/>
    </row>
    <row r="1208" spans="13:13" x14ac:dyDescent="0.3">
      <c r="M1208"/>
    </row>
    <row r="1209" spans="13:13" x14ac:dyDescent="0.3">
      <c r="M1209"/>
    </row>
    <row r="1210" spans="13:13" x14ac:dyDescent="0.3">
      <c r="M1210"/>
    </row>
    <row r="1211" spans="13:13" x14ac:dyDescent="0.3">
      <c r="M1211"/>
    </row>
    <row r="1212" spans="13:13" x14ac:dyDescent="0.3">
      <c r="M1212"/>
    </row>
    <row r="1213" spans="13:13" x14ac:dyDescent="0.3">
      <c r="M1213"/>
    </row>
    <row r="1214" spans="13:13" x14ac:dyDescent="0.3">
      <c r="M1214"/>
    </row>
    <row r="1215" spans="13:13" x14ac:dyDescent="0.3">
      <c r="M1215"/>
    </row>
    <row r="1216" spans="13:13" x14ac:dyDescent="0.3">
      <c r="M1216"/>
    </row>
    <row r="1217" spans="13:13" x14ac:dyDescent="0.3">
      <c r="M1217"/>
    </row>
    <row r="1218" spans="13:13" x14ac:dyDescent="0.3">
      <c r="M1218"/>
    </row>
    <row r="1219" spans="13:13" x14ac:dyDescent="0.3">
      <c r="M1219"/>
    </row>
    <row r="1220" spans="13:13" x14ac:dyDescent="0.3">
      <c r="M1220"/>
    </row>
    <row r="1221" spans="13:13" x14ac:dyDescent="0.3">
      <c r="M1221"/>
    </row>
    <row r="1222" spans="13:13" x14ac:dyDescent="0.3">
      <c r="M1222"/>
    </row>
    <row r="1223" spans="13:13" x14ac:dyDescent="0.3">
      <c r="M1223"/>
    </row>
    <row r="1224" spans="13:13" x14ac:dyDescent="0.3">
      <c r="M1224"/>
    </row>
    <row r="1225" spans="13:13" x14ac:dyDescent="0.3">
      <c r="M1225"/>
    </row>
    <row r="1226" spans="13:13" x14ac:dyDescent="0.3">
      <c r="M1226"/>
    </row>
    <row r="1227" spans="13:13" x14ac:dyDescent="0.3">
      <c r="M1227"/>
    </row>
    <row r="1228" spans="13:13" x14ac:dyDescent="0.3">
      <c r="M1228"/>
    </row>
    <row r="1229" spans="13:13" x14ac:dyDescent="0.3">
      <c r="M1229"/>
    </row>
    <row r="1230" spans="13:13" x14ac:dyDescent="0.3">
      <c r="M1230"/>
    </row>
    <row r="1231" spans="13:13" x14ac:dyDescent="0.3">
      <c r="M1231"/>
    </row>
    <row r="1232" spans="13:13" x14ac:dyDescent="0.3">
      <c r="M1232"/>
    </row>
    <row r="1233" spans="13:13" x14ac:dyDescent="0.3">
      <c r="M1233"/>
    </row>
    <row r="1234" spans="13:13" x14ac:dyDescent="0.3">
      <c r="M1234"/>
    </row>
    <row r="1235" spans="13:13" x14ac:dyDescent="0.3">
      <c r="M1235"/>
    </row>
    <row r="1236" spans="13:13" x14ac:dyDescent="0.3">
      <c r="M1236"/>
    </row>
    <row r="1237" spans="13:13" x14ac:dyDescent="0.3">
      <c r="M1237"/>
    </row>
    <row r="1238" spans="13:13" x14ac:dyDescent="0.3">
      <c r="M1238"/>
    </row>
    <row r="1239" spans="13:13" x14ac:dyDescent="0.3">
      <c r="M1239"/>
    </row>
    <row r="1240" spans="13:13" x14ac:dyDescent="0.3">
      <c r="M1240"/>
    </row>
    <row r="1241" spans="13:13" x14ac:dyDescent="0.3">
      <c r="M1241"/>
    </row>
    <row r="1242" spans="13:13" x14ac:dyDescent="0.3">
      <c r="M1242"/>
    </row>
    <row r="1243" spans="13:13" x14ac:dyDescent="0.3">
      <c r="M1243"/>
    </row>
    <row r="1244" spans="13:13" x14ac:dyDescent="0.3">
      <c r="M1244"/>
    </row>
    <row r="1245" spans="13:13" x14ac:dyDescent="0.3">
      <c r="M1245"/>
    </row>
    <row r="1246" spans="13:13" x14ac:dyDescent="0.3">
      <c r="M1246"/>
    </row>
    <row r="1247" spans="13:13" x14ac:dyDescent="0.3">
      <c r="M1247"/>
    </row>
    <row r="1248" spans="13:13" x14ac:dyDescent="0.3">
      <c r="M1248"/>
    </row>
    <row r="1249" spans="13:13" x14ac:dyDescent="0.3">
      <c r="M1249"/>
    </row>
    <row r="1250" spans="13:13" x14ac:dyDescent="0.3">
      <c r="M1250"/>
    </row>
    <row r="1251" spans="13:13" x14ac:dyDescent="0.3">
      <c r="M1251"/>
    </row>
    <row r="1252" spans="13:13" x14ac:dyDescent="0.3">
      <c r="M1252"/>
    </row>
    <row r="1253" spans="13:13" x14ac:dyDescent="0.3">
      <c r="M1253"/>
    </row>
    <row r="1254" spans="13:13" x14ac:dyDescent="0.3">
      <c r="M1254"/>
    </row>
    <row r="1255" spans="13:13" x14ac:dyDescent="0.3">
      <c r="M1255"/>
    </row>
    <row r="1256" spans="13:13" x14ac:dyDescent="0.3">
      <c r="M1256"/>
    </row>
    <row r="1257" spans="13:13" x14ac:dyDescent="0.3">
      <c r="M1257"/>
    </row>
    <row r="1258" spans="13:13" x14ac:dyDescent="0.3">
      <c r="M1258"/>
    </row>
    <row r="1259" spans="13:13" x14ac:dyDescent="0.3">
      <c r="M1259"/>
    </row>
    <row r="1260" spans="13:13" x14ac:dyDescent="0.3">
      <c r="M1260"/>
    </row>
    <row r="1261" spans="13:13" x14ac:dyDescent="0.3">
      <c r="M1261"/>
    </row>
    <row r="1262" spans="13:13" x14ac:dyDescent="0.3">
      <c r="M1262"/>
    </row>
    <row r="1263" spans="13:13" x14ac:dyDescent="0.3">
      <c r="M1263"/>
    </row>
    <row r="1264" spans="13:13" x14ac:dyDescent="0.3">
      <c r="M1264"/>
    </row>
    <row r="1265" spans="13:13" x14ac:dyDescent="0.3">
      <c r="M1265"/>
    </row>
    <row r="1266" spans="13:13" x14ac:dyDescent="0.3">
      <c r="M1266"/>
    </row>
    <row r="1267" spans="13:13" x14ac:dyDescent="0.3">
      <c r="M1267"/>
    </row>
    <row r="1268" spans="13:13" x14ac:dyDescent="0.3">
      <c r="M1268"/>
    </row>
    <row r="1269" spans="13:13" x14ac:dyDescent="0.3">
      <c r="M1269"/>
    </row>
    <row r="1270" spans="13:13" x14ac:dyDescent="0.3">
      <c r="M1270"/>
    </row>
    <row r="1271" spans="13:13" x14ac:dyDescent="0.3">
      <c r="M1271"/>
    </row>
    <row r="1272" spans="13:13" x14ac:dyDescent="0.3">
      <c r="M1272"/>
    </row>
    <row r="1273" spans="13:13" x14ac:dyDescent="0.3">
      <c r="M1273"/>
    </row>
    <row r="1274" spans="13:13" x14ac:dyDescent="0.3">
      <c r="M1274"/>
    </row>
    <row r="1275" spans="13:13" x14ac:dyDescent="0.3">
      <c r="M1275"/>
    </row>
    <row r="1276" spans="13:13" x14ac:dyDescent="0.3">
      <c r="M1276"/>
    </row>
    <row r="1277" spans="13:13" x14ac:dyDescent="0.3">
      <c r="M1277"/>
    </row>
    <row r="1278" spans="13:13" x14ac:dyDescent="0.3">
      <c r="M1278"/>
    </row>
    <row r="1279" spans="13:13" x14ac:dyDescent="0.3">
      <c r="M1279"/>
    </row>
    <row r="1280" spans="13:13" x14ac:dyDescent="0.3">
      <c r="M1280"/>
    </row>
    <row r="1281" spans="13:13" x14ac:dyDescent="0.3">
      <c r="M1281"/>
    </row>
    <row r="1282" spans="13:13" x14ac:dyDescent="0.3">
      <c r="M1282"/>
    </row>
    <row r="1283" spans="13:13" x14ac:dyDescent="0.3">
      <c r="M1283"/>
    </row>
    <row r="1284" spans="13:13" x14ac:dyDescent="0.3">
      <c r="M1284"/>
    </row>
    <row r="1285" spans="13:13" x14ac:dyDescent="0.3">
      <c r="M1285"/>
    </row>
    <row r="1286" spans="13:13" x14ac:dyDescent="0.3">
      <c r="M1286"/>
    </row>
    <row r="1287" spans="13:13" x14ac:dyDescent="0.3">
      <c r="M1287"/>
    </row>
    <row r="1288" spans="13:13" x14ac:dyDescent="0.3">
      <c r="M1288"/>
    </row>
    <row r="1289" spans="13:13" x14ac:dyDescent="0.3">
      <c r="M1289"/>
    </row>
    <row r="1290" spans="13:13" x14ac:dyDescent="0.3">
      <c r="M1290"/>
    </row>
    <row r="1291" spans="13:13" x14ac:dyDescent="0.3">
      <c r="M1291"/>
    </row>
    <row r="1292" spans="13:13" x14ac:dyDescent="0.3">
      <c r="M1292"/>
    </row>
    <row r="1293" spans="13:13" x14ac:dyDescent="0.3">
      <c r="M1293"/>
    </row>
    <row r="1294" spans="13:13" x14ac:dyDescent="0.3">
      <c r="M1294"/>
    </row>
    <row r="1295" spans="13:13" x14ac:dyDescent="0.3">
      <c r="M1295"/>
    </row>
    <row r="1296" spans="13:13" x14ac:dyDescent="0.3">
      <c r="M1296"/>
    </row>
    <row r="1297" spans="13:13" x14ac:dyDescent="0.3">
      <c r="M1297"/>
    </row>
    <row r="1298" spans="13:13" x14ac:dyDescent="0.3">
      <c r="M1298"/>
    </row>
    <row r="1299" spans="13:13" x14ac:dyDescent="0.3">
      <c r="M1299"/>
    </row>
    <row r="1300" spans="13:13" x14ac:dyDescent="0.3">
      <c r="M1300"/>
    </row>
    <row r="1301" spans="13:13" x14ac:dyDescent="0.3">
      <c r="M1301"/>
    </row>
    <row r="1302" spans="13:13" x14ac:dyDescent="0.3">
      <c r="M1302"/>
    </row>
    <row r="1303" spans="13:13" x14ac:dyDescent="0.3">
      <c r="M1303"/>
    </row>
    <row r="1304" spans="13:13" x14ac:dyDescent="0.3">
      <c r="M1304"/>
    </row>
    <row r="1305" spans="13:13" x14ac:dyDescent="0.3">
      <c r="M1305"/>
    </row>
    <row r="1306" spans="13:13" x14ac:dyDescent="0.3">
      <c r="M1306"/>
    </row>
    <row r="1307" spans="13:13" x14ac:dyDescent="0.3">
      <c r="M1307"/>
    </row>
    <row r="1308" spans="13:13" x14ac:dyDescent="0.3">
      <c r="M1308"/>
    </row>
    <row r="1309" spans="13:13" x14ac:dyDescent="0.3">
      <c r="M1309"/>
    </row>
    <row r="1310" spans="13:13" x14ac:dyDescent="0.3">
      <c r="M1310"/>
    </row>
    <row r="1311" spans="13:13" x14ac:dyDescent="0.3">
      <c r="M1311"/>
    </row>
    <row r="1312" spans="13:13" x14ac:dyDescent="0.3">
      <c r="M1312"/>
    </row>
    <row r="1313" spans="13:13" x14ac:dyDescent="0.3">
      <c r="M1313"/>
    </row>
    <row r="1314" spans="13:13" x14ac:dyDescent="0.3">
      <c r="M1314"/>
    </row>
    <row r="1315" spans="13:13" x14ac:dyDescent="0.3">
      <c r="M1315"/>
    </row>
    <row r="1316" spans="13:13" x14ac:dyDescent="0.3">
      <c r="M1316"/>
    </row>
    <row r="1317" spans="13:13" x14ac:dyDescent="0.3">
      <c r="M1317"/>
    </row>
    <row r="1318" spans="13:13" x14ac:dyDescent="0.3">
      <c r="M1318"/>
    </row>
    <row r="1319" spans="13:13" x14ac:dyDescent="0.3">
      <c r="M1319"/>
    </row>
    <row r="1320" spans="13:13" x14ac:dyDescent="0.3">
      <c r="M1320"/>
    </row>
    <row r="1321" spans="13:13" x14ac:dyDescent="0.3">
      <c r="M1321"/>
    </row>
    <row r="1322" spans="13:13" x14ac:dyDescent="0.3">
      <c r="M1322"/>
    </row>
    <row r="1323" spans="13:13" x14ac:dyDescent="0.3">
      <c r="M1323"/>
    </row>
    <row r="1324" spans="13:13" x14ac:dyDescent="0.3">
      <c r="M1324"/>
    </row>
    <row r="1325" spans="13:13" x14ac:dyDescent="0.3">
      <c r="M1325"/>
    </row>
    <row r="1326" spans="13:13" x14ac:dyDescent="0.3">
      <c r="M1326"/>
    </row>
    <row r="1327" spans="13:13" x14ac:dyDescent="0.3">
      <c r="M1327"/>
    </row>
    <row r="1328" spans="13:13" x14ac:dyDescent="0.3">
      <c r="M1328"/>
    </row>
    <row r="1329" spans="13:13" x14ac:dyDescent="0.3">
      <c r="M1329"/>
    </row>
    <row r="1330" spans="13:13" x14ac:dyDescent="0.3">
      <c r="M1330"/>
    </row>
    <row r="1331" spans="13:13" x14ac:dyDescent="0.3">
      <c r="M1331"/>
    </row>
    <row r="1332" spans="13:13" x14ac:dyDescent="0.3">
      <c r="M1332"/>
    </row>
    <row r="1333" spans="13:13" x14ac:dyDescent="0.3">
      <c r="M1333"/>
    </row>
    <row r="1334" spans="13:13" x14ac:dyDescent="0.3">
      <c r="M1334"/>
    </row>
    <row r="1335" spans="13:13" x14ac:dyDescent="0.3">
      <c r="M1335"/>
    </row>
    <row r="1336" spans="13:13" x14ac:dyDescent="0.3">
      <c r="M1336"/>
    </row>
    <row r="1337" spans="13:13" x14ac:dyDescent="0.3">
      <c r="M1337"/>
    </row>
    <row r="1338" spans="13:13" x14ac:dyDescent="0.3">
      <c r="M1338"/>
    </row>
    <row r="1339" spans="13:13" x14ac:dyDescent="0.3">
      <c r="M1339"/>
    </row>
    <row r="1340" spans="13:13" x14ac:dyDescent="0.3">
      <c r="M1340"/>
    </row>
    <row r="1341" spans="13:13" x14ac:dyDescent="0.3">
      <c r="M1341"/>
    </row>
    <row r="1342" spans="13:13" x14ac:dyDescent="0.3">
      <c r="M1342"/>
    </row>
    <row r="1343" spans="13:13" x14ac:dyDescent="0.3">
      <c r="M1343"/>
    </row>
    <row r="1344" spans="13:13" x14ac:dyDescent="0.3">
      <c r="M1344"/>
    </row>
    <row r="1345" spans="13:13" x14ac:dyDescent="0.3">
      <c r="M1345"/>
    </row>
    <row r="1346" spans="13:13" x14ac:dyDescent="0.3">
      <c r="M1346"/>
    </row>
    <row r="1347" spans="13:13" x14ac:dyDescent="0.3">
      <c r="M1347"/>
    </row>
    <row r="1348" spans="13:13" x14ac:dyDescent="0.3">
      <c r="M1348"/>
    </row>
    <row r="1349" spans="13:13" x14ac:dyDescent="0.3">
      <c r="M1349"/>
    </row>
    <row r="1350" spans="13:13" x14ac:dyDescent="0.3">
      <c r="M1350"/>
    </row>
    <row r="1351" spans="13:13" x14ac:dyDescent="0.3">
      <c r="M1351"/>
    </row>
    <row r="1352" spans="13:13" x14ac:dyDescent="0.3">
      <c r="M1352"/>
    </row>
    <row r="1353" spans="13:13" x14ac:dyDescent="0.3">
      <c r="M1353"/>
    </row>
    <row r="1354" spans="13:13" x14ac:dyDescent="0.3">
      <c r="M1354"/>
    </row>
    <row r="1355" spans="13:13" x14ac:dyDescent="0.3">
      <c r="M1355"/>
    </row>
    <row r="1356" spans="13:13" x14ac:dyDescent="0.3">
      <c r="M1356"/>
    </row>
    <row r="1357" spans="13:13" x14ac:dyDescent="0.3">
      <c r="M1357"/>
    </row>
    <row r="1358" spans="13:13" x14ac:dyDescent="0.3">
      <c r="M1358"/>
    </row>
    <row r="1359" spans="13:13" x14ac:dyDescent="0.3">
      <c r="M1359"/>
    </row>
    <row r="1360" spans="13:13" x14ac:dyDescent="0.3">
      <c r="M1360"/>
    </row>
    <row r="1361" spans="13:13" x14ac:dyDescent="0.3">
      <c r="M1361"/>
    </row>
    <row r="1362" spans="13:13" x14ac:dyDescent="0.3">
      <c r="M1362"/>
    </row>
    <row r="1363" spans="13:13" x14ac:dyDescent="0.3">
      <c r="M1363"/>
    </row>
    <row r="1364" spans="13:13" x14ac:dyDescent="0.3">
      <c r="M1364"/>
    </row>
    <row r="1365" spans="13:13" x14ac:dyDescent="0.3">
      <c r="M1365"/>
    </row>
    <row r="1366" spans="13:13" x14ac:dyDescent="0.3">
      <c r="M1366"/>
    </row>
    <row r="1367" spans="13:13" x14ac:dyDescent="0.3">
      <c r="M1367"/>
    </row>
    <row r="1368" spans="13:13" x14ac:dyDescent="0.3">
      <c r="M1368"/>
    </row>
    <row r="1369" spans="13:13" x14ac:dyDescent="0.3">
      <c r="M1369"/>
    </row>
    <row r="1370" spans="13:13" x14ac:dyDescent="0.3">
      <c r="M1370"/>
    </row>
    <row r="1371" spans="13:13" x14ac:dyDescent="0.3">
      <c r="M1371"/>
    </row>
    <row r="1372" spans="13:13" x14ac:dyDescent="0.3">
      <c r="M1372"/>
    </row>
    <row r="1373" spans="13:13" x14ac:dyDescent="0.3">
      <c r="M1373"/>
    </row>
    <row r="1374" spans="13:13" x14ac:dyDescent="0.3">
      <c r="M1374"/>
    </row>
    <row r="1375" spans="13:13" x14ac:dyDescent="0.3">
      <c r="M1375"/>
    </row>
    <row r="1376" spans="13:13" x14ac:dyDescent="0.3">
      <c r="M1376"/>
    </row>
    <row r="1377" spans="13:13" x14ac:dyDescent="0.3">
      <c r="M1377"/>
    </row>
    <row r="1378" spans="13:13" x14ac:dyDescent="0.3">
      <c r="M1378"/>
    </row>
    <row r="1379" spans="13:13" x14ac:dyDescent="0.3">
      <c r="M1379"/>
    </row>
    <row r="1380" spans="13:13" x14ac:dyDescent="0.3">
      <c r="M1380"/>
    </row>
    <row r="1381" spans="13:13" x14ac:dyDescent="0.3">
      <c r="M1381"/>
    </row>
    <row r="1382" spans="13:13" x14ac:dyDescent="0.3">
      <c r="M1382"/>
    </row>
    <row r="1383" spans="13:13" x14ac:dyDescent="0.3">
      <c r="M1383"/>
    </row>
    <row r="1384" spans="13:13" x14ac:dyDescent="0.3">
      <c r="M1384"/>
    </row>
    <row r="1385" spans="13:13" x14ac:dyDescent="0.3">
      <c r="M1385"/>
    </row>
    <row r="1386" spans="13:13" x14ac:dyDescent="0.3">
      <c r="M1386"/>
    </row>
    <row r="1387" spans="13:13" x14ac:dyDescent="0.3">
      <c r="M1387"/>
    </row>
    <row r="1388" spans="13:13" x14ac:dyDescent="0.3">
      <c r="M1388"/>
    </row>
    <row r="1389" spans="13:13" x14ac:dyDescent="0.3">
      <c r="M1389"/>
    </row>
    <row r="1390" spans="13:13" x14ac:dyDescent="0.3">
      <c r="M1390"/>
    </row>
    <row r="1391" spans="13:13" x14ac:dyDescent="0.3">
      <c r="M1391"/>
    </row>
    <row r="1392" spans="13:13" x14ac:dyDescent="0.3">
      <c r="M1392"/>
    </row>
    <row r="1393" spans="13:13" x14ac:dyDescent="0.3">
      <c r="M1393"/>
    </row>
    <row r="1394" spans="13:13" x14ac:dyDescent="0.3">
      <c r="M1394"/>
    </row>
    <row r="1395" spans="13:13" x14ac:dyDescent="0.3">
      <c r="M1395"/>
    </row>
    <row r="1396" spans="13:13" x14ac:dyDescent="0.3">
      <c r="M1396"/>
    </row>
    <row r="1397" spans="13:13" x14ac:dyDescent="0.3">
      <c r="M1397"/>
    </row>
    <row r="1398" spans="13:13" x14ac:dyDescent="0.3">
      <c r="M1398"/>
    </row>
    <row r="1399" spans="13:13" x14ac:dyDescent="0.3">
      <c r="M1399"/>
    </row>
    <row r="1400" spans="13:13" x14ac:dyDescent="0.3">
      <c r="M1400"/>
    </row>
    <row r="1401" spans="13:13" x14ac:dyDescent="0.3">
      <c r="M1401"/>
    </row>
    <row r="1402" spans="13:13" x14ac:dyDescent="0.3">
      <c r="M1402"/>
    </row>
    <row r="1403" spans="13:13" x14ac:dyDescent="0.3">
      <c r="M1403"/>
    </row>
    <row r="1404" spans="13:13" x14ac:dyDescent="0.3">
      <c r="M1404"/>
    </row>
    <row r="1405" spans="13:13" x14ac:dyDescent="0.3">
      <c r="M1405"/>
    </row>
    <row r="1406" spans="13:13" x14ac:dyDescent="0.3">
      <c r="M1406"/>
    </row>
    <row r="1407" spans="13:13" x14ac:dyDescent="0.3">
      <c r="M1407"/>
    </row>
    <row r="1408" spans="13:13" x14ac:dyDescent="0.3">
      <c r="M1408"/>
    </row>
    <row r="1409" spans="13:13" x14ac:dyDescent="0.3">
      <c r="M1409"/>
    </row>
    <row r="1410" spans="13:13" x14ac:dyDescent="0.3">
      <c r="M1410"/>
    </row>
    <row r="1411" spans="13:13" x14ac:dyDescent="0.3">
      <c r="M1411"/>
    </row>
    <row r="1412" spans="13:13" x14ac:dyDescent="0.3">
      <c r="M1412"/>
    </row>
    <row r="1413" spans="13:13" x14ac:dyDescent="0.3">
      <c r="M1413"/>
    </row>
    <row r="1414" spans="13:13" x14ac:dyDescent="0.3">
      <c r="M1414"/>
    </row>
    <row r="1415" spans="13:13" x14ac:dyDescent="0.3">
      <c r="M1415"/>
    </row>
    <row r="1416" spans="13:13" x14ac:dyDescent="0.3">
      <c r="M1416"/>
    </row>
    <row r="1417" spans="13:13" x14ac:dyDescent="0.3">
      <c r="M1417"/>
    </row>
    <row r="1418" spans="13:13" x14ac:dyDescent="0.3">
      <c r="M1418"/>
    </row>
    <row r="1419" spans="13:13" x14ac:dyDescent="0.3">
      <c r="M1419"/>
    </row>
    <row r="1420" spans="13:13" x14ac:dyDescent="0.3">
      <c r="M1420"/>
    </row>
    <row r="1421" spans="13:13" x14ac:dyDescent="0.3">
      <c r="M1421"/>
    </row>
    <row r="1422" spans="13:13" x14ac:dyDescent="0.3">
      <c r="M1422"/>
    </row>
    <row r="1423" spans="13:13" x14ac:dyDescent="0.3">
      <c r="M1423"/>
    </row>
    <row r="1424" spans="13:13" x14ac:dyDescent="0.3">
      <c r="M1424"/>
    </row>
    <row r="1425" spans="13:13" x14ac:dyDescent="0.3">
      <c r="M1425"/>
    </row>
    <row r="1426" spans="13:13" x14ac:dyDescent="0.3">
      <c r="M1426"/>
    </row>
    <row r="1427" spans="13:13" x14ac:dyDescent="0.3">
      <c r="M1427"/>
    </row>
    <row r="1428" spans="13:13" x14ac:dyDescent="0.3">
      <c r="M1428"/>
    </row>
    <row r="1429" spans="13:13" x14ac:dyDescent="0.3">
      <c r="M1429"/>
    </row>
    <row r="1430" spans="13:13" x14ac:dyDescent="0.3">
      <c r="M1430"/>
    </row>
    <row r="1431" spans="13:13" x14ac:dyDescent="0.3">
      <c r="M1431"/>
    </row>
    <row r="1432" spans="13:13" x14ac:dyDescent="0.3">
      <c r="M1432"/>
    </row>
    <row r="1433" spans="13:13" x14ac:dyDescent="0.3">
      <c r="M1433"/>
    </row>
    <row r="1434" spans="13:13" x14ac:dyDescent="0.3">
      <c r="M1434"/>
    </row>
    <row r="1435" spans="13:13" x14ac:dyDescent="0.3">
      <c r="M1435"/>
    </row>
    <row r="1436" spans="13:13" x14ac:dyDescent="0.3">
      <c r="M1436"/>
    </row>
    <row r="1437" spans="13:13" x14ac:dyDescent="0.3">
      <c r="M1437"/>
    </row>
    <row r="1438" spans="13:13" x14ac:dyDescent="0.3">
      <c r="M1438"/>
    </row>
    <row r="1439" spans="13:13" x14ac:dyDescent="0.3">
      <c r="M1439"/>
    </row>
    <row r="1440" spans="13:13" x14ac:dyDescent="0.3">
      <c r="M1440"/>
    </row>
    <row r="1441" spans="13:13" x14ac:dyDescent="0.3">
      <c r="M1441"/>
    </row>
    <row r="1442" spans="13:13" x14ac:dyDescent="0.3">
      <c r="M1442"/>
    </row>
    <row r="1443" spans="13:13" x14ac:dyDescent="0.3">
      <c r="M1443"/>
    </row>
    <row r="1444" spans="13:13" x14ac:dyDescent="0.3">
      <c r="M1444"/>
    </row>
    <row r="1445" spans="13:13" x14ac:dyDescent="0.3">
      <c r="M1445"/>
    </row>
    <row r="1446" spans="13:13" x14ac:dyDescent="0.3">
      <c r="M1446"/>
    </row>
    <row r="1447" spans="13:13" x14ac:dyDescent="0.3">
      <c r="M1447"/>
    </row>
    <row r="1448" spans="13:13" x14ac:dyDescent="0.3">
      <c r="M1448"/>
    </row>
    <row r="1449" spans="13:13" x14ac:dyDescent="0.3">
      <c r="M1449"/>
    </row>
    <row r="1450" spans="13:13" x14ac:dyDescent="0.3">
      <c r="M1450"/>
    </row>
    <row r="1451" spans="13:13" x14ac:dyDescent="0.3">
      <c r="M1451"/>
    </row>
    <row r="1452" spans="13:13" x14ac:dyDescent="0.3">
      <c r="M1452"/>
    </row>
    <row r="1453" spans="13:13" x14ac:dyDescent="0.3">
      <c r="M1453"/>
    </row>
    <row r="1454" spans="13:13" x14ac:dyDescent="0.3">
      <c r="M1454"/>
    </row>
    <row r="1455" spans="13:13" x14ac:dyDescent="0.3">
      <c r="M1455"/>
    </row>
    <row r="1456" spans="13:13" x14ac:dyDescent="0.3">
      <c r="M1456"/>
    </row>
    <row r="1457" spans="13:13" x14ac:dyDescent="0.3">
      <c r="M1457"/>
    </row>
    <row r="1458" spans="13:13" x14ac:dyDescent="0.3">
      <c r="M1458"/>
    </row>
    <row r="1459" spans="13:13" x14ac:dyDescent="0.3">
      <c r="M1459"/>
    </row>
    <row r="1460" spans="13:13" x14ac:dyDescent="0.3">
      <c r="M1460"/>
    </row>
    <row r="1461" spans="13:13" x14ac:dyDescent="0.3">
      <c r="M1461"/>
    </row>
    <row r="1462" spans="13:13" x14ac:dyDescent="0.3">
      <c r="M1462"/>
    </row>
    <row r="1463" spans="13:13" x14ac:dyDescent="0.3">
      <c r="M1463"/>
    </row>
    <row r="1464" spans="13:13" x14ac:dyDescent="0.3">
      <c r="M1464"/>
    </row>
    <row r="1465" spans="13:13" x14ac:dyDescent="0.3">
      <c r="M1465"/>
    </row>
    <row r="1466" spans="13:13" x14ac:dyDescent="0.3">
      <c r="M1466"/>
    </row>
    <row r="1467" spans="13:13" x14ac:dyDescent="0.3">
      <c r="M1467"/>
    </row>
    <row r="1468" spans="13:13" x14ac:dyDescent="0.3">
      <c r="M1468"/>
    </row>
    <row r="1469" spans="13:13" x14ac:dyDescent="0.3">
      <c r="M1469"/>
    </row>
    <row r="1470" spans="13:13" x14ac:dyDescent="0.3">
      <c r="M1470"/>
    </row>
    <row r="1471" spans="13:13" x14ac:dyDescent="0.3">
      <c r="M1471"/>
    </row>
    <row r="1472" spans="13:13" x14ac:dyDescent="0.3">
      <c r="M1472"/>
    </row>
    <row r="1473" spans="13:13" x14ac:dyDescent="0.3">
      <c r="M1473"/>
    </row>
    <row r="1474" spans="13:13" x14ac:dyDescent="0.3">
      <c r="M1474"/>
    </row>
    <row r="1475" spans="13:13" x14ac:dyDescent="0.3">
      <c r="M1475"/>
    </row>
    <row r="1476" spans="13:13" x14ac:dyDescent="0.3">
      <c r="M1476"/>
    </row>
    <row r="1477" spans="13:13" x14ac:dyDescent="0.3">
      <c r="M1477"/>
    </row>
    <row r="1478" spans="13:13" x14ac:dyDescent="0.3">
      <c r="M1478"/>
    </row>
    <row r="1479" spans="13:13" x14ac:dyDescent="0.3">
      <c r="M1479"/>
    </row>
    <row r="1480" spans="13:13" x14ac:dyDescent="0.3">
      <c r="M1480"/>
    </row>
    <row r="1481" spans="13:13" x14ac:dyDescent="0.3">
      <c r="M1481"/>
    </row>
    <row r="1482" spans="13:13" x14ac:dyDescent="0.3">
      <c r="M1482"/>
    </row>
    <row r="1483" spans="13:13" x14ac:dyDescent="0.3">
      <c r="M1483"/>
    </row>
  </sheetData>
  <mergeCells count="5">
    <mergeCell ref="B15:B16"/>
    <mergeCell ref="B3:B4"/>
    <mergeCell ref="B5:B6"/>
    <mergeCell ref="B7:B10"/>
    <mergeCell ref="B22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>
      <selection activeCell="H39" sqref="H39"/>
    </sheetView>
  </sheetViews>
  <sheetFormatPr defaultRowHeight="14.4" x14ac:dyDescent="0.3"/>
  <cols>
    <col min="2" max="2" width="117.88671875" bestFit="1" customWidth="1"/>
    <col min="4" max="4" width="13.109375" customWidth="1"/>
    <col min="5" max="5" width="27.33203125" bestFit="1" customWidth="1"/>
    <col min="6" max="6" width="34.44140625" customWidth="1"/>
    <col min="11" max="11" width="16.109375" bestFit="1" customWidth="1"/>
    <col min="14" max="14" width="10.109375" bestFit="1" customWidth="1"/>
  </cols>
  <sheetData>
    <row r="1" spans="1:14" x14ac:dyDescent="0.3">
      <c r="A1" t="s">
        <v>0</v>
      </c>
      <c r="B1" t="s">
        <v>2</v>
      </c>
      <c r="C1" t="s">
        <v>20</v>
      </c>
      <c r="D1" t="s">
        <v>21</v>
      </c>
      <c r="E1" t="s">
        <v>38</v>
      </c>
      <c r="F1" t="s">
        <v>3</v>
      </c>
      <c r="G1" t="s">
        <v>25</v>
      </c>
      <c r="H1" t="s">
        <v>26</v>
      </c>
      <c r="I1" t="s">
        <v>27</v>
      </c>
      <c r="J1" t="s">
        <v>28</v>
      </c>
      <c r="K1" s="1" t="s">
        <v>29</v>
      </c>
      <c r="M1" t="s">
        <v>37</v>
      </c>
    </row>
    <row r="2" spans="1:14" x14ac:dyDescent="0.3">
      <c r="A2">
        <v>1</v>
      </c>
      <c r="B2" t="s">
        <v>24</v>
      </c>
      <c r="C2" t="s">
        <v>8</v>
      </c>
      <c r="D2" t="s">
        <v>22</v>
      </c>
      <c r="E2" s="1">
        <f>K2</f>
        <v>44257</v>
      </c>
      <c r="F2" s="1"/>
      <c r="G2">
        <f>VALUE(LEFT(D2,2))</f>
        <v>8</v>
      </c>
      <c r="H2">
        <f t="shared" ref="H2:H14" si="0">VALUE(LEFT(D2,2))/8</f>
        <v>1</v>
      </c>
      <c r="I2">
        <f>G2/8</f>
        <v>1</v>
      </c>
      <c r="J2">
        <f>SUM(H2:I2)</f>
        <v>2</v>
      </c>
      <c r="K2" s="1">
        <f>WORKDAY('MB1'!E14,J2)</f>
        <v>44257</v>
      </c>
      <c r="M2">
        <f t="shared" ref="M2:M14" si="1">IF(RIGHT(D2,1)="p",VALUE(LEFT(RIGHT(D2,4),3))/8,IF(RIGHT(D2,4)="p -}",VALUE(LEFT(RIGHT(D2,7),3))/8,0))</f>
        <v>0</v>
      </c>
      <c r="N2" s="1">
        <v>44198</v>
      </c>
    </row>
    <row r="3" spans="1:14" x14ac:dyDescent="0.3">
      <c r="A3">
        <v>2</v>
      </c>
      <c r="B3" t="s">
        <v>5</v>
      </c>
      <c r="C3" t="s">
        <v>6</v>
      </c>
      <c r="D3" t="s">
        <v>1</v>
      </c>
      <c r="E3" s="1">
        <f t="shared" ref="E3:E14" si="2">K3</f>
        <v>44260</v>
      </c>
      <c r="H3">
        <f t="shared" si="0"/>
        <v>3</v>
      </c>
      <c r="I3">
        <f t="shared" ref="I3:I14" si="3">G3/8</f>
        <v>0</v>
      </c>
      <c r="J3">
        <f t="shared" ref="J3:J14" si="4">SUM(H3:I3)</f>
        <v>3</v>
      </c>
      <c r="K3" s="1">
        <f>WORKDAY(K2,J3)</f>
        <v>44260</v>
      </c>
      <c r="M3">
        <f t="shared" si="1"/>
        <v>0</v>
      </c>
      <c r="N3" s="1">
        <f>WORKDAY(N2,M3)</f>
        <v>44198</v>
      </c>
    </row>
    <row r="4" spans="1:14" x14ac:dyDescent="0.3">
      <c r="A4">
        <v>3</v>
      </c>
      <c r="B4" t="s">
        <v>7</v>
      </c>
      <c r="C4" t="s">
        <v>8</v>
      </c>
      <c r="D4" t="s">
        <v>23</v>
      </c>
      <c r="E4" s="1">
        <f t="shared" si="2"/>
        <v>44266</v>
      </c>
      <c r="H4">
        <f t="shared" si="0"/>
        <v>4</v>
      </c>
      <c r="I4">
        <f t="shared" si="3"/>
        <v>0</v>
      </c>
      <c r="J4">
        <f t="shared" si="4"/>
        <v>4</v>
      </c>
      <c r="K4" s="1">
        <f t="shared" ref="K4:K14" si="5">WORKDAY(K3,J4)</f>
        <v>44266</v>
      </c>
      <c r="M4">
        <f t="shared" si="1"/>
        <v>0</v>
      </c>
      <c r="N4" s="1">
        <f t="shared" ref="N4:N14" si="6">WORKDAY(N3,M4)</f>
        <v>44198</v>
      </c>
    </row>
    <row r="5" spans="1:14" x14ac:dyDescent="0.3">
      <c r="A5">
        <v>4</v>
      </c>
      <c r="B5" t="s">
        <v>10</v>
      </c>
      <c r="C5" t="s">
        <v>6</v>
      </c>
      <c r="D5" t="s">
        <v>43</v>
      </c>
      <c r="E5" s="1">
        <f t="shared" si="2"/>
        <v>44267</v>
      </c>
      <c r="H5">
        <f t="shared" si="0"/>
        <v>1</v>
      </c>
      <c r="I5">
        <f t="shared" si="3"/>
        <v>0</v>
      </c>
      <c r="J5">
        <f t="shared" si="4"/>
        <v>1</v>
      </c>
      <c r="K5" s="1">
        <f t="shared" si="5"/>
        <v>44267</v>
      </c>
      <c r="M5">
        <f t="shared" si="1"/>
        <v>0</v>
      </c>
      <c r="N5" s="1">
        <f t="shared" si="6"/>
        <v>44198</v>
      </c>
    </row>
    <row r="6" spans="1:14" x14ac:dyDescent="0.3">
      <c r="A6">
        <v>5</v>
      </c>
      <c r="B6" t="s">
        <v>11</v>
      </c>
      <c r="C6" t="s">
        <v>6</v>
      </c>
      <c r="D6" t="s">
        <v>32</v>
      </c>
      <c r="E6" s="1">
        <f t="shared" si="2"/>
        <v>44270</v>
      </c>
      <c r="F6" t="s">
        <v>9</v>
      </c>
      <c r="H6">
        <f t="shared" si="0"/>
        <v>1</v>
      </c>
      <c r="I6">
        <f t="shared" si="3"/>
        <v>0</v>
      </c>
      <c r="J6">
        <f t="shared" si="4"/>
        <v>1</v>
      </c>
      <c r="K6" s="1">
        <f t="shared" si="5"/>
        <v>44270</v>
      </c>
      <c r="M6">
        <f t="shared" si="1"/>
        <v>0</v>
      </c>
      <c r="N6" s="1">
        <f t="shared" si="6"/>
        <v>44198</v>
      </c>
    </row>
    <row r="7" spans="1:14" x14ac:dyDescent="0.3">
      <c r="A7">
        <v>6</v>
      </c>
      <c r="B7" t="s">
        <v>12</v>
      </c>
      <c r="C7" t="s">
        <v>6</v>
      </c>
      <c r="D7" t="s">
        <v>44</v>
      </c>
      <c r="E7" s="1">
        <f t="shared" si="2"/>
        <v>44271</v>
      </c>
      <c r="H7">
        <f t="shared" si="0"/>
        <v>1</v>
      </c>
      <c r="I7">
        <f t="shared" si="3"/>
        <v>0</v>
      </c>
      <c r="J7">
        <f t="shared" si="4"/>
        <v>1</v>
      </c>
      <c r="K7" s="1">
        <f t="shared" si="5"/>
        <v>44271</v>
      </c>
      <c r="M7">
        <f t="shared" si="1"/>
        <v>2</v>
      </c>
      <c r="N7" s="1">
        <f t="shared" si="6"/>
        <v>44201</v>
      </c>
    </row>
    <row r="8" spans="1:14" x14ac:dyDescent="0.3">
      <c r="A8">
        <v>7</v>
      </c>
      <c r="B8" t="s">
        <v>13</v>
      </c>
      <c r="C8" t="s">
        <v>6</v>
      </c>
      <c r="D8" t="s">
        <v>45</v>
      </c>
      <c r="E8" s="1">
        <f t="shared" si="2"/>
        <v>44272</v>
      </c>
      <c r="H8">
        <f t="shared" si="0"/>
        <v>1</v>
      </c>
      <c r="I8">
        <f t="shared" si="3"/>
        <v>0</v>
      </c>
      <c r="J8">
        <f t="shared" si="4"/>
        <v>1</v>
      </c>
      <c r="K8" s="1">
        <f t="shared" si="5"/>
        <v>44272</v>
      </c>
      <c r="M8">
        <f t="shared" si="1"/>
        <v>1</v>
      </c>
      <c r="N8" s="1">
        <f t="shared" si="6"/>
        <v>44202</v>
      </c>
    </row>
    <row r="9" spans="1:14" x14ac:dyDescent="0.3">
      <c r="A9">
        <v>8</v>
      </c>
      <c r="B9" t="s">
        <v>14</v>
      </c>
      <c r="C9" t="s">
        <v>6</v>
      </c>
      <c r="D9" t="s">
        <v>45</v>
      </c>
      <c r="E9" s="1">
        <f t="shared" si="2"/>
        <v>44273</v>
      </c>
      <c r="H9">
        <f t="shared" si="0"/>
        <v>1</v>
      </c>
      <c r="I9">
        <f t="shared" si="3"/>
        <v>0</v>
      </c>
      <c r="J9">
        <f t="shared" si="4"/>
        <v>1</v>
      </c>
      <c r="K9" s="1">
        <f t="shared" si="5"/>
        <v>44273</v>
      </c>
      <c r="M9">
        <f t="shared" si="1"/>
        <v>1</v>
      </c>
      <c r="N9" s="1">
        <f t="shared" si="6"/>
        <v>44203</v>
      </c>
    </row>
    <row r="10" spans="1:14" x14ac:dyDescent="0.3">
      <c r="A10">
        <v>9</v>
      </c>
      <c r="B10" t="s">
        <v>15</v>
      </c>
      <c r="C10" t="s">
        <v>6</v>
      </c>
      <c r="D10" t="s">
        <v>46</v>
      </c>
      <c r="E10" s="1">
        <f t="shared" si="2"/>
        <v>44273</v>
      </c>
      <c r="H10">
        <f t="shared" si="0"/>
        <v>0.5</v>
      </c>
      <c r="I10">
        <f t="shared" si="3"/>
        <v>0</v>
      </c>
      <c r="J10">
        <f t="shared" si="4"/>
        <v>0.5</v>
      </c>
      <c r="K10" s="1">
        <f t="shared" si="5"/>
        <v>44273</v>
      </c>
      <c r="M10">
        <f t="shared" si="1"/>
        <v>0</v>
      </c>
      <c r="N10" s="1">
        <f t="shared" si="6"/>
        <v>44203</v>
      </c>
    </row>
    <row r="11" spans="1:14" x14ac:dyDescent="0.3">
      <c r="A11">
        <v>10</v>
      </c>
      <c r="B11" t="s">
        <v>16</v>
      </c>
      <c r="C11" t="s">
        <v>6</v>
      </c>
      <c r="D11" t="s">
        <v>41</v>
      </c>
      <c r="E11" s="1">
        <f t="shared" si="2"/>
        <v>44277</v>
      </c>
      <c r="H11">
        <f t="shared" si="0"/>
        <v>2</v>
      </c>
      <c r="I11">
        <f t="shared" si="3"/>
        <v>0</v>
      </c>
      <c r="J11">
        <f t="shared" si="4"/>
        <v>2</v>
      </c>
      <c r="K11" s="1">
        <f t="shared" si="5"/>
        <v>44277</v>
      </c>
      <c r="M11">
        <f t="shared" si="1"/>
        <v>0</v>
      </c>
      <c r="N11" s="1">
        <f t="shared" si="6"/>
        <v>44203</v>
      </c>
    </row>
    <row r="12" spans="1:14" x14ac:dyDescent="0.3">
      <c r="A12">
        <v>11</v>
      </c>
      <c r="B12" t="s">
        <v>17</v>
      </c>
      <c r="C12" t="s">
        <v>6</v>
      </c>
      <c r="D12" t="s">
        <v>42</v>
      </c>
      <c r="E12" s="1">
        <f t="shared" si="2"/>
        <v>44279</v>
      </c>
      <c r="H12">
        <f t="shared" si="0"/>
        <v>2</v>
      </c>
      <c r="I12">
        <f t="shared" si="3"/>
        <v>0</v>
      </c>
      <c r="J12">
        <f t="shared" si="4"/>
        <v>2</v>
      </c>
      <c r="K12" s="1">
        <f t="shared" si="5"/>
        <v>44279</v>
      </c>
      <c r="M12">
        <f t="shared" si="1"/>
        <v>0</v>
      </c>
      <c r="N12" s="1">
        <f t="shared" si="6"/>
        <v>44203</v>
      </c>
    </row>
    <row r="13" spans="1:14" x14ac:dyDescent="0.3">
      <c r="A13">
        <v>12</v>
      </c>
      <c r="B13" t="s">
        <v>18</v>
      </c>
      <c r="C13" t="s">
        <v>6</v>
      </c>
      <c r="D13" t="s">
        <v>34</v>
      </c>
      <c r="E13" s="1">
        <f t="shared" si="2"/>
        <v>44284</v>
      </c>
      <c r="H13">
        <f t="shared" si="0"/>
        <v>3</v>
      </c>
      <c r="I13">
        <f t="shared" si="3"/>
        <v>0</v>
      </c>
      <c r="J13">
        <f t="shared" si="4"/>
        <v>3</v>
      </c>
      <c r="K13" s="1">
        <f t="shared" si="5"/>
        <v>44284</v>
      </c>
      <c r="M13">
        <f t="shared" si="1"/>
        <v>2</v>
      </c>
      <c r="N13" s="1">
        <f t="shared" si="6"/>
        <v>44207</v>
      </c>
    </row>
    <row r="14" spans="1:14" x14ac:dyDescent="0.3">
      <c r="A14">
        <v>13</v>
      </c>
      <c r="B14" t="s">
        <v>19</v>
      </c>
      <c r="C14" t="s">
        <v>6</v>
      </c>
      <c r="D14" t="s">
        <v>47</v>
      </c>
      <c r="E14" s="1">
        <f t="shared" si="2"/>
        <v>44287</v>
      </c>
      <c r="H14">
        <f t="shared" si="0"/>
        <v>3</v>
      </c>
      <c r="I14">
        <f t="shared" si="3"/>
        <v>0</v>
      </c>
      <c r="J14">
        <f t="shared" si="4"/>
        <v>3</v>
      </c>
      <c r="K14" s="1">
        <f t="shared" si="5"/>
        <v>44287</v>
      </c>
      <c r="M14">
        <f t="shared" si="1"/>
        <v>0</v>
      </c>
      <c r="N14" s="1">
        <f t="shared" si="6"/>
        <v>44207</v>
      </c>
    </row>
    <row r="15" spans="1:14" x14ac:dyDescent="0.3">
      <c r="K15" s="1"/>
    </row>
    <row r="16" spans="1:14" x14ac:dyDescent="0.3">
      <c r="G16" t="s">
        <v>28</v>
      </c>
      <c r="H16">
        <f>SUM(H2:H14)</f>
        <v>23.5</v>
      </c>
      <c r="I16">
        <f t="shared" ref="I16:M16" si="7">SUM(I2:I14)</f>
        <v>1</v>
      </c>
      <c r="J16">
        <f t="shared" si="7"/>
        <v>24.5</v>
      </c>
      <c r="K16" s="1"/>
      <c r="M16">
        <f t="shared" si="7"/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C284-D8DE-4176-B061-CCDBFD6987E5}">
  <dimension ref="A1:L44"/>
  <sheetViews>
    <sheetView tabSelected="1" topLeftCell="A22" workbookViewId="0">
      <selection activeCell="F36" sqref="F36"/>
    </sheetView>
  </sheetViews>
  <sheetFormatPr defaultRowHeight="14.4" x14ac:dyDescent="0.3"/>
  <cols>
    <col min="1" max="1" width="38.44140625" style="2" customWidth="1"/>
    <col min="2" max="3" width="13.5546875" customWidth="1"/>
    <col min="6" max="6" width="17.6640625" style="4" bestFit="1" customWidth="1"/>
    <col min="7" max="7" width="17.6640625" style="3" customWidth="1"/>
    <col min="8" max="8" width="35.44140625" customWidth="1"/>
  </cols>
  <sheetData>
    <row r="1" spans="1:12" s="2" customFormat="1" ht="43.2" x14ac:dyDescent="0.3">
      <c r="A1" s="9" t="s">
        <v>227</v>
      </c>
      <c r="B1" s="10" t="s">
        <v>49</v>
      </c>
      <c r="C1" s="10" t="s">
        <v>77</v>
      </c>
      <c r="D1" s="10" t="s">
        <v>133</v>
      </c>
      <c r="E1" s="10" t="s">
        <v>226</v>
      </c>
      <c r="F1" s="11" t="s">
        <v>132</v>
      </c>
      <c r="G1" s="12" t="s">
        <v>131</v>
      </c>
      <c r="H1" s="13" t="s">
        <v>48</v>
      </c>
      <c r="I1" s="2" t="s">
        <v>74</v>
      </c>
      <c r="J1" s="2" t="s">
        <v>48</v>
      </c>
    </row>
    <row r="2" spans="1:12" x14ac:dyDescent="0.3">
      <c r="A2" s="14" t="s">
        <v>50</v>
      </c>
      <c r="B2" s="5" t="s">
        <v>51</v>
      </c>
      <c r="C2" s="5"/>
      <c r="D2" s="6" t="s">
        <v>322</v>
      </c>
      <c r="E2" s="6" t="s">
        <v>323</v>
      </c>
      <c r="F2" s="6">
        <v>100</v>
      </c>
      <c r="G2" s="7" t="s">
        <v>134</v>
      </c>
      <c r="H2" s="15" t="s">
        <v>135</v>
      </c>
    </row>
    <row r="3" spans="1:12" x14ac:dyDescent="0.3">
      <c r="A3" s="14" t="s">
        <v>52</v>
      </c>
      <c r="B3" s="5" t="s">
        <v>53</v>
      </c>
      <c r="C3" s="5"/>
      <c r="D3" s="6" t="s">
        <v>323</v>
      </c>
      <c r="E3" s="6" t="s">
        <v>323</v>
      </c>
      <c r="F3" s="6">
        <v>100</v>
      </c>
      <c r="G3" s="7" t="s">
        <v>134</v>
      </c>
      <c r="H3" s="15" t="s">
        <v>135</v>
      </c>
    </row>
    <row r="4" spans="1:12" x14ac:dyDescent="0.3">
      <c r="A4" s="14" t="s">
        <v>54</v>
      </c>
      <c r="B4" s="5" t="s">
        <v>55</v>
      </c>
      <c r="C4" s="5"/>
      <c r="D4" s="6" t="s">
        <v>324</v>
      </c>
      <c r="E4" s="6" t="s">
        <v>324</v>
      </c>
      <c r="F4" s="6">
        <v>100</v>
      </c>
      <c r="G4" s="7" t="s">
        <v>134</v>
      </c>
      <c r="H4" s="15" t="s">
        <v>135</v>
      </c>
    </row>
    <row r="5" spans="1:12" x14ac:dyDescent="0.3">
      <c r="A5" s="14" t="s">
        <v>57</v>
      </c>
      <c r="B5" s="5" t="s">
        <v>56</v>
      </c>
      <c r="C5" s="5"/>
      <c r="D5" s="6" t="s">
        <v>325</v>
      </c>
      <c r="E5" s="6" t="s">
        <v>325</v>
      </c>
      <c r="F5" s="6">
        <v>100</v>
      </c>
      <c r="G5" s="8" t="s">
        <v>134</v>
      </c>
      <c r="H5" s="15" t="s">
        <v>135</v>
      </c>
    </row>
    <row r="6" spans="1:12" x14ac:dyDescent="0.3">
      <c r="A6" s="14" t="s">
        <v>58</v>
      </c>
      <c r="B6" s="5" t="s">
        <v>61</v>
      </c>
      <c r="C6" s="5"/>
      <c r="D6" s="6" t="s">
        <v>326</v>
      </c>
      <c r="E6" s="6" t="s">
        <v>327</v>
      </c>
      <c r="F6" s="6">
        <v>100</v>
      </c>
      <c r="G6" s="7" t="s">
        <v>134</v>
      </c>
      <c r="H6" s="15" t="s">
        <v>135</v>
      </c>
    </row>
    <row r="7" spans="1:12" x14ac:dyDescent="0.3">
      <c r="A7" s="14" t="s">
        <v>59</v>
      </c>
      <c r="B7" s="5" t="s">
        <v>60</v>
      </c>
      <c r="C7" s="5"/>
      <c r="D7" s="6" t="s">
        <v>328</v>
      </c>
      <c r="E7" s="6" t="s">
        <v>236</v>
      </c>
      <c r="F7" s="6">
        <v>100</v>
      </c>
      <c r="G7" s="7" t="s">
        <v>134</v>
      </c>
      <c r="H7" s="15" t="s">
        <v>135</v>
      </c>
    </row>
    <row r="8" spans="1:12" x14ac:dyDescent="0.3">
      <c r="A8" s="14" t="s">
        <v>62</v>
      </c>
      <c r="B8" s="5" t="s">
        <v>63</v>
      </c>
      <c r="C8" s="5"/>
      <c r="D8" s="6" t="s">
        <v>236</v>
      </c>
      <c r="E8" s="6" t="s">
        <v>236</v>
      </c>
      <c r="F8" s="6">
        <v>100</v>
      </c>
      <c r="G8" s="7" t="s">
        <v>134</v>
      </c>
      <c r="H8" s="15" t="s">
        <v>135</v>
      </c>
    </row>
    <row r="9" spans="1:12" x14ac:dyDescent="0.3">
      <c r="A9" s="14" t="s">
        <v>64</v>
      </c>
      <c r="B9" s="5" t="s">
        <v>65</v>
      </c>
      <c r="C9" s="5"/>
      <c r="D9" s="6" t="s">
        <v>329</v>
      </c>
      <c r="E9" s="6" t="s">
        <v>330</v>
      </c>
      <c r="F9" s="6">
        <v>100</v>
      </c>
      <c r="G9" s="7" t="s">
        <v>134</v>
      </c>
      <c r="H9" s="15" t="s">
        <v>135</v>
      </c>
      <c r="I9">
        <v>20</v>
      </c>
    </row>
    <row r="10" spans="1:12" x14ac:dyDescent="0.3">
      <c r="A10" s="14" t="s">
        <v>66</v>
      </c>
      <c r="B10" s="5" t="s">
        <v>67</v>
      </c>
      <c r="C10" s="5"/>
      <c r="D10" s="6" t="s">
        <v>331</v>
      </c>
      <c r="E10" s="6" t="s">
        <v>331</v>
      </c>
      <c r="F10" s="6">
        <v>0.1</v>
      </c>
      <c r="G10" s="7">
        <v>100000</v>
      </c>
      <c r="H10" s="15" t="s">
        <v>135</v>
      </c>
      <c r="I10">
        <v>0.85</v>
      </c>
    </row>
    <row r="11" spans="1:12" x14ac:dyDescent="0.3">
      <c r="A11" s="14" t="s">
        <v>68</v>
      </c>
      <c r="B11" s="5" t="s">
        <v>69</v>
      </c>
      <c r="C11" s="5"/>
      <c r="D11" s="6" t="s">
        <v>332</v>
      </c>
      <c r="E11" s="6" t="s">
        <v>332</v>
      </c>
      <c r="F11" s="6">
        <v>10</v>
      </c>
      <c r="G11" s="7">
        <v>100000</v>
      </c>
      <c r="H11" s="15" t="s">
        <v>135</v>
      </c>
      <c r="I11">
        <v>3.3</v>
      </c>
      <c r="K11" t="s">
        <v>320</v>
      </c>
      <c r="L11" t="e">
        <f>I11/E11</f>
        <v>#VALUE!</v>
      </c>
    </row>
    <row r="12" spans="1:12" x14ac:dyDescent="0.3">
      <c r="A12" s="14" t="s">
        <v>70</v>
      </c>
      <c r="B12" s="5" t="s">
        <v>71</v>
      </c>
      <c r="C12" s="5"/>
      <c r="D12" s="6" t="s">
        <v>333</v>
      </c>
      <c r="E12" s="6" t="s">
        <v>333</v>
      </c>
      <c r="F12" s="6">
        <v>10</v>
      </c>
      <c r="G12" s="7">
        <v>100000</v>
      </c>
      <c r="H12" s="15" t="s">
        <v>135</v>
      </c>
      <c r="I12">
        <v>1.2</v>
      </c>
    </row>
    <row r="13" spans="1:12" x14ac:dyDescent="0.3">
      <c r="A13" s="14" t="s">
        <v>73</v>
      </c>
      <c r="B13" s="5" t="s">
        <v>72</v>
      </c>
      <c r="C13" s="5"/>
      <c r="D13" s="6" t="s">
        <v>334</v>
      </c>
      <c r="E13" s="6" t="s">
        <v>335</v>
      </c>
      <c r="F13" s="6">
        <v>100</v>
      </c>
      <c r="G13" s="7" t="s">
        <v>286</v>
      </c>
      <c r="H13" s="15" t="s">
        <v>135</v>
      </c>
      <c r="I13">
        <v>12</v>
      </c>
    </row>
    <row r="14" spans="1:12" x14ac:dyDescent="0.3">
      <c r="A14" s="14" t="s">
        <v>75</v>
      </c>
      <c r="B14" s="5" t="s">
        <v>76</v>
      </c>
      <c r="C14" s="5"/>
      <c r="D14" s="6" t="s">
        <v>236</v>
      </c>
      <c r="E14" s="6" t="s">
        <v>335</v>
      </c>
      <c r="F14" s="6">
        <v>100</v>
      </c>
      <c r="G14" s="7" t="s">
        <v>286</v>
      </c>
      <c r="H14" s="15" t="s">
        <v>135</v>
      </c>
      <c r="I14">
        <v>5</v>
      </c>
    </row>
    <row r="15" spans="1:12" x14ac:dyDescent="0.3">
      <c r="A15" s="14" t="s">
        <v>79</v>
      </c>
      <c r="B15" s="5" t="s">
        <v>80</v>
      </c>
      <c r="C15" s="5" t="s">
        <v>78</v>
      </c>
      <c r="D15" s="6" t="s">
        <v>331</v>
      </c>
      <c r="E15" s="6" t="s">
        <v>331</v>
      </c>
      <c r="F15" s="6">
        <v>0.1</v>
      </c>
      <c r="G15" s="7">
        <v>100000</v>
      </c>
      <c r="H15" s="15" t="s">
        <v>135</v>
      </c>
      <c r="I15">
        <v>0.85</v>
      </c>
    </row>
    <row r="16" spans="1:12" x14ac:dyDescent="0.3">
      <c r="A16" s="14" t="s">
        <v>321</v>
      </c>
      <c r="B16" s="5" t="s">
        <v>81</v>
      </c>
      <c r="C16" s="5" t="s">
        <v>82</v>
      </c>
      <c r="D16" s="6" t="s">
        <v>336</v>
      </c>
      <c r="E16" s="6" t="s">
        <v>337</v>
      </c>
      <c r="F16" s="6">
        <v>1</v>
      </c>
      <c r="G16" s="7">
        <v>100000</v>
      </c>
      <c r="H16" s="15" t="s">
        <v>135</v>
      </c>
      <c r="I16">
        <v>1.8</v>
      </c>
    </row>
    <row r="17" spans="1:9" x14ac:dyDescent="0.3">
      <c r="A17" s="14" t="s">
        <v>83</v>
      </c>
      <c r="B17" s="5" t="s">
        <v>84</v>
      </c>
      <c r="C17" s="5" t="s">
        <v>85</v>
      </c>
      <c r="D17" s="6" t="s">
        <v>338</v>
      </c>
      <c r="E17" s="6" t="s">
        <v>339</v>
      </c>
      <c r="F17" s="6">
        <v>1</v>
      </c>
      <c r="G17" s="7">
        <v>100000</v>
      </c>
      <c r="H17" s="15" t="s">
        <v>135</v>
      </c>
      <c r="I17">
        <v>0.9</v>
      </c>
    </row>
    <row r="18" spans="1:9" x14ac:dyDescent="0.3">
      <c r="A18" s="14" t="s">
        <v>86</v>
      </c>
      <c r="B18" s="5" t="s">
        <v>87</v>
      </c>
      <c r="C18" s="5" t="s">
        <v>88</v>
      </c>
      <c r="D18" s="6" t="s">
        <v>333</v>
      </c>
      <c r="E18" s="6" t="s">
        <v>333</v>
      </c>
      <c r="F18" s="6">
        <v>1</v>
      </c>
      <c r="G18" s="7">
        <v>100000</v>
      </c>
      <c r="H18" s="15" t="s">
        <v>135</v>
      </c>
      <c r="I18">
        <v>1.2</v>
      </c>
    </row>
    <row r="19" spans="1:9" x14ac:dyDescent="0.3">
      <c r="A19" s="14" t="s">
        <v>89</v>
      </c>
      <c r="B19" s="5" t="s">
        <v>90</v>
      </c>
      <c r="C19" s="5" t="s">
        <v>91</v>
      </c>
      <c r="D19" s="6" t="s">
        <v>341</v>
      </c>
      <c r="E19" s="6" t="s">
        <v>340</v>
      </c>
      <c r="F19" s="6">
        <v>10</v>
      </c>
      <c r="G19" s="7">
        <v>100000</v>
      </c>
      <c r="H19" s="15" t="s">
        <v>135</v>
      </c>
      <c r="I19">
        <v>0.85</v>
      </c>
    </row>
    <row r="20" spans="1:9" x14ac:dyDescent="0.3">
      <c r="A20" s="14" t="s">
        <v>92</v>
      </c>
      <c r="B20" s="5" t="s">
        <v>93</v>
      </c>
      <c r="C20" s="5" t="s">
        <v>94</v>
      </c>
      <c r="D20" s="6" t="s">
        <v>342</v>
      </c>
      <c r="E20" s="6" t="s">
        <v>343</v>
      </c>
      <c r="F20" s="6">
        <v>10</v>
      </c>
      <c r="G20" s="7">
        <v>100000</v>
      </c>
      <c r="H20" s="15" t="s">
        <v>135</v>
      </c>
    </row>
    <row r="21" spans="1:9" x14ac:dyDescent="0.3">
      <c r="A21" s="14" t="s">
        <v>95</v>
      </c>
      <c r="B21" s="5" t="s">
        <v>96</v>
      </c>
      <c r="C21" s="5" t="s">
        <v>97</v>
      </c>
      <c r="D21" s="6" t="s">
        <v>344</v>
      </c>
      <c r="E21" s="6" t="s">
        <v>345</v>
      </c>
      <c r="F21" s="6">
        <v>10</v>
      </c>
      <c r="G21" s="7">
        <v>100000</v>
      </c>
      <c r="H21" s="15" t="s">
        <v>135</v>
      </c>
    </row>
    <row r="22" spans="1:9" x14ac:dyDescent="0.3">
      <c r="A22" s="14" t="s">
        <v>98</v>
      </c>
      <c r="B22" s="5" t="s">
        <v>99</v>
      </c>
      <c r="C22" s="5" t="s">
        <v>100</v>
      </c>
      <c r="D22" s="6" t="s">
        <v>273</v>
      </c>
      <c r="E22" s="6" t="s">
        <v>346</v>
      </c>
      <c r="F22" s="6">
        <v>10</v>
      </c>
      <c r="G22" s="7">
        <v>100000</v>
      </c>
      <c r="H22" s="15" t="s">
        <v>135</v>
      </c>
    </row>
    <row r="23" spans="1:9" x14ac:dyDescent="0.3">
      <c r="A23" s="14" t="s">
        <v>101</v>
      </c>
      <c r="B23" s="5" t="s">
        <v>102</v>
      </c>
      <c r="C23" s="5"/>
      <c r="D23" s="6" t="s">
        <v>347</v>
      </c>
      <c r="E23" s="6" t="s">
        <v>349</v>
      </c>
      <c r="F23" s="6">
        <v>10</v>
      </c>
      <c r="G23" s="7" t="s">
        <v>286</v>
      </c>
      <c r="H23" s="15" t="s">
        <v>135</v>
      </c>
      <c r="I23">
        <v>0.6</v>
      </c>
    </row>
    <row r="24" spans="1:9" x14ac:dyDescent="0.3">
      <c r="A24" s="14" t="s">
        <v>103</v>
      </c>
      <c r="B24" s="5" t="s">
        <v>104</v>
      </c>
      <c r="C24" s="5"/>
      <c r="D24" s="6" t="s">
        <v>254</v>
      </c>
      <c r="E24" s="6" t="s">
        <v>273</v>
      </c>
      <c r="F24" s="6">
        <v>10</v>
      </c>
      <c r="G24" s="7" t="s">
        <v>286</v>
      </c>
      <c r="H24" s="15" t="s">
        <v>135</v>
      </c>
      <c r="I24">
        <v>2.5</v>
      </c>
    </row>
    <row r="25" spans="1:9" x14ac:dyDescent="0.3">
      <c r="A25" s="14" t="s">
        <v>105</v>
      </c>
      <c r="B25" s="5" t="s">
        <v>106</v>
      </c>
      <c r="C25" s="5"/>
      <c r="D25" s="6" t="s">
        <v>348</v>
      </c>
      <c r="E25" s="6" t="s">
        <v>350</v>
      </c>
      <c r="F25" s="6">
        <v>10</v>
      </c>
      <c r="G25" s="7" t="s">
        <v>286</v>
      </c>
      <c r="H25" s="15" t="s">
        <v>135</v>
      </c>
      <c r="I25">
        <v>1.8</v>
      </c>
    </row>
    <row r="26" spans="1:9" x14ac:dyDescent="0.3">
      <c r="A26" s="14" t="s">
        <v>107</v>
      </c>
      <c r="B26" s="5" t="s">
        <v>108</v>
      </c>
      <c r="C26" s="5"/>
      <c r="D26" s="6" t="s">
        <v>351</v>
      </c>
      <c r="E26" s="6" t="s">
        <v>352</v>
      </c>
      <c r="F26" s="6">
        <v>10</v>
      </c>
      <c r="G26" s="7">
        <v>100000</v>
      </c>
      <c r="H26" s="15" t="s">
        <v>135</v>
      </c>
      <c r="I26">
        <v>1</v>
      </c>
    </row>
    <row r="27" spans="1:9" x14ac:dyDescent="0.3">
      <c r="A27" s="14" t="s">
        <v>109</v>
      </c>
      <c r="B27" s="5" t="s">
        <v>110</v>
      </c>
      <c r="C27" s="5"/>
      <c r="D27" s="6" t="s">
        <v>325</v>
      </c>
      <c r="E27" s="6" t="s">
        <v>353</v>
      </c>
      <c r="F27" s="6">
        <v>10</v>
      </c>
      <c r="G27" s="7" t="s">
        <v>134</v>
      </c>
      <c r="H27" s="15" t="s">
        <v>135</v>
      </c>
      <c r="I27">
        <v>3.6</v>
      </c>
    </row>
    <row r="28" spans="1:9" x14ac:dyDescent="0.3">
      <c r="A28" s="14" t="s">
        <v>111</v>
      </c>
      <c r="B28" s="5" t="s">
        <v>112</v>
      </c>
      <c r="C28" s="5"/>
      <c r="D28" s="6" t="s">
        <v>323</v>
      </c>
      <c r="E28" s="6" t="s">
        <v>354</v>
      </c>
      <c r="F28" s="6">
        <v>10</v>
      </c>
      <c r="G28" s="7">
        <v>100000</v>
      </c>
      <c r="H28" s="15" t="s">
        <v>135</v>
      </c>
      <c r="I28">
        <v>3.3</v>
      </c>
    </row>
    <row r="29" spans="1:9" x14ac:dyDescent="0.3">
      <c r="A29" s="14" t="s">
        <v>114</v>
      </c>
      <c r="B29" s="5" t="s">
        <v>113</v>
      </c>
      <c r="C29" s="5"/>
      <c r="D29" s="38" t="s">
        <v>324</v>
      </c>
      <c r="E29" s="38" t="s">
        <v>272</v>
      </c>
      <c r="F29" s="6">
        <v>10</v>
      </c>
      <c r="G29" s="7">
        <v>100000</v>
      </c>
      <c r="H29" s="15" t="s">
        <v>135</v>
      </c>
      <c r="I29">
        <v>3.3</v>
      </c>
    </row>
    <row r="30" spans="1:9" x14ac:dyDescent="0.3">
      <c r="A30" s="14" t="s">
        <v>115</v>
      </c>
      <c r="B30" s="5" t="s">
        <v>116</v>
      </c>
      <c r="C30" s="5"/>
      <c r="D30" s="6" t="s">
        <v>273</v>
      </c>
      <c r="E30" s="6" t="s">
        <v>355</v>
      </c>
      <c r="F30" s="6">
        <v>10</v>
      </c>
      <c r="G30" s="7">
        <v>100000</v>
      </c>
      <c r="H30" s="15" t="s">
        <v>135</v>
      </c>
      <c r="I30">
        <v>5</v>
      </c>
    </row>
    <row r="31" spans="1:9" x14ac:dyDescent="0.3">
      <c r="A31" s="14" t="s">
        <v>118</v>
      </c>
      <c r="B31" s="5" t="s">
        <v>117</v>
      </c>
      <c r="C31" s="5"/>
      <c r="D31" s="6" t="s">
        <v>323</v>
      </c>
      <c r="E31" s="6" t="s">
        <v>323</v>
      </c>
      <c r="F31" s="6">
        <v>10</v>
      </c>
      <c r="G31" s="7">
        <v>100000</v>
      </c>
      <c r="H31" s="15" t="s">
        <v>135</v>
      </c>
      <c r="I31">
        <v>3.3</v>
      </c>
    </row>
    <row r="32" spans="1:9" x14ac:dyDescent="0.3">
      <c r="A32" s="14" t="s">
        <v>119</v>
      </c>
      <c r="B32" s="5" t="s">
        <v>120</v>
      </c>
      <c r="C32" s="5"/>
      <c r="D32" s="6" t="s">
        <v>276</v>
      </c>
      <c r="E32" s="6" t="s">
        <v>276</v>
      </c>
      <c r="F32" s="6">
        <v>10</v>
      </c>
      <c r="G32" s="7">
        <v>100000</v>
      </c>
      <c r="H32" s="15" t="s">
        <v>135</v>
      </c>
      <c r="I32">
        <v>8</v>
      </c>
    </row>
    <row r="33" spans="1:9" x14ac:dyDescent="0.3">
      <c r="A33" s="14" t="s">
        <v>122</v>
      </c>
      <c r="B33" s="5" t="s">
        <v>121</v>
      </c>
      <c r="C33" s="5"/>
      <c r="D33" s="6" t="s">
        <v>357</v>
      </c>
      <c r="E33" s="6" t="s">
        <v>357</v>
      </c>
      <c r="F33" s="6">
        <v>10</v>
      </c>
      <c r="G33" s="7">
        <v>100000</v>
      </c>
      <c r="H33" s="15" t="s">
        <v>284</v>
      </c>
      <c r="I33">
        <v>3.3</v>
      </c>
    </row>
    <row r="34" spans="1:9" x14ac:dyDescent="0.3">
      <c r="A34" s="14" t="s">
        <v>317</v>
      </c>
      <c r="B34" s="5" t="s">
        <v>123</v>
      </c>
      <c r="C34" s="5"/>
      <c r="D34" s="6" t="s">
        <v>286</v>
      </c>
      <c r="E34" s="6" t="s">
        <v>356</v>
      </c>
      <c r="F34" s="6">
        <v>10</v>
      </c>
      <c r="G34" s="7">
        <v>100000</v>
      </c>
      <c r="H34" s="15" t="s">
        <v>285</v>
      </c>
      <c r="I34">
        <v>5</v>
      </c>
    </row>
    <row r="35" spans="1:9" x14ac:dyDescent="0.3">
      <c r="A35" s="14"/>
      <c r="B35" s="5"/>
      <c r="C35" s="5"/>
      <c r="D35" s="6"/>
      <c r="E35" s="6"/>
      <c r="F35" s="6"/>
      <c r="G35" s="7"/>
      <c r="H35" s="15"/>
    </row>
    <row r="36" spans="1:9" ht="28.8" x14ac:dyDescent="0.3">
      <c r="A36" s="14" t="s">
        <v>125</v>
      </c>
      <c r="B36" s="5"/>
      <c r="C36" s="5"/>
      <c r="D36" s="6"/>
      <c r="E36" s="6"/>
      <c r="F36" s="6">
        <v>100000</v>
      </c>
      <c r="G36" s="7" t="s">
        <v>134</v>
      </c>
      <c r="H36" s="15" t="s">
        <v>135</v>
      </c>
      <c r="I36">
        <v>12</v>
      </c>
    </row>
    <row r="37" spans="1:9" ht="28.8" x14ac:dyDescent="0.3">
      <c r="A37" s="14" t="s">
        <v>126</v>
      </c>
      <c r="B37" s="5"/>
      <c r="C37" s="5"/>
      <c r="D37" s="6"/>
      <c r="E37" s="6"/>
      <c r="F37" s="6">
        <v>100000</v>
      </c>
      <c r="G37" s="7" t="s">
        <v>134</v>
      </c>
      <c r="H37" s="15" t="s">
        <v>135</v>
      </c>
      <c r="I37">
        <v>12</v>
      </c>
    </row>
    <row r="38" spans="1:9" ht="28.8" x14ac:dyDescent="0.3">
      <c r="A38" s="14" t="s">
        <v>124</v>
      </c>
      <c r="B38" s="5"/>
      <c r="C38" s="5"/>
      <c r="D38" s="6"/>
      <c r="E38" s="6"/>
      <c r="F38" s="6">
        <v>100000</v>
      </c>
      <c r="G38" s="7" t="s">
        <v>134</v>
      </c>
      <c r="H38" s="15" t="s">
        <v>135</v>
      </c>
      <c r="I38">
        <v>12</v>
      </c>
    </row>
    <row r="39" spans="1:9" ht="28.8" x14ac:dyDescent="0.3">
      <c r="A39" s="14" t="s">
        <v>127</v>
      </c>
      <c r="B39" s="5"/>
      <c r="C39" s="5"/>
      <c r="D39" s="6"/>
      <c r="E39" s="6"/>
      <c r="F39" s="6">
        <v>100000</v>
      </c>
      <c r="G39" s="7" t="s">
        <v>134</v>
      </c>
      <c r="H39" s="15" t="s">
        <v>135</v>
      </c>
      <c r="I39">
        <v>12</v>
      </c>
    </row>
    <row r="40" spans="1:9" ht="28.8" x14ac:dyDescent="0.3">
      <c r="A40" s="14" t="s">
        <v>128</v>
      </c>
      <c r="B40" s="5"/>
      <c r="C40" s="5"/>
      <c r="D40" s="6"/>
      <c r="E40" s="6"/>
      <c r="F40" s="6">
        <v>100000</v>
      </c>
      <c r="G40" s="7" t="s">
        <v>134</v>
      </c>
      <c r="H40" s="15" t="s">
        <v>135</v>
      </c>
      <c r="I40">
        <v>12</v>
      </c>
    </row>
    <row r="41" spans="1:9" ht="15" thickBot="1" x14ac:dyDescent="0.35">
      <c r="A41" s="16" t="s">
        <v>129</v>
      </c>
      <c r="B41" s="17" t="s">
        <v>130</v>
      </c>
      <c r="C41" s="17"/>
      <c r="D41" s="18"/>
      <c r="E41" s="18"/>
      <c r="F41" s="18">
        <v>100000</v>
      </c>
      <c r="G41" s="7" t="s">
        <v>286</v>
      </c>
      <c r="H41" s="15" t="s">
        <v>135</v>
      </c>
      <c r="I41">
        <v>3.3</v>
      </c>
    </row>
    <row r="42" spans="1:9" x14ac:dyDescent="0.3">
      <c r="A42" s="2" t="s">
        <v>314</v>
      </c>
    </row>
    <row r="43" spans="1:9" x14ac:dyDescent="0.3">
      <c r="A43" s="14" t="s">
        <v>122</v>
      </c>
      <c r="B43" s="5" t="s">
        <v>121</v>
      </c>
      <c r="C43" s="5"/>
      <c r="D43" s="6"/>
      <c r="E43" s="6"/>
      <c r="F43" s="6">
        <v>10</v>
      </c>
      <c r="G43" s="7">
        <v>100000</v>
      </c>
      <c r="H43" s="15" t="s">
        <v>284</v>
      </c>
      <c r="I43">
        <v>3.3</v>
      </c>
    </row>
    <row r="44" spans="1:9" x14ac:dyDescent="0.3">
      <c r="A44" s="14" t="s">
        <v>317</v>
      </c>
      <c r="B44" s="5" t="s">
        <v>123</v>
      </c>
      <c r="C44" s="5"/>
      <c r="D44" s="6"/>
      <c r="E44" s="6"/>
      <c r="F44" s="6">
        <v>10</v>
      </c>
      <c r="G44" s="7">
        <v>100000</v>
      </c>
      <c r="H44" s="15" t="s">
        <v>285</v>
      </c>
      <c r="I4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MB1</vt:lpstr>
      <vt:lpstr>pomiar rez MB1</vt:lpstr>
      <vt:lpstr>Pomiar Napięć i prądów MB1</vt:lpstr>
      <vt:lpstr>Pomiar FB przetwornicU</vt:lpstr>
      <vt:lpstr>MB2</vt:lpstr>
      <vt:lpstr>pomiar rez MB1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Waldek</dc:creator>
  <cp:lastModifiedBy>Krzysztof Kaczmarczyk</cp:lastModifiedBy>
  <dcterms:created xsi:type="dcterms:W3CDTF">2020-12-29T09:38:11Z</dcterms:created>
  <dcterms:modified xsi:type="dcterms:W3CDTF">2021-03-17T14:40:08Z</dcterms:modified>
</cp:coreProperties>
</file>